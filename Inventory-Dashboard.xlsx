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c3b4204ae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fbc001c5c5e4dce"/>
    <x:sheet xmlns:r="http://schemas.openxmlformats.org/officeDocument/2006/relationships" name="Inventory forecast" sheetId="2" r:id="R2548b794fd7040fd"/>
    <x:sheet xmlns:r="http://schemas.openxmlformats.org/officeDocument/2006/relationships" name="Inventory inputs" sheetId="3" r:id="R2c82c391d5ab4c30"/>
    <x:sheet xmlns:r="http://schemas.openxmlformats.org/officeDocument/2006/relationships" name="Incoming POs" sheetId="4" r:id="R2217cb7ff13c48a1"/>
    <x:sheet xmlns:r="http://schemas.openxmlformats.org/officeDocument/2006/relationships" name="Sources and method" sheetId="5" r:id="R06ed198ef31f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mm/dd/yy"/>
    <x:numFmt numFmtId="201" formatCode="#,##0.0000"/>
    <x:numFmt numFmtId="202" formatCode="$#,##0;($#,##0);–"/>
    <x:numFmt numFmtId="203" formatCode="mmm d, yyyy"/>
    <x:numFmt numFmtId="204" formatCode="0%"/>
    <x:numFmt numFmtId="205" formatCode="0"/>
    <x:numFmt numFmtId="206" formatCode="0.0%"/>
    <x:numFmt numFmtId="207" formatCode="#,##0"/>
    <x:numFmt numFmtId="208" formatCode=";;;"/>
  </x:numFmts>
  <x:fonts count="8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111111"/>
      <x:name val="Arial"/>
    </x:font>
    <x:font>
      <x:b/>
      <x:sz val="16"/>
      <x:color rgb="FF17324D"/>
      <x:name val="Arial"/>
    </x:font>
    <x:font>
      <x:i/>
      <x:sz val="10"/>
      <x:color rgb="FF596774"/>
      <x:name val="Arial"/>
    </x:font>
    <x:font>
      <x:sz val="10"/>
      <x:color rgb="FF2255B4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B"/>
      </x:patternFill>
    </x:fill>
  </x:fills>
  <x:borders count="2">
    <x:border/>
    <x:border>
      <x:left style="thin">
        <x:color rgb="FFD3DADF"/>
      </x:left>
      <x:right style="thin">
        <x:color rgb="FFD3DADF"/>
      </x:right>
      <x:top style="thin">
        <x:color rgb="FFD3DADF"/>
      </x:top>
      <x:bottom style="thin">
        <x:color rgb="FFD3DADF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3" fontId="1" fillId="3" borderId="0" xfId="0" applyNumberFormat="1" applyFont="1" applyFill="1" applyBorder="1"/>
    <x:xf numFmtId="203" fontId="6" fillId="3" borderId="0" xfId="0" applyNumberFormat="1" applyFont="1" applyFill="1" applyBorder="1"/>
    <x:xf numFmtId="203" fontId="6" fillId="3" borderId="1" xfId="0" applyNumberFormat="1" applyFont="1" applyFill="1" applyBorder="1"/>
    <x:xf numFmtId="204" fontId="1" fillId="3" borderId="0" xfId="0" applyNumberFormat="1" applyFont="1" applyFill="1" applyBorder="1"/>
    <x:xf numFmtId="204" fontId="6" fillId="3" borderId="0" xfId="0" applyNumberFormat="1" applyFont="1" applyFill="1" applyBorder="1"/>
    <x:xf numFmtId="204" fontId="6" fillId="3" borderId="1" xfId="0" applyNumberFormat="1" applyFont="1" applyFill="1" applyBorder="1"/>
    <x:xf numFmtId="205" fontId="1" fillId="0" borderId="0" xfId="0" applyNumberFormat="1" applyFont="1" applyFill="1" applyBorder="1"/>
    <x:xf numFmtId="202" fontId="4" fillId="0" borderId="0" xfId="0" applyNumberFormat="1" applyFont="1" applyFill="1" applyBorder="1"/>
    <x:xf numFmtId="0" fontId="7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16ce1067b4269" /><Relationship Type="http://schemas.openxmlformats.org/officeDocument/2006/relationships/theme" Target="/xl/theme/theme1.xml" Id="R727607fbe2794da6" /><Relationship Type="http://schemas.openxmlformats.org/officeDocument/2006/relationships/sharedStrings" Target="/xl/sharedStrings.xml" Id="Ra83992fff85d4075" /><Relationship Type="http://schemas.openxmlformats.org/officeDocument/2006/relationships/worksheet" Target="/xl/worksheets/sheet1.xml" Id="Rcfbc001c5c5e4dce" /><Relationship Type="http://schemas.openxmlformats.org/officeDocument/2006/relationships/worksheet" Target="/xl/worksheets/sheet2.xml" Id="R2548b794fd7040fd" /><Relationship Type="http://schemas.openxmlformats.org/officeDocument/2006/relationships/worksheet" Target="/xl/worksheets/sheet3.xml" Id="R2c82c391d5ab4c30" /><Relationship Type="http://schemas.openxmlformats.org/officeDocument/2006/relationships/worksheet" Target="/xl/worksheets/sheet4.xml" Id="R2217cb7ff13c48a1" /><Relationship Type="http://schemas.openxmlformats.org/officeDocument/2006/relationships/worksheet" Target="/xl/worksheets/sheet5.xml" Id="R06ed198ef31f42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64c8e70b3d45f7" /><Relationship Type="http://schemas.openxmlformats.org/officeDocument/2006/relationships/chart" Target="/xl/drawings/charts/chart2.xml" Id="R5da5c270430a4c7b" /><Relationship Type="http://schemas.openxmlformats.org/officeDocument/2006/relationships/chart" Target="/xl/drawings/charts/chart3.xml" Id="R0ba43cbd535747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Current stock layers at standard value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Old stock</c:v>
          </c:tx>
          <c:spPr>
            <a:solidFill xmlns:a="http://schemas.openxmlformats.org/drawingml/2006/main">
              <a:srgbClr val="BF8A2F"/>
            </a:solidFill>
          </c:spPr>
          <c:cat>
            <c:strRef>
              <c:f>'Dashboard'!$B$13:$B$15</c:f>
              <c:strCache>
                <c:ptCount val="0"/>
              </c:strCache>
            </c:strRef>
          </c:cat>
          <c:val>
            <c:numRef>
              <c:f>'Dashboard'!$D$13:$D$15</c:f>
              <c:numCache>
                <c:formatCode>$#,##0;($#,##0);–</c:formatCode>
                <c:ptCount val="0"/>
              </c:numCache>
            </c:numRef>
          </c:val>
        </c:ser>
        <c:ser>
          <c:idx val="1"/>
          <c:order val="1"/>
          <c:tx>
            <c:v>Higher-cost stock</c:v>
          </c:tx>
          <c:spPr>
            <a:solidFill xmlns:a="http://schemas.openxmlformats.org/drawingml/2006/main">
              <a:srgbClr val="3677AF"/>
            </a:solidFill>
          </c:spPr>
          <c:cat>
            <c:strRef>
              <c:f>'Dashboard'!$B$13:$B$15</c:f>
              <c:strCache>
                <c:ptCount val="0"/>
              </c:strCache>
            </c:strRef>
          </c:cat>
          <c:val>
            <c:numRef>
              <c:f>'Dashboard'!$E$13:$E$15</c:f>
              <c:numCache>
                <c:formatCode>$#,##0;($#,##0);–</c:formatCode>
                <c:ptCount val="0"/>
              </c:numCache>
            </c:numRef>
          </c:val>
        </c:ser>
        <c:ser>
          <c:idx val="2"/>
          <c:order val="2"/>
          <c:tx>
            <c:v>Unclassified</c:v>
          </c:tx>
          <c:spPr>
            <a:solidFill xmlns:a="http://schemas.openxmlformats.org/drawingml/2006/main">
              <a:srgbClr val="A6B0BA"/>
            </a:solidFill>
          </c:spPr>
          <c:cat>
            <c:strRef>
              <c:f>'Dashboard'!$B$13:$B$15</c:f>
              <c:strCache>
                <c:ptCount val="0"/>
              </c:strCache>
            </c:strRef>
          </c:cat>
          <c:val>
            <c:numRef>
              <c:f>'Dashboard'!$F$13:$F$15</c:f>
              <c:numCache>
                <c:formatCode>$#,##0;($#,##0);–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Projected known-cost adjustment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Known-cost adjustment</c:v>
          </c:tx>
          <c:spPr>
            <a:solidFill xmlns:a="http://schemas.openxmlformats.org/drawingml/2006/main">
              <a:srgbClr val="3677AF"/>
            </a:solidFill>
          </c:spPr>
          <c:cat>
            <c:strRef>
              <c:f>'Dashboard'!$B$13:$B$15</c:f>
              <c:strCache>
                <c:ptCount val="0"/>
              </c:strCache>
            </c:strRef>
          </c:cat>
          <c:val>
            <c:numRef>
              <c:f>'Dashboard'!$K$13:$K$15</c:f>
              <c:numCache>
                <c:formatCode>$#,##0;($#,##0);–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Incoming PO value by expected timing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Known-cost PO value</c:v>
          </c:tx>
          <c:spPr>
            <a:solidFill xmlns:a="http://schemas.openxmlformats.org/drawingml/2006/main">
              <a:srgbClr val="3677AF"/>
            </a:solidFill>
          </c:spPr>
          <c:cat>
            <c:strRef>
              <c:f>'Dashboard'!$B$40:$B$46</c:f>
              <c:strCache>
                <c:ptCount val="0"/>
              </c:strCache>
            </c:strRef>
          </c:cat>
          <c:val>
            <c:numRef>
              <c:f>'Dashboard'!$E$40:$E$46</c:f>
              <c:numCache>
                <c:formatCode>$#,##0;($#,##0);–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21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64c8e70b3d45f7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13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a5c270430a4c7b"/>
        </a:graphicData>
      </a:graphic>
    </xdr:graphicFrame>
    <xdr:clientData/>
  </xdr:twoCellAnchor>
  <xdr:twoCellAnchor>
    <xdr:from>
      <xdr:col>6</xdr:col>
      <xdr:colOff>0</xdr:colOff>
      <xdr:row>38</xdr:row>
      <xdr:rowOff>0</xdr:rowOff>
    </xdr:from>
    <xdr:to>
      <xdr:col>13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a43cbd535747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InventoryForecast" displayName="InventoryForecast" ref="A1:AF1064" headerRowCount="1" totalsRowCount="0" totalsRowShown="0">
  <x:tableColumns count="32">
    <x:tableColumn id="1" name="Category"/>
    <x:tableColumn id="2" name="Warehouse"/>
    <x:tableColumn id="3" name="Product"/>
    <x:tableColumn id="4" name="Snapshot date"/>
    <x:tableColumn id="5" name="On hand units"/>
    <x:tableColumn id="6" name="Monthly usage"/>
    <x:tableColumn id="7" name="Current standard/unit"/>
    <x:tableColumn id="8" name="Cost-basis standard/unit"/>
    <x:tableColumn id="9" name="Old units now"/>
    <x:tableColumn id="10" name="Higher-cost units now"/>
    <x:tableColumn id="11" name="Unclassified units now"/>
    <x:tableColumn id="12" name="Classified flag"/>
    <x:tableColumn id="13" name="Calculated current value"/>
    <x:tableColumn id="14" name="Reported current value"/>
    <x:tableColumn id="15" name="Valuation difference"/>
    <x:tableColumn id="16" name="Incoming before date"/>
    <x:tableColumn id="17" name="Forecast demand units"/>
    <x:tableColumn id="18" name="Forecast units"/>
    <x:tableColumn id="19" name="Demand beyond available stock"/>
    <x:tableColumn id="20" name="Old units forecast"/>
    <x:tableColumn id="21" name="Old value forecast"/>
    <x:tableColumn id="22" name="Cost available flag"/>
    <x:tableColumn id="23" name="Selected new standard/unit"/>
    <x:tableColumn id="24" name="Known-cost adjustment"/>
    <x:tableColumn id="25" name="Value at selected standard"/>
    <x:tableColumn id="26" name="Higher-cost units forecast"/>
    <x:tableColumn id="27" name="Layer status"/>
    <x:tableColumn id="28" name="Incoming old-cost units"/>
    <x:tableColumn id="29" name="Current old-stock value"/>
    <x:tableColumn id="30" name="Current higher-cost value"/>
    <x:tableColumn id="31" name="Current unclassified value"/>
    <x:tableColumn id="32" name="Forecast value current standar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InventoryInputs" displayName="InventoryInputs" ref="A1:S1064" headerRowCount="1" totalsRowCount="0" totalsRowShown="0">
  <x:tableColumns count="19">
    <x:tableColumn id="1" name="Category"/>
    <x:tableColumn id="2" name="Warehouse"/>
    <x:tableColumn id="3" name="Product"/>
    <x:tableColumn id="4" name="Vendor"/>
    <x:tableColumn id="5" name="Snapshot date"/>
    <x:tableColumn id="6" name="On hand units"/>
    <x:tableColumn id="7" name="Monthly usage units"/>
    <x:tableColumn id="8" name="Current standard source cost"/>
    <x:tableColumn id="9" name="Replacement source cost"/>
    <x:tableColumn id="10" name="Units per cost"/>
    <x:tableColumn id="11" name="Proposed cost multiplier"/>
    <x:tableColumn id="12" name="Old units"/>
    <x:tableColumn id="13" name="Higher-cost units"/>
    <x:tableColumn id="14" name="Unclassified units"/>
    <x:tableColumn id="15" name="Classified flag"/>
    <x:tableColumn id="16" name="Original PO source cost"/>
    <x:tableColumn id="17" name="Reported standard value"/>
    <x:tableColumn id="18" name="Receipt-layer status"/>
    <x:tableColumn id="19" name="Source 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IncomingOrders" displayName="IncomingOrders" ref="A1:R305" headerRowCount="1" totalsRowCount="0" totalsRowShown="0">
  <x:tableColumns count="18">
    <x:tableColumn id="1" name="Category"/>
    <x:tableColumn id="2" name="Warehouse"/>
    <x:tableColumn id="3" name="Product"/>
    <x:tableColumn id="4" name="PO number"/>
    <x:tableColumn id="5" name="Suffix"/>
    <x:tableColumn id="6" name="Line"/>
    <x:tableColumn id="7" name="Expected date"/>
    <x:tableColumn id="8" name="Ordered quantity"/>
    <x:tableColumn id="9" name="Unit conversion"/>
    <x:tableColumn id="10" name="PO source cost"/>
    <x:tableColumn id="11" name="Units per PO cost"/>
    <x:tableColumn id="12" name="Status"/>
    <x:tableColumn id="13" name="Source qtyrcv"/>
    <x:tableColumn id="14" name="GL receipt cost"/>
    <x:tableColumn id="15" name="Source file"/>
    <x:tableColumn id="16" name="Incoming stock units"/>
    <x:tableColumn id="17" name="PO cost per stock unit"/>
    <x:tableColumn id="18" name="Incoming PO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e0af04934842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35a36ebb134f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5c264dfd5e47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844587d01f4c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8" customHeight="1">
      <x:c r="B2" s="12" t="str">
        <x:v>Inventory dashboard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1" customHeight="1">
      <x:c r="B3" s="13" t="str">
        <x:v>Inventory snapshots: C400/Plastic Oct 8; Film Oct 9, 2026. All values in dollars.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1" customHeight="1"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1" customHeight="1">
      <x:c r="B5" s="1" t="str">
        <x:v>Category</x:v>
      </x:c>
      <x:c r="C5" s="18" t="str">
        <x:v>All</x:v>
      </x:c>
      <x:c r="D5" s="1"/>
      <x:c r="E5" s="1" t="str">
        <x:v>Warehouse</x:v>
      </x:c>
      <x:c r="F5" s="18" t="str">
        <x:v>All</x:v>
      </x:c>
      <x:c r="G5" s="1"/>
      <x:c r="H5" s="1" t="str">
        <x:v>Forecast date</x:v>
      </x:c>
      <x:c r="I5" s="21" t="n">
        <x:v>46357</x:v>
      </x:c>
      <x:c r="J5" s="1"/>
      <x:c r="K5" s="1" t="str">
        <x:v>Usage rate</x:v>
      </x:c>
      <x:c r="L5" s="24" t="n">
        <x:v>0.75</x:v>
      </x:c>
      <x:c r="M5" s="1"/>
    </x:row>
    <x:row r="6" ht="21" customHeight="1">
      <x:c r="B6" s="1" t="str">
        <x:v>Amber cells are editable. Usage rate is a forecast assumption.</x:v>
      </x:c>
      <x:c r="C6" s="1"/>
      <x:c r="D6" s="1"/>
      <x:c r="E6" s="1"/>
      <x:c r="F6" s="1"/>
      <x:c r="G6" s="1"/>
      <x:c r="H6" s="1" t="str">
        <x:v>Standard method</x:v>
      </x:c>
      <x:c r="I6" s="18" t="str">
        <x:v>Cost basis</x:v>
      </x:c>
      <x:c r="J6" s="1"/>
      <x:c r="K6" s="1" t="str">
        <x:v>Flat increase</x:v>
      </x:c>
      <x:c r="L6" s="24" t="n">
        <x:v>0.16</x:v>
      </x:c>
      <x:c r="M6" s="1"/>
    </x:row>
    <x:row r="7" ht="21" customHeight="1"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21" customHeight="1">
      <x:c r="B8" s="1" t="str">
        <x:v>Reported inventory</x:v>
      </x:c>
      <x:c r="C8" s="1"/>
      <x:c r="D8" s="1"/>
      <x:c r="E8" s="1" t="str">
        <x:v>Identified old stock</x:v>
      </x:c>
      <x:c r="F8" s="1"/>
      <x:c r="G8" s="1"/>
      <x:c r="H8" s="1" t="str">
        <x:v>Unclassified stock</x:v>
      </x:c>
      <x:c r="I8" s="1"/>
      <x:c r="J8" s="1"/>
      <x:c r="K8" s="1" t="str">
        <x:v>Known-cost adjustment</x:v>
      </x:c>
      <x:c r="L8" s="1"/>
      <x:c r="M8" s="1"/>
    </x:row>
    <x:row r="9" ht="21" customHeight="1">
      <x:c r="B9" s="26" t="n">
        <x:f>IF(COUNTIFS('Inventory forecast'!$A$2:$A$1064,IF($C$5="All","*",$C$5),'Inventory forecast'!$B$2:$B$1064,IF($F$5="All","*",$F$5))=0,"n.a.",SUMIFS('Inventory forecast'!$N$2:$N$1064,'Inventory forecast'!$A$2:$A$1064,IF($C$5="All","*",$C$5),'Inventory forecast'!$B$2:$B$1064,IF($F$5="All","*",$F$5)))</x:f>
        <x:v>999500.0123999991</x:v>
      </x:c>
      <x:c r="C9" s="1"/>
      <x:c r="D9" s="1"/>
      <x:c r="E9" s="26" t="n">
        <x:f>IF(COUNTIFS('Inventory forecast'!$A$2:$A$1064,IF($C$5="All","*",$C$5),'Inventory forecast'!$B$2:$B$1064,IF($F$5="All","*",$F$5))=0,"n.a.",SUMIFS('Inventory forecast'!$AC$2:$AC$1064,'Inventory forecast'!$A$2:$A$1064,IF($C$5="All","*",$C$5),'Inventory forecast'!$B$2:$B$1064,IF($F$5="All","*",$F$5)))</x:f>
        <x:v>407576.5181</x:v>
      </x:c>
      <x:c r="F9" s="1"/>
      <x:c r="G9" s="1"/>
      <x:c r="H9" s="26" t="n">
        <x:f>IF(COUNTIFS('Inventory forecast'!$A$2:$A$1064,IF($C$5="All","*",$C$5),'Inventory forecast'!$B$2:$B$1064,IF($F$5="All","*",$F$5))=0,"n.a.",SUMIFS('Inventory forecast'!$AE$2:$AE$1064,'Inventory forecast'!$A$2:$A$1064,IF($C$5="All","*",$C$5),'Inventory forecast'!$B$2:$B$1064,IF($F$5="All","*",$F$5)))</x:f>
        <x:v>136140.04230000003</x:v>
      </x:c>
      <x:c r="I9" s="1"/>
      <x:c r="J9" s="1"/>
      <x:c r="K9" s="26" t="n">
        <x:f>IF(COUNTIFS('Inventory forecast'!$A$2:$A$1064,IF($C$5="All","*",$C$5),'Inventory forecast'!$B$2:$B$1064,IF($F$5="All","*",$F$5))=0,"n.a.",SUMIFS('Inventory forecast'!$X$2:$X$1064,'Inventory forecast'!$A$2:$A$1064,IF($C$5="All","*",$C$5),'Inventory forecast'!$B$2:$B$1064,IF($F$5="All","*",$F$5)))</x:f>
        <x:v>191984.92266854312</x:v>
      </x:c>
      <x:c r="L9" s="1"/>
      <x:c r="M9" s="1"/>
    </x:row>
    <x:row r="10" ht="21" customHeight="1"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1" customHeight="1">
      <x:c r="B11" s="27" t="str">
        <x:v>Current stock by category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55" customHeight="1">
      <x:c r="B12" s="6" t="str">
        <x:v>Category</x:v>
      </x:c>
      <x:c r="C12" s="6" t="str">
        <x:v>Reported value</x:v>
      </x:c>
      <x:c r="D12" s="6" t="str">
        <x:v>Old stock</x:v>
      </x:c>
      <x:c r="E12" s="6" t="str">
        <x:v>Higher-cost stock</x:v>
      </x:c>
      <x:c r="F12" s="6" t="str">
        <x:v>Unclassified</x:v>
      </x:c>
      <x:c r="G12" s="6" t="str">
        <x:v>Value difference</x:v>
      </x:c>
      <x:c r="H12" s="6" t="str">
        <x:v>Classified coverage</x:v>
      </x:c>
      <x:c r="I12" s="6" t="str">
        <x:v>Projected units</x:v>
      </x:c>
      <x:c r="J12" s="6" t="str">
        <x:v>Projected value at current standard</x:v>
      </x:c>
      <x:c r="K12" s="6" t="str">
        <x:v>Known-cost adjustment</x:v>
      </x:c>
      <x:c r="L12" s="6" t="str">
        <x:v>Missing-cost rows</x:v>
      </x:c>
      <x:c r="M12" s="6" t="str">
        <x:v>Layer review rows</x:v>
      </x:c>
    </x:row>
    <x:row r="13" ht="21" customHeight="1">
      <x:c r="B13" s="1" t="str">
        <x:v>FILM</x:v>
      </x:c>
      <x:c r="C13" s="9" t="n">
        <x:f>IF(AND($C$5&lt;&gt;"All",$C$5&lt;&gt;B13),"",IF(COUNTIFS('Inventory forecast'!$A$2:$A$1064,B13,'Inventory forecast'!$B$2:$B$1064,IF($F$5="All","*",$F$5))=0,"n.a.",SUMIFS('Inventory forecast'!$N$2:$N$1064,'Inventory forecast'!$A$2:$A$1064,B13,'Inventory forecast'!$B$2:$B$1064,IF($F$5="All","*",$F$5))))</x:f>
        <x:v>633210.2499999997</x:v>
      </x:c>
      <x:c r="D13" s="9" t="n">
        <x:f>IF(AND($C$5&lt;&gt;"All",$C$5&lt;&gt;B13),"",IF(COUNTIFS('Inventory forecast'!$A$2:$A$1064,B13,'Inventory forecast'!$B$2:$B$1064,IF($F$5="All","*",$F$5))=0,"n.a.",SUMIFS('Inventory forecast'!$AC$2:$AC$1064,'Inventory forecast'!$A$2:$A$1064,B13,'Inventory forecast'!$B$2:$B$1064,IF($F$5="All","*",$F$5))))</x:f>
        <x:v>262346.13</x:v>
      </x:c>
      <x:c r="E13" s="9" t="n">
        <x:f>IF(AND($C$5&lt;&gt;"All",$C$5&lt;&gt;B13),"",IF(COUNTIFS('Inventory forecast'!$A$2:$A$1064,B13,'Inventory forecast'!$B$2:$B$1064,IF($F$5="All","*",$F$5))=0,"n.a.",SUMIFS('Inventory forecast'!$AD$2:$AD$1064,'Inventory forecast'!$A$2:$A$1064,B13,'Inventory forecast'!$B$2:$B$1064,IF($F$5="All","*",$F$5))))</x:f>
        <x:v>318359.13</x:v>
      </x:c>
      <x:c r="F13" s="9" t="n">
        <x:f>IF(AND($C$5&lt;&gt;"All",$C$5&lt;&gt;B13),"",IF(COUNTIFS('Inventory forecast'!$A$2:$A$1064,B13,'Inventory forecast'!$B$2:$B$1064,IF($F$5="All","*",$F$5))=0,"n.a.",SUMIFS('Inventory forecast'!$AE$2:$AE$1064,'Inventory forecast'!$A$2:$A$1064,B13,'Inventory forecast'!$B$2:$B$1064,IF($F$5="All","*",$F$5))))</x:f>
        <x:v>51139.14999999998</x:v>
      </x:c>
      <x:c r="G13" s="9" t="n">
        <x:f>IF(AND($C$5&lt;&gt;"All",$C$5&lt;&gt;B13),"",IF(COUNTIFS('Inventory forecast'!$A$2:$A$1064,B13,'Inventory forecast'!$B$2:$B$1064,IF($F$5="All","*",$F$5))=0,"n.a.",SUMIFS('Inventory forecast'!$O$2:$O$1064,'Inventory forecast'!$A$2:$A$1064,B13,'Inventory forecast'!$B$2:$B$1064,IF($F$5="All","*",$F$5))))</x:f>
        <x:v>1365.8400000000008</x:v>
      </x:c>
      <x:c r="H13" s="28" t="n">
        <x:f>IF(AND($C$5&lt;&gt;"All",$C$5&lt;&gt;B13),"",IF(COUNTIFS('Inventory forecast'!$A$2:$A$1064,B13,'Inventory forecast'!$B$2:$B$1064,IF($F$5="All","*",$F$5))=0,"n.a.",IF(SUMIFS('Inventory forecast'!$M$2:$M$1064,'Inventory forecast'!$A$2:$A$1064,B13,'Inventory forecast'!$B$2:$B$1064,IF($F$5="All","*",$F$5))=0,"n.a.",1-F13/SUMIFS('Inventory forecast'!$M$2:$M$1064,'Inventory forecast'!$A$2:$A$1064,B13,'Inventory forecast'!$B$2:$B$1064,IF($F$5="All","*",$F$5)))))</x:f>
        <x:v>0.9190636979758988</x:v>
      </x:c>
      <x:c r="I13" s="29" t="n">
        <x:f>IF(AND($C$5&lt;&gt;"All",$C$5&lt;&gt;B13),"",IF(COUNTIFS('Inventory forecast'!$A$2:$A$1064,B13,'Inventory forecast'!$B$2:$B$1064,IF($F$5="All","*",$F$5))=0,"n.a.",SUMIFS('Inventory forecast'!$R$2:$R$1064,'Inventory forecast'!$A$2:$A$1064,B13,'Inventory forecast'!$B$2:$B$1064,IF($F$5="All","*",$F$5))))</x:f>
        <x:v>41023.35096509242</x:v>
      </x:c>
      <x:c r="J13" s="9" t="n">
        <x:f>IF(AND($C$5&lt;&gt;"All",$C$5&lt;&gt;B13),"",IF(COUNTIFS('Inventory forecast'!$A$2:$A$1064,B13,'Inventory forecast'!$B$2:$B$1064,IF($F$5="All","*",$F$5))=0,"n.a.",SUMIFS('Inventory forecast'!$AF$2:$AF$1064,'Inventory forecast'!$A$2:$A$1064,B13,'Inventory forecast'!$B$2:$B$1064,IF($F$5="All","*",$F$5))))</x:f>
        <x:v>681467.515365092</x:v>
      </x:c>
      <x:c r="K13" s="9" t="n">
        <x:f>IF(AND($C$5&lt;&gt;"All",$C$5&lt;&gt;B13),"",IF(COUNTIFS('Inventory forecast'!$A$2:$A$1064,B13,'Inventory forecast'!$B$2:$B$1064,IF($F$5="All","*",$F$5))=0,"n.a.",SUMIFS('Inventory forecast'!$X$2:$X$1064,'Inventory forecast'!$A$2:$A$1064,B13,'Inventory forecast'!$B$2:$B$1064,IF($F$5="All","*",$F$5))))</x:f>
        <x:v>134013.71111129364</x:v>
      </x:c>
      <x:c r="L13" s="1" t="n">
        <x:f>IF(AND($C$5&lt;&gt;"All",$C$5&lt;&gt;B13),"",IF(COUNTIFS('Inventory forecast'!$A$2:$A$1064,B13,'Inventory forecast'!$B$2:$B$1064,IF($F$5="All","*",$F$5))=0,"n.a.",COUNTIFS('Inventory forecast'!$A$2:$A$1064,B13,'Inventory forecast'!$B$2:$B$1064,IF($F$5="All","*",$F$5),'Inventory forecast'!$V$2:$V$1064,0)))</x:f>
        <x:v>24</x:v>
      </x:c>
      <x:c r="M13" s="1" t="n">
        <x:f>IF(AND($C$5&lt;&gt;"All",$C$5&lt;&gt;B13),"",IF(COUNTIFS('Inventory forecast'!$A$2:$A$1064,B13,'Inventory forecast'!$B$2:$B$1064,IF($F$5="All","*",$F$5))=0,"n.a.",COUNTIFS('Inventory forecast'!$A$2:$A$1064,B13,'Inventory forecast'!$B$2:$B$1064,IF($F$5="All","*",$F$5),'Inventory forecast'!$L$2:$L$1064,0)))</x:f>
        <x:v>54</x:v>
      </x:c>
    </x:row>
    <x:row r="14" ht="21" customHeight="1">
      <x:c r="B14" s="1" t="str">
        <x:v>C400</x:v>
      </x:c>
      <x:c r="C14" s="9" t="n">
        <x:f>IF(AND($C$5&lt;&gt;"All",$C$5&lt;&gt;B14),"",IF(COUNTIFS('Inventory forecast'!$A$2:$A$1064,B14,'Inventory forecast'!$B$2:$B$1064,IF($F$5="All","*",$F$5))=0,"n.a.",SUMIFS('Inventory forecast'!$N$2:$N$1064,'Inventory forecast'!$A$2:$A$1064,B14,'Inventory forecast'!$B$2:$B$1064,IF($F$5="All","*",$F$5))))</x:f>
        <x:v>183354.05399999986</x:v>
      </x:c>
      <x:c r="D14" s="9" t="n">
        <x:f>IF(AND($C$5&lt;&gt;"All",$C$5&lt;&gt;B14),"",IF(COUNTIFS('Inventory forecast'!$A$2:$A$1064,B14,'Inventory forecast'!$B$2:$B$1064,IF($F$5="All","*",$F$5))=0,"n.a.",SUMIFS('Inventory forecast'!$AC$2:$AC$1064,'Inventory forecast'!$A$2:$A$1064,B14,'Inventory forecast'!$B$2:$B$1064,IF($F$5="All","*",$F$5))))</x:f>
        <x:v>92191.774</x:v>
      </x:c>
      <x:c r="E14" s="9" t="n">
        <x:f>IF(AND($C$5&lt;&gt;"All",$C$5&lt;&gt;B14),"",IF(COUNTIFS('Inventory forecast'!$A$2:$A$1064,B14,'Inventory forecast'!$B$2:$B$1064,IF($F$5="All","*",$F$5))=0,"n.a.",SUMIFS('Inventory forecast'!$AD$2:$AD$1064,'Inventory forecast'!$A$2:$A$1064,B14,'Inventory forecast'!$B$2:$B$1064,IF($F$5="All","*",$F$5))))</x:f>
        <x:v>86332.66999999998</x:v>
      </x:c>
      <x:c r="F14" s="9" t="n">
        <x:f>IF(AND($C$5&lt;&gt;"All",$C$5&lt;&gt;B14),"",IF(COUNTIFS('Inventory forecast'!$A$2:$A$1064,B14,'Inventory forecast'!$B$2:$B$1064,IF($F$5="All","*",$F$5))=0,"n.a.",SUMIFS('Inventory forecast'!$AE$2:$AE$1064,'Inventory forecast'!$A$2:$A$1064,B14,'Inventory forecast'!$B$2:$B$1064,IF($F$5="All","*",$F$5))))</x:f>
        <x:v>3314.481800000001</x:v>
      </x:c>
      <x:c r="G14" s="9" t="n">
        <x:f>IF(AND($C$5&lt;&gt;"All",$C$5&lt;&gt;B14),"",IF(COUNTIFS('Inventory forecast'!$A$2:$A$1064,B14,'Inventory forecast'!$B$2:$B$1064,IF($F$5="All","*",$F$5))=0,"n.a.",SUMIFS('Inventory forecast'!$O$2:$O$1064,'Inventory forecast'!$A$2:$A$1064,B14,'Inventory forecast'!$B$2:$B$1064,IF($F$5="All","*",$F$5))))</x:f>
        <x:v>1515.1281999999987</x:v>
      </x:c>
      <x:c r="H14" s="28" t="n">
        <x:f>IF(AND($C$5&lt;&gt;"All",$C$5&lt;&gt;B14),"",IF(COUNTIFS('Inventory forecast'!$A$2:$A$1064,B14,'Inventory forecast'!$B$2:$B$1064,IF($F$5="All","*",$F$5))=0,"n.a.",IF(SUMIFS('Inventory forecast'!$M$2:$M$1064,'Inventory forecast'!$A$2:$A$1064,B14,'Inventory forecast'!$B$2:$B$1064,IF($F$5="All","*",$F$5))=0,"n.a.",1-F14/SUMIFS('Inventory forecast'!$M$2:$M$1064,'Inventory forecast'!$A$2:$A$1064,B14,'Inventory forecast'!$B$2:$B$1064,IF($F$5="All","*",$F$5)))))</x:f>
        <x:v>0.9817724297181258</x:v>
      </x:c>
      <x:c r="I14" s="29" t="n">
        <x:f>IF(AND($C$5&lt;&gt;"All",$C$5&lt;&gt;B14),"",IF(COUNTIFS('Inventory forecast'!$A$2:$A$1064,B14,'Inventory forecast'!$B$2:$B$1064,IF($F$5="All","*",$F$5))=0,"n.a.",SUMIFS('Inventory forecast'!$R$2:$R$1064,'Inventory forecast'!$A$2:$A$1064,B14,'Inventory forecast'!$B$2:$B$1064,IF($F$5="All","*",$F$5))))</x:f>
        <x:v>2654437.6770020546</x:v>
      </x:c>
      <x:c r="J14" s="9" t="n">
        <x:f>IF(AND($C$5&lt;&gt;"All",$C$5&lt;&gt;B14),"",IF(COUNTIFS('Inventory forecast'!$A$2:$A$1064,B14,'Inventory forecast'!$B$2:$B$1064,IF($F$5="All","*",$F$5))=0,"n.a.",SUMIFS('Inventory forecast'!$AF$2:$AF$1064,'Inventory forecast'!$A$2:$A$1064,B14,'Inventory forecast'!$B$2:$B$1064,IF($F$5="All","*",$F$5))))</x:f>
        <x:v>141661.69568842708</x:v>
      </x:c>
      <x:c r="K14" s="9" t="n">
        <x:f>IF(AND($C$5&lt;&gt;"All",$C$5&lt;&gt;B14),"",IF(COUNTIFS('Inventory forecast'!$A$2:$A$1064,B14,'Inventory forecast'!$B$2:$B$1064,IF($F$5="All","*",$F$5))=0,"n.a.",SUMIFS('Inventory forecast'!$X$2:$X$1064,'Inventory forecast'!$A$2:$A$1064,B14,'Inventory forecast'!$B$2:$B$1064,IF($F$5="All","*",$F$5))))</x:f>
        <x:v>22759.691359292443</x:v>
      </x:c>
      <x:c r="L14" s="1" t="n">
        <x:f>IF(AND($C$5&lt;&gt;"All",$C$5&lt;&gt;B14),"",IF(COUNTIFS('Inventory forecast'!$A$2:$A$1064,B14,'Inventory forecast'!$B$2:$B$1064,IF($F$5="All","*",$F$5))=0,"n.a.",COUNTIFS('Inventory forecast'!$A$2:$A$1064,B14,'Inventory forecast'!$B$2:$B$1064,IF($F$5="All","*",$F$5),'Inventory forecast'!$V$2:$V$1064,0)))</x:f>
        <x:v>12</x:v>
      </x:c>
      <x:c r="M14" s="1" t="n">
        <x:f>IF(AND($C$5&lt;&gt;"All",$C$5&lt;&gt;B14),"",IF(COUNTIFS('Inventory forecast'!$A$2:$A$1064,B14,'Inventory forecast'!$B$2:$B$1064,IF($F$5="All","*",$F$5))=0,"n.a.",COUNTIFS('Inventory forecast'!$A$2:$A$1064,B14,'Inventory forecast'!$B$2:$B$1064,IF($F$5="All","*",$F$5),'Inventory forecast'!$L$2:$L$1064,0)))</x:f>
        <x:v>21</x:v>
      </x:c>
    </x:row>
    <x:row r="15" ht="21" customHeight="1">
      <x:c r="B15" s="1" t="str">
        <x:v>PLAS</x:v>
      </x:c>
      <x:c r="C15" s="9" t="n">
        <x:f>IF(AND($C$5&lt;&gt;"All",$C$5&lt;&gt;B15),"",IF(COUNTIFS('Inventory forecast'!$A$2:$A$1064,B15,'Inventory forecast'!$B$2:$B$1064,IF($F$5="All","*",$F$5))=0,"n.a.",SUMIFS('Inventory forecast'!$N$2:$N$1064,'Inventory forecast'!$A$2:$A$1064,B15,'Inventory forecast'!$B$2:$B$1064,IF($F$5="All","*",$F$5))))</x:f>
        <x:v>182935.70839999992</x:v>
      </x:c>
      <x:c r="D15" s="9" t="n">
        <x:f>IF(AND($C$5&lt;&gt;"All",$C$5&lt;&gt;B15),"",IF(COUNTIFS('Inventory forecast'!$A$2:$A$1064,B15,'Inventory forecast'!$B$2:$B$1064,IF($F$5="All","*",$F$5))=0,"n.a.",SUMIFS('Inventory forecast'!$AC$2:$AC$1064,'Inventory forecast'!$A$2:$A$1064,B15,'Inventory forecast'!$B$2:$B$1064,IF($F$5="All","*",$F$5))))</x:f>
        <x:v>53038.6141</x:v>
      </x:c>
      <x:c r="E15" s="9" t="n">
        <x:f>IF(AND($C$5&lt;&gt;"All",$C$5&lt;&gt;B15),"",IF(COUNTIFS('Inventory forecast'!$A$2:$A$1064,B15,'Inventory forecast'!$B$2:$B$1064,IF($F$5="All","*",$F$5))=0,"n.a.",SUMIFS('Inventory forecast'!$AD$2:$AD$1064,'Inventory forecast'!$A$2:$A$1064,B15,'Inventory forecast'!$B$2:$B$1064,IF($F$5="All","*",$F$5))))</x:f>
        <x:v>48147.78100000005</x:v>
      </x:c>
      <x:c r="F15" s="9" t="n">
        <x:f>IF(AND($C$5&lt;&gt;"All",$C$5&lt;&gt;B15),"",IF(COUNTIFS('Inventory forecast'!$A$2:$A$1064,B15,'Inventory forecast'!$B$2:$B$1064,IF($F$5="All","*",$F$5))=0,"n.a.",SUMIFS('Inventory forecast'!$AE$2:$AE$1064,'Inventory forecast'!$A$2:$A$1064,B15,'Inventory forecast'!$B$2:$B$1064,IF($F$5="All","*",$F$5))))</x:f>
        <x:v>81686.4105</x:v>
      </x:c>
      <x:c r="G15" s="9" t="n">
        <x:f>IF(AND($C$5&lt;&gt;"All",$C$5&lt;&gt;B15),"",IF(COUNTIFS('Inventory forecast'!$A$2:$A$1064,B15,'Inventory forecast'!$B$2:$B$1064,IF($F$5="All","*",$F$5))=0,"n.a.",SUMIFS('Inventory forecast'!$O$2:$O$1064,'Inventory forecast'!$A$2:$A$1064,B15,'Inventory forecast'!$B$2:$B$1064,IF($F$5="All","*",$F$5))))</x:f>
        <x:v>62.90280000000221</x:v>
      </x:c>
      <x:c r="H15" s="28" t="n">
        <x:f>IF(AND($C$5&lt;&gt;"All",$C$5&lt;&gt;B15),"",IF(COUNTIFS('Inventory forecast'!$A$2:$A$1064,B15,'Inventory forecast'!$B$2:$B$1064,IF($F$5="All","*",$F$5))=0,"n.a.",IF(SUMIFS('Inventory forecast'!$M$2:$M$1064,'Inventory forecast'!$A$2:$A$1064,B15,'Inventory forecast'!$B$2:$B$1064,IF($F$5="All","*",$F$5))=0,"n.a.",1-F15/SUMIFS('Inventory forecast'!$M$2:$M$1064,'Inventory forecast'!$A$2:$A$1064,B15,'Inventory forecast'!$B$2:$B$1064,IF($F$5="All","*",$F$5)))))</x:f>
        <x:v>0.5533157036007106</x:v>
      </x:c>
      <x:c r="I15" s="29" t="n">
        <x:f>IF(AND($C$5&lt;&gt;"All",$C$5&lt;&gt;B15),"",IF(COUNTIFS('Inventory forecast'!$A$2:$A$1064,B15,'Inventory forecast'!$B$2:$B$1064,IF($F$5="All","*",$F$5))=0,"n.a.",SUMIFS('Inventory forecast'!$R$2:$R$1064,'Inventory forecast'!$A$2:$A$1064,B15,'Inventory forecast'!$B$2:$B$1064,IF($F$5="All","*",$F$5))))</x:f>
        <x:v>4000885.6967556467</x:v>
      </x:c>
      <x:c r="J15" s="9" t="n">
        <x:f>IF(AND($C$5&lt;&gt;"All",$C$5&lt;&gt;B15),"",IF(COUNTIFS('Inventory forecast'!$A$2:$A$1064,B15,'Inventory forecast'!$B$2:$B$1064,IF($F$5="All","*",$F$5))=0,"n.a.",SUMIFS('Inventory forecast'!$AF$2:$AF$1064,'Inventory forecast'!$A$2:$A$1064,B15,'Inventory forecast'!$B$2:$B$1064,IF($F$5="All","*",$F$5))))</x:f>
        <x:v>203880.51339924426</x:v>
      </x:c>
      <x:c r="K15" s="9" t="n">
        <x:f>IF(AND($C$5&lt;&gt;"All",$C$5&lt;&gt;B15),"",IF(COUNTIFS('Inventory forecast'!$A$2:$A$1064,B15,'Inventory forecast'!$B$2:$B$1064,IF($F$5="All","*",$F$5))=0,"n.a.",SUMIFS('Inventory forecast'!$X$2:$X$1064,'Inventory forecast'!$A$2:$A$1064,B15,'Inventory forecast'!$B$2:$B$1064,IF($F$5="All","*",$F$5))))</x:f>
        <x:v>35211.52019795711</x:v>
      </x:c>
      <x:c r="L15" s="1" t="n">
        <x:f>IF(AND($C$5&lt;&gt;"All",$C$5&lt;&gt;B15),"",IF(COUNTIFS('Inventory forecast'!$A$2:$A$1064,B15,'Inventory forecast'!$B$2:$B$1064,IF($F$5="All","*",$F$5))=0,"n.a.",COUNTIFS('Inventory forecast'!$A$2:$A$1064,B15,'Inventory forecast'!$B$2:$B$1064,IF($F$5="All","*",$F$5),'Inventory forecast'!$V$2:$V$1064,0)))</x:f>
        <x:v>64</x:v>
      </x:c>
      <x:c r="M15" s="1" t="n">
        <x:f>IF(AND($C$5&lt;&gt;"All",$C$5&lt;&gt;B15),"",IF(COUNTIFS('Inventory forecast'!$A$2:$A$1064,B15,'Inventory forecast'!$B$2:$B$1064,IF($F$5="All","*",$F$5))=0,"n.a.",COUNTIFS('Inventory forecast'!$A$2:$A$1064,B15,'Inventory forecast'!$B$2:$B$1064,IF($F$5="All","*",$F$5),'Inventory forecast'!$L$2:$L$1064,0)))</x:f>
        <x:v>521</x:v>
      </x:c>
    </x:row>
    <x:row r="16" ht="21" customHeight="1">
      <x:c r="B16" s="1" t="str">
        <x:v>C800</x:v>
      </x:c>
      <x:c r="C16" s="9" t="str">
        <x:f>IF(AND($C$5&lt;&gt;"All",$C$5&lt;&gt;B16),"",IF(COUNTIFS('Inventory forecast'!$A$2:$A$1064,B16,'Inventory forecast'!$B$2:$B$1064,IF($F$5="All","*",$F$5))=0,"n.a.",SUMIFS('Inventory forecast'!$N$2:$N$1064,'Inventory forecast'!$A$2:$A$1064,B16,'Inventory forecast'!$B$2:$B$1064,IF($F$5="All","*",$F$5))))</x:f>
        <x:v>n.a.</x:v>
      </x:c>
      <x:c r="D16" s="9" t="str">
        <x:f>IF(AND($C$5&lt;&gt;"All",$C$5&lt;&gt;B16),"",IF(COUNTIFS('Inventory forecast'!$A$2:$A$1064,B16,'Inventory forecast'!$B$2:$B$1064,IF($F$5="All","*",$F$5))=0,"n.a.",SUMIFS('Inventory forecast'!$AC$2:$AC$1064,'Inventory forecast'!$A$2:$A$1064,B16,'Inventory forecast'!$B$2:$B$1064,IF($F$5="All","*",$F$5))))</x:f>
        <x:v>n.a.</x:v>
      </x:c>
      <x:c r="E16" s="9" t="str">
        <x:f>IF(AND($C$5&lt;&gt;"All",$C$5&lt;&gt;B16),"",IF(COUNTIFS('Inventory forecast'!$A$2:$A$1064,B16,'Inventory forecast'!$B$2:$B$1064,IF($F$5="All","*",$F$5))=0,"n.a.",SUMIFS('Inventory forecast'!$AD$2:$AD$1064,'Inventory forecast'!$A$2:$A$1064,B16,'Inventory forecast'!$B$2:$B$1064,IF($F$5="All","*",$F$5))))</x:f>
        <x:v>n.a.</x:v>
      </x:c>
      <x:c r="F16" s="9" t="str">
        <x:f>IF(AND($C$5&lt;&gt;"All",$C$5&lt;&gt;B16),"",IF(COUNTIFS('Inventory forecast'!$A$2:$A$1064,B16,'Inventory forecast'!$B$2:$B$1064,IF($F$5="All","*",$F$5))=0,"n.a.",SUMIFS('Inventory forecast'!$AE$2:$AE$1064,'Inventory forecast'!$A$2:$A$1064,B16,'Inventory forecast'!$B$2:$B$1064,IF($F$5="All","*",$F$5))))</x:f>
        <x:v>n.a.</x:v>
      </x:c>
      <x:c r="G16" s="9" t="str">
        <x:f>IF(AND($C$5&lt;&gt;"All",$C$5&lt;&gt;B16),"",IF(COUNTIFS('Inventory forecast'!$A$2:$A$1064,B16,'Inventory forecast'!$B$2:$B$1064,IF($F$5="All","*",$F$5))=0,"n.a.",SUMIFS('Inventory forecast'!$O$2:$O$1064,'Inventory forecast'!$A$2:$A$1064,B16,'Inventory forecast'!$B$2:$B$1064,IF($F$5="All","*",$F$5))))</x:f>
        <x:v>n.a.</x:v>
      </x:c>
      <x:c r="H16" s="28" t="str">
        <x:f>IF(AND($C$5&lt;&gt;"All",$C$5&lt;&gt;B16),"",IF(COUNTIFS('Inventory forecast'!$A$2:$A$1064,B16,'Inventory forecast'!$B$2:$B$1064,IF($F$5="All","*",$F$5))=0,"n.a.",IF(SUMIFS('Inventory forecast'!$M$2:$M$1064,'Inventory forecast'!$A$2:$A$1064,B16,'Inventory forecast'!$B$2:$B$1064,IF($F$5="All","*",$F$5))=0,"n.a.",1-F16/SUMIFS('Inventory forecast'!$M$2:$M$1064,'Inventory forecast'!$A$2:$A$1064,B16,'Inventory forecast'!$B$2:$B$1064,IF($F$5="All","*",$F$5)))))</x:f>
        <x:v>n.a.</x:v>
      </x:c>
      <x:c r="I16" s="29" t="str">
        <x:f>IF(AND($C$5&lt;&gt;"All",$C$5&lt;&gt;B16),"",IF(COUNTIFS('Inventory forecast'!$A$2:$A$1064,B16,'Inventory forecast'!$B$2:$B$1064,IF($F$5="All","*",$F$5))=0,"n.a.",SUMIFS('Inventory forecast'!$R$2:$R$1064,'Inventory forecast'!$A$2:$A$1064,B16,'Inventory forecast'!$B$2:$B$1064,IF($F$5="All","*",$F$5))))</x:f>
        <x:v>n.a.</x:v>
      </x:c>
      <x:c r="J16" s="9" t="str">
        <x:f>IF(AND($C$5&lt;&gt;"All",$C$5&lt;&gt;B16),"",IF(COUNTIFS('Inventory forecast'!$A$2:$A$1064,B16,'Inventory forecast'!$B$2:$B$1064,IF($F$5="All","*",$F$5))=0,"n.a.",SUMIFS('Inventory forecast'!$AF$2:$AF$1064,'Inventory forecast'!$A$2:$A$1064,B16,'Inventory forecast'!$B$2:$B$1064,IF($F$5="All","*",$F$5))))</x:f>
        <x:v>n.a.</x:v>
      </x:c>
      <x:c r="K16" s="9" t="str">
        <x:f>IF(AND($C$5&lt;&gt;"All",$C$5&lt;&gt;B16),"",IF(COUNTIFS('Inventory forecast'!$A$2:$A$1064,B16,'Inventory forecast'!$B$2:$B$1064,IF($F$5="All","*",$F$5))=0,"n.a.",SUMIFS('Inventory forecast'!$X$2:$X$1064,'Inventory forecast'!$A$2:$A$1064,B16,'Inventory forecast'!$B$2:$B$1064,IF($F$5="All","*",$F$5))))</x:f>
        <x:v>n.a.</x:v>
      </x:c>
      <x:c r="L16" s="1" t="str">
        <x:f>IF(AND($C$5&lt;&gt;"All",$C$5&lt;&gt;B16),"",IF(COUNTIFS('Inventory forecast'!$A$2:$A$1064,B16,'Inventory forecast'!$B$2:$B$1064,IF($F$5="All","*",$F$5))=0,"n.a.",COUNTIFS('Inventory forecast'!$A$2:$A$1064,B16,'Inventory forecast'!$B$2:$B$1064,IF($F$5="All","*",$F$5),'Inventory forecast'!$V$2:$V$1064,0)))</x:f>
        <x:v>n.a.</x:v>
      </x:c>
      <x:c r="M16" s="1" t="str">
        <x:f>IF(AND($C$5&lt;&gt;"All",$C$5&lt;&gt;B16),"",IF(COUNTIFS('Inventory forecast'!$A$2:$A$1064,B16,'Inventory forecast'!$B$2:$B$1064,IF($F$5="All","*",$F$5))=0,"n.a.",COUNTIFS('Inventory forecast'!$A$2:$A$1064,B16,'Inventory forecast'!$B$2:$B$1064,IF($F$5="All","*",$F$5),'Inventory forecast'!$L$2:$L$1064,0)))</x:f>
        <x:v>n.a.</x:v>
      </x:c>
    </x:row>
    <x:row r="17" ht="21" customHeight="1"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1" customHeight="1">
      <x:c r="B18" s="1" t="str">
        <x:v>C800 has incoming PO data but no inventory snapshot. n.a. means unavailable, not zero.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1" customHeight="1">
      <x:c r="B19" s="1" t="str">
        <x:v>Old/new values use current standards. A separate value difference reconciles to reported inventory.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1" customHeight="1">
      <x:c r="B20" s="1" t="str">
        <x:v>Forecast is available stock less usage over the horizon; intra-period stockouts are not simulated.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1" customHeight="1"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1" customHeight="1"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1" customHeight="1"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1" customHeight="1"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1" customHeight="1"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1" customHeight="1"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1" customHeight="1"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1" customHeight="1"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1" customHeight="1"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1" customHeight="1"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1" customHeight="1"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1" customHeight="1"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1" customHeight="1"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1" customHeight="1"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1" customHeight="1"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1" customHeight="1"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1" customHeight="1"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1" customHeight="1">
      <x:c r="B38" s="27" t="str">
        <x:v>Incoming POs by expected month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40" customHeight="1">
      <x:c r="B39" s="6" t="str">
        <x:v>Expected timing</x:v>
      </x:c>
      <x:c r="C39" s="6" t="str">
        <x:v>First date</x:v>
      </x:c>
      <x:c r="D39" s="6" t="str">
        <x:v>Incoming units</x:v>
      </x:c>
      <x:c r="E39" s="6" t="str">
        <x:v>Known-cost PO value</x:v>
      </x:c>
      <x:c r="F39" s="1"/>
      <x:c r="G39" s="1"/>
      <x:c r="H39" s="1"/>
      <x:c r="I39" s="1"/>
      <x:c r="J39" s="1"/>
      <x:c r="K39" s="1"/>
      <x:c r="L39" s="1"/>
      <x:c r="M39" s="1"/>
    </x:row>
    <x:row r="40" ht="21" customHeight="1">
      <x:c r="B40" s="1" t="str">
        <x:v>Overdue</x:v>
      </x:c>
      <x:c r="C40" s="30" t="n">
        <x:v>2</x:v>
      </x:c>
      <x:c r="D40" s="29" t="n">
        <x:f>SUMIFS('Incoming POs'!$P$2:$P$305,'Incoming POs'!$A$2:$A$305,IF($C$5="All","*",$C$5),'Incoming POs'!$B$2:$B$305,IF($F$5="All","*",$F$5),'Incoming POs'!$G$2:$G$305,"&gt;="&amp;C40,'Incoming POs'!$G$2:$G$305,"&lt;"&amp;C41)</x:f>
        <x:v>0</x:v>
      </x:c>
      <x:c r="E40" s="9" t="n">
        <x:f>SUMIFS('Incoming POs'!$R$2:$R$305,'Incoming POs'!$A$2:$A$305,IF($C$5="All","*",$C$5),'Incoming POs'!$B$2:$B$305,IF($F$5="All","*",$F$5),'Incoming POs'!$G$2:$G$305,"&gt;="&amp;C40,'Incoming POs'!$G$2:$G$305,"&lt;"&amp;C41)</x:f>
        <x:v>0</x:v>
      </x:c>
      <x:c r="F40" s="1"/>
      <x:c r="G40" s="1"/>
      <x:c r="H40" s="1"/>
      <x:c r="I40" s="1"/>
      <x:c r="J40" s="1"/>
      <x:c r="K40" s="1"/>
      <x:c r="L40" s="1"/>
      <x:c r="M40" s="1"/>
    </x:row>
    <x:row r="41" ht="21" customHeight="1">
      <x:c r="B41" s="1" t="str">
        <x:v>Oct 2026</x:v>
      </x:c>
      <x:c r="C41" s="7" t="n">
        <x:v>46304</x:v>
      </x:c>
      <x:c r="D41" s="29" t="n">
        <x:f>SUMIFS('Incoming POs'!$P$2:$P$305,'Incoming POs'!$A$2:$A$305,IF($C$5="All","*",$C$5),'Incoming POs'!$B$2:$B$305,IF($F$5="All","*",$F$5),'Incoming POs'!$G$2:$G$305,"&gt;="&amp;C41,'Incoming POs'!$G$2:$G$305,"&lt;"&amp;C42)</x:f>
        <x:v>473016</x:v>
      </x:c>
      <x:c r="E41" s="9" t="n">
        <x:f>SUMIFS('Incoming POs'!$R$2:$R$305,'Incoming POs'!$A$2:$A$305,IF($C$5="All","*",$C$5),'Incoming POs'!$B$2:$B$305,IF($F$5="All","*",$F$5),'Incoming POs'!$G$2:$G$305,"&gt;="&amp;C41,'Incoming POs'!$G$2:$G$305,"&lt;"&amp;C42)</x:f>
        <x:v>240550.93999999992</x:v>
      </x:c>
      <x:c r="F41" s="1"/>
      <x:c r="G41" s="1"/>
      <x:c r="H41" s="1"/>
      <x:c r="I41" s="1"/>
      <x:c r="J41" s="1"/>
      <x:c r="K41" s="1"/>
      <x:c r="L41" s="1"/>
      <x:c r="M41" s="1"/>
    </x:row>
    <x:row r="42" ht="21" customHeight="1">
      <x:c r="B42" s="1" t="str">
        <x:v>Nov 2026</x:v>
      </x:c>
      <x:c r="C42" s="7" t="n">
        <x:v>46327</x:v>
      </x:c>
      <x:c r="D42" s="29" t="n">
        <x:f>SUMIFS('Incoming POs'!$P$2:$P$305,'Incoming POs'!$A$2:$A$305,IF($C$5="All","*",$C$5),'Incoming POs'!$B$2:$B$305,IF($F$5="All","*",$F$5),'Incoming POs'!$G$2:$G$305,"&gt;="&amp;C42,'Incoming POs'!$G$2:$G$305,"&lt;"&amp;C43)</x:f>
        <x:v>1150900</x:v>
      </x:c>
      <x:c r="E42" s="9" t="n">
        <x:f>SUMIFS('Incoming POs'!$R$2:$R$305,'Incoming POs'!$A$2:$A$305,IF($C$5="All","*",$C$5),'Incoming POs'!$B$2:$B$305,IF($F$5="All","*",$F$5),'Incoming POs'!$G$2:$G$305,"&gt;="&amp;C42,'Incoming POs'!$G$2:$G$305,"&lt;"&amp;C43)</x:f>
        <x:v>43110.970000000016</x:v>
      </x:c>
      <x:c r="F42" s="1"/>
      <x:c r="G42" s="1"/>
      <x:c r="H42" s="1"/>
      <x:c r="I42" s="1"/>
      <x:c r="J42" s="1"/>
      <x:c r="K42" s="1"/>
      <x:c r="L42" s="1"/>
      <x:c r="M42" s="1"/>
    </x:row>
    <x:row r="43" ht="21" customHeight="1">
      <x:c r="B43" s="1" t="str">
        <x:v>Dec 2026</x:v>
      </x:c>
      <x:c r="C43" s="7" t="n">
        <x:v>46357</x:v>
      </x:c>
      <x:c r="D43" s="29" t="n">
        <x:f>SUMIFS('Incoming POs'!$P$2:$P$305,'Incoming POs'!$A$2:$A$305,IF($C$5="All","*",$C$5),'Incoming POs'!$B$2:$B$305,IF($F$5="All","*",$F$5),'Incoming POs'!$G$2:$G$305,"&gt;="&amp;C43,'Incoming POs'!$G$2:$G$305,"&lt;"&amp;C44)</x:f>
        <x:v>2222733</x:v>
      </x:c>
      <x:c r="E43" s="9" t="n">
        <x:f>SUMIFS('Incoming POs'!$R$2:$R$305,'Incoming POs'!$A$2:$A$305,IF($C$5="All","*",$C$5),'Incoming POs'!$B$2:$B$305,IF($F$5="All","*",$F$5),'Incoming POs'!$G$2:$G$305,"&gt;="&amp;C43,'Incoming POs'!$G$2:$G$305,"&lt;"&amp;C44)</x:f>
        <x:v>115783.51000000002</x:v>
      </x:c>
      <x:c r="F43" s="1"/>
      <x:c r="G43" s="1"/>
      <x:c r="H43" s="1"/>
      <x:c r="I43" s="1"/>
      <x:c r="J43" s="1"/>
      <x:c r="K43" s="1"/>
      <x:c r="L43" s="1"/>
      <x:c r="M43" s="1"/>
    </x:row>
    <x:row r="44" ht="21" customHeight="1">
      <x:c r="B44" s="1" t="str">
        <x:v>Jan 2027</x:v>
      </x:c>
      <x:c r="C44" s="7" t="n">
        <x:v>46388</x:v>
      </x:c>
      <x:c r="D44" s="29" t="n">
        <x:f>SUMIFS('Incoming POs'!$P$2:$P$305,'Incoming POs'!$A$2:$A$305,IF($C$5="All","*",$C$5),'Incoming POs'!$B$2:$B$305,IF($F$5="All","*",$F$5),'Incoming POs'!$G$2:$G$305,"&gt;="&amp;C44,'Incoming POs'!$G$2:$G$305,"&lt;"&amp;C45)</x:f>
        <x:v>2435041</x:v>
      </x:c>
      <x:c r="E44" s="9" t="n">
        <x:f>SUMIFS('Incoming POs'!$R$2:$R$305,'Incoming POs'!$A$2:$A$305,IF($C$5="All","*",$C$5),'Incoming POs'!$B$2:$B$305,IF($F$5="All","*",$F$5),'Incoming POs'!$G$2:$G$305,"&gt;="&amp;C44,'Incoming POs'!$G$2:$G$305,"&lt;"&amp;C45)</x:f>
        <x:v>205046.88999999998</x:v>
      </x:c>
      <x:c r="F44" s="1"/>
      <x:c r="G44" s="1"/>
      <x:c r="H44" s="1"/>
      <x:c r="I44" s="1"/>
      <x:c r="J44" s="1"/>
      <x:c r="K44" s="1"/>
      <x:c r="L44" s="1"/>
      <x:c r="M44" s="1"/>
    </x:row>
    <x:row r="45" ht="21" customHeight="1">
      <x:c r="B45" s="1" t="str">
        <x:v>Feb 2027</x:v>
      </x:c>
      <x:c r="C45" s="7" t="n">
        <x:v>46419</x:v>
      </x:c>
      <x:c r="D45" s="29" t="n">
        <x:f>SUMIFS('Incoming POs'!$P$2:$P$305,'Incoming POs'!$A$2:$A$305,IF($C$5="All","*",$C$5),'Incoming POs'!$B$2:$B$305,IF($F$5="All","*",$F$5),'Incoming POs'!$G$2:$G$305,"&gt;="&amp;C45,'Incoming POs'!$G$2:$G$305,"&lt;"&amp;C46)</x:f>
        <x:v>0</x:v>
      </x:c>
      <x:c r="E45" s="9" t="n">
        <x:f>SUMIFS('Incoming POs'!$R$2:$R$305,'Incoming POs'!$A$2:$A$305,IF($C$5="All","*",$C$5),'Incoming POs'!$B$2:$B$305,IF($F$5="All","*",$F$5),'Incoming POs'!$G$2:$G$305,"&gt;="&amp;C45,'Incoming POs'!$G$2:$G$305,"&lt;"&amp;C46)</x:f>
        <x:v>0</x:v>
      </x:c>
      <x:c r="F45" s="1"/>
      <x:c r="G45" s="1"/>
      <x:c r="H45" s="1"/>
      <x:c r="I45" s="1"/>
      <x:c r="J45" s="1"/>
      <x:c r="K45" s="1"/>
      <x:c r="L45" s="1"/>
      <x:c r="M45" s="1"/>
    </x:row>
    <x:row r="46" ht="21" customHeight="1">
      <x:c r="B46" s="1" t="str">
        <x:v>Mar 2027+</x:v>
      </x:c>
      <x:c r="C46" s="7" t="n">
        <x:v>46447</x:v>
      </x:c>
      <x:c r="D46" s="29" t="n">
        <x:f>SUMIFS('Incoming POs'!$P$2:$P$305,'Incoming POs'!$A$2:$A$305,IF($C$5="All","*",$C$5),'Incoming POs'!$B$2:$B$305,IF($F$5="All","*",$F$5),'Incoming POs'!$G$2:$G$305,"&gt;="&amp;C46)</x:f>
        <x:v>0</x:v>
      </x:c>
      <x:c r="E46" s="9" t="n">
        <x:f>SUMIFS('Incoming POs'!$R$2:$R$305,'Incoming POs'!$A$2:$A$305,IF($C$5="All","*",$C$5),'Incoming POs'!$B$2:$B$305,IF($F$5="All","*",$F$5),'Incoming POs'!$G$2:$G$305,"&gt;="&amp;C46)</x:f>
        <x:v>0</x:v>
      </x:c>
      <x:c r="F46" s="1"/>
      <x:c r="G46" s="1"/>
      <x:c r="H46" s="1"/>
      <x:c r="I46" s="1"/>
      <x:c r="J46" s="1"/>
      <x:c r="K46" s="1"/>
      <x:c r="L46" s="1"/>
      <x:c r="M46" s="1"/>
    </x:row>
    <x:row r="47" ht="21" customHeight="1"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1" customHeight="1">
      <x:c r="B48" s="1" t="str">
        <x:v>Incoming units follow ordered quantity on active blank-receipt-date lines, per your confirmation.</x:v>
      </x:c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1" customHeight="1">
      <x:c r="B49" s="1" t="str">
        <x:v>C800 cost units are unconfirmed; its incoming dollar values are excluded from known-cost totals.</x:v>
      </x:c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ht="21" customHeight="1"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ht="21" customHeight="1">
      <x:c r="B51" s="27" t="str">
        <x:v>Older-stock depletion at the forecast date</x:v>
      </x:c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 ht="48" customHeight="1">
      <x:c r="B52" s="6" t="str">
        <x:v>Category</x:v>
      </x:c>
      <x:c r="C52" s="6" t="str">
        <x:v>Old value now</x:v>
      </x:c>
      <x:c r="D52" s="6" t="str">
        <x:v>Old value forecast</x:v>
      </x:c>
      <x:c r="E52" s="6" t="str">
        <x:v>Old stock depleted</x:v>
      </x:c>
      <x:c r="F52" s="6" t="str">
        <x:v>Unclassified forecast value</x:v>
      </x:c>
      <x:c r="G52" s="1"/>
      <x:c r="H52" s="1"/>
      <x:c r="I52" s="1"/>
      <x:c r="J52" s="1"/>
      <x:c r="K52" s="1"/>
      <x:c r="L52" s="1"/>
      <x:c r="M52" s="1"/>
    </x:row>
    <x:row r="53" ht="21" customHeight="1">
      <x:c r="B53" s="1" t="str">
        <x:v>FILM</x:v>
      </x:c>
      <x:c r="C53" s="9" t="n">
        <x:f>IF(AND($C$5&lt;&gt;"All",$C$5&lt;&gt;B53),"",SUMIFS('Inventory forecast'!$AC$2:$AC$1064,'Inventory forecast'!$A$2:$A$1064,B53,'Inventory forecast'!$B$2:$B$1064,IF($F$5="All","*",$F$5)))</x:f>
        <x:v>262346.13</x:v>
      </x:c>
      <x:c r="D53" s="9" t="n">
        <x:f>IF(AND($C$5&lt;&gt;"All",$C$5&lt;&gt;B53),"",SUMIFS('Inventory forecast'!$U$2:$U$1064,'Inventory forecast'!$A$2:$A$1064,B53,'Inventory forecast'!$B$2:$B$1064,IF($F$5="All","*",$F$5)))</x:f>
        <x:v>205119.90644024647</x:v>
      </x:c>
      <x:c r="E53" s="28" t="n">
        <x:f>IF(AND($C$5&lt;&gt;"All",$C$5&lt;&gt;B53),"",IF(C53=0,"n.a.",1-D53/C53))</x:f>
        <x:v>0.21813252423336127</x:v>
      </x:c>
      <x:c r="F53" s="9" t="n">
        <x:f>IF(AND($C$5&lt;&gt;"All",$C$5&lt;&gt;B53),"",SUMIFS('Inventory forecast'!$AF$2:$AF$1064,'Inventory forecast'!$A$2:$A$1064,B53,'Inventory forecast'!$B$2:$B$1064,IF($F$5="All","*",$F$5),'Inventory forecast'!$L$2:$L$1064,0))</x:f>
        <x:v>48821.57328459958</x:v>
      </x:c>
      <x:c r="G53" s="1"/>
      <x:c r="H53" s="1"/>
      <x:c r="I53" s="1"/>
      <x:c r="J53" s="1"/>
      <x:c r="K53" s="1"/>
      <x:c r="L53" s="1"/>
      <x:c r="M53" s="1"/>
    </x:row>
    <x:row r="54" ht="21" customHeight="1">
      <x:c r="B54" s="1" t="str">
        <x:v>C400</x:v>
      </x:c>
      <x:c r="C54" s="9" t="n">
        <x:f>IF(AND($C$5&lt;&gt;"All",$C$5&lt;&gt;B54),"",SUMIFS('Inventory forecast'!$AC$2:$AC$1064,'Inventory forecast'!$A$2:$A$1064,B54,'Inventory forecast'!$B$2:$B$1064,IF($F$5="All","*",$F$5)))</x:f>
        <x:v>92191.774</x:v>
      </x:c>
      <x:c r="D54" s="9" t="n">
        <x:f>IF(AND($C$5&lt;&gt;"All",$C$5&lt;&gt;B54),"",SUMIFS('Inventory forecast'!$U$2:$U$1064,'Inventory forecast'!$A$2:$A$1064,B54,'Inventory forecast'!$B$2:$B$1064,IF($F$5="All","*",$F$5)))</x:f>
        <x:v>56143.82714891172</x:v>
      </x:c>
      <x:c r="E54" s="28" t="n">
        <x:f>IF(AND($C$5&lt;&gt;"All",$C$5&lt;&gt;B54),"",IF(C54=0,"n.a.",1-D54/C54))</x:f>
        <x:v>0.39101044797216167</x:v>
      </x:c>
      <x:c r="F54" s="9" t="n">
        <x:f>IF(AND($C$5&lt;&gt;"All",$C$5&lt;&gt;B54),"",SUMIFS('Inventory forecast'!$AF$2:$AF$1064,'Inventory forecast'!$A$2:$A$1064,B54,'Inventory forecast'!$B$2:$B$1064,IF($F$5="All","*",$F$5),'Inventory forecast'!$L$2:$L$1064,0))</x:f>
        <x:v>2981.3900752525674</x:v>
      </x:c>
      <x:c r="G54" s="1"/>
      <x:c r="H54" s="1"/>
      <x:c r="I54" s="1"/>
      <x:c r="J54" s="1"/>
      <x:c r="K54" s="1"/>
      <x:c r="L54" s="1"/>
      <x:c r="M54" s="1"/>
    </x:row>
    <x:row r="55" ht="21" customHeight="1">
      <x:c r="B55" s="1" t="str">
        <x:v>PLAS</x:v>
      </x:c>
      <x:c r="C55" s="9" t="n">
        <x:f>IF(AND($C$5&lt;&gt;"All",$C$5&lt;&gt;B55),"",SUMIFS('Inventory forecast'!$AC$2:$AC$1064,'Inventory forecast'!$A$2:$A$1064,B55,'Inventory forecast'!$B$2:$B$1064,IF($F$5="All","*",$F$5)))</x:f>
        <x:v>53038.6141</x:v>
      </x:c>
      <x:c r="D55" s="9" t="n">
        <x:f>IF(AND($C$5&lt;&gt;"All",$C$5&lt;&gt;B55),"",SUMIFS('Inventory forecast'!$U$2:$U$1064,'Inventory forecast'!$A$2:$A$1064,B55,'Inventory forecast'!$B$2:$B$1064,IF($F$5="All","*",$F$5)))</x:f>
        <x:v>41244.70278456673</x:v>
      </x:c>
      <x:c r="E55" s="28" t="n">
        <x:f>IF(AND($C$5&lt;&gt;"All",$C$5&lt;&gt;B55),"",IF(C55=0,"n.a.",1-D55/C55))</x:f>
        <x:v>0.22236462086276998</x:v>
      </x:c>
      <x:c r="F55" s="9" t="n">
        <x:f>IF(AND($C$5&lt;&gt;"All",$C$5&lt;&gt;B55),"",SUMIFS('Inventory forecast'!$AF$2:$AF$1064,'Inventory forecast'!$A$2:$A$1064,B55,'Inventory forecast'!$B$2:$B$1064,IF($F$5="All","*",$F$5),'Inventory forecast'!$L$2:$L$1064,0))</x:f>
        <x:v>75042.20132781102</x:v>
      </x:c>
      <x:c r="G55" s="1"/>
      <x:c r="H55" s="1"/>
      <x:c r="I55" s="1"/>
      <x:c r="J55" s="1"/>
      <x:c r="K55" s="1"/>
      <x:c r="L55" s="1"/>
      <x:c r="M55" s="1"/>
    </x:row>
    <x:row r="56" ht="21" customHeight="1"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 ht="21" customHeight="1">
      <x:c r="B57" s="1" t="str">
        <x:v>Depletion is forecast consumption of identified old layers, not the share of inventory that is new.</x:v>
      </x:c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 ht="21" customHeight="1"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 ht="21" customHeight="1"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 ht="21" customHeight="1"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 ht="21" customHeight="1"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</x:sheetData>
  <x:dataValidations count="5">
    <x:dataValidation type="list" sqref="C5">
      <x:formula1>"All,FILM,C400,PLAS,C800"</x:formula1>
    </x:dataValidation>
    <x:dataValidation type="list" sqref="F5">
      <x:formula1>"All,10,30,60"</x:formula1>
    </x:dataValidation>
    <x:dataValidation type="decimal" operator="between" sqref="L5">
      <x:formula1>0</x:formula1>
      <x:formula2>2</x:formula2>
    </x:dataValidation>
    <x:dataValidation type="decimal" operator="between" sqref="L6">
      <x:formula1>0</x:formula1>
      <x:formula2>1</x:formula2>
    </x:dataValidation>
    <x:dataValidation type="list" sqref="I6">
      <x:formula1>"Cost basis,Flat %"</x:formula1>
    </x:dataValidation>
  </x:dataValidations>
  <x:pageMargins left="0.7" right="0.7" top="0.75" bottom="0.75" header="0.3" footer="0.3"/>
  <x:drawing xmlns:r="http://schemas.openxmlformats.org/officeDocument/2006/relationships" r:id="Rf1e0af0493484249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45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</x:cols>
  <x:sheetData>
    <x:row r="1" ht="40" customHeight="1">
      <x:c r="A1" s="6" t="str">
        <x:v>Category</x:v>
      </x:c>
      <x:c r="B1" s="6" t="str">
        <x:v>Warehouse</x:v>
      </x:c>
      <x:c r="C1" s="6" t="str">
        <x:v>Product</x:v>
      </x:c>
      <x:c r="D1" s="6" t="str">
        <x:v>Snapshot date</x:v>
      </x:c>
      <x:c r="E1" s="6" t="str">
        <x:v>On hand units</x:v>
      </x:c>
      <x:c r="F1" s="6" t="str">
        <x:v>Monthly usage</x:v>
      </x:c>
      <x:c r="G1" s="6" t="str">
        <x:v>Current standard/unit</x:v>
      </x:c>
      <x:c r="H1" s="6" t="str">
        <x:v>Cost-basis standard/unit</x:v>
      </x:c>
      <x:c r="I1" s="6" t="str">
        <x:v>Old units now</x:v>
      </x:c>
      <x:c r="J1" s="6" t="str">
        <x:v>Higher-cost units now</x:v>
      </x:c>
      <x:c r="K1" s="6" t="str">
        <x:v>Unclassified units now</x:v>
      </x:c>
      <x:c r="L1" s="6" t="str">
        <x:v>Classified flag</x:v>
      </x:c>
      <x:c r="M1" s="6" t="str">
        <x:v>Calculated current value</x:v>
      </x:c>
      <x:c r="N1" s="6" t="str">
        <x:v>Reported current value</x:v>
      </x:c>
      <x:c r="O1" s="6" t="str">
        <x:v>Valuation difference</x:v>
      </x:c>
      <x:c r="P1" s="6" t="str">
        <x:v>Incoming before date</x:v>
      </x:c>
      <x:c r="Q1" s="6" t="str">
        <x:v>Forecast demand units</x:v>
      </x:c>
      <x:c r="R1" s="6" t="str">
        <x:v>Forecast units</x:v>
      </x:c>
      <x:c r="S1" s="6" t="str">
        <x:v>Demand beyond available stock</x:v>
      </x:c>
      <x:c r="T1" s="6" t="str">
        <x:v>Old units forecast</x:v>
      </x:c>
      <x:c r="U1" s="6" t="str">
        <x:v>Old value forecast</x:v>
      </x:c>
      <x:c r="V1" s="6" t="str">
        <x:v>Cost available flag</x:v>
      </x:c>
      <x:c r="W1" s="6" t="str">
        <x:v>Selected new standard/unit</x:v>
      </x:c>
      <x:c r="X1" s="6" t="str">
        <x:v>Known-cost adjustment</x:v>
      </x:c>
      <x:c r="Y1" s="6" t="str">
        <x:v>Value at selected standard</x:v>
      </x:c>
      <x:c r="Z1" s="6" t="str">
        <x:v>Higher-cost units forecast</x:v>
      </x:c>
      <x:c r="AA1" s="6" t="str">
        <x:v>Layer status</x:v>
      </x:c>
      <x:c r="AB1" s="6" t="str">
        <x:v>Incoming old-cost units</x:v>
      </x:c>
      <x:c r="AC1" s="6" t="str">
        <x:v>Current old-stock value</x:v>
      </x:c>
      <x:c r="AD1" s="6" t="str">
        <x:v>Current higher-cost value</x:v>
      </x:c>
      <x:c r="AE1" s="6" t="str">
        <x:v>Current unclassified value</x:v>
      </x:c>
      <x:c r="AF1" s="6" t="str">
        <x:v>Forecast value current standard</x:v>
      </x:c>
    </x:row>
    <x:row r="2" ht="21" customHeight="1">
      <x:c r="A2" s="1" t="str">
        <x:f>'Inventory inputs'!A2</x:f>
        <x:v>C400</x:v>
      </x:c>
      <x:c r="B2" s="1" t="str">
        <x:f>'Inventory inputs'!B2</x:f>
        <x:v>10</x:v>
      </x:c>
      <x:c r="C2" s="1" t="str">
        <x:f>'Inventory inputs'!C2</x:f>
        <x:v>400HASC</x:v>
      </x:c>
      <x:c r="D2" s="7" t="n">
        <x:f>'Inventory inputs'!E2</x:f>
        <x:v>46303</x:v>
      </x:c>
      <x:c r="E2" s="1" t="n">
        <x:f>'Inventory inputs'!F2</x:f>
        <x:v>607300</x:v>
      </x:c>
      <x:c r="F2" s="1" t="n">
        <x:f>'Inventory inputs'!G2</x:f>
        <x:v>112816.67000000001</x:v>
      </x:c>
      <x:c r="G2" s="1" t="n">
        <x:f>'Inventory inputs'!H2/'Inventory inputs'!J2</x:f>
        <x:v>0.0555</x:v>
      </x:c>
      <x:c r="H2" s="1" t="n">
        <x:f>IF('Inventory inputs'!I2&gt;0,'Inventory inputs'!I2*'Inventory inputs'!K2/'Inventory inputs'!J2,"n.a.")</x:f>
        <x:v>0.06429599999999999</x:v>
      </x:c>
      <x:c r="I2" s="1" t="n">
        <x:f>'Inventory inputs'!L2</x:f>
        <x:v>472300</x:v>
      </x:c>
      <x:c r="J2" s="1" t="n">
        <x:f>'Inventory inputs'!M2</x:f>
        <x:v>135000</x:v>
      </x:c>
      <x:c r="K2" s="1" t="n">
        <x:f>'Inventory inputs'!N2</x:f>
        <x:v>0</x:v>
      </x:c>
      <x:c r="L2" s="1" t="n">
        <x:f>'Inventory inputs'!O2</x:f>
        <x:v>1</x:v>
      </x:c>
      <x:c r="M2" s="9" t="n">
        <x:f>E2*G2</x:f>
        <x:v>33705.15</x:v>
      </x:c>
      <x:c r="N2" s="9" t="n">
        <x:f>'Inventory inputs'!Q2</x:f>
        <x:v>33777.3</x:v>
      </x:c>
      <x:c r="O2" s="9" t="n">
        <x:f>N2-M2</x:f>
        <x:v>72.15000000000146</x:v>
      </x:c>
      <x:c r="P2" s="1" t="n">
        <x:f>SUMIFS('Incoming POs'!$P$2:$P$305,'Incoming POs'!$A$2:$A$305,A2,'Incoming POs'!$B$2:$B$305,B2,'Incoming POs'!$C$2:$C$305,C2,'Incoming POs'!$G$2:$G$305,"&gt;="&amp;D2,'Incoming POs'!$G$2:$G$305,"&lt;"&amp;Dashboard!$I$5)</x:f>
        <x:v>0</x:v>
      </x:c>
      <x:c r="Q2" s="1" t="n">
        <x:f>F2*Dashboard!$L$5*MAX(0,Dashboard!$I$5-D2)/30.4375</x:f>
        <x:v>150113.35145790555</x:v>
      </x:c>
      <x:c r="R2" s="1" t="n">
        <x:f>MAX(0,E2+P2-Q2)</x:f>
        <x:v>457186.64854209445</x:v>
      </x:c>
      <x:c r="S2" s="1" t="n">
        <x:f>MAX(0,Q2-E2-P2)</x:f>
        <x:v>0</x:v>
      </x:c>
      <x:c r="T2" s="1" t="n">
        <x:f>IF(L2=1,MAX(0,I2+AB2-MIN(Q2,E2+P2)),"n.a.")</x:f>
        <x:v>322186.64854209445</x:v>
      </x:c>
      <x:c r="U2" s="9" t="n">
        <x:f>IF(ISNUMBER(T2),T2*G2,"n.a.")</x:f>
        <x:v>17881.358994086244</x:v>
      </x:c>
      <x:c r="V2" s="25" t="n">
        <x:f>IF(Dashboard!$I$6="Flat %",1,IF(ISNUMBER(H2),1,0))</x:f>
        <x:v>1</x:v>
      </x:c>
      <x:c r="W2" s="9" t="n">
        <x:f>IF(Dashboard!$I$6="Flat %",G2*(1+Dashboard!$L$6),H2)</x:f>
        <x:v>0.06429599999999999</x:v>
      </x:c>
      <x:c r="X2" s="9" t="n">
        <x:f>IF(V2=1,R2*(W2-G2),"n.a.")</x:f>
        <x:v>4021.413760576259</x:v>
      </x:c>
      <x:c r="Y2" s="9" t="n">
        <x:f>IF(V2=1,R2*W2,"n.a.")</x:f>
        <x:v>29395.272754662503</x:v>
      </x:c>
      <x:c r="Z2" s="1" t="n">
        <x:f>IF(ISNUMBER(T2),R2-T2,"n.a.")</x:f>
        <x:v>135000</x:v>
      </x:c>
      <x:c r="AA2" s="1" t="str">
        <x:f>'Inventory inputs'!R2</x:f>
        <x:v>Classified</x:v>
      </x:c>
      <x:c r="AB2" s="1" t="n">
        <x:f>IF(L2=1,SUMIFS('Incoming POs'!$P$2:$P$305,'Incoming POs'!$A$2:$A$305,A2,'Incoming POs'!$B$2:$B$305,B2,'Incoming POs'!$C$2:$C$305,C2,'Incoming POs'!$G$2:$G$305,"&gt;="&amp;D2,'Incoming POs'!$G$2:$G$305,"&lt;"&amp;Dashboard!$I$5,'Incoming POs'!$Q$2:$Q$305,"&lt;="&amp;('Inventory inputs'!P2/'Inventory inputs'!J2*1.01)),"n.a.")</x:f>
        <x:v>0</x:v>
      </x:c>
      <x:c r="AC2" s="9" t="n">
        <x:f>I2*G2</x:f>
        <x:v>26212.65</x:v>
      </x:c>
      <x:c r="AD2" s="9" t="n">
        <x:f>J2*G2</x:f>
        <x:v>7492.5</x:v>
      </x:c>
      <x:c r="AE2" s="9" t="n">
        <x:f>K2*G2</x:f>
        <x:v>0</x:v>
      </x:c>
      <x:c r="AF2" s="9" t="n">
        <x:f>R2*G2</x:f>
        <x:v>25373.858994086244</x:v>
      </x:c>
    </x:row>
    <x:row r="3" ht="21" customHeight="1">
      <x:c r="A3" s="1" t="str">
        <x:f>'Inventory inputs'!A3</x:f>
        <x:v>C400</x:v>
      </x:c>
      <x:c r="B3" s="1" t="str">
        <x:f>'Inventory inputs'!B3</x:f>
        <x:v>10</x:v>
      </x:c>
      <x:c r="C3" s="1" t="str">
        <x:f>'Inventory inputs'!C3</x:f>
        <x:v>400MASC</x:v>
      </x:c>
      <x:c r="D3" s="7" t="n">
        <x:f>'Inventory inputs'!E3</x:f>
        <x:v>46303</x:v>
      </x:c>
      <x:c r="E3" s="1" t="n">
        <x:f>'Inventory inputs'!F3</x:f>
        <x:v>599700</x:v>
      </x:c>
      <x:c r="F3" s="1" t="n">
        <x:f>'Inventory inputs'!G3</x:f>
        <x:v>89333.32999999999</x:v>
      </x:c>
      <x:c r="G3" s="1" t="n">
        <x:f>'Inventory inputs'!H3/'Inventory inputs'!J3</x:f>
        <x:v>0.038900000000000004</x:v>
      </x:c>
      <x:c r="H3" s="1" t="n">
        <x:f>IF('Inventory inputs'!I3&gt;0,'Inventory inputs'!I3*'Inventory inputs'!K3/'Inventory inputs'!J3,"n.a.")</x:f>
        <x:v>0.045028799999999994</x:v>
      </x:c>
      <x:c r="I3" s="1" t="n">
        <x:f>'Inventory inputs'!L3</x:f>
        <x:v>409700</x:v>
      </x:c>
      <x:c r="J3" s="1" t="n">
        <x:f>'Inventory inputs'!M3</x:f>
        <x:v>190000</x:v>
      </x:c>
      <x:c r="K3" s="1" t="n">
        <x:f>'Inventory inputs'!N3</x:f>
        <x:v>0</x:v>
      </x:c>
      <x:c r="L3" s="1" t="n">
        <x:f>'Inventory inputs'!O3</x:f>
        <x:v>1</x:v>
      </x:c>
      <x:c r="M3" s="9" t="n">
        <x:f>E3*G3</x:f>
        <x:v>23328.33</x:v>
      </x:c>
      <x:c r="N3" s="9" t="n">
        <x:f>'Inventory inputs'!Q3</x:f>
        <x:v>23468.37</x:v>
      </x:c>
      <x:c r="O3" s="9" t="n">
        <x:f>N3-M3</x:f>
        <x:v>140.03999999999724</x:v>
      </x:c>
      <x:c r="P3" s="1" t="n">
        <x:f>SUMIFS('Incoming POs'!$P$2:$P$305,'Incoming POs'!$A$2:$A$305,A3,'Incoming POs'!$B$2:$B$305,B3,'Incoming POs'!$C$2:$C$305,C3,'Incoming POs'!$G$2:$G$305,"&gt;="&amp;D3,'Incoming POs'!$G$2:$G$305,"&lt;"&amp;Dashboard!$I$5)</x:f>
        <x:v>0</x:v>
      </x:c>
      <x:c r="Q3" s="1" t="n">
        <x:f>F3*Dashboard!$L$5*MAX(0,Dashboard!$I$5-D3)/30.4375</x:f>
        <x:v>118866.52533880902</x:v>
      </x:c>
      <x:c r="R3" s="1" t="n">
        <x:f>MAX(0,E3+P3-Q3)</x:f>
        <x:v>480833.474661191</x:v>
      </x:c>
      <x:c r="S3" s="1" t="n">
        <x:f>MAX(0,Q3-E3-P3)</x:f>
        <x:v>0</x:v>
      </x:c>
      <x:c r="T3" s="1" t="n">
        <x:f>IF(L3=1,MAX(0,I3+AB3-MIN(Q3,E3+P3)),"n.a.")</x:f>
        <x:v>290833.474661191</x:v>
      </x:c>
      <x:c r="U3" s="9" t="n">
        <x:f>IF(ISNUMBER(T3),T3*G3,"n.a.")</x:f>
        <x:v>11313.422164320331</x:v>
      </x:c>
      <x:c r="V3" s="25" t="n">
        <x:f>IF(Dashboard!$I$6="Flat %",1,IF(ISNUMBER(H3),1,0))</x:f>
        <x:v>1</x:v>
      </x:c>
      <x:c r="W3" s="9" t="n">
        <x:f>IF(Dashboard!$I$6="Flat %",G3*(1+Dashboard!$L$6),H3)</x:f>
        <x:v>0.045028799999999994</x:v>
      </x:c>
      <x:c r="X3" s="9" t="n">
        <x:f>IF(V3=1,R3*(W3-G3),"n.a.")</x:f>
        <x:v>2946.9321995035025</x:v>
      </x:c>
      <x:c r="Y3" s="9" t="n">
        <x:f>IF(V3=1,R3*W3,"n.a.")</x:f>
        <x:v>21651.354363823833</x:v>
      </x:c>
      <x:c r="Z3" s="1" t="n">
        <x:f>IF(ISNUMBER(T3),R3-T3,"n.a.")</x:f>
        <x:v>190000</x:v>
      </x:c>
      <x:c r="AA3" s="1" t="str">
        <x:f>'Inventory inputs'!R3</x:f>
        <x:v>Classified</x:v>
      </x:c>
      <x:c r="AB3" s="1" t="n">
        <x:f>IF(L3=1,SUMIFS('Incoming POs'!$P$2:$P$305,'Incoming POs'!$A$2:$A$305,A3,'Incoming POs'!$B$2:$B$305,B3,'Incoming POs'!$C$2:$C$305,C3,'Incoming POs'!$G$2:$G$305,"&gt;="&amp;D3,'Incoming POs'!$G$2:$G$305,"&lt;"&amp;Dashboard!$I$5,'Incoming POs'!$Q$2:$Q$305,"&lt;="&amp;('Inventory inputs'!P3/'Inventory inputs'!J3*1.01)),"n.a.")</x:f>
        <x:v>0</x:v>
      </x:c>
      <x:c r="AC3" s="9" t="n">
        <x:f>I3*G3</x:f>
        <x:v>15937.330000000002</x:v>
      </x:c>
      <x:c r="AD3" s="9" t="n">
        <x:f>J3*G3</x:f>
        <x:v>7391.000000000001</x:v>
      </x:c>
      <x:c r="AE3" s="9" t="n">
        <x:f>K3*G3</x:f>
        <x:v>0</x:v>
      </x:c>
      <x:c r="AF3" s="9" t="n">
        <x:f>R3*G3</x:f>
        <x:v>18704.42216432033</x:v>
      </x:c>
    </x:row>
    <x:row r="4" ht="21" customHeight="1">
      <x:c r="A4" s="1" t="str">
        <x:f>'Inventory inputs'!A4</x:f>
        <x:v>C400</x:v>
      </x:c>
      <x:c r="B4" s="1" t="str">
        <x:f>'Inventory inputs'!B4</x:f>
        <x:v>60</x:v>
      </x:c>
      <x:c r="C4" s="1" t="str">
        <x:f>'Inventory inputs'!C4</x:f>
        <x:v>400HASC</x:v>
      </x:c>
      <x:c r="D4" s="7" t="n">
        <x:f>'Inventory inputs'!E4</x:f>
        <x:v>46303</x:v>
      </x:c>
      <x:c r="E4" s="1" t="n">
        <x:f>'Inventory inputs'!F4</x:f>
        <x:v>414900</x:v>
      </x:c>
      <x:c r="F4" s="1" t="n">
        <x:f>'Inventory inputs'!G4</x:f>
        <x:v>81425</x:v>
      </x:c>
      <x:c r="G4" s="1" t="n">
        <x:f>'Inventory inputs'!H4/'Inventory inputs'!J4</x:f>
        <x:v>0.0555</x:v>
      </x:c>
      <x:c r="H4" s="1" t="n">
        <x:f>IF('Inventory inputs'!I4&gt;0,'Inventory inputs'!I4*'Inventory inputs'!K4/'Inventory inputs'!J4,"n.a.")</x:f>
        <x:v>0.06429599999999999</x:v>
      </x:c>
      <x:c r="I4" s="1" t="n">
        <x:f>'Inventory inputs'!L4</x:f>
        <x:v>174900</x:v>
      </x:c>
      <x:c r="J4" s="1" t="n">
        <x:f>'Inventory inputs'!M4</x:f>
        <x:v>240000</x:v>
      </x:c>
      <x:c r="K4" s="1" t="n">
        <x:f>'Inventory inputs'!N4</x:f>
        <x:v>0</x:v>
      </x:c>
      <x:c r="L4" s="1" t="n">
        <x:f>'Inventory inputs'!O4</x:f>
        <x:v>1</x:v>
      </x:c>
      <x:c r="M4" s="9" t="n">
        <x:f>E4*G4</x:f>
        <x:v>23026.95</x:v>
      </x:c>
      <x:c r="N4" s="9" t="n">
        <x:f>'Inventory inputs'!Q4</x:f>
        <x:v>23115.75</x:v>
      </x:c>
      <x:c r="O4" s="9" t="n">
        <x:f>N4-M4</x:f>
        <x:v>88.79999999999927</x:v>
      </x:c>
      <x:c r="P4" s="1" t="n">
        <x:f>SUMIFS('Incoming POs'!$P$2:$P$305,'Incoming POs'!$A$2:$A$305,A4,'Incoming POs'!$B$2:$B$305,B4,'Incoming POs'!$C$2:$C$305,C4,'Incoming POs'!$G$2:$G$305,"&gt;="&amp;D4,'Incoming POs'!$G$2:$G$305,"&lt;"&amp;Dashboard!$I$5)</x:f>
        <x:v>0</x:v>
      </x:c>
      <x:c r="Q4" s="1" t="n">
        <x:f>F4*Dashboard!$L$5*MAX(0,Dashboard!$I$5-D4)/30.4375</x:f>
        <x:v>108343.73716632444</x:v>
      </x:c>
      <x:c r="R4" s="1" t="n">
        <x:f>MAX(0,E4+P4-Q4)</x:f>
        <x:v>306556.26283367554</x:v>
      </x:c>
      <x:c r="S4" s="1" t="n">
        <x:f>MAX(0,Q4-E4-P4)</x:f>
        <x:v>0</x:v>
      </x:c>
      <x:c r="T4" s="1" t="n">
        <x:f>IF(L4=1,MAX(0,I4+AB4-MIN(Q4,E4+P4)),"n.a.")</x:f>
        <x:v>66556.26283367556</x:v>
      </x:c>
      <x:c r="U4" s="9" t="n">
        <x:f>IF(ISNUMBER(T4),T4*G4,"n.a.")</x:f>
        <x:v>3693.8725872689934</x:v>
      </x:c>
      <x:c r="V4" s="25" t="n">
        <x:f>IF(Dashboard!$I$6="Flat %",1,IF(ISNUMBER(H4),1,0))</x:f>
        <x:v>1</x:v>
      </x:c>
      <x:c r="W4" s="9" t="n">
        <x:f>IF(Dashboard!$I$6="Flat %",G4*(1+Dashboard!$L$6),H4)</x:f>
        <x:v>0.06429599999999999</x:v>
      </x:c>
      <x:c r="X4" s="9" t="n">
        <x:f>IF(V4=1,R4*(W4-G4),"n.a.")</x:f>
        <x:v>2696.4688878850075</x:v>
      </x:c>
      <x:c r="Y4" s="9" t="n">
        <x:f>IF(V4=1,R4*W4,"n.a.")</x:f>
        <x:v>19710.341475154</x:v>
      </x:c>
      <x:c r="Z4" s="1" t="n">
        <x:f>IF(ISNUMBER(T4),R4-T4,"n.a.")</x:f>
        <x:v>240000</x:v>
      </x:c>
      <x:c r="AA4" s="1" t="str">
        <x:f>'Inventory inputs'!R4</x:f>
        <x:v>Classified</x:v>
      </x:c>
      <x:c r="AB4" s="1" t="n">
        <x:f>IF(L4=1,SUMIFS('Incoming POs'!$P$2:$P$305,'Incoming POs'!$A$2:$A$305,A4,'Incoming POs'!$B$2:$B$305,B4,'Incoming POs'!$C$2:$C$305,C4,'Incoming POs'!$G$2:$G$305,"&gt;="&amp;D4,'Incoming POs'!$G$2:$G$305,"&lt;"&amp;Dashboard!$I$5,'Incoming POs'!$Q$2:$Q$305,"&lt;="&amp;('Inventory inputs'!P4/'Inventory inputs'!J4*1.01)),"n.a.")</x:f>
        <x:v>0</x:v>
      </x:c>
      <x:c r="AC4" s="9" t="n">
        <x:f>I4*G4</x:f>
        <x:v>9706.95</x:v>
      </x:c>
      <x:c r="AD4" s="9" t="n">
        <x:f>J4*G4</x:f>
        <x:v>13320</x:v>
      </x:c>
      <x:c r="AE4" s="9" t="n">
        <x:f>K4*G4</x:f>
        <x:v>0</x:v>
      </x:c>
      <x:c r="AF4" s="9" t="n">
        <x:f>R4*G4</x:f>
        <x:v>17013.872587268994</x:v>
      </x:c>
    </x:row>
    <x:row r="5" ht="21" customHeight="1">
      <x:c r="A5" s="1" t="str">
        <x:f>'Inventory inputs'!A5</x:f>
        <x:v>C400</x:v>
      </x:c>
      <x:c r="B5" s="1" t="str">
        <x:f>'Inventory inputs'!B5</x:f>
        <x:v>60</x:v>
      </x:c>
      <x:c r="C5" s="1" t="str">
        <x:f>'Inventory inputs'!C5</x:f>
        <x:v>400MASC</x:v>
      </x:c>
      <x:c r="D5" s="7" t="n">
        <x:f>'Inventory inputs'!E5</x:f>
        <x:v>46303</x:v>
      </x:c>
      <x:c r="E5" s="1" t="n">
        <x:f>'Inventory inputs'!F5</x:f>
        <x:v>376100</x:v>
      </x:c>
      <x:c r="F5" s="1" t="n">
        <x:f>'Inventory inputs'!G5</x:f>
        <x:v>67333.33</x:v>
      </x:c>
      <x:c r="G5" s="1" t="n">
        <x:f>'Inventory inputs'!H5/'Inventory inputs'!J5</x:f>
        <x:v>0.038900000000000004</x:v>
      </x:c>
      <x:c r="H5" s="1" t="n">
        <x:f>IF('Inventory inputs'!I5&gt;0,'Inventory inputs'!I5*'Inventory inputs'!K5/'Inventory inputs'!J5,"n.a.")</x:f>
        <x:v>0.045028799999999994</x:v>
      </x:c>
      <x:c r="I5" s="1" t="n">
        <x:f>'Inventory inputs'!L5</x:f>
        <x:v>231100</x:v>
      </x:c>
      <x:c r="J5" s="1" t="n">
        <x:f>'Inventory inputs'!M5</x:f>
        <x:v>145000</x:v>
      </x:c>
      <x:c r="K5" s="1" t="n">
        <x:f>'Inventory inputs'!N5</x:f>
        <x:v>0</x:v>
      </x:c>
      <x:c r="L5" s="1" t="n">
        <x:f>'Inventory inputs'!O5</x:f>
        <x:v>1</x:v>
      </x:c>
      <x:c r="M5" s="9" t="n">
        <x:f>E5*G5</x:f>
        <x:v>14630.29</x:v>
      </x:c>
      <x:c r="N5" s="9" t="n">
        <x:f>'Inventory inputs'!Q5</x:f>
        <x:v>14692.53</x:v>
      </x:c>
      <x:c r="O5" s="9" t="n">
        <x:f>N5-M5</x:f>
        <x:v>62.23999999999978</x:v>
      </x:c>
      <x:c r="P5" s="1" t="n">
        <x:f>SUMIFS('Incoming POs'!$P$2:$P$305,'Incoming POs'!$A$2:$A$305,A5,'Incoming POs'!$B$2:$B$305,B5,'Incoming POs'!$C$2:$C$305,C5,'Incoming POs'!$G$2:$G$305,"&gt;="&amp;D5,'Incoming POs'!$G$2:$G$305,"&lt;"&amp;Dashboard!$I$5)</x:f>
        <x:v>0</x:v>
      </x:c>
      <x:c r="Q5" s="1" t="n">
        <x:f>F5*Dashboard!$L$5*MAX(0,Dashboard!$I$5-D5)/30.4375</x:f>
        <x:v>89593.4247227926</x:v>
      </x:c>
      <x:c r="R5" s="1" t="n">
        <x:f>MAX(0,E5+P5-Q5)</x:f>
        <x:v>286506.5752772074</x:v>
      </x:c>
      <x:c r="S5" s="1" t="n">
        <x:f>MAX(0,Q5-E5-P5)</x:f>
        <x:v>0</x:v>
      </x:c>
      <x:c r="T5" s="1" t="n">
        <x:f>IF(L5=1,MAX(0,I5+AB5-MIN(Q5,E5+P5)),"n.a.")</x:f>
        <x:v>141506.57527720742</x:v>
      </x:c>
      <x:c r="U5" s="9" t="n">
        <x:f>IF(ISNUMBER(T5),T5*G5,"n.a.")</x:f>
        <x:v>5504.60577828337</x:v>
      </x:c>
      <x:c r="V5" s="25" t="n">
        <x:f>IF(Dashboard!$I$6="Flat %",1,IF(ISNUMBER(H5),1,0))</x:f>
        <x:v>1</x:v>
      </x:c>
      <x:c r="W5" s="9" t="n">
        <x:f>IF(Dashboard!$I$6="Flat %",G5*(1+Dashboard!$L$6),H5)</x:f>
        <x:v>0.045028799999999994</x:v>
      </x:c>
      <x:c r="X5" s="9" t="n">
        <x:f>IF(V5=1,R5*(W5-G5),"n.a.")</x:f>
        <x:v>1755.941498558946</x:v>
      </x:c>
      <x:c r="Y5" s="9" t="n">
        <x:f>IF(V5=1,R5*W5,"n.a.")</x:f>
        <x:v>12901.047276842315</x:v>
      </x:c>
      <x:c r="Z5" s="1" t="n">
        <x:f>IF(ISNUMBER(T5),R5-T5,"n.a.")</x:f>
        <x:v>145000</x:v>
      </x:c>
      <x:c r="AA5" s="1" t="str">
        <x:f>'Inventory inputs'!R5</x:f>
        <x:v>Classified</x:v>
      </x:c>
      <x:c r="AB5" s="1" t="n">
        <x:f>IF(L5=1,SUMIFS('Incoming POs'!$P$2:$P$305,'Incoming POs'!$A$2:$A$305,A5,'Incoming POs'!$B$2:$B$305,B5,'Incoming POs'!$C$2:$C$305,C5,'Incoming POs'!$G$2:$G$305,"&gt;="&amp;D5,'Incoming POs'!$G$2:$G$305,"&lt;"&amp;Dashboard!$I$5,'Incoming POs'!$Q$2:$Q$305,"&lt;="&amp;('Inventory inputs'!P5/'Inventory inputs'!J5*1.01)),"n.a.")</x:f>
        <x:v>0</x:v>
      </x:c>
      <x:c r="AC5" s="9" t="n">
        <x:f>I5*G5</x:f>
        <x:v>8989.79</x:v>
      </x:c>
      <x:c r="AD5" s="9" t="n">
        <x:f>J5*G5</x:f>
        <x:v>5640.500000000001</x:v>
      </x:c>
      <x:c r="AE5" s="9" t="n">
        <x:f>K5*G5</x:f>
        <x:v>0</x:v>
      </x:c>
      <x:c r="AF5" s="9" t="n">
        <x:f>R5*G5</x:f>
        <x:v>11145.10577828337</x:v>
      </x:c>
    </x:row>
    <x:row r="6" ht="21" customHeight="1">
      <x:c r="A6" s="1" t="str">
        <x:f>'Inventory inputs'!A6</x:f>
        <x:v>C400</x:v>
      </x:c>
      <x:c r="B6" s="1" t="str">
        <x:f>'Inventory inputs'!B6</x:f>
        <x:v>30</x:v>
      </x:c>
      <x:c r="C6" s="1" t="str">
        <x:f>'Inventory inputs'!C6</x:f>
        <x:v>400HASC</x:v>
      </x:c>
      <x:c r="D6" s="7" t="n">
        <x:f>'Inventory inputs'!E6</x:f>
        <x:v>46303</x:v>
      </x:c>
      <x:c r="E6" s="1" t="n">
        <x:f>'Inventory inputs'!F6</x:f>
        <x:v>183400</x:v>
      </x:c>
      <x:c r="F6" s="1" t="n">
        <x:f>'Inventory inputs'!G6</x:f>
        <x:v>35225</x:v>
      </x:c>
      <x:c r="G6" s="1" t="n">
        <x:f>'Inventory inputs'!H6/'Inventory inputs'!J6</x:f>
        <x:v>0.0555</x:v>
      </x:c>
      <x:c r="H6" s="1" t="n">
        <x:f>IF('Inventory inputs'!I6&gt;0,'Inventory inputs'!I6*'Inventory inputs'!K6/'Inventory inputs'!J6,"n.a.")</x:f>
        <x:v>0.06429599999999999</x:v>
      </x:c>
      <x:c r="I6" s="1" t="n">
        <x:f>'Inventory inputs'!L6</x:f>
        <x:v>55400</x:v>
      </x:c>
      <x:c r="J6" s="1" t="n">
        <x:f>'Inventory inputs'!M6</x:f>
        <x:v>128000</x:v>
      </x:c>
      <x:c r="K6" s="1" t="n">
        <x:f>'Inventory inputs'!N6</x:f>
        <x:v>0</x:v>
      </x:c>
      <x:c r="L6" s="1" t="n">
        <x:f>'Inventory inputs'!O6</x:f>
        <x:v>1</x:v>
      </x:c>
      <x:c r="M6" s="9" t="n">
        <x:f>E6*G6</x:f>
        <x:v>10178.7</x:v>
      </x:c>
      <x:c r="N6" s="9" t="n">
        <x:f>'Inventory inputs'!Q6</x:f>
        <x:v>10178.7</x:v>
      </x:c>
      <x:c r="O6" s="9" t="n">
        <x:f>N6-M6</x:f>
        <x:v>0</x:v>
      </x:c>
      <x:c r="P6" s="1" t="n">
        <x:f>SUMIFS('Incoming POs'!$P$2:$P$305,'Incoming POs'!$A$2:$A$305,A6,'Incoming POs'!$B$2:$B$305,B6,'Incoming POs'!$C$2:$C$305,C6,'Incoming POs'!$G$2:$G$305,"&gt;="&amp;D6,'Incoming POs'!$G$2:$G$305,"&lt;"&amp;Dashboard!$I$5)</x:f>
        <x:v>0</x:v>
      </x:c>
      <x:c r="Q6" s="1" t="n">
        <x:f>F6*Dashboard!$L$5*MAX(0,Dashboard!$I$5-D6)/30.4375</x:f>
        <x:v>46870.22587268994</x:v>
      </x:c>
      <x:c r="R6" s="1" t="n">
        <x:f>MAX(0,E6+P6-Q6)</x:f>
        <x:v>136529.77412731005</x:v>
      </x:c>
      <x:c r="S6" s="1" t="n">
        <x:f>MAX(0,Q6-E6-P6)</x:f>
        <x:v>0</x:v>
      </x:c>
      <x:c r="T6" s="1" t="n">
        <x:f>IF(L6=1,MAX(0,I6+AB6-MIN(Q6,E6+P6)),"n.a.")</x:f>
        <x:v>8529.774127310062</x:v>
      </x:c>
      <x:c r="U6" s="9" t="n">
        <x:f>IF(ISNUMBER(T6),T6*G6,"n.a.")</x:f>
        <x:v>473.40246406570844</x:v>
      </x:c>
      <x:c r="V6" s="25" t="n">
        <x:f>IF(Dashboard!$I$6="Flat %",1,IF(ISNUMBER(H6),1,0))</x:f>
        <x:v>1</x:v>
      </x:c>
      <x:c r="W6" s="9" t="n">
        <x:f>IF(Dashboard!$I$6="Flat %",G6*(1+Dashboard!$L$6),H6)</x:f>
        <x:v>0.06429599999999999</x:v>
      </x:c>
      <x:c r="X6" s="9" t="n">
        <x:f>IF(V6=1,R6*(W6-G6),"n.a.")</x:f>
        <x:v>1200.915893223818</x:v>
      </x:c>
      <x:c r="Y6" s="9" t="n">
        <x:f>IF(V6=1,R6*W6,"n.a.")</x:f>
        <x:v>8778.318357289527</x:v>
      </x:c>
      <x:c r="Z6" s="1" t="n">
        <x:f>IF(ISNUMBER(T6),R6-T6,"n.a.")</x:f>
        <x:v>128000</x:v>
      </x:c>
      <x:c r="AA6" s="1" t="str">
        <x:f>'Inventory inputs'!R6</x:f>
        <x:v>Classified</x:v>
      </x:c>
      <x:c r="AB6" s="1" t="n">
        <x:f>IF(L6=1,SUMIFS('Incoming POs'!$P$2:$P$305,'Incoming POs'!$A$2:$A$305,A6,'Incoming POs'!$B$2:$B$305,B6,'Incoming POs'!$C$2:$C$305,C6,'Incoming POs'!$G$2:$G$305,"&gt;="&amp;D6,'Incoming POs'!$G$2:$G$305,"&lt;"&amp;Dashboard!$I$5,'Incoming POs'!$Q$2:$Q$305,"&lt;="&amp;('Inventory inputs'!P6/'Inventory inputs'!J6*1.01)),"n.a.")</x:f>
        <x:v>0</x:v>
      </x:c>
      <x:c r="AC6" s="9" t="n">
        <x:f>I6*G6</x:f>
        <x:v>3074.7</x:v>
      </x:c>
      <x:c r="AD6" s="9" t="n">
        <x:f>J6*G6</x:f>
        <x:v>7104</x:v>
      </x:c>
      <x:c r="AE6" s="9" t="n">
        <x:f>K6*G6</x:f>
        <x:v>0</x:v>
      </x:c>
      <x:c r="AF6" s="9" t="n">
        <x:f>R6*G6</x:f>
        <x:v>7577.402464065708</x:v>
      </x:c>
    </x:row>
    <x:row r="7" ht="21" customHeight="1">
      <x:c r="A7" s="1" t="str">
        <x:f>'Inventory inputs'!A7</x:f>
        <x:v>C400</x:v>
      </x:c>
      <x:c r="B7" s="1" t="str">
        <x:f>'Inventory inputs'!B7</x:f>
        <x:v>30</x:v>
      </x:c>
      <x:c r="C7" s="1" t="str">
        <x:f>'Inventory inputs'!C7</x:f>
        <x:v>400MASC</x:v>
      </x:c>
      <x:c r="D7" s="7" t="n">
        <x:f>'Inventory inputs'!E7</x:f>
        <x:v>46303</x:v>
      </x:c>
      <x:c r="E7" s="1" t="n">
        <x:f>'Inventory inputs'!F7</x:f>
        <x:v>191100</x:v>
      </x:c>
      <x:c r="F7" s="1" t="n">
        <x:f>'Inventory inputs'!G7</x:f>
        <x:v>27066.67</x:v>
      </x:c>
      <x:c r="G7" s="1" t="n">
        <x:f>'Inventory inputs'!H7/'Inventory inputs'!J7</x:f>
        <x:v>0.038900000000000004</x:v>
      </x:c>
      <x:c r="H7" s="1" t="n">
        <x:f>IF('Inventory inputs'!I7&gt;0,'Inventory inputs'!I7*'Inventory inputs'!K7/'Inventory inputs'!J7,"n.a.")</x:f>
        <x:v>0.045028799999999994</x:v>
      </x:c>
      <x:c r="I7" s="1" t="n">
        <x:f>'Inventory inputs'!L7</x:f>
        <x:v>21100</x:v>
      </x:c>
      <x:c r="J7" s="1" t="n">
        <x:f>'Inventory inputs'!M7</x:f>
        <x:v>170000</x:v>
      </x:c>
      <x:c r="K7" s="1" t="n">
        <x:f>'Inventory inputs'!N7</x:f>
        <x:v>0</x:v>
      </x:c>
      <x:c r="L7" s="1" t="n">
        <x:f>'Inventory inputs'!O7</x:f>
        <x:v>1</x:v>
      </x:c>
      <x:c r="M7" s="9" t="n">
        <x:f>E7*G7</x:f>
        <x:v>7433.790000000001</x:v>
      </x:c>
      <x:c r="N7" s="9" t="n">
        <x:f>'Inventory inputs'!Q7</x:f>
        <x:v>7472.6900000000005</x:v>
      </x:c>
      <x:c r="O7" s="9" t="n">
        <x:f>N7-M7</x:f>
        <x:v>38.899999999999636</x:v>
      </x:c>
      <x:c r="P7" s="1" t="n">
        <x:f>SUMIFS('Incoming POs'!$P$2:$P$305,'Incoming POs'!$A$2:$A$305,A7,'Incoming POs'!$B$2:$B$305,B7,'Incoming POs'!$C$2:$C$305,C7,'Incoming POs'!$G$2:$G$305,"&gt;="&amp;D7,'Incoming POs'!$G$2:$G$305,"&lt;"&amp;Dashboard!$I$5)</x:f>
        <x:v>0</x:v>
      </x:c>
      <x:c r="Q7" s="1" t="n">
        <x:f>F7*Dashboard!$L$5*MAX(0,Dashboard!$I$5-D7)/30.4375</x:f>
        <x:v>36014.78882956879</x:v>
      </x:c>
      <x:c r="R7" s="1" t="n">
        <x:f>MAX(0,E7+P7-Q7)</x:f>
        <x:v>155085.21117043123</x:v>
      </x:c>
      <x:c r="S7" s="1" t="n">
        <x:f>MAX(0,Q7-E7-P7)</x:f>
        <x:v>0</x:v>
      </x:c>
      <x:c r="T7" s="1" t="n">
        <x:f>IF(L7=1,MAX(0,I7+AB7-MIN(Q7,E7+P7)),"n.a.")</x:f>
        <x:v>0</x:v>
      </x:c>
      <x:c r="U7" s="9" t="n">
        <x:f>IF(ISNUMBER(T7),T7*G7,"n.a.")</x:f>
        <x:v>0</x:v>
      </x:c>
      <x:c r="V7" s="25" t="n">
        <x:f>IF(Dashboard!$I$6="Flat %",1,IF(ISNUMBER(H7),1,0))</x:f>
        <x:v>1</x:v>
      </x:c>
      <x:c r="W7" s="9" t="n">
        <x:f>IF(Dashboard!$I$6="Flat %",G7*(1+Dashboard!$L$6),H7)</x:f>
        <x:v>0.045028799999999994</x:v>
      </x:c>
      <x:c r="X7" s="9" t="n">
        <x:f>IF(V7=1,R7*(W7-G7),"n.a.")</x:f>
        <x:v>950.4862422213373</x:v>
      </x:c>
      <x:c r="Y7" s="9" t="n">
        <x:f>IF(V7=1,R7*W7,"n.a.")</x:f>
        <x:v>6983.300956751113</x:v>
      </x:c>
      <x:c r="Z7" s="1" t="n">
        <x:f>IF(ISNUMBER(T7),R7-T7,"n.a.")</x:f>
        <x:v>155085.21117043123</x:v>
      </x:c>
      <x:c r="AA7" s="1" t="str">
        <x:f>'Inventory inputs'!R7</x:f>
        <x:v>Classified</x:v>
      </x:c>
      <x:c r="AB7" s="1" t="n">
        <x:f>IF(L7=1,SUMIFS('Incoming POs'!$P$2:$P$305,'Incoming POs'!$A$2:$A$305,A7,'Incoming POs'!$B$2:$B$305,B7,'Incoming POs'!$C$2:$C$305,C7,'Incoming POs'!$G$2:$G$305,"&gt;="&amp;D7,'Incoming POs'!$G$2:$G$305,"&lt;"&amp;Dashboard!$I$5,'Incoming POs'!$Q$2:$Q$305,"&lt;="&amp;('Inventory inputs'!P7/'Inventory inputs'!J7*1.01)),"n.a.")</x:f>
        <x:v>0</x:v>
      </x:c>
      <x:c r="AC7" s="9" t="n">
        <x:f>I7*G7</x:f>
        <x:v>820.7900000000001</x:v>
      </x:c>
      <x:c r="AD7" s="9" t="n">
        <x:f>J7*G7</x:f>
        <x:v>6613.000000000001</x:v>
      </x:c>
      <x:c r="AE7" s="9" t="n">
        <x:f>K7*G7</x:f>
        <x:v>0</x:v>
      </x:c>
      <x:c r="AF7" s="9" t="n">
        <x:f>R7*G7</x:f>
        <x:v>6032.814714529775</x:v>
      </x:c>
    </x:row>
    <x:row r="8" ht="21" customHeight="1">
      <x:c r="A8" s="1" t="str">
        <x:f>'Inventory inputs'!A8</x:f>
        <x:v>C400</x:v>
      </x:c>
      <x:c r="B8" s="1" t="str">
        <x:f>'Inventory inputs'!B8</x:f>
        <x:v>10</x:v>
      </x:c>
      <x:c r="C8" s="1" t="str">
        <x:f>'Inventory inputs'!C8</x:f>
        <x:v>400LASC</x:v>
      </x:c>
      <x:c r="D8" s="7" t="n">
        <x:f>'Inventory inputs'!E8</x:f>
        <x:v>46303</x:v>
      </x:c>
      <x:c r="E8" s="1" t="n">
        <x:f>'Inventory inputs'!F8</x:f>
        <x:v>81000</x:v>
      </x:c>
      <x:c r="F8" s="1" t="n">
        <x:f>'Inventory inputs'!G8</x:f>
        <x:v>19533.33</x:v>
      </x:c>
      <x:c r="G8" s="1" t="n">
        <x:f>'Inventory inputs'!H8/'Inventory inputs'!J8</x:f>
        <x:v>0.0278</x:v>
      </x:c>
      <x:c r="H8" s="1" t="n">
        <x:f>IF('Inventory inputs'!I8&gt;0,'Inventory inputs'!I8*'Inventory inputs'!K8/'Inventory inputs'!J8,"n.a.")</x:f>
        <x:v>0.0321552</x:v>
      </x:c>
      <x:c r="I8" s="1" t="n">
        <x:f>'Inventory inputs'!L8</x:f>
        <x:v>6000</x:v>
      </x:c>
      <x:c r="J8" s="1" t="n">
        <x:f>'Inventory inputs'!M8</x:f>
        <x:v>75000</x:v>
      </x:c>
      <x:c r="K8" s="1" t="n">
        <x:f>'Inventory inputs'!N8</x:f>
        <x:v>0</x:v>
      </x:c>
      <x:c r="L8" s="1" t="n">
        <x:f>'Inventory inputs'!O8</x:f>
        <x:v>1</x:v>
      </x:c>
      <x:c r="M8" s="9" t="n">
        <x:f>E8*G8</x:f>
        <x:v>2251.7999999999997</x:v>
      </x:c>
      <x:c r="N8" s="9" t="n">
        <x:f>'Inventory inputs'!Q8</x:f>
        <x:v>2251.7999999999997</x:v>
      </x:c>
      <x:c r="O8" s="9" t="n">
        <x:f>N8-M8</x:f>
        <x:v>0</x:v>
      </x:c>
      <x:c r="P8" s="1" t="n">
        <x:f>SUMIFS('Incoming POs'!$P$2:$P$305,'Incoming POs'!$A$2:$A$305,A8,'Incoming POs'!$B$2:$B$305,B8,'Incoming POs'!$C$2:$C$305,C8,'Incoming POs'!$G$2:$G$305,"&gt;="&amp;D8,'Incoming POs'!$G$2:$G$305,"&lt;"&amp;Dashboard!$I$5)</x:f>
        <x:v>0</x:v>
      </x:c>
      <x:c r="Q8" s="1" t="n">
        <x:f>F8*Dashboard!$L$5*MAX(0,Dashboard!$I$5-D8)/30.4375</x:f>
        <x:v>25990.960657084193</x:v>
      </x:c>
      <x:c r="R8" s="1" t="n">
        <x:f>MAX(0,E8+P8-Q8)</x:f>
        <x:v>55009.03934291581</x:v>
      </x:c>
      <x:c r="S8" s="1" t="n">
        <x:f>MAX(0,Q8-E8-P8)</x:f>
        <x:v>0</x:v>
      </x:c>
      <x:c r="T8" s="1" t="n">
        <x:f>IF(L8=1,MAX(0,I8+AB8-MIN(Q8,E8+P8)),"n.a.")</x:f>
        <x:v>0</x:v>
      </x:c>
      <x:c r="U8" s="9" t="n">
        <x:f>IF(ISNUMBER(T8),T8*G8,"n.a.")</x:f>
        <x:v>0</x:v>
      </x:c>
      <x:c r="V8" s="25" t="n">
        <x:f>IF(Dashboard!$I$6="Flat %",1,IF(ISNUMBER(H8),1,0))</x:f>
        <x:v>1</x:v>
      </x:c>
      <x:c r="W8" s="9" t="n">
        <x:f>IF(Dashboard!$I$6="Flat %",G8*(1+Dashboard!$L$6),H8)</x:f>
        <x:v>0.0321552</x:v>
      </x:c>
      <x:c r="X8" s="9" t="n">
        <x:f>IF(V8=1,R8*(W8-G8),"n.a.")</x:f>
        <x:v>239.57536814626712</x:v>
      </x:c>
      <x:c r="Y8" s="9" t="n">
        <x:f>IF(V8=1,R8*W8,"n.a.")</x:f>
        <x:v>1768.8266618793264</x:v>
      </x:c>
      <x:c r="Z8" s="1" t="n">
        <x:f>IF(ISNUMBER(T8),R8-T8,"n.a.")</x:f>
        <x:v>55009.03934291581</x:v>
      </x:c>
      <x:c r="AA8" s="1" t="str">
        <x:f>'Inventory inputs'!R8</x:f>
        <x:v>Classified</x:v>
      </x:c>
      <x:c r="AB8" s="1" t="n">
        <x:f>IF(L8=1,SUMIFS('Incoming POs'!$P$2:$P$305,'Incoming POs'!$A$2:$A$305,A8,'Incoming POs'!$B$2:$B$305,B8,'Incoming POs'!$C$2:$C$305,C8,'Incoming POs'!$G$2:$G$305,"&gt;="&amp;D8,'Incoming POs'!$G$2:$G$305,"&lt;"&amp;Dashboard!$I$5,'Incoming POs'!$Q$2:$Q$305,"&lt;="&amp;('Inventory inputs'!P8/'Inventory inputs'!J8*1.01)),"n.a.")</x:f>
        <x:v>0</x:v>
      </x:c>
      <x:c r="AC8" s="9" t="n">
        <x:f>I8*G8</x:f>
        <x:v>166.79999999999998</x:v>
      </x:c>
      <x:c r="AD8" s="9" t="n">
        <x:f>J8*G8</x:f>
        <x:v>2085</x:v>
      </x:c>
      <x:c r="AE8" s="9" t="n">
        <x:f>K8*G8</x:f>
        <x:v>0</x:v>
      </x:c>
      <x:c r="AF8" s="9" t="n">
        <x:f>R8*G8</x:f>
        <x:v>1529.2512937330594</x:v>
      </x:c>
    </x:row>
    <x:row r="9" ht="21" customHeight="1">
      <x:c r="A9" s="1" t="str">
        <x:f>'Inventory inputs'!A9</x:f>
        <x:v>C400</x:v>
      </x:c>
      <x:c r="B9" s="1" t="str">
        <x:f>'Inventory inputs'!B9</x:f>
        <x:v>60</x:v>
      </x:c>
      <x:c r="C9" s="1" t="str">
        <x:f>'Inventory inputs'!C9</x:f>
        <x:v>400LASC</x:v>
      </x:c>
      <x:c r="D9" s="7" t="n">
        <x:f>'Inventory inputs'!E9</x:f>
        <x:v>46303</x:v>
      </x:c>
      <x:c r="E9" s="1" t="n">
        <x:f>'Inventory inputs'!F9</x:f>
        <x:v>42000</x:v>
      </x:c>
      <x:c r="F9" s="1" t="n">
        <x:f>'Inventory inputs'!G9</x:f>
        <x:v>12075</x:v>
      </x:c>
      <x:c r="G9" s="1" t="n">
        <x:f>'Inventory inputs'!H9/'Inventory inputs'!J9</x:f>
        <x:v>0.0278</x:v>
      </x:c>
      <x:c r="H9" s="1" t="n">
        <x:f>IF('Inventory inputs'!I9&gt;0,'Inventory inputs'!I9*'Inventory inputs'!K9/'Inventory inputs'!J9,"n.a.")</x:f>
        <x:v>0.0321552</x:v>
      </x:c>
      <x:c r="I9" s="1" t="n">
        <x:f>'Inventory inputs'!L9</x:f>
        <x:v>0</x:v>
      </x:c>
      <x:c r="J9" s="1" t="n">
        <x:f>'Inventory inputs'!M9</x:f>
        <x:v>42000</x:v>
      </x:c>
      <x:c r="K9" s="1" t="n">
        <x:f>'Inventory inputs'!N9</x:f>
        <x:v>0</x:v>
      </x:c>
      <x:c r="L9" s="1" t="n">
        <x:f>'Inventory inputs'!O9</x:f>
        <x:v>1</x:v>
      </x:c>
      <x:c r="M9" s="9" t="n">
        <x:f>E9*G9</x:f>
        <x:v>1167.6</x:v>
      </x:c>
      <x:c r="N9" s="9" t="n">
        <x:f>'Inventory inputs'!Q9</x:f>
        <x:v>1181.4999999999998</x:v>
      </x:c>
      <x:c r="O9" s="9" t="n">
        <x:f>N9-M9</x:f>
        <x:v>13.899999999999864</x:v>
      </x:c>
      <x:c r="P9" s="1" t="n">
        <x:f>SUMIFS('Incoming POs'!$P$2:$P$305,'Incoming POs'!$A$2:$A$305,A9,'Incoming POs'!$B$2:$B$305,B9,'Incoming POs'!$C$2:$C$305,C9,'Incoming POs'!$G$2:$G$305,"&gt;="&amp;D9,'Incoming POs'!$G$2:$G$305,"&lt;"&amp;Dashboard!$I$5)</x:f>
        <x:v>0</x:v>
      </x:c>
      <x:c r="Q9" s="1" t="n">
        <x:f>F9*Dashboard!$L$5*MAX(0,Dashboard!$I$5-D9)/30.4375</x:f>
        <x:v>16066.94045174538</x:v>
      </x:c>
      <x:c r="R9" s="1" t="n">
        <x:f>MAX(0,E9+P9-Q9)</x:f>
        <x:v>25933.05954825462</x:v>
      </x:c>
      <x:c r="S9" s="1" t="n">
        <x:f>MAX(0,Q9-E9-P9)</x:f>
        <x:v>0</x:v>
      </x:c>
      <x:c r="T9" s="1" t="n">
        <x:f>IF(L9=1,MAX(0,I9+AB9-MIN(Q9,E9+P9)),"n.a.")</x:f>
        <x:v>0</x:v>
      </x:c>
      <x:c r="U9" s="9" t="n">
        <x:f>IF(ISNUMBER(T9),T9*G9,"n.a.")</x:f>
        <x:v>0</x:v>
      </x:c>
      <x:c r="V9" s="25" t="n">
        <x:f>IF(Dashboard!$I$6="Flat %",1,IF(ISNUMBER(H9),1,0))</x:f>
        <x:v>1</x:v>
      </x:c>
      <x:c r="W9" s="9" t="n">
        <x:f>IF(Dashboard!$I$6="Flat %",G9*(1+Dashboard!$L$6),H9)</x:f>
        <x:v>0.0321552</x:v>
      </x:c>
      <x:c r="X9" s="9" t="n">
        <x:f>IF(V9=1,R9*(W9-G9),"n.a.")</x:f>
        <x:v>112.94366094455862</x:v>
      </x:c>
      <x:c r="Y9" s="9" t="n">
        <x:f>IF(V9=1,R9*W9,"n.a.")</x:f>
        <x:v>833.882716386037</x:v>
      </x:c>
      <x:c r="Z9" s="1" t="n">
        <x:f>IF(ISNUMBER(T9),R9-T9,"n.a.")</x:f>
        <x:v>25933.05954825462</x:v>
      </x:c>
      <x:c r="AA9" s="1" t="str">
        <x:f>'Inventory inputs'!R9</x:f>
        <x:v>Classified</x:v>
      </x:c>
      <x:c r="AB9" s="1" t="n">
        <x:f>IF(L9=1,SUMIFS('Incoming POs'!$P$2:$P$305,'Incoming POs'!$A$2:$A$305,A9,'Incoming POs'!$B$2:$B$305,B9,'Incoming POs'!$C$2:$C$305,C9,'Incoming POs'!$G$2:$G$305,"&gt;="&amp;D9,'Incoming POs'!$G$2:$G$305,"&lt;"&amp;Dashboard!$I$5,'Incoming POs'!$Q$2:$Q$305,"&lt;="&amp;('Inventory inputs'!P9/'Inventory inputs'!J9*1.01)),"n.a.")</x:f>
        <x:v>0</x:v>
      </x:c>
      <x:c r="AC9" s="9" t="n">
        <x:f>I9*G9</x:f>
        <x:v>0</x:v>
      </x:c>
      <x:c r="AD9" s="9" t="n">
        <x:f>J9*G9</x:f>
        <x:v>1167.6</x:v>
      </x:c>
      <x:c r="AE9" s="9" t="n">
        <x:f>K9*G9</x:f>
        <x:v>0</x:v>
      </x:c>
      <x:c r="AF9" s="9" t="n">
        <x:f>R9*G9</x:f>
        <x:v>720.9390554414783</x:v>
      </x:c>
    </x:row>
    <x:row r="10" ht="21" customHeight="1">
      <x:c r="A10" s="1" t="str">
        <x:f>'Inventory inputs'!A10</x:f>
        <x:v>C400</x:v>
      </x:c>
      <x:c r="B10" s="1" t="str">
        <x:f>'Inventory inputs'!B10</x:f>
        <x:v>10</x:v>
      </x:c>
      <x:c r="C10" s="1" t="str">
        <x:f>'Inventory inputs'!C10</x:f>
        <x:v>400HMASC</x:v>
      </x:c>
      <x:c r="D10" s="7" t="n">
        <x:f>'Inventory inputs'!E10</x:f>
        <x:v>46303</x:v>
      </x:c>
      <x:c r="E10" s="1" t="n">
        <x:f>'Inventory inputs'!F10</x:f>
        <x:v>44800</x:v>
      </x:c>
      <x:c r="F10" s="1" t="n">
        <x:f>'Inventory inputs'!G10</x:f>
        <x:v>9675</x:v>
      </x:c>
      <x:c r="G10" s="1" t="n">
        <x:f>'Inventory inputs'!H10/'Inventory inputs'!J10</x:f>
        <x:v>0.0583</x:v>
      </x:c>
      <x:c r="H10" s="1" t="n">
        <x:f>IF('Inventory inputs'!I10&gt;0,'Inventory inputs'!I10*'Inventory inputs'!K10/'Inventory inputs'!J10,"n.a.")</x:f>
        <x:v>0.06750719999999999</x:v>
      </x:c>
      <x:c r="I10" s="1" t="n">
        <x:f>'Inventory inputs'!L10</x:f>
        <x:v>22800</x:v>
      </x:c>
      <x:c r="J10" s="1" t="n">
        <x:f>'Inventory inputs'!M10</x:f>
        <x:v>22000</x:v>
      </x:c>
      <x:c r="K10" s="1" t="n">
        <x:f>'Inventory inputs'!N10</x:f>
        <x:v>0</x:v>
      </x:c>
      <x:c r="L10" s="1" t="n">
        <x:f>'Inventory inputs'!O10</x:f>
        <x:v>1</x:v>
      </x:c>
      <x:c r="M10" s="9" t="n">
        <x:f>E10*G10</x:f>
        <x:v>2611.8399999999997</x:v>
      </x:c>
      <x:c r="N10" s="9" t="n">
        <x:f>'Inventory inputs'!Q10</x:f>
        <x:v>2611.84</x:v>
      </x:c>
      <x:c r="O10" s="9" t="n">
        <x:f>N10-M10</x:f>
        <x:v>4.547473508864641e-13</x:v>
      </x:c>
      <x:c r="P10" s="1" t="n">
        <x:f>SUMIFS('Incoming POs'!$P$2:$P$305,'Incoming POs'!$A$2:$A$305,A10,'Incoming POs'!$B$2:$B$305,B10,'Incoming POs'!$C$2:$C$305,C10,'Incoming POs'!$G$2:$G$305,"&gt;="&amp;D10,'Incoming POs'!$G$2:$G$305,"&lt;"&amp;Dashboard!$I$5)</x:f>
        <x:v>0</x:v>
      </x:c>
      <x:c r="Q10" s="1" t="n">
        <x:f>F10*Dashboard!$L$5*MAX(0,Dashboard!$I$5-D10)/30.4375</x:f>
        <x:v>12873.511293634498</x:v>
      </x:c>
      <x:c r="R10" s="1" t="n">
        <x:f>MAX(0,E10+P10-Q10)</x:f>
        <x:v>31926.488706365504</x:v>
      </x:c>
      <x:c r="S10" s="1" t="n">
        <x:f>MAX(0,Q10-E10-P10)</x:f>
        <x:v>0</x:v>
      </x:c>
      <x:c r="T10" s="1" t="n">
        <x:f>IF(L10=1,MAX(0,I10+AB10-MIN(Q10,E10+P10)),"n.a.")</x:f>
        <x:v>9926.488706365502</x:v>
      </x:c>
      <x:c r="U10" s="9" t="n">
        <x:f>IF(ISNUMBER(T10),T10*G10,"n.a.")</x:f>
        <x:v>578.7142915811088</x:v>
      </x:c>
      <x:c r="V10" s="25" t="n">
        <x:f>IF(Dashboard!$I$6="Flat %",1,IF(ISNUMBER(H10),1,0))</x:f>
        <x:v>1</x:v>
      </x:c>
      <x:c r="W10" s="9" t="n">
        <x:f>IF(Dashboard!$I$6="Flat %",G10*(1+Dashboard!$L$6),H10)</x:f>
        <x:v>0.06750719999999999</x:v>
      </x:c>
      <x:c r="X10" s="9" t="n">
        <x:f>IF(V10=1,R10*(W10-G10),"n.a.")</x:f>
        <x:v>293.9535668172482</x:v>
      </x:c>
      <x:c r="Y10" s="9" t="n">
        <x:f>IF(V10=1,R10*W10,"n.a.")</x:f>
        <x:v>2155.267858398357</x:v>
      </x:c>
      <x:c r="Z10" s="1" t="n">
        <x:f>IF(ISNUMBER(T10),R10-T10,"n.a.")</x:f>
        <x:v>22000</x:v>
      </x:c>
      <x:c r="AA10" s="1" t="str">
        <x:f>'Inventory inputs'!R10</x:f>
        <x:v>Classified</x:v>
      </x:c>
      <x:c r="AB10" s="1" t="n">
        <x:f>IF(L10=1,SUMIFS('Incoming POs'!$P$2:$P$305,'Incoming POs'!$A$2:$A$305,A10,'Incoming POs'!$B$2:$B$305,B10,'Incoming POs'!$C$2:$C$305,C10,'Incoming POs'!$G$2:$G$305,"&gt;="&amp;D10,'Incoming POs'!$G$2:$G$305,"&lt;"&amp;Dashboard!$I$5,'Incoming POs'!$Q$2:$Q$305,"&lt;="&amp;('Inventory inputs'!P10/'Inventory inputs'!J10*1.01)),"n.a.")</x:f>
        <x:v>0</x:v>
      </x:c>
      <x:c r="AC10" s="9" t="n">
        <x:f>I10*G10</x:f>
        <x:v>1329.24</x:v>
      </x:c>
      <x:c r="AD10" s="9" t="n">
        <x:f>J10*G10</x:f>
        <x:v>1282.6</x:v>
      </x:c>
      <x:c r="AE10" s="9" t="n">
        <x:f>K10*G10</x:f>
        <x:v>0</x:v>
      </x:c>
      <x:c r="AF10" s="9" t="n">
        <x:f>R10*G10</x:f>
        <x:v>1861.3142915811088</x:v>
      </x:c>
    </x:row>
    <x:row r="11" ht="21" customHeight="1">
      <x:c r="A11" s="1" t="str">
        <x:f>'Inventory inputs'!A11</x:f>
        <x:v>C400</x:v>
      </x:c>
      <x:c r="B11" s="1" t="str">
        <x:f>'Inventory inputs'!B11</x:f>
        <x:v>10</x:v>
      </x:c>
      <x:c r="C11" s="1" t="str">
        <x:f>'Inventory inputs'!C11</x:f>
        <x:v>400HISC</x:v>
      </x:c>
      <x:c r="D11" s="7" t="n">
        <x:f>'Inventory inputs'!E11</x:f>
        <x:v>46303</x:v>
      </x:c>
      <x:c r="E11" s="1" t="n">
        <x:f>'Inventory inputs'!F11</x:f>
        <x:v>67400</x:v>
      </x:c>
      <x:c r="F11" s="1" t="n">
        <x:f>'Inventory inputs'!G11</x:f>
        <x:v>9658.33</x:v>
      </x:c>
      <x:c r="G11" s="1" t="n">
        <x:f>'Inventory inputs'!H11/'Inventory inputs'!J11</x:f>
        <x:v>0.0588</x:v>
      </x:c>
      <x:c r="H11" s="1" t="n">
        <x:f>IF('Inventory inputs'!I11&gt;0,'Inventory inputs'!I11*'Inventory inputs'!K11/'Inventory inputs'!J11,"n.a.")</x:f>
        <x:v>0.0681552</x:v>
      </x:c>
      <x:c r="I11" s="1" t="n">
        <x:f>'Inventory inputs'!L11</x:f>
        <x:v>15400</x:v>
      </x:c>
      <x:c r="J11" s="1" t="n">
        <x:f>'Inventory inputs'!M11</x:f>
        <x:v>52000</x:v>
      </x:c>
      <x:c r="K11" s="1" t="n">
        <x:f>'Inventory inputs'!N11</x:f>
        <x:v>0</x:v>
      </x:c>
      <x:c r="L11" s="1" t="n">
        <x:f>'Inventory inputs'!O11</x:f>
        <x:v>1</x:v>
      </x:c>
      <x:c r="M11" s="9" t="n">
        <x:f>E11*G11</x:f>
        <x:v>3963.12</x:v>
      </x:c>
      <x:c r="N11" s="9" t="n">
        <x:f>'Inventory inputs'!Q11</x:f>
        <x:v>3963.12</x:v>
      </x:c>
      <x:c r="O11" s="9" t="n">
        <x:f>N11-M11</x:f>
        <x:v>0</x:v>
      </x:c>
      <x:c r="P11" s="1" t="n">
        <x:f>SUMIFS('Incoming POs'!$P$2:$P$305,'Incoming POs'!$A$2:$A$305,A11,'Incoming POs'!$B$2:$B$305,B11,'Incoming POs'!$C$2:$C$305,C11,'Incoming POs'!$G$2:$G$305,"&gt;="&amp;D11,'Incoming POs'!$G$2:$G$305,"&lt;"&amp;Dashboard!$I$5)</x:f>
        <x:v>0</x:v>
      </x:c>
      <x:c r="Q11" s="1" t="n">
        <x:f>F11*Dashboard!$L$5*MAX(0,Dashboard!$I$5-D11)/30.4375</x:f>
        <x:v>12851.330266940451</x:v>
      </x:c>
      <x:c r="R11" s="1" t="n">
        <x:f>MAX(0,E11+P11-Q11)</x:f>
        <x:v>54548.66973305955</x:v>
      </x:c>
      <x:c r="S11" s="1" t="n">
        <x:f>MAX(0,Q11-E11-P11)</x:f>
        <x:v>0</x:v>
      </x:c>
      <x:c r="T11" s="1" t="n">
        <x:f>IF(L11=1,MAX(0,I11+AB11-MIN(Q11,E11+P11)),"n.a.")</x:f>
        <x:v>2548.669733059549</x:v>
      </x:c>
      <x:c r="U11" s="9" t="n">
        <x:f>IF(ISNUMBER(T11),T11*G11,"n.a.")</x:f>
        <x:v>149.86178030390147</x:v>
      </x:c>
      <x:c r="V11" s="25" t="n">
        <x:f>IF(Dashboard!$I$6="Flat %",1,IF(ISNUMBER(H11),1,0))</x:f>
        <x:v>1</x:v>
      </x:c>
      <x:c r="W11" s="9" t="n">
        <x:f>IF(Dashboard!$I$6="Flat %",G11*(1+Dashboard!$L$6),H11)</x:f>
        <x:v>0.0681552</x:v>
      </x:c>
      <x:c r="X11" s="9" t="n">
        <x:f>IF(V11=1,R11*(W11-G11),"n.a.")</x:f>
        <x:v>510.31371508671873</x:v>
      </x:c>
      <x:c r="Y11" s="9" t="n">
        <x:f>IF(V11=1,R11*W11,"n.a.")</x:f>
        <x:v>3717.77549539062</x:v>
      </x:c>
      <x:c r="Z11" s="1" t="n">
        <x:f>IF(ISNUMBER(T11),R11-T11,"n.a.")</x:f>
        <x:v>52000</x:v>
      </x:c>
      <x:c r="AA11" s="1" t="str">
        <x:f>'Inventory inputs'!R11</x:f>
        <x:v>Classified</x:v>
      </x:c>
      <x:c r="AB11" s="1" t="n">
        <x:f>IF(L11=1,SUMIFS('Incoming POs'!$P$2:$P$305,'Incoming POs'!$A$2:$A$305,A11,'Incoming POs'!$B$2:$B$305,B11,'Incoming POs'!$C$2:$C$305,C11,'Incoming POs'!$G$2:$G$305,"&gt;="&amp;D11,'Incoming POs'!$G$2:$G$305,"&lt;"&amp;Dashboard!$I$5,'Incoming POs'!$Q$2:$Q$305,"&lt;="&amp;('Inventory inputs'!P11/'Inventory inputs'!J11*1.01)),"n.a.")</x:f>
        <x:v>0</x:v>
      </x:c>
      <x:c r="AC11" s="9" t="n">
        <x:f>I11*G11</x:f>
        <x:v>905.52</x:v>
      </x:c>
      <x:c r="AD11" s="9" t="n">
        <x:f>J11*G11</x:f>
        <x:v>3057.6</x:v>
      </x:c>
      <x:c r="AE11" s="9" t="n">
        <x:f>K11*G11</x:f>
        <x:v>0</x:v>
      </x:c>
      <x:c r="AF11" s="9" t="n">
        <x:f>R11*G11</x:f>
        <x:v>3207.4617803039014</x:v>
      </x:c>
    </x:row>
    <x:row r="12" ht="21" customHeight="1">
      <x:c r="A12" s="1" t="str">
        <x:f>'Inventory inputs'!A12</x:f>
        <x:v>C400</x:v>
      </x:c>
      <x:c r="B12" s="1" t="str">
        <x:f>'Inventory inputs'!B12</x:f>
        <x:v>60</x:v>
      </x:c>
      <x:c r="C12" s="1" t="str">
        <x:f>'Inventory inputs'!C12</x:f>
        <x:v>400HISC</x:v>
      </x:c>
      <x:c r="D12" s="7" t="n">
        <x:f>'Inventory inputs'!E12</x:f>
        <x:v>46303</x:v>
      </x:c>
      <x:c r="E12" s="1" t="n">
        <x:f>'Inventory inputs'!F12</x:f>
        <x:v>18200</x:v>
      </x:c>
      <x:c r="F12" s="1" t="n">
        <x:f>'Inventory inputs'!G12</x:f>
        <x:v>8766.67</x:v>
      </x:c>
      <x:c r="G12" s="1" t="n">
        <x:f>'Inventory inputs'!H12/'Inventory inputs'!J12</x:f>
        <x:v>0.0588</x:v>
      </x:c>
      <x:c r="H12" s="1" t="n">
        <x:f>IF('Inventory inputs'!I12&gt;0,'Inventory inputs'!I12*'Inventory inputs'!K12/'Inventory inputs'!J12,"n.a.")</x:f>
        <x:v>0.0681552</x:v>
      </x:c>
      <x:c r="I12" s="1" t="n">
        <x:f>'Inventory inputs'!L12</x:f>
        <x:v>0</x:v>
      </x:c>
      <x:c r="J12" s="1" t="n">
        <x:f>'Inventory inputs'!M12</x:f>
        <x:v>18200</x:v>
      </x:c>
      <x:c r="K12" s="1" t="n">
        <x:f>'Inventory inputs'!N12</x:f>
        <x:v>0</x:v>
      </x:c>
      <x:c r="L12" s="1" t="n">
        <x:f>'Inventory inputs'!O12</x:f>
        <x:v>1</x:v>
      </x:c>
      <x:c r="M12" s="9" t="n">
        <x:f>E12*G12</x:f>
        <x:v>1070.1599999999999</x:v>
      </x:c>
      <x:c r="N12" s="9" t="n">
        <x:f>'Inventory inputs'!Q12</x:f>
        <x:v>1070.16</x:v>
      </x:c>
      <x:c r="O12" s="9" t="n">
        <x:f>N12-M12</x:f>
        <x:v>2.2737367544323206e-13</x:v>
      </x:c>
      <x:c r="P12" s="1" t="n">
        <x:f>SUMIFS('Incoming POs'!$P$2:$P$305,'Incoming POs'!$A$2:$A$305,A12,'Incoming POs'!$B$2:$B$305,B12,'Incoming POs'!$C$2:$C$305,C12,'Incoming POs'!$G$2:$G$305,"&gt;="&amp;D12,'Incoming POs'!$G$2:$G$305,"&lt;"&amp;Dashboard!$I$5)</x:f>
        <x:v>0</x:v>
      </x:c>
      <x:c r="Q12" s="1" t="n">
        <x:f>F12*Dashboard!$L$5*MAX(0,Dashboard!$I$5-D12)/30.4375</x:f>
        <x:v>11664.891498973306</x:v>
      </x:c>
      <x:c r="R12" s="1" t="n">
        <x:f>MAX(0,E12+P12-Q12)</x:f>
        <x:v>6535.108501026694</x:v>
      </x:c>
      <x:c r="S12" s="1" t="n">
        <x:f>MAX(0,Q12-E12-P12)</x:f>
        <x:v>0</x:v>
      </x:c>
      <x:c r="T12" s="1" t="n">
        <x:f>IF(L12=1,MAX(0,I12+AB12-MIN(Q12,E12+P12)),"n.a.")</x:f>
        <x:v>0</x:v>
      </x:c>
      <x:c r="U12" s="9" t="n">
        <x:f>IF(ISNUMBER(T12),T12*G12,"n.a.")</x:f>
        <x:v>0</x:v>
      </x:c>
      <x:c r="V12" s="25" t="n">
        <x:f>IF(Dashboard!$I$6="Flat %",1,IF(ISNUMBER(H12),1,0))</x:f>
        <x:v>1</x:v>
      </x:c>
      <x:c r="W12" s="9" t="n">
        <x:f>IF(Dashboard!$I$6="Flat %",G12*(1+Dashboard!$L$6),H12)</x:f>
        <x:v>0.0681552</x:v>
      </x:c>
      <x:c r="X12" s="9" t="n">
        <x:f>IF(V12=1,R12*(W12-G12),"n.a.")</x:f>
        <x:v>61.13724704880494</x:v>
      </x:c>
      <x:c r="Y12" s="9" t="n">
        <x:f>IF(V12=1,R12*W12,"n.a.")</x:f>
        <x:v>445.4016269091745</x:v>
      </x:c>
      <x:c r="Z12" s="1" t="n">
        <x:f>IF(ISNUMBER(T12),R12-T12,"n.a.")</x:f>
        <x:v>6535.108501026694</x:v>
      </x:c>
      <x:c r="AA12" s="1" t="str">
        <x:f>'Inventory inputs'!R12</x:f>
        <x:v>Classified</x:v>
      </x:c>
      <x:c r="AB12" s="1" t="n">
        <x:f>IF(L12=1,SUMIFS('Incoming POs'!$P$2:$P$305,'Incoming POs'!$A$2:$A$305,A12,'Incoming POs'!$B$2:$B$305,B12,'Incoming POs'!$C$2:$C$305,C12,'Incoming POs'!$G$2:$G$305,"&gt;="&amp;D12,'Incoming POs'!$G$2:$G$305,"&lt;"&amp;Dashboard!$I$5,'Incoming POs'!$Q$2:$Q$305,"&lt;="&amp;('Inventory inputs'!P12/'Inventory inputs'!J12*1.01)),"n.a.")</x:f>
        <x:v>0</x:v>
      </x:c>
      <x:c r="AC12" s="9" t="n">
        <x:f>I12*G12</x:f>
        <x:v>0</x:v>
      </x:c>
      <x:c r="AD12" s="9" t="n">
        <x:f>J12*G12</x:f>
        <x:v>1070.1599999999999</x:v>
      </x:c>
      <x:c r="AE12" s="9" t="n">
        <x:f>K12*G12</x:f>
        <x:v>0</x:v>
      </x:c>
      <x:c r="AF12" s="9" t="n">
        <x:f>R12*G12</x:f>
        <x:v>384.2643798603696</x:v>
      </x:c>
    </x:row>
    <x:row r="13" ht="21" customHeight="1">
      <x:c r="A13" s="1" t="str">
        <x:f>'Inventory inputs'!A13</x:f>
        <x:v>C400</x:v>
      </x:c>
      <x:c r="B13" s="1" t="str">
        <x:f>'Inventory inputs'!B13</x:f>
        <x:v>10</x:v>
      </x:c>
      <x:c r="C13" s="1" t="str">
        <x:f>'Inventory inputs'!C13</x:f>
        <x:v>400MISC</x:v>
      </x:c>
      <x:c r="D13" s="7" t="n">
        <x:f>'Inventory inputs'!E13</x:f>
        <x:v>46303</x:v>
      </x:c>
      <x:c r="E13" s="1" t="n">
        <x:f>'Inventory inputs'!F13</x:f>
        <x:v>58600</x:v>
      </x:c>
      <x:c r="F13" s="1" t="n">
        <x:f>'Inventory inputs'!G13</x:f>
        <x:v>7666.67</x:v>
      </x:c>
      <x:c r="G13" s="1" t="n">
        <x:f>'Inventory inputs'!H13/'Inventory inputs'!J13</x:f>
        <x:v>0.0412</x:v>
      </x:c>
      <x:c r="H13" s="1" t="n">
        <x:f>IF('Inventory inputs'!I13&gt;0,'Inventory inputs'!I13*'Inventory inputs'!K13/'Inventory inputs'!J13,"n.a.")</x:f>
        <x:v>0.047736</x:v>
      </x:c>
      <x:c r="I13" s="1" t="n">
        <x:f>'Inventory inputs'!L13</x:f>
        <x:v>21600</x:v>
      </x:c>
      <x:c r="J13" s="1" t="n">
        <x:f>'Inventory inputs'!M13</x:f>
        <x:v>37000</x:v>
      </x:c>
      <x:c r="K13" s="1" t="n">
        <x:f>'Inventory inputs'!N13</x:f>
        <x:v>0</x:v>
      </x:c>
      <x:c r="L13" s="1" t="n">
        <x:f>'Inventory inputs'!O13</x:f>
        <x:v>1</x:v>
      </x:c>
      <x:c r="M13" s="9" t="n">
        <x:f>E13*G13</x:f>
        <x:v>2414.32</x:v>
      </x:c>
      <x:c r="N13" s="9" t="n">
        <x:f>'Inventory inputs'!Q13</x:f>
        <x:v>2414.32</x:v>
      </x:c>
      <x:c r="O13" s="9" t="n">
        <x:f>N13-M13</x:f>
        <x:v>0</x:v>
      </x:c>
      <x:c r="P13" s="1" t="n">
        <x:f>SUMIFS('Incoming POs'!$P$2:$P$305,'Incoming POs'!$A$2:$A$305,A13,'Incoming POs'!$B$2:$B$305,B13,'Incoming POs'!$C$2:$C$305,C13,'Incoming POs'!$G$2:$G$305,"&gt;="&amp;D13,'Incoming POs'!$G$2:$G$305,"&lt;"&amp;Dashboard!$I$5)</x:f>
        <x:v>0</x:v>
      </x:c>
      <x:c r="Q13" s="1" t="n">
        <x:f>F13*Dashboard!$L$5*MAX(0,Dashboard!$I$5-D13)/30.4375</x:f>
        <x:v>10201.236468172485</x:v>
      </x:c>
      <x:c r="R13" s="1" t="n">
        <x:f>MAX(0,E13+P13-Q13)</x:f>
        <x:v>48398.76353182751</x:v>
      </x:c>
      <x:c r="S13" s="1" t="n">
        <x:f>MAX(0,Q13-E13-P13)</x:f>
        <x:v>0</x:v>
      </x:c>
      <x:c r="T13" s="1" t="n">
        <x:f>IF(L13=1,MAX(0,I13+AB13-MIN(Q13,E13+P13)),"n.a.")</x:f>
        <x:v>11398.763531827515</x:v>
      </x:c>
      <x:c r="U13" s="9" t="n">
        <x:f>IF(ISNUMBER(T13),T13*G13,"n.a.")</x:f>
        <x:v>469.62905751129364</x:v>
      </x:c>
      <x:c r="V13" s="25" t="n">
        <x:f>IF(Dashboard!$I$6="Flat %",1,IF(ISNUMBER(H13),1,0))</x:f>
        <x:v>1</x:v>
      </x:c>
      <x:c r="W13" s="9" t="n">
        <x:f>IF(Dashboard!$I$6="Flat %",G13*(1+Dashboard!$L$6),H13)</x:f>
        <x:v>0.047736</x:v>
      </x:c>
      <x:c r="X13" s="9" t="n">
        <x:f>IF(V13=1,R13*(W13-G13),"n.a.")</x:f>
        <x:v>316.33431844402463</x:v>
      </x:c>
      <x:c r="Y13" s="9" t="n">
        <x:f>IF(V13=1,R13*W13,"n.a.")</x:f>
        <x:v>2310.363375955318</x:v>
      </x:c>
      <x:c r="Z13" s="1" t="n">
        <x:f>IF(ISNUMBER(T13),R13-T13,"n.a.")</x:f>
        <x:v>37000</x:v>
      </x:c>
      <x:c r="AA13" s="1" t="str">
        <x:f>'Inventory inputs'!R13</x:f>
        <x:v>Classified</x:v>
      </x:c>
      <x:c r="AB13" s="1" t="n">
        <x:f>IF(L13=1,SUMIFS('Incoming POs'!$P$2:$P$305,'Incoming POs'!$A$2:$A$305,A13,'Incoming POs'!$B$2:$B$305,B13,'Incoming POs'!$C$2:$C$305,C13,'Incoming POs'!$G$2:$G$305,"&gt;="&amp;D13,'Incoming POs'!$G$2:$G$305,"&lt;"&amp;Dashboard!$I$5,'Incoming POs'!$Q$2:$Q$305,"&lt;="&amp;('Inventory inputs'!P13/'Inventory inputs'!J13*1.01)),"n.a.")</x:f>
        <x:v>0</x:v>
      </x:c>
      <x:c r="AC13" s="9" t="n">
        <x:f>I13*G13</x:f>
        <x:v>889.92</x:v>
      </x:c>
      <x:c r="AD13" s="9" t="n">
        <x:f>J13*G13</x:f>
        <x:v>1524.4</x:v>
      </x:c>
      <x:c r="AE13" s="9" t="n">
        <x:f>K13*G13</x:f>
        <x:v>0</x:v>
      </x:c>
      <x:c r="AF13" s="9" t="n">
        <x:f>R13*G13</x:f>
        <x:v>1994.0290575112936</x:v>
      </x:c>
    </x:row>
    <x:row r="14" ht="21" customHeight="1">
      <x:c r="A14" s="1" t="str">
        <x:f>'Inventory inputs'!A14</x:f>
        <x:v>C400</x:v>
      </x:c>
      <x:c r="B14" s="1" t="str">
        <x:f>'Inventory inputs'!B14</x:f>
        <x:v>10</x:v>
      </x:c>
      <x:c r="C14" s="1" t="str">
        <x:f>'Inventory inputs'!C14</x:f>
        <x:v>400HDSC</x:v>
      </x:c>
      <x:c r="D14" s="7" t="n">
        <x:f>'Inventory inputs'!E14</x:f>
        <x:v>46303</x:v>
      </x:c>
      <x:c r="E14" s="1" t="n">
        <x:f>'Inventory inputs'!F14</x:f>
        <x:v>33100</x:v>
      </x:c>
      <x:c r="F14" s="1" t="n">
        <x:f>'Inventory inputs'!G14</x:f>
        <x:v>6341.67</x:v>
      </x:c>
      <x:c r="G14" s="1" t="n">
        <x:f>'Inventory inputs'!H14/'Inventory inputs'!J14</x:f>
        <x:v>0.11130000000000001</x:v>
      </x:c>
      <x:c r="H14" s="1" t="n">
        <x:f>IF('Inventory inputs'!I14&gt;0,'Inventory inputs'!I14*'Inventory inputs'!K14/'Inventory inputs'!J14,"n.a.")</x:f>
        <x:v>0.1289088</x:v>
      </x:c>
      <x:c r="I14" s="1" t="n">
        <x:f>'Inventory inputs'!L14</x:f>
        <x:v>13100</x:v>
      </x:c>
      <x:c r="J14" s="1" t="n">
        <x:f>'Inventory inputs'!M14</x:f>
        <x:v>20000</x:v>
      </x:c>
      <x:c r="K14" s="1" t="n">
        <x:f>'Inventory inputs'!N14</x:f>
        <x:v>0</x:v>
      </x:c>
      <x:c r="L14" s="1" t="n">
        <x:f>'Inventory inputs'!O14</x:f>
        <x:v>1</x:v>
      </x:c>
      <x:c r="M14" s="9" t="n">
        <x:f>E14*G14</x:f>
        <x:v>3684.03</x:v>
      </x:c>
      <x:c r="N14" s="9" t="n">
        <x:f>'Inventory inputs'!Q14</x:f>
        <x:v>3761.94</x:v>
      </x:c>
      <x:c r="O14" s="9" t="n">
        <x:f>N14-M14</x:f>
        <x:v>77.90999999999985</x:v>
      </x:c>
      <x:c r="P14" s="1" t="n">
        <x:f>SUMIFS('Incoming POs'!$P$2:$P$305,'Incoming POs'!$A$2:$A$305,A14,'Incoming POs'!$B$2:$B$305,B14,'Incoming POs'!$C$2:$C$305,C14,'Incoming POs'!$G$2:$G$305,"&gt;="&amp;D14,'Incoming POs'!$G$2:$G$305,"&lt;"&amp;Dashboard!$I$5)</x:f>
        <x:v>0</x:v>
      </x:c>
      <x:c r="Q14" s="1" t="n">
        <x:f>F14*Dashboard!$L$5*MAX(0,Dashboard!$I$5-D14)/30.4375</x:f>
        <x:v>8438.19745379877</x:v>
      </x:c>
      <x:c r="R14" s="1" t="n">
        <x:f>MAX(0,E14+P14-Q14)</x:f>
        <x:v>24661.80254620123</x:v>
      </x:c>
      <x:c r="S14" s="1" t="n">
        <x:f>MAX(0,Q14-E14-P14)</x:f>
        <x:v>0</x:v>
      </x:c>
      <x:c r="T14" s="1" t="n">
        <x:f>IF(L14=1,MAX(0,I14+AB14-MIN(Q14,E14+P14)),"n.a.")</x:f>
        <x:v>4661.80254620123</x:v>
      </x:c>
      <x:c r="U14" s="9" t="n">
        <x:f>IF(ISNUMBER(T14),T14*G14,"n.a.")</x:f>
        <x:v>518.8586233921969</x:v>
      </x:c>
      <x:c r="V14" s="25" t="n">
        <x:f>IF(Dashboard!$I$6="Flat %",1,IF(ISNUMBER(H14),1,0))</x:f>
        <x:v>1</x:v>
      </x:c>
      <x:c r="W14" s="9" t="n">
        <x:f>IF(Dashboard!$I$6="Flat %",G14*(1+Dashboard!$L$6),H14)</x:f>
        <x:v>0.1289088</x:v>
      </x:c>
      <x:c r="X14" s="9" t="n">
        <x:f>IF(V14=1,R14*(W14-G14),"n.a.")</x:f>
        <x:v>434.2647486755477</x:v>
      </x:c>
      <x:c r="Y14" s="9" t="n">
        <x:f>IF(V14=1,R14*W14,"n.a.")</x:f>
        <x:v>3179.123372067745</x:v>
      </x:c>
      <x:c r="Z14" s="1" t="n">
        <x:f>IF(ISNUMBER(T14),R14-T14,"n.a.")</x:f>
        <x:v>20000</x:v>
      </x:c>
      <x:c r="AA14" s="1" t="str">
        <x:f>'Inventory inputs'!R14</x:f>
        <x:v>Classified</x:v>
      </x:c>
      <x:c r="AB14" s="1" t="n">
        <x:f>IF(L14=1,SUMIFS('Incoming POs'!$P$2:$P$305,'Incoming POs'!$A$2:$A$305,A14,'Incoming POs'!$B$2:$B$305,B14,'Incoming POs'!$C$2:$C$305,C14,'Incoming POs'!$G$2:$G$305,"&gt;="&amp;D14,'Incoming POs'!$G$2:$G$305,"&lt;"&amp;Dashboard!$I$5,'Incoming POs'!$Q$2:$Q$305,"&lt;="&amp;('Inventory inputs'!P14/'Inventory inputs'!J14*1.01)),"n.a.")</x:f>
        <x:v>0</x:v>
      </x:c>
      <x:c r="AC14" s="9" t="n">
        <x:f>I14*G14</x:f>
        <x:v>1458.0300000000002</x:v>
      </x:c>
      <x:c r="AD14" s="9" t="n">
        <x:f>J14*G14</x:f>
        <x:v>2226</x:v>
      </x:c>
      <x:c r="AE14" s="9" t="n">
        <x:f>K14*G14</x:f>
        <x:v>0</x:v>
      </x:c>
      <x:c r="AF14" s="9" t="n">
        <x:f>R14*G14</x:f>
        <x:v>2744.8586233921974</x:v>
      </x:c>
    </x:row>
    <x:row r="15" ht="21" customHeight="1">
      <x:c r="A15" s="1" t="str">
        <x:f>'Inventory inputs'!A15</x:f>
        <x:v>C400</x:v>
      </x:c>
      <x:c r="B15" s="1" t="str">
        <x:f>'Inventory inputs'!B15</x:f>
        <x:v>10</x:v>
      </x:c>
      <x:c r="C15" s="1" t="str">
        <x:f>'Inventory inputs'!C15</x:f>
        <x:v>400HASCT</x:v>
      </x:c>
      <x:c r="D15" s="7" t="n">
        <x:f>'Inventory inputs'!E15</x:f>
        <x:v>46303</x:v>
      </x:c>
      <x:c r="E15" s="1" t="n">
        <x:f>'Inventory inputs'!F15</x:f>
        <x:v>47500</x:v>
      </x:c>
      <x:c r="F15" s="1" t="n">
        <x:f>'Inventory inputs'!G15</x:f>
        <x:v>6275</x:v>
      </x:c>
      <x:c r="G15" s="1" t="n">
        <x:f>'Inventory inputs'!H15/'Inventory inputs'!J15</x:f>
        <x:v>0.0733</x:v>
      </x:c>
      <x:c r="H15" s="1" t="n">
        <x:f>IF('Inventory inputs'!I15&gt;0,'Inventory inputs'!I15*'Inventory inputs'!K15/'Inventory inputs'!J15,"n.a.")</x:f>
        <x:v>0.08488799999999999</x:v>
      </x:c>
      <x:c r="I15" s="1" t="n">
        <x:f>'Inventory inputs'!L15</x:f>
        <x:v>22500</x:v>
      </x:c>
      <x:c r="J15" s="1" t="n">
        <x:f>'Inventory inputs'!M15</x:f>
        <x:v>25000</x:v>
      </x:c>
      <x:c r="K15" s="1" t="n">
        <x:f>'Inventory inputs'!N15</x:f>
        <x:v>0</x:v>
      </x:c>
      <x:c r="L15" s="1" t="n">
        <x:f>'Inventory inputs'!O15</x:f>
        <x:v>1</x:v>
      </x:c>
      <x:c r="M15" s="9" t="n">
        <x:f>E15*G15</x:f>
        <x:v>3481.75</x:v>
      </x:c>
      <x:c r="N15" s="9" t="n">
        <x:f>'Inventory inputs'!Q15</x:f>
        <x:v>3665</x:v>
      </x:c>
      <x:c r="O15" s="9" t="n">
        <x:f>N15-M15</x:f>
        <x:v>183.25</x:v>
      </x:c>
      <x:c r="P15" s="1" t="n">
        <x:f>SUMIFS('Incoming POs'!$P$2:$P$305,'Incoming POs'!$A$2:$A$305,A15,'Incoming POs'!$B$2:$B$305,B15,'Incoming POs'!$C$2:$C$305,C15,'Incoming POs'!$G$2:$G$305,"&gt;="&amp;D15,'Incoming POs'!$G$2:$G$305,"&lt;"&amp;Dashboard!$I$5)</x:f>
        <x:v>0</x:v>
      </x:c>
      <x:c r="Q15" s="1" t="n">
        <x:f>F15*Dashboard!$L$5*MAX(0,Dashboard!$I$5-D15)/30.4375</x:f>
        <x:v>8349.486652977414</x:v>
      </x:c>
      <x:c r="R15" s="1" t="n">
        <x:f>MAX(0,E15+P15-Q15)</x:f>
        <x:v>39150.513347022585</x:v>
      </x:c>
      <x:c r="S15" s="1" t="n">
        <x:f>MAX(0,Q15-E15-P15)</x:f>
        <x:v>0</x:v>
      </x:c>
      <x:c r="T15" s="1" t="n">
        <x:f>IF(L15=1,MAX(0,I15+AB15-MIN(Q15,E15+P15)),"n.a.")</x:f>
        <x:v>14150.513347022586</x:v>
      </x:c>
      <x:c r="U15" s="9" t="n">
        <x:f>IF(ISNUMBER(T15),T15*G15,"n.a.")</x:f>
        <x:v>1037.2326283367556</x:v>
      </x:c>
      <x:c r="V15" s="25" t="n">
        <x:f>IF(Dashboard!$I$6="Flat %",1,IF(ISNUMBER(H15),1,0))</x:f>
        <x:v>1</x:v>
      </x:c>
      <x:c r="W15" s="9" t="n">
        <x:f>IF(Dashboard!$I$6="Flat %",G15*(1+Dashboard!$L$6),H15)</x:f>
        <x:v>0.08488799999999999</x:v>
      </x:c>
      <x:c r="X15" s="9" t="n">
        <x:f>IF(V15=1,R15*(W15-G15),"n.a.")</x:f>
        <x:v>453.6761486652972</x:v>
      </x:c>
      <x:c r="Y15" s="9" t="n">
        <x:f>IF(V15=1,R15*W15,"n.a.")</x:f>
        <x:v>3323.408777002053</x:v>
      </x:c>
      <x:c r="Z15" s="1" t="n">
        <x:f>IF(ISNUMBER(T15),R15-T15,"n.a.")</x:f>
        <x:v>25000</x:v>
      </x:c>
      <x:c r="AA15" s="1" t="str">
        <x:f>'Inventory inputs'!R15</x:f>
        <x:v>Classified</x:v>
      </x:c>
      <x:c r="AB15" s="1" t="n">
        <x:f>IF(L15=1,SUMIFS('Incoming POs'!$P$2:$P$305,'Incoming POs'!$A$2:$A$305,A15,'Incoming POs'!$B$2:$B$305,B15,'Incoming POs'!$C$2:$C$305,C15,'Incoming POs'!$G$2:$G$305,"&gt;="&amp;D15,'Incoming POs'!$G$2:$G$305,"&lt;"&amp;Dashboard!$I$5,'Incoming POs'!$Q$2:$Q$305,"&lt;="&amp;('Inventory inputs'!P15/'Inventory inputs'!J15*1.01)),"n.a.")</x:f>
        <x:v>0</x:v>
      </x:c>
      <x:c r="AC15" s="9" t="n">
        <x:f>I15*G15</x:f>
        <x:v>1649.25</x:v>
      </x:c>
      <x:c r="AD15" s="9" t="n">
        <x:f>J15*G15</x:f>
        <x:v>1832.5</x:v>
      </x:c>
      <x:c r="AE15" s="9" t="n">
        <x:f>K15*G15</x:f>
        <x:v>0</x:v>
      </x:c>
      <x:c r="AF15" s="9" t="n">
        <x:f>R15*G15</x:f>
        <x:v>2869.7326283367556</x:v>
      </x:c>
    </x:row>
    <x:row r="16" ht="21" customHeight="1">
      <x:c r="A16" s="1" t="str">
        <x:f>'Inventory inputs'!A16</x:f>
        <x:v>C400</x:v>
      </x:c>
      <x:c r="B16" s="1" t="str">
        <x:f>'Inventory inputs'!B16</x:f>
        <x:v>30</x:v>
      </x:c>
      <x:c r="C16" s="1" t="str">
        <x:f>'Inventory inputs'!C16</x:f>
        <x:v>400LASC</x:v>
      </x:c>
      <x:c r="D16" s="7" t="n">
        <x:f>'Inventory inputs'!E16</x:f>
        <x:v>46303</x:v>
      </x:c>
      <x:c r="E16" s="1" t="n">
        <x:f>'Inventory inputs'!F16</x:f>
        <x:v>38600</x:v>
      </x:c>
      <x:c r="F16" s="1" t="n">
        <x:f>'Inventory inputs'!G16</x:f>
        <x:v>4991.67</x:v>
      </x:c>
      <x:c r="G16" s="1" t="n">
        <x:f>'Inventory inputs'!H16/'Inventory inputs'!J16</x:f>
        <x:v>0.0278</x:v>
      </x:c>
      <x:c r="H16" s="1" t="n">
        <x:f>IF('Inventory inputs'!I16&gt;0,'Inventory inputs'!I16*'Inventory inputs'!K16/'Inventory inputs'!J16,"n.a.")</x:f>
        <x:v>0.0321552</x:v>
      </x:c>
      <x:c r="I16" s="1" t="n">
        <x:f>'Inventory inputs'!L16</x:f>
        <x:v>8600</x:v>
      </x:c>
      <x:c r="J16" s="1" t="n">
        <x:f>'Inventory inputs'!M16</x:f>
        <x:v>30000</x:v>
      </x:c>
      <x:c r="K16" s="1" t="n">
        <x:f>'Inventory inputs'!N16</x:f>
        <x:v>0</x:v>
      </x:c>
      <x:c r="L16" s="1" t="n">
        <x:f>'Inventory inputs'!O16</x:f>
        <x:v>1</x:v>
      </x:c>
      <x:c r="M16" s="9" t="n">
        <x:f>E16*G16</x:f>
        <x:v>1073.08</x:v>
      </x:c>
      <x:c r="N16" s="9" t="n">
        <x:f>'Inventory inputs'!Q16</x:f>
        <x:v>1073.08</x:v>
      </x:c>
      <x:c r="O16" s="9" t="n">
        <x:f>N16-M16</x:f>
        <x:v>0</x:v>
      </x:c>
      <x:c r="P16" s="1" t="n">
        <x:f>SUMIFS('Incoming POs'!$P$2:$P$305,'Incoming POs'!$A$2:$A$305,A16,'Incoming POs'!$B$2:$B$305,B16,'Incoming POs'!$C$2:$C$305,C16,'Incoming POs'!$G$2:$G$305,"&gt;="&amp;D16,'Incoming POs'!$G$2:$G$305,"&lt;"&amp;Dashboard!$I$5)</x:f>
        <x:v>0</x:v>
      </x:c>
      <x:c r="Q16" s="1" t="n">
        <x:f>F16*Dashboard!$L$5*MAX(0,Dashboard!$I$5-D16)/30.4375</x:f>
        <x:v>6641.893552361396</x:v>
      </x:c>
      <x:c r="R16" s="1" t="n">
        <x:f>MAX(0,E16+P16-Q16)</x:f>
        <x:v>31958.106447638602</x:v>
      </x:c>
      <x:c r="S16" s="1" t="n">
        <x:f>MAX(0,Q16-E16-P16)</x:f>
        <x:v>0</x:v>
      </x:c>
      <x:c r="T16" s="1" t="n">
        <x:f>IF(L16=1,MAX(0,I16+AB16-MIN(Q16,E16+P16)),"n.a.")</x:f>
        <x:v>1958.1064476386036</x:v>
      </x:c>
      <x:c r="U16" s="9" t="n">
        <x:f>IF(ISNUMBER(T16),T16*G16,"n.a.")</x:f>
        <x:v>54.43535924435318</x:v>
      </x:c>
      <x:c r="V16" s="25" t="n">
        <x:f>IF(Dashboard!$I$6="Flat %",1,IF(ISNUMBER(H16),1,0))</x:f>
        <x:v>1</x:v>
      </x:c>
      <x:c r="W16" s="9" t="n">
        <x:f>IF(Dashboard!$I$6="Flat %",G16*(1+Dashboard!$L$6),H16)</x:f>
        <x:v>0.0321552</x:v>
      </x:c>
      <x:c r="X16" s="9" t="n">
        <x:f>IF(V16=1,R16*(W16-G16),"n.a.")</x:f>
        <x:v>139.18394520075574</x:v>
      </x:c>
      <x:c r="Y16" s="9" t="n">
        <x:f>IF(V16=1,R16*W16,"n.a.")</x:f>
        <x:v>1027.6193044451088</x:v>
      </x:c>
      <x:c r="Z16" s="1" t="n">
        <x:f>IF(ISNUMBER(T16),R16-T16,"n.a.")</x:f>
        <x:v>30000</x:v>
      </x:c>
      <x:c r="AA16" s="1" t="str">
        <x:f>'Inventory inputs'!R16</x:f>
        <x:v>Classified</x:v>
      </x:c>
      <x:c r="AB16" s="1" t="n">
        <x:f>IF(L16=1,SUMIFS('Incoming POs'!$P$2:$P$305,'Incoming POs'!$A$2:$A$305,A16,'Incoming POs'!$B$2:$B$305,B16,'Incoming POs'!$C$2:$C$305,C16,'Incoming POs'!$G$2:$G$305,"&gt;="&amp;D16,'Incoming POs'!$G$2:$G$305,"&lt;"&amp;Dashboard!$I$5,'Incoming POs'!$Q$2:$Q$305,"&lt;="&amp;('Inventory inputs'!P16/'Inventory inputs'!J16*1.01)),"n.a.")</x:f>
        <x:v>0</x:v>
      </x:c>
      <x:c r="AC16" s="9" t="n">
        <x:f>I16*G16</x:f>
        <x:v>239.07999999999998</x:v>
      </x:c>
      <x:c r="AD16" s="9" t="n">
        <x:f>J16*G16</x:f>
        <x:v>834</x:v>
      </x:c>
      <x:c r="AE16" s="9" t="n">
        <x:f>K16*G16</x:f>
        <x:v>0</x:v>
      </x:c>
      <x:c r="AF16" s="9" t="n">
        <x:f>R16*G16</x:f>
        <x:v>888.4353592443531</x:v>
      </x:c>
    </x:row>
    <x:row r="17" ht="21" customHeight="1">
      <x:c r="A17" s="1" t="str">
        <x:f>'Inventory inputs'!A17</x:f>
        <x:v>C400</x:v>
      </x:c>
      <x:c r="B17" s="1" t="str">
        <x:f>'Inventory inputs'!B17</x:f>
        <x:v>60</x:v>
      </x:c>
      <x:c r="C17" s="1" t="str">
        <x:f>'Inventory inputs'!C17</x:f>
        <x:v>400HDSC</x:v>
      </x:c>
      <x:c r="D17" s="7" t="n">
        <x:f>'Inventory inputs'!E17</x:f>
        <x:v>46303</x:v>
      </x:c>
      <x:c r="E17" s="1" t="n">
        <x:f>'Inventory inputs'!F17</x:f>
        <x:v>31200</x:v>
      </x:c>
      <x:c r="F17" s="1" t="n">
        <x:f>'Inventory inputs'!G17</x:f>
        <x:v>4750</x:v>
      </x:c>
      <x:c r="G17" s="1" t="n">
        <x:f>'Inventory inputs'!H17/'Inventory inputs'!J17</x:f>
        <x:v>0.11130000000000001</x:v>
      </x:c>
      <x:c r="H17" s="1" t="n">
        <x:f>IF('Inventory inputs'!I17&gt;0,'Inventory inputs'!I17*'Inventory inputs'!K17/'Inventory inputs'!J17,"n.a.")</x:f>
        <x:v>0.1289088</x:v>
      </x:c>
      <x:c r="I17" s="1" t="n">
        <x:f>'Inventory inputs'!L17</x:f>
        <x:v>17200</x:v>
      </x:c>
      <x:c r="J17" s="1" t="n">
        <x:f>'Inventory inputs'!M17</x:f>
        <x:v>14000</x:v>
      </x:c>
      <x:c r="K17" s="1" t="n">
        <x:f>'Inventory inputs'!N17</x:f>
        <x:v>0</x:v>
      </x:c>
      <x:c r="L17" s="1" t="n">
        <x:f>'Inventory inputs'!O17</x:f>
        <x:v>1</x:v>
      </x:c>
      <x:c r="M17" s="9" t="n">
        <x:f>E17*G17</x:f>
        <x:v>3472.5600000000004</x:v>
      </x:c>
      <x:c r="N17" s="9" t="n">
        <x:f>'Inventory inputs'!Q17</x:f>
        <x:v>3472.56</x:v>
      </x:c>
      <x:c r="O17" s="9" t="n">
        <x:f>N17-M17</x:f>
        <x:v>-4.547473508864641e-13</x:v>
      </x:c>
      <x:c r="P17" s="1" t="n">
        <x:f>SUMIFS('Incoming POs'!$P$2:$P$305,'Incoming POs'!$A$2:$A$305,A17,'Incoming POs'!$B$2:$B$305,B17,'Incoming POs'!$C$2:$C$305,C17,'Incoming POs'!$G$2:$G$305,"&gt;="&amp;D17,'Incoming POs'!$G$2:$G$305,"&lt;"&amp;Dashboard!$I$5)</x:f>
        <x:v>0</x:v>
      </x:c>
      <x:c r="Q17" s="1" t="n">
        <x:f>F17*Dashboard!$L$5*MAX(0,Dashboard!$I$5-D17)/30.4375</x:f>
        <x:v>6320.328542094456</x:v>
      </x:c>
      <x:c r="R17" s="1" t="n">
        <x:f>MAX(0,E17+P17-Q17)</x:f>
        <x:v>24879.671457905544</x:v>
      </x:c>
      <x:c r="S17" s="1" t="n">
        <x:f>MAX(0,Q17-E17-P17)</x:f>
        <x:v>0</x:v>
      </x:c>
      <x:c r="T17" s="1" t="n">
        <x:f>IF(L17=1,MAX(0,I17+AB17-MIN(Q17,E17+P17)),"n.a.")</x:f>
        <x:v>10879.671457905544</x:v>
      </x:c>
      <x:c r="U17" s="9" t="n">
        <x:f>IF(ISNUMBER(T17),T17*G17,"n.a.")</x:f>
        <x:v>1210.9074332648872</x:v>
      </x:c>
      <x:c r="V17" s="25" t="n">
        <x:f>IF(Dashboard!$I$6="Flat %",1,IF(ISNUMBER(H17),1,0))</x:f>
        <x:v>1</x:v>
      </x:c>
      <x:c r="W17" s="9" t="n">
        <x:f>IF(Dashboard!$I$6="Flat %",G17*(1+Dashboard!$L$6),H17)</x:f>
        <x:v>0.1289088</x:v>
      </x:c>
      <x:c r="X17" s="9" t="n">
        <x:f>IF(V17=1,R17*(W17-G17),"n.a.")</x:f>
        <x:v>438.10115876796664</x:v>
      </x:c>
      <x:c r="Y17" s="9" t="n">
        <x:f>IF(V17=1,R17*W17,"n.a.")</x:f>
        <x:v>3207.208592032854</x:v>
      </x:c>
      <x:c r="Z17" s="1" t="n">
        <x:f>IF(ISNUMBER(T17),R17-T17,"n.a.")</x:f>
        <x:v>14000</x:v>
      </x:c>
      <x:c r="AA17" s="1" t="str">
        <x:f>'Inventory inputs'!R17</x:f>
        <x:v>Classified</x:v>
      </x:c>
      <x:c r="AB17" s="1" t="n">
        <x:f>IF(L17=1,SUMIFS('Incoming POs'!$P$2:$P$305,'Incoming POs'!$A$2:$A$305,A17,'Incoming POs'!$B$2:$B$305,B17,'Incoming POs'!$C$2:$C$305,C17,'Incoming POs'!$G$2:$G$305,"&gt;="&amp;D17,'Incoming POs'!$G$2:$G$305,"&lt;"&amp;Dashboard!$I$5,'Incoming POs'!$Q$2:$Q$305,"&lt;="&amp;('Inventory inputs'!P17/'Inventory inputs'!J17*1.01)),"n.a.")</x:f>
        <x:v>0</x:v>
      </x:c>
      <x:c r="AC17" s="9" t="n">
        <x:f>I17*G17</x:f>
        <x:v>1914.3600000000001</x:v>
      </x:c>
      <x:c r="AD17" s="9" t="n">
        <x:f>J17*G17</x:f>
        <x:v>1558.2</x:v>
      </x:c>
      <x:c r="AE17" s="9" t="n">
        <x:f>K17*G17</x:f>
        <x:v>0</x:v>
      </x:c>
      <x:c r="AF17" s="9" t="n">
        <x:f>R17*G17</x:f>
        <x:v>2769.1074332648873</x:v>
      </x:c>
    </x:row>
    <x:row r="18" ht="21" customHeight="1">
      <x:c r="A18" s="1" t="str">
        <x:f>'Inventory inputs'!A18</x:f>
        <x:v>C400</x:v>
      </x:c>
      <x:c r="B18" s="1" t="str">
        <x:f>'Inventory inputs'!B18</x:f>
        <x:v>60</x:v>
      </x:c>
      <x:c r="C18" s="1" t="str">
        <x:f>'Inventory inputs'!C18</x:f>
        <x:v>400MISC</x:v>
      </x:c>
      <x:c r="D18" s="7" t="n">
        <x:f>'Inventory inputs'!E18</x:f>
        <x:v>46303</x:v>
      </x:c>
      <x:c r="E18" s="1" t="n">
        <x:f>'Inventory inputs'!F18</x:f>
        <x:v>30900</x:v>
      </x:c>
      <x:c r="F18" s="1" t="n">
        <x:f>'Inventory inputs'!G18</x:f>
        <x:v>4516.67</x:v>
      </x:c>
      <x:c r="G18" s="1" t="n">
        <x:f>'Inventory inputs'!H18/'Inventory inputs'!J18</x:f>
        <x:v>0.0412</x:v>
      </x:c>
      <x:c r="H18" s="1" t="n">
        <x:f>IF('Inventory inputs'!I18&gt;0,'Inventory inputs'!I18*'Inventory inputs'!K18/'Inventory inputs'!J18,"n.a.")</x:f>
        <x:v>0.047736</x:v>
      </x:c>
      <x:c r="I18" s="1" t="n">
        <x:f>'Inventory inputs'!L18</x:f>
        <x:v>21900</x:v>
      </x:c>
      <x:c r="J18" s="1" t="n">
        <x:f>'Inventory inputs'!M18</x:f>
        <x:v>9000</x:v>
      </x:c>
      <x:c r="K18" s="1" t="n">
        <x:f>'Inventory inputs'!N18</x:f>
        <x:v>0</x:v>
      </x:c>
      <x:c r="L18" s="1" t="n">
        <x:f>'Inventory inputs'!O18</x:f>
        <x:v>1</x:v>
      </x:c>
      <x:c r="M18" s="9" t="n">
        <x:f>E18*G18</x:f>
        <x:v>1273.08</x:v>
      </x:c>
      <x:c r="N18" s="9" t="n">
        <x:f>'Inventory inputs'!Q18</x:f>
        <x:v>1273.08</x:v>
      </x:c>
      <x:c r="O18" s="9" t="n">
        <x:f>N18-M18</x:f>
        <x:v>0</x:v>
      </x:c>
      <x:c r="P18" s="1" t="n">
        <x:f>SUMIFS('Incoming POs'!$P$2:$P$305,'Incoming POs'!$A$2:$A$305,A18,'Incoming POs'!$B$2:$B$305,B18,'Incoming POs'!$C$2:$C$305,C18,'Incoming POs'!$G$2:$G$305,"&gt;="&amp;D18,'Incoming POs'!$G$2:$G$305,"&lt;"&amp;Dashboard!$I$5)</x:f>
        <x:v>0</x:v>
      </x:c>
      <x:c r="Q18" s="1" t="n">
        <x:f>F18*Dashboard!$L$5*MAX(0,Dashboard!$I$5-D18)/30.4375</x:f>
        <x:v>6009.860698151951</x:v>
      </x:c>
      <x:c r="R18" s="1" t="n">
        <x:f>MAX(0,E18+P18-Q18)</x:f>
        <x:v>24890.13930184805</x:v>
      </x:c>
      <x:c r="S18" s="1" t="n">
        <x:f>MAX(0,Q18-E18-P18)</x:f>
        <x:v>0</x:v>
      </x:c>
      <x:c r="T18" s="1" t="n">
        <x:f>IF(L18=1,MAX(0,I18+AB18-MIN(Q18,E18+P18)),"n.a.")</x:f>
        <x:v>15890.139301848048</x:v>
      </x:c>
      <x:c r="U18" s="9" t="n">
        <x:f>IF(ISNUMBER(T18),T18*G18,"n.a.")</x:f>
        <x:v>654.6737392361396</x:v>
      </x:c>
      <x:c r="V18" s="25" t="n">
        <x:f>IF(Dashboard!$I$6="Flat %",1,IF(ISNUMBER(H18),1,0))</x:f>
        <x:v>1</x:v>
      </x:c>
      <x:c r="W18" s="9" t="n">
        <x:f>IF(Dashboard!$I$6="Flat %",G18*(1+Dashboard!$L$6),H18)</x:f>
        <x:v>0.047736</x:v>
      </x:c>
      <x:c r="X18" s="9" t="n">
        <x:f>IF(V18=1,R18*(W18-G18),"n.a.")</x:f>
        <x:v>162.68195047687885</x:v>
      </x:c>
      <x:c r="Y18" s="9" t="n">
        <x:f>IF(V18=1,R18*W18,"n.a.")</x:f>
        <x:v>1188.1556897130185</x:v>
      </x:c>
      <x:c r="Z18" s="1" t="n">
        <x:f>IF(ISNUMBER(T18),R18-T18,"n.a.")</x:f>
        <x:v>9000</x:v>
      </x:c>
      <x:c r="AA18" s="1" t="str">
        <x:f>'Inventory inputs'!R18</x:f>
        <x:v>Classified</x:v>
      </x:c>
      <x:c r="AB18" s="1" t="n">
        <x:f>IF(L18=1,SUMIFS('Incoming POs'!$P$2:$P$305,'Incoming POs'!$A$2:$A$305,A18,'Incoming POs'!$B$2:$B$305,B18,'Incoming POs'!$C$2:$C$305,C18,'Incoming POs'!$G$2:$G$305,"&gt;="&amp;D18,'Incoming POs'!$G$2:$G$305,"&lt;"&amp;Dashboard!$I$5,'Incoming POs'!$Q$2:$Q$305,"&lt;="&amp;('Inventory inputs'!P18/'Inventory inputs'!J18*1.01)),"n.a.")</x:f>
        <x:v>0</x:v>
      </x:c>
      <x:c r="AC18" s="9" t="n">
        <x:f>I18*G18</x:f>
        <x:v>902.28</x:v>
      </x:c>
      <x:c r="AD18" s="9" t="n">
        <x:f>J18*G18</x:f>
        <x:v>370.8</x:v>
      </x:c>
      <x:c r="AE18" s="9" t="n">
        <x:f>K18*G18</x:f>
        <x:v>0</x:v>
      </x:c>
      <x:c r="AF18" s="9" t="n">
        <x:f>R18*G18</x:f>
        <x:v>1025.4737392361396</x:v>
      </x:c>
    </x:row>
    <x:row r="19" ht="21" customHeight="1">
      <x:c r="A19" s="1" t="str">
        <x:f>'Inventory inputs'!A19</x:f>
        <x:v>C400</x:v>
      </x:c>
      <x:c r="B19" s="1" t="str">
        <x:f>'Inventory inputs'!B19</x:f>
        <x:v>10</x:v>
      </x:c>
      <x:c r="C19" s="1" t="str">
        <x:f>'Inventory inputs'!C19</x:f>
        <x:v>400MDSC</x:v>
      </x:c>
      <x:c r="D19" s="7" t="n">
        <x:f>'Inventory inputs'!E19</x:f>
        <x:v>46303</x:v>
      </x:c>
      <x:c r="E19" s="1" t="n">
        <x:f>'Inventory inputs'!F19</x:f>
        <x:v>27600</x:v>
      </x:c>
      <x:c r="F19" s="1" t="n">
        <x:f>'Inventory inputs'!G19</x:f>
        <x:v>4250</x:v>
      </x:c>
      <x:c r="G19" s="1" t="n">
        <x:f>'Inventory inputs'!H19/'Inventory inputs'!J19</x:f>
        <x:v>0.0779</x:v>
      </x:c>
      <x:c r="H19" s="1" t="n">
        <x:f>IF('Inventory inputs'!I19&gt;0,'Inventory inputs'!I19*'Inventory inputs'!K19/'Inventory inputs'!J19,"n.a.")</x:f>
        <x:v>0.0902592</x:v>
      </x:c>
      <x:c r="I19" s="1" t="n">
        <x:f>'Inventory inputs'!L19</x:f>
        <x:v>12600</x:v>
      </x:c>
      <x:c r="J19" s="1" t="n">
        <x:f>'Inventory inputs'!M19</x:f>
        <x:v>15000</x:v>
      </x:c>
      <x:c r="K19" s="1" t="n">
        <x:f>'Inventory inputs'!N19</x:f>
        <x:v>0</x:v>
      </x:c>
      <x:c r="L19" s="1" t="n">
        <x:f>'Inventory inputs'!O19</x:f>
        <x:v>1</x:v>
      </x:c>
      <x:c r="M19" s="9" t="n">
        <x:f>E19*G19</x:f>
        <x:v>2150.04</x:v>
      </x:c>
      <x:c r="N19" s="9" t="n">
        <x:f>'Inventory inputs'!Q19</x:f>
        <x:v>2196.78</x:v>
      </x:c>
      <x:c r="O19" s="9" t="n">
        <x:f>N19-M19</x:f>
        <x:v>46.74000000000024</x:v>
      </x:c>
      <x:c r="P19" s="1" t="n">
        <x:f>SUMIFS('Incoming POs'!$P$2:$P$305,'Incoming POs'!$A$2:$A$305,A19,'Incoming POs'!$B$2:$B$305,B19,'Incoming POs'!$C$2:$C$305,C19,'Incoming POs'!$G$2:$G$305,"&gt;="&amp;D19,'Incoming POs'!$G$2:$G$305,"&lt;"&amp;Dashboard!$I$5)</x:f>
        <x:v>0</x:v>
      </x:c>
      <x:c r="Q19" s="1" t="n">
        <x:f>F19*Dashboard!$L$5*MAX(0,Dashboard!$I$5-D19)/30.4375</x:f>
        <x:v>5655.030800821355</x:v>
      </x:c>
      <x:c r="R19" s="1" t="n">
        <x:f>MAX(0,E19+P19-Q19)</x:f>
        <x:v>21944.969199178646</x:v>
      </x:c>
      <x:c r="S19" s="1" t="n">
        <x:f>MAX(0,Q19-E19-P19)</x:f>
        <x:v>0</x:v>
      </x:c>
      <x:c r="T19" s="1" t="n">
        <x:f>IF(L19=1,MAX(0,I19+AB19-MIN(Q19,E19+P19)),"n.a.")</x:f>
        <x:v>6944.969199178645</x:v>
      </x:c>
      <x:c r="U19" s="9" t="n">
        <x:f>IF(ISNUMBER(T19),T19*G19,"n.a.")</x:f>
        <x:v>541.0131006160165</x:v>
      </x:c>
      <x:c r="V19" s="25" t="n">
        <x:f>IF(Dashboard!$I$6="Flat %",1,IF(ISNUMBER(H19),1,0))</x:f>
        <x:v>1</x:v>
      </x:c>
      <x:c r="W19" s="9" t="n">
        <x:f>IF(Dashboard!$I$6="Flat %",G19*(1+Dashboard!$L$6),H19)</x:f>
        <x:v>0.0902592</x:v>
      </x:c>
      <x:c r="X19" s="9" t="n">
        <x:f>IF(V19=1,R19*(W19-G19),"n.a.")</x:f>
        <x:v>271.22226332648876</x:v>
      </x:c>
      <x:c r="Y19" s="9" t="n">
        <x:f>IF(V19=1,R19*W19,"n.a.")</x:f>
        <x:v>1980.7353639425053</x:v>
      </x:c>
      <x:c r="Z19" s="1" t="n">
        <x:f>IF(ISNUMBER(T19),R19-T19,"n.a.")</x:f>
        <x:v>15000</x:v>
      </x:c>
      <x:c r="AA19" s="1" t="str">
        <x:f>'Inventory inputs'!R19</x:f>
        <x:v>Classified</x:v>
      </x:c>
      <x:c r="AB19" s="1" t="n">
        <x:f>IF(L19=1,SUMIFS('Incoming POs'!$P$2:$P$305,'Incoming POs'!$A$2:$A$305,A19,'Incoming POs'!$B$2:$B$305,B19,'Incoming POs'!$C$2:$C$305,C19,'Incoming POs'!$G$2:$G$305,"&gt;="&amp;D19,'Incoming POs'!$G$2:$G$305,"&lt;"&amp;Dashboard!$I$5,'Incoming POs'!$Q$2:$Q$305,"&lt;="&amp;('Inventory inputs'!P19/'Inventory inputs'!J19*1.01)),"n.a.")</x:f>
        <x:v>0</x:v>
      </x:c>
      <x:c r="AC19" s="9" t="n">
        <x:f>I19*G19</x:f>
        <x:v>981.54</x:v>
      </x:c>
      <x:c r="AD19" s="9" t="n">
        <x:f>J19*G19</x:f>
        <x:v>1168.5</x:v>
      </x:c>
      <x:c r="AE19" s="9" t="n">
        <x:f>K19*G19</x:f>
        <x:v>0</x:v>
      </x:c>
      <x:c r="AF19" s="9" t="n">
        <x:f>R19*G19</x:f>
        <x:v>1709.5131006160163</x:v>
      </x:c>
    </x:row>
    <x:row r="20" ht="21" customHeight="1">
      <x:c r="A20" s="1" t="str">
        <x:f>'Inventory inputs'!A20</x:f>
        <x:v>C400</x:v>
      </x:c>
      <x:c r="B20" s="1" t="str">
        <x:f>'Inventory inputs'!B20</x:f>
        <x:v>10</x:v>
      </x:c>
      <x:c r="C20" s="1" t="str">
        <x:f>'Inventory inputs'!C20</x:f>
        <x:v>400MCSC</x:v>
      </x:c>
      <x:c r="D20" s="7" t="n">
        <x:f>'Inventory inputs'!E20</x:f>
        <x:v>46303</x:v>
      </x:c>
      <x:c r="E20" s="1" t="n">
        <x:f>'Inventory inputs'!F20</x:f>
        <x:v>25900</x:v>
      </x:c>
      <x:c r="F20" s="1" t="n">
        <x:f>'Inventory inputs'!G20</x:f>
        <x:v>4233.33</x:v>
      </x:c>
      <x:c r="G20" s="1" t="n">
        <x:f>'Inventory inputs'!H20/'Inventory inputs'!J20</x:f>
        <x:v>0.049400000000000006</x:v>
      </x:c>
      <x:c r="H20" s="1" t="n">
        <x:f>IF('Inventory inputs'!I20&gt;0,'Inventory inputs'!I20*'Inventory inputs'!K20/'Inventory inputs'!J20,"n.a.")</x:f>
        <x:v>0.0572112</x:v>
      </x:c>
      <x:c r="I20" s="1" t="n">
        <x:f>'Inventory inputs'!L20</x:f>
        <x:v>8900</x:v>
      </x:c>
      <x:c r="J20" s="1" t="n">
        <x:f>'Inventory inputs'!M20</x:f>
        <x:v>17000</x:v>
      </x:c>
      <x:c r="K20" s="1" t="n">
        <x:f>'Inventory inputs'!N20</x:f>
        <x:v>0</x:v>
      </x:c>
      <x:c r="L20" s="1" t="n">
        <x:f>'Inventory inputs'!O20</x:f>
        <x:v>1</x:v>
      </x:c>
      <x:c r="M20" s="9" t="n">
        <x:f>E20*G20</x:f>
        <x:v>1279.4600000000003</x:v>
      </x:c>
      <x:c r="N20" s="9" t="n">
        <x:f>'Inventory inputs'!Q20</x:f>
        <x:v>1279.4600000000003</x:v>
      </x:c>
      <x:c r="O20" s="9" t="n">
        <x:f>N20-M20</x:f>
        <x:v>0</x:v>
      </x:c>
      <x:c r="P20" s="1" t="n">
        <x:f>SUMIFS('Incoming POs'!$P$2:$P$305,'Incoming POs'!$A$2:$A$305,A20,'Incoming POs'!$B$2:$B$305,B20,'Incoming POs'!$C$2:$C$305,C20,'Incoming POs'!$G$2:$G$305,"&gt;="&amp;D20,'Incoming POs'!$G$2:$G$305,"&lt;"&amp;Dashboard!$I$5)</x:f>
        <x:v>0</x:v>
      </x:c>
      <x:c r="Q20" s="1" t="n">
        <x:f>F20*Dashboard!$L$5*MAX(0,Dashboard!$I$5-D20)/30.4375</x:f>
        <x:v>5632.8497741273095</x:v>
      </x:c>
      <x:c r="R20" s="1" t="n">
        <x:f>MAX(0,E20+P20-Q20)</x:f>
        <x:v>20267.15022587269</x:v>
      </x:c>
      <x:c r="S20" s="1" t="n">
        <x:f>MAX(0,Q20-E20-P20)</x:f>
        <x:v>0</x:v>
      </x:c>
      <x:c r="T20" s="1" t="n">
        <x:f>IF(L20=1,MAX(0,I20+AB20-MIN(Q20,E20+P20)),"n.a.")</x:f>
        <x:v>3267.1502258726905</x:v>
      </x:c>
      <x:c r="U20" s="9" t="n">
        <x:f>IF(ISNUMBER(T20),T20*G20,"n.a.")</x:f>
        <x:v>161.39722115811094</x:v>
      </x:c>
      <x:c r="V20" s="25" t="n">
        <x:f>IF(Dashboard!$I$6="Flat %",1,IF(ISNUMBER(H20),1,0))</x:f>
        <x:v>1</x:v>
      </x:c>
      <x:c r="W20" s="9" t="n">
        <x:f>IF(Dashboard!$I$6="Flat %",G20*(1+Dashboard!$L$6),H20)</x:f>
        <x:v>0.0572112</x:v>
      </x:c>
      <x:c r="X20" s="9" t="n">
        <x:f>IF(V20=1,R20*(W20-G20),"n.a.")</x:f>
        <x:v>158.31076384433658</x:v>
      </x:c>
      <x:c r="Y20" s="9" t="n">
        <x:f>IF(V20=1,R20*W20,"n.a.")</x:f>
        <x:v>1159.5079850024476</x:v>
      </x:c>
      <x:c r="Z20" s="1" t="n">
        <x:f>IF(ISNUMBER(T20),R20-T20,"n.a.")</x:f>
        <x:v>17000</x:v>
      </x:c>
      <x:c r="AA20" s="1" t="str">
        <x:f>'Inventory inputs'!R20</x:f>
        <x:v>Classified</x:v>
      </x:c>
      <x:c r="AB20" s="1" t="n">
        <x:f>IF(L20=1,SUMIFS('Incoming POs'!$P$2:$P$305,'Incoming POs'!$A$2:$A$305,A20,'Incoming POs'!$B$2:$B$305,B20,'Incoming POs'!$C$2:$C$305,C20,'Incoming POs'!$G$2:$G$305,"&gt;="&amp;D20,'Incoming POs'!$G$2:$G$305,"&lt;"&amp;Dashboard!$I$5,'Incoming POs'!$Q$2:$Q$305,"&lt;="&amp;('Inventory inputs'!P20/'Inventory inputs'!J20*1.01)),"n.a.")</x:f>
        <x:v>0</x:v>
      </x:c>
      <x:c r="AC20" s="9" t="n">
        <x:f>I20*G20</x:f>
        <x:v>439.6600000000001</x:v>
      </x:c>
      <x:c r="AD20" s="9" t="n">
        <x:f>J20*G20</x:f>
        <x:v>839.8000000000001</x:v>
      </x:c>
      <x:c r="AE20" s="9" t="n">
        <x:f>K20*G20</x:f>
        <x:v>0</x:v>
      </x:c>
      <x:c r="AF20" s="9" t="n">
        <x:f>R20*G20</x:f>
        <x:v>1001.197221158111</x:v>
      </x:c>
    </x:row>
    <x:row r="21" ht="21" customHeight="1">
      <x:c r="A21" s="1" t="str">
        <x:f>'Inventory inputs'!A21</x:f>
        <x:v>C400</x:v>
      </x:c>
      <x:c r="B21" s="1" t="str">
        <x:f>'Inventory inputs'!B21</x:f>
        <x:v>60</x:v>
      </x:c>
      <x:c r="C21" s="1" t="str">
        <x:f>'Inventory inputs'!C21</x:f>
        <x:v>400MDSC</x:v>
      </x:c>
      <x:c r="D21" s="7" t="n">
        <x:f>'Inventory inputs'!E21</x:f>
        <x:v>46303</x:v>
      </x:c>
      <x:c r="E21" s="1" t="n">
        <x:f>'Inventory inputs'!F21</x:f>
        <x:v>22500</x:v>
      </x:c>
      <x:c r="F21" s="1" t="n">
        <x:f>'Inventory inputs'!G21</x:f>
        <x:v>4041.67</x:v>
      </x:c>
      <x:c r="G21" s="1" t="n">
        <x:f>'Inventory inputs'!H21/'Inventory inputs'!J21</x:f>
        <x:v>0.0779</x:v>
      </x:c>
      <x:c r="H21" s="1" t="n">
        <x:f>IF('Inventory inputs'!I21&gt;0,'Inventory inputs'!I21*'Inventory inputs'!K21/'Inventory inputs'!J21,"n.a.")</x:f>
        <x:v>0.0902592</x:v>
      </x:c>
      <x:c r="I21" s="1" t="n">
        <x:f>'Inventory inputs'!L21</x:f>
        <x:v>8500</x:v>
      </x:c>
      <x:c r="J21" s="1" t="n">
        <x:f>'Inventory inputs'!M21</x:f>
        <x:v>14000</x:v>
      </x:c>
      <x:c r="K21" s="1" t="n">
        <x:f>'Inventory inputs'!N21</x:f>
        <x:v>0</x:v>
      </x:c>
      <x:c r="L21" s="1" t="n">
        <x:f>'Inventory inputs'!O21</x:f>
        <x:v>1</x:v>
      </x:c>
      <x:c r="M21" s="9" t="n">
        <x:f>E21*G21</x:f>
        <x:v>1752.75</x:v>
      </x:c>
      <x:c r="N21" s="9" t="n">
        <x:f>'Inventory inputs'!Q21</x:f>
        <x:v>1752.75</x:v>
      </x:c>
      <x:c r="O21" s="9" t="n">
        <x:f>N21-M21</x:f>
        <x:v>0</x:v>
      </x:c>
      <x:c r="P21" s="1" t="n">
        <x:f>SUMIFS('Incoming POs'!$P$2:$P$305,'Incoming POs'!$A$2:$A$305,A21,'Incoming POs'!$B$2:$B$305,B21,'Incoming POs'!$C$2:$C$305,C21,'Incoming POs'!$G$2:$G$305,"&gt;="&amp;D21,'Incoming POs'!$G$2:$G$305,"&lt;"&amp;Dashboard!$I$5)</x:f>
        <x:v>0</x:v>
      </x:c>
      <x:c r="Q21" s="1" t="n">
        <x:f>F21*Dashboard!$L$5*MAX(0,Dashboard!$I$5-D21)/30.4375</x:f>
        <x:v>5377.827843942506</x:v>
      </x:c>
      <x:c r="R21" s="1" t="n">
        <x:f>MAX(0,E21+P21-Q21)</x:f>
        <x:v>17122.172156057495</x:v>
      </x:c>
      <x:c r="S21" s="1" t="n">
        <x:f>MAX(0,Q21-E21-P21)</x:f>
        <x:v>0</x:v>
      </x:c>
      <x:c r="T21" s="1" t="n">
        <x:f>IF(L21=1,MAX(0,I21+AB21-MIN(Q21,E21+P21)),"n.a.")</x:f>
        <x:v>3122.1721560574942</x:v>
      </x:c>
      <x:c r="U21" s="9" t="n">
        <x:f>IF(ISNUMBER(T21),T21*G21,"n.a.")</x:f>
        <x:v>243.2172109568788</x:v>
      </x:c>
      <x:c r="V21" s="25" t="n">
        <x:f>IF(Dashboard!$I$6="Flat %",1,IF(ISNUMBER(H21),1,0))</x:f>
        <x:v>1</x:v>
      </x:c>
      <x:c r="W21" s="9" t="n">
        <x:f>IF(Dashboard!$I$6="Flat %",G21*(1+Dashboard!$L$6),H21)</x:f>
        <x:v>0.0902592</x:v>
      </x:c>
      <x:c r="X21" s="9" t="n">
        <x:f>IF(V21=1,R21*(W21-G21),"n.a.")</x:f>
        <x:v>211.6163501111458</x:v>
      </x:c>
      <x:c r="Y21" s="9" t="n">
        <x:f>IF(V21=1,R21*W21,"n.a.")</x:f>
        <x:v>1545.4335610680246</x:v>
      </x:c>
      <x:c r="Z21" s="1" t="n">
        <x:f>IF(ISNUMBER(T21),R21-T21,"n.a.")</x:f>
        <x:v>14000</x:v>
      </x:c>
      <x:c r="AA21" s="1" t="str">
        <x:f>'Inventory inputs'!R21</x:f>
        <x:v>Classified</x:v>
      </x:c>
      <x:c r="AB21" s="1" t="n">
        <x:f>IF(L21=1,SUMIFS('Incoming POs'!$P$2:$P$305,'Incoming POs'!$A$2:$A$305,A21,'Incoming POs'!$B$2:$B$305,B21,'Incoming POs'!$C$2:$C$305,C21,'Incoming POs'!$G$2:$G$305,"&gt;="&amp;D21,'Incoming POs'!$G$2:$G$305,"&lt;"&amp;Dashboard!$I$5,'Incoming POs'!$Q$2:$Q$305,"&lt;="&amp;('Inventory inputs'!P21/'Inventory inputs'!J21*1.01)),"n.a.")</x:f>
        <x:v>0</x:v>
      </x:c>
      <x:c r="AC21" s="9" t="n">
        <x:f>I21*G21</x:f>
        <x:v>662.15</x:v>
      </x:c>
      <x:c r="AD21" s="9" t="n">
        <x:f>J21*G21</x:f>
        <x:v>1090.6</x:v>
      </x:c>
      <x:c r="AE21" s="9" t="n">
        <x:f>K21*G21</x:f>
        <x:v>0</x:v>
      </x:c>
      <x:c r="AF21" s="9" t="n">
        <x:f>R21*G21</x:f>
        <x:v>1333.8172109568789</x:v>
      </x:c>
    </x:row>
    <x:row r="22" ht="21" customHeight="1">
      <x:c r="A22" s="1" t="str">
        <x:f>'Inventory inputs'!A22</x:f>
        <x:v>C400</x:v>
      </x:c>
      <x:c r="B22" s="1" t="str">
        <x:f>'Inventory inputs'!B22</x:f>
        <x:v>30</x:v>
      </x:c>
      <x:c r="C22" s="1" t="str">
        <x:f>'Inventory inputs'!C22</x:f>
        <x:v>400HMASC</x:v>
      </x:c>
      <x:c r="D22" s="7" t="n">
        <x:f>'Inventory inputs'!E22</x:f>
        <x:v>46303</x:v>
      </x:c>
      <x:c r="E22" s="1" t="n">
        <x:f>'Inventory inputs'!F22</x:f>
        <x:v>31700</x:v>
      </x:c>
      <x:c r="F22" s="1" t="n">
        <x:f>'Inventory inputs'!G22</x:f>
        <x:v>3733.33</x:v>
      </x:c>
      <x:c r="G22" s="1" t="n">
        <x:f>'Inventory inputs'!H22/'Inventory inputs'!J22</x:f>
        <x:v>0.0583</x:v>
      </x:c>
      <x:c r="H22" s="1" t="n">
        <x:f>IF('Inventory inputs'!I22&gt;0,'Inventory inputs'!I22*'Inventory inputs'!K22/'Inventory inputs'!J22,"n.a.")</x:f>
        <x:v>0.06750719999999999</x:v>
      </x:c>
      <x:c r="I22" s="1" t="n">
        <x:f>'Inventory inputs'!L22</x:f>
        <x:v>4700</x:v>
      </x:c>
      <x:c r="J22" s="1" t="n">
        <x:f>'Inventory inputs'!M22</x:f>
        <x:v>27000</x:v>
      </x:c>
      <x:c r="K22" s="1" t="n">
        <x:f>'Inventory inputs'!N22</x:f>
        <x:v>0</x:v>
      </x:c>
      <x:c r="L22" s="1" t="n">
        <x:f>'Inventory inputs'!O22</x:f>
        <x:v>1</x:v>
      </x:c>
      <x:c r="M22" s="9" t="n">
        <x:f>E22*G22</x:f>
        <x:v>1848.11</x:v>
      </x:c>
      <x:c r="N22" s="9" t="n">
        <x:f>'Inventory inputs'!Q22</x:f>
        <x:v>1848.1100000000001</x:v>
      </x:c>
      <x:c r="O22" s="9" t="n">
        <x:f>N22-M22</x:f>
        <x:v>2.2737367544323206e-13</x:v>
      </x:c>
      <x:c r="P22" s="1" t="n">
        <x:f>SUMIFS('Incoming POs'!$P$2:$P$305,'Incoming POs'!$A$2:$A$305,A22,'Incoming POs'!$B$2:$B$305,B22,'Incoming POs'!$C$2:$C$305,C22,'Incoming POs'!$G$2:$G$305,"&gt;="&amp;D22,'Incoming POs'!$G$2:$G$305,"&lt;"&amp;Dashboard!$I$5)</x:f>
        <x:v>0</x:v>
      </x:c>
      <x:c r="Q22" s="1" t="n">
        <x:f>F22*Dashboard!$L$5*MAX(0,Dashboard!$I$5-D22)/30.4375</x:f>
        <x:v>4967.552032854209</x:v>
      </x:c>
      <x:c r="R22" s="1" t="n">
        <x:f>MAX(0,E22+P22-Q22)</x:f>
        <x:v>26732.447967145792</x:v>
      </x:c>
      <x:c r="S22" s="1" t="n">
        <x:f>MAX(0,Q22-E22-P22)</x:f>
        <x:v>0</x:v>
      </x:c>
      <x:c r="T22" s="1" t="n">
        <x:f>IF(L22=1,MAX(0,I22+AB22-MIN(Q22,E22+P22)),"n.a.")</x:f>
        <x:v>0</x:v>
      </x:c>
      <x:c r="U22" s="9" t="n">
        <x:f>IF(ISNUMBER(T22),T22*G22,"n.a.")</x:f>
        <x:v>0</x:v>
      </x:c>
      <x:c r="V22" s="25" t="n">
        <x:f>IF(Dashboard!$I$6="Flat %",1,IF(ISNUMBER(H22),1,0))</x:f>
        <x:v>1</x:v>
      </x:c>
      <x:c r="W22" s="9" t="n">
        <x:f>IF(Dashboard!$I$6="Flat %",G22*(1+Dashboard!$L$6),H22)</x:f>
        <x:v>0.06750719999999999</x:v>
      </x:c>
      <x:c r="X22" s="9" t="n">
        <x:f>IF(V22=1,R22*(W22-G22),"n.a.")</x:f>
        <x:v>246.1309949231045</x:v>
      </x:c>
      <x:c r="Y22" s="9" t="n">
        <x:f>IF(V22=1,R22*W22,"n.a.")</x:f>
        <x:v>1804.6327114077042</x:v>
      </x:c>
      <x:c r="Z22" s="1" t="n">
        <x:f>IF(ISNUMBER(T22),R22-T22,"n.a.")</x:f>
        <x:v>26732.447967145792</x:v>
      </x:c>
      <x:c r="AA22" s="1" t="str">
        <x:f>'Inventory inputs'!R22</x:f>
        <x:v>Classified</x:v>
      </x:c>
      <x:c r="AB22" s="1" t="n">
        <x:f>IF(L22=1,SUMIFS('Incoming POs'!$P$2:$P$305,'Incoming POs'!$A$2:$A$305,A22,'Incoming POs'!$B$2:$B$305,B22,'Incoming POs'!$C$2:$C$305,C22,'Incoming POs'!$G$2:$G$305,"&gt;="&amp;D22,'Incoming POs'!$G$2:$G$305,"&lt;"&amp;Dashboard!$I$5,'Incoming POs'!$Q$2:$Q$305,"&lt;="&amp;('Inventory inputs'!P22/'Inventory inputs'!J22*1.01)),"n.a.")</x:f>
        <x:v>0</x:v>
      </x:c>
      <x:c r="AC22" s="9" t="n">
        <x:f>I22*G22</x:f>
        <x:v>274.01</x:v>
      </x:c>
      <x:c r="AD22" s="9" t="n">
        <x:f>J22*G22</x:f>
        <x:v>1574.1</x:v>
      </x:c>
      <x:c r="AE22" s="9" t="n">
        <x:f>K22*G22</x:f>
        <x:v>0</x:v>
      </x:c>
      <x:c r="AF22" s="9" t="n">
        <x:f>R22*G22</x:f>
        <x:v>1558.5017164845997</x:v>
      </x:c>
    </x:row>
    <x:row r="23" ht="21" customHeight="1">
      <x:c r="A23" s="1" t="str">
        <x:f>'Inventory inputs'!A23</x:f>
        <x:v>C400</x:v>
      </x:c>
      <x:c r="B23" s="1" t="str">
        <x:f>'Inventory inputs'!B23</x:f>
        <x:v>60</x:v>
      </x:c>
      <x:c r="C23" s="1" t="str">
        <x:f>'Inventory inputs'!C23</x:f>
        <x:v>400HCSC</x:v>
      </x:c>
      <x:c r="D23" s="7" t="n">
        <x:f>'Inventory inputs'!E23</x:f>
        <x:v>46303</x:v>
      </x:c>
      <x:c r="E23" s="1" t="n">
        <x:f>'Inventory inputs'!F23</x:f>
        <x:v>15500</x:v>
      </x:c>
      <x:c r="F23" s="1" t="n">
        <x:f>'Inventory inputs'!G23</x:f>
        <x:v>3100</x:v>
      </x:c>
      <x:c r="G23" s="1" t="n">
        <x:f>'Inventory inputs'!H23/'Inventory inputs'!J23</x:f>
        <x:v>0.0706</x:v>
      </x:c>
      <x:c r="H23" s="1" t="n">
        <x:f>IF('Inventory inputs'!I23&gt;0,'Inventory inputs'!I23*'Inventory inputs'!K23/'Inventory inputs'!J23,"n.a.")</x:f>
        <x:v>0.0817344</x:v>
      </x:c>
      <x:c r="I23" s="1" t="n">
        <x:f>'Inventory inputs'!L23</x:f>
        <x:v>6500</x:v>
      </x:c>
      <x:c r="J23" s="1" t="n">
        <x:f>'Inventory inputs'!M23</x:f>
        <x:v>9000</x:v>
      </x:c>
      <x:c r="K23" s="1" t="n">
        <x:f>'Inventory inputs'!N23</x:f>
        <x:v>0</x:v>
      </x:c>
      <x:c r="L23" s="1" t="n">
        <x:f>'Inventory inputs'!O23</x:f>
        <x:v>1</x:v>
      </x:c>
      <x:c r="M23" s="9" t="n">
        <x:f>E23*G23</x:f>
        <x:v>1094.3</x:v>
      </x:c>
      <x:c r="N23" s="9" t="n">
        <x:f>'Inventory inputs'!Q23</x:f>
        <x:v>1094.3</x:v>
      </x:c>
      <x:c r="O23" s="9" t="n">
        <x:f>N23-M23</x:f>
        <x:v>0</x:v>
      </x:c>
      <x:c r="P23" s="1" t="n">
        <x:f>SUMIFS('Incoming POs'!$P$2:$P$305,'Incoming POs'!$A$2:$A$305,A23,'Incoming POs'!$B$2:$B$305,B23,'Incoming POs'!$C$2:$C$305,C23,'Incoming POs'!$G$2:$G$305,"&gt;="&amp;D23,'Incoming POs'!$G$2:$G$305,"&lt;"&amp;Dashboard!$I$5)</x:f>
        <x:v>0</x:v>
      </x:c>
      <x:c r="Q23" s="1" t="n">
        <x:f>F23*Dashboard!$L$5*MAX(0,Dashboard!$I$5-D23)/30.4375</x:f>
        <x:v>4124.8459958932235</x:v>
      </x:c>
      <x:c r="R23" s="1" t="n">
        <x:f>MAX(0,E23+P23-Q23)</x:f>
        <x:v>11375.154004106776</x:v>
      </x:c>
      <x:c r="S23" s="1" t="n">
        <x:f>MAX(0,Q23-E23-P23)</x:f>
        <x:v>0</x:v>
      </x:c>
      <x:c r="T23" s="1" t="n">
        <x:f>IF(L23=1,MAX(0,I23+AB23-MIN(Q23,E23+P23)),"n.a.")</x:f>
        <x:v>2375.1540041067765</x:v>
      </x:c>
      <x:c r="U23" s="9" t="n">
        <x:f>IF(ISNUMBER(T23),T23*G23,"n.a.")</x:f>
        <x:v>167.6858726899384</x:v>
      </x:c>
      <x:c r="V23" s="25" t="n">
        <x:f>IF(Dashboard!$I$6="Flat %",1,IF(ISNUMBER(H23),1,0))</x:f>
        <x:v>1</x:v>
      </x:c>
      <x:c r="W23" s="9" t="n">
        <x:f>IF(Dashboard!$I$6="Flat %",G23*(1+Dashboard!$L$6),H23)</x:f>
        <x:v>0.0817344</x:v>
      </x:c>
      <x:c r="X23" s="9" t="n">
        <x:f>IF(V23=1,R23*(W23-G23),"n.a.")</x:f>
        <x:v>126.65551474332652</x:v>
      </x:c>
      <x:c r="Y23" s="9" t="n">
        <x:f>IF(V23=1,R23*W23,"n.a.")</x:f>
        <x:v>929.7413874332649</x:v>
      </x:c>
      <x:c r="Z23" s="1" t="n">
        <x:f>IF(ISNUMBER(T23),R23-T23,"n.a.")</x:f>
        <x:v>9000</x:v>
      </x:c>
      <x:c r="AA23" s="1" t="str">
        <x:f>'Inventory inputs'!R23</x:f>
        <x:v>Classified</x:v>
      </x:c>
      <x:c r="AB23" s="1" t="n">
        <x:f>IF(L23=1,SUMIFS('Incoming POs'!$P$2:$P$305,'Incoming POs'!$A$2:$A$305,A23,'Incoming POs'!$B$2:$B$305,B23,'Incoming POs'!$C$2:$C$305,C23,'Incoming POs'!$G$2:$G$305,"&gt;="&amp;D23,'Incoming POs'!$G$2:$G$305,"&lt;"&amp;Dashboard!$I$5,'Incoming POs'!$Q$2:$Q$305,"&lt;="&amp;('Inventory inputs'!P23/'Inventory inputs'!J23*1.01)),"n.a.")</x:f>
        <x:v>0</x:v>
      </x:c>
      <x:c r="AC23" s="9" t="n">
        <x:f>I23*G23</x:f>
        <x:v>458.9</x:v>
      </x:c>
      <x:c r="AD23" s="9" t="n">
        <x:f>J23*G23</x:f>
        <x:v>635.4</x:v>
      </x:c>
      <x:c r="AE23" s="9" t="n">
        <x:f>K23*G23</x:f>
        <x:v>0</x:v>
      </x:c>
      <x:c r="AF23" s="9" t="n">
        <x:f>R23*G23</x:f>
        <x:v>803.0858726899384</x:v>
      </x:c>
    </x:row>
    <x:row r="24" ht="21" customHeight="1">
      <x:c r="A24" s="1" t="str">
        <x:f>'Inventory inputs'!A24</x:f>
        <x:v>C400</x:v>
      </x:c>
      <x:c r="B24" s="1" t="str">
        <x:f>'Inventory inputs'!B24</x:f>
        <x:v>10</x:v>
      </x:c>
      <x:c r="C24" s="1" t="str">
        <x:f>'Inventory inputs'!C24</x:f>
        <x:v>400HCSC</x:v>
      </x:c>
      <x:c r="D24" s="7" t="n">
        <x:f>'Inventory inputs'!E24</x:f>
        <x:v>46303</x:v>
      </x:c>
      <x:c r="E24" s="1" t="n">
        <x:f>'Inventory inputs'!F24</x:f>
        <x:v>24500</x:v>
      </x:c>
      <x:c r="F24" s="1" t="n">
        <x:f>'Inventory inputs'!G24</x:f>
        <x:v>3091.67</x:v>
      </x:c>
      <x:c r="G24" s="1" t="n">
        <x:f>'Inventory inputs'!H24/'Inventory inputs'!J24</x:f>
        <x:v>0.0706</x:v>
      </x:c>
      <x:c r="H24" s="1" t="n">
        <x:f>IF('Inventory inputs'!I24&gt;0,'Inventory inputs'!I24*'Inventory inputs'!K24/'Inventory inputs'!J24,"n.a.")</x:f>
        <x:v>0.0817344</x:v>
      </x:c>
      <x:c r="I24" s="1" t="n">
        <x:f>'Inventory inputs'!L24</x:f>
        <x:v>5500</x:v>
      </x:c>
      <x:c r="J24" s="1" t="n">
        <x:f>'Inventory inputs'!M24</x:f>
        <x:v>19000</x:v>
      </x:c>
      <x:c r="K24" s="1" t="n">
        <x:f>'Inventory inputs'!N24</x:f>
        <x:v>0</x:v>
      </x:c>
      <x:c r="L24" s="1" t="n">
        <x:f>'Inventory inputs'!O24</x:f>
        <x:v>1</x:v>
      </x:c>
      <x:c r="M24" s="9" t="n">
        <x:f>E24*G24</x:f>
        <x:v>1729.6999999999998</x:v>
      </x:c>
      <x:c r="N24" s="9" t="n">
        <x:f>'Inventory inputs'!Q24</x:f>
        <x:v>1729.7</x:v>
      </x:c>
      <x:c r="O24" s="9" t="n">
        <x:f>N24-M24</x:f>
        <x:v>2.2737367544323206e-13</x:v>
      </x:c>
      <x:c r="P24" s="1" t="n">
        <x:f>SUMIFS('Incoming POs'!$P$2:$P$305,'Incoming POs'!$A$2:$A$305,A24,'Incoming POs'!$B$2:$B$305,B24,'Incoming POs'!$C$2:$C$305,C24,'Incoming POs'!$G$2:$G$305,"&gt;="&amp;D24,'Incoming POs'!$G$2:$G$305,"&lt;"&amp;Dashboard!$I$5)</x:f>
        <x:v>0</x:v>
      </x:c>
      <x:c r="Q24" s="1" t="n">
        <x:f>F24*Dashboard!$L$5*MAX(0,Dashboard!$I$5-D24)/30.4375</x:f>
        <x:v>4113.762135523614</x:v>
      </x:c>
      <x:c r="R24" s="1" t="n">
        <x:f>MAX(0,E24+P24-Q24)</x:f>
        <x:v>20386.237864476385</x:v>
      </x:c>
      <x:c r="S24" s="1" t="n">
        <x:f>MAX(0,Q24-E24-P24)</x:f>
        <x:v>0</x:v>
      </x:c>
      <x:c r="T24" s="1" t="n">
        <x:f>IF(L24=1,MAX(0,I24+AB24-MIN(Q24,E24+P24)),"n.a.")</x:f>
        <x:v>1386.2378644763858</x:v>
      </x:c>
      <x:c r="U24" s="9" t="n">
        <x:f>IF(ISNUMBER(T24),T24*G24,"n.a.")</x:f>
        <x:v>97.86839323203283</x:v>
      </x:c>
      <x:c r="V24" s="25" t="n">
        <x:f>IF(Dashboard!$I$6="Flat %",1,IF(ISNUMBER(H24),1,0))</x:f>
        <x:v>1</x:v>
      </x:c>
      <x:c r="W24" s="9" t="n">
        <x:f>IF(Dashboard!$I$6="Flat %",G24*(1+Dashboard!$L$6),H24)</x:f>
        <x:v>0.0817344</x:v>
      </x:c>
      <x:c r="X24" s="9" t="n">
        <x:f>IF(V24=1,R24*(W24-G24),"n.a.")</x:f>
        <x:v>226.9885268782259</x:v>
      </x:c>
      <x:c r="Y24" s="9" t="n">
        <x:f>IF(V24=1,R24*W24,"n.a.")</x:f>
        <x:v>1666.2569201102585</x:v>
      </x:c>
      <x:c r="Z24" s="1" t="n">
        <x:f>IF(ISNUMBER(T24),R24-T24,"n.a.")</x:f>
        <x:v>19000</x:v>
      </x:c>
      <x:c r="AA24" s="1" t="str">
        <x:f>'Inventory inputs'!R24</x:f>
        <x:v>Classified</x:v>
      </x:c>
      <x:c r="AB24" s="1" t="n">
        <x:f>IF(L24=1,SUMIFS('Incoming POs'!$P$2:$P$305,'Incoming POs'!$A$2:$A$305,A24,'Incoming POs'!$B$2:$B$305,B24,'Incoming POs'!$C$2:$C$305,C24,'Incoming POs'!$G$2:$G$305,"&gt;="&amp;D24,'Incoming POs'!$G$2:$G$305,"&lt;"&amp;Dashboard!$I$5,'Incoming POs'!$Q$2:$Q$305,"&lt;="&amp;('Inventory inputs'!P24/'Inventory inputs'!J24*1.01)),"n.a.")</x:f>
        <x:v>0</x:v>
      </x:c>
      <x:c r="AC24" s="9" t="n">
        <x:f>I24*G24</x:f>
        <x:v>388.29999999999995</x:v>
      </x:c>
      <x:c r="AD24" s="9" t="n">
        <x:f>J24*G24</x:f>
        <x:v>1341.3999999999999</x:v>
      </x:c>
      <x:c r="AE24" s="9" t="n">
        <x:f>K24*G24</x:f>
        <x:v>0</x:v>
      </x:c>
      <x:c r="AF24" s="9" t="n">
        <x:f>R24*G24</x:f>
        <x:v>1439.2683932320326</x:v>
      </x:c>
    </x:row>
    <x:row r="25" ht="21" customHeight="1">
      <x:c r="A25" s="1" t="str">
        <x:f>'Inventory inputs'!A25</x:f>
        <x:v>C400</x:v>
      </x:c>
      <x:c r="B25" s="1" t="str">
        <x:f>'Inventory inputs'!B25</x:f>
        <x:v>30</x:v>
      </x:c>
      <x:c r="C25" s="1" t="str">
        <x:f>'Inventory inputs'!C25</x:f>
        <x:v>400MDSC</x:v>
      </x:c>
      <x:c r="D25" s="7" t="n">
        <x:f>'Inventory inputs'!E25</x:f>
        <x:v>46303</x:v>
      </x:c>
      <x:c r="E25" s="1" t="n">
        <x:f>'Inventory inputs'!F25</x:f>
        <x:v>12400</x:v>
      </x:c>
      <x:c r="F25" s="1" t="n">
        <x:f>'Inventory inputs'!G25</x:f>
        <x:v>2725</x:v>
      </x:c>
      <x:c r="G25" s="1" t="n">
        <x:f>'Inventory inputs'!H25/'Inventory inputs'!J25</x:f>
        <x:v>0.0779</x:v>
      </x:c>
      <x:c r="H25" s="1" t="n">
        <x:f>IF('Inventory inputs'!I25&gt;0,'Inventory inputs'!I25*'Inventory inputs'!K25/'Inventory inputs'!J25,"n.a.")</x:f>
        <x:v>0.0902592</x:v>
      </x:c>
      <x:c r="I25" s="1" t="n">
        <x:f>'Inventory inputs'!L25</x:f>
        <x:v>5400</x:v>
      </x:c>
      <x:c r="J25" s="1" t="n">
        <x:f>'Inventory inputs'!M25</x:f>
        <x:v>7000</x:v>
      </x:c>
      <x:c r="K25" s="1" t="n">
        <x:f>'Inventory inputs'!N25</x:f>
        <x:v>0</x:v>
      </x:c>
      <x:c r="L25" s="1" t="n">
        <x:f>'Inventory inputs'!O25</x:f>
        <x:v>1</x:v>
      </x:c>
      <x:c r="M25" s="9" t="n">
        <x:f>E25*G25</x:f>
        <x:v>965.9599999999999</x:v>
      </x:c>
      <x:c r="N25" s="9" t="n">
        <x:f>'Inventory inputs'!Q25</x:f>
        <x:v>965.96</x:v>
      </x:c>
      <x:c r="O25" s="9" t="n">
        <x:f>N25-M25</x:f>
        <x:v>1.1368683772161603e-13</x:v>
      </x:c>
      <x:c r="P25" s="1" t="n">
        <x:f>SUMIFS('Incoming POs'!$P$2:$P$305,'Incoming POs'!$A$2:$A$305,A25,'Incoming POs'!$B$2:$B$305,B25,'Incoming POs'!$C$2:$C$305,C25,'Incoming POs'!$G$2:$G$305,"&gt;="&amp;D25,'Incoming POs'!$G$2:$G$305,"&lt;"&amp;Dashboard!$I$5)</x:f>
        <x:v>0</x:v>
      </x:c>
      <x:c r="Q25" s="1" t="n">
        <x:f>F25*Dashboard!$L$5*MAX(0,Dashboard!$I$5-D25)/30.4375</x:f>
        <x:v>3625.8726899383983</x:v>
      </x:c>
      <x:c r="R25" s="1" t="n">
        <x:f>MAX(0,E25+P25-Q25)</x:f>
        <x:v>8774.127310061602</x:v>
      </x:c>
      <x:c r="S25" s="1" t="n">
        <x:f>MAX(0,Q25-E25-P25)</x:f>
        <x:v>0</x:v>
      </x:c>
      <x:c r="T25" s="1" t="n">
        <x:f>IF(L25=1,MAX(0,I25+AB25-MIN(Q25,E25+P25)),"n.a.")</x:f>
        <x:v>1774.1273100616017</x:v>
      </x:c>
      <x:c r="U25" s="9" t="n">
        <x:f>IF(ISNUMBER(T25),T25*G25,"n.a.")</x:f>
        <x:v>138.20451745379876</x:v>
      </x:c>
      <x:c r="V25" s="25" t="n">
        <x:f>IF(Dashboard!$I$6="Flat %",1,IF(ISNUMBER(H25),1,0))</x:f>
        <x:v>1</x:v>
      </x:c>
      <x:c r="W25" s="9" t="n">
        <x:f>IF(Dashboard!$I$6="Flat %",G25*(1+Dashboard!$L$6),H25)</x:f>
        <x:v>0.0902592</x:v>
      </x:c>
      <x:c r="X25" s="9" t="n">
        <x:f>IF(V25=1,R25*(W25-G25),"n.a.")</x:f>
        <x:v>108.44119425051335</x:v>
      </x:c>
      <x:c r="Y25" s="9" t="n">
        <x:f>IF(V25=1,R25*W25,"n.a.")</x:f>
        <x:v>791.9457117043121</x:v>
      </x:c>
      <x:c r="Z25" s="1" t="n">
        <x:f>IF(ISNUMBER(T25),R25-T25,"n.a.")</x:f>
        <x:v>7000</x:v>
      </x:c>
      <x:c r="AA25" s="1" t="str">
        <x:f>'Inventory inputs'!R25</x:f>
        <x:v>Classified</x:v>
      </x:c>
      <x:c r="AB25" s="1" t="n">
        <x:f>IF(L25=1,SUMIFS('Incoming POs'!$P$2:$P$305,'Incoming POs'!$A$2:$A$305,A25,'Incoming POs'!$B$2:$B$305,B25,'Incoming POs'!$C$2:$C$305,C25,'Incoming POs'!$G$2:$G$305,"&gt;="&amp;D25,'Incoming POs'!$G$2:$G$305,"&lt;"&amp;Dashboard!$I$5,'Incoming POs'!$Q$2:$Q$305,"&lt;="&amp;('Inventory inputs'!P25/'Inventory inputs'!J25*1.01)),"n.a.")</x:f>
        <x:v>0</x:v>
      </x:c>
      <x:c r="AC25" s="9" t="n">
        <x:f>I25*G25</x:f>
        <x:v>420.65999999999997</x:v>
      </x:c>
      <x:c r="AD25" s="9" t="n">
        <x:f>J25*G25</x:f>
        <x:v>545.3</x:v>
      </x:c>
      <x:c r="AE25" s="9" t="n">
        <x:f>K25*G25</x:f>
        <x:v>0</x:v>
      </x:c>
      <x:c r="AF25" s="9" t="n">
        <x:f>R25*G25</x:f>
        <x:v>683.5045174537987</x:v>
      </x:c>
    </x:row>
    <x:row r="26" ht="21" customHeight="1">
      <x:c r="A26" s="1" t="str">
        <x:f>'Inventory inputs'!A26</x:f>
        <x:v>C400</x:v>
      </x:c>
      <x:c r="B26" s="1" t="str">
        <x:f>'Inventory inputs'!B26</x:f>
        <x:v>30</x:v>
      </x:c>
      <x:c r="C26" s="1" t="str">
        <x:f>'Inventory inputs'!C26</x:f>
        <x:v>400HDSC</x:v>
      </x:c>
      <x:c r="D26" s="7" t="n">
        <x:f>'Inventory inputs'!E26</x:f>
        <x:v>46303</x:v>
      </x:c>
      <x:c r="E26" s="1" t="n">
        <x:f>'Inventory inputs'!F26</x:f>
        <x:v>14800</x:v>
      </x:c>
      <x:c r="F26" s="1" t="n">
        <x:f>'Inventory inputs'!G26</x:f>
        <x:v>2675</x:v>
      </x:c>
      <x:c r="G26" s="1" t="n">
        <x:f>'Inventory inputs'!H26/'Inventory inputs'!J26</x:f>
        <x:v>0.11130000000000001</x:v>
      </x:c>
      <x:c r="H26" s="1" t="n">
        <x:f>IF('Inventory inputs'!I26&gt;0,'Inventory inputs'!I26*'Inventory inputs'!K26/'Inventory inputs'!J26,"n.a.")</x:f>
        <x:v>0.1289088</x:v>
      </x:c>
      <x:c r="I26" s="1" t="n">
        <x:f>'Inventory inputs'!L26</x:f>
        <x:v>4800</x:v>
      </x:c>
      <x:c r="J26" s="1" t="n">
        <x:f>'Inventory inputs'!M26</x:f>
        <x:v>10000</x:v>
      </x:c>
      <x:c r="K26" s="1" t="n">
        <x:f>'Inventory inputs'!N26</x:f>
        <x:v>0</x:v>
      </x:c>
      <x:c r="L26" s="1" t="n">
        <x:f>'Inventory inputs'!O26</x:f>
        <x:v>1</x:v>
      </x:c>
      <x:c r="M26" s="9" t="n">
        <x:f>E26*G26</x:f>
        <x:v>1647.2400000000002</x:v>
      </x:c>
      <x:c r="N26" s="9" t="n">
        <x:f>'Inventory inputs'!Q26</x:f>
        <x:v>1680.63</x:v>
      </x:c>
      <x:c r="O26" s="9" t="n">
        <x:f>N26-M26</x:f>
        <x:v>33.38999999999987</x:v>
      </x:c>
      <x:c r="P26" s="1" t="n">
        <x:f>SUMIFS('Incoming POs'!$P$2:$P$305,'Incoming POs'!$A$2:$A$305,A26,'Incoming POs'!$B$2:$B$305,B26,'Incoming POs'!$C$2:$C$305,C26,'Incoming POs'!$G$2:$G$305,"&gt;="&amp;D26,'Incoming POs'!$G$2:$G$305,"&lt;"&amp;Dashboard!$I$5)</x:f>
        <x:v>0</x:v>
      </x:c>
      <x:c r="Q26" s="1" t="n">
        <x:f>F26*Dashboard!$L$5*MAX(0,Dashboard!$I$5-D26)/30.4375</x:f>
        <x:v>3559.3429158110885</x:v>
      </x:c>
      <x:c r="R26" s="1" t="n">
        <x:f>MAX(0,E26+P26-Q26)</x:f>
        <x:v>11240.657084188912</x:v>
      </x:c>
      <x:c r="S26" s="1" t="n">
        <x:f>MAX(0,Q26-E26-P26)</x:f>
        <x:v>0</x:v>
      </x:c>
      <x:c r="T26" s="1" t="n">
        <x:f>IF(L26=1,MAX(0,I26+AB26-MIN(Q26,E26+P26)),"n.a.")</x:f>
        <x:v>1240.6570841889115</x:v>
      </x:c>
      <x:c r="U26" s="9" t="n">
        <x:f>IF(ISNUMBER(T26),T26*G26,"n.a.")</x:f>
        <x:v>138.08513347022586</x:v>
      </x:c>
      <x:c r="V26" s="25" t="n">
        <x:f>IF(Dashboard!$I$6="Flat %",1,IF(ISNUMBER(H26),1,0))</x:f>
        <x:v>1</x:v>
      </x:c>
      <x:c r="W26" s="9" t="n">
        <x:f>IF(Dashboard!$I$6="Flat %",G26*(1+Dashboard!$L$6),H26)</x:f>
        <x:v>0.1289088</x:v>
      </x:c>
      <x:c r="X26" s="9" t="n">
        <x:f>IF(V26=1,R26*(W26-G26),"n.a.")</x:f>
        <x:v>197.93448246406547</x:v>
      </x:c>
      <x:c r="Y26" s="9" t="n">
        <x:f>IF(V26=1,R26*W26,"n.a.")</x:f>
        <x:v>1449.0196159342916</x:v>
      </x:c>
      <x:c r="Z26" s="1" t="n">
        <x:f>IF(ISNUMBER(T26),R26-T26,"n.a.")</x:f>
        <x:v>10000</x:v>
      </x:c>
      <x:c r="AA26" s="1" t="str">
        <x:f>'Inventory inputs'!R26</x:f>
        <x:v>Classified</x:v>
      </x:c>
      <x:c r="AB26" s="1" t="n">
        <x:f>IF(L26=1,SUMIFS('Incoming POs'!$P$2:$P$305,'Incoming POs'!$A$2:$A$305,A26,'Incoming POs'!$B$2:$B$305,B26,'Incoming POs'!$C$2:$C$305,C26,'Incoming POs'!$G$2:$G$305,"&gt;="&amp;D26,'Incoming POs'!$G$2:$G$305,"&lt;"&amp;Dashboard!$I$5,'Incoming POs'!$Q$2:$Q$305,"&lt;="&amp;('Inventory inputs'!P26/'Inventory inputs'!J26*1.01)),"n.a.")</x:f>
        <x:v>0</x:v>
      </x:c>
      <x:c r="AC26" s="9" t="n">
        <x:f>I26*G26</x:f>
        <x:v>534.24</x:v>
      </x:c>
      <x:c r="AD26" s="9" t="n">
        <x:f>J26*G26</x:f>
        <x:v>1113</x:v>
      </x:c>
      <x:c r="AE26" s="9" t="n">
        <x:f>K26*G26</x:f>
        <x:v>0</x:v>
      </x:c>
      <x:c r="AF26" s="9" t="n">
        <x:f>R26*G26</x:f>
        <x:v>1251.0851334702259</x:v>
      </x:c>
    </x:row>
    <x:row r="27" ht="21" customHeight="1">
      <x:c r="A27" s="1" t="str">
        <x:f>'Inventory inputs'!A27</x:f>
        <x:v>C400</x:v>
      </x:c>
      <x:c r="B27" s="1" t="str">
        <x:f>'Inventory inputs'!B27</x:f>
        <x:v>60</x:v>
      </x:c>
      <x:c r="C27" s="1" t="str">
        <x:f>'Inventory inputs'!C27</x:f>
        <x:v>400MCSC</x:v>
      </x:c>
      <x:c r="D27" s="7" t="n">
        <x:f>'Inventory inputs'!E27</x:f>
        <x:v>46303</x:v>
      </x:c>
      <x:c r="E27" s="1" t="n">
        <x:f>'Inventory inputs'!F27</x:f>
        <x:v>14000</x:v>
      </x:c>
      <x:c r="F27" s="1" t="n">
        <x:f>'Inventory inputs'!G27</x:f>
        <x:v>2525</x:v>
      </x:c>
      <x:c r="G27" s="1" t="n">
        <x:f>'Inventory inputs'!H27/'Inventory inputs'!J27</x:f>
        <x:v>0.049400000000000006</x:v>
      </x:c>
      <x:c r="H27" s="1" t="n">
        <x:f>IF('Inventory inputs'!I27&gt;0,'Inventory inputs'!I27*'Inventory inputs'!K27/'Inventory inputs'!J27,"n.a.")</x:f>
        <x:v>0.0572112</x:v>
      </x:c>
      <x:c r="I27" s="1" t="n">
        <x:f>'Inventory inputs'!L27</x:f>
        <x:v>1000</x:v>
      </x:c>
      <x:c r="J27" s="1" t="n">
        <x:f>'Inventory inputs'!M27</x:f>
        <x:v>13000</x:v>
      </x:c>
      <x:c r="K27" s="1" t="n">
        <x:f>'Inventory inputs'!N27</x:f>
        <x:v>0</x:v>
      </x:c>
      <x:c r="L27" s="1" t="n">
        <x:f>'Inventory inputs'!O27</x:f>
        <x:v>1</x:v>
      </x:c>
      <x:c r="M27" s="9" t="n">
        <x:f>E27*G27</x:f>
        <x:v>691.6000000000001</x:v>
      </x:c>
      <x:c r="N27" s="9" t="n">
        <x:f>'Inventory inputs'!Q27</x:f>
        <x:v>691.6</x:v>
      </x:c>
      <x:c r="O27" s="9" t="n">
        <x:f>N27-M27</x:f>
        <x:v>-1.1368683772161603e-13</x:v>
      </x:c>
      <x:c r="P27" s="1" t="n">
        <x:f>SUMIFS('Incoming POs'!$P$2:$P$305,'Incoming POs'!$A$2:$A$305,A27,'Incoming POs'!$B$2:$B$305,B27,'Incoming POs'!$C$2:$C$305,C27,'Incoming POs'!$G$2:$G$305,"&gt;="&amp;D27,'Incoming POs'!$G$2:$G$305,"&lt;"&amp;Dashboard!$I$5)</x:f>
        <x:v>0</x:v>
      </x:c>
      <x:c r="Q27" s="1" t="n">
        <x:f>F27*Dashboard!$L$5*MAX(0,Dashboard!$I$5-D27)/30.4375</x:f>
        <x:v>3359.753593429158</x:v>
      </x:c>
      <x:c r="R27" s="1" t="n">
        <x:f>MAX(0,E27+P27-Q27)</x:f>
        <x:v>10640.246406570841</x:v>
      </x:c>
      <x:c r="S27" s="1" t="n">
        <x:f>MAX(0,Q27-E27-P27)</x:f>
        <x:v>0</x:v>
      </x:c>
      <x:c r="T27" s="1" t="n">
        <x:f>IF(L27=1,MAX(0,I27+AB27-MIN(Q27,E27+P27)),"n.a.")</x:f>
        <x:v>0</x:v>
      </x:c>
      <x:c r="U27" s="9" t="n">
        <x:f>IF(ISNUMBER(T27),T27*G27,"n.a.")</x:f>
        <x:v>0</x:v>
      </x:c>
      <x:c r="V27" s="25" t="n">
        <x:f>IF(Dashboard!$I$6="Flat %",1,IF(ISNUMBER(H27),1,0))</x:f>
        <x:v>1</x:v>
      </x:c>
      <x:c r="W27" s="9" t="n">
        <x:f>IF(Dashboard!$I$6="Flat %",G27*(1+Dashboard!$L$6),H27)</x:f>
        <x:v>0.0572112</x:v>
      </x:c>
      <x:c r="X27" s="9" t="n">
        <x:f>IF(V27=1,R27*(W27-G27),"n.a.")</x:f>
        <x:v>83.11309273100605</x:v>
      </x:c>
      <x:c r="Y27" s="9" t="n">
        <x:f>IF(V27=1,R27*W27,"n.a.")</x:f>
        <x:v>608.7412652156056</x:v>
      </x:c>
      <x:c r="Z27" s="1" t="n">
        <x:f>IF(ISNUMBER(T27),R27-T27,"n.a.")</x:f>
        <x:v>10640.246406570841</x:v>
      </x:c>
      <x:c r="AA27" s="1" t="str">
        <x:f>'Inventory inputs'!R27</x:f>
        <x:v>Classified</x:v>
      </x:c>
      <x:c r="AB27" s="1" t="n">
        <x:f>IF(L27=1,SUMIFS('Incoming POs'!$P$2:$P$305,'Incoming POs'!$A$2:$A$305,A27,'Incoming POs'!$B$2:$B$305,B27,'Incoming POs'!$C$2:$C$305,C27,'Incoming POs'!$G$2:$G$305,"&gt;="&amp;D27,'Incoming POs'!$G$2:$G$305,"&lt;"&amp;Dashboard!$I$5,'Incoming POs'!$Q$2:$Q$305,"&lt;="&amp;('Inventory inputs'!P27/'Inventory inputs'!J27*1.01)),"n.a.")</x:f>
        <x:v>0</x:v>
      </x:c>
      <x:c r="AC27" s="9" t="n">
        <x:f>I27*G27</x:f>
        <x:v>49.400000000000006</x:v>
      </x:c>
      <x:c r="AD27" s="9" t="n">
        <x:f>J27*G27</x:f>
        <x:v>642.2</x:v>
      </x:c>
      <x:c r="AE27" s="9" t="n">
        <x:f>K27*G27</x:f>
        <x:v>0</x:v>
      </x:c>
      <x:c r="AF27" s="9" t="n">
        <x:f>R27*G27</x:f>
        <x:v>525.6281724845996</x:v>
      </x:c>
    </x:row>
    <x:row r="28" ht="21" customHeight="1">
      <x:c r="A28" s="1" t="str">
        <x:f>'Inventory inputs'!A28</x:f>
        <x:v>C400</x:v>
      </x:c>
      <x:c r="B28" s="1" t="str">
        <x:f>'Inventory inputs'!B28</x:f>
        <x:v>60</x:v>
      </x:c>
      <x:c r="C28" s="1" t="str">
        <x:f>'Inventory inputs'!C28</x:f>
        <x:v>400MASC19P</x:v>
      </x:c>
      <x:c r="D28" s="7" t="n">
        <x:f>'Inventory inputs'!E28</x:f>
        <x:v>46303</x:v>
      </x:c>
      <x:c r="E28" s="1" t="n">
        <x:f>'Inventory inputs'!F28</x:f>
        <x:v>29900</x:v>
      </x:c>
      <x:c r="F28" s="1" t="n">
        <x:f>'Inventory inputs'!G28</x:f>
        <x:v>2425</x:v>
      </x:c>
      <x:c r="G28" s="1" t="n">
        <x:f>'Inventory inputs'!H28/'Inventory inputs'!J28</x:f>
        <x:v>0.0441</x:v>
      </x:c>
      <x:c r="H28" s="1" t="n">
        <x:f>IF('Inventory inputs'!I28&gt;0,'Inventory inputs'!I28*'Inventory inputs'!K28/'Inventory inputs'!J28,"n.a.")</x:f>
        <x:v>0.051062399999999994</x:v>
      </x:c>
      <x:c r="I28" s="1" t="n">
        <x:f>'Inventory inputs'!L28</x:f>
        <x:v>29900</x:v>
      </x:c>
      <x:c r="J28" s="1" t="n">
        <x:f>'Inventory inputs'!M28</x:f>
        <x:v>0</x:v>
      </x:c>
      <x:c r="K28" s="1" t="n">
        <x:f>'Inventory inputs'!N28</x:f>
        <x:v>0</x:v>
      </x:c>
      <x:c r="L28" s="1" t="n">
        <x:f>'Inventory inputs'!O28</x:f>
        <x:v>1</x:v>
      </x:c>
      <x:c r="M28" s="9" t="n">
        <x:f>E28*G28</x:f>
        <x:v>1318.59</x:v>
      </x:c>
      <x:c r="N28" s="9" t="n">
        <x:f>'Inventory inputs'!Q28</x:f>
        <x:v>1318.59</x:v>
      </x:c>
      <x:c r="O28" s="9" t="n">
        <x:f>N28-M28</x:f>
        <x:v>0</x:v>
      </x:c>
      <x:c r="P28" s="1" t="n">
        <x:f>SUMIFS('Incoming POs'!$P$2:$P$305,'Incoming POs'!$A$2:$A$305,A28,'Incoming POs'!$B$2:$B$305,B28,'Incoming POs'!$C$2:$C$305,C28,'Incoming POs'!$G$2:$G$305,"&gt;="&amp;D28,'Incoming POs'!$G$2:$G$305,"&lt;"&amp;Dashboard!$I$5)</x:f>
        <x:v>0</x:v>
      </x:c>
      <x:c r="Q28" s="1" t="n">
        <x:f>F28*Dashboard!$L$5*MAX(0,Dashboard!$I$5-D28)/30.4375</x:f>
        <x:v>3226.694045174538</x:v>
      </x:c>
      <x:c r="R28" s="1" t="n">
        <x:f>MAX(0,E28+P28-Q28)</x:f>
        <x:v>26673.30595482546</x:v>
      </x:c>
      <x:c r="S28" s="1" t="n">
        <x:f>MAX(0,Q28-E28-P28)</x:f>
        <x:v>0</x:v>
      </x:c>
      <x:c r="T28" s="1" t="n">
        <x:f>IF(L28=1,MAX(0,I28+AB28-MIN(Q28,E28+P28)),"n.a.")</x:f>
        <x:v>26673.30595482546</x:v>
      </x:c>
      <x:c r="U28" s="9" t="n">
        <x:f>IF(ISNUMBER(T28),T28*G28,"n.a.")</x:f>
        <x:v>1176.2927926078028</x:v>
      </x:c>
      <x:c r="V28" s="25" t="n">
        <x:f>IF(Dashboard!$I$6="Flat %",1,IF(ISNUMBER(H28),1,0))</x:f>
        <x:v>1</x:v>
      </x:c>
      <x:c r="W28" s="9" t="n">
        <x:f>IF(Dashboard!$I$6="Flat %",G28*(1+Dashboard!$L$6),H28)</x:f>
        <x:v>0.051062399999999994</x:v>
      </x:c>
      <x:c r="X28" s="9" t="n">
        <x:f>IF(V28=1,R28*(W28-G28),"n.a.")</x:f>
        <x:v>185.71022537987662</x:v>
      </x:c>
      <x:c r="Y28" s="9" t="n">
        <x:f>IF(V28=1,R28*W28,"n.a.")</x:f>
        <x:v>1362.0030179876794</x:v>
      </x:c>
      <x:c r="Z28" s="1" t="n">
        <x:f>IF(ISNUMBER(T28),R28-T28,"n.a.")</x:f>
        <x:v>0</x:v>
      </x:c>
      <x:c r="AA28" s="1" t="str">
        <x:f>'Inventory inputs'!R28</x:f>
        <x:v>Classified</x:v>
      </x:c>
      <x:c r="AB28" s="1" t="n">
        <x:f>IF(L28=1,SUMIFS('Incoming POs'!$P$2:$P$305,'Incoming POs'!$A$2:$A$305,A28,'Incoming POs'!$B$2:$B$305,B28,'Incoming POs'!$C$2:$C$305,C28,'Incoming POs'!$G$2:$G$305,"&gt;="&amp;D28,'Incoming POs'!$G$2:$G$305,"&lt;"&amp;Dashboard!$I$5,'Incoming POs'!$Q$2:$Q$305,"&lt;="&amp;('Inventory inputs'!P28/'Inventory inputs'!J28*1.01)),"n.a.")</x:f>
        <x:v>0</x:v>
      </x:c>
      <x:c r="AC28" s="9" t="n">
        <x:f>I28*G28</x:f>
        <x:v>1318.59</x:v>
      </x:c>
      <x:c r="AD28" s="9" t="n">
        <x:f>J28*G28</x:f>
        <x:v>0</x:v>
      </x:c>
      <x:c r="AE28" s="9" t="n">
        <x:f>K28*G28</x:f>
        <x:v>0</x:v>
      </x:c>
      <x:c r="AF28" s="9" t="n">
        <x:f>R28*G28</x:f>
        <x:v>1176.2927926078028</x:v>
      </x:c>
    </x:row>
    <x:row r="29" ht="21" customHeight="1">
      <x:c r="A29" s="1" t="str">
        <x:f>'Inventory inputs'!A29</x:f>
        <x:v>C400</x:v>
      </x:c>
      <x:c r="B29" s="1" t="str">
        <x:f>'Inventory inputs'!B29</x:f>
        <x:v>10</x:v>
      </x:c>
      <x:c r="C29" s="1" t="str">
        <x:f>'Inventory inputs'!C29</x:f>
        <x:v>400HBRC</x:v>
      </x:c>
      <x:c r="D29" s="7" t="n">
        <x:f>'Inventory inputs'!E29</x:f>
        <x:v>46303</x:v>
      </x:c>
      <x:c r="E29" s="1" t="n">
        <x:f>'Inventory inputs'!F29</x:f>
        <x:v>12500</x:v>
      </x:c>
      <x:c r="F29" s="1" t="n">
        <x:f>'Inventory inputs'!G29</x:f>
        <x:v>2283.33</x:v>
      </x:c>
      <x:c r="G29" s="1" t="n">
        <x:f>'Inventory inputs'!H29/'Inventory inputs'!J29</x:f>
        <x:v>0.0599</x:v>
      </x:c>
      <x:c r="H29" s="1" t="n">
        <x:f>IF('Inventory inputs'!I29&gt;0,'Inventory inputs'!I29*'Inventory inputs'!K29/'Inventory inputs'!J29,"n.a.")</x:f>
        <x:v>0.0693936</x:v>
      </x:c>
      <x:c r="I29" s="1" t="n">
        <x:f>'Inventory inputs'!L29</x:f>
        <x:v>500</x:v>
      </x:c>
      <x:c r="J29" s="1" t="n">
        <x:f>'Inventory inputs'!M29</x:f>
        <x:v>12000</x:v>
      </x:c>
      <x:c r="K29" s="1" t="n">
        <x:f>'Inventory inputs'!N29</x:f>
        <x:v>0</x:v>
      </x:c>
      <x:c r="L29" s="1" t="n">
        <x:f>'Inventory inputs'!O29</x:f>
        <x:v>1</x:v>
      </x:c>
      <x:c r="M29" s="9" t="n">
        <x:f>E29*G29</x:f>
        <x:v>748.75</x:v>
      </x:c>
      <x:c r="N29" s="9" t="n">
        <x:f>'Inventory inputs'!Q29</x:f>
        <x:v>808.65</x:v>
      </x:c>
      <x:c r="O29" s="9" t="n">
        <x:f>N29-M29</x:f>
        <x:v>59.89999999999998</x:v>
      </x:c>
      <x:c r="P29" s="1" t="n">
        <x:f>SUMIFS('Incoming POs'!$P$2:$P$305,'Incoming POs'!$A$2:$A$305,A29,'Incoming POs'!$B$2:$B$305,B29,'Incoming POs'!$C$2:$C$305,C29,'Incoming POs'!$G$2:$G$305,"&gt;="&amp;D29,'Incoming POs'!$G$2:$G$305,"&lt;"&amp;Dashboard!$I$5)</x:f>
        <x:v>0</x:v>
      </x:c>
      <x:c r="Q29" s="1" t="n">
        <x:f>F29*Dashboard!$L$5*MAX(0,Dashboard!$I$5-D29)/30.4375</x:f>
        <x:v>3038.188583162217</x:v>
      </x:c>
      <x:c r="R29" s="1" t="n">
        <x:f>MAX(0,E29+P29-Q29)</x:f>
        <x:v>9461.811416837783</x:v>
      </x:c>
      <x:c r="S29" s="1" t="n">
        <x:f>MAX(0,Q29-E29-P29)</x:f>
        <x:v>0</x:v>
      </x:c>
      <x:c r="T29" s="1" t="n">
        <x:f>IF(L29=1,MAX(0,I29+AB29-MIN(Q29,E29+P29)),"n.a.")</x:f>
        <x:v>0</x:v>
      </x:c>
      <x:c r="U29" s="9" t="n">
        <x:f>IF(ISNUMBER(T29),T29*G29,"n.a.")</x:f>
        <x:v>0</x:v>
      </x:c>
      <x:c r="V29" s="25" t="n">
        <x:f>IF(Dashboard!$I$6="Flat %",1,IF(ISNUMBER(H29),1,0))</x:f>
        <x:v>1</x:v>
      </x:c>
      <x:c r="W29" s="9" t="n">
        <x:f>IF(Dashboard!$I$6="Flat %",G29*(1+Dashboard!$L$6),H29)</x:f>
        <x:v>0.0693936</x:v>
      </x:c>
      <x:c r="X29" s="9" t="n">
        <x:f>IF(V29=1,R29*(W29-G29),"n.a.")</x:f>
        <x:v>89.82665286689117</x:v>
      </x:c>
      <x:c r="Y29" s="9" t="n">
        <x:f>IF(V29=1,R29*W29,"n.a.")</x:f>
        <x:v>656.5891567354744</x:v>
      </x:c>
      <x:c r="Z29" s="1" t="n">
        <x:f>IF(ISNUMBER(T29),R29-T29,"n.a.")</x:f>
        <x:v>9461.811416837783</x:v>
      </x:c>
      <x:c r="AA29" s="1" t="str">
        <x:f>'Inventory inputs'!R29</x:f>
        <x:v>Classified</x:v>
      </x:c>
      <x:c r="AB29" s="1" t="n">
        <x:f>IF(L29=1,SUMIFS('Incoming POs'!$P$2:$P$305,'Incoming POs'!$A$2:$A$305,A29,'Incoming POs'!$B$2:$B$305,B29,'Incoming POs'!$C$2:$C$305,C29,'Incoming POs'!$G$2:$G$305,"&gt;="&amp;D29,'Incoming POs'!$G$2:$G$305,"&lt;"&amp;Dashboard!$I$5,'Incoming POs'!$Q$2:$Q$305,"&lt;="&amp;('Inventory inputs'!P29/'Inventory inputs'!J29*1.01)),"n.a.")</x:f>
        <x:v>0</x:v>
      </x:c>
      <x:c r="AC29" s="9" t="n">
        <x:f>I29*G29</x:f>
        <x:v>29.95</x:v>
      </x:c>
      <x:c r="AD29" s="9" t="n">
        <x:f>J29*G29</x:f>
        <x:v>718.8000000000001</x:v>
      </x:c>
      <x:c r="AE29" s="9" t="n">
        <x:f>K29*G29</x:f>
        <x:v>0</x:v>
      </x:c>
      <x:c r="AF29" s="9" t="n">
        <x:f>R29*G29</x:f>
        <x:v>566.7625038685833</x:v>
      </x:c>
    </x:row>
    <x:row r="30" ht="21" customHeight="1">
      <x:c r="A30" s="1" t="str">
        <x:f>'Inventory inputs'!A30</x:f>
        <x:v>C400</x:v>
      </x:c>
      <x:c r="B30" s="1" t="str">
        <x:f>'Inventory inputs'!B30</x:f>
        <x:v>60</x:v>
      </x:c>
      <x:c r="C30" s="1" t="str">
        <x:f>'Inventory inputs'!C30</x:f>
        <x:v>400HMASC</x:v>
      </x:c>
      <x:c r="D30" s="7" t="n">
        <x:f>'Inventory inputs'!E30</x:f>
        <x:v>46303</x:v>
      </x:c>
      <x:c r="E30" s="1" t="n">
        <x:f>'Inventory inputs'!F30</x:f>
        <x:v>18400</x:v>
      </x:c>
      <x:c r="F30" s="1" t="n">
        <x:f>'Inventory inputs'!G30</x:f>
        <x:v>2033.33</x:v>
      </x:c>
      <x:c r="G30" s="1" t="n">
        <x:f>'Inventory inputs'!H30/'Inventory inputs'!J30</x:f>
        <x:v>0.0583</x:v>
      </x:c>
      <x:c r="H30" s="1" t="n">
        <x:f>IF('Inventory inputs'!I30&gt;0,'Inventory inputs'!I30*'Inventory inputs'!K30/'Inventory inputs'!J30,"n.a.")</x:f>
        <x:v>0.06750719999999999</x:v>
      </x:c>
      <x:c r="I30" s="1" t="n">
        <x:f>'Inventory inputs'!L30</x:f>
        <x:v>6400</x:v>
      </x:c>
      <x:c r="J30" s="1" t="n">
        <x:f>'Inventory inputs'!M30</x:f>
        <x:v>12000</x:v>
      </x:c>
      <x:c r="K30" s="1" t="n">
        <x:f>'Inventory inputs'!N30</x:f>
        <x:v>0</x:v>
      </x:c>
      <x:c r="L30" s="1" t="n">
        <x:f>'Inventory inputs'!O30</x:f>
        <x:v>1</x:v>
      </x:c>
      <x:c r="M30" s="9" t="n">
        <x:f>E30*G30</x:f>
        <x:v>1072.72</x:v>
      </x:c>
      <x:c r="N30" s="9" t="n">
        <x:f>'Inventory inputs'!Q30</x:f>
        <x:v>1101.8700000000001</x:v>
      </x:c>
      <x:c r="O30" s="9" t="n">
        <x:f>N30-M30</x:f>
        <x:v>29.15000000000009</x:v>
      </x:c>
      <x:c r="P30" s="1" t="n">
        <x:f>SUMIFS('Incoming POs'!$P$2:$P$305,'Incoming POs'!$A$2:$A$305,A30,'Incoming POs'!$B$2:$B$305,B30,'Incoming POs'!$C$2:$C$305,C30,'Incoming POs'!$G$2:$G$305,"&gt;="&amp;D30,'Incoming POs'!$G$2:$G$305,"&lt;"&amp;Dashboard!$I$5)</x:f>
        <x:v>0</x:v>
      </x:c>
      <x:c r="Q30" s="1" t="n">
        <x:f>F30*Dashboard!$L$5*MAX(0,Dashboard!$I$5-D30)/30.4375</x:f>
        <x:v>2705.5397125256673</x:v>
      </x:c>
      <x:c r="R30" s="1" t="n">
        <x:f>MAX(0,E30+P30-Q30)</x:f>
        <x:v>15694.460287474332</x:v>
      </x:c>
      <x:c r="S30" s="1" t="n">
        <x:f>MAX(0,Q30-E30-P30)</x:f>
        <x:v>0</x:v>
      </x:c>
      <x:c r="T30" s="1" t="n">
        <x:f>IF(L30=1,MAX(0,I30+AB30-MIN(Q30,E30+P30)),"n.a.")</x:f>
        <x:v>3694.4602874743327</x:v>
      </x:c>
      <x:c r="U30" s="9" t="n">
        <x:f>IF(ISNUMBER(T30),T30*G30,"n.a.")</x:f>
        <x:v>215.3870347597536</x:v>
      </x:c>
      <x:c r="V30" s="25" t="n">
        <x:f>IF(Dashboard!$I$6="Flat %",1,IF(ISNUMBER(H30),1,0))</x:f>
        <x:v>1</x:v>
      </x:c>
      <x:c r="W30" s="9" t="n">
        <x:f>IF(Dashboard!$I$6="Flat %",G30*(1+Dashboard!$L$6),H30)</x:f>
        <x:v>0.06750719999999999</x:v>
      </x:c>
      <x:c r="X30" s="9" t="n">
        <x:f>IF(V30=1,R30*(W30-G30),"n.a.")</x:f>
        <x:v>144.50203475883353</x:v>
      </x:c>
      <x:c r="Y30" s="9" t="n">
        <x:f>IF(V30=1,R30*W30,"n.a.")</x:f>
        <x:v>1059.489069518587</x:v>
      </x:c>
      <x:c r="Z30" s="1" t="n">
        <x:f>IF(ISNUMBER(T30),R30-T30,"n.a.")</x:f>
        <x:v>12000</x:v>
      </x:c>
      <x:c r="AA30" s="1" t="str">
        <x:f>'Inventory inputs'!R30</x:f>
        <x:v>Classified</x:v>
      </x:c>
      <x:c r="AB30" s="1" t="n">
        <x:f>IF(L30=1,SUMIFS('Incoming POs'!$P$2:$P$305,'Incoming POs'!$A$2:$A$305,A30,'Incoming POs'!$B$2:$B$305,B30,'Incoming POs'!$C$2:$C$305,C30,'Incoming POs'!$G$2:$G$305,"&gt;="&amp;D30,'Incoming POs'!$G$2:$G$305,"&lt;"&amp;Dashboard!$I$5,'Incoming POs'!$Q$2:$Q$305,"&lt;="&amp;('Inventory inputs'!P30/'Inventory inputs'!J30*1.01)),"n.a.")</x:f>
        <x:v>0</x:v>
      </x:c>
      <x:c r="AC30" s="9" t="n">
        <x:f>I30*G30</x:f>
        <x:v>373.12</x:v>
      </x:c>
      <x:c r="AD30" s="9" t="n">
        <x:f>J30*G30</x:f>
        <x:v>699.6</x:v>
      </x:c>
      <x:c r="AE30" s="9" t="n">
        <x:f>K30*G30</x:f>
        <x:v>0</x:v>
      </x:c>
      <x:c r="AF30" s="9" t="n">
        <x:f>R30*G30</x:f>
        <x:v>914.9870347597536</x:v>
      </x:c>
    </x:row>
    <x:row r="31" ht="21" customHeight="1">
      <x:c r="A31" s="1" t="str">
        <x:f>'Inventory inputs'!A31</x:f>
        <x:v>C400</x:v>
      </x:c>
      <x:c r="B31" s="1" t="str">
        <x:f>'Inventory inputs'!B31</x:f>
        <x:v>10</x:v>
      </x:c>
      <x:c r="C31" s="1" t="str">
        <x:f>'Inventory inputs'!C31</x:f>
        <x:v>HRP7ASC</x:v>
      </x:c>
      <x:c r="D31" s="7" t="n">
        <x:f>'Inventory inputs'!E31</x:f>
        <x:v>46303</x:v>
      </x:c>
      <x:c r="E31" s="1" t="n">
        <x:f>'Inventory inputs'!F31</x:f>
        <x:v>17400</x:v>
      </x:c>
      <x:c r="F31" s="1" t="n">
        <x:f>'Inventory inputs'!G31</x:f>
        <x:v>1933.33</x:v>
      </x:c>
      <x:c r="G31" s="1" t="n">
        <x:f>'Inventory inputs'!H31/'Inventory inputs'!J31</x:f>
        <x:v>0.0984</x:v>
      </x:c>
      <x:c r="H31" s="1" t="n">
        <x:f>IF('Inventory inputs'!I31&gt;0,'Inventory inputs'!I31*'Inventory inputs'!K31/'Inventory inputs'!J31,"n.a.")</x:f>
        <x:v>0.141696</x:v>
      </x:c>
      <x:c r="I31" s="1" t="n">
        <x:f>'Inventory inputs'!L31</x:f>
        <x:v>0</x:v>
      </x:c>
      <x:c r="J31" s="1" t="n">
        <x:f>'Inventory inputs'!M31</x:f>
        <x:v>0</x:v>
      </x:c>
      <x:c r="K31" s="1" t="n">
        <x:f>'Inventory inputs'!N31</x:f>
        <x:v>17400</x:v>
      </x:c>
      <x:c r="L31" s="1" t="n">
        <x:f>'Inventory inputs'!O31</x:f>
        <x:v>0</x:v>
      </x:c>
      <x:c r="M31" s="9" t="n">
        <x:f>E31*G31</x:f>
        <x:v>1712.16</x:v>
      </x:c>
      <x:c r="N31" s="9" t="n">
        <x:f>'Inventory inputs'!Q31</x:f>
        <x:v>1712.16</x:v>
      </x:c>
      <x:c r="O31" s="9" t="n">
        <x:f>N31-M31</x:f>
        <x:v>0</x:v>
      </x:c>
      <x:c r="P31" s="1" t="n">
        <x:f>SUMIFS('Incoming POs'!$P$2:$P$305,'Incoming POs'!$A$2:$A$305,A31,'Incoming POs'!$B$2:$B$305,B31,'Incoming POs'!$C$2:$C$305,C31,'Incoming POs'!$G$2:$G$305,"&gt;="&amp;D31,'Incoming POs'!$G$2:$G$305,"&lt;"&amp;Dashboard!$I$5)</x:f>
        <x:v>0</x:v>
      </x:c>
      <x:c r="Q31" s="1" t="n">
        <x:f>F31*Dashboard!$L$5*MAX(0,Dashboard!$I$5-D31)/30.4375</x:f>
        <x:v>2572.4801642710468</x:v>
      </x:c>
      <x:c r="R31" s="1" t="n">
        <x:f>MAX(0,E31+P31-Q31)</x:f>
        <x:v>14827.519835728954</x:v>
      </x:c>
      <x:c r="S31" s="1" t="n">
        <x:f>MAX(0,Q31-E31-P31)</x:f>
        <x:v>0</x:v>
      </x:c>
      <x:c r="T31" s="1" t="str">
        <x:f>IF(L31=1,MAX(0,I31+AB31-MIN(Q31,E31+P31)),"n.a.")</x:f>
        <x:v>n.a.</x:v>
      </x:c>
      <x:c r="U31" s="9" t="str">
        <x:f>IF(ISNUMBER(T31),T31*G31,"n.a.")</x:f>
        <x:v>n.a.</x:v>
      </x:c>
      <x:c r="V31" s="25" t="n">
        <x:f>IF(Dashboard!$I$6="Flat %",1,IF(ISNUMBER(H31),1,0))</x:f>
        <x:v>1</x:v>
      </x:c>
      <x:c r="W31" s="9" t="n">
        <x:f>IF(Dashboard!$I$6="Flat %",G31*(1+Dashboard!$L$6),H31)</x:f>
        <x:v>0.141696</x:v>
      </x:c>
      <x:c r="X31" s="9" t="n">
        <x:f>IF(V31=1,R31*(W31-G31),"n.a.")</x:f>
        <x:v>641.9722988077206</x:v>
      </x:c>
      <x:c r="Y31" s="9" t="n">
        <x:f>IF(V31=1,R31*W31,"n.a.")</x:f>
        <x:v>2101.00025064345</x:v>
      </x:c>
      <x:c r="Z31" s="1" t="str">
        <x:f>IF(ISNUMBER(T31),R31-T31,"n.a.")</x:f>
        <x:v>n.a.</x:v>
      </x:c>
      <x:c r="AA31" s="1" t="str">
        <x:f>'Inventory inputs'!R31</x:f>
        <x:v>Review receipt reconciliation or original PO baseline</x:v>
      </x:c>
      <x:c r="AB31" s="1" t="str">
        <x:f>IF(L31=1,SUMIFS('Incoming POs'!$P$2:$P$305,'Incoming POs'!$A$2:$A$305,A31,'Incoming POs'!$B$2:$B$305,B31,'Incoming POs'!$C$2:$C$305,C31,'Incoming POs'!$G$2:$G$305,"&gt;="&amp;D31,'Incoming POs'!$G$2:$G$305,"&lt;"&amp;Dashboard!$I$5,'Incoming POs'!$Q$2:$Q$305,"&lt;="&amp;('Inventory inputs'!P31/'Inventory inputs'!J31*1.01)),"n.a.")</x:f>
        <x:v>n.a.</x:v>
      </x:c>
      <x:c r="AC31" s="9" t="n">
        <x:f>I31*G31</x:f>
        <x:v>0</x:v>
      </x:c>
      <x:c r="AD31" s="9" t="n">
        <x:f>J31*G31</x:f>
        <x:v>0</x:v>
      </x:c>
      <x:c r="AE31" s="9" t="n">
        <x:f>K31*G31</x:f>
        <x:v>1712.16</x:v>
      </x:c>
      <x:c r="AF31" s="9" t="n">
        <x:f>R31*G31</x:f>
        <x:v>1459.027951835729</x:v>
      </x:c>
    </x:row>
    <x:row r="32" ht="21" customHeight="1">
      <x:c r="A32" s="1" t="str">
        <x:f>'Inventory inputs'!A32</x:f>
        <x:v>C400</x:v>
      </x:c>
      <x:c r="B32" s="1" t="str">
        <x:f>'Inventory inputs'!B32</x:f>
        <x:v>60</x:v>
      </x:c>
      <x:c r="C32" s="1" t="str">
        <x:f>'Inventory inputs'!C32</x:f>
        <x:v>400HBRC</x:v>
      </x:c>
      <x:c r="D32" s="7" t="n">
        <x:f>'Inventory inputs'!E32</x:f>
        <x:v>46303</x:v>
      </x:c>
      <x:c r="E32" s="1" t="n">
        <x:f>'Inventory inputs'!F32</x:f>
        <x:v>6400</x:v>
      </x:c>
      <x:c r="F32" s="1" t="n">
        <x:f>'Inventory inputs'!G32</x:f>
        <x:v>1783.33</x:v>
      </x:c>
      <x:c r="G32" s="1" t="n">
        <x:f>'Inventory inputs'!H32/'Inventory inputs'!J32</x:f>
        <x:v>0.0599</x:v>
      </x:c>
      <x:c r="H32" s="1" t="n">
        <x:f>IF('Inventory inputs'!I32&gt;0,'Inventory inputs'!I32*'Inventory inputs'!K32/'Inventory inputs'!J32,"n.a.")</x:f>
        <x:v>0.0693936</x:v>
      </x:c>
      <x:c r="I32" s="1" t="n">
        <x:f>'Inventory inputs'!L32</x:f>
        <x:v>1400</x:v>
      </x:c>
      <x:c r="J32" s="1" t="n">
        <x:f>'Inventory inputs'!M32</x:f>
        <x:v>5000</x:v>
      </x:c>
      <x:c r="K32" s="1" t="n">
        <x:f>'Inventory inputs'!N32</x:f>
        <x:v>0</x:v>
      </x:c>
      <x:c r="L32" s="1" t="n">
        <x:f>'Inventory inputs'!O32</x:f>
        <x:v>1</x:v>
      </x:c>
      <x:c r="M32" s="9" t="n">
        <x:f>E32*G32</x:f>
        <x:v>383.36</x:v>
      </x:c>
      <x:c r="N32" s="9" t="n">
        <x:f>'Inventory inputs'!Q32</x:f>
        <x:v>401.33</x:v>
      </x:c>
      <x:c r="O32" s="9" t="n">
        <x:f>N32-M32</x:f>
        <x:v>17.96999999999997</x:v>
      </x:c>
      <x:c r="P32" s="1" t="n">
        <x:f>SUMIFS('Incoming POs'!$P$2:$P$305,'Incoming POs'!$A$2:$A$305,A32,'Incoming POs'!$B$2:$B$305,B32,'Incoming POs'!$C$2:$C$305,C32,'Incoming POs'!$G$2:$G$305,"&gt;="&amp;D32,'Incoming POs'!$G$2:$G$305,"&lt;"&amp;Dashboard!$I$5)</x:f>
        <x:v>0</x:v>
      </x:c>
      <x:c r="Q32" s="1" t="n">
        <x:f>F32*Dashboard!$L$5*MAX(0,Dashboard!$I$5-D32)/30.4375</x:f>
        <x:v>2372.890841889117</x:v>
      </x:c>
      <x:c r="R32" s="1" t="n">
        <x:f>MAX(0,E32+P32-Q32)</x:f>
        <x:v>4027.109158110883</x:v>
      </x:c>
      <x:c r="S32" s="1" t="n">
        <x:f>MAX(0,Q32-E32-P32)</x:f>
        <x:v>0</x:v>
      </x:c>
      <x:c r="T32" s="1" t="n">
        <x:f>IF(L32=1,MAX(0,I32+AB32-MIN(Q32,E32+P32)),"n.a.")</x:f>
        <x:v>0</x:v>
      </x:c>
      <x:c r="U32" s="9" t="n">
        <x:f>IF(ISNUMBER(T32),T32*G32,"n.a.")</x:f>
        <x:v>0</x:v>
      </x:c>
      <x:c r="V32" s="25" t="n">
        <x:f>IF(Dashboard!$I$6="Flat %",1,IF(ISNUMBER(H32),1,0))</x:f>
        <x:v>1</x:v>
      </x:c>
      <x:c r="W32" s="9" t="n">
        <x:f>IF(Dashboard!$I$6="Flat %",G32*(1+Dashboard!$L$6),H32)</x:f>
        <x:v>0.0693936</x:v>
      </x:c>
      <x:c r="X32" s="9" t="n">
        <x:f>IF(V32=1,R32*(W32-G32),"n.a.")</x:f>
        <x:v>38.23176350344147</x:v>
      </x:c>
      <x:c r="Y32" s="9" t="n">
        <x:f>IF(V32=1,R32*W32,"n.a.")</x:f>
        <x:v>279.4556020742834</x:v>
      </x:c>
      <x:c r="Z32" s="1" t="n">
        <x:f>IF(ISNUMBER(T32),R32-T32,"n.a.")</x:f>
        <x:v>4027.109158110883</x:v>
      </x:c>
      <x:c r="AA32" s="1" t="str">
        <x:f>'Inventory inputs'!R32</x:f>
        <x:v>Classified</x:v>
      </x:c>
      <x:c r="AB32" s="1" t="n">
        <x:f>IF(L32=1,SUMIFS('Incoming POs'!$P$2:$P$305,'Incoming POs'!$A$2:$A$305,A32,'Incoming POs'!$B$2:$B$305,B32,'Incoming POs'!$C$2:$C$305,C32,'Incoming POs'!$G$2:$G$305,"&gt;="&amp;D32,'Incoming POs'!$G$2:$G$305,"&lt;"&amp;Dashboard!$I$5,'Incoming POs'!$Q$2:$Q$305,"&lt;="&amp;('Inventory inputs'!P32/'Inventory inputs'!J32*1.01)),"n.a.")</x:f>
        <x:v>0</x:v>
      </x:c>
      <x:c r="AC32" s="9" t="n">
        <x:f>I32*G32</x:f>
        <x:v>83.86</x:v>
      </x:c>
      <x:c r="AD32" s="9" t="n">
        <x:f>J32*G32</x:f>
        <x:v>299.5</x:v>
      </x:c>
      <x:c r="AE32" s="9" t="n">
        <x:f>K32*G32</x:f>
        <x:v>0</x:v>
      </x:c>
      <x:c r="AF32" s="9" t="n">
        <x:f>R32*G32</x:f>
        <x:v>241.2238385708419</x:v>
      </x:c>
    </x:row>
    <x:row r="33" ht="21" customHeight="1">
      <x:c r="A33" s="1" t="str">
        <x:f>'Inventory inputs'!A33</x:f>
        <x:v>C400</x:v>
      </x:c>
      <x:c r="B33" s="1" t="str">
        <x:f>'Inventory inputs'!B33</x:f>
        <x:v>10</x:v>
      </x:c>
      <x:c r="C33" s="1" t="str">
        <x:f>'Inventory inputs'!C33</x:f>
        <x:v>400HMISC</x:v>
      </x:c>
      <x:c r="D33" s="7" t="n">
        <x:f>'Inventory inputs'!E33</x:f>
        <x:v>46303</x:v>
      </x:c>
      <x:c r="E33" s="1" t="n">
        <x:f>'Inventory inputs'!F33</x:f>
        <x:v>16000</x:v>
      </x:c>
      <x:c r="F33" s="1" t="n">
        <x:f>'Inventory inputs'!G33</x:f>
        <x:v>1733.33</x:v>
      </x:c>
      <x:c r="G33" s="1" t="n">
        <x:f>'Inventory inputs'!H33/'Inventory inputs'!J33</x:f>
        <x:v>0.061799999999999994</x:v>
      </x:c>
      <x:c r="H33" s="1" t="n">
        <x:f>IF('Inventory inputs'!I33&gt;0,'Inventory inputs'!I33*'Inventory inputs'!K33/'Inventory inputs'!J33,"n.a.")</x:f>
        <x:v>0.07156799999999999</x:v>
      </x:c>
      <x:c r="I33" s="1" t="n">
        <x:f>'Inventory inputs'!L33</x:f>
        <x:v>16000</x:v>
      </x:c>
      <x:c r="J33" s="1" t="n">
        <x:f>'Inventory inputs'!M33</x:f>
        <x:v>0</x:v>
      </x:c>
      <x:c r="K33" s="1" t="n">
        <x:f>'Inventory inputs'!N33</x:f>
        <x:v>0</x:v>
      </x:c>
      <x:c r="L33" s="1" t="n">
        <x:f>'Inventory inputs'!O33</x:f>
        <x:v>1</x:v>
      </x:c>
      <x:c r="M33" s="9" t="n">
        <x:f>E33*G33</x:f>
        <x:v>988.8</x:v>
      </x:c>
      <x:c r="N33" s="9" t="n">
        <x:f>'Inventory inputs'!Q33</x:f>
        <x:v>988.8000000000001</x:v>
      </x:c>
      <x:c r="O33" s="9" t="n">
        <x:f>N33-M33</x:f>
        <x:v>1.1368683772161603e-13</x:v>
      </x:c>
      <x:c r="P33" s="1" t="n">
        <x:f>SUMIFS('Incoming POs'!$P$2:$P$305,'Incoming POs'!$A$2:$A$305,A33,'Incoming POs'!$B$2:$B$305,B33,'Incoming POs'!$C$2:$C$305,C33,'Incoming POs'!$G$2:$G$305,"&gt;="&amp;D33,'Incoming POs'!$G$2:$G$305,"&lt;"&amp;Dashboard!$I$5)</x:f>
        <x:v>0</x:v>
      </x:c>
      <x:c r="Q33" s="1" t="n">
        <x:f>F33*Dashboard!$L$5*MAX(0,Dashboard!$I$5-D33)/30.4375</x:f>
        <x:v>2306.3610677618067</x:v>
      </x:c>
      <x:c r="R33" s="1" t="n">
        <x:f>MAX(0,E33+P33-Q33)</x:f>
        <x:v>13693.638932238193</x:v>
      </x:c>
      <x:c r="S33" s="1" t="n">
        <x:f>MAX(0,Q33-E33-P33)</x:f>
        <x:v>0</x:v>
      </x:c>
      <x:c r="T33" s="1" t="n">
        <x:f>IF(L33=1,MAX(0,I33+AB33-MIN(Q33,E33+P33)),"n.a.")</x:f>
        <x:v>13693.638932238193</x:v>
      </x:c>
      <x:c r="U33" s="9" t="n">
        <x:f>IF(ISNUMBER(T33),T33*G33,"n.a.")</x:f>
        <x:v>846.2668860123202</x:v>
      </x:c>
      <x:c r="V33" s="25" t="n">
        <x:f>IF(Dashboard!$I$6="Flat %",1,IF(ISNUMBER(H33),1,0))</x:f>
        <x:v>1</x:v>
      </x:c>
      <x:c r="W33" s="9" t="n">
        <x:f>IF(Dashboard!$I$6="Flat %",G33*(1+Dashboard!$L$6),H33)</x:f>
        <x:v>0.07156799999999999</x:v>
      </x:c>
      <x:c r="X33" s="9" t="n">
        <x:f>IF(V33=1,R33*(W33-G33),"n.a.")</x:f>
        <x:v>133.75946509010265</x:v>
      </x:c>
      <x:c r="Y33" s="9" t="n">
        <x:f>IF(V33=1,R33*W33,"n.a.")</x:f>
        <x:v>980.0263511024228</x:v>
      </x:c>
      <x:c r="Z33" s="1" t="n">
        <x:f>IF(ISNUMBER(T33),R33-T33,"n.a.")</x:f>
        <x:v>0</x:v>
      </x:c>
      <x:c r="AA33" s="1" t="str">
        <x:f>'Inventory inputs'!R33</x:f>
        <x:v>Classified</x:v>
      </x:c>
      <x:c r="AB33" s="1" t="n">
        <x:f>IF(L33=1,SUMIFS('Incoming POs'!$P$2:$P$305,'Incoming POs'!$A$2:$A$305,A33,'Incoming POs'!$B$2:$B$305,B33,'Incoming POs'!$C$2:$C$305,C33,'Incoming POs'!$G$2:$G$305,"&gt;="&amp;D33,'Incoming POs'!$G$2:$G$305,"&lt;"&amp;Dashboard!$I$5,'Incoming POs'!$Q$2:$Q$305,"&lt;="&amp;('Inventory inputs'!P33/'Inventory inputs'!J33*1.01)),"n.a.")</x:f>
        <x:v>0</x:v>
      </x:c>
      <x:c r="AC33" s="9" t="n">
        <x:f>I33*G33</x:f>
        <x:v>988.8</x:v>
      </x:c>
      <x:c r="AD33" s="9" t="n">
        <x:f>J33*G33</x:f>
        <x:v>0</x:v>
      </x:c>
      <x:c r="AE33" s="9" t="n">
        <x:f>K33*G33</x:f>
        <x:v>0</x:v>
      </x:c>
      <x:c r="AF33" s="9" t="n">
        <x:f>R33*G33</x:f>
        <x:v>846.2668860123202</x:v>
      </x:c>
    </x:row>
    <x:row r="34" ht="21" customHeight="1">
      <x:c r="A34" s="1" t="str">
        <x:f>'Inventory inputs'!A34</x:f>
        <x:v>C400</x:v>
      </x:c>
      <x:c r="B34" s="1" t="str">
        <x:f>'Inventory inputs'!B34</x:f>
        <x:v>60</x:v>
      </x:c>
      <x:c r="C34" s="1" t="str">
        <x:f>'Inventory inputs'!C34</x:f>
        <x:v>400HASCT</x:v>
      </x:c>
      <x:c r="D34" s="7" t="n">
        <x:f>'Inventory inputs'!E34</x:f>
        <x:v>46303</x:v>
      </x:c>
      <x:c r="E34" s="1" t="n">
        <x:f>'Inventory inputs'!F34</x:f>
        <x:v>7200</x:v>
      </x:c>
      <x:c r="F34" s="1" t="n">
        <x:f>'Inventory inputs'!G34</x:f>
        <x:v>1716.67</x:v>
      </x:c>
      <x:c r="G34" s="1" t="n">
        <x:f>'Inventory inputs'!H34/'Inventory inputs'!J34</x:f>
        <x:v>0.0733</x:v>
      </x:c>
      <x:c r="H34" s="1" t="n">
        <x:f>IF('Inventory inputs'!I34&gt;0,'Inventory inputs'!I34*'Inventory inputs'!K34/'Inventory inputs'!J34,"n.a.")</x:f>
        <x:v>0.08488799999999999</x:v>
      </x:c>
      <x:c r="I34" s="1" t="n">
        <x:f>'Inventory inputs'!L34</x:f>
        <x:v>0</x:v>
      </x:c>
      <x:c r="J34" s="1" t="n">
        <x:f>'Inventory inputs'!M34</x:f>
        <x:v>7200</x:v>
      </x:c>
      <x:c r="K34" s="1" t="n">
        <x:f>'Inventory inputs'!N34</x:f>
        <x:v>0</x:v>
      </x:c>
      <x:c r="L34" s="1" t="n">
        <x:f>'Inventory inputs'!O34</x:f>
        <x:v>1</x:v>
      </x:c>
      <x:c r="M34" s="9" t="n">
        <x:f>E34*G34</x:f>
        <x:v>527.76</x:v>
      </x:c>
      <x:c r="N34" s="9" t="n">
        <x:f>'Inventory inputs'!Q34</x:f>
        <x:v>527.76</x:v>
      </x:c>
      <x:c r="O34" s="9" t="n">
        <x:f>N34-M34</x:f>
        <x:v>0</x:v>
      </x:c>
      <x:c r="P34" s="1" t="n">
        <x:f>SUMIFS('Incoming POs'!$P$2:$P$305,'Incoming POs'!$A$2:$A$305,A34,'Incoming POs'!$B$2:$B$305,B34,'Incoming POs'!$C$2:$C$305,C34,'Incoming POs'!$G$2:$G$305,"&gt;="&amp;D34,'Incoming POs'!$G$2:$G$305,"&lt;"&amp;Dashboard!$I$5)</x:f>
        <x:v>0</x:v>
      </x:c>
      <x:c r="Q34" s="1" t="n">
        <x:f>F34*Dashboard!$L$5*MAX(0,Dashboard!$I$5-D34)/30.4375</x:f>
        <x:v>2284.1933470225877</x:v>
      </x:c>
      <x:c r="R34" s="1" t="n">
        <x:f>MAX(0,E34+P34-Q34)</x:f>
        <x:v>4915.806652977412</x:v>
      </x:c>
      <x:c r="S34" s="1" t="n">
        <x:f>MAX(0,Q34-E34-P34)</x:f>
        <x:v>0</x:v>
      </x:c>
      <x:c r="T34" s="1" t="n">
        <x:f>IF(L34=1,MAX(0,I34+AB34-MIN(Q34,E34+P34)),"n.a.")</x:f>
        <x:v>0</x:v>
      </x:c>
      <x:c r="U34" s="9" t="n">
        <x:f>IF(ISNUMBER(T34),T34*G34,"n.a.")</x:f>
        <x:v>0</x:v>
      </x:c>
      <x:c r="V34" s="25" t="n">
        <x:f>IF(Dashboard!$I$6="Flat %",1,IF(ISNUMBER(H34),1,0))</x:f>
        <x:v>1</x:v>
      </x:c>
      <x:c r="W34" s="9" t="n">
        <x:f>IF(Dashboard!$I$6="Flat %",G34*(1+Dashboard!$L$6),H34)</x:f>
        <x:v>0.08488799999999999</x:v>
      </x:c>
      <x:c r="X34" s="9" t="n">
        <x:f>IF(V34=1,R34*(W34-G34),"n.a.")</x:f>
        <x:v>56.96436749470219</x:v>
      </x:c>
      <x:c r="Y34" s="9" t="n">
        <x:f>IF(V34=1,R34*W34,"n.a.")</x:f>
        <x:v>417.29299515794656</x:v>
      </x:c>
      <x:c r="Z34" s="1" t="n">
        <x:f>IF(ISNUMBER(T34),R34-T34,"n.a.")</x:f>
        <x:v>4915.806652977412</x:v>
      </x:c>
      <x:c r="AA34" s="1" t="str">
        <x:f>'Inventory inputs'!R34</x:f>
        <x:v>Classified</x:v>
      </x:c>
      <x:c r="AB34" s="1" t="n">
        <x:f>IF(L34=1,SUMIFS('Incoming POs'!$P$2:$P$305,'Incoming POs'!$A$2:$A$305,A34,'Incoming POs'!$B$2:$B$305,B34,'Incoming POs'!$C$2:$C$305,C34,'Incoming POs'!$G$2:$G$305,"&gt;="&amp;D34,'Incoming POs'!$G$2:$G$305,"&lt;"&amp;Dashboard!$I$5,'Incoming POs'!$Q$2:$Q$305,"&lt;="&amp;('Inventory inputs'!P34/'Inventory inputs'!J34*1.01)),"n.a.")</x:f>
        <x:v>0</x:v>
      </x:c>
      <x:c r="AC34" s="9" t="n">
        <x:f>I34*G34</x:f>
        <x:v>0</x:v>
      </x:c>
      <x:c r="AD34" s="9" t="n">
        <x:f>J34*G34</x:f>
        <x:v>527.76</x:v>
      </x:c>
      <x:c r="AE34" s="9" t="n">
        <x:f>K34*G34</x:f>
        <x:v>0</x:v>
      </x:c>
      <x:c r="AF34" s="9" t="n">
        <x:f>R34*G34</x:f>
        <x:v>360.32862766324433</x:v>
      </x:c>
    </x:row>
    <x:row r="35" ht="21" customHeight="1">
      <x:c r="A35" s="1" t="str">
        <x:f>'Inventory inputs'!A35</x:f>
        <x:v>C400</x:v>
      </x:c>
      <x:c r="B35" s="1" t="str">
        <x:f>'Inventory inputs'!B35</x:f>
        <x:v>30</x:v>
      </x:c>
      <x:c r="C35" s="1" t="str">
        <x:f>'Inventory inputs'!C35</x:f>
        <x:v>400HBRC</x:v>
      </x:c>
      <x:c r="D35" s="7" t="n">
        <x:f>'Inventory inputs'!E35</x:f>
        <x:v>46303</x:v>
      </x:c>
      <x:c r="E35" s="1" t="n">
        <x:f>'Inventory inputs'!F35</x:f>
        <x:v>5900</x:v>
      </x:c>
      <x:c r="F35" s="1" t="n">
        <x:f>'Inventory inputs'!G35</x:f>
        <x:v>1550</x:v>
      </x:c>
      <x:c r="G35" s="1" t="n">
        <x:f>'Inventory inputs'!H35/'Inventory inputs'!J35</x:f>
        <x:v>0.0599</x:v>
      </x:c>
      <x:c r="H35" s="1" t="n">
        <x:f>IF('Inventory inputs'!I35&gt;0,'Inventory inputs'!I35*'Inventory inputs'!K35/'Inventory inputs'!J35,"n.a.")</x:f>
        <x:v>0.0693936</x:v>
      </x:c>
      <x:c r="I35" s="1" t="n">
        <x:f>'Inventory inputs'!L35</x:f>
        <x:v>0</x:v>
      </x:c>
      <x:c r="J35" s="1" t="n">
        <x:f>'Inventory inputs'!M35</x:f>
        <x:v>5900</x:v>
      </x:c>
      <x:c r="K35" s="1" t="n">
        <x:f>'Inventory inputs'!N35</x:f>
        <x:v>0</x:v>
      </x:c>
      <x:c r="L35" s="1" t="n">
        <x:f>'Inventory inputs'!O35</x:f>
        <x:v>1</x:v>
      </x:c>
      <x:c r="M35" s="9" t="n">
        <x:f>E35*G35</x:f>
        <x:v>353.41</x:v>
      </x:c>
      <x:c r="N35" s="9" t="n">
        <x:f>'Inventory inputs'!Q35</x:f>
        <x:v>383.36</x:v>
      </x:c>
      <x:c r="O35" s="9" t="n">
        <x:f>N35-M35</x:f>
        <x:v>29.94999999999999</x:v>
      </x:c>
      <x:c r="P35" s="1" t="n">
        <x:f>SUMIFS('Incoming POs'!$P$2:$P$305,'Incoming POs'!$A$2:$A$305,A35,'Incoming POs'!$B$2:$B$305,B35,'Incoming POs'!$C$2:$C$305,C35,'Incoming POs'!$G$2:$G$305,"&gt;="&amp;D35,'Incoming POs'!$G$2:$G$305,"&lt;"&amp;Dashboard!$I$5)</x:f>
        <x:v>0</x:v>
      </x:c>
      <x:c r="Q35" s="1" t="n">
        <x:f>F35*Dashboard!$L$5*MAX(0,Dashboard!$I$5-D35)/30.4375</x:f>
        <x:v>2062.4229979466118</x:v>
      </x:c>
      <x:c r="R35" s="1" t="n">
        <x:f>MAX(0,E35+P35-Q35)</x:f>
        <x:v>3837.5770020533882</x:v>
      </x:c>
      <x:c r="S35" s="1" t="n">
        <x:f>MAX(0,Q35-E35-P35)</x:f>
        <x:v>0</x:v>
      </x:c>
      <x:c r="T35" s="1" t="n">
        <x:f>IF(L35=1,MAX(0,I35+AB35-MIN(Q35,E35+P35)),"n.a.")</x:f>
        <x:v>0</x:v>
      </x:c>
      <x:c r="U35" s="9" t="n">
        <x:f>IF(ISNUMBER(T35),T35*G35,"n.a.")</x:f>
        <x:v>0</x:v>
      </x:c>
      <x:c r="V35" s="25" t="n">
        <x:f>IF(Dashboard!$I$6="Flat %",1,IF(ISNUMBER(H35),1,0))</x:f>
        <x:v>1</x:v>
      </x:c>
      <x:c r="W35" s="9" t="n">
        <x:f>IF(Dashboard!$I$6="Flat %",G35*(1+Dashboard!$L$6),H35)</x:f>
        <x:v>0.0693936</x:v>
      </x:c>
      <x:c r="X35" s="9" t="n">
        <x:f>IF(V35=1,R35*(W35-G35),"n.a.")</x:f>
        <x:v>36.43242102669404</x:v>
      </x:c>
      <x:c r="Y35" s="9" t="n">
        <x:f>IF(V35=1,R35*W35,"n.a.")</x:f>
        <x:v>266.303283449692</x:v>
      </x:c>
      <x:c r="Z35" s="1" t="n">
        <x:f>IF(ISNUMBER(T35),R35-T35,"n.a.")</x:f>
        <x:v>3837.5770020533882</x:v>
      </x:c>
      <x:c r="AA35" s="1" t="str">
        <x:f>'Inventory inputs'!R35</x:f>
        <x:v>Classified</x:v>
      </x:c>
      <x:c r="AB35" s="1" t="n">
        <x:f>IF(L35=1,SUMIFS('Incoming POs'!$P$2:$P$305,'Incoming POs'!$A$2:$A$305,A35,'Incoming POs'!$B$2:$B$305,B35,'Incoming POs'!$C$2:$C$305,C35,'Incoming POs'!$G$2:$G$305,"&gt;="&amp;D35,'Incoming POs'!$G$2:$G$305,"&lt;"&amp;Dashboard!$I$5,'Incoming POs'!$Q$2:$Q$305,"&lt;="&amp;('Inventory inputs'!P35/'Inventory inputs'!J35*1.01)),"n.a.")</x:f>
        <x:v>0</x:v>
      </x:c>
      <x:c r="AC35" s="9" t="n">
        <x:f>I35*G35</x:f>
        <x:v>0</x:v>
      </x:c>
      <x:c r="AD35" s="9" t="n">
        <x:f>J35*G35</x:f>
        <x:v>353.41</x:v>
      </x:c>
      <x:c r="AE35" s="9" t="n">
        <x:f>K35*G35</x:f>
        <x:v>0</x:v>
      </x:c>
      <x:c r="AF35" s="9" t="n">
        <x:f>R35*G35</x:f>
        <x:v>229.87086242299796</x:v>
      </x:c>
    </x:row>
    <x:row r="36" ht="21" customHeight="1">
      <x:c r="A36" s="1" t="str">
        <x:f>'Inventory inputs'!A36</x:f>
        <x:v>C400</x:v>
      </x:c>
      <x:c r="B36" s="1" t="str">
        <x:f>'Inventory inputs'!B36</x:f>
        <x:v>60</x:v>
      </x:c>
      <x:c r="C36" s="1" t="str">
        <x:f>'Inventory inputs'!C36</x:f>
        <x:v>400HMISC</x:v>
      </x:c>
      <x:c r="D36" s="7" t="n">
        <x:f>'Inventory inputs'!E36</x:f>
        <x:v>46303</x:v>
      </x:c>
      <x:c r="E36" s="1" t="n">
        <x:f>'Inventory inputs'!F36</x:f>
        <x:v>9000</x:v>
      </x:c>
      <x:c r="F36" s="1" t="n">
        <x:f>'Inventory inputs'!G36</x:f>
        <x:v>1433.33</x:v>
      </x:c>
      <x:c r="G36" s="1" t="n">
        <x:f>'Inventory inputs'!H36/'Inventory inputs'!J36</x:f>
        <x:v>0.061799999999999994</x:v>
      </x:c>
      <x:c r="H36" s="1" t="n">
        <x:f>IF('Inventory inputs'!I36&gt;0,'Inventory inputs'!I36*'Inventory inputs'!K36/'Inventory inputs'!J36,"n.a.")</x:f>
        <x:v>0.07156799999999999</x:v>
      </x:c>
      <x:c r="I36" s="1" t="n">
        <x:f>'Inventory inputs'!L36</x:f>
        <x:v>6000</x:v>
      </x:c>
      <x:c r="J36" s="1" t="n">
        <x:f>'Inventory inputs'!M36</x:f>
        <x:v>3000</x:v>
      </x:c>
      <x:c r="K36" s="1" t="n">
        <x:f>'Inventory inputs'!N36</x:f>
        <x:v>0</x:v>
      </x:c>
      <x:c r="L36" s="1" t="n">
        <x:f>'Inventory inputs'!O36</x:f>
        <x:v>1</x:v>
      </x:c>
      <x:c r="M36" s="9" t="n">
        <x:f>E36*G36</x:f>
        <x:v>556.1999999999999</x:v>
      </x:c>
      <x:c r="N36" s="9" t="n">
        <x:f>'Inventory inputs'!Q36</x:f>
        <x:v>556.2</x:v>
      </x:c>
      <x:c r="O36" s="9" t="n">
        <x:f>N36-M36</x:f>
        <x:v>1.1368683772161603e-13</x:v>
      </x:c>
      <x:c r="P36" s="1" t="n">
        <x:f>SUMIFS('Incoming POs'!$P$2:$P$305,'Incoming POs'!$A$2:$A$305,A36,'Incoming POs'!$B$2:$B$305,B36,'Incoming POs'!$C$2:$C$305,C36,'Incoming POs'!$G$2:$G$305,"&gt;="&amp;D36,'Incoming POs'!$G$2:$G$305,"&lt;"&amp;Dashboard!$I$5)</x:f>
        <x:v>0</x:v>
      </x:c>
      <x:c r="Q36" s="1" t="n">
        <x:f>F36*Dashboard!$L$5*MAX(0,Dashboard!$I$5-D36)/30.4375</x:f>
        <x:v>1907.1824229979466</x:v>
      </x:c>
      <x:c r="R36" s="1" t="n">
        <x:f>MAX(0,E36+P36-Q36)</x:f>
        <x:v>7092.817577002053</x:v>
      </x:c>
      <x:c r="S36" s="1" t="n">
        <x:f>MAX(0,Q36-E36-P36)</x:f>
        <x:v>0</x:v>
      </x:c>
      <x:c r="T36" s="1" t="n">
        <x:f>IF(L36=1,MAX(0,I36+AB36-MIN(Q36,E36+P36)),"n.a.")</x:f>
        <x:v>4092.8175770020534</x:v>
      </x:c>
      <x:c r="U36" s="9" t="n">
        <x:f>IF(ISNUMBER(T36),T36*G36,"n.a.")</x:f>
        <x:v>252.9361262587269</x:v>
      </x:c>
      <x:c r="V36" s="25" t="n">
        <x:f>IF(Dashboard!$I$6="Flat %",1,IF(ISNUMBER(H36),1,0))</x:f>
        <x:v>1</x:v>
      </x:c>
      <x:c r="W36" s="9" t="n">
        <x:f>IF(Dashboard!$I$6="Flat %",G36*(1+Dashboard!$L$6),H36)</x:f>
        <x:v>0.07156799999999999</x:v>
      </x:c>
      <x:c r="X36" s="9" t="n">
        <x:f>IF(V36=1,R36*(W36-G36),"n.a.")</x:f>
        <x:v>69.28264209215605</x:v>
      </x:c>
      <x:c r="Y36" s="9" t="n">
        <x:f>IF(V36=1,R36*W36,"n.a.")</x:f>
        <x:v>507.61876835088293</x:v>
      </x:c>
      <x:c r="Z36" s="1" t="n">
        <x:f>IF(ISNUMBER(T36),R36-T36,"n.a.")</x:f>
        <x:v>3000</x:v>
      </x:c>
      <x:c r="AA36" s="1" t="str">
        <x:f>'Inventory inputs'!R36</x:f>
        <x:v>Classified</x:v>
      </x:c>
      <x:c r="AB36" s="1" t="n">
        <x:f>IF(L36=1,SUMIFS('Incoming POs'!$P$2:$P$305,'Incoming POs'!$A$2:$A$305,A36,'Incoming POs'!$B$2:$B$305,B36,'Incoming POs'!$C$2:$C$305,C36,'Incoming POs'!$G$2:$G$305,"&gt;="&amp;D36,'Incoming POs'!$G$2:$G$305,"&lt;"&amp;Dashboard!$I$5,'Incoming POs'!$Q$2:$Q$305,"&lt;="&amp;('Inventory inputs'!P36/'Inventory inputs'!J36*1.01)),"n.a.")</x:f>
        <x:v>0</x:v>
      </x:c>
      <x:c r="AC36" s="9" t="n">
        <x:f>I36*G36</x:f>
        <x:v>370.79999999999995</x:v>
      </x:c>
      <x:c r="AD36" s="9" t="n">
        <x:f>J36*G36</x:f>
        <x:v>185.39999999999998</x:v>
      </x:c>
      <x:c r="AE36" s="9" t="n">
        <x:f>K36*G36</x:f>
        <x:v>0</x:v>
      </x:c>
      <x:c r="AF36" s="9" t="n">
        <x:f>R36*G36</x:f>
        <x:v>438.33612625872684</x:v>
      </x:c>
    </x:row>
    <x:row r="37" ht="21" customHeight="1">
      <x:c r="A37" s="1" t="str">
        <x:f>'Inventory inputs'!A37</x:f>
        <x:v>C400</x:v>
      </x:c>
      <x:c r="B37" s="1" t="str">
        <x:f>'Inventory inputs'!B37</x:f>
        <x:v>60</x:v>
      </x:c>
      <x:c r="C37" s="1" t="str">
        <x:f>'Inventory inputs'!C37</x:f>
        <x:v>400LDSC</x:v>
      </x:c>
      <x:c r="D37" s="7" t="n">
        <x:f>'Inventory inputs'!E37</x:f>
        <x:v>46303</x:v>
      </x:c>
      <x:c r="E37" s="1" t="n">
        <x:f>'Inventory inputs'!F37</x:f>
        <x:v>8700</x:v>
      </x:c>
      <x:c r="F37" s="1" t="n">
        <x:f>'Inventory inputs'!G37</x:f>
        <x:v>1333.33</x:v>
      </x:c>
      <x:c r="G37" s="1" t="n">
        <x:f>'Inventory inputs'!H37/'Inventory inputs'!J37</x:f>
        <x:v>0.0556</x:v>
      </x:c>
      <x:c r="H37" s="1" t="n">
        <x:f>IF('Inventory inputs'!I37&gt;0,'Inventory inputs'!I37*'Inventory inputs'!K37/'Inventory inputs'!J37,"n.a.")</x:f>
        <x:v>0.0644544</x:v>
      </x:c>
      <x:c r="I37" s="1" t="n">
        <x:f>'Inventory inputs'!L37</x:f>
        <x:v>0</x:v>
      </x:c>
      <x:c r="J37" s="1" t="n">
        <x:f>'Inventory inputs'!M37</x:f>
        <x:v>8700</x:v>
      </x:c>
      <x:c r="K37" s="1" t="n">
        <x:f>'Inventory inputs'!N37</x:f>
        <x:v>0</x:v>
      </x:c>
      <x:c r="L37" s="1" t="n">
        <x:f>'Inventory inputs'!O37</x:f>
        <x:v>1</x:v>
      </x:c>
      <x:c r="M37" s="9" t="n">
        <x:f>E37*G37</x:f>
        <x:v>483.71999999999997</x:v>
      </x:c>
      <x:c r="N37" s="9" t="n">
        <x:f>'Inventory inputs'!Q37</x:f>
        <x:v>483.72</x:v>
      </x:c>
      <x:c r="O37" s="9" t="n">
        <x:f>N37-M37</x:f>
        <x:v>5.684341886080802e-14</x:v>
      </x:c>
      <x:c r="P37" s="1" t="n">
        <x:f>SUMIFS('Incoming POs'!$P$2:$P$305,'Incoming POs'!$A$2:$A$305,A37,'Incoming POs'!$B$2:$B$305,B37,'Incoming POs'!$C$2:$C$305,C37,'Incoming POs'!$G$2:$G$305,"&gt;="&amp;D37,'Incoming POs'!$G$2:$G$305,"&lt;"&amp;Dashboard!$I$5)</x:f>
        <x:v>0</x:v>
      </x:c>
      <x:c r="Q37" s="1" t="n">
        <x:f>F37*Dashboard!$L$5*MAX(0,Dashboard!$I$5-D37)/30.4375</x:f>
        <x:v>1774.1228747433265</x:v>
      </x:c>
      <x:c r="R37" s="1" t="n">
        <x:f>MAX(0,E37+P37-Q37)</x:f>
        <x:v>6925.877125256673</x:v>
      </x:c>
      <x:c r="S37" s="1" t="n">
        <x:f>MAX(0,Q37-E37-P37)</x:f>
        <x:v>0</x:v>
      </x:c>
      <x:c r="T37" s="1" t="n">
        <x:f>IF(L37=1,MAX(0,I37+AB37-MIN(Q37,E37+P37)),"n.a.")</x:f>
        <x:v>0</x:v>
      </x:c>
      <x:c r="U37" s="9" t="n">
        <x:f>IF(ISNUMBER(T37),T37*G37,"n.a.")</x:f>
        <x:v>0</x:v>
      </x:c>
      <x:c r="V37" s="25" t="n">
        <x:f>IF(Dashboard!$I$6="Flat %",1,IF(ISNUMBER(H37),1,0))</x:f>
        <x:v>1</x:v>
      </x:c>
      <x:c r="W37" s="9" t="n">
        <x:f>IF(Dashboard!$I$6="Flat %",G37*(1+Dashboard!$L$6),H37)</x:f>
        <x:v>0.0644544</x:v>
      </x:c>
      <x:c r="X37" s="9" t="n">
        <x:f>IF(V37=1,R37*(W37-G37),"n.a.")</x:f>
        <x:v>61.32448641787268</x:v>
      </x:c>
      <x:c r="Y37" s="9" t="n">
        <x:f>IF(V37=1,R37*W37,"n.a.")</x:f>
        <x:v>446.4032545821437</x:v>
      </x:c>
      <x:c r="Z37" s="1" t="n">
        <x:f>IF(ISNUMBER(T37),R37-T37,"n.a.")</x:f>
        <x:v>6925.877125256673</x:v>
      </x:c>
      <x:c r="AA37" s="1" t="str">
        <x:f>'Inventory inputs'!R37</x:f>
        <x:v>Classified</x:v>
      </x:c>
      <x:c r="AB37" s="1" t="n">
        <x:f>IF(L37=1,SUMIFS('Incoming POs'!$P$2:$P$305,'Incoming POs'!$A$2:$A$305,A37,'Incoming POs'!$B$2:$B$305,B37,'Incoming POs'!$C$2:$C$305,C37,'Incoming POs'!$G$2:$G$305,"&gt;="&amp;D37,'Incoming POs'!$G$2:$G$305,"&lt;"&amp;Dashboard!$I$5,'Incoming POs'!$Q$2:$Q$305,"&lt;="&amp;('Inventory inputs'!P37/'Inventory inputs'!J37*1.01)),"n.a.")</x:f>
        <x:v>0</x:v>
      </x:c>
      <x:c r="AC37" s="9" t="n">
        <x:f>I37*G37</x:f>
        <x:v>0</x:v>
      </x:c>
      <x:c r="AD37" s="9" t="n">
        <x:f>J37*G37</x:f>
        <x:v>483.71999999999997</x:v>
      </x:c>
      <x:c r="AE37" s="9" t="n">
        <x:f>K37*G37</x:f>
        <x:v>0</x:v>
      </x:c>
      <x:c r="AF37" s="9" t="n">
        <x:f>R37*G37</x:f>
        <x:v>385.078768164271</x:v>
      </x:c>
    </x:row>
    <x:row r="38" ht="21" customHeight="1">
      <x:c r="A38" s="1" t="str">
        <x:f>'Inventory inputs'!A38</x:f>
        <x:v>C400</x:v>
      </x:c>
      <x:c r="B38" s="1" t="str">
        <x:f>'Inventory inputs'!B38</x:f>
        <x:v>30</x:v>
      </x:c>
      <x:c r="C38" s="1" t="str">
        <x:f>'Inventory inputs'!C38</x:f>
        <x:v>400HISC</x:v>
      </x:c>
      <x:c r="D38" s="7" t="n">
        <x:f>'Inventory inputs'!E38</x:f>
        <x:v>46303</x:v>
      </x:c>
      <x:c r="E38" s="1" t="n">
        <x:f>'Inventory inputs'!F38</x:f>
        <x:v>9100</x:v>
      </x:c>
      <x:c r="F38" s="1" t="n">
        <x:f>'Inventory inputs'!G38</x:f>
        <x:v>1308.33</x:v>
      </x:c>
      <x:c r="G38" s="1" t="n">
        <x:f>'Inventory inputs'!H38/'Inventory inputs'!J38</x:f>
        <x:v>0.0588</x:v>
      </x:c>
      <x:c r="H38" s="1" t="n">
        <x:f>IF('Inventory inputs'!I38&gt;0,'Inventory inputs'!I38*'Inventory inputs'!K38/'Inventory inputs'!J38,"n.a.")</x:f>
        <x:v>0.0681552</x:v>
      </x:c>
      <x:c r="I38" s="1" t="n">
        <x:f>'Inventory inputs'!L38</x:f>
        <x:v>9100</x:v>
      </x:c>
      <x:c r="J38" s="1" t="n">
        <x:f>'Inventory inputs'!M38</x:f>
        <x:v>0</x:v>
      </x:c>
      <x:c r="K38" s="1" t="n">
        <x:f>'Inventory inputs'!N38</x:f>
        <x:v>0</x:v>
      </x:c>
      <x:c r="L38" s="1" t="n">
        <x:f>'Inventory inputs'!O38</x:f>
        <x:v>1</x:v>
      </x:c>
      <x:c r="M38" s="9" t="n">
        <x:f>E38*G38</x:f>
        <x:v>535.0799999999999</x:v>
      </x:c>
      <x:c r="N38" s="9" t="n">
        <x:f>'Inventory inputs'!Q38</x:f>
        <x:v>535.08</x:v>
      </x:c>
      <x:c r="O38" s="9" t="n">
        <x:f>N38-M38</x:f>
        <x:v>1.1368683772161603e-13</x:v>
      </x:c>
      <x:c r="P38" s="1" t="n">
        <x:f>SUMIFS('Incoming POs'!$P$2:$P$305,'Incoming POs'!$A$2:$A$305,A38,'Incoming POs'!$B$2:$B$305,B38,'Incoming POs'!$C$2:$C$305,C38,'Incoming POs'!$G$2:$G$305,"&gt;="&amp;D38,'Incoming POs'!$G$2:$G$305,"&lt;"&amp;Dashboard!$I$5)</x:f>
        <x:v>0</x:v>
      </x:c>
      <x:c r="Q38" s="1" t="n">
        <x:f>F38*Dashboard!$L$5*MAX(0,Dashboard!$I$5-D38)/30.4375</x:f>
        <x:v>1740.8579876796714</x:v>
      </x:c>
      <x:c r="R38" s="1" t="n">
        <x:f>MAX(0,E38+P38-Q38)</x:f>
        <x:v>7359.142012320329</x:v>
      </x:c>
      <x:c r="S38" s="1" t="n">
        <x:f>MAX(0,Q38-E38-P38)</x:f>
        <x:v>0</x:v>
      </x:c>
      <x:c r="T38" s="1" t="n">
        <x:f>IF(L38=1,MAX(0,I38+AB38-MIN(Q38,E38+P38)),"n.a.")</x:f>
        <x:v>7359.142012320329</x:v>
      </x:c>
      <x:c r="U38" s="9" t="n">
        <x:f>IF(ISNUMBER(T38),T38*G38,"n.a.")</x:f>
        <x:v>432.7175503244353</x:v>
      </x:c>
      <x:c r="V38" s="25" t="n">
        <x:f>IF(Dashboard!$I$6="Flat %",1,IF(ISNUMBER(H38),1,0))</x:f>
        <x:v>1</x:v>
      </x:c>
      <x:c r="W38" s="9" t="n">
        <x:f>IF(Dashboard!$I$6="Flat %",G38*(1+Dashboard!$L$6),H38)</x:f>
        <x:v>0.0681552</x:v>
      </x:c>
      <x:c r="X38" s="9" t="n">
        <x:f>IF(V38=1,R38*(W38-G38),"n.a.")</x:f>
        <x:v>68.84624535365914</x:v>
      </x:c>
      <x:c r="Y38" s="9" t="n">
        <x:f>IF(V38=1,R38*W38,"n.a.")</x:f>
        <x:v>501.5637956780945</x:v>
      </x:c>
      <x:c r="Z38" s="1" t="n">
        <x:f>IF(ISNUMBER(T38),R38-T38,"n.a.")</x:f>
        <x:v>0</x:v>
      </x:c>
      <x:c r="AA38" s="1" t="str">
        <x:f>'Inventory inputs'!R38</x:f>
        <x:v>Classified</x:v>
      </x:c>
      <x:c r="AB38" s="1" t="n">
        <x:f>IF(L38=1,SUMIFS('Incoming POs'!$P$2:$P$305,'Incoming POs'!$A$2:$A$305,A38,'Incoming POs'!$B$2:$B$305,B38,'Incoming POs'!$C$2:$C$305,C38,'Incoming POs'!$G$2:$G$305,"&gt;="&amp;D38,'Incoming POs'!$G$2:$G$305,"&lt;"&amp;Dashboard!$I$5,'Incoming POs'!$Q$2:$Q$305,"&lt;="&amp;('Inventory inputs'!P38/'Inventory inputs'!J38*1.01)),"n.a.")</x:f>
        <x:v>0</x:v>
      </x:c>
      <x:c r="AC38" s="9" t="n">
        <x:f>I38*G38</x:f>
        <x:v>535.0799999999999</x:v>
      </x:c>
      <x:c r="AD38" s="9" t="n">
        <x:f>J38*G38</x:f>
        <x:v>0</x:v>
      </x:c>
      <x:c r="AE38" s="9" t="n">
        <x:f>K38*G38</x:f>
        <x:v>0</x:v>
      </x:c>
      <x:c r="AF38" s="9" t="n">
        <x:f>R38*G38</x:f>
        <x:v>432.7175503244353</x:v>
      </x:c>
    </x:row>
    <x:row r="39" ht="21" customHeight="1">
      <x:c r="A39" s="1" t="str">
        <x:f>'Inventory inputs'!A39</x:f>
        <x:v>C400</x:v>
      </x:c>
      <x:c r="B39" s="1" t="str">
        <x:f>'Inventory inputs'!B39</x:f>
        <x:v>10</x:v>
      </x:c>
      <x:c r="C39" s="1" t="str">
        <x:f>'Inventory inputs'!C39</x:f>
        <x:v>400LDSC</x:v>
      </x:c>
      <x:c r="D39" s="7" t="n">
        <x:f>'Inventory inputs'!E39</x:f>
        <x:v>46303</x:v>
      </x:c>
      <x:c r="E39" s="1" t="n">
        <x:f>'Inventory inputs'!F39</x:f>
        <x:v>12200</x:v>
      </x:c>
      <x:c r="F39" s="1" t="n">
        <x:f>'Inventory inputs'!G39</x:f>
        <x:v>1300</x:v>
      </x:c>
      <x:c r="G39" s="1" t="n">
        <x:f>'Inventory inputs'!H39/'Inventory inputs'!J39</x:f>
        <x:v>0.0556</x:v>
      </x:c>
      <x:c r="H39" s="1" t="n">
        <x:f>IF('Inventory inputs'!I39&gt;0,'Inventory inputs'!I39*'Inventory inputs'!K39/'Inventory inputs'!J39,"n.a.")</x:f>
        <x:v>0.0644544</x:v>
      </x:c>
      <x:c r="I39" s="1" t="n">
        <x:f>'Inventory inputs'!L39</x:f>
        <x:v>200</x:v>
      </x:c>
      <x:c r="J39" s="1" t="n">
        <x:f>'Inventory inputs'!M39</x:f>
        <x:v>12000</x:v>
      </x:c>
      <x:c r="K39" s="1" t="n">
        <x:f>'Inventory inputs'!N39</x:f>
        <x:v>0</x:v>
      </x:c>
      <x:c r="L39" s="1" t="n">
        <x:f>'Inventory inputs'!O39</x:f>
        <x:v>1</x:v>
      </x:c>
      <x:c r="M39" s="9" t="n">
        <x:f>E39*G39</x:f>
        <x:v>678.3199999999999</x:v>
      </x:c>
      <x:c r="N39" s="9" t="n">
        <x:f>'Inventory inputs'!Q39</x:f>
        <x:v>678.32</x:v>
      </x:c>
      <x:c r="O39" s="9" t="n">
        <x:f>N39-M39</x:f>
        <x:v>1.1368683772161603e-13</x:v>
      </x:c>
      <x:c r="P39" s="1" t="n">
        <x:f>SUMIFS('Incoming POs'!$P$2:$P$305,'Incoming POs'!$A$2:$A$305,A39,'Incoming POs'!$B$2:$B$305,B39,'Incoming POs'!$C$2:$C$305,C39,'Incoming POs'!$G$2:$G$305,"&gt;="&amp;D39,'Incoming POs'!$G$2:$G$305,"&lt;"&amp;Dashboard!$I$5)</x:f>
        <x:v>0</x:v>
      </x:c>
      <x:c r="Q39" s="1" t="n">
        <x:f>F39*Dashboard!$L$5*MAX(0,Dashboard!$I$5-D39)/30.4375</x:f>
        <x:v>1729.7741273100617</x:v>
      </x:c>
      <x:c r="R39" s="1" t="n">
        <x:f>MAX(0,E39+P39-Q39)</x:f>
        <x:v>10470.225872689938</x:v>
      </x:c>
      <x:c r="S39" s="1" t="n">
        <x:f>MAX(0,Q39-E39-P39)</x:f>
        <x:v>0</x:v>
      </x:c>
      <x:c r="T39" s="1" t="n">
        <x:f>IF(L39=1,MAX(0,I39+AB39-MIN(Q39,E39+P39)),"n.a.")</x:f>
        <x:v>0</x:v>
      </x:c>
      <x:c r="U39" s="9" t="n">
        <x:f>IF(ISNUMBER(T39),T39*G39,"n.a.")</x:f>
        <x:v>0</x:v>
      </x:c>
      <x:c r="V39" s="25" t="n">
        <x:f>IF(Dashboard!$I$6="Flat %",1,IF(ISNUMBER(H39),1,0))</x:f>
        <x:v>1</x:v>
      </x:c>
      <x:c r="W39" s="9" t="n">
        <x:f>IF(Dashboard!$I$6="Flat %",G39*(1+Dashboard!$L$6),H39)</x:f>
        <x:v>0.0644544</x:v>
      </x:c>
      <x:c r="X39" s="9" t="n">
        <x:f>IF(V39=1,R39*(W39-G39),"n.a.")</x:f>
        <x:v>92.70756796714578</x:v>
      </x:c>
      <x:c r="Y39" s="9" t="n">
        <x:f>IF(V39=1,R39*W39,"n.a.")</x:f>
        <x:v>674.8521264887063</x:v>
      </x:c>
      <x:c r="Z39" s="1" t="n">
        <x:f>IF(ISNUMBER(T39),R39-T39,"n.a.")</x:f>
        <x:v>10470.225872689938</x:v>
      </x:c>
      <x:c r="AA39" s="1" t="str">
        <x:f>'Inventory inputs'!R39</x:f>
        <x:v>Classified</x:v>
      </x:c>
      <x:c r="AB39" s="1" t="n">
        <x:f>IF(L39=1,SUMIFS('Incoming POs'!$P$2:$P$305,'Incoming POs'!$A$2:$A$305,A39,'Incoming POs'!$B$2:$B$305,B39,'Incoming POs'!$C$2:$C$305,C39,'Incoming POs'!$G$2:$G$305,"&gt;="&amp;D39,'Incoming POs'!$G$2:$G$305,"&lt;"&amp;Dashboard!$I$5,'Incoming POs'!$Q$2:$Q$305,"&lt;="&amp;('Inventory inputs'!P39/'Inventory inputs'!J39*1.01)),"n.a.")</x:f>
        <x:v>0</x:v>
      </x:c>
      <x:c r="AC39" s="9" t="n">
        <x:f>I39*G39</x:f>
        <x:v>11.12</x:v>
      </x:c>
      <x:c r="AD39" s="9" t="n">
        <x:f>J39*G39</x:f>
        <x:v>667.1999999999999</x:v>
      </x:c>
      <x:c r="AE39" s="9" t="n">
        <x:f>K39*G39</x:f>
        <x:v>0</x:v>
      </x:c>
      <x:c r="AF39" s="9" t="n">
        <x:f>R39*G39</x:f>
        <x:v>582.1445585215605</x:v>
      </x:c>
    </x:row>
    <x:row r="40" ht="21" customHeight="1">
      <x:c r="A40" s="1" t="str">
        <x:f>'Inventory inputs'!A40</x:f>
        <x:v>C400</x:v>
      </x:c>
      <x:c r="B40" s="1" t="str">
        <x:f>'Inventory inputs'!B40</x:f>
        <x:v>10</x:v>
      </x:c>
      <x:c r="C40" s="1" t="str">
        <x:f>'Inventory inputs'!C40</x:f>
        <x:v>400HASC19P</x:v>
      </x:c>
      <x:c r="D40" s="7" t="n">
        <x:f>'Inventory inputs'!E40</x:f>
        <x:v>46303</x:v>
      </x:c>
      <x:c r="E40" s="1" t="n">
        <x:f>'Inventory inputs'!F40</x:f>
        <x:v>7200</x:v>
      </x:c>
      <x:c r="F40" s="1" t="n">
        <x:f>'Inventory inputs'!G40</x:f>
        <x:v>1083.33</x:v>
      </x:c>
      <x:c r="G40" s="1" t="n">
        <x:f>'Inventory inputs'!H40/'Inventory inputs'!J40</x:f>
        <x:v>0.0608</x:v>
      </x:c>
      <x:c r="H40" s="1" t="n">
        <x:f>IF('Inventory inputs'!I40&gt;0,'Inventory inputs'!I40*'Inventory inputs'!K40/'Inventory inputs'!J40,"n.a.")</x:f>
        <x:v>0.0703872</x:v>
      </x:c>
      <x:c r="I40" s="1" t="n">
        <x:f>'Inventory inputs'!L40</x:f>
        <x:v>0</x:v>
      </x:c>
      <x:c r="J40" s="1" t="n">
        <x:f>'Inventory inputs'!M40</x:f>
        <x:v>7200</x:v>
      </x:c>
      <x:c r="K40" s="1" t="n">
        <x:f>'Inventory inputs'!N40</x:f>
        <x:v>0</x:v>
      </x:c>
      <x:c r="L40" s="1" t="n">
        <x:f>'Inventory inputs'!O40</x:f>
        <x:v>1</x:v>
      </x:c>
      <x:c r="M40" s="9" t="n">
        <x:f>E40*G40</x:f>
        <x:v>437.76</x:v>
      </x:c>
      <x:c r="N40" s="9" t="n">
        <x:f>'Inventory inputs'!Q40</x:f>
        <x:v>437.76</x:v>
      </x:c>
      <x:c r="O40" s="9" t="n">
        <x:f>N40-M40</x:f>
        <x:v>0</x:v>
      </x:c>
      <x:c r="P40" s="1" t="n">
        <x:f>SUMIFS('Incoming POs'!$P$2:$P$305,'Incoming POs'!$A$2:$A$305,A40,'Incoming POs'!$B$2:$B$305,B40,'Incoming POs'!$C$2:$C$305,C40,'Incoming POs'!$G$2:$G$305,"&gt;="&amp;D40,'Incoming POs'!$G$2:$G$305,"&lt;"&amp;Dashboard!$I$5)</x:f>
        <x:v>0</x:v>
      </x:c>
      <x:c r="Q40" s="1" t="n">
        <x:f>F40*Dashboard!$L$5*MAX(0,Dashboard!$I$5-D40)/30.4375</x:f>
        <x:v>1441.4740041067762</x:v>
      </x:c>
      <x:c r="R40" s="1" t="n">
        <x:f>MAX(0,E40+P40-Q40)</x:f>
        <x:v>5758.525995893224</x:v>
      </x:c>
      <x:c r="S40" s="1" t="n">
        <x:f>MAX(0,Q40-E40-P40)</x:f>
        <x:v>0</x:v>
      </x:c>
      <x:c r="T40" s="1" t="n">
        <x:f>IF(L40=1,MAX(0,I40+AB40-MIN(Q40,E40+P40)),"n.a.")</x:f>
        <x:v>0</x:v>
      </x:c>
      <x:c r="U40" s="9" t="n">
        <x:f>IF(ISNUMBER(T40),T40*G40,"n.a.")</x:f>
        <x:v>0</x:v>
      </x:c>
      <x:c r="V40" s="25" t="n">
        <x:f>IF(Dashboard!$I$6="Flat %",1,IF(ISNUMBER(H40),1,0))</x:f>
        <x:v>1</x:v>
      </x:c>
      <x:c r="W40" s="9" t="n">
        <x:f>IF(Dashboard!$I$6="Flat %",G40*(1+Dashboard!$L$6),H40)</x:f>
        <x:v>0.0703872</x:v>
      </x:c>
      <x:c r="X40" s="9" t="n">
        <x:f>IF(V40=1,R40*(W40-G40),"n.a.")</x:f>
        <x:v>55.2081404278275</x:v>
      </x:c>
      <x:c r="Y40" s="9" t="n">
        <x:f>IF(V40=1,R40*W40,"n.a.")</x:f>
        <x:v>405.32652097813553</x:v>
      </x:c>
      <x:c r="Z40" s="1" t="n">
        <x:f>IF(ISNUMBER(T40),R40-T40,"n.a.")</x:f>
        <x:v>5758.525995893224</x:v>
      </x:c>
      <x:c r="AA40" s="1" t="str">
        <x:f>'Inventory inputs'!R40</x:f>
        <x:v>Classified</x:v>
      </x:c>
      <x:c r="AB40" s="1" t="n">
        <x:f>IF(L40=1,SUMIFS('Incoming POs'!$P$2:$P$305,'Incoming POs'!$A$2:$A$305,A40,'Incoming POs'!$B$2:$B$305,B40,'Incoming POs'!$C$2:$C$305,C40,'Incoming POs'!$G$2:$G$305,"&gt;="&amp;D40,'Incoming POs'!$G$2:$G$305,"&lt;"&amp;Dashboard!$I$5,'Incoming POs'!$Q$2:$Q$305,"&lt;="&amp;('Inventory inputs'!P40/'Inventory inputs'!J40*1.01)),"n.a.")</x:f>
        <x:v>0</x:v>
      </x:c>
      <x:c r="AC40" s="9" t="n">
        <x:f>I40*G40</x:f>
        <x:v>0</x:v>
      </x:c>
      <x:c r="AD40" s="9" t="n">
        <x:f>J40*G40</x:f>
        <x:v>437.76</x:v>
      </x:c>
      <x:c r="AE40" s="9" t="n">
        <x:f>K40*G40</x:f>
        <x:v>0</x:v>
      </x:c>
      <x:c r="AF40" s="9" t="n">
        <x:f>R40*G40</x:f>
        <x:v>350.118380550308</x:v>
      </x:c>
    </x:row>
    <x:row r="41" ht="21" customHeight="1">
      <x:c r="A41" s="1" t="str">
        <x:f>'Inventory inputs'!A41</x:f>
        <x:v>C400</x:v>
      </x:c>
      <x:c r="B41" s="1" t="str">
        <x:f>'Inventory inputs'!B41</x:f>
        <x:v>30</x:v>
      </x:c>
      <x:c r="C41" s="1" t="str">
        <x:f>'Inventory inputs'!C41</x:f>
        <x:v>400HCSC</x:v>
      </x:c>
      <x:c r="D41" s="7" t="n">
        <x:f>'Inventory inputs'!E41</x:f>
        <x:v>46303</x:v>
      </x:c>
      <x:c r="E41" s="1" t="n">
        <x:f>'Inventory inputs'!F41</x:f>
        <x:v>4700</x:v>
      </x:c>
      <x:c r="F41" s="1" t="n">
        <x:f>'Inventory inputs'!G41</x:f>
        <x:v>1058.33</x:v>
      </x:c>
      <x:c r="G41" s="1" t="n">
        <x:f>'Inventory inputs'!H41/'Inventory inputs'!J41</x:f>
        <x:v>0.0706</x:v>
      </x:c>
      <x:c r="H41" s="1" t="n">
        <x:f>IF('Inventory inputs'!I41&gt;0,'Inventory inputs'!I41*'Inventory inputs'!K41/'Inventory inputs'!J41,"n.a.")</x:f>
        <x:v>0.0817344</x:v>
      </x:c>
      <x:c r="I41" s="1" t="n">
        <x:f>'Inventory inputs'!L41</x:f>
        <x:v>3700</x:v>
      </x:c>
      <x:c r="J41" s="1" t="n">
        <x:f>'Inventory inputs'!M41</x:f>
        <x:v>1000</x:v>
      </x:c>
      <x:c r="K41" s="1" t="n">
        <x:f>'Inventory inputs'!N41</x:f>
        <x:v>0</x:v>
      </x:c>
      <x:c r="L41" s="1" t="n">
        <x:f>'Inventory inputs'!O41</x:f>
        <x:v>1</x:v>
      </x:c>
      <x:c r="M41" s="9" t="n">
        <x:f>E41*G41</x:f>
        <x:v>331.82</x:v>
      </x:c>
      <x:c r="N41" s="9" t="n">
        <x:f>'Inventory inputs'!Q41</x:f>
        <x:v>331.82</x:v>
      </x:c>
      <x:c r="O41" s="9" t="n">
        <x:f>N41-M41</x:f>
        <x:v>0</x:v>
      </x:c>
      <x:c r="P41" s="1" t="n">
        <x:f>SUMIFS('Incoming POs'!$P$2:$P$305,'Incoming POs'!$A$2:$A$305,A41,'Incoming POs'!$B$2:$B$305,B41,'Incoming POs'!$C$2:$C$305,C41,'Incoming POs'!$G$2:$G$305,"&gt;="&amp;D41,'Incoming POs'!$G$2:$G$305,"&lt;"&amp;Dashboard!$I$5)</x:f>
        <x:v>0</x:v>
      </x:c>
      <x:c r="Q41" s="1" t="n">
        <x:f>F41*Dashboard!$L$5*MAX(0,Dashboard!$I$5-D41)/30.4375</x:f>
        <x:v>1408.209117043121</x:v>
      </x:c>
      <x:c r="R41" s="1" t="n">
        <x:f>MAX(0,E41+P41-Q41)</x:f>
        <x:v>3291.7908829568787</x:v>
      </x:c>
      <x:c r="S41" s="1" t="n">
        <x:f>MAX(0,Q41-E41-P41)</x:f>
        <x:v>0</x:v>
      </x:c>
      <x:c r="T41" s="1" t="n">
        <x:f>IF(L41=1,MAX(0,I41+AB41-MIN(Q41,E41+P41)),"n.a.")</x:f>
        <x:v>2291.7908829568787</x:v>
      </x:c>
      <x:c r="U41" s="9" t="n">
        <x:f>IF(ISNUMBER(T41),T41*G41,"n.a.")</x:f>
        <x:v>161.80043633675564</x:v>
      </x:c>
      <x:c r="V41" s="25" t="n">
        <x:f>IF(Dashboard!$I$6="Flat %",1,IF(ISNUMBER(H41),1,0))</x:f>
        <x:v>1</x:v>
      </x:c>
      <x:c r="W41" s="9" t="n">
        <x:f>IF(Dashboard!$I$6="Flat %",G41*(1+Dashboard!$L$6),H41)</x:f>
        <x:v>0.0817344</x:v>
      </x:c>
      <x:c r="X41" s="9" t="n">
        <x:f>IF(V41=1,R41*(W41-G41),"n.a.")</x:f>
        <x:v>36.65211640719508</x:v>
      </x:c>
      <x:c r="Y41" s="9" t="n">
        <x:f>IF(V41=1,R41*W41,"n.a.")</x:f>
        <x:v>269.0525527439507</x:v>
      </x:c>
      <x:c r="Z41" s="1" t="n">
        <x:f>IF(ISNUMBER(T41),R41-T41,"n.a.")</x:f>
        <x:v>1000</x:v>
      </x:c>
      <x:c r="AA41" s="1" t="str">
        <x:f>'Inventory inputs'!R41</x:f>
        <x:v>Classified</x:v>
      </x:c>
      <x:c r="AB41" s="1" t="n">
        <x:f>IF(L41=1,SUMIFS('Incoming POs'!$P$2:$P$305,'Incoming POs'!$A$2:$A$305,A41,'Incoming POs'!$B$2:$B$305,B41,'Incoming POs'!$C$2:$C$305,C41,'Incoming POs'!$G$2:$G$305,"&gt;="&amp;D41,'Incoming POs'!$G$2:$G$305,"&lt;"&amp;Dashboard!$I$5,'Incoming POs'!$Q$2:$Q$305,"&lt;="&amp;('Inventory inputs'!P41/'Inventory inputs'!J41*1.01)),"n.a.")</x:f>
        <x:v>0</x:v>
      </x:c>
      <x:c r="AC41" s="9" t="n">
        <x:f>I41*G41</x:f>
        <x:v>261.21999999999997</x:v>
      </x:c>
      <x:c r="AD41" s="9" t="n">
        <x:f>J41*G41</x:f>
        <x:v>70.6</x:v>
      </x:c>
      <x:c r="AE41" s="9" t="n">
        <x:f>K41*G41</x:f>
        <x:v>0</x:v>
      </x:c>
      <x:c r="AF41" s="9" t="n">
        <x:f>R41*G41</x:f>
        <x:v>232.40043633675563</x:v>
      </x:c>
    </x:row>
    <x:row r="42" ht="21" customHeight="1">
      <x:c r="A42" s="1" t="str">
        <x:f>'Inventory inputs'!A42</x:f>
        <x:v>C400</x:v>
      </x:c>
      <x:c r="B42" s="1" t="str">
        <x:f>'Inventory inputs'!B42</x:f>
        <x:v>60</x:v>
      </x:c>
      <x:c r="C42" s="1" t="str">
        <x:f>'Inventory inputs'!C42</x:f>
        <x:v>HRP7ASC</x:v>
      </x:c>
      <x:c r="D42" s="7" t="n">
        <x:f>'Inventory inputs'!E42</x:f>
        <x:v>46303</x:v>
      </x:c>
      <x:c r="E42" s="1" t="n">
        <x:f>'Inventory inputs'!F42</x:f>
        <x:v>0</x:v>
      </x:c>
      <x:c r="F42" s="1" t="n">
        <x:f>'Inventory inputs'!G42</x:f>
        <x:v>983.33</x:v>
      </x:c>
      <x:c r="G42" s="1" t="n">
        <x:f>'Inventory inputs'!H42/'Inventory inputs'!J42</x:f>
        <x:v>0.0984</x:v>
      </x:c>
      <x:c r="H42" s="1" t="str">
        <x:f>IF('Inventory inputs'!I42&gt;0,'Inventory inputs'!I42*'Inventory inputs'!K42/'Inventory inputs'!J42,"n.a.")</x:f>
        <x:v>n.a.</x:v>
      </x:c>
      <x:c r="I42" s="1" t="n">
        <x:f>'Inventory inputs'!L42</x:f>
        <x:v>0</x:v>
      </x:c>
      <x:c r="J42" s="1" t="n">
        <x:f>'Inventory inputs'!M42</x:f>
        <x:v>0</x:v>
      </x:c>
      <x:c r="K42" s="1" t="n">
        <x:f>'Inventory inputs'!N42</x:f>
        <x:v>0</x:v>
      </x:c>
      <x:c r="L42" s="1" t="n">
        <x:f>'Inventory inputs'!O42</x:f>
        <x:v>0</x:v>
      </x:c>
      <x:c r="M42" s="9" t="n">
        <x:f>E42*G42</x:f>
        <x:v>0</x:v>
      </x:c>
      <x:c r="N42" s="9" t="n">
        <x:f>'Inventory inputs'!Q42</x:f>
        <x:v>0</x:v>
      </x:c>
      <x:c r="O42" s="9" t="n">
        <x:f>N42-M42</x:f>
        <x:v>0</x:v>
      </x:c>
      <x:c r="P42" s="1" t="n">
        <x:f>SUMIFS('Incoming POs'!$P$2:$P$305,'Incoming POs'!$A$2:$A$305,A42,'Incoming POs'!$B$2:$B$305,B42,'Incoming POs'!$C$2:$C$305,C42,'Incoming POs'!$G$2:$G$305,"&gt;="&amp;D42,'Incoming POs'!$G$2:$G$305,"&lt;"&amp;Dashboard!$I$5)</x:f>
        <x:v>0</x:v>
      </x:c>
      <x:c r="Q42" s="1" t="n">
        <x:f>F42*Dashboard!$L$5*MAX(0,Dashboard!$I$5-D42)/30.4375</x:f>
        <x:v>1308.4144558521562</x:v>
      </x:c>
      <x:c r="R42" s="1" t="n">
        <x:f>MAX(0,E42+P42-Q42)</x:f>
        <x:v>0</x:v>
      </x:c>
      <x:c r="S42" s="1" t="n">
        <x:f>MAX(0,Q42-E42-P42)</x:f>
        <x:v>1308.4144558521562</x:v>
      </x:c>
      <x:c r="T42" s="1" t="str">
        <x:f>IF(L42=1,MAX(0,I42+AB42-MIN(Q42,E42+P42)),"n.a.")</x:f>
        <x:v>n.a.</x:v>
      </x:c>
      <x:c r="U42" s="9" t="str">
        <x:f>IF(ISNUMBER(T42),T42*G42,"n.a.")</x:f>
        <x:v>n.a.</x:v>
      </x:c>
      <x:c r="V42" s="25" t="n">
        <x:f>IF(Dashboard!$I$6="Flat %",1,IF(ISNUMBER(H42),1,0))</x:f>
        <x:v>0</x:v>
      </x:c>
      <x:c r="W42" s="9" t="str">
        <x:f>IF(Dashboard!$I$6="Flat %",G42*(1+Dashboard!$L$6),H42)</x:f>
        <x:v>n.a.</x:v>
      </x:c>
      <x:c r="X42" s="9" t="str">
        <x:f>IF(V42=1,R42*(W42-G42),"n.a.")</x:f>
        <x:v>n.a.</x:v>
      </x:c>
      <x:c r="Y42" s="9" t="str">
        <x:f>IF(V42=1,R42*W42,"n.a.")</x:f>
        <x:v>n.a.</x:v>
      </x:c>
      <x:c r="Z42" s="1" t="str">
        <x:f>IF(ISNUMBER(T42),R42-T42,"n.a.")</x:f>
        <x:v>n.a.</x:v>
      </x:c>
      <x:c r="AA42" s="1" t="str">
        <x:f>'Inventory inputs'!R42</x:f>
        <x:v>Review receipt reconciliation or original PO baseline</x:v>
      </x:c>
      <x:c r="AB42" s="1" t="str">
        <x:f>IF(L42=1,SUMIFS('Incoming POs'!$P$2:$P$305,'Incoming POs'!$A$2:$A$305,A42,'Incoming POs'!$B$2:$B$305,B42,'Incoming POs'!$C$2:$C$305,C42,'Incoming POs'!$G$2:$G$305,"&gt;="&amp;D42,'Incoming POs'!$G$2:$G$305,"&lt;"&amp;Dashboard!$I$5,'Incoming POs'!$Q$2:$Q$305,"&lt;="&amp;('Inventory inputs'!P42/'Inventory inputs'!J42*1.01)),"n.a.")</x:f>
        <x:v>n.a.</x:v>
      </x:c>
      <x:c r="AC42" s="9" t="n">
        <x:f>I42*G42</x:f>
        <x:v>0</x:v>
      </x:c>
      <x:c r="AD42" s="9" t="n">
        <x:f>J42*G42</x:f>
        <x:v>0</x:v>
      </x:c>
      <x:c r="AE42" s="9" t="n">
        <x:f>K42*G42</x:f>
        <x:v>0</x:v>
      </x:c>
      <x:c r="AF42" s="9" t="n">
        <x:f>R42*G42</x:f>
        <x:v>0</x:v>
      </x:c>
    </x:row>
    <x:row r="43" ht="21" customHeight="1">
      <x:c r="A43" s="1" t="str">
        <x:f>'Inventory inputs'!A43</x:f>
        <x:v>C400</x:v>
      </x:c>
      <x:c r="B43" s="1" t="str">
        <x:f>'Inventory inputs'!B43</x:f>
        <x:v>10</x:v>
      </x:c>
      <x:c r="C43" s="1" t="str">
        <x:f>'Inventory inputs'!C43</x:f>
        <x:v>400MASC19P</x:v>
      </x:c>
      <x:c r="D43" s="7" t="n">
        <x:f>'Inventory inputs'!E43</x:f>
        <x:v>46303</x:v>
      </x:c>
      <x:c r="E43" s="1" t="n">
        <x:f>'Inventory inputs'!F43</x:f>
        <x:v>9300</x:v>
      </x:c>
      <x:c r="F43" s="1" t="n">
        <x:f>'Inventory inputs'!G43</x:f>
        <x:v>941.67</x:v>
      </x:c>
      <x:c r="G43" s="1" t="n">
        <x:f>'Inventory inputs'!H43/'Inventory inputs'!J43</x:f>
        <x:v>0.0441</x:v>
      </x:c>
      <x:c r="H43" s="1" t="n">
        <x:f>IF('Inventory inputs'!I43&gt;0,'Inventory inputs'!I43*'Inventory inputs'!K43/'Inventory inputs'!J43,"n.a.")</x:f>
        <x:v>0.051062399999999994</x:v>
      </x:c>
      <x:c r="I43" s="1" t="n">
        <x:f>'Inventory inputs'!L43</x:f>
        <x:v>9300</x:v>
      </x:c>
      <x:c r="J43" s="1" t="n">
        <x:f>'Inventory inputs'!M43</x:f>
        <x:v>0</x:v>
      </x:c>
      <x:c r="K43" s="1" t="n">
        <x:f>'Inventory inputs'!N43</x:f>
        <x:v>0</x:v>
      </x:c>
      <x:c r="L43" s="1" t="n">
        <x:f>'Inventory inputs'!O43</x:f>
        <x:v>1</x:v>
      </x:c>
      <x:c r="M43" s="9" t="n">
        <x:f>E43*G43</x:f>
        <x:v>410.13</x:v>
      </x:c>
      <x:c r="N43" s="9" t="n">
        <x:f>'Inventory inputs'!Q43</x:f>
        <x:v>410.13</x:v>
      </x:c>
      <x:c r="O43" s="9" t="n">
        <x:f>N43-M43</x:f>
        <x:v>0</x:v>
      </x:c>
      <x:c r="P43" s="1" t="n">
        <x:f>SUMIFS('Incoming POs'!$P$2:$P$305,'Incoming POs'!$A$2:$A$305,A43,'Incoming POs'!$B$2:$B$305,B43,'Incoming POs'!$C$2:$C$305,C43,'Incoming POs'!$G$2:$G$305,"&gt;="&amp;D43,'Incoming POs'!$G$2:$G$305,"&lt;"&amp;Dashboard!$I$5)</x:f>
        <x:v>0</x:v>
      </x:c>
      <x:c r="Q43" s="1" t="n">
        <x:f>F43*Dashboard!$L$5*MAX(0,Dashboard!$I$5-D43)/30.4375</x:f>
        <x:v>1252.981848049281</x:v>
      </x:c>
      <x:c r="R43" s="1" t="n">
        <x:f>MAX(0,E43+P43-Q43)</x:f>
        <x:v>8047.018151950719</x:v>
      </x:c>
      <x:c r="S43" s="1" t="n">
        <x:f>MAX(0,Q43-E43-P43)</x:f>
        <x:v>0</x:v>
      </x:c>
      <x:c r="T43" s="1" t="n">
        <x:f>IF(L43=1,MAX(0,I43+AB43-MIN(Q43,E43+P43)),"n.a.")</x:f>
        <x:v>8047.018151950719</x:v>
      </x:c>
      <x:c r="U43" s="9" t="n">
        <x:f>IF(ISNUMBER(T43),T43*G43,"n.a.")</x:f>
        <x:v>354.8735005010267</x:v>
      </x:c>
      <x:c r="V43" s="25" t="n">
        <x:f>IF(Dashboard!$I$6="Flat %",1,IF(ISNUMBER(H43),1,0))</x:f>
        <x:v>1</x:v>
      </x:c>
      <x:c r="W43" s="9" t="n">
        <x:f>IF(Dashboard!$I$6="Flat %",G43*(1+Dashboard!$L$6),H43)</x:f>
        <x:v>0.051062399999999994</x:v>
      </x:c>
      <x:c r="X43" s="9" t="n">
        <x:f>IF(V43=1,R43*(W43-G43),"n.a.")</x:f>
        <x:v>56.026559181141636</x:v>
      </x:c>
      <x:c r="Y43" s="9" t="n">
        <x:f>IF(V43=1,R43*W43,"n.a.")</x:f>
        <x:v>410.9000596821683</x:v>
      </x:c>
      <x:c r="Z43" s="1" t="n">
        <x:f>IF(ISNUMBER(T43),R43-T43,"n.a.")</x:f>
        <x:v>0</x:v>
      </x:c>
      <x:c r="AA43" s="1" t="str">
        <x:f>'Inventory inputs'!R43</x:f>
        <x:v>Classified</x:v>
      </x:c>
      <x:c r="AB43" s="1" t="n">
        <x:f>IF(L43=1,SUMIFS('Incoming POs'!$P$2:$P$305,'Incoming POs'!$A$2:$A$305,A43,'Incoming POs'!$B$2:$B$305,B43,'Incoming POs'!$C$2:$C$305,C43,'Incoming POs'!$G$2:$G$305,"&gt;="&amp;D43,'Incoming POs'!$G$2:$G$305,"&lt;"&amp;Dashboard!$I$5,'Incoming POs'!$Q$2:$Q$305,"&lt;="&amp;('Inventory inputs'!P43/'Inventory inputs'!J43*1.01)),"n.a.")</x:f>
        <x:v>0</x:v>
      </x:c>
      <x:c r="AC43" s="9" t="n">
        <x:f>I43*G43</x:f>
        <x:v>410.13</x:v>
      </x:c>
      <x:c r="AD43" s="9" t="n">
        <x:f>J43*G43</x:f>
        <x:v>0</x:v>
      </x:c>
      <x:c r="AE43" s="9" t="n">
        <x:f>K43*G43</x:f>
        <x:v>0</x:v>
      </x:c>
      <x:c r="AF43" s="9" t="n">
        <x:f>R43*G43</x:f>
        <x:v>354.8735005010267</x:v>
      </x:c>
    </x:row>
    <x:row r="44" ht="21" customHeight="1">
      <x:c r="A44" s="1" t="str">
        <x:f>'Inventory inputs'!A44</x:f>
        <x:v>C400</x:v>
      </x:c>
      <x:c r="B44" s="1" t="str">
        <x:f>'Inventory inputs'!B44</x:f>
        <x:v>10</x:v>
      </x:c>
      <x:c r="C44" s="1" t="str">
        <x:f>'Inventory inputs'!C44</x:f>
        <x:v>400HE</x:v>
      </x:c>
      <x:c r="D44" s="7" t="n">
        <x:f>'Inventory inputs'!E44</x:f>
        <x:v>46303</x:v>
      </x:c>
      <x:c r="E44" s="1" t="n">
        <x:f>'Inventory inputs'!F44</x:f>
        <x:v>2739</x:v>
      </x:c>
      <x:c r="F44" s="1" t="n">
        <x:f>'Inventory inputs'!G44</x:f>
        <x:v>864</x:v>
      </x:c>
      <x:c r="G44" s="1" t="n">
        <x:f>'Inventory inputs'!H44/'Inventory inputs'!J44</x:f>
        <x:v>0.4793</x:v>
      </x:c>
      <x:c r="H44" s="1" t="n">
        <x:f>IF('Inventory inputs'!I44&gt;0,'Inventory inputs'!I44*'Inventory inputs'!K44/'Inventory inputs'!J44,"n.a.")</x:f>
        <x:v>0.5550767999999999</x:v>
      </x:c>
      <x:c r="I44" s="1" t="n">
        <x:f>'Inventory inputs'!L44</x:f>
        <x:v>2739</x:v>
      </x:c>
      <x:c r="J44" s="1" t="n">
        <x:f>'Inventory inputs'!M44</x:f>
        <x:v>0</x:v>
      </x:c>
      <x:c r="K44" s="1" t="n">
        <x:f>'Inventory inputs'!N44</x:f>
        <x:v>0</x:v>
      </x:c>
      <x:c r="L44" s="1" t="n">
        <x:f>'Inventory inputs'!O44</x:f>
        <x:v>1</x:v>
      </x:c>
      <x:c r="M44" s="9" t="n">
        <x:f>E44*G44</x:f>
        <x:v>1312.8027</x:v>
      </x:c>
      <x:c r="N44" s="9" t="n">
        <x:f>'Inventory inputs'!Q44</x:f>
        <x:v>1312.8027</x:v>
      </x:c>
      <x:c r="O44" s="9" t="n">
        <x:f>N44-M44</x:f>
        <x:v>0</x:v>
      </x:c>
      <x:c r="P44" s="1" t="n">
        <x:f>SUMIFS('Incoming POs'!$P$2:$P$305,'Incoming POs'!$A$2:$A$305,A44,'Incoming POs'!$B$2:$B$305,B44,'Incoming POs'!$C$2:$C$305,C44,'Incoming POs'!$G$2:$G$305,"&gt;="&amp;D44,'Incoming POs'!$G$2:$G$305,"&lt;"&amp;Dashboard!$I$5)</x:f>
        <x:v>0</x:v>
      </x:c>
      <x:c r="Q44" s="1" t="n">
        <x:f>F44*Dashboard!$L$5*MAX(0,Dashboard!$I$5-D44)/30.4375</x:f>
        <x:v>1149.6344969199179</x:v>
      </x:c>
      <x:c r="R44" s="1" t="n">
        <x:f>MAX(0,E44+P44-Q44)</x:f>
        <x:v>1589.3655030800821</x:v>
      </x:c>
      <x:c r="S44" s="1" t="n">
        <x:f>MAX(0,Q44-E44-P44)</x:f>
        <x:v>0</x:v>
      </x:c>
      <x:c r="T44" s="1" t="n">
        <x:f>IF(L44=1,MAX(0,I44+AB44-MIN(Q44,E44+P44)),"n.a.")</x:f>
        <x:v>1589.3655030800821</x:v>
      </x:c>
      <x:c r="U44" s="9" t="n">
        <x:f>IF(ISNUMBER(T44),T44*G44,"n.a.")</x:f>
        <x:v>761.7828856262834</x:v>
      </x:c>
      <x:c r="V44" s="25" t="n">
        <x:f>IF(Dashboard!$I$6="Flat %",1,IF(ISNUMBER(H44),1,0))</x:f>
        <x:v>1</x:v>
      </x:c>
      <x:c r="W44" s="9" t="n">
        <x:f>IF(Dashboard!$I$6="Flat %",G44*(1+Dashboard!$L$6),H44)</x:f>
        <x:v>0.5550767999999999</x:v>
      </x:c>
      <x:c r="X44" s="9" t="n">
        <x:f>IF(V44=1,R44*(W44-G44),"n.a.")</x:f>
        <x:v>120.43703185379864</x:v>
      </x:c>
      <x:c r="Y44" s="9" t="n">
        <x:f>IF(V44=1,R44*W44,"n.a.")</x:f>
        <x:v>882.219917480082</x:v>
      </x:c>
      <x:c r="Z44" s="1" t="n">
        <x:f>IF(ISNUMBER(T44),R44-T44,"n.a.")</x:f>
        <x:v>0</x:v>
      </x:c>
      <x:c r="AA44" s="1" t="str">
        <x:f>'Inventory inputs'!R44</x:f>
        <x:v>Classified</x:v>
      </x:c>
      <x:c r="AB44" s="1" t="n">
        <x:f>IF(L44=1,SUMIFS('Incoming POs'!$P$2:$P$305,'Incoming POs'!$A$2:$A$305,A44,'Incoming POs'!$B$2:$B$305,B44,'Incoming POs'!$C$2:$C$305,C44,'Incoming POs'!$G$2:$G$305,"&gt;="&amp;D44,'Incoming POs'!$G$2:$G$305,"&lt;"&amp;Dashboard!$I$5,'Incoming POs'!$Q$2:$Q$305,"&lt;="&amp;('Inventory inputs'!P44/'Inventory inputs'!J44*1.01)),"n.a.")</x:f>
        <x:v>0</x:v>
      </x:c>
      <x:c r="AC44" s="9" t="n">
        <x:f>I44*G44</x:f>
        <x:v>1312.8027</x:v>
      </x:c>
      <x:c r="AD44" s="9" t="n">
        <x:f>J44*G44</x:f>
        <x:v>0</x:v>
      </x:c>
      <x:c r="AE44" s="9" t="n">
        <x:f>K44*G44</x:f>
        <x:v>0</x:v>
      </x:c>
      <x:c r="AF44" s="9" t="n">
        <x:f>R44*G44</x:f>
        <x:v>761.7828856262834</x:v>
      </x:c>
    </x:row>
    <x:row r="45" ht="21" customHeight="1">
      <x:c r="A45" s="1" t="str">
        <x:f>'Inventory inputs'!A45</x:f>
        <x:v>C400</x:v>
      </x:c>
      <x:c r="B45" s="1" t="str">
        <x:f>'Inventory inputs'!B45</x:f>
        <x:v>30</x:v>
      </x:c>
      <x:c r="C45" s="1" t="str">
        <x:f>'Inventory inputs'!C45</x:f>
        <x:v>400HASCT</x:v>
      </x:c>
      <x:c r="D45" s="7" t="n">
        <x:f>'Inventory inputs'!E45</x:f>
        <x:v>46303</x:v>
      </x:c>
      <x:c r="E45" s="1" t="n">
        <x:f>'Inventory inputs'!F45</x:f>
        <x:v>7000</x:v>
      </x:c>
      <x:c r="F45" s="1" t="n">
        <x:f>'Inventory inputs'!G45</x:f>
        <x:v>808.33</x:v>
      </x:c>
      <x:c r="G45" s="1" t="n">
        <x:f>'Inventory inputs'!H45/'Inventory inputs'!J45</x:f>
        <x:v>0.0733</x:v>
      </x:c>
      <x:c r="H45" s="1" t="n">
        <x:f>IF('Inventory inputs'!I45&gt;0,'Inventory inputs'!I45*'Inventory inputs'!K45/'Inventory inputs'!J45,"n.a.")</x:f>
        <x:v>0.08488799999999999</x:v>
      </x:c>
      <x:c r="I45" s="1" t="n">
        <x:f>'Inventory inputs'!L45</x:f>
        <x:v>4000</x:v>
      </x:c>
      <x:c r="J45" s="1" t="n">
        <x:f>'Inventory inputs'!M45</x:f>
        <x:v>3000</x:v>
      </x:c>
      <x:c r="K45" s="1" t="n">
        <x:f>'Inventory inputs'!N45</x:f>
        <x:v>0</x:v>
      </x:c>
      <x:c r="L45" s="1" t="n">
        <x:f>'Inventory inputs'!O45</x:f>
        <x:v>1</x:v>
      </x:c>
      <x:c r="M45" s="9" t="n">
        <x:f>E45*G45</x:f>
        <x:v>513.1</x:v>
      </x:c>
      <x:c r="N45" s="9" t="n">
        <x:f>'Inventory inputs'!Q45</x:f>
        <x:v>513.1</x:v>
      </x:c>
      <x:c r="O45" s="9" t="n">
        <x:f>N45-M45</x:f>
        <x:v>0</x:v>
      </x:c>
      <x:c r="P45" s="1" t="n">
        <x:f>SUMIFS('Incoming POs'!$P$2:$P$305,'Incoming POs'!$A$2:$A$305,A45,'Incoming POs'!$B$2:$B$305,B45,'Incoming POs'!$C$2:$C$305,C45,'Incoming POs'!$G$2:$G$305,"&gt;="&amp;D45,'Incoming POs'!$G$2:$G$305,"&lt;"&amp;Dashboard!$I$5)</x:f>
        <x:v>0</x:v>
      </x:c>
      <x:c r="Q45" s="1" t="n">
        <x:f>F45*Dashboard!$L$5*MAX(0,Dashboard!$I$5-D45)/30.4375</x:f>
        <x:v>1075.560246406571</x:v>
      </x:c>
      <x:c r="R45" s="1" t="n">
        <x:f>MAX(0,E45+P45-Q45)</x:f>
        <x:v>5924.4397535934295</x:v>
      </x:c>
      <x:c r="S45" s="1" t="n">
        <x:f>MAX(0,Q45-E45-P45)</x:f>
        <x:v>0</x:v>
      </x:c>
      <x:c r="T45" s="1" t="n">
        <x:f>IF(L45=1,MAX(0,I45+AB45-MIN(Q45,E45+P45)),"n.a.")</x:f>
        <x:v>2924.439753593429</x:v>
      </x:c>
      <x:c r="U45" s="9" t="n">
        <x:f>IF(ISNUMBER(T45),T45*G45,"n.a.")</x:f>
        <x:v>214.36143393839836</x:v>
      </x:c>
      <x:c r="V45" s="25" t="n">
        <x:f>IF(Dashboard!$I$6="Flat %",1,IF(ISNUMBER(H45),1,0))</x:f>
        <x:v>1</x:v>
      </x:c>
      <x:c r="W45" s="9" t="n">
        <x:f>IF(Dashboard!$I$6="Flat %",G45*(1+Dashboard!$L$6),H45)</x:f>
        <x:v>0.08488799999999999</x:v>
      </x:c>
      <x:c r="X45" s="9" t="n">
        <x:f>IF(V45=1,R45*(W45-G45),"n.a.")</x:f>
        <x:v>68.65240786464058</x:v>
      </x:c>
      <x:c r="Y45" s="9" t="n">
        <x:f>IF(V45=1,R45*W45,"n.a.")</x:f>
        <x:v>502.91384180303896</x:v>
      </x:c>
      <x:c r="Z45" s="1" t="n">
        <x:f>IF(ISNUMBER(T45),R45-T45,"n.a.")</x:f>
        <x:v>3000.0000000000005</x:v>
      </x:c>
      <x:c r="AA45" s="1" t="str">
        <x:f>'Inventory inputs'!R45</x:f>
        <x:v>Classified</x:v>
      </x:c>
      <x:c r="AB45" s="1" t="n">
        <x:f>IF(L45=1,SUMIFS('Incoming POs'!$P$2:$P$305,'Incoming POs'!$A$2:$A$305,A45,'Incoming POs'!$B$2:$B$305,B45,'Incoming POs'!$C$2:$C$305,C45,'Incoming POs'!$G$2:$G$305,"&gt;="&amp;D45,'Incoming POs'!$G$2:$G$305,"&lt;"&amp;Dashboard!$I$5,'Incoming POs'!$Q$2:$Q$305,"&lt;="&amp;('Inventory inputs'!P45/'Inventory inputs'!J45*1.01)),"n.a.")</x:f>
        <x:v>0</x:v>
      </x:c>
      <x:c r="AC45" s="9" t="n">
        <x:f>I45*G45</x:f>
        <x:v>293.2</x:v>
      </x:c>
      <x:c r="AD45" s="9" t="n">
        <x:f>J45*G45</x:f>
        <x:v>219.9</x:v>
      </x:c>
      <x:c r="AE45" s="9" t="n">
        <x:f>K45*G45</x:f>
        <x:v>0</x:v>
      </x:c>
      <x:c r="AF45" s="9" t="n">
        <x:f>R45*G45</x:f>
        <x:v>434.2614339383984</x:v>
      </x:c>
    </x:row>
    <x:row r="46" ht="21" customHeight="1">
      <x:c r="A46" s="1" t="str">
        <x:f>'Inventory inputs'!A46</x:f>
        <x:v>C400</x:v>
      </x:c>
      <x:c r="B46" s="1" t="str">
        <x:f>'Inventory inputs'!B46</x:f>
        <x:v>60</x:v>
      </x:c>
      <x:c r="C46" s="1" t="str">
        <x:f>'Inventory inputs'!C46</x:f>
        <x:v>400HE</x:v>
      </x:c>
      <x:c r="D46" s="7" t="n">
        <x:f>'Inventory inputs'!E46</x:f>
        <x:v>46303</x:v>
      </x:c>
      <x:c r="E46" s="1" t="n">
        <x:f>'Inventory inputs'!F46</x:f>
        <x:v>5340</x:v>
      </x:c>
      <x:c r="F46" s="1" t="n">
        <x:f>'Inventory inputs'!G46</x:f>
        <x:v>802.33</x:v>
      </x:c>
      <x:c r="G46" s="1" t="n">
        <x:f>'Inventory inputs'!H46/'Inventory inputs'!J46</x:f>
        <x:v>0.4793</x:v>
      </x:c>
      <x:c r="H46" s="1" t="n">
        <x:f>IF('Inventory inputs'!I46&gt;0,'Inventory inputs'!I46*'Inventory inputs'!K46/'Inventory inputs'!J46,"n.a.")</x:f>
        <x:v>0.5550767999999999</x:v>
      </x:c>
      <x:c r="I46" s="1" t="n">
        <x:f>'Inventory inputs'!L46</x:f>
        <x:v>340</x:v>
      </x:c>
      <x:c r="J46" s="1" t="n">
        <x:f>'Inventory inputs'!M46</x:f>
        <x:v>5000</x:v>
      </x:c>
      <x:c r="K46" s="1" t="n">
        <x:f>'Inventory inputs'!N46</x:f>
        <x:v>0</x:v>
      </x:c>
      <x:c r="L46" s="1" t="n">
        <x:f>'Inventory inputs'!O46</x:f>
        <x:v>1</x:v>
      </x:c>
      <x:c r="M46" s="9" t="n">
        <x:f>E46*G46</x:f>
        <x:v>2559.462</x:v>
      </x:c>
      <x:c r="N46" s="9" t="n">
        <x:f>'Inventory inputs'!Q46</x:f>
        <x:v>2559.462</x:v>
      </x:c>
      <x:c r="O46" s="9" t="n">
        <x:f>N46-M46</x:f>
        <x:v>0</x:v>
      </x:c>
      <x:c r="P46" s="1" t="n">
        <x:f>SUMIFS('Incoming POs'!$P$2:$P$305,'Incoming POs'!$A$2:$A$305,A46,'Incoming POs'!$B$2:$B$305,B46,'Incoming POs'!$C$2:$C$305,C46,'Incoming POs'!$G$2:$G$305,"&gt;="&amp;D46,'Incoming POs'!$G$2:$G$305,"&lt;"&amp;Dashboard!$I$5)</x:f>
        <x:v>0</x:v>
      </x:c>
      <x:c r="Q46" s="1" t="n">
        <x:f>F46*Dashboard!$L$5*MAX(0,Dashboard!$I$5-D46)/30.4375</x:f>
        <x:v>1067.5766735112936</x:v>
      </x:c>
      <x:c r="R46" s="1" t="n">
        <x:f>MAX(0,E46+P46-Q46)</x:f>
        <x:v>4272.423326488706</x:v>
      </x:c>
      <x:c r="S46" s="1" t="n">
        <x:f>MAX(0,Q46-E46-P46)</x:f>
        <x:v>0</x:v>
      </x:c>
      <x:c r="T46" s="1" t="n">
        <x:f>IF(L46=1,MAX(0,I46+AB46-MIN(Q46,E46+P46)),"n.a.")</x:f>
        <x:v>0</x:v>
      </x:c>
      <x:c r="U46" s="9" t="n">
        <x:f>IF(ISNUMBER(T46),T46*G46,"n.a.")</x:f>
        <x:v>0</x:v>
      </x:c>
      <x:c r="V46" s="25" t="n">
        <x:f>IF(Dashboard!$I$6="Flat %",1,IF(ISNUMBER(H46),1,0))</x:f>
        <x:v>1</x:v>
      </x:c>
      <x:c r="W46" s="9" t="n">
        <x:f>IF(Dashboard!$I$6="Flat %",G46*(1+Dashboard!$L$6),H46)</x:f>
        <x:v>0.5550767999999999</x:v>
      </x:c>
      <x:c r="X46" s="9" t="n">
        <x:f>IF(V46=1,R46*(W46-G46),"n.a.")</x:f>
        <x:v>323.7505679266691</x:v>
      </x:c>
      <x:c r="Y46" s="9" t="n">
        <x:f>IF(V46=1,R46*W46,"n.a.")</x:f>
        <x:v>2371.523068312706</x:v>
      </x:c>
      <x:c r="Z46" s="1" t="n">
        <x:f>IF(ISNUMBER(T46),R46-T46,"n.a.")</x:f>
        <x:v>4272.423326488706</x:v>
      </x:c>
      <x:c r="AA46" s="1" t="str">
        <x:f>'Inventory inputs'!R46</x:f>
        <x:v>Classified</x:v>
      </x:c>
      <x:c r="AB46" s="1" t="n">
        <x:f>IF(L46=1,SUMIFS('Incoming POs'!$P$2:$P$305,'Incoming POs'!$A$2:$A$305,A46,'Incoming POs'!$B$2:$B$305,B46,'Incoming POs'!$C$2:$C$305,C46,'Incoming POs'!$G$2:$G$305,"&gt;="&amp;D46,'Incoming POs'!$G$2:$G$305,"&lt;"&amp;Dashboard!$I$5,'Incoming POs'!$Q$2:$Q$305,"&lt;="&amp;('Inventory inputs'!P46/'Inventory inputs'!J46*1.01)),"n.a.")</x:f>
        <x:v>0</x:v>
      </x:c>
      <x:c r="AC46" s="9" t="n">
        <x:f>I46*G46</x:f>
        <x:v>162.962</x:v>
      </x:c>
      <x:c r="AD46" s="9" t="n">
        <x:f>J46*G46</x:f>
        <x:v>2396.5</x:v>
      </x:c>
      <x:c r="AE46" s="9" t="n">
        <x:f>K46*G46</x:f>
        <x:v>0</x:v>
      </x:c>
      <x:c r="AF46" s="9" t="n">
        <x:f>R46*G46</x:f>
        <x:v>2047.7725003860369</x:v>
      </x:c>
    </x:row>
    <x:row r="47" ht="21" customHeight="1">
      <x:c r="A47" s="1" t="str">
        <x:f>'Inventory inputs'!A47</x:f>
        <x:v>C400</x:v>
      </x:c>
      <x:c r="B47" s="1" t="str">
        <x:f>'Inventory inputs'!B47</x:f>
        <x:v>60</x:v>
      </x:c>
      <x:c r="C47" s="1" t="str">
        <x:f>'Inventory inputs'!C47</x:f>
        <x:v>400LISC</x:v>
      </x:c>
      <x:c r="D47" s="7" t="n">
        <x:f>'Inventory inputs'!E47</x:f>
        <x:v>46303</x:v>
      </x:c>
      <x:c r="E47" s="1" t="n">
        <x:f>'Inventory inputs'!F47</x:f>
        <x:v>6300</x:v>
      </x:c>
      <x:c r="F47" s="1" t="n">
        <x:f>'Inventory inputs'!G47</x:f>
        <x:v>766.67</x:v>
      </x:c>
      <x:c r="G47" s="1" t="n">
        <x:f>'Inventory inputs'!H47/'Inventory inputs'!J47</x:f>
        <x:v>0.0294</x:v>
      </x:c>
      <x:c r="H47" s="1" t="n">
        <x:f>IF('Inventory inputs'!I47&gt;0,'Inventory inputs'!I47*'Inventory inputs'!K47/'Inventory inputs'!J47,"n.a.")</x:f>
        <x:v>0.0340848</x:v>
      </x:c>
      <x:c r="I47" s="1" t="n">
        <x:f>'Inventory inputs'!L47</x:f>
        <x:v>4300</x:v>
      </x:c>
      <x:c r="J47" s="1" t="n">
        <x:f>'Inventory inputs'!M47</x:f>
        <x:v>2000</x:v>
      </x:c>
      <x:c r="K47" s="1" t="n">
        <x:f>'Inventory inputs'!N47</x:f>
        <x:v>0</x:v>
      </x:c>
      <x:c r="L47" s="1" t="n">
        <x:f>'Inventory inputs'!O47</x:f>
        <x:v>1</x:v>
      </x:c>
      <x:c r="M47" s="9" t="n">
        <x:f>E47*G47</x:f>
        <x:v>185.22</x:v>
      </x:c>
      <x:c r="N47" s="9" t="n">
        <x:f>'Inventory inputs'!Q47</x:f>
        <x:v>185.22</x:v>
      </x:c>
      <x:c r="O47" s="9" t="n">
        <x:f>N47-M47</x:f>
        <x:v>0</x:v>
      </x:c>
      <x:c r="P47" s="1" t="n">
        <x:f>SUMIFS('Incoming POs'!$P$2:$P$305,'Incoming POs'!$A$2:$A$305,A47,'Incoming POs'!$B$2:$B$305,B47,'Incoming POs'!$C$2:$C$305,C47,'Incoming POs'!$G$2:$G$305,"&gt;="&amp;D47,'Incoming POs'!$G$2:$G$305,"&lt;"&amp;Dashboard!$I$5)</x:f>
        <x:v>0</x:v>
      </x:c>
      <x:c r="Q47" s="1" t="n">
        <x:f>F47*Dashboard!$L$5*MAX(0,Dashboard!$I$5-D47)/30.4375</x:f>
        <x:v>1020.127638603696</x:v>
      </x:c>
      <x:c r="R47" s="1" t="n">
        <x:f>MAX(0,E47+P47-Q47)</x:f>
        <x:v>5279.872361396304</x:v>
      </x:c>
      <x:c r="S47" s="1" t="n">
        <x:f>MAX(0,Q47-E47-P47)</x:f>
        <x:v>0</x:v>
      </x:c>
      <x:c r="T47" s="1" t="n">
        <x:f>IF(L47=1,MAX(0,I47+AB47-MIN(Q47,E47+P47)),"n.a.")</x:f>
        <x:v>3279.872361396304</x:v>
      </x:c>
      <x:c r="U47" s="9" t="n">
        <x:f>IF(ISNUMBER(T47),T47*G47,"n.a.")</x:f>
        <x:v>96.42824742505132</x:v>
      </x:c>
      <x:c r="V47" s="25" t="n">
        <x:f>IF(Dashboard!$I$6="Flat %",1,IF(ISNUMBER(H47),1,0))</x:f>
        <x:v>1</x:v>
      </x:c>
      <x:c r="W47" s="9" t="n">
        <x:f>IF(Dashboard!$I$6="Flat %",G47*(1+Dashboard!$L$6),H47)</x:f>
        <x:v>0.0340848</x:v>
      </x:c>
      <x:c r="X47" s="9" t="n">
        <x:f>IF(V47=1,R47*(W47-G47),"n.a.")</x:f>
        <x:v>24.735146038669402</x:v>
      </x:c>
      <x:c r="Y47" s="9" t="n">
        <x:f>IF(V47=1,R47*W47,"n.a.")</x:f>
        <x:v>179.96339346372073</x:v>
      </x:c>
      <x:c r="Z47" s="1" t="n">
        <x:f>IF(ISNUMBER(T47),R47-T47,"n.a.")</x:f>
        <x:v>2000</x:v>
      </x:c>
      <x:c r="AA47" s="1" t="str">
        <x:f>'Inventory inputs'!R47</x:f>
        <x:v>Classified</x:v>
      </x:c>
      <x:c r="AB47" s="1" t="n">
        <x:f>IF(L47=1,SUMIFS('Incoming POs'!$P$2:$P$305,'Incoming POs'!$A$2:$A$305,A47,'Incoming POs'!$B$2:$B$305,B47,'Incoming POs'!$C$2:$C$305,C47,'Incoming POs'!$G$2:$G$305,"&gt;="&amp;D47,'Incoming POs'!$G$2:$G$305,"&lt;"&amp;Dashboard!$I$5,'Incoming POs'!$Q$2:$Q$305,"&lt;="&amp;('Inventory inputs'!P47/'Inventory inputs'!J47*1.01)),"n.a.")</x:f>
        <x:v>0</x:v>
      </x:c>
      <x:c r="AC47" s="9" t="n">
        <x:f>I47*G47</x:f>
        <x:v>126.42</x:v>
      </x:c>
      <x:c r="AD47" s="9" t="n">
        <x:f>J47*G47</x:f>
        <x:v>58.8</x:v>
      </x:c>
      <x:c r="AE47" s="9" t="n">
        <x:f>K47*G47</x:f>
        <x:v>0</x:v>
      </x:c>
      <x:c r="AF47" s="9" t="n">
        <x:f>R47*G47</x:f>
        <x:v>155.22824742505134</x:v>
      </x:c>
    </x:row>
    <x:row r="48" ht="21" customHeight="1">
      <x:c r="A48" s="1" t="str">
        <x:f>'Inventory inputs'!A48</x:f>
        <x:v>C400</x:v>
      </x:c>
      <x:c r="B48" s="1" t="str">
        <x:f>'Inventory inputs'!B48</x:f>
        <x:v>30</x:v>
      </x:c>
      <x:c r="C48" s="1" t="str">
        <x:f>'Inventory inputs'!C48</x:f>
        <x:v>400MCSC</x:v>
      </x:c>
      <x:c r="D48" s="7" t="n">
        <x:f>'Inventory inputs'!E48</x:f>
        <x:v>46303</x:v>
      </x:c>
      <x:c r="E48" s="1" t="n">
        <x:f>'Inventory inputs'!F48</x:f>
        <x:v>7000</x:v>
      </x:c>
      <x:c r="F48" s="1" t="n">
        <x:f>'Inventory inputs'!G48</x:f>
        <x:v>716.67</x:v>
      </x:c>
      <x:c r="G48" s="1" t="n">
        <x:f>'Inventory inputs'!H48/'Inventory inputs'!J48</x:f>
        <x:v>0.049400000000000006</x:v>
      </x:c>
      <x:c r="H48" s="1" t="n">
        <x:f>IF('Inventory inputs'!I48&gt;0,'Inventory inputs'!I48*'Inventory inputs'!K48/'Inventory inputs'!J48,"n.a.")</x:f>
        <x:v>0.0572112</x:v>
      </x:c>
      <x:c r="I48" s="1" t="n">
        <x:f>'Inventory inputs'!L48</x:f>
        <x:v>2000</x:v>
      </x:c>
      <x:c r="J48" s="1" t="n">
        <x:f>'Inventory inputs'!M48</x:f>
        <x:v>5000</x:v>
      </x:c>
      <x:c r="K48" s="1" t="n">
        <x:f>'Inventory inputs'!N48</x:f>
        <x:v>0</x:v>
      </x:c>
      <x:c r="L48" s="1" t="n">
        <x:f>'Inventory inputs'!O48</x:f>
        <x:v>1</x:v>
      </x:c>
      <x:c r="M48" s="9" t="n">
        <x:f>E48*G48</x:f>
        <x:v>345.80000000000007</x:v>
      </x:c>
      <x:c r="N48" s="9" t="n">
        <x:f>'Inventory inputs'!Q48</x:f>
        <x:v>345.8</x:v>
      </x:c>
      <x:c r="O48" s="9" t="n">
        <x:f>N48-M48</x:f>
        <x:v>-5.684341886080802e-14</x:v>
      </x:c>
      <x:c r="P48" s="1" t="n">
        <x:f>SUMIFS('Incoming POs'!$P$2:$P$305,'Incoming POs'!$A$2:$A$305,A48,'Incoming POs'!$B$2:$B$305,B48,'Incoming POs'!$C$2:$C$305,C48,'Incoming POs'!$G$2:$G$305,"&gt;="&amp;D48,'Incoming POs'!$G$2:$G$305,"&lt;"&amp;Dashboard!$I$5)</x:f>
        <x:v>0</x:v>
      </x:c>
      <x:c r="Q48" s="1" t="n">
        <x:f>F48*Dashboard!$L$5*MAX(0,Dashboard!$I$5-D48)/30.4375</x:f>
        <x:v>953.597864476386</x:v>
      </x:c>
      <x:c r="R48" s="1" t="n">
        <x:f>MAX(0,E48+P48-Q48)</x:f>
        <x:v>6046.402135523614</x:v>
      </x:c>
      <x:c r="S48" s="1" t="n">
        <x:f>MAX(0,Q48-E48-P48)</x:f>
        <x:v>0</x:v>
      </x:c>
      <x:c r="T48" s="1" t="n">
        <x:f>IF(L48=1,MAX(0,I48+AB48-MIN(Q48,E48+P48)),"n.a.")</x:f>
        <x:v>1046.402135523614</x:v>
      </x:c>
      <x:c r="U48" s="9" t="n">
        <x:f>IF(ISNUMBER(T48),T48*G48,"n.a.")</x:f>
        <x:v>51.69226549486655</x:v>
      </x:c>
      <x:c r="V48" s="25" t="n">
        <x:f>IF(Dashboard!$I$6="Flat %",1,IF(ISNUMBER(H48),1,0))</x:f>
        <x:v>1</x:v>
      </x:c>
      <x:c r="W48" s="9" t="n">
        <x:f>IF(Dashboard!$I$6="Flat %",G48*(1+Dashboard!$L$6),H48)</x:f>
        <x:v>0.0572112</x:v>
      </x:c>
      <x:c r="X48" s="9" t="n">
        <x:f>IF(V48=1,R48*(W48-G48),"n.a.")</x:f>
        <x:v>47.22965636100199</x:v>
      </x:c>
      <x:c r="Y48" s="9" t="n">
        <x:f>IF(V48=1,R48*W48,"n.a.")</x:f>
        <x:v>345.92192185586856</x:v>
      </x:c>
      <x:c r="Z48" s="1" t="n">
        <x:f>IF(ISNUMBER(T48),R48-T48,"n.a.")</x:f>
        <x:v>5000</x:v>
      </x:c>
      <x:c r="AA48" s="1" t="str">
        <x:f>'Inventory inputs'!R48</x:f>
        <x:v>Classified</x:v>
      </x:c>
      <x:c r="AB48" s="1" t="n">
        <x:f>IF(L48=1,SUMIFS('Incoming POs'!$P$2:$P$305,'Incoming POs'!$A$2:$A$305,A48,'Incoming POs'!$B$2:$B$305,B48,'Incoming POs'!$C$2:$C$305,C48,'Incoming POs'!$G$2:$G$305,"&gt;="&amp;D48,'Incoming POs'!$G$2:$G$305,"&lt;"&amp;Dashboard!$I$5,'Incoming POs'!$Q$2:$Q$305,"&lt;="&amp;('Inventory inputs'!P48/'Inventory inputs'!J48*1.01)),"n.a.")</x:f>
        <x:v>0</x:v>
      </x:c>
      <x:c r="AC48" s="9" t="n">
        <x:f>I48*G48</x:f>
        <x:v>98.80000000000001</x:v>
      </x:c>
      <x:c r="AD48" s="9" t="n">
        <x:f>J48*G48</x:f>
        <x:v>247.00000000000003</x:v>
      </x:c>
      <x:c r="AE48" s="9" t="n">
        <x:f>K48*G48</x:f>
        <x:v>0</x:v>
      </x:c>
      <x:c r="AF48" s="9" t="n">
        <x:f>R48*G48</x:f>
        <x:v>298.69226549486655</x:v>
      </x:c>
    </x:row>
    <x:row r="49" ht="21" customHeight="1">
      <x:c r="A49" s="1" t="str">
        <x:f>'Inventory inputs'!A49</x:f>
        <x:v>C400</x:v>
      </x:c>
      <x:c r="B49" s="1" t="str">
        <x:f>'Inventory inputs'!B49</x:f>
        <x:v>10</x:v>
      </x:c>
      <x:c r="C49" s="1" t="str">
        <x:f>'Inventory inputs'!C49</x:f>
        <x:v>WOM</x:v>
      </x:c>
      <x:c r="D49" s="7" t="n">
        <x:f>'Inventory inputs'!E49</x:f>
        <x:v>46303</x:v>
      </x:c>
      <x:c r="E49" s="1" t="n">
        <x:f>'Inventory inputs'!F49</x:f>
        <x:v>1000</x:v>
      </x:c>
      <x:c r="F49" s="1" t="n">
        <x:f>'Inventory inputs'!G49</x:f>
        <x:v>666.67</x:v>
      </x:c>
      <x:c r="G49" s="1" t="n">
        <x:f>'Inventory inputs'!H49/'Inventory inputs'!J49</x:f>
        <x:v>0.0275</x:v>
      </x:c>
      <x:c r="H49" s="1" t="str">
        <x:f>IF('Inventory inputs'!I49&gt;0,'Inventory inputs'!I49*'Inventory inputs'!K49/'Inventory inputs'!J49,"n.a.")</x:f>
        <x:v>n.a.</x:v>
      </x:c>
      <x:c r="I49" s="1" t="n">
        <x:f>'Inventory inputs'!L49</x:f>
        <x:v>0</x:v>
      </x:c>
      <x:c r="J49" s="1" t="n">
        <x:f>'Inventory inputs'!M49</x:f>
        <x:v>0</x:v>
      </x:c>
      <x:c r="K49" s="1" t="n">
        <x:f>'Inventory inputs'!N49</x:f>
        <x:v>1000</x:v>
      </x:c>
      <x:c r="L49" s="1" t="n">
        <x:f>'Inventory inputs'!O49</x:f>
        <x:v>0</x:v>
      </x:c>
      <x:c r="M49" s="9" t="n">
        <x:f>E49*G49</x:f>
        <x:v>27.5</x:v>
      </x:c>
      <x:c r="N49" s="9" t="n">
        <x:f>'Inventory inputs'!Q49</x:f>
        <x:v>27.5</x:v>
      </x:c>
      <x:c r="O49" s="9" t="n">
        <x:f>N49-M49</x:f>
        <x:v>0</x:v>
      </x:c>
      <x:c r="P49" s="1" t="n">
        <x:f>SUMIFS('Incoming POs'!$P$2:$P$305,'Incoming POs'!$A$2:$A$305,A49,'Incoming POs'!$B$2:$B$305,B49,'Incoming POs'!$C$2:$C$305,C49,'Incoming POs'!$G$2:$G$305,"&gt;="&amp;D49,'Incoming POs'!$G$2:$G$305,"&lt;"&amp;Dashboard!$I$5)</x:f>
        <x:v>0</x:v>
      </x:c>
      <x:c r="Q49" s="1" t="n">
        <x:f>F49*Dashboard!$L$5*MAX(0,Dashboard!$I$5-D49)/30.4375</x:f>
        <x:v>887.0680903490759</x:v>
      </x:c>
      <x:c r="R49" s="1" t="n">
        <x:f>MAX(0,E49+P49-Q49)</x:f>
        <x:v>112.93190965092413</x:v>
      </x:c>
      <x:c r="S49" s="1" t="n">
        <x:f>MAX(0,Q49-E49-P49)</x:f>
        <x:v>0</x:v>
      </x:c>
      <x:c r="T49" s="1" t="str">
        <x:f>IF(L49=1,MAX(0,I49+AB49-MIN(Q49,E49+P49)),"n.a.")</x:f>
        <x:v>n.a.</x:v>
      </x:c>
      <x:c r="U49" s="9" t="str">
        <x:f>IF(ISNUMBER(T49),T49*G49,"n.a.")</x:f>
        <x:v>n.a.</x:v>
      </x:c>
      <x:c r="V49" s="25" t="n">
        <x:f>IF(Dashboard!$I$6="Flat %",1,IF(ISNUMBER(H49),1,0))</x:f>
        <x:v>0</x:v>
      </x:c>
      <x:c r="W49" s="9" t="str">
        <x:f>IF(Dashboard!$I$6="Flat %",G49*(1+Dashboard!$L$6),H49)</x:f>
        <x:v>n.a.</x:v>
      </x:c>
      <x:c r="X49" s="9" t="str">
        <x:f>IF(V49=1,R49*(W49-G49),"n.a.")</x:f>
        <x:v>n.a.</x:v>
      </x:c>
      <x:c r="Y49" s="9" t="str">
        <x:f>IF(V49=1,R49*W49,"n.a.")</x:f>
        <x:v>n.a.</x:v>
      </x:c>
      <x:c r="Z49" s="1" t="str">
        <x:f>IF(ISNUMBER(T49),R49-T49,"n.a.")</x:f>
        <x:v>n.a.</x:v>
      </x:c>
      <x:c r="AA49" s="1" t="str">
        <x:f>'Inventory inputs'!R49</x:f>
        <x:v>Review receipt reconciliation or original PO baseline</x:v>
      </x:c>
      <x:c r="AB49" s="1" t="str">
        <x:f>IF(L49=1,SUMIFS('Incoming POs'!$P$2:$P$305,'Incoming POs'!$A$2:$A$305,A49,'Incoming POs'!$B$2:$B$305,B49,'Incoming POs'!$C$2:$C$305,C49,'Incoming POs'!$G$2:$G$305,"&gt;="&amp;D49,'Incoming POs'!$G$2:$G$305,"&lt;"&amp;Dashboard!$I$5,'Incoming POs'!$Q$2:$Q$305,"&lt;="&amp;('Inventory inputs'!P49/'Inventory inputs'!J49*1.01)),"n.a.")</x:f>
        <x:v>n.a.</x:v>
      </x:c>
      <x:c r="AC49" s="9" t="n">
        <x:f>I49*G49</x:f>
        <x:v>0</x:v>
      </x:c>
      <x:c r="AD49" s="9" t="n">
        <x:f>J49*G49</x:f>
        <x:v>0</x:v>
      </x:c>
      <x:c r="AE49" s="9" t="n">
        <x:f>K49*G49</x:f>
        <x:v>27.5</x:v>
      </x:c>
      <x:c r="AF49" s="9" t="n">
        <x:f>R49*G49</x:f>
        <x:v>3.1056275154004136</x:v>
      </x:c>
    </x:row>
    <x:row r="50" ht="21" customHeight="1">
      <x:c r="A50" s="1" t="str">
        <x:f>'Inventory inputs'!A50</x:f>
        <x:v>C400</x:v>
      </x:c>
      <x:c r="B50" s="1" t="str">
        <x:f>'Inventory inputs'!B50</x:f>
        <x:v>60</x:v>
      </x:c>
      <x:c r="C50" s="1" t="str">
        <x:f>'Inventory inputs'!C50</x:f>
        <x:v>400LCSC</x:v>
      </x:c>
      <x:c r="D50" s="7" t="n">
        <x:f>'Inventory inputs'!E50</x:f>
        <x:v>46303</x:v>
      </x:c>
      <x:c r="E50" s="1" t="n">
        <x:f>'Inventory inputs'!F50</x:f>
        <x:v>4000</x:v>
      </x:c>
      <x:c r="F50" s="1" t="n">
        <x:f>'Inventory inputs'!G50</x:f>
        <x:v>658.33</x:v>
      </x:c>
      <x:c r="G50" s="1" t="n">
        <x:f>'Inventory inputs'!H50/'Inventory inputs'!J50</x:f>
        <x:v>0.0353</x:v>
      </x:c>
      <x:c r="H50" s="1" t="n">
        <x:f>IF('Inventory inputs'!I50&gt;0,'Inventory inputs'!I50*'Inventory inputs'!K50/'Inventory inputs'!J50,"n.a.")</x:f>
        <x:v>0.0408672</x:v>
      </x:c>
      <x:c r="I50" s="1" t="n">
        <x:f>'Inventory inputs'!L50</x:f>
        <x:v>4000</x:v>
      </x:c>
      <x:c r="J50" s="1" t="n">
        <x:f>'Inventory inputs'!M50</x:f>
        <x:v>0</x:v>
      </x:c>
      <x:c r="K50" s="1" t="n">
        <x:f>'Inventory inputs'!N50</x:f>
        <x:v>0</x:v>
      </x:c>
      <x:c r="L50" s="1" t="n">
        <x:f>'Inventory inputs'!O50</x:f>
        <x:v>1</x:v>
      </x:c>
      <x:c r="M50" s="9" t="n">
        <x:f>E50*G50</x:f>
        <x:v>141.2</x:v>
      </x:c>
      <x:c r="N50" s="9" t="n">
        <x:f>'Inventory inputs'!Q50</x:f>
        <x:v>141.20000000000002</x:v>
      </x:c>
      <x:c r="O50" s="9" t="n">
        <x:f>N50-M50</x:f>
        <x:v>2.842170943040401e-14</x:v>
      </x:c>
      <x:c r="P50" s="1" t="n">
        <x:f>SUMIFS('Incoming POs'!$P$2:$P$305,'Incoming POs'!$A$2:$A$305,A50,'Incoming POs'!$B$2:$B$305,B50,'Incoming POs'!$C$2:$C$305,C50,'Incoming POs'!$G$2:$G$305,"&gt;="&amp;D50,'Incoming POs'!$G$2:$G$305,"&lt;"&amp;Dashboard!$I$5)</x:f>
        <x:v>0</x:v>
      </x:c>
      <x:c r="Q50" s="1" t="n">
        <x:f>F50*Dashboard!$L$5*MAX(0,Dashboard!$I$5-D50)/30.4375</x:f>
        <x:v>875.9709240246407</x:v>
      </x:c>
      <x:c r="R50" s="1" t="n">
        <x:f>MAX(0,E50+P50-Q50)</x:f>
        <x:v>3124.0290759753593</x:v>
      </x:c>
      <x:c r="S50" s="1" t="n">
        <x:f>MAX(0,Q50-E50-P50)</x:f>
        <x:v>0</x:v>
      </x:c>
      <x:c r="T50" s="1" t="n">
        <x:f>IF(L50=1,MAX(0,I50+AB50-MIN(Q50,E50+P50)),"n.a.")</x:f>
        <x:v>3124.0290759753593</x:v>
      </x:c>
      <x:c r="U50" s="9" t="n">
        <x:f>IF(ISNUMBER(T50),T50*G50,"n.a.")</x:f>
        <x:v>110.27822638193018</x:v>
      </x:c>
      <x:c r="V50" s="25" t="n">
        <x:f>IF(Dashboard!$I$6="Flat %",1,IF(ISNUMBER(H50),1,0))</x:f>
        <x:v>1</x:v>
      </x:c>
      <x:c r="W50" s="9" t="n">
        <x:f>IF(Dashboard!$I$6="Flat %",G50*(1+Dashboard!$L$6),H50)</x:f>
        <x:v>0.0408672</x:v>
      </x:c>
      <x:c r="X50" s="9" t="n">
        <x:f>IF(V50=1,R50*(W50-G50),"n.a.")</x:f>
        <x:v>17.392094671770025</x:v>
      </x:c>
      <x:c r="Y50" s="9" t="n">
        <x:f>IF(V50=1,R50*W50,"n.a.")</x:f>
        <x:v>127.6703210537002</x:v>
      </x:c>
      <x:c r="Z50" s="1" t="n">
        <x:f>IF(ISNUMBER(T50),R50-T50,"n.a.")</x:f>
        <x:v>0</x:v>
      </x:c>
      <x:c r="AA50" s="1" t="str">
        <x:f>'Inventory inputs'!R50</x:f>
        <x:v>Classified</x:v>
      </x:c>
      <x:c r="AB50" s="1" t="n">
        <x:f>IF(L50=1,SUMIFS('Incoming POs'!$P$2:$P$305,'Incoming POs'!$A$2:$A$305,A50,'Incoming POs'!$B$2:$B$305,B50,'Incoming POs'!$C$2:$C$305,C50,'Incoming POs'!$G$2:$G$305,"&gt;="&amp;D50,'Incoming POs'!$G$2:$G$305,"&lt;"&amp;Dashboard!$I$5,'Incoming POs'!$Q$2:$Q$305,"&lt;="&amp;('Inventory inputs'!P50/'Inventory inputs'!J50*1.01)),"n.a.")</x:f>
        <x:v>0</x:v>
      </x:c>
      <x:c r="AC50" s="9" t="n">
        <x:f>I50*G50</x:f>
        <x:v>141.2</x:v>
      </x:c>
      <x:c r="AD50" s="9" t="n">
        <x:f>J50*G50</x:f>
        <x:v>0</x:v>
      </x:c>
      <x:c r="AE50" s="9" t="n">
        <x:f>K50*G50</x:f>
        <x:v>0</x:v>
      </x:c>
      <x:c r="AF50" s="9" t="n">
        <x:f>R50*G50</x:f>
        <x:v>110.27822638193018</x:v>
      </x:c>
    </x:row>
    <x:row r="51" ht="21" customHeight="1">
      <x:c r="A51" s="1" t="str">
        <x:f>'Inventory inputs'!A51</x:f>
        <x:v>C400</x:v>
      </x:c>
      <x:c r="B51" s="1" t="str">
        <x:f>'Inventory inputs'!B51</x:f>
        <x:v>10</x:v>
      </x:c>
      <x:c r="C51" s="1" t="str">
        <x:f>'Inventory inputs'!C51</x:f>
        <x:v>400LISC</x:v>
      </x:c>
      <x:c r="D51" s="7" t="n">
        <x:f>'Inventory inputs'!E51</x:f>
        <x:v>46303</x:v>
      </x:c>
      <x:c r="E51" s="1" t="n">
        <x:f>'Inventory inputs'!F51</x:f>
        <x:v>7300</x:v>
      </x:c>
      <x:c r="F51" s="1" t="n">
        <x:f>'Inventory inputs'!G51</x:f>
        <x:v>600</x:v>
      </x:c>
      <x:c r="G51" s="1" t="n">
        <x:f>'Inventory inputs'!H51/'Inventory inputs'!J51</x:f>
        <x:v>0.0294</x:v>
      </x:c>
      <x:c r="H51" s="1" t="n">
        <x:f>IF('Inventory inputs'!I51&gt;0,'Inventory inputs'!I51*'Inventory inputs'!K51/'Inventory inputs'!J51,"n.a.")</x:f>
        <x:v>0.0340848</x:v>
      </x:c>
      <x:c r="I51" s="1" t="n">
        <x:f>'Inventory inputs'!L51</x:f>
        <x:v>3300</x:v>
      </x:c>
      <x:c r="J51" s="1" t="n">
        <x:f>'Inventory inputs'!M51</x:f>
        <x:v>4000</x:v>
      </x:c>
      <x:c r="K51" s="1" t="n">
        <x:f>'Inventory inputs'!N51</x:f>
        <x:v>0</x:v>
      </x:c>
      <x:c r="L51" s="1" t="n">
        <x:f>'Inventory inputs'!O51</x:f>
        <x:v>1</x:v>
      </x:c>
      <x:c r="M51" s="9" t="n">
        <x:f>E51*G51</x:f>
        <x:v>214.62</x:v>
      </x:c>
      <x:c r="N51" s="9" t="n">
        <x:f>'Inventory inputs'!Q51</x:f>
        <x:v>214.62</x:v>
      </x:c>
      <x:c r="O51" s="9" t="n">
        <x:f>N51-M51</x:f>
        <x:v>0</x:v>
      </x:c>
      <x:c r="P51" s="1" t="n">
        <x:f>SUMIFS('Incoming POs'!$P$2:$P$305,'Incoming POs'!$A$2:$A$305,A51,'Incoming POs'!$B$2:$B$305,B51,'Incoming POs'!$C$2:$C$305,C51,'Incoming POs'!$G$2:$G$305,"&gt;="&amp;D51,'Incoming POs'!$G$2:$G$305,"&lt;"&amp;Dashboard!$I$5)</x:f>
        <x:v>0</x:v>
      </x:c>
      <x:c r="Q51" s="1" t="n">
        <x:f>F51*Dashboard!$L$5*MAX(0,Dashboard!$I$5-D51)/30.4375</x:f>
        <x:v>798.3572895277207</x:v>
      </x:c>
      <x:c r="R51" s="1" t="n">
        <x:f>MAX(0,E51+P51-Q51)</x:f>
        <x:v>6501.642710472279</x:v>
      </x:c>
      <x:c r="S51" s="1" t="n">
        <x:f>MAX(0,Q51-E51-P51)</x:f>
        <x:v>0</x:v>
      </x:c>
      <x:c r="T51" s="1" t="n">
        <x:f>IF(L51=1,MAX(0,I51+AB51-MIN(Q51,E51+P51)),"n.a.")</x:f>
        <x:v>2501.6427104722793</x:v>
      </x:c>
      <x:c r="U51" s="9" t="n">
        <x:f>IF(ISNUMBER(T51),T51*G51,"n.a.")</x:f>
        <x:v>73.54829568788502</x:v>
      </x:c>
      <x:c r="V51" s="25" t="n">
        <x:f>IF(Dashboard!$I$6="Flat %",1,IF(ISNUMBER(H51),1,0))</x:f>
        <x:v>1</x:v>
      </x:c>
      <x:c r="W51" s="9" t="n">
        <x:f>IF(Dashboard!$I$6="Flat %",G51*(1+Dashboard!$L$6),H51)</x:f>
        <x:v>0.0340848</x:v>
      </x:c>
      <x:c r="X51" s="9" t="n">
        <x:f>IF(V51=1,R51*(W51-G51),"n.a.")</x:f>
        <x:v>30.45889577002053</x:v>
      </x:c>
      <x:c r="Y51" s="9" t="n">
        <x:f>IF(V51=1,R51*W51,"n.a.")</x:f>
        <x:v>221.60719145790551</x:v>
      </x:c>
      <x:c r="Z51" s="1" t="n">
        <x:f>IF(ISNUMBER(T51),R51-T51,"n.a.")</x:f>
        <x:v>3999.9999999999995</x:v>
      </x:c>
      <x:c r="AA51" s="1" t="str">
        <x:f>'Inventory inputs'!R51</x:f>
        <x:v>Classified</x:v>
      </x:c>
      <x:c r="AB51" s="1" t="n">
        <x:f>IF(L51=1,SUMIFS('Incoming POs'!$P$2:$P$305,'Incoming POs'!$A$2:$A$305,A51,'Incoming POs'!$B$2:$B$305,B51,'Incoming POs'!$C$2:$C$305,C51,'Incoming POs'!$G$2:$G$305,"&gt;="&amp;D51,'Incoming POs'!$G$2:$G$305,"&lt;"&amp;Dashboard!$I$5,'Incoming POs'!$Q$2:$Q$305,"&lt;="&amp;('Inventory inputs'!P51/'Inventory inputs'!J51*1.01)),"n.a.")</x:f>
        <x:v>0</x:v>
      </x:c>
      <x:c r="AC51" s="9" t="n">
        <x:f>I51*G51</x:f>
        <x:v>97.02</x:v>
      </x:c>
      <x:c r="AD51" s="9" t="n">
        <x:f>J51*G51</x:f>
        <x:v>117.6</x:v>
      </x:c>
      <x:c r="AE51" s="9" t="n">
        <x:f>K51*G51</x:f>
        <x:v>0</x:v>
      </x:c>
      <x:c r="AF51" s="9" t="n">
        <x:f>R51*G51</x:f>
        <x:v>191.148295687885</x:v>
      </x:c>
    </x:row>
    <x:row r="52" ht="21" customHeight="1">
      <x:c r="A52" s="1" t="str">
        <x:f>'Inventory inputs'!A52</x:f>
        <x:v>C400</x:v>
      </x:c>
      <x:c r="B52" s="1" t="str">
        <x:f>'Inventory inputs'!B52</x:f>
        <x:v>60</x:v>
      </x:c>
      <x:c r="C52" s="1" t="str">
        <x:f>'Inventory inputs'!C52</x:f>
        <x:v>400HASC19P</x:v>
      </x:c>
      <x:c r="D52" s="7" t="n">
        <x:f>'Inventory inputs'!E52</x:f>
        <x:v>46303</x:v>
      </x:c>
      <x:c r="E52" s="1" t="n">
        <x:f>'Inventory inputs'!F52</x:f>
        <x:v>11000</x:v>
      </x:c>
      <x:c r="F52" s="1" t="n">
        <x:f>'Inventory inputs'!G52</x:f>
        <x:v>566.67</x:v>
      </x:c>
      <x:c r="G52" s="1" t="n">
        <x:f>'Inventory inputs'!H52/'Inventory inputs'!J52</x:f>
        <x:v>0.0608</x:v>
      </x:c>
      <x:c r="H52" s="1" t="n">
        <x:f>IF('Inventory inputs'!I52&gt;0,'Inventory inputs'!I52*'Inventory inputs'!K52/'Inventory inputs'!J52,"n.a.")</x:f>
        <x:v>0.0703872</x:v>
      </x:c>
      <x:c r="I52" s="1" t="n">
        <x:f>'Inventory inputs'!L52</x:f>
        <x:v>1000</x:v>
      </x:c>
      <x:c r="J52" s="1" t="n">
        <x:f>'Inventory inputs'!M52</x:f>
        <x:v>10000</x:v>
      </x:c>
      <x:c r="K52" s="1" t="n">
        <x:f>'Inventory inputs'!N52</x:f>
        <x:v>0</x:v>
      </x:c>
      <x:c r="L52" s="1" t="n">
        <x:f>'Inventory inputs'!O52</x:f>
        <x:v>1</x:v>
      </x:c>
      <x:c r="M52" s="9" t="n">
        <x:f>E52*G52</x:f>
        <x:v>668.8</x:v>
      </x:c>
      <x:c r="N52" s="9" t="n">
        <x:f>'Inventory inputs'!Q52</x:f>
        <x:v>668.8000000000001</x:v>
      </x:c>
      <x:c r="O52" s="9" t="n">
        <x:f>N52-M52</x:f>
        <x:v>1.1368683772161603e-13</x:v>
      </x:c>
      <x:c r="P52" s="1" t="n">
        <x:f>SUMIFS('Incoming POs'!$P$2:$P$305,'Incoming POs'!$A$2:$A$305,A52,'Incoming POs'!$B$2:$B$305,B52,'Incoming POs'!$C$2:$C$305,C52,'Incoming POs'!$G$2:$G$305,"&gt;="&amp;D52,'Incoming POs'!$G$2:$G$305,"&lt;"&amp;Dashboard!$I$5)</x:f>
        <x:v>0</x:v>
      </x:c>
      <x:c r="Q52" s="1" t="n">
        <x:f>F52*Dashboard!$L$5*MAX(0,Dashboard!$I$5-D52)/30.4375</x:f>
        <x:v>754.0085420944558</x:v>
      </x:c>
      <x:c r="R52" s="1" t="n">
        <x:f>MAX(0,E52+P52-Q52)</x:f>
        <x:v>10245.991457905544</x:v>
      </x:c>
      <x:c r="S52" s="1" t="n">
        <x:f>MAX(0,Q52-E52-P52)</x:f>
        <x:v>0</x:v>
      </x:c>
      <x:c r="T52" s="1" t="n">
        <x:f>IF(L52=1,MAX(0,I52+AB52-MIN(Q52,E52+P52)),"n.a.")</x:f>
        <x:v>245.99145790554417</x:v>
      </x:c>
      <x:c r="U52" s="9" t="n">
        <x:f>IF(ISNUMBER(T52),T52*G52,"n.a.")</x:f>
        <x:v>14.956280640657086</x:v>
      </x:c>
      <x:c r="V52" s="25" t="n">
        <x:f>IF(Dashboard!$I$6="Flat %",1,IF(ISNUMBER(H52),1,0))</x:f>
        <x:v>1</x:v>
      </x:c>
      <x:c r="W52" s="9" t="n">
        <x:f>IF(Dashboard!$I$6="Flat %",G52*(1+Dashboard!$L$6),H52)</x:f>
        <x:v>0.0703872</x:v>
      </x:c>
      <x:c r="X52" s="9" t="n">
        <x:f>IF(V52=1,R52*(W52-G52),"n.a.")</x:f>
        <x:v>98.230369305232</x:v>
      </x:c>
      <x:c r="Y52" s="9" t="n">
        <x:f>IF(V52=1,R52*W52,"n.a.")</x:f>
        <x:v>721.186649945889</x:v>
      </x:c>
      <x:c r="Z52" s="1" t="n">
        <x:f>IF(ISNUMBER(T52),R52-T52,"n.a.")</x:f>
        <x:v>10000</x:v>
      </x:c>
      <x:c r="AA52" s="1" t="str">
        <x:f>'Inventory inputs'!R52</x:f>
        <x:v>Classified</x:v>
      </x:c>
      <x:c r="AB52" s="1" t="n">
        <x:f>IF(L52=1,SUMIFS('Incoming POs'!$P$2:$P$305,'Incoming POs'!$A$2:$A$305,A52,'Incoming POs'!$B$2:$B$305,B52,'Incoming POs'!$C$2:$C$305,C52,'Incoming POs'!$G$2:$G$305,"&gt;="&amp;D52,'Incoming POs'!$G$2:$G$305,"&lt;"&amp;Dashboard!$I$5,'Incoming POs'!$Q$2:$Q$305,"&lt;="&amp;('Inventory inputs'!P52/'Inventory inputs'!J52*1.01)),"n.a.")</x:f>
        <x:v>0</x:v>
      </x:c>
      <x:c r="AC52" s="9" t="n">
        <x:f>I52*G52</x:f>
        <x:v>60.8</x:v>
      </x:c>
      <x:c r="AD52" s="9" t="n">
        <x:f>J52*G52</x:f>
        <x:v>608</x:v>
      </x:c>
      <x:c r="AE52" s="9" t="n">
        <x:f>K52*G52</x:f>
        <x:v>0</x:v>
      </x:c>
      <x:c r="AF52" s="9" t="n">
        <x:f>R52*G52</x:f>
        <x:v>622.956280640657</x:v>
      </x:c>
    </x:row>
    <x:row r="53" ht="21" customHeight="1">
      <x:c r="A53" s="1" t="str">
        <x:f>'Inventory inputs'!A53</x:f>
        <x:v>C400</x:v>
      </x:c>
      <x:c r="B53" s="1" t="str">
        <x:f>'Inventory inputs'!B53</x:f>
        <x:v>10</x:v>
      </x:c>
      <x:c r="C53" s="1" t="str">
        <x:f>'Inventory inputs'!C53</x:f>
        <x:v>400MBRC</x:v>
      </x:c>
      <x:c r="D53" s="7" t="n">
        <x:f>'Inventory inputs'!E53</x:f>
        <x:v>46303</x:v>
      </x:c>
      <x:c r="E53" s="1" t="n">
        <x:f>'Inventory inputs'!F53</x:f>
        <x:v>7000</x:v>
      </x:c>
      <x:c r="F53" s="1" t="n">
        <x:f>'Inventory inputs'!G53</x:f>
        <x:v>533.33</x:v>
      </x:c>
      <x:c r="G53" s="1" t="n">
        <x:f>'Inventory inputs'!H53/'Inventory inputs'!J53</x:f>
        <x:v>0.04190000000000001</x:v>
      </x:c>
      <x:c r="H53" s="1" t="n">
        <x:f>IF('Inventory inputs'!I53&gt;0,'Inventory inputs'!I53*'Inventory inputs'!K53/'Inventory inputs'!J53,"n.a.")</x:f>
        <x:v>0.0485568</x:v>
      </x:c>
      <x:c r="I53" s="1" t="n">
        <x:f>'Inventory inputs'!L53</x:f>
        <x:v>2000</x:v>
      </x:c>
      <x:c r="J53" s="1" t="n">
        <x:f>'Inventory inputs'!M53</x:f>
        <x:v>5000</x:v>
      </x:c>
      <x:c r="K53" s="1" t="n">
        <x:f>'Inventory inputs'!N53</x:f>
        <x:v>0</x:v>
      </x:c>
      <x:c r="L53" s="1" t="n">
        <x:f>'Inventory inputs'!O53</x:f>
        <x:v>1</x:v>
      </x:c>
      <x:c r="M53" s="9" t="n">
        <x:f>E53*G53</x:f>
        <x:v>293.30000000000007</x:v>
      </x:c>
      <x:c r="N53" s="9" t="n">
        <x:f>'Inventory inputs'!Q53</x:f>
        <x:v>293.30000000000007</x:v>
      </x:c>
      <x:c r="O53" s="9" t="n">
        <x:f>N53-M53</x:f>
        <x:v>0</x:v>
      </x:c>
      <x:c r="P53" s="1" t="n">
        <x:f>SUMIFS('Incoming POs'!$P$2:$P$305,'Incoming POs'!$A$2:$A$305,A53,'Incoming POs'!$B$2:$B$305,B53,'Incoming POs'!$C$2:$C$305,C53,'Incoming POs'!$G$2:$G$305,"&gt;="&amp;D53,'Incoming POs'!$G$2:$G$305,"&lt;"&amp;Dashboard!$I$5)</x:f>
        <x:v>0</x:v>
      </x:c>
      <x:c r="Q53" s="1" t="n">
        <x:f>F53*Dashboard!$L$5*MAX(0,Dashboard!$I$5-D53)/30.4375</x:f>
        <x:v>709.6464887063655</x:v>
      </x:c>
      <x:c r="R53" s="1" t="n">
        <x:f>MAX(0,E53+P53-Q53)</x:f>
        <x:v>6290.353511293634</x:v>
      </x:c>
      <x:c r="S53" s="1" t="n">
        <x:f>MAX(0,Q53-E53-P53)</x:f>
        <x:v>0</x:v>
      </x:c>
      <x:c r="T53" s="1" t="n">
        <x:f>IF(L53=1,MAX(0,I53+AB53-MIN(Q53,E53+P53)),"n.a.")</x:f>
        <x:v>1290.3535112936345</x:v>
      </x:c>
      <x:c r="U53" s="9" t="n">
        <x:f>IF(ISNUMBER(T53),T53*G53,"n.a.")</x:f>
        <x:v>54.065812123203294</x:v>
      </x:c>
      <x:c r="V53" s="25" t="n">
        <x:f>IF(Dashboard!$I$6="Flat %",1,IF(ISNUMBER(H53),1,0))</x:f>
        <x:v>1</x:v>
      </x:c>
      <x:c r="W53" s="9" t="n">
        <x:f>IF(Dashboard!$I$6="Flat %",G53*(1+Dashboard!$L$6),H53)</x:f>
        <x:v>0.0485568</x:v>
      </x:c>
      <x:c r="X53" s="9" t="n">
        <x:f>IF(V53=1,R53*(W53-G53),"n.a.")</x:f>
        <x:v>41.873625253979405</x:v>
      </x:c>
      <x:c r="Y53" s="9" t="n">
        <x:f>IF(V53=1,R53*W53,"n.a.")</x:f>
        <x:v>305.43943737718274</x:v>
      </x:c>
      <x:c r="Z53" s="1" t="n">
        <x:f>IF(ISNUMBER(T53),R53-T53,"n.a.")</x:f>
        <x:v>5000</x:v>
      </x:c>
      <x:c r="AA53" s="1" t="str">
        <x:f>'Inventory inputs'!R53</x:f>
        <x:v>Classified</x:v>
      </x:c>
      <x:c r="AB53" s="1" t="n">
        <x:f>IF(L53=1,SUMIFS('Incoming POs'!$P$2:$P$305,'Incoming POs'!$A$2:$A$305,A53,'Incoming POs'!$B$2:$B$305,B53,'Incoming POs'!$C$2:$C$305,C53,'Incoming POs'!$G$2:$G$305,"&gt;="&amp;D53,'Incoming POs'!$G$2:$G$305,"&lt;"&amp;Dashboard!$I$5,'Incoming POs'!$Q$2:$Q$305,"&lt;="&amp;('Inventory inputs'!P53/'Inventory inputs'!J53*1.01)),"n.a.")</x:f>
        <x:v>0</x:v>
      </x:c>
      <x:c r="AC53" s="9" t="n">
        <x:f>I53*G53</x:f>
        <x:v>83.80000000000001</x:v>
      </x:c>
      <x:c r="AD53" s="9" t="n">
        <x:f>J53*G53</x:f>
        <x:v>209.50000000000003</x:v>
      </x:c>
      <x:c r="AE53" s="9" t="n">
        <x:f>K53*G53</x:f>
        <x:v>0</x:v>
      </x:c>
      <x:c r="AF53" s="9" t="n">
        <x:f>R53*G53</x:f>
        <x:v>263.56581212320333</x:v>
      </x:c>
    </x:row>
    <x:row r="54" ht="21" customHeight="1">
      <x:c r="A54" s="1" t="str">
        <x:f>'Inventory inputs'!A54</x:f>
        <x:v>C400</x:v>
      </x:c>
      <x:c r="B54" s="1" t="str">
        <x:f>'Inventory inputs'!B54</x:f>
        <x:v>10</x:v>
      </x:c>
      <x:c r="C54" s="1" t="str">
        <x:f>'Inventory inputs'!C54</x:f>
        <x:v>400HME</x:v>
      </x:c>
      <x:c r="D54" s="7" t="n">
        <x:f>'Inventory inputs'!E54</x:f>
        <x:v>46303</x:v>
      </x:c>
      <x:c r="E54" s="1" t="n">
        <x:f>'Inventory inputs'!F54</x:f>
        <x:v>4072</x:v>
      </x:c>
      <x:c r="F54" s="1" t="n">
        <x:f>'Inventory inputs'!G54</x:f>
        <x:v>500.25</x:v>
      </x:c>
      <x:c r="G54" s="1" t="n">
        <x:f>'Inventory inputs'!H54/'Inventory inputs'!J54</x:f>
        <x:v>0.38880000000000003</x:v>
      </x:c>
      <x:c r="H54" s="1" t="n">
        <x:f>IF('Inventory inputs'!I54&gt;0,'Inventory inputs'!I54*'Inventory inputs'!K54/'Inventory inputs'!J54,"n.a.")</x:f>
        <x:v>0.45031679999999996</x:v>
      </x:c>
      <x:c r="I54" s="1" t="n">
        <x:f>'Inventory inputs'!L54</x:f>
        <x:v>72</x:v>
      </x:c>
      <x:c r="J54" s="1" t="n">
        <x:f>'Inventory inputs'!M54</x:f>
        <x:v>4000</x:v>
      </x:c>
      <x:c r="K54" s="1" t="n">
        <x:f>'Inventory inputs'!N54</x:f>
        <x:v>0</x:v>
      </x:c>
      <x:c r="L54" s="1" t="n">
        <x:f>'Inventory inputs'!O54</x:f>
        <x:v>1</x:v>
      </x:c>
      <x:c r="M54" s="9" t="n">
        <x:f>E54*G54</x:f>
        <x:v>1583.1936</x:v>
      </x:c>
      <x:c r="N54" s="9" t="n">
        <x:f>'Inventory inputs'!Q54</x:f>
        <x:v>1583.1936000000003</x:v>
      </x:c>
      <x:c r="O54" s="9" t="n">
        <x:f>N54-M54</x:f>
        <x:v>2.2737367544323206e-13</x:v>
      </x:c>
      <x:c r="P54" s="1" t="n">
        <x:f>SUMIFS('Incoming POs'!$P$2:$P$305,'Incoming POs'!$A$2:$A$305,A54,'Incoming POs'!$B$2:$B$305,B54,'Incoming POs'!$C$2:$C$305,C54,'Incoming POs'!$G$2:$G$305,"&gt;="&amp;D54,'Incoming POs'!$G$2:$G$305,"&lt;"&amp;Dashboard!$I$5)</x:f>
        <x:v>0</x:v>
      </x:c>
      <x:c r="Q54" s="1" t="n">
        <x:f>F54*Dashboard!$L$5*MAX(0,Dashboard!$I$5-D54)/30.4375</x:f>
        <x:v>665.6303901437371</x:v>
      </x:c>
      <x:c r="R54" s="1" t="n">
        <x:f>MAX(0,E54+P54-Q54)</x:f>
        <x:v>3406.3696098562627</x:v>
      </x:c>
      <x:c r="S54" s="1" t="n">
        <x:f>MAX(0,Q54-E54-P54)</x:f>
        <x:v>0</x:v>
      </x:c>
      <x:c r="T54" s="1" t="n">
        <x:f>IF(L54=1,MAX(0,I54+AB54-MIN(Q54,E54+P54)),"n.a.")</x:f>
        <x:v>0</x:v>
      </x:c>
      <x:c r="U54" s="9" t="n">
        <x:f>IF(ISNUMBER(T54),T54*G54,"n.a.")</x:f>
        <x:v>0</x:v>
      </x:c>
      <x:c r="V54" s="25" t="n">
        <x:f>IF(Dashboard!$I$6="Flat %",1,IF(ISNUMBER(H54),1,0))</x:f>
        <x:v>1</x:v>
      </x:c>
      <x:c r="W54" s="9" t="n">
        <x:f>IF(Dashboard!$I$6="Flat %",G54*(1+Dashboard!$L$6),H54)</x:f>
        <x:v>0.45031679999999996</x:v>
      </x:c>
      <x:c r="X54" s="9" t="n">
        <x:f>IF(V54=1,R54*(W54-G54),"n.a.")</x:f>
        <x:v>209.5489580156055</x:v>
      </x:c>
      <x:c r="Y54" s="9" t="n">
        <x:f>IF(V54=1,R54*W54,"n.a.")</x:f>
        <x:v>1533.9454623277206</x:v>
      </x:c>
      <x:c r="Z54" s="1" t="n">
        <x:f>IF(ISNUMBER(T54),R54-T54,"n.a.")</x:f>
        <x:v>3406.3696098562627</x:v>
      </x:c>
      <x:c r="AA54" s="1" t="str">
        <x:f>'Inventory inputs'!R54</x:f>
        <x:v>Classified</x:v>
      </x:c>
      <x:c r="AB54" s="1" t="n">
        <x:f>IF(L54=1,SUMIFS('Incoming POs'!$P$2:$P$305,'Incoming POs'!$A$2:$A$305,A54,'Incoming POs'!$B$2:$B$305,B54,'Incoming POs'!$C$2:$C$305,C54,'Incoming POs'!$G$2:$G$305,"&gt;="&amp;D54,'Incoming POs'!$G$2:$G$305,"&lt;"&amp;Dashboard!$I$5,'Incoming POs'!$Q$2:$Q$305,"&lt;="&amp;('Inventory inputs'!P54/'Inventory inputs'!J54*1.01)),"n.a.")</x:f>
        <x:v>0</x:v>
      </x:c>
      <x:c r="AC54" s="9" t="n">
        <x:f>I54*G54</x:f>
        <x:v>27.9936</x:v>
      </x:c>
      <x:c r="AD54" s="9" t="n">
        <x:f>J54*G54</x:f>
        <x:v>1555.2</x:v>
      </x:c>
      <x:c r="AE54" s="9" t="n">
        <x:f>K54*G54</x:f>
        <x:v>0</x:v>
      </x:c>
      <x:c r="AF54" s="9" t="n">
        <x:f>R54*G54</x:f>
        <x:v>1324.396504312115</x:v>
      </x:c>
    </x:row>
    <x:row r="55" ht="21" customHeight="1">
      <x:c r="A55" s="1" t="str">
        <x:f>'Inventory inputs'!A55</x:f>
        <x:v>C400</x:v>
      </x:c>
      <x:c r="B55" s="1" t="str">
        <x:f>'Inventory inputs'!B55</x:f>
        <x:v>10</x:v>
      </x:c>
      <x:c r="C55" s="1" t="str">
        <x:f>'Inventory inputs'!C55</x:f>
        <x:v>400HBRC19P</x:v>
      </x:c>
      <x:c r="D55" s="7" t="n">
        <x:f>'Inventory inputs'!E55</x:f>
        <x:v>46303</x:v>
      </x:c>
      <x:c r="E55" s="1" t="n">
        <x:f>'Inventory inputs'!F55</x:f>
        <x:v>9800</x:v>
      </x:c>
      <x:c r="F55" s="1" t="n">
        <x:f>'Inventory inputs'!G55</x:f>
        <x:v>500</x:v>
      </x:c>
      <x:c r="G55" s="1" t="n">
        <x:f>'Inventory inputs'!H55/'Inventory inputs'!J55</x:f>
        <x:v>0.0652</x:v>
      </x:c>
      <x:c r="H55" s="1" t="n">
        <x:f>IF('Inventory inputs'!I55&gt;0,'Inventory inputs'!I55*'Inventory inputs'!K55/'Inventory inputs'!J55,"n.a.")</x:f>
        <x:v>0.07547039999999999</x:v>
      </x:c>
      <x:c r="I55" s="1" t="n">
        <x:f>'Inventory inputs'!L55</x:f>
        <x:v>0</x:v>
      </x:c>
      <x:c r="J55" s="1" t="n">
        <x:f>'Inventory inputs'!M55</x:f>
        <x:v>9800</x:v>
      </x:c>
      <x:c r="K55" s="1" t="n">
        <x:f>'Inventory inputs'!N55</x:f>
        <x:v>0</x:v>
      </x:c>
      <x:c r="L55" s="1" t="n">
        <x:f>'Inventory inputs'!O55</x:f>
        <x:v>1</x:v>
      </x:c>
      <x:c r="M55" s="9" t="n">
        <x:f>E55*G55</x:f>
        <x:v>638.9599999999999</x:v>
      </x:c>
      <x:c r="N55" s="9" t="n">
        <x:f>'Inventory inputs'!Q55</x:f>
        <x:v>638.9599999999999</x:v>
      </x:c>
      <x:c r="O55" s="9" t="n">
        <x:f>N55-M55</x:f>
        <x:v>0</x:v>
      </x:c>
      <x:c r="P55" s="1" t="n">
        <x:f>SUMIFS('Incoming POs'!$P$2:$P$305,'Incoming POs'!$A$2:$A$305,A55,'Incoming POs'!$B$2:$B$305,B55,'Incoming POs'!$C$2:$C$305,C55,'Incoming POs'!$G$2:$G$305,"&gt;="&amp;D55,'Incoming POs'!$G$2:$G$305,"&lt;"&amp;Dashboard!$I$5)</x:f>
        <x:v>0</x:v>
      </x:c>
      <x:c r="Q55" s="1" t="n">
        <x:f>F55*Dashboard!$L$5*MAX(0,Dashboard!$I$5-D55)/30.4375</x:f>
        <x:v>665.2977412731007</x:v>
      </x:c>
      <x:c r="R55" s="1" t="n">
        <x:f>MAX(0,E55+P55-Q55)</x:f>
        <x:v>9134.702258726898</x:v>
      </x:c>
      <x:c r="S55" s="1" t="n">
        <x:f>MAX(0,Q55-E55-P55)</x:f>
        <x:v>0</x:v>
      </x:c>
      <x:c r="T55" s="1" t="n">
        <x:f>IF(L55=1,MAX(0,I55+AB55-MIN(Q55,E55+P55)),"n.a.")</x:f>
        <x:v>0</x:v>
      </x:c>
      <x:c r="U55" s="9" t="n">
        <x:f>IF(ISNUMBER(T55),T55*G55,"n.a.")</x:f>
        <x:v>0</x:v>
      </x:c>
      <x:c r="V55" s="25" t="n">
        <x:f>IF(Dashboard!$I$6="Flat %",1,IF(ISNUMBER(H55),1,0))</x:f>
        <x:v>1</x:v>
      </x:c>
      <x:c r="W55" s="9" t="n">
        <x:f>IF(Dashboard!$I$6="Flat %",G55*(1+Dashboard!$L$6),H55)</x:f>
        <x:v>0.07547039999999999</x:v>
      </x:c>
      <x:c r="X55" s="9" t="n">
        <x:f>IF(V55=1,R55*(W55-G55),"n.a.")</x:f>
        <x:v>93.81704607802872</x:v>
      </x:c>
      <x:c r="Y55" s="9" t="n">
        <x:f>IF(V55=1,R55*W55,"n.a.")</x:f>
        <x:v>689.3996333470225</x:v>
      </x:c>
      <x:c r="Z55" s="1" t="n">
        <x:f>IF(ISNUMBER(T55),R55-T55,"n.a.")</x:f>
        <x:v>9134.702258726898</x:v>
      </x:c>
      <x:c r="AA55" s="1" t="str">
        <x:f>'Inventory inputs'!R55</x:f>
        <x:v>Classified</x:v>
      </x:c>
      <x:c r="AB55" s="1" t="n">
        <x:f>IF(L55=1,SUMIFS('Incoming POs'!$P$2:$P$305,'Incoming POs'!$A$2:$A$305,A55,'Incoming POs'!$B$2:$B$305,B55,'Incoming POs'!$C$2:$C$305,C55,'Incoming POs'!$G$2:$G$305,"&gt;="&amp;D55,'Incoming POs'!$G$2:$G$305,"&lt;"&amp;Dashboard!$I$5,'Incoming POs'!$Q$2:$Q$305,"&lt;="&amp;('Inventory inputs'!P55/'Inventory inputs'!J55*1.01)),"n.a.")</x:f>
        <x:v>0</x:v>
      </x:c>
      <x:c r="AC55" s="9" t="n">
        <x:f>I55*G55</x:f>
        <x:v>0</x:v>
      </x:c>
      <x:c r="AD55" s="9" t="n">
        <x:f>J55*G55</x:f>
        <x:v>638.9599999999999</x:v>
      </x:c>
      <x:c r="AE55" s="9" t="n">
        <x:f>K55*G55</x:f>
        <x:v>0</x:v>
      </x:c>
      <x:c r="AF55" s="9" t="n">
        <x:f>R55*G55</x:f>
        <x:v>595.5825872689937</x:v>
      </x:c>
    </x:row>
    <x:row r="56" ht="21" customHeight="1">
      <x:c r="A56" s="1" t="str">
        <x:f>'Inventory inputs'!A56</x:f>
        <x:v>C400</x:v>
      </x:c>
      <x:c r="B56" s="1" t="str">
        <x:f>'Inventory inputs'!B56</x:f>
        <x:v>60</x:v>
      </x:c>
      <x:c r="C56" s="1" t="str">
        <x:f>'Inventory inputs'!C56</x:f>
        <x:v>400ME</x:v>
      </x:c>
      <x:c r="D56" s="7" t="n">
        <x:f>'Inventory inputs'!E56</x:f>
        <x:v>46303</x:v>
      </x:c>
      <x:c r="E56" s="1" t="n">
        <x:f>'Inventory inputs'!F56</x:f>
        <x:v>5145</x:v>
      </x:c>
      <x:c r="F56" s="1" t="n">
        <x:f>'Inventory inputs'!G56</x:f>
        <x:v>495.67</x:v>
      </x:c>
      <x:c r="G56" s="1" t="n">
        <x:f>'Inventory inputs'!H56/'Inventory inputs'!J56</x:f>
        <x:v>0.33549999999999996</x:v>
      </x:c>
      <x:c r="H56" s="1" t="n">
        <x:f>IF('Inventory inputs'!I56&gt;0,'Inventory inputs'!I56*'Inventory inputs'!K56/'Inventory inputs'!J56,"n.a.")</x:f>
        <x:v>0.388584</x:v>
      </x:c>
      <x:c r="I56" s="1" t="n">
        <x:f>'Inventory inputs'!L56</x:f>
        <x:v>3145</x:v>
      </x:c>
      <x:c r="J56" s="1" t="n">
        <x:f>'Inventory inputs'!M56</x:f>
        <x:v>2000</x:v>
      </x:c>
      <x:c r="K56" s="1" t="n">
        <x:f>'Inventory inputs'!N56</x:f>
        <x:v>0</x:v>
      </x:c>
      <x:c r="L56" s="1" t="n">
        <x:f>'Inventory inputs'!O56</x:f>
        <x:v>1</x:v>
      </x:c>
      <x:c r="M56" s="9" t="n">
        <x:f>E56*G56</x:f>
        <x:v>1726.1474999999998</x:v>
      </x:c>
      <x:c r="N56" s="9" t="n">
        <x:f>'Inventory inputs'!Q56</x:f>
        <x:v>1726.1474999999998</x:v>
      </x:c>
      <x:c r="O56" s="9" t="n">
        <x:f>N56-M56</x:f>
        <x:v>0</x:v>
      </x:c>
      <x:c r="P56" s="1" t="n">
        <x:f>SUMIFS('Incoming POs'!$P$2:$P$305,'Incoming POs'!$A$2:$A$305,A56,'Incoming POs'!$B$2:$B$305,B56,'Incoming POs'!$C$2:$C$305,C56,'Incoming POs'!$G$2:$G$305,"&gt;="&amp;D56,'Incoming POs'!$G$2:$G$305,"&lt;"&amp;Dashboard!$I$5)</x:f>
        <x:v>0</x:v>
      </x:c>
      <x:c r="Q56" s="1" t="n">
        <x:f>F56*Dashboard!$L$5*MAX(0,Dashboard!$I$5-D56)/30.4375</x:f>
        <x:v>659.5362628336756</x:v>
      </x:c>
      <x:c r="R56" s="1" t="n">
        <x:f>MAX(0,E56+P56-Q56)</x:f>
        <x:v>4485.463737166325</x:v>
      </x:c>
      <x:c r="S56" s="1" t="n">
        <x:f>MAX(0,Q56-E56-P56)</x:f>
        <x:v>0</x:v>
      </x:c>
      <x:c r="T56" s="1" t="n">
        <x:f>IF(L56=1,MAX(0,I56+AB56-MIN(Q56,E56+P56)),"n.a.")</x:f>
        <x:v>2485.4637371663243</x:v>
      </x:c>
      <x:c r="U56" s="9" t="n">
        <x:f>IF(ISNUMBER(T56),T56*G56,"n.a.")</x:f>
        <x:v>833.8730838193018</x:v>
      </x:c>
      <x:c r="V56" s="25" t="n">
        <x:f>IF(Dashboard!$I$6="Flat %",1,IF(ISNUMBER(H56),1,0))</x:f>
        <x:v>1</x:v>
      </x:c>
      <x:c r="W56" s="9" t="n">
        <x:f>IF(Dashboard!$I$6="Flat %",G56*(1+Dashboard!$L$6),H56)</x:f>
        <x:v>0.388584</x:v>
      </x:c>
      <x:c r="X56" s="9" t="n">
        <x:f>IF(V56=1,R56*(W56-G56),"n.a.")</x:f>
        <x:v>238.10635702373727</x:v>
      </x:c>
      <x:c r="Y56" s="9" t="n">
        <x:f>IF(V56=1,R56*W56,"n.a.")</x:f>
        <x:v>1742.9794408430391</x:v>
      </x:c>
      <x:c r="Z56" s="1" t="n">
        <x:f>IF(ISNUMBER(T56),R56-T56,"n.a.")</x:f>
        <x:v>2000.0000000000005</x:v>
      </x:c>
      <x:c r="AA56" s="1" t="str">
        <x:f>'Inventory inputs'!R56</x:f>
        <x:v>Classified</x:v>
      </x:c>
      <x:c r="AB56" s="1" t="n">
        <x:f>IF(L56=1,SUMIFS('Incoming POs'!$P$2:$P$305,'Incoming POs'!$A$2:$A$305,A56,'Incoming POs'!$B$2:$B$305,B56,'Incoming POs'!$C$2:$C$305,C56,'Incoming POs'!$G$2:$G$305,"&gt;="&amp;D56,'Incoming POs'!$G$2:$G$305,"&lt;"&amp;Dashboard!$I$5,'Incoming POs'!$Q$2:$Q$305,"&lt;="&amp;('Inventory inputs'!P56/'Inventory inputs'!J56*1.01)),"n.a.")</x:f>
        <x:v>0</x:v>
      </x:c>
      <x:c r="AC56" s="9" t="n">
        <x:f>I56*G56</x:f>
        <x:v>1055.1474999999998</x:v>
      </x:c>
      <x:c r="AD56" s="9" t="n">
        <x:f>J56*G56</x:f>
        <x:v>670.9999999999999</x:v>
      </x:c>
      <x:c r="AE56" s="9" t="n">
        <x:f>K56*G56</x:f>
        <x:v>0</x:v>
      </x:c>
      <x:c r="AF56" s="9" t="n">
        <x:f>R56*G56</x:f>
        <x:v>1504.8730838193019</x:v>
      </x:c>
    </x:row>
    <x:row r="57" ht="21" customHeight="1">
      <x:c r="A57" s="1" t="str">
        <x:f>'Inventory inputs'!A57</x:f>
        <x:v>C400</x:v>
      </x:c>
      <x:c r="B57" s="1" t="str">
        <x:f>'Inventory inputs'!B57</x:f>
        <x:v>30</x:v>
      </x:c>
      <x:c r="C57" s="1" t="str">
        <x:f>'Inventory inputs'!C57</x:f>
        <x:v>400MISC</x:v>
      </x:c>
      <x:c r="D57" s="7" t="n">
        <x:f>'Inventory inputs'!E57</x:f>
        <x:v>46303</x:v>
      </x:c>
      <x:c r="E57" s="1" t="n">
        <x:f>'Inventory inputs'!F57</x:f>
        <x:v>13100</x:v>
      </x:c>
      <x:c r="F57" s="1" t="n">
        <x:f>'Inventory inputs'!G57</x:f>
        <x:v>458.33</x:v>
      </x:c>
      <x:c r="G57" s="1" t="n">
        <x:f>'Inventory inputs'!H57/'Inventory inputs'!J57</x:f>
        <x:v>0.0412</x:v>
      </x:c>
      <x:c r="H57" s="1" t="n">
        <x:f>IF('Inventory inputs'!I57&gt;0,'Inventory inputs'!I57*'Inventory inputs'!K57/'Inventory inputs'!J57,"n.a.")</x:f>
        <x:v>0.047736</x:v>
      </x:c>
      <x:c r="I57" s="1" t="n">
        <x:f>'Inventory inputs'!L57</x:f>
        <x:v>13100</x:v>
      </x:c>
      <x:c r="J57" s="1" t="n">
        <x:f>'Inventory inputs'!M57</x:f>
        <x:v>0</x:v>
      </x:c>
      <x:c r="K57" s="1" t="n">
        <x:f>'Inventory inputs'!N57</x:f>
        <x:v>0</x:v>
      </x:c>
      <x:c r="L57" s="1" t="n">
        <x:f>'Inventory inputs'!O57</x:f>
        <x:v>1</x:v>
      </x:c>
      <x:c r="M57" s="9" t="n">
        <x:f>E57*G57</x:f>
        <x:v>539.72</x:v>
      </x:c>
      <x:c r="N57" s="9" t="n">
        <x:f>'Inventory inputs'!Q57</x:f>
        <x:v>539.72</x:v>
      </x:c>
      <x:c r="O57" s="9" t="n">
        <x:f>N57-M57</x:f>
        <x:v>0</x:v>
      </x:c>
      <x:c r="P57" s="1" t="n">
        <x:f>SUMIFS('Incoming POs'!$P$2:$P$305,'Incoming POs'!$A$2:$A$305,A57,'Incoming POs'!$B$2:$B$305,B57,'Incoming POs'!$C$2:$C$305,C57,'Incoming POs'!$G$2:$G$305,"&gt;="&amp;D57,'Incoming POs'!$G$2:$G$305,"&lt;"&amp;Dashboard!$I$5)</x:f>
        <x:v>0</x:v>
      </x:c>
      <x:c r="Q57" s="1" t="n">
        <x:f>F57*Dashboard!$L$5*MAX(0,Dashboard!$I$5-D57)/30.4375</x:f>
        <x:v>609.8518275154005</x:v>
      </x:c>
      <x:c r="R57" s="1" t="n">
        <x:f>MAX(0,E57+P57-Q57)</x:f>
        <x:v>12490.1481724846</x:v>
      </x:c>
      <x:c r="S57" s="1" t="n">
        <x:f>MAX(0,Q57-E57-P57)</x:f>
        <x:v>0</x:v>
      </x:c>
      <x:c r="T57" s="1" t="n">
        <x:f>IF(L57=1,MAX(0,I57+AB57-MIN(Q57,E57+P57)),"n.a.")</x:f>
        <x:v>12490.1481724846</x:v>
      </x:c>
      <x:c r="U57" s="9" t="n">
        <x:f>IF(ISNUMBER(T57),T57*G57,"n.a.")</x:f>
        <x:v>514.5941047063656</x:v>
      </x:c>
      <x:c r="V57" s="25" t="n">
        <x:f>IF(Dashboard!$I$6="Flat %",1,IF(ISNUMBER(H57),1,0))</x:f>
        <x:v>1</x:v>
      </x:c>
      <x:c r="W57" s="9" t="n">
        <x:f>IF(Dashboard!$I$6="Flat %",G57*(1+Dashboard!$L$6),H57)</x:f>
        <x:v>0.047736</x:v>
      </x:c>
      <x:c r="X57" s="9" t="n">
        <x:f>IF(V57=1,R57*(W57-G57),"n.a.")</x:f>
        <x:v>81.63560845535935</x:v>
      </x:c>
      <x:c r="Y57" s="9" t="n">
        <x:f>IF(V57=1,R57*W57,"n.a.")</x:f>
        <x:v>596.2297131617248</x:v>
      </x:c>
      <x:c r="Z57" s="1" t="n">
        <x:f>IF(ISNUMBER(T57),R57-T57,"n.a.")</x:f>
        <x:v>0</x:v>
      </x:c>
      <x:c r="AA57" s="1" t="str">
        <x:f>'Inventory inputs'!R57</x:f>
        <x:v>Classified</x:v>
      </x:c>
      <x:c r="AB57" s="1" t="n">
        <x:f>IF(L57=1,SUMIFS('Incoming POs'!$P$2:$P$305,'Incoming POs'!$A$2:$A$305,A57,'Incoming POs'!$B$2:$B$305,B57,'Incoming POs'!$C$2:$C$305,C57,'Incoming POs'!$G$2:$G$305,"&gt;="&amp;D57,'Incoming POs'!$G$2:$G$305,"&lt;"&amp;Dashboard!$I$5,'Incoming POs'!$Q$2:$Q$305,"&lt;="&amp;('Inventory inputs'!P57/'Inventory inputs'!J57*1.01)),"n.a.")</x:f>
        <x:v>0</x:v>
      </x:c>
      <x:c r="AC57" s="9" t="n">
        <x:f>I57*G57</x:f>
        <x:v>539.72</x:v>
      </x:c>
      <x:c r="AD57" s="9" t="n">
        <x:f>J57*G57</x:f>
        <x:v>0</x:v>
      </x:c>
      <x:c r="AE57" s="9" t="n">
        <x:f>K57*G57</x:f>
        <x:v>0</x:v>
      </x:c>
      <x:c r="AF57" s="9" t="n">
        <x:f>R57*G57</x:f>
        <x:v>514.5941047063656</x:v>
      </x:c>
    </x:row>
    <x:row r="58" ht="21" customHeight="1">
      <x:c r="A58" s="1" t="str">
        <x:f>'Inventory inputs'!A58</x:f>
        <x:v>C400</x:v>
      </x:c>
      <x:c r="B58" s="1" t="str">
        <x:f>'Inventory inputs'!B58</x:f>
        <x:v>60</x:v>
      </x:c>
      <x:c r="C58" s="1" t="str">
        <x:f>'Inventory inputs'!C58</x:f>
        <x:v>400MBRC</x:v>
      </x:c>
      <x:c r="D58" s="7" t="n">
        <x:f>'Inventory inputs'!E58</x:f>
        <x:v>46303</x:v>
      </x:c>
      <x:c r="E58" s="1" t="n">
        <x:f>'Inventory inputs'!F58</x:f>
        <x:v>3400</x:v>
      </x:c>
      <x:c r="F58" s="1" t="n">
        <x:f>'Inventory inputs'!G58</x:f>
        <x:v>450</x:v>
      </x:c>
      <x:c r="G58" s="1" t="n">
        <x:f>'Inventory inputs'!H58/'Inventory inputs'!J58</x:f>
        <x:v>0.04190000000000001</x:v>
      </x:c>
      <x:c r="H58" s="1" t="n">
        <x:f>IF('Inventory inputs'!I58&gt;0,'Inventory inputs'!I58*'Inventory inputs'!K58/'Inventory inputs'!J58,"n.a.")</x:f>
        <x:v>0.0485568</x:v>
      </x:c>
      <x:c r="I58" s="1" t="n">
        <x:f>'Inventory inputs'!L58</x:f>
        <x:v>3400</x:v>
      </x:c>
      <x:c r="J58" s="1" t="n">
        <x:f>'Inventory inputs'!M58</x:f>
        <x:v>0</x:v>
      </x:c>
      <x:c r="K58" s="1" t="n">
        <x:f>'Inventory inputs'!N58</x:f>
        <x:v>0</x:v>
      </x:c>
      <x:c r="L58" s="1" t="n">
        <x:f>'Inventory inputs'!O58</x:f>
        <x:v>1</x:v>
      </x:c>
      <x:c r="M58" s="9" t="n">
        <x:f>E58*G58</x:f>
        <x:v>142.46000000000004</x:v>
      </x:c>
      <x:c r="N58" s="9" t="n">
        <x:f>'Inventory inputs'!Q58</x:f>
        <x:v>142.46</x:v>
      </x:c>
      <x:c r="O58" s="9" t="n">
        <x:f>N58-M58</x:f>
        <x:v>-2.842170943040401e-14</x:v>
      </x:c>
      <x:c r="P58" s="1" t="n">
        <x:f>SUMIFS('Incoming POs'!$P$2:$P$305,'Incoming POs'!$A$2:$A$305,A58,'Incoming POs'!$B$2:$B$305,B58,'Incoming POs'!$C$2:$C$305,C58,'Incoming POs'!$G$2:$G$305,"&gt;="&amp;D58,'Incoming POs'!$G$2:$G$305,"&lt;"&amp;Dashboard!$I$5)</x:f>
        <x:v>0</x:v>
      </x:c>
      <x:c r="Q58" s="1" t="n">
        <x:f>F58*Dashboard!$L$5*MAX(0,Dashboard!$I$5-D58)/30.4375</x:f>
        <x:v>598.7679671457905</x:v>
      </x:c>
      <x:c r="R58" s="1" t="n">
        <x:f>MAX(0,E58+P58-Q58)</x:f>
        <x:v>2801.2320328542096</x:v>
      </x:c>
      <x:c r="S58" s="1" t="n">
        <x:f>MAX(0,Q58-E58-P58)</x:f>
        <x:v>0</x:v>
      </x:c>
      <x:c r="T58" s="1" t="n">
        <x:f>IF(L58=1,MAX(0,I58+AB58-MIN(Q58,E58+P58)),"n.a.")</x:f>
        <x:v>2801.2320328542096</x:v>
      </x:c>
      <x:c r="U58" s="9" t="n">
        <x:f>IF(ISNUMBER(T58),T58*G58,"n.a.")</x:f>
        <x:v>117.3716221765914</x:v>
      </x:c>
      <x:c r="V58" s="25" t="n">
        <x:f>IF(Dashboard!$I$6="Flat %",1,IF(ISNUMBER(H58),1,0))</x:f>
        <x:v>1</x:v>
      </x:c>
      <x:c r="W58" s="9" t="n">
        <x:f>IF(Dashboard!$I$6="Flat %",G58*(1+Dashboard!$L$6),H58)</x:f>
        <x:v>0.0485568</x:v>
      </x:c>
      <x:c r="X58" s="9" t="n">
        <x:f>IF(V58=1,R58*(W58-G58),"n.a.")</x:f>
        <x:v>18.647241396303876</x:v>
      </x:c>
      <x:c r="Y58" s="9" t="n">
        <x:f>IF(V58=1,R58*W58,"n.a.")</x:f>
        <x:v>136.01886357289527</x:v>
      </x:c>
      <x:c r="Z58" s="1" t="n">
        <x:f>IF(ISNUMBER(T58),R58-T58,"n.a.")</x:f>
        <x:v>0</x:v>
      </x:c>
      <x:c r="AA58" s="1" t="str">
        <x:f>'Inventory inputs'!R58</x:f>
        <x:v>Classified</x:v>
      </x:c>
      <x:c r="AB58" s="1" t="n">
        <x:f>IF(L58=1,SUMIFS('Incoming POs'!$P$2:$P$305,'Incoming POs'!$A$2:$A$305,A58,'Incoming POs'!$B$2:$B$305,B58,'Incoming POs'!$C$2:$C$305,C58,'Incoming POs'!$G$2:$G$305,"&gt;="&amp;D58,'Incoming POs'!$G$2:$G$305,"&lt;"&amp;Dashboard!$I$5,'Incoming POs'!$Q$2:$Q$305,"&lt;="&amp;('Inventory inputs'!P58/'Inventory inputs'!J58*1.01)),"n.a.")</x:f>
        <x:v>0</x:v>
      </x:c>
      <x:c r="AC58" s="9" t="n">
        <x:f>I58*G58</x:f>
        <x:v>142.46000000000004</x:v>
      </x:c>
      <x:c r="AD58" s="9" t="n">
        <x:f>J58*G58</x:f>
        <x:v>0</x:v>
      </x:c>
      <x:c r="AE58" s="9" t="n">
        <x:f>K58*G58</x:f>
        <x:v>0</x:v>
      </x:c>
      <x:c r="AF58" s="9" t="n">
        <x:f>R58*G58</x:f>
        <x:v>117.3716221765914</x:v>
      </x:c>
    </x:row>
    <x:row r="59" ht="21" customHeight="1">
      <x:c r="A59" s="1" t="str">
        <x:f>'Inventory inputs'!A59</x:f>
        <x:v>C400</x:v>
      </x:c>
      <x:c r="B59" s="1" t="str">
        <x:f>'Inventory inputs'!B59</x:f>
        <x:v>60</x:v>
      </x:c>
      <x:c r="C59" s="1" t="str">
        <x:f>'Inventory inputs'!C59</x:f>
        <x:v>400LASC19P</x:v>
      </x:c>
      <x:c r="D59" s="7" t="n">
        <x:f>'Inventory inputs'!E59</x:f>
        <x:v>46303</x:v>
      </x:c>
      <x:c r="E59" s="1" t="n">
        <x:f>'Inventory inputs'!F59</x:f>
        <x:v>6800</x:v>
      </x:c>
      <x:c r="F59" s="1" t="n">
        <x:f>'Inventory inputs'!G59</x:f>
        <x:v>425</x:v>
      </x:c>
      <x:c r="G59" s="1" t="n">
        <x:f>'Inventory inputs'!H59/'Inventory inputs'!J59</x:f>
        <x:v>0.033</x:v>
      </x:c>
      <x:c r="H59" s="1" t="n">
        <x:f>IF('Inventory inputs'!I59&gt;0,'Inventory inputs'!I59*'Inventory inputs'!K59/'Inventory inputs'!J59,"n.a.")</x:f>
        <x:v>0.0382464</x:v>
      </x:c>
      <x:c r="I59" s="1" t="n">
        <x:f>'Inventory inputs'!L59</x:f>
        <x:v>6800</x:v>
      </x:c>
      <x:c r="J59" s="1" t="n">
        <x:f>'Inventory inputs'!M59</x:f>
        <x:v>0</x:v>
      </x:c>
      <x:c r="K59" s="1" t="n">
        <x:f>'Inventory inputs'!N59</x:f>
        <x:v>0</x:v>
      </x:c>
      <x:c r="L59" s="1" t="n">
        <x:f>'Inventory inputs'!O59</x:f>
        <x:v>1</x:v>
      </x:c>
      <x:c r="M59" s="9" t="n">
        <x:f>E59*G59</x:f>
        <x:v>224.4</x:v>
      </x:c>
      <x:c r="N59" s="9" t="n">
        <x:f>'Inventory inputs'!Q59</x:f>
        <x:v>224.4</x:v>
      </x:c>
      <x:c r="O59" s="9" t="n">
        <x:f>N59-M59</x:f>
        <x:v>0</x:v>
      </x:c>
      <x:c r="P59" s="1" t="n">
        <x:f>SUMIFS('Incoming POs'!$P$2:$P$305,'Incoming POs'!$A$2:$A$305,A59,'Incoming POs'!$B$2:$B$305,B59,'Incoming POs'!$C$2:$C$305,C59,'Incoming POs'!$G$2:$G$305,"&gt;="&amp;D59,'Incoming POs'!$G$2:$G$305,"&lt;"&amp;Dashboard!$I$5)</x:f>
        <x:v>0</x:v>
      </x:c>
      <x:c r="Q59" s="1" t="n">
        <x:f>F59*Dashboard!$L$5*MAX(0,Dashboard!$I$5-D59)/30.4375</x:f>
        <x:v>565.5030800821355</x:v>
      </x:c>
      <x:c r="R59" s="1" t="n">
        <x:f>MAX(0,E59+P59-Q59)</x:f>
        <x:v>6234.496919917865</x:v>
      </x:c>
      <x:c r="S59" s="1" t="n">
        <x:f>MAX(0,Q59-E59-P59)</x:f>
        <x:v>0</x:v>
      </x:c>
      <x:c r="T59" s="1" t="n">
        <x:f>IF(L59=1,MAX(0,I59+AB59-MIN(Q59,E59+P59)),"n.a.")</x:f>
        <x:v>6234.496919917865</x:v>
      </x:c>
      <x:c r="U59" s="9" t="n">
        <x:f>IF(ISNUMBER(T59),T59*G59,"n.a.")</x:f>
        <x:v>205.73839835728955</x:v>
      </x:c>
      <x:c r="V59" s="25" t="n">
        <x:f>IF(Dashboard!$I$6="Flat %",1,IF(ISNUMBER(H59),1,0))</x:f>
        <x:v>1</x:v>
      </x:c>
      <x:c r="W59" s="9" t="n">
        <x:f>IF(Dashboard!$I$6="Flat %",G59*(1+Dashboard!$L$6),H59)</x:f>
        <x:v>0.0382464</x:v>
      </x:c>
      <x:c r="X59" s="9" t="n">
        <x:f>IF(V59=1,R59*(W59-G59),"n.a.")</x:f>
        <x:v>32.70866464065708</x:v>
      </x:c>
      <x:c r="Y59" s="9" t="n">
        <x:f>IF(V59=1,R59*W59,"n.a.")</x:f>
        <x:v>238.44706299794663</x:v>
      </x:c>
      <x:c r="Z59" s="1" t="n">
        <x:f>IF(ISNUMBER(T59),R59-T59,"n.a.")</x:f>
        <x:v>0</x:v>
      </x:c>
      <x:c r="AA59" s="1" t="str">
        <x:f>'Inventory inputs'!R59</x:f>
        <x:v>Classified</x:v>
      </x:c>
      <x:c r="AB59" s="1" t="n">
        <x:f>IF(L59=1,SUMIFS('Incoming POs'!$P$2:$P$305,'Incoming POs'!$A$2:$A$305,A59,'Incoming POs'!$B$2:$B$305,B59,'Incoming POs'!$C$2:$C$305,C59,'Incoming POs'!$G$2:$G$305,"&gt;="&amp;D59,'Incoming POs'!$G$2:$G$305,"&lt;"&amp;Dashboard!$I$5,'Incoming POs'!$Q$2:$Q$305,"&lt;="&amp;('Inventory inputs'!P59/'Inventory inputs'!J59*1.01)),"n.a.")</x:f>
        <x:v>0</x:v>
      </x:c>
      <x:c r="AC59" s="9" t="n">
        <x:f>I59*G59</x:f>
        <x:v>224.4</x:v>
      </x:c>
      <x:c r="AD59" s="9" t="n">
        <x:f>J59*G59</x:f>
        <x:v>0</x:v>
      </x:c>
      <x:c r="AE59" s="9" t="n">
        <x:f>K59*G59</x:f>
        <x:v>0</x:v>
      </x:c>
      <x:c r="AF59" s="9" t="n">
        <x:f>R59*G59</x:f>
        <x:v>205.73839835728955</x:v>
      </x:c>
    </x:row>
    <x:row r="60" ht="21" customHeight="1">
      <x:c r="A60" s="1" t="str">
        <x:f>'Inventory inputs'!A60</x:f>
        <x:v>C400</x:v>
      </x:c>
      <x:c r="B60" s="1" t="str">
        <x:f>'Inventory inputs'!B60</x:f>
        <x:v>30</x:v>
      </x:c>
      <x:c r="C60" s="1" t="str">
        <x:f>'Inventory inputs'!C60</x:f>
        <x:v>HRP7ASC</x:v>
      </x:c>
      <x:c r="D60" s="7" t="n">
        <x:f>'Inventory inputs'!E60</x:f>
        <x:v>46303</x:v>
      </x:c>
      <x:c r="E60" s="1" t="n">
        <x:f>'Inventory inputs'!F60</x:f>
        <x:v>2400</x:v>
      </x:c>
      <x:c r="F60" s="1" t="n">
        <x:f>'Inventory inputs'!G60</x:f>
        <x:v>316.67</x:v>
      </x:c>
      <x:c r="G60" s="1" t="n">
        <x:f>'Inventory inputs'!H60/'Inventory inputs'!J60</x:f>
        <x:v>0.0984</x:v>
      </x:c>
      <x:c r="H60" s="1" t="str">
        <x:f>IF('Inventory inputs'!I60&gt;0,'Inventory inputs'!I60*'Inventory inputs'!K60/'Inventory inputs'!J60,"n.a.")</x:f>
        <x:v>n.a.</x:v>
      </x:c>
      <x:c r="I60" s="1" t="n">
        <x:f>'Inventory inputs'!L60</x:f>
        <x:v>0</x:v>
      </x:c>
      <x:c r="J60" s="1" t="n">
        <x:f>'Inventory inputs'!M60</x:f>
        <x:v>0</x:v>
      </x:c>
      <x:c r="K60" s="1" t="n">
        <x:f>'Inventory inputs'!N60</x:f>
        <x:v>2400</x:v>
      </x:c>
      <x:c r="L60" s="1" t="n">
        <x:f>'Inventory inputs'!O60</x:f>
        <x:v>0</x:v>
      </x:c>
      <x:c r="M60" s="9" t="n">
        <x:f>E60*G60</x:f>
        <x:v>236.16</x:v>
      </x:c>
      <x:c r="N60" s="9" t="n">
        <x:f>'Inventory inputs'!Q60</x:f>
        <x:v>236.16</x:v>
      </x:c>
      <x:c r="O60" s="9" t="n">
        <x:f>N60-M60</x:f>
        <x:v>0</x:v>
      </x:c>
      <x:c r="P60" s="1" t="n">
        <x:f>SUMIFS('Incoming POs'!$P$2:$P$305,'Incoming POs'!$A$2:$A$305,A60,'Incoming POs'!$B$2:$B$305,B60,'Incoming POs'!$C$2:$C$305,C60,'Incoming POs'!$G$2:$G$305,"&gt;="&amp;D60,'Incoming POs'!$G$2:$G$305,"&lt;"&amp;Dashboard!$I$5)</x:f>
        <x:v>0</x:v>
      </x:c>
      <x:c r="Q60" s="1" t="n">
        <x:f>F60*Dashboard!$L$5*MAX(0,Dashboard!$I$5-D60)/30.4375</x:f>
        <x:v>421.35967145790556</x:v>
      </x:c>
      <x:c r="R60" s="1" t="n">
        <x:f>MAX(0,E60+P60-Q60)</x:f>
        <x:v>1978.6403285420945</x:v>
      </x:c>
      <x:c r="S60" s="1" t="n">
        <x:f>MAX(0,Q60-E60-P60)</x:f>
        <x:v>0</x:v>
      </x:c>
      <x:c r="T60" s="1" t="str">
        <x:f>IF(L60=1,MAX(0,I60+AB60-MIN(Q60,E60+P60)),"n.a.")</x:f>
        <x:v>n.a.</x:v>
      </x:c>
      <x:c r="U60" s="9" t="str">
        <x:f>IF(ISNUMBER(T60),T60*G60,"n.a.")</x:f>
        <x:v>n.a.</x:v>
      </x:c>
      <x:c r="V60" s="25" t="n">
        <x:f>IF(Dashboard!$I$6="Flat %",1,IF(ISNUMBER(H60),1,0))</x:f>
        <x:v>0</x:v>
      </x:c>
      <x:c r="W60" s="9" t="str">
        <x:f>IF(Dashboard!$I$6="Flat %",G60*(1+Dashboard!$L$6),H60)</x:f>
        <x:v>n.a.</x:v>
      </x:c>
      <x:c r="X60" s="9" t="str">
        <x:f>IF(V60=1,R60*(W60-G60),"n.a.")</x:f>
        <x:v>n.a.</x:v>
      </x:c>
      <x:c r="Y60" s="9" t="str">
        <x:f>IF(V60=1,R60*W60,"n.a.")</x:f>
        <x:v>n.a.</x:v>
      </x:c>
      <x:c r="Z60" s="1" t="str">
        <x:f>IF(ISNUMBER(T60),R60-T60,"n.a.")</x:f>
        <x:v>n.a.</x:v>
      </x:c>
      <x:c r="AA60" s="1" t="str">
        <x:f>'Inventory inputs'!R60</x:f>
        <x:v>Review receipt reconciliation or original PO baseline</x:v>
      </x:c>
      <x:c r="AB60" s="1" t="str">
        <x:f>IF(L60=1,SUMIFS('Incoming POs'!$P$2:$P$305,'Incoming POs'!$A$2:$A$305,A60,'Incoming POs'!$B$2:$B$305,B60,'Incoming POs'!$C$2:$C$305,C60,'Incoming POs'!$G$2:$G$305,"&gt;="&amp;D60,'Incoming POs'!$G$2:$G$305,"&lt;"&amp;Dashboard!$I$5,'Incoming POs'!$Q$2:$Q$305,"&lt;="&amp;('Inventory inputs'!P60/'Inventory inputs'!J60*1.01)),"n.a.")</x:f>
        <x:v>n.a.</x:v>
      </x:c>
      <x:c r="AC60" s="9" t="n">
        <x:f>I60*G60</x:f>
        <x:v>0</x:v>
      </x:c>
      <x:c r="AD60" s="9" t="n">
        <x:f>J60*G60</x:f>
        <x:v>0</x:v>
      </x:c>
      <x:c r="AE60" s="9" t="n">
        <x:f>K60*G60</x:f>
        <x:v>236.16</x:v>
      </x:c>
      <x:c r="AF60" s="9" t="n">
        <x:f>R60*G60</x:f>
        <x:v>194.6982083285421</x:v>
      </x:c>
    </x:row>
    <x:row r="61" ht="21" customHeight="1">
      <x:c r="A61" s="1" t="str">
        <x:f>'Inventory inputs'!A61</x:f>
        <x:v>C400</x:v>
      </x:c>
      <x:c r="B61" s="1" t="str">
        <x:f>'Inventory inputs'!B61</x:f>
        <x:v>10</x:v>
      </x:c>
      <x:c r="C61" s="1" t="str">
        <x:f>'Inventory inputs'!C61</x:f>
        <x:v>400LASC19P</x:v>
      </x:c>
      <x:c r="D61" s="7" t="n">
        <x:f>'Inventory inputs'!E61</x:f>
        <x:v>46303</x:v>
      </x:c>
      <x:c r="E61" s="1" t="n">
        <x:f>'Inventory inputs'!F61</x:f>
        <x:v>4800</x:v>
      </x:c>
      <x:c r="F61" s="1" t="n">
        <x:f>'Inventory inputs'!G61</x:f>
        <x:v>283.33</x:v>
      </x:c>
      <x:c r="G61" s="1" t="n">
        <x:f>'Inventory inputs'!H61/'Inventory inputs'!J61</x:f>
        <x:v>0.033</x:v>
      </x:c>
      <x:c r="H61" s="1" t="n">
        <x:f>IF('Inventory inputs'!I61&gt;0,'Inventory inputs'!I61*'Inventory inputs'!K61/'Inventory inputs'!J61,"n.a.")</x:f>
        <x:v>0.0382464</x:v>
      </x:c>
      <x:c r="I61" s="1" t="n">
        <x:f>'Inventory inputs'!L61</x:f>
        <x:v>2800</x:v>
      </x:c>
      <x:c r="J61" s="1" t="n">
        <x:f>'Inventory inputs'!M61</x:f>
        <x:v>2000</x:v>
      </x:c>
      <x:c r="K61" s="1" t="n">
        <x:f>'Inventory inputs'!N61</x:f>
        <x:v>0</x:v>
      </x:c>
      <x:c r="L61" s="1" t="n">
        <x:f>'Inventory inputs'!O61</x:f>
        <x:v>1</x:v>
      </x:c>
      <x:c r="M61" s="9" t="n">
        <x:f>E61*G61</x:f>
        <x:v>158.4</x:v>
      </x:c>
      <x:c r="N61" s="9" t="n">
        <x:f>'Inventory inputs'!Q61</x:f>
        <x:v>158.4</x:v>
      </x:c>
      <x:c r="O61" s="9" t="n">
        <x:f>N61-M61</x:f>
        <x:v>0</x:v>
      </x:c>
      <x:c r="P61" s="1" t="n">
        <x:f>SUMIFS('Incoming POs'!$P$2:$P$305,'Incoming POs'!$A$2:$A$305,A61,'Incoming POs'!$B$2:$B$305,B61,'Incoming POs'!$C$2:$C$305,C61,'Incoming POs'!$G$2:$G$305,"&gt;="&amp;D61,'Incoming POs'!$G$2:$G$305,"&lt;"&amp;Dashboard!$I$5)</x:f>
        <x:v>0</x:v>
      </x:c>
      <x:c r="Q61" s="1" t="n">
        <x:f>F61*Dashboard!$L$5*MAX(0,Dashboard!$I$5-D61)/30.4375</x:f>
        <x:v>376.9976180698152</x:v>
      </x:c>
      <x:c r="R61" s="1" t="n">
        <x:f>MAX(0,E61+P61-Q61)</x:f>
        <x:v>4423.002381930185</x:v>
      </x:c>
      <x:c r="S61" s="1" t="n">
        <x:f>MAX(0,Q61-E61-P61)</x:f>
        <x:v>0</x:v>
      </x:c>
      <x:c r="T61" s="1" t="n">
        <x:f>IF(L61=1,MAX(0,I61+AB61-MIN(Q61,E61+P61)),"n.a.")</x:f>
        <x:v>2423.002381930185</x:v>
      </x:c>
      <x:c r="U61" s="9" t="n">
        <x:f>IF(ISNUMBER(T61),T61*G61,"n.a.")</x:f>
        <x:v>79.95907860369611</x:v>
      </x:c>
      <x:c r="V61" s="25" t="n">
        <x:f>IF(Dashboard!$I$6="Flat %",1,IF(ISNUMBER(H61),1,0))</x:f>
        <x:v>1</x:v>
      </x:c>
      <x:c r="W61" s="9" t="n">
        <x:f>IF(Dashboard!$I$6="Flat %",G61*(1+Dashboard!$L$6),H61)</x:f>
        <x:v>0.0382464</x:v>
      </x:c>
      <x:c r="X61" s="9" t="n">
        <x:f>IF(V61=1,R61*(W61-G61),"n.a.")</x:f>
        <x:v>23.204839696558516</x:v>
      </x:c>
      <x:c r="Y61" s="9" t="n">
        <x:f>IF(V61=1,R61*W61,"n.a.")</x:f>
        <x:v>169.16391830025464</x:v>
      </x:c>
      <x:c r="Z61" s="1" t="n">
        <x:f>IF(ISNUMBER(T61),R61-T61,"n.a.")</x:f>
        <x:v>2000</x:v>
      </x:c>
      <x:c r="AA61" s="1" t="str">
        <x:f>'Inventory inputs'!R61</x:f>
        <x:v>Classified</x:v>
      </x:c>
      <x:c r="AB61" s="1" t="n">
        <x:f>IF(L61=1,SUMIFS('Incoming POs'!$P$2:$P$305,'Incoming POs'!$A$2:$A$305,A61,'Incoming POs'!$B$2:$B$305,B61,'Incoming POs'!$C$2:$C$305,C61,'Incoming POs'!$G$2:$G$305,"&gt;="&amp;D61,'Incoming POs'!$G$2:$G$305,"&lt;"&amp;Dashboard!$I$5,'Incoming POs'!$Q$2:$Q$305,"&lt;="&amp;('Inventory inputs'!P61/'Inventory inputs'!J61*1.01)),"n.a.")</x:f>
        <x:v>0</x:v>
      </x:c>
      <x:c r="AC61" s="9" t="n">
        <x:f>I61*G61</x:f>
        <x:v>92.4</x:v>
      </x:c>
      <x:c r="AD61" s="9" t="n">
        <x:f>J61*G61</x:f>
        <x:v>66</x:v>
      </x:c>
      <x:c r="AE61" s="9" t="n">
        <x:f>K61*G61</x:f>
        <x:v>0</x:v>
      </x:c>
      <x:c r="AF61" s="9" t="n">
        <x:f>R61*G61</x:f>
        <x:v>145.9590786036961</x:v>
      </x:c>
    </x:row>
    <x:row r="62" ht="21" customHeight="1">
      <x:c r="A62" s="1" t="str">
        <x:f>'Inventory inputs'!A62</x:f>
        <x:v>C400</x:v>
      </x:c>
      <x:c r="B62" s="1" t="str">
        <x:f>'Inventory inputs'!B62</x:f>
        <x:v>60</x:v>
      </x:c>
      <x:c r="C62" s="1" t="str">
        <x:f>'Inventory inputs'!C62</x:f>
        <x:v>400HBRC19P</x:v>
      </x:c>
      <x:c r="D62" s="7" t="n">
        <x:f>'Inventory inputs'!E62</x:f>
        <x:v>46303</x:v>
      </x:c>
      <x:c r="E62" s="1" t="n">
        <x:f>'Inventory inputs'!F62</x:f>
        <x:v>1700</x:v>
      </x:c>
      <x:c r="F62" s="1" t="n">
        <x:f>'Inventory inputs'!G62</x:f>
        <x:v>283.33</x:v>
      </x:c>
      <x:c r="G62" s="1" t="n">
        <x:f>'Inventory inputs'!H62/'Inventory inputs'!J62</x:f>
        <x:v>0.0652</x:v>
      </x:c>
      <x:c r="H62" s="1" t="n">
        <x:f>IF('Inventory inputs'!I62&gt;0,'Inventory inputs'!I62*'Inventory inputs'!K62/'Inventory inputs'!J62,"n.a.")</x:f>
        <x:v>0.07547039999999999</x:v>
      </x:c>
      <x:c r="I62" s="1" t="n">
        <x:f>'Inventory inputs'!L62</x:f>
        <x:v>1700</x:v>
      </x:c>
      <x:c r="J62" s="1" t="n">
        <x:f>'Inventory inputs'!M62</x:f>
        <x:v>0</x:v>
      </x:c>
      <x:c r="K62" s="1" t="n">
        <x:f>'Inventory inputs'!N62</x:f>
        <x:v>0</x:v>
      </x:c>
      <x:c r="L62" s="1" t="n">
        <x:f>'Inventory inputs'!O62</x:f>
        <x:v>1</x:v>
      </x:c>
      <x:c r="M62" s="9" t="n">
        <x:f>E62*G62</x:f>
        <x:v>110.83999999999999</x:v>
      </x:c>
      <x:c r="N62" s="9" t="n">
        <x:f>'Inventory inputs'!Q62</x:f>
        <x:v>143.44</x:v>
      </x:c>
      <x:c r="O62" s="9" t="n">
        <x:f>N62-M62</x:f>
        <x:v>32.60000000000001</x:v>
      </x:c>
      <x:c r="P62" s="1" t="n">
        <x:f>SUMIFS('Incoming POs'!$P$2:$P$305,'Incoming POs'!$A$2:$A$305,A62,'Incoming POs'!$B$2:$B$305,B62,'Incoming POs'!$C$2:$C$305,C62,'Incoming POs'!$G$2:$G$305,"&gt;="&amp;D62,'Incoming POs'!$G$2:$G$305,"&lt;"&amp;Dashboard!$I$5)</x:f>
        <x:v>0</x:v>
      </x:c>
      <x:c r="Q62" s="1" t="n">
        <x:f>F62*Dashboard!$L$5*MAX(0,Dashboard!$I$5-D62)/30.4375</x:f>
        <x:v>376.9976180698152</x:v>
      </x:c>
      <x:c r="R62" s="1" t="n">
        <x:f>MAX(0,E62+P62-Q62)</x:f>
        <x:v>1323.0023819301848</x:v>
      </x:c>
      <x:c r="S62" s="1" t="n">
        <x:f>MAX(0,Q62-E62-P62)</x:f>
        <x:v>0</x:v>
      </x:c>
      <x:c r="T62" s="1" t="n">
        <x:f>IF(L62=1,MAX(0,I62+AB62-MIN(Q62,E62+P62)),"n.a.")</x:f>
        <x:v>1323.0023819301848</x:v>
      </x:c>
      <x:c r="U62" s="9" t="n">
        <x:f>IF(ISNUMBER(T62),T62*G62,"n.a.")</x:f>
        <x:v>86.25975530184805</x:v>
      </x:c>
      <x:c r="V62" s="25" t="n">
        <x:f>IF(Dashboard!$I$6="Flat %",1,IF(ISNUMBER(H62),1,0))</x:f>
        <x:v>1</x:v>
      </x:c>
      <x:c r="W62" s="9" t="n">
        <x:f>IF(Dashboard!$I$6="Flat %",G62*(1+Dashboard!$L$6),H62)</x:f>
        <x:v>0.07547039999999999</x:v>
      </x:c>
      <x:c r="X62" s="9" t="n">
        <x:f>IF(V62=1,R62*(W62-G62),"n.a.")</x:f>
        <x:v>13.58776366337577</x:v>
      </x:c>
      <x:c r="Y62" s="9" t="n">
        <x:f>IF(V62=1,R62*W62,"n.a.")</x:f>
        <x:v>99.84751896522381</x:v>
      </x:c>
      <x:c r="Z62" s="1" t="n">
        <x:f>IF(ISNUMBER(T62),R62-T62,"n.a.")</x:f>
        <x:v>0</x:v>
      </x:c>
      <x:c r="AA62" s="1" t="str">
        <x:f>'Inventory inputs'!R62</x:f>
        <x:v>Classified</x:v>
      </x:c>
      <x:c r="AB62" s="1" t="n">
        <x:f>IF(L62=1,SUMIFS('Incoming POs'!$P$2:$P$305,'Incoming POs'!$A$2:$A$305,A62,'Incoming POs'!$B$2:$B$305,B62,'Incoming POs'!$C$2:$C$305,C62,'Incoming POs'!$G$2:$G$305,"&gt;="&amp;D62,'Incoming POs'!$G$2:$G$305,"&lt;"&amp;Dashboard!$I$5,'Incoming POs'!$Q$2:$Q$305,"&lt;="&amp;('Inventory inputs'!P62/'Inventory inputs'!J62*1.01)),"n.a.")</x:f>
        <x:v>0</x:v>
      </x:c>
      <x:c r="AC62" s="9" t="n">
        <x:f>I62*G62</x:f>
        <x:v>110.83999999999999</x:v>
      </x:c>
      <x:c r="AD62" s="9" t="n">
        <x:f>J62*G62</x:f>
        <x:v>0</x:v>
      </x:c>
      <x:c r="AE62" s="9" t="n">
        <x:f>K62*G62</x:f>
        <x:v>0</x:v>
      </x:c>
      <x:c r="AF62" s="9" t="n">
        <x:f>R62*G62</x:f>
        <x:v>86.25975530184805</x:v>
      </x:c>
    </x:row>
    <x:row r="63" ht="21" customHeight="1">
      <x:c r="A63" s="1" t="str">
        <x:f>'Inventory inputs'!A63</x:f>
        <x:v>C400</x:v>
      </x:c>
      <x:c r="B63" s="1" t="str">
        <x:f>'Inventory inputs'!B63</x:f>
        <x:v>60</x:v>
      </x:c>
      <x:c r="C63" s="1" t="str">
        <x:f>'Inventory inputs'!C63</x:f>
        <x:v>400HME</x:v>
      </x:c>
      <x:c r="D63" s="7" t="n">
        <x:f>'Inventory inputs'!E63</x:f>
        <x:v>46303</x:v>
      </x:c>
      <x:c r="E63" s="1" t="n">
        <x:f>'Inventory inputs'!F63</x:f>
        <x:v>3326</x:v>
      </x:c>
      <x:c r="F63" s="1" t="n">
        <x:f>'Inventory inputs'!G63</x:f>
        <x:v>281.58</x:v>
      </x:c>
      <x:c r="G63" s="1" t="n">
        <x:f>'Inventory inputs'!H63/'Inventory inputs'!J63</x:f>
        <x:v>0.38880000000000003</x:v>
      </x:c>
      <x:c r="H63" s="1" t="n">
        <x:f>IF('Inventory inputs'!I63&gt;0,'Inventory inputs'!I63*'Inventory inputs'!K63/'Inventory inputs'!J63,"n.a.")</x:f>
        <x:v>0.45031679999999996</x:v>
      </x:c>
      <x:c r="I63" s="1" t="n">
        <x:f>'Inventory inputs'!L63</x:f>
        <x:v>1326</x:v>
      </x:c>
      <x:c r="J63" s="1" t="n">
        <x:f>'Inventory inputs'!M63</x:f>
        <x:v>2000</x:v>
      </x:c>
      <x:c r="K63" s="1" t="n">
        <x:f>'Inventory inputs'!N63</x:f>
        <x:v>0</x:v>
      </x:c>
      <x:c r="L63" s="1" t="n">
        <x:f>'Inventory inputs'!O63</x:f>
        <x:v>1</x:v>
      </x:c>
      <x:c r="M63" s="9" t="n">
        <x:f>E63*G63</x:f>
        <x:v>1293.1488000000002</x:v>
      </x:c>
      <x:c r="N63" s="9" t="n">
        <x:f>'Inventory inputs'!Q63</x:f>
        <x:v>1293.1488000000002</x:v>
      </x:c>
      <x:c r="O63" s="9" t="n">
        <x:f>N63-M63</x:f>
        <x:v>0</x:v>
      </x:c>
      <x:c r="P63" s="1" t="n">
        <x:f>SUMIFS('Incoming POs'!$P$2:$P$305,'Incoming POs'!$A$2:$A$305,A63,'Incoming POs'!$B$2:$B$305,B63,'Incoming POs'!$C$2:$C$305,C63,'Incoming POs'!$G$2:$G$305,"&gt;="&amp;D63,'Incoming POs'!$G$2:$G$305,"&lt;"&amp;Dashboard!$I$5)</x:f>
        <x:v>0</x:v>
      </x:c>
      <x:c r="Q63" s="1" t="n">
        <x:f>F63*Dashboard!$L$5*MAX(0,Dashboard!$I$5-D63)/30.4375</x:f>
        <x:v>374.66907597535936</x:v>
      </x:c>
      <x:c r="R63" s="1" t="n">
        <x:f>MAX(0,E63+P63-Q63)</x:f>
        <x:v>2951.330924024641</x:v>
      </x:c>
      <x:c r="S63" s="1" t="n">
        <x:f>MAX(0,Q63-E63-P63)</x:f>
        <x:v>0</x:v>
      </x:c>
      <x:c r="T63" s="1" t="n">
        <x:f>IF(L63=1,MAX(0,I63+AB63-MIN(Q63,E63+P63)),"n.a.")</x:f>
        <x:v>951.3309240246406</x:v>
      </x:c>
      <x:c r="U63" s="9" t="n">
        <x:f>IF(ISNUMBER(T63),T63*G63,"n.a.")</x:f>
        <x:v>369.8774632607803</x:v>
      </x:c>
      <x:c r="V63" s="25" t="n">
        <x:f>IF(Dashboard!$I$6="Flat %",1,IF(ISNUMBER(H63),1,0))</x:f>
        <x:v>1</x:v>
      </x:c>
      <x:c r="W63" s="9" t="n">
        <x:f>IF(Dashboard!$I$6="Flat %",G63*(1+Dashboard!$L$6),H63)</x:f>
        <x:v>0.45031679999999996</x:v>
      </x:c>
      <x:c r="X63" s="9" t="n">
        <x:f>IF(V63=1,R63*(W63-G63),"n.a.")</x:f>
        <x:v>181.5564341870388</x:v>
      </x:c>
      <x:c r="Y63" s="9" t="n">
        <x:f>IF(V63=1,R63*W63,"n.a.")</x:f>
        <x:v>1329.0338974478193</x:v>
      </x:c>
      <x:c r="Z63" s="1" t="n">
        <x:f>IF(ISNUMBER(T63),R63-T63,"n.a.")</x:f>
        <x:v>2000.0000000000002</x:v>
      </x:c>
      <x:c r="AA63" s="1" t="str">
        <x:f>'Inventory inputs'!R63</x:f>
        <x:v>Classified</x:v>
      </x:c>
      <x:c r="AB63" s="1" t="n">
        <x:f>IF(L63=1,SUMIFS('Incoming POs'!$P$2:$P$305,'Incoming POs'!$A$2:$A$305,A63,'Incoming POs'!$B$2:$B$305,B63,'Incoming POs'!$C$2:$C$305,C63,'Incoming POs'!$G$2:$G$305,"&gt;="&amp;D63,'Incoming POs'!$G$2:$G$305,"&lt;"&amp;Dashboard!$I$5,'Incoming POs'!$Q$2:$Q$305,"&lt;="&amp;('Inventory inputs'!P63/'Inventory inputs'!J63*1.01)),"n.a.")</x:f>
        <x:v>0</x:v>
      </x:c>
      <x:c r="AC63" s="9" t="n">
        <x:f>I63*G63</x:f>
        <x:v>515.5488</x:v>
      </x:c>
      <x:c r="AD63" s="9" t="n">
        <x:f>J63*G63</x:f>
        <x:v>777.6</x:v>
      </x:c>
      <x:c r="AE63" s="9" t="n">
        <x:f>K63*G63</x:f>
        <x:v>0</x:v>
      </x:c>
      <x:c r="AF63" s="9" t="n">
        <x:f>R63*G63</x:f>
        <x:v>1147.4774632607805</x:v>
      </x:c>
    </x:row>
    <x:row r="64" ht="21" customHeight="1">
      <x:c r="A64" s="1" t="str">
        <x:f>'Inventory inputs'!A64</x:f>
        <x:v>C400</x:v>
      </x:c>
      <x:c r="B64" s="1" t="str">
        <x:f>'Inventory inputs'!B64</x:f>
        <x:v>30</x:v>
      </x:c>
      <x:c r="C64" s="1" t="str">
        <x:f>'Inventory inputs'!C64</x:f>
        <x:v>400HMISC</x:v>
      </x:c>
      <x:c r="D64" s="7" t="n">
        <x:f>'Inventory inputs'!E64</x:f>
        <x:v>46303</x:v>
      </x:c>
      <x:c r="E64" s="1" t="n">
        <x:f>'Inventory inputs'!F64</x:f>
        <x:v>5700</x:v>
      </x:c>
      <x:c r="F64" s="1" t="n">
        <x:f>'Inventory inputs'!G64</x:f>
        <x:v>275</x:v>
      </x:c>
      <x:c r="G64" s="1" t="n">
        <x:f>'Inventory inputs'!H64/'Inventory inputs'!J64</x:f>
        <x:v>0.061799999999999994</x:v>
      </x:c>
      <x:c r="H64" s="1" t="n">
        <x:f>IF('Inventory inputs'!I64&gt;0,'Inventory inputs'!I64*'Inventory inputs'!K64/'Inventory inputs'!J64,"n.a.")</x:f>
        <x:v>0.07156799999999999</x:v>
      </x:c>
      <x:c r="I64" s="1" t="n">
        <x:f>'Inventory inputs'!L64</x:f>
        <x:v>5700</x:v>
      </x:c>
      <x:c r="J64" s="1" t="n">
        <x:f>'Inventory inputs'!M64</x:f>
        <x:v>0</x:v>
      </x:c>
      <x:c r="K64" s="1" t="n">
        <x:f>'Inventory inputs'!N64</x:f>
        <x:v>0</x:v>
      </x:c>
      <x:c r="L64" s="1" t="n">
        <x:f>'Inventory inputs'!O64</x:f>
        <x:v>1</x:v>
      </x:c>
      <x:c r="M64" s="9" t="n">
        <x:f>E64*G64</x:f>
        <x:v>352.26</x:v>
      </x:c>
      <x:c r="N64" s="9" t="n">
        <x:f>'Inventory inputs'!Q64</x:f>
        <x:v>352.26</x:v>
      </x:c>
      <x:c r="O64" s="9" t="n">
        <x:f>N64-M64</x:f>
        <x:v>0</x:v>
      </x:c>
      <x:c r="P64" s="1" t="n">
        <x:f>SUMIFS('Incoming POs'!$P$2:$P$305,'Incoming POs'!$A$2:$A$305,A64,'Incoming POs'!$B$2:$B$305,B64,'Incoming POs'!$C$2:$C$305,C64,'Incoming POs'!$G$2:$G$305,"&gt;="&amp;D64,'Incoming POs'!$G$2:$G$305,"&lt;"&amp;Dashboard!$I$5)</x:f>
        <x:v>0</x:v>
      </x:c>
      <x:c r="Q64" s="1" t="n">
        <x:f>F64*Dashboard!$L$5*MAX(0,Dashboard!$I$5-D64)/30.4375</x:f>
        <x:v>365.91375770020534</x:v>
      </x:c>
      <x:c r="R64" s="1" t="n">
        <x:f>MAX(0,E64+P64-Q64)</x:f>
        <x:v>5334.086242299794</x:v>
      </x:c>
      <x:c r="S64" s="1" t="n">
        <x:f>MAX(0,Q64-E64-P64)</x:f>
        <x:v>0</x:v>
      </x:c>
      <x:c r="T64" s="1" t="n">
        <x:f>IF(L64=1,MAX(0,I64+AB64-MIN(Q64,E64+P64)),"n.a.")</x:f>
        <x:v>5334.086242299794</x:v>
      </x:c>
      <x:c r="U64" s="9" t="n">
        <x:f>IF(ISNUMBER(T64),T64*G64,"n.a.")</x:f>
        <x:v>329.64652977412726</x:v>
      </x:c>
      <x:c r="V64" s="25" t="n">
        <x:f>IF(Dashboard!$I$6="Flat %",1,IF(ISNUMBER(H64),1,0))</x:f>
        <x:v>1</x:v>
      </x:c>
      <x:c r="W64" s="9" t="n">
        <x:f>IF(Dashboard!$I$6="Flat %",G64*(1+Dashboard!$L$6),H64)</x:f>
        <x:v>0.07156799999999999</x:v>
      </x:c>
      <x:c r="X64" s="9" t="n">
        <x:f>IF(V64=1,R64*(W64-G64),"n.a.")</x:f>
        <x:v>52.103354414784384</x:v>
      </x:c>
      <x:c r="Y64" s="9" t="n">
        <x:f>IF(V64=1,R64*W64,"n.a.")</x:f>
        <x:v>381.74988418891166</x:v>
      </x:c>
      <x:c r="Z64" s="1" t="n">
        <x:f>IF(ISNUMBER(T64),R64-T64,"n.a.")</x:f>
        <x:v>0</x:v>
      </x:c>
      <x:c r="AA64" s="1" t="str">
        <x:f>'Inventory inputs'!R64</x:f>
        <x:v>Classified</x:v>
      </x:c>
      <x:c r="AB64" s="1" t="n">
        <x:f>IF(L64=1,SUMIFS('Incoming POs'!$P$2:$P$305,'Incoming POs'!$A$2:$A$305,A64,'Incoming POs'!$B$2:$B$305,B64,'Incoming POs'!$C$2:$C$305,C64,'Incoming POs'!$G$2:$G$305,"&gt;="&amp;D64,'Incoming POs'!$G$2:$G$305,"&lt;"&amp;Dashboard!$I$5,'Incoming POs'!$Q$2:$Q$305,"&lt;="&amp;('Inventory inputs'!P64/'Inventory inputs'!J64*1.01)),"n.a.")</x:f>
        <x:v>0</x:v>
      </x:c>
      <x:c r="AC64" s="9" t="n">
        <x:f>I64*G64</x:f>
        <x:v>352.26</x:v>
      </x:c>
      <x:c r="AD64" s="9" t="n">
        <x:f>J64*G64</x:f>
        <x:v>0</x:v>
      </x:c>
      <x:c r="AE64" s="9" t="n">
        <x:f>K64*G64</x:f>
        <x:v>0</x:v>
      </x:c>
      <x:c r="AF64" s="9" t="n">
        <x:f>R64*G64</x:f>
        <x:v>329.64652977412726</x:v>
      </x:c>
    </x:row>
    <x:row r="65" ht="21" customHeight="1">
      <x:c r="A65" s="1" t="str">
        <x:f>'Inventory inputs'!A65</x:f>
        <x:v>C400</x:v>
      </x:c>
      <x:c r="B65" s="1" t="str">
        <x:f>'Inventory inputs'!B65</x:f>
        <x:v>30</x:v>
      </x:c>
      <x:c r="C65" s="1" t="str">
        <x:f>'Inventory inputs'!C65</x:f>
        <x:v>400LDSC</x:v>
      </x:c>
      <x:c r="D65" s="7" t="n">
        <x:f>'Inventory inputs'!E65</x:f>
        <x:v>46303</x:v>
      </x:c>
      <x:c r="E65" s="1" t="n">
        <x:f>'Inventory inputs'!F65</x:f>
        <x:v>3400</x:v>
      </x:c>
      <x:c r="F65" s="1" t="n">
        <x:f>'Inventory inputs'!G65</x:f>
        <x:v>266.67</x:v>
      </x:c>
      <x:c r="G65" s="1" t="n">
        <x:f>'Inventory inputs'!H65/'Inventory inputs'!J65</x:f>
        <x:v>0.0556</x:v>
      </x:c>
      <x:c r="H65" s="1" t="n">
        <x:f>IF('Inventory inputs'!I65&gt;0,'Inventory inputs'!I65*'Inventory inputs'!K65/'Inventory inputs'!J65,"n.a.")</x:f>
        <x:v>0.0644544</x:v>
      </x:c>
      <x:c r="I65" s="1" t="n">
        <x:f>'Inventory inputs'!L65</x:f>
        <x:v>1400</x:v>
      </x:c>
      <x:c r="J65" s="1" t="n">
        <x:f>'Inventory inputs'!M65</x:f>
        <x:v>2000</x:v>
      </x:c>
      <x:c r="K65" s="1" t="n">
        <x:f>'Inventory inputs'!N65</x:f>
        <x:v>0</x:v>
      </x:c>
      <x:c r="L65" s="1" t="n">
        <x:f>'Inventory inputs'!O65</x:f>
        <x:v>1</x:v>
      </x:c>
      <x:c r="M65" s="9" t="n">
        <x:f>E65*G65</x:f>
        <x:v>189.04</x:v>
      </x:c>
      <x:c r="N65" s="9" t="n">
        <x:f>'Inventory inputs'!Q65</x:f>
        <x:v>189.04</x:v>
      </x:c>
      <x:c r="O65" s="9" t="n">
        <x:f>N65-M65</x:f>
        <x:v>0</x:v>
      </x:c>
      <x:c r="P65" s="1" t="n">
        <x:f>SUMIFS('Incoming POs'!$P$2:$P$305,'Incoming POs'!$A$2:$A$305,A65,'Incoming POs'!$B$2:$B$305,B65,'Incoming POs'!$C$2:$C$305,C65,'Incoming POs'!$G$2:$G$305,"&gt;="&amp;D65,'Incoming POs'!$G$2:$G$305,"&lt;"&amp;Dashboard!$I$5)</x:f>
        <x:v>0</x:v>
      </x:c>
      <x:c r="Q65" s="1" t="n">
        <x:f>F65*Dashboard!$L$5*MAX(0,Dashboard!$I$5-D65)/30.4375</x:f>
        <x:v>354.8298973305955</x:v>
      </x:c>
      <x:c r="R65" s="1" t="n">
        <x:f>MAX(0,E65+P65-Q65)</x:f>
        <x:v>3045.1701026694045</x:v>
      </x:c>
      <x:c r="S65" s="1" t="n">
        <x:f>MAX(0,Q65-E65-P65)</x:f>
        <x:v>0</x:v>
      </x:c>
      <x:c r="T65" s="1" t="n">
        <x:f>IF(L65=1,MAX(0,I65+AB65-MIN(Q65,E65+P65)),"n.a.")</x:f>
        <x:v>1045.1701026694045</x:v>
      </x:c>
      <x:c r="U65" s="9" t="n">
        <x:f>IF(ISNUMBER(T65),T65*G65,"n.a.")</x:f>
        <x:v>58.11145770841889</x:v>
      </x:c>
      <x:c r="V65" s="25" t="n">
        <x:f>IF(Dashboard!$I$6="Flat %",1,IF(ISNUMBER(H65),1,0))</x:f>
        <x:v>1</x:v>
      </x:c>
      <x:c r="W65" s="9" t="n">
        <x:f>IF(Dashboard!$I$6="Flat %",G65*(1+Dashboard!$L$6),H65)</x:f>
        <x:v>0.0644544</x:v>
      </x:c>
      <x:c r="X65" s="9" t="n">
        <x:f>IF(V65=1,R65*(W65-G65),"n.a.")</x:f>
        <x:v>26.96315415707597</x:v>
      </x:c>
      <x:c r="Y65" s="9" t="n">
        <x:f>IF(V65=1,R65*W65,"n.a.")</x:f>
        <x:v>196.27461186549485</x:v>
      </x:c>
      <x:c r="Z65" s="1" t="n">
        <x:f>IF(ISNUMBER(T65),R65-T65,"n.a.")</x:f>
        <x:v>2000</x:v>
      </x:c>
      <x:c r="AA65" s="1" t="str">
        <x:f>'Inventory inputs'!R65</x:f>
        <x:v>Classified</x:v>
      </x:c>
      <x:c r="AB65" s="1" t="n">
        <x:f>IF(L65=1,SUMIFS('Incoming POs'!$P$2:$P$305,'Incoming POs'!$A$2:$A$305,A65,'Incoming POs'!$B$2:$B$305,B65,'Incoming POs'!$C$2:$C$305,C65,'Incoming POs'!$G$2:$G$305,"&gt;="&amp;D65,'Incoming POs'!$G$2:$G$305,"&lt;"&amp;Dashboard!$I$5,'Incoming POs'!$Q$2:$Q$305,"&lt;="&amp;('Inventory inputs'!P65/'Inventory inputs'!J65*1.01)),"n.a.")</x:f>
        <x:v>0</x:v>
      </x:c>
      <x:c r="AC65" s="9" t="n">
        <x:f>I65*G65</x:f>
        <x:v>77.83999999999999</x:v>
      </x:c>
      <x:c r="AD65" s="9" t="n">
        <x:f>J65*G65</x:f>
        <x:v>111.19999999999999</x:v>
      </x:c>
      <x:c r="AE65" s="9" t="n">
        <x:f>K65*G65</x:f>
        <x:v>0</x:v>
      </x:c>
      <x:c r="AF65" s="9" t="n">
        <x:f>R65*G65</x:f>
        <x:v>169.31145770841889</x:v>
      </x:c>
    </x:row>
    <x:row r="66" ht="21" customHeight="1">
      <x:c r="A66" s="1" t="str">
        <x:f>'Inventory inputs'!A66</x:f>
        <x:v>C400</x:v>
      </x:c>
      <x:c r="B66" s="1" t="str">
        <x:f>'Inventory inputs'!B66</x:f>
        <x:v>60</x:v>
      </x:c>
      <x:c r="C66" s="1" t="str">
        <x:f>'Inventory inputs'!C66</x:f>
        <x:v>400LE</x:v>
      </x:c>
      <x:c r="D66" s="7" t="n">
        <x:f>'Inventory inputs'!E66</x:f>
        <x:v>46303</x:v>
      </x:c>
      <x:c r="E66" s="1" t="n">
        <x:f>'Inventory inputs'!F66</x:f>
        <x:v>0</x:v>
      </x:c>
      <x:c r="F66" s="1" t="n">
        <x:f>'Inventory inputs'!G66</x:f>
        <x:v>248.17</x:v>
      </x:c>
      <x:c r="G66" s="1" t="n">
        <x:f>'Inventory inputs'!H66/'Inventory inputs'!J66</x:f>
        <x:v>0.2396</x:v>
      </x:c>
      <x:c r="H66" s="1" t="n">
        <x:f>IF('Inventory inputs'!I66&gt;0,'Inventory inputs'!I66*'Inventory inputs'!K66/'Inventory inputs'!J66,"n.a.")</x:f>
        <x:v>0.2775312</x:v>
      </x:c>
      <x:c r="I66" s="1" t="n">
        <x:f>'Inventory inputs'!L66</x:f>
        <x:v>0</x:v>
      </x:c>
      <x:c r="J66" s="1" t="n">
        <x:f>'Inventory inputs'!M66</x:f>
        <x:v>0</x:v>
      </x:c>
      <x:c r="K66" s="1" t="n">
        <x:f>'Inventory inputs'!N66</x:f>
        <x:v>0</x:v>
      </x:c>
      <x:c r="L66" s="1" t="n">
        <x:f>'Inventory inputs'!O66</x:f>
        <x:v>1</x:v>
      </x:c>
      <x:c r="M66" s="9" t="n">
        <x:f>E66*G66</x:f>
        <x:v>0</x:v>
      </x:c>
      <x:c r="N66" s="9" t="n">
        <x:f>'Inventory inputs'!Q66</x:f>
        <x:v>0</x:v>
      </x:c>
      <x:c r="O66" s="9" t="n">
        <x:f>N66-M66</x:f>
        <x:v>0</x:v>
      </x:c>
      <x:c r="P66" s="1" t="n">
        <x:f>SUMIFS('Incoming POs'!$P$2:$P$305,'Incoming POs'!$A$2:$A$305,A66,'Incoming POs'!$B$2:$B$305,B66,'Incoming POs'!$C$2:$C$305,C66,'Incoming POs'!$G$2:$G$305,"&gt;="&amp;D66,'Incoming POs'!$G$2:$G$305,"&lt;"&amp;Dashboard!$I$5)</x:f>
        <x:v>0</x:v>
      </x:c>
      <x:c r="Q66" s="1" t="n">
        <x:f>F66*Dashboard!$L$5*MAX(0,Dashboard!$I$5-D66)/30.4375</x:f>
        <x:v>330.21388090349075</x:v>
      </x:c>
      <x:c r="R66" s="1" t="n">
        <x:f>MAX(0,E66+P66-Q66)</x:f>
        <x:v>0</x:v>
      </x:c>
      <x:c r="S66" s="1" t="n">
        <x:f>MAX(0,Q66-E66-P66)</x:f>
        <x:v>330.21388090349075</x:v>
      </x:c>
      <x:c r="T66" s="1" t="n">
        <x:f>IF(L66=1,MAX(0,I66+AB66-MIN(Q66,E66+P66)),"n.a.")</x:f>
        <x:v>0</x:v>
      </x:c>
      <x:c r="U66" s="9" t="n">
        <x:f>IF(ISNUMBER(T66),T66*G66,"n.a.")</x:f>
        <x:v>0</x:v>
      </x:c>
      <x:c r="V66" s="25" t="n">
        <x:f>IF(Dashboard!$I$6="Flat %",1,IF(ISNUMBER(H66),1,0))</x:f>
        <x:v>1</x:v>
      </x:c>
      <x:c r="W66" s="9" t="n">
        <x:f>IF(Dashboard!$I$6="Flat %",G66*(1+Dashboard!$L$6),H66)</x:f>
        <x:v>0.2775312</x:v>
      </x:c>
      <x:c r="X66" s="9" t="n">
        <x:f>IF(V66=1,R66*(W66-G66),"n.a.")</x:f>
        <x:v>0</x:v>
      </x:c>
      <x:c r="Y66" s="9" t="n">
        <x:f>IF(V66=1,R66*W66,"n.a.")</x:f>
        <x:v>0</x:v>
      </x:c>
      <x:c r="Z66" s="1" t="n">
        <x:f>IF(ISNUMBER(T66),R66-T66,"n.a.")</x:f>
        <x:v>0</x:v>
      </x:c>
      <x:c r="AA66" s="1" t="str">
        <x:f>'Inventory inputs'!R66</x:f>
        <x:v>Classified</x:v>
      </x:c>
      <x:c r="AB66" s="1" t="n">
        <x:f>IF(L66=1,SUMIFS('Incoming POs'!$P$2:$P$305,'Incoming POs'!$A$2:$A$305,A66,'Incoming POs'!$B$2:$B$305,B66,'Incoming POs'!$C$2:$C$305,C66,'Incoming POs'!$G$2:$G$305,"&gt;="&amp;D66,'Incoming POs'!$G$2:$G$305,"&lt;"&amp;Dashboard!$I$5,'Incoming POs'!$Q$2:$Q$305,"&lt;="&amp;('Inventory inputs'!P66/'Inventory inputs'!J66*1.01)),"n.a.")</x:f>
        <x:v>0</x:v>
      </x:c>
      <x:c r="AC66" s="9" t="n">
        <x:f>I66*G66</x:f>
        <x:v>0</x:v>
      </x:c>
      <x:c r="AD66" s="9" t="n">
        <x:f>J66*G66</x:f>
        <x:v>0</x:v>
      </x:c>
      <x:c r="AE66" s="9" t="n">
        <x:f>K66*G66</x:f>
        <x:v>0</x:v>
      </x:c>
      <x:c r="AF66" s="9" t="n">
        <x:f>R66*G66</x:f>
        <x:v>0</x:v>
      </x:c>
    </x:row>
    <x:row r="67" ht="21" customHeight="1">
      <x:c r="A67" s="1" t="str">
        <x:f>'Inventory inputs'!A67</x:f>
        <x:v>C400</x:v>
      </x:c>
      <x:c r="B67" s="1" t="str">
        <x:f>'Inventory inputs'!B67</x:f>
        <x:v>10</x:v>
      </x:c>
      <x:c r="C67" s="1" t="str">
        <x:f>'Inventory inputs'!C67</x:f>
        <x:v>400ME</x:v>
      </x:c>
      <x:c r="D67" s="7" t="n">
        <x:f>'Inventory inputs'!E67</x:f>
        <x:v>46303</x:v>
      </x:c>
      <x:c r="E67" s="1" t="n">
        <x:f>'Inventory inputs'!F67</x:f>
        <x:v>7350</x:v>
      </x:c>
      <x:c r="F67" s="1" t="n">
        <x:f>'Inventory inputs'!G67</x:f>
        <x:v>202.92</x:v>
      </x:c>
      <x:c r="G67" s="1" t="n">
        <x:f>'Inventory inputs'!H67/'Inventory inputs'!J67</x:f>
        <x:v>0.33549999999999996</x:v>
      </x:c>
      <x:c r="H67" s="1" t="n">
        <x:f>IF('Inventory inputs'!I67&gt;0,'Inventory inputs'!I67*'Inventory inputs'!K67/'Inventory inputs'!J67,"n.a.")</x:f>
        <x:v>0.388584</x:v>
      </x:c>
      <x:c r="I67" s="1" t="n">
        <x:f>'Inventory inputs'!L67</x:f>
        <x:v>7350</x:v>
      </x:c>
      <x:c r="J67" s="1" t="n">
        <x:f>'Inventory inputs'!M67</x:f>
        <x:v>0</x:v>
      </x:c>
      <x:c r="K67" s="1" t="n">
        <x:f>'Inventory inputs'!N67</x:f>
        <x:v>0</x:v>
      </x:c>
      <x:c r="L67" s="1" t="n">
        <x:f>'Inventory inputs'!O67</x:f>
        <x:v>1</x:v>
      </x:c>
      <x:c r="M67" s="9" t="n">
        <x:f>E67*G67</x:f>
        <x:v>2465.9249999999997</x:v>
      </x:c>
      <x:c r="N67" s="9" t="n">
        <x:f>'Inventory inputs'!Q67</x:f>
        <x:v>2465.9249999999997</x:v>
      </x:c>
      <x:c r="O67" s="9" t="n">
        <x:f>N67-M67</x:f>
        <x:v>0</x:v>
      </x:c>
      <x:c r="P67" s="1" t="n">
        <x:f>SUMIFS('Incoming POs'!$P$2:$P$305,'Incoming POs'!$A$2:$A$305,A67,'Incoming POs'!$B$2:$B$305,B67,'Incoming POs'!$C$2:$C$305,C67,'Incoming POs'!$G$2:$G$305,"&gt;="&amp;D67,'Incoming POs'!$G$2:$G$305,"&lt;"&amp;Dashboard!$I$5)</x:f>
        <x:v>0</x:v>
      </x:c>
      <x:c r="Q67" s="1" t="n">
        <x:f>F67*Dashboard!$L$5*MAX(0,Dashboard!$I$5-D67)/30.4375</x:f>
        <x:v>270.00443531827517</x:v>
      </x:c>
      <x:c r="R67" s="1" t="n">
        <x:f>MAX(0,E67+P67-Q67)</x:f>
        <x:v>7079.995564681725</x:v>
      </x:c>
      <x:c r="S67" s="1" t="n">
        <x:f>MAX(0,Q67-E67-P67)</x:f>
        <x:v>0</x:v>
      </x:c>
      <x:c r="T67" s="1" t="n">
        <x:f>IF(L67=1,MAX(0,I67+AB67-MIN(Q67,E67+P67)),"n.a.")</x:f>
        <x:v>7079.995564681725</x:v>
      </x:c>
      <x:c r="U67" s="9" t="n">
        <x:f>IF(ISNUMBER(T67),T67*G67,"n.a.")</x:f>
        <x:v>2375.3385119507184</x:v>
      </x:c>
      <x:c r="V67" s="25" t="n">
        <x:f>IF(Dashboard!$I$6="Flat %",1,IF(ISNUMBER(H67),1,0))</x:f>
        <x:v>1</x:v>
      </x:c>
      <x:c r="W67" s="9" t="n">
        <x:f>IF(Dashboard!$I$6="Flat %",G67*(1+Dashboard!$L$6),H67)</x:f>
        <x:v>0.388584</x:v>
      </x:c>
      <x:c r="X67" s="9" t="n">
        <x:f>IF(V67=1,R67*(W67-G67),"n.a.")</x:f>
        <x:v>375.83448455556487</x:v>
      </x:c>
      <x:c r="Y67" s="9" t="n">
        <x:f>IF(V67=1,R67*W67,"n.a.")</x:f>
        <x:v>2751.172996506283</x:v>
      </x:c>
      <x:c r="Z67" s="1" t="n">
        <x:f>IF(ISNUMBER(T67),R67-T67,"n.a.")</x:f>
        <x:v>0</x:v>
      </x:c>
      <x:c r="AA67" s="1" t="str">
        <x:f>'Inventory inputs'!R67</x:f>
        <x:v>Classified</x:v>
      </x:c>
      <x:c r="AB67" s="1" t="n">
        <x:f>IF(L67=1,SUMIFS('Incoming POs'!$P$2:$P$305,'Incoming POs'!$A$2:$A$305,A67,'Incoming POs'!$B$2:$B$305,B67,'Incoming POs'!$C$2:$C$305,C67,'Incoming POs'!$G$2:$G$305,"&gt;="&amp;D67,'Incoming POs'!$G$2:$G$305,"&lt;"&amp;Dashboard!$I$5,'Incoming POs'!$Q$2:$Q$305,"&lt;="&amp;('Inventory inputs'!P67/'Inventory inputs'!J67*1.01)),"n.a.")</x:f>
        <x:v>0</x:v>
      </x:c>
      <x:c r="AC67" s="9" t="n">
        <x:f>I67*G67</x:f>
        <x:v>2465.9249999999997</x:v>
      </x:c>
      <x:c r="AD67" s="9" t="n">
        <x:f>J67*G67</x:f>
        <x:v>0</x:v>
      </x:c>
      <x:c r="AE67" s="9" t="n">
        <x:f>K67*G67</x:f>
        <x:v>0</x:v>
      </x:c>
      <x:c r="AF67" s="9" t="n">
        <x:f>R67*G67</x:f>
        <x:v>2375.3385119507184</x:v>
      </x:c>
    </x:row>
    <x:row r="68" ht="21" customHeight="1">
      <x:c r="A68" s="1" t="str">
        <x:f>'Inventory inputs'!A68</x:f>
        <x:v>C400</x:v>
      </x:c>
      <x:c r="B68" s="1" t="str">
        <x:f>'Inventory inputs'!B68</x:f>
        <x:v>10</x:v>
      </x:c>
      <x:c r="C68" s="1" t="str">
        <x:f>'Inventory inputs'!C68</x:f>
        <x:v>400LCSC</x:v>
      </x:c>
      <x:c r="D68" s="7" t="n">
        <x:f>'Inventory inputs'!E68</x:f>
        <x:v>46303</x:v>
      </x:c>
      <x:c r="E68" s="1" t="n">
        <x:f>'Inventory inputs'!F68</x:f>
        <x:v>13900</x:v>
      </x:c>
      <x:c r="F68" s="1" t="n">
        <x:f>'Inventory inputs'!G68</x:f>
        <x:v>191.67</x:v>
      </x:c>
      <x:c r="G68" s="1" t="n">
        <x:f>'Inventory inputs'!H68/'Inventory inputs'!J68</x:f>
        <x:v>0.0353</x:v>
      </x:c>
      <x:c r="H68" s="1" t="n">
        <x:f>IF('Inventory inputs'!I68&gt;0,'Inventory inputs'!I68*'Inventory inputs'!K68/'Inventory inputs'!J68,"n.a.")</x:f>
        <x:v>0.0408672</x:v>
      </x:c>
      <x:c r="I68" s="1" t="n">
        <x:f>'Inventory inputs'!L68</x:f>
        <x:v>0</x:v>
      </x:c>
      <x:c r="J68" s="1" t="n">
        <x:f>'Inventory inputs'!M68</x:f>
        <x:v>0</x:v>
      </x:c>
      <x:c r="K68" s="1" t="n">
        <x:f>'Inventory inputs'!N68</x:f>
        <x:v>13900</x:v>
      </x:c>
      <x:c r="L68" s="1" t="n">
        <x:f>'Inventory inputs'!O68</x:f>
        <x:v>0</x:v>
      </x:c>
      <x:c r="M68" s="9" t="n">
        <x:f>E68*G68</x:f>
        <x:v>490.66999999999996</x:v>
      </x:c>
      <x:c r="N68" s="9" t="n">
        <x:f>'Inventory inputs'!Q68</x:f>
        <x:v>490.67</x:v>
      </x:c>
      <x:c r="O68" s="9" t="n">
        <x:f>N68-M68</x:f>
        <x:v>5.684341886080802e-14</x:v>
      </x:c>
      <x:c r="P68" s="1" t="n">
        <x:f>SUMIFS('Incoming POs'!$P$2:$P$305,'Incoming POs'!$A$2:$A$305,A68,'Incoming POs'!$B$2:$B$305,B68,'Incoming POs'!$C$2:$C$305,C68,'Incoming POs'!$G$2:$G$305,"&gt;="&amp;D68,'Incoming POs'!$G$2:$G$305,"&lt;"&amp;Dashboard!$I$5)</x:f>
        <x:v>0</x:v>
      </x:c>
      <x:c r="Q68" s="1" t="n">
        <x:f>F68*Dashboard!$L$5*MAX(0,Dashboard!$I$5-D68)/30.4375</x:f>
        <x:v>255.0352361396304</x:v>
      </x:c>
      <x:c r="R68" s="1" t="n">
        <x:f>MAX(0,E68+P68-Q68)</x:f>
        <x:v>13644.96476386037</x:v>
      </x:c>
      <x:c r="S68" s="1" t="n">
        <x:f>MAX(0,Q68-E68-P68)</x:f>
        <x:v>0</x:v>
      </x:c>
      <x:c r="T68" s="1" t="str">
        <x:f>IF(L68=1,MAX(0,I68+AB68-MIN(Q68,E68+P68)),"n.a.")</x:f>
        <x:v>n.a.</x:v>
      </x:c>
      <x:c r="U68" s="9" t="str">
        <x:f>IF(ISNUMBER(T68),T68*G68,"n.a.")</x:f>
        <x:v>n.a.</x:v>
      </x:c>
      <x:c r="V68" s="25" t="n">
        <x:f>IF(Dashboard!$I$6="Flat %",1,IF(ISNUMBER(H68),1,0))</x:f>
        <x:v>1</x:v>
      </x:c>
      <x:c r="W68" s="9" t="n">
        <x:f>IF(Dashboard!$I$6="Flat %",G68*(1+Dashboard!$L$6),H68)</x:f>
        <x:v>0.0408672</x:v>
      </x:c>
      <x:c r="X68" s="9" t="n">
        <x:f>IF(V68=1,R68*(W68-G68),"n.a.")</x:f>
        <x:v>75.96424783336346</x:v>
      </x:c>
      <x:c r="Y68" s="9" t="n">
        <x:f>IF(V68=1,R68*W68,"n.a.")</x:f>
        <x:v>557.6315039976345</x:v>
      </x:c>
      <x:c r="Z68" s="1" t="str">
        <x:f>IF(ISNUMBER(T68),R68-T68,"n.a.")</x:f>
        <x:v>n.a.</x:v>
      </x:c>
      <x:c r="AA68" s="1" t="str">
        <x:f>'Inventory inputs'!R68</x:f>
        <x:v>Review receipt reconciliation or original PO baseline</x:v>
      </x:c>
      <x:c r="AB68" s="1" t="str">
        <x:f>IF(L68=1,SUMIFS('Incoming POs'!$P$2:$P$305,'Incoming POs'!$A$2:$A$305,A68,'Incoming POs'!$B$2:$B$305,B68,'Incoming POs'!$C$2:$C$305,C68,'Incoming POs'!$G$2:$G$305,"&gt;="&amp;D68,'Incoming POs'!$G$2:$G$305,"&lt;"&amp;Dashboard!$I$5,'Incoming POs'!$Q$2:$Q$305,"&lt;="&amp;('Inventory inputs'!P68/'Inventory inputs'!J68*1.01)),"n.a.")</x:f>
        <x:v>n.a.</x:v>
      </x:c>
      <x:c r="AC68" s="9" t="n">
        <x:f>I68*G68</x:f>
        <x:v>0</x:v>
      </x:c>
      <x:c r="AD68" s="9" t="n">
        <x:f>J68*G68</x:f>
        <x:v>0</x:v>
      </x:c>
      <x:c r="AE68" s="9" t="n">
        <x:f>K68*G68</x:f>
        <x:v>490.66999999999996</x:v>
      </x:c>
      <x:c r="AF68" s="9" t="n">
        <x:f>R68*G68</x:f>
        <x:v>481.667256164271</x:v>
      </x:c>
    </x:row>
    <x:row r="69" ht="21" customHeight="1">
      <x:c r="A69" s="1" t="str">
        <x:f>'Inventory inputs'!A69</x:f>
        <x:v>C400</x:v>
      </x:c>
      <x:c r="B69" s="1" t="str">
        <x:f>'Inventory inputs'!B69</x:f>
        <x:v>10</x:v>
      </x:c>
      <x:c r="C69" s="1" t="str">
        <x:f>'Inventory inputs'!C69</x:f>
        <x:v>400HMBRC</x:v>
      </x:c>
      <x:c r="D69" s="7" t="n">
        <x:f>'Inventory inputs'!E69</x:f>
        <x:v>46303</x:v>
      </x:c>
      <x:c r="E69" s="1" t="n">
        <x:f>'Inventory inputs'!F69</x:f>
        <x:v>2100</x:v>
      </x:c>
      <x:c r="F69" s="1" t="n">
        <x:f>'Inventory inputs'!G69</x:f>
        <x:v>166.67</x:v>
      </x:c>
      <x:c r="G69" s="1" t="n">
        <x:f>'Inventory inputs'!H69/'Inventory inputs'!J69</x:f>
        <x:v>0.0629</x:v>
      </x:c>
      <x:c r="H69" s="1" t="n">
        <x:f>IF('Inventory inputs'!I69&gt;0,'Inventory inputs'!I69*'Inventory inputs'!K69/'Inventory inputs'!J69,"n.a.")</x:f>
        <x:v>0.072864</x:v>
      </x:c>
      <x:c r="I69" s="1" t="n">
        <x:f>'Inventory inputs'!L69</x:f>
        <x:v>2100</x:v>
      </x:c>
      <x:c r="J69" s="1" t="n">
        <x:f>'Inventory inputs'!M69</x:f>
        <x:v>0</x:v>
      </x:c>
      <x:c r="K69" s="1" t="n">
        <x:f>'Inventory inputs'!N69</x:f>
        <x:v>0</x:v>
      </x:c>
      <x:c r="L69" s="1" t="n">
        <x:f>'Inventory inputs'!O69</x:f>
        <x:v>1</x:v>
      </x:c>
      <x:c r="M69" s="9" t="n">
        <x:f>E69*G69</x:f>
        <x:v>132.09</x:v>
      </x:c>
      <x:c r="N69" s="9" t="n">
        <x:f>'Inventory inputs'!Q69</x:f>
        <x:v>132.09</x:v>
      </x:c>
      <x:c r="O69" s="9" t="n">
        <x:f>N69-M69</x:f>
        <x:v>0</x:v>
      </x:c>
      <x:c r="P69" s="1" t="n">
        <x:f>SUMIFS('Incoming POs'!$P$2:$P$305,'Incoming POs'!$A$2:$A$305,A69,'Incoming POs'!$B$2:$B$305,B69,'Incoming POs'!$C$2:$C$305,C69,'Incoming POs'!$G$2:$G$305,"&gt;="&amp;D69,'Incoming POs'!$G$2:$G$305,"&lt;"&amp;Dashboard!$I$5)</x:f>
        <x:v>0</x:v>
      </x:c>
      <x:c r="Q69" s="1" t="n">
        <x:f>F69*Dashboard!$L$5*MAX(0,Dashboard!$I$5-D69)/30.4375</x:f>
        <x:v>221.77034907597536</x:v>
      </x:c>
      <x:c r="R69" s="1" t="n">
        <x:f>MAX(0,E69+P69-Q69)</x:f>
        <x:v>1878.2296509240246</x:v>
      </x:c>
      <x:c r="S69" s="1" t="n">
        <x:f>MAX(0,Q69-E69-P69)</x:f>
        <x:v>0</x:v>
      </x:c>
      <x:c r="T69" s="1" t="n">
        <x:f>IF(L69=1,MAX(0,I69+AB69-MIN(Q69,E69+P69)),"n.a.")</x:f>
        <x:v>1878.2296509240246</x:v>
      </x:c>
      <x:c r="U69" s="9" t="n">
        <x:f>IF(ISNUMBER(T69),T69*G69,"n.a.")</x:f>
        <x:v>118.14064504312114</x:v>
      </x:c>
      <x:c r="V69" s="25" t="n">
        <x:f>IF(Dashboard!$I$6="Flat %",1,IF(ISNUMBER(H69),1,0))</x:f>
        <x:v>1</x:v>
      </x:c>
      <x:c r="W69" s="9" t="n">
        <x:f>IF(Dashboard!$I$6="Flat %",G69*(1+Dashboard!$L$6),H69)</x:f>
        <x:v>0.072864</x:v>
      </x:c>
      <x:c r="X69" s="9" t="n">
        <x:f>IF(V69=1,R69*(W69-G69),"n.a.")</x:f>
        <x:v>18.71468024180698</x:v>
      </x:c>
      <x:c r="Y69" s="9" t="n">
        <x:f>IF(V69=1,R69*W69,"n.a.")</x:f>
        <x:v>136.8553252849281</x:v>
      </x:c>
      <x:c r="Z69" s="1" t="n">
        <x:f>IF(ISNUMBER(T69),R69-T69,"n.a.")</x:f>
        <x:v>0</x:v>
      </x:c>
      <x:c r="AA69" s="1" t="str">
        <x:f>'Inventory inputs'!R69</x:f>
        <x:v>Classified</x:v>
      </x:c>
      <x:c r="AB69" s="1" t="n">
        <x:f>IF(L69=1,SUMIFS('Incoming POs'!$P$2:$P$305,'Incoming POs'!$A$2:$A$305,A69,'Incoming POs'!$B$2:$B$305,B69,'Incoming POs'!$C$2:$C$305,C69,'Incoming POs'!$G$2:$G$305,"&gt;="&amp;D69,'Incoming POs'!$G$2:$G$305,"&lt;"&amp;Dashboard!$I$5,'Incoming POs'!$Q$2:$Q$305,"&lt;="&amp;('Inventory inputs'!P69/'Inventory inputs'!J69*1.01)),"n.a.")</x:f>
        <x:v>0</x:v>
      </x:c>
      <x:c r="AC69" s="9" t="n">
        <x:f>I69*G69</x:f>
        <x:v>132.09</x:v>
      </x:c>
      <x:c r="AD69" s="9" t="n">
        <x:f>J69*G69</x:f>
        <x:v>0</x:v>
      </x:c>
      <x:c r="AE69" s="9" t="n">
        <x:f>K69*G69</x:f>
        <x:v>0</x:v>
      </x:c>
      <x:c r="AF69" s="9" t="n">
        <x:f>R69*G69</x:f>
        <x:v>118.14064504312114</x:v>
      </x:c>
    </x:row>
    <x:row r="70" ht="21" customHeight="1">
      <x:c r="A70" s="1" t="str">
        <x:f>'Inventory inputs'!A70</x:f>
        <x:v>C400</x:v>
      </x:c>
      <x:c r="B70" s="1" t="str">
        <x:f>'Inventory inputs'!B70</x:f>
        <x:v>10</x:v>
      </x:c>
      <x:c r="C70" s="1" t="str">
        <x:f>'Inventory inputs'!C70</x:f>
        <x:v>400LE</x:v>
      </x:c>
      <x:c r="D70" s="7" t="n">
        <x:f>'Inventory inputs'!E70</x:f>
        <x:v>46303</x:v>
      </x:c>
      <x:c r="E70" s="1" t="n">
        <x:f>'Inventory inputs'!F70</x:f>
        <x:v>4689</x:v>
      </x:c>
      <x:c r="F70" s="1" t="n">
        <x:f>'Inventory inputs'!G70</x:f>
        <x:v>150.75</x:v>
      </x:c>
      <x:c r="G70" s="1" t="n">
        <x:f>'Inventory inputs'!H70/'Inventory inputs'!J70</x:f>
        <x:v>0.2396</x:v>
      </x:c>
      <x:c r="H70" s="1" t="n">
        <x:f>IF('Inventory inputs'!I70&gt;0,'Inventory inputs'!I70*'Inventory inputs'!K70/'Inventory inputs'!J70,"n.a.")</x:f>
        <x:v>0.2775312</x:v>
      </x:c>
      <x:c r="I70" s="1" t="n">
        <x:f>'Inventory inputs'!L70</x:f>
        <x:v>2689</x:v>
      </x:c>
      <x:c r="J70" s="1" t="n">
        <x:f>'Inventory inputs'!M70</x:f>
        <x:v>2000</x:v>
      </x:c>
      <x:c r="K70" s="1" t="n">
        <x:f>'Inventory inputs'!N70</x:f>
        <x:v>0</x:v>
      </x:c>
      <x:c r="L70" s="1" t="n">
        <x:f>'Inventory inputs'!O70</x:f>
        <x:v>1</x:v>
      </x:c>
      <x:c r="M70" s="9" t="n">
        <x:f>E70*G70</x:f>
        <x:v>1123.4844</x:v>
      </x:c>
      <x:c r="N70" s="9" t="n">
        <x:f>'Inventory inputs'!Q70</x:f>
        <x:v>1123.4844</x:v>
      </x:c>
      <x:c r="O70" s="9" t="n">
        <x:f>N70-M70</x:f>
        <x:v>0</x:v>
      </x:c>
      <x:c r="P70" s="1" t="n">
        <x:f>SUMIFS('Incoming POs'!$P$2:$P$305,'Incoming POs'!$A$2:$A$305,A70,'Incoming POs'!$B$2:$B$305,B70,'Incoming POs'!$C$2:$C$305,C70,'Incoming POs'!$G$2:$G$305,"&gt;="&amp;D70,'Incoming POs'!$G$2:$G$305,"&lt;"&amp;Dashboard!$I$5)</x:f>
        <x:v>0</x:v>
      </x:c>
      <x:c r="Q70" s="1" t="n">
        <x:f>F70*Dashboard!$L$5*MAX(0,Dashboard!$I$5-D70)/30.4375</x:f>
        <x:v>200.58726899383984</x:v>
      </x:c>
      <x:c r="R70" s="1" t="n">
        <x:f>MAX(0,E70+P70-Q70)</x:f>
        <x:v>4488.41273100616</x:v>
      </x:c>
      <x:c r="S70" s="1" t="n">
        <x:f>MAX(0,Q70-E70-P70)</x:f>
        <x:v>0</x:v>
      </x:c>
      <x:c r="T70" s="1" t="n">
        <x:f>IF(L70=1,MAX(0,I70+AB70-MIN(Q70,E70+P70)),"n.a.")</x:f>
        <x:v>2488.4127310061604</x:v>
      </x:c>
      <x:c r="U70" s="9" t="n">
        <x:f>IF(ISNUMBER(T70),T70*G70,"n.a.")</x:f>
        <x:v>596.223690349076</x:v>
      </x:c>
      <x:c r="V70" s="25" t="n">
        <x:f>IF(Dashboard!$I$6="Flat %",1,IF(ISNUMBER(H70),1,0))</x:f>
        <x:v>1</x:v>
      </x:c>
      <x:c r="W70" s="9" t="n">
        <x:f>IF(Dashboard!$I$6="Flat %",G70*(1+Dashboard!$L$6),H70)</x:f>
        <x:v>0.2775312</x:v>
      </x:c>
      <x:c r="X70" s="9" t="n">
        <x:f>IF(V70=1,R70*(W70-G70),"n.a.")</x:f>
        <x:v>170.25088098234073</x:v>
      </x:c>
      <x:c r="Y70" s="9" t="n">
        <x:f>IF(V70=1,R70*W70,"n.a.")</x:f>
        <x:v>1245.6745713314167</x:v>
      </x:c>
      <x:c r="Z70" s="1" t="n">
        <x:f>IF(ISNUMBER(T70),R70-T70,"n.a.")</x:f>
        <x:v>2000</x:v>
      </x:c>
      <x:c r="AA70" s="1" t="str">
        <x:f>'Inventory inputs'!R70</x:f>
        <x:v>Classified</x:v>
      </x:c>
      <x:c r="AB70" s="1" t="n">
        <x:f>IF(L70=1,SUMIFS('Incoming POs'!$P$2:$P$305,'Incoming POs'!$A$2:$A$305,A70,'Incoming POs'!$B$2:$B$305,B70,'Incoming POs'!$C$2:$C$305,C70,'Incoming POs'!$G$2:$G$305,"&gt;="&amp;D70,'Incoming POs'!$G$2:$G$305,"&lt;"&amp;Dashboard!$I$5,'Incoming POs'!$Q$2:$Q$305,"&lt;="&amp;('Inventory inputs'!P70/'Inventory inputs'!J70*1.01)),"n.a.")</x:f>
        <x:v>0</x:v>
      </x:c>
      <x:c r="AC70" s="9" t="n">
        <x:f>I70*G70</x:f>
        <x:v>644.2844</x:v>
      </x:c>
      <x:c r="AD70" s="9" t="n">
        <x:f>J70*G70</x:f>
        <x:v>479.2</x:v>
      </x:c>
      <x:c r="AE70" s="9" t="n">
        <x:f>K70*G70</x:f>
        <x:v>0</x:v>
      </x:c>
      <x:c r="AF70" s="9" t="n">
        <x:f>R70*G70</x:f>
        <x:v>1075.423690349076</x:v>
      </x:c>
    </x:row>
    <x:row r="71" ht="21" customHeight="1">
      <x:c r="A71" s="1" t="str">
        <x:f>'Inventory inputs'!A71</x:f>
        <x:v>C400</x:v>
      </x:c>
      <x:c r="B71" s="1" t="str">
        <x:f>'Inventory inputs'!B71</x:f>
        <x:v>10</x:v>
      </x:c>
      <x:c r="C71" s="1" t="str">
        <x:f>'Inventory inputs'!C71</x:f>
        <x:v>400LBRC</x:v>
      </x:c>
      <x:c r="D71" s="7" t="n">
        <x:f>'Inventory inputs'!E71</x:f>
        <x:v>46303</x:v>
      </x:c>
      <x:c r="E71" s="1" t="n">
        <x:f>'Inventory inputs'!F71</x:f>
        <x:v>2400</x:v>
      </x:c>
      <x:c r="F71" s="1" t="n">
        <x:f>'Inventory inputs'!G71</x:f>
        <x:v>141.67</x:v>
      </x:c>
      <x:c r="G71" s="1" t="n">
        <x:f>'Inventory inputs'!H71/'Inventory inputs'!J71</x:f>
        <x:v>0.029900000000000003</x:v>
      </x:c>
      <x:c r="H71" s="1" t="n">
        <x:f>IF('Inventory inputs'!I71&gt;0,'Inventory inputs'!I71*'Inventory inputs'!K71/'Inventory inputs'!J71,"n.a.")</x:f>
        <x:v>0.034675199999999996</x:v>
      </x:c>
      <x:c r="I71" s="1" t="n">
        <x:f>'Inventory inputs'!L71</x:f>
        <x:v>1400</x:v>
      </x:c>
      <x:c r="J71" s="1" t="n">
        <x:f>'Inventory inputs'!M71</x:f>
        <x:v>1000</x:v>
      </x:c>
      <x:c r="K71" s="1" t="n">
        <x:f>'Inventory inputs'!N71</x:f>
        <x:v>0</x:v>
      </x:c>
      <x:c r="L71" s="1" t="n">
        <x:f>'Inventory inputs'!O71</x:f>
        <x:v>1</x:v>
      </x:c>
      <x:c r="M71" s="9" t="n">
        <x:f>E71*G71</x:f>
        <x:v>71.76</x:v>
      </x:c>
      <x:c r="N71" s="9" t="n">
        <x:f>'Inventory inputs'!Q71</x:f>
        <x:v>71.76</x:v>
      </x:c>
      <x:c r="O71" s="9" t="n">
        <x:f>N71-M71</x:f>
        <x:v>0</x:v>
      </x:c>
      <x:c r="P71" s="1" t="n">
        <x:f>SUMIFS('Incoming POs'!$P$2:$P$305,'Incoming POs'!$A$2:$A$305,A71,'Incoming POs'!$B$2:$B$305,B71,'Incoming POs'!$C$2:$C$305,C71,'Incoming POs'!$G$2:$G$305,"&gt;="&amp;D71,'Incoming POs'!$G$2:$G$305,"&lt;"&amp;Dashboard!$I$5)</x:f>
        <x:v>0</x:v>
      </x:c>
      <x:c r="Q71" s="1" t="n">
        <x:f>F71*Dashboard!$L$5*MAX(0,Dashboard!$I$5-D71)/30.4375</x:f>
        <x:v>188.50546201232032</x:v>
      </x:c>
      <x:c r="R71" s="1" t="n">
        <x:f>MAX(0,E71+P71-Q71)</x:f>
        <x:v>2211.49453798768</x:v>
      </x:c>
      <x:c r="S71" s="1" t="n">
        <x:f>MAX(0,Q71-E71-P71)</x:f>
        <x:v>0</x:v>
      </x:c>
      <x:c r="T71" s="1" t="n">
        <x:f>IF(L71=1,MAX(0,I71+AB71-MIN(Q71,E71+P71)),"n.a.")</x:f>
        <x:v>1211.4945379876797</x:v>
      </x:c>
      <x:c r="U71" s="9" t="n">
        <x:f>IF(ISNUMBER(T71),T71*G71,"n.a.")</x:f>
        <x:v>36.22368668583162</x:v>
      </x:c>
      <x:c r="V71" s="25" t="n">
        <x:f>IF(Dashboard!$I$6="Flat %",1,IF(ISNUMBER(H71),1,0))</x:f>
        <x:v>1</x:v>
      </x:c>
      <x:c r="W71" s="9" t="n">
        <x:f>IF(Dashboard!$I$6="Flat %",G71*(1+Dashboard!$L$6),H71)</x:f>
        <x:v>0.034675199999999996</x:v>
      </x:c>
      <x:c r="X71" s="9" t="n">
        <x:f>IF(V71=1,R71*(W71-G71),"n.a.")</x:f>
        <x:v>10.560328717798754</x:v>
      </x:c>
      <x:c r="Y71" s="9" t="n">
        <x:f>IF(V71=1,R71*W71,"n.a.")</x:f>
        <x:v>76.6840154036304</x:v>
      </x:c>
      <x:c r="Z71" s="1" t="n">
        <x:f>IF(ISNUMBER(T71),R71-T71,"n.a.")</x:f>
        <x:v>1000.0000000000002</x:v>
      </x:c>
      <x:c r="AA71" s="1" t="str">
        <x:f>'Inventory inputs'!R71</x:f>
        <x:v>Classified</x:v>
      </x:c>
      <x:c r="AB71" s="1" t="n">
        <x:f>IF(L71=1,SUMIFS('Incoming POs'!$P$2:$P$305,'Incoming POs'!$A$2:$A$305,A71,'Incoming POs'!$B$2:$B$305,B71,'Incoming POs'!$C$2:$C$305,C71,'Incoming POs'!$G$2:$G$305,"&gt;="&amp;D71,'Incoming POs'!$G$2:$G$305,"&lt;"&amp;Dashboard!$I$5,'Incoming POs'!$Q$2:$Q$305,"&lt;="&amp;('Inventory inputs'!P71/'Inventory inputs'!J71*1.01)),"n.a.")</x:f>
        <x:v>0</x:v>
      </x:c>
      <x:c r="AC71" s="9" t="n">
        <x:f>I71*G71</x:f>
        <x:v>41.86000000000001</x:v>
      </x:c>
      <x:c r="AD71" s="9" t="n">
        <x:f>J71*G71</x:f>
        <x:v>29.900000000000002</x:v>
      </x:c>
      <x:c r="AE71" s="9" t="n">
        <x:f>K71*G71</x:f>
        <x:v>0</x:v>
      </x:c>
      <x:c r="AF71" s="9" t="n">
        <x:f>R71*G71</x:f>
        <x:v>66.12368668583163</x:v>
      </x:c>
    </x:row>
    <x:row r="72" ht="21" customHeight="1">
      <x:c r="A72" s="1" t="str">
        <x:f>'Inventory inputs'!A72</x:f>
        <x:v>C400</x:v>
      </x:c>
      <x:c r="B72" s="1" t="str">
        <x:f>'Inventory inputs'!B72</x:f>
        <x:v>30</x:v>
      </x:c>
      <x:c r="C72" s="1" t="str">
        <x:f>'Inventory inputs'!C72</x:f>
        <x:v>400HASC19P</x:v>
      </x:c>
      <x:c r="D72" s="7" t="n">
        <x:f>'Inventory inputs'!E72</x:f>
        <x:v>46303</x:v>
      </x:c>
      <x:c r="E72" s="1" t="n">
        <x:f>'Inventory inputs'!F72</x:f>
        <x:v>3600</x:v>
      </x:c>
      <x:c r="F72" s="1" t="n">
        <x:f>'Inventory inputs'!G72</x:f>
        <x:v>125</x:v>
      </x:c>
      <x:c r="G72" s="1" t="n">
        <x:f>'Inventory inputs'!H72/'Inventory inputs'!J72</x:f>
        <x:v>0.0608</x:v>
      </x:c>
      <x:c r="H72" s="1" t="n">
        <x:f>IF('Inventory inputs'!I72&gt;0,'Inventory inputs'!I72*'Inventory inputs'!K72/'Inventory inputs'!J72,"n.a.")</x:f>
        <x:v>0.0703872</x:v>
      </x:c>
      <x:c r="I72" s="1" t="n">
        <x:f>'Inventory inputs'!L72</x:f>
        <x:v>600</x:v>
      </x:c>
      <x:c r="J72" s="1" t="n">
        <x:f>'Inventory inputs'!M72</x:f>
        <x:v>3000</x:v>
      </x:c>
      <x:c r="K72" s="1" t="n">
        <x:f>'Inventory inputs'!N72</x:f>
        <x:v>0</x:v>
      </x:c>
      <x:c r="L72" s="1" t="n">
        <x:f>'Inventory inputs'!O72</x:f>
        <x:v>1</x:v>
      </x:c>
      <x:c r="M72" s="9" t="n">
        <x:f>E72*G72</x:f>
        <x:v>218.88</x:v>
      </x:c>
      <x:c r="N72" s="9" t="n">
        <x:f>'Inventory inputs'!Q72</x:f>
        <x:v>218.88</x:v>
      </x:c>
      <x:c r="O72" s="9" t="n">
        <x:f>N72-M72</x:f>
        <x:v>0</x:v>
      </x:c>
      <x:c r="P72" s="1" t="n">
        <x:f>SUMIFS('Incoming POs'!$P$2:$P$305,'Incoming POs'!$A$2:$A$305,A72,'Incoming POs'!$B$2:$B$305,B72,'Incoming POs'!$C$2:$C$305,C72,'Incoming POs'!$G$2:$G$305,"&gt;="&amp;D72,'Incoming POs'!$G$2:$G$305,"&lt;"&amp;Dashboard!$I$5)</x:f>
        <x:v>0</x:v>
      </x:c>
      <x:c r="Q72" s="1" t="n">
        <x:f>F72*Dashboard!$L$5*MAX(0,Dashboard!$I$5-D72)/30.4375</x:f>
        <x:v>166.32443531827516</x:v>
      </x:c>
      <x:c r="R72" s="1" t="n">
        <x:f>MAX(0,E72+P72-Q72)</x:f>
        <x:v>3433.6755646817246</x:v>
      </x:c>
      <x:c r="S72" s="1" t="n">
        <x:f>MAX(0,Q72-E72-P72)</x:f>
        <x:v>0</x:v>
      </x:c>
      <x:c r="T72" s="1" t="n">
        <x:f>IF(L72=1,MAX(0,I72+AB72-MIN(Q72,E72+P72)),"n.a.")</x:f>
        <x:v>433.67556468172484</x:v>
      </x:c>
      <x:c r="U72" s="9" t="n">
        <x:f>IF(ISNUMBER(T72),T72*G72,"n.a.")</x:f>
        <x:v>26.36747433264887</x:v>
      </x:c>
      <x:c r="V72" s="25" t="n">
        <x:f>IF(Dashboard!$I$6="Flat %",1,IF(ISNUMBER(H72),1,0))</x:f>
        <x:v>1</x:v>
      </x:c>
      <x:c r="W72" s="9" t="n">
        <x:f>IF(Dashboard!$I$6="Flat %",G72*(1+Dashboard!$L$6),H72)</x:f>
        <x:v>0.0703872</x:v>
      </x:c>
      <x:c r="X72" s="9" t="n">
        <x:f>IF(V72=1,R72*(W72-G72),"n.a.")</x:f>
        <x:v>32.91933437371662</x:v>
      </x:c>
      <x:c r="Y72" s="9" t="n">
        <x:f>IF(V72=1,R72*W72,"n.a.")</x:f>
        <x:v>241.68680870636547</x:v>
      </x:c>
      <x:c r="Z72" s="1" t="n">
        <x:f>IF(ISNUMBER(T72),R72-T72,"n.a.")</x:f>
        <x:v>3000</x:v>
      </x:c>
      <x:c r="AA72" s="1" t="str">
        <x:f>'Inventory inputs'!R72</x:f>
        <x:v>Classified</x:v>
      </x:c>
      <x:c r="AB72" s="1" t="n">
        <x:f>IF(L72=1,SUMIFS('Incoming POs'!$P$2:$P$305,'Incoming POs'!$A$2:$A$305,A72,'Incoming POs'!$B$2:$B$305,B72,'Incoming POs'!$C$2:$C$305,C72,'Incoming POs'!$G$2:$G$305,"&gt;="&amp;D72,'Incoming POs'!$G$2:$G$305,"&lt;"&amp;Dashboard!$I$5,'Incoming POs'!$Q$2:$Q$305,"&lt;="&amp;('Inventory inputs'!P72/'Inventory inputs'!J72*1.01)),"n.a.")</x:f>
        <x:v>0</x:v>
      </x:c>
      <x:c r="AC72" s="9" t="n">
        <x:f>I72*G72</x:f>
        <x:v>36.48</x:v>
      </x:c>
      <x:c r="AD72" s="9" t="n">
        <x:f>J72*G72</x:f>
        <x:v>182.4</x:v>
      </x:c>
      <x:c r="AE72" s="9" t="n">
        <x:f>K72*G72</x:f>
        <x:v>0</x:v>
      </x:c>
      <x:c r="AF72" s="9" t="n">
        <x:f>R72*G72</x:f>
        <x:v>208.76747433264885</x:v>
      </x:c>
    </x:row>
    <x:row r="73" ht="21" customHeight="1">
      <x:c r="A73" s="1" t="str">
        <x:f>'Inventory inputs'!A73</x:f>
        <x:v>C400</x:v>
      </x:c>
      <x:c r="B73" s="1" t="str">
        <x:f>'Inventory inputs'!B73</x:f>
        <x:v>30</x:v>
      </x:c>
      <x:c r="C73" s="1" t="str">
        <x:f>'Inventory inputs'!C73</x:f>
        <x:v>400LISC</x:v>
      </x:c>
      <x:c r="D73" s="7" t="n">
        <x:f>'Inventory inputs'!E73</x:f>
        <x:v>46303</x:v>
      </x:c>
      <x:c r="E73" s="1" t="n">
        <x:f>'Inventory inputs'!F73</x:f>
        <x:v>1900</x:v>
      </x:c>
      <x:c r="F73" s="1" t="n">
        <x:f>'Inventory inputs'!G73</x:f>
        <x:v>108.33</x:v>
      </x:c>
      <x:c r="G73" s="1" t="n">
        <x:f>'Inventory inputs'!H73/'Inventory inputs'!J73</x:f>
        <x:v>0.0294</x:v>
      </x:c>
      <x:c r="H73" s="1" t="n">
        <x:f>IF('Inventory inputs'!I73&gt;0,'Inventory inputs'!I73*'Inventory inputs'!K73/'Inventory inputs'!J73,"n.a.")</x:f>
        <x:v>0.0340848</x:v>
      </x:c>
      <x:c r="I73" s="1" t="n">
        <x:f>'Inventory inputs'!L73</x:f>
        <x:v>1900</x:v>
      </x:c>
      <x:c r="J73" s="1" t="n">
        <x:f>'Inventory inputs'!M73</x:f>
        <x:v>0</x:v>
      </x:c>
      <x:c r="K73" s="1" t="n">
        <x:f>'Inventory inputs'!N73</x:f>
        <x:v>0</x:v>
      </x:c>
      <x:c r="L73" s="1" t="n">
        <x:f>'Inventory inputs'!O73</x:f>
        <x:v>1</x:v>
      </x:c>
      <x:c r="M73" s="9" t="n">
        <x:f>E73*G73</x:f>
        <x:v>55.86</x:v>
      </x:c>
      <x:c r="N73" s="9" t="n">
        <x:f>'Inventory inputs'!Q73</x:f>
        <x:v>55.86</x:v>
      </x:c>
      <x:c r="O73" s="9" t="n">
        <x:f>N73-M73</x:f>
        <x:v>0</x:v>
      </x:c>
      <x:c r="P73" s="1" t="n">
        <x:f>SUMIFS('Incoming POs'!$P$2:$P$305,'Incoming POs'!$A$2:$A$305,A73,'Incoming POs'!$B$2:$B$305,B73,'Incoming POs'!$C$2:$C$305,C73,'Incoming POs'!$G$2:$G$305,"&gt;="&amp;D73,'Incoming POs'!$G$2:$G$305,"&lt;"&amp;Dashboard!$I$5)</x:f>
        <x:v>0</x:v>
      </x:c>
      <x:c r="Q73" s="1" t="n">
        <x:f>F73*Dashboard!$L$5*MAX(0,Dashboard!$I$5-D73)/30.4375</x:f>
        <x:v>144.14340862422998</x:v>
      </x:c>
      <x:c r="R73" s="1" t="n">
        <x:f>MAX(0,E73+P73-Q73)</x:f>
        <x:v>1755.85659137577</x:v>
      </x:c>
      <x:c r="S73" s="1" t="n">
        <x:f>MAX(0,Q73-E73-P73)</x:f>
        <x:v>0</x:v>
      </x:c>
      <x:c r="T73" s="1" t="n">
        <x:f>IF(L73=1,MAX(0,I73+AB73-MIN(Q73,E73+P73)),"n.a.")</x:f>
        <x:v>1755.85659137577</x:v>
      </x:c>
      <x:c r="U73" s="9" t="n">
        <x:f>IF(ISNUMBER(T73),T73*G73,"n.a.")</x:f>
        <x:v>51.622183786447636</x:v>
      </x:c>
      <x:c r="V73" s="25" t="n">
        <x:f>IF(Dashboard!$I$6="Flat %",1,IF(ISNUMBER(H73),1,0))</x:f>
        <x:v>1</x:v>
      </x:c>
      <x:c r="W73" s="9" t="n">
        <x:f>IF(Dashboard!$I$6="Flat %",G73*(1+Dashboard!$L$6),H73)</x:f>
        <x:v>0.0340848</x:v>
      </x:c>
      <x:c r="X73" s="9" t="n">
        <x:f>IF(V73=1,R73*(W73-G73),"n.a.")</x:f>
        <x:v>8.225836959277206</x:v>
      </x:c>
      <x:c r="Y73" s="9" t="n">
        <x:f>IF(V73=1,R73*W73,"n.a.")</x:f>
        <x:v>59.848020745724845</x:v>
      </x:c>
      <x:c r="Z73" s="1" t="n">
        <x:f>IF(ISNUMBER(T73),R73-T73,"n.a.")</x:f>
        <x:v>0</x:v>
      </x:c>
      <x:c r="AA73" s="1" t="str">
        <x:f>'Inventory inputs'!R73</x:f>
        <x:v>Classified</x:v>
      </x:c>
      <x:c r="AB73" s="1" t="n">
        <x:f>IF(L73=1,SUMIFS('Incoming POs'!$P$2:$P$305,'Incoming POs'!$A$2:$A$305,A73,'Incoming POs'!$B$2:$B$305,B73,'Incoming POs'!$C$2:$C$305,C73,'Incoming POs'!$G$2:$G$305,"&gt;="&amp;D73,'Incoming POs'!$G$2:$G$305,"&lt;"&amp;Dashboard!$I$5,'Incoming POs'!$Q$2:$Q$305,"&lt;="&amp;('Inventory inputs'!P73/'Inventory inputs'!J73*1.01)),"n.a.")</x:f>
        <x:v>0</x:v>
      </x:c>
      <x:c r="AC73" s="9" t="n">
        <x:f>I73*G73</x:f>
        <x:v>55.86</x:v>
      </x:c>
      <x:c r="AD73" s="9" t="n">
        <x:f>J73*G73</x:f>
        <x:v>0</x:v>
      </x:c>
      <x:c r="AE73" s="9" t="n">
        <x:f>K73*G73</x:f>
        <x:v>0</x:v>
      </x:c>
      <x:c r="AF73" s="9" t="n">
        <x:f>R73*G73</x:f>
        <x:v>51.622183786447636</x:v>
      </x:c>
    </x:row>
    <x:row r="74" ht="21" customHeight="1">
      <x:c r="A74" s="1" t="str">
        <x:f>'Inventory inputs'!A74</x:f>
        <x:v>C400</x:v>
      </x:c>
      <x:c r="B74" s="1" t="str">
        <x:f>'Inventory inputs'!B74</x:f>
        <x:v>30</x:v>
      </x:c>
      <x:c r="C74" s="1" t="str">
        <x:f>'Inventory inputs'!C74</x:f>
        <x:v>400MBRC</x:v>
      </x:c>
      <x:c r="D74" s="7" t="n">
        <x:f>'Inventory inputs'!E74</x:f>
        <x:v>46303</x:v>
      </x:c>
      <x:c r="E74" s="1" t="n">
        <x:f>'Inventory inputs'!F74</x:f>
        <x:v>4000</x:v>
      </x:c>
      <x:c r="F74" s="1" t="n">
        <x:f>'Inventory inputs'!G74</x:f>
        <x:v>108.33</x:v>
      </x:c>
      <x:c r="G74" s="1" t="n">
        <x:f>'Inventory inputs'!H74/'Inventory inputs'!J74</x:f>
        <x:v>0.04190000000000001</x:v>
      </x:c>
      <x:c r="H74" s="1" t="n">
        <x:f>IF('Inventory inputs'!I74&gt;0,'Inventory inputs'!I74*'Inventory inputs'!K74/'Inventory inputs'!J74,"n.a.")</x:f>
        <x:v>0.0485568</x:v>
      </x:c>
      <x:c r="I74" s="1" t="n">
        <x:f>'Inventory inputs'!L74</x:f>
        <x:v>4000</x:v>
      </x:c>
      <x:c r="J74" s="1" t="n">
        <x:f>'Inventory inputs'!M74</x:f>
        <x:v>0</x:v>
      </x:c>
      <x:c r="K74" s="1" t="n">
        <x:f>'Inventory inputs'!N74</x:f>
        <x:v>0</x:v>
      </x:c>
      <x:c r="L74" s="1" t="n">
        <x:f>'Inventory inputs'!O74</x:f>
        <x:v>1</x:v>
      </x:c>
      <x:c r="M74" s="9" t="n">
        <x:f>E74*G74</x:f>
        <x:v>167.60000000000002</x:v>
      </x:c>
      <x:c r="N74" s="9" t="n">
        <x:f>'Inventory inputs'!Q74</x:f>
        <x:v>167.6</x:v>
      </x:c>
      <x:c r="O74" s="9" t="n">
        <x:f>N74-M74</x:f>
        <x:v>-2.842170943040401e-14</x:v>
      </x:c>
      <x:c r="P74" s="1" t="n">
        <x:f>SUMIFS('Incoming POs'!$P$2:$P$305,'Incoming POs'!$A$2:$A$305,A74,'Incoming POs'!$B$2:$B$305,B74,'Incoming POs'!$C$2:$C$305,C74,'Incoming POs'!$G$2:$G$305,"&gt;="&amp;D74,'Incoming POs'!$G$2:$G$305,"&lt;"&amp;Dashboard!$I$5)</x:f>
        <x:v>0</x:v>
      </x:c>
      <x:c r="Q74" s="1" t="n">
        <x:f>F74*Dashboard!$L$5*MAX(0,Dashboard!$I$5-D74)/30.4375</x:f>
        <x:v>144.14340862422998</x:v>
      </x:c>
      <x:c r="R74" s="1" t="n">
        <x:f>MAX(0,E74+P74-Q74)</x:f>
        <x:v>3855.85659137577</x:v>
      </x:c>
      <x:c r="S74" s="1" t="n">
        <x:f>MAX(0,Q74-E74-P74)</x:f>
        <x:v>0</x:v>
      </x:c>
      <x:c r="T74" s="1" t="n">
        <x:f>IF(L74=1,MAX(0,I74+AB74-MIN(Q74,E74+P74)),"n.a.")</x:f>
        <x:v>3855.85659137577</x:v>
      </x:c>
      <x:c r="U74" s="9" t="n">
        <x:f>IF(ISNUMBER(T74),T74*G74,"n.a.")</x:f>
        <x:v>161.5603911786448</x:v>
      </x:c>
      <x:c r="V74" s="25" t="n">
        <x:f>IF(Dashboard!$I$6="Flat %",1,IF(ISNUMBER(H74),1,0))</x:f>
        <x:v>1</x:v>
      </x:c>
      <x:c r="W74" s="9" t="n">
        <x:f>IF(Dashboard!$I$6="Flat %",G74*(1+Dashboard!$L$6),H74)</x:f>
        <x:v>0.0485568</x:v>
      </x:c>
      <x:c r="X74" s="9" t="n">
        <x:f>IF(V74=1,R74*(W74-G74),"n.a.")</x:f>
        <x:v>25.66766615747019</x:v>
      </x:c>
      <x:c r="Y74" s="9" t="n">
        <x:f>IF(V74=1,R74*W74,"n.a.")</x:f>
        <x:v>187.228057336115</x:v>
      </x:c>
      <x:c r="Z74" s="1" t="n">
        <x:f>IF(ISNUMBER(T74),R74-T74,"n.a.")</x:f>
        <x:v>0</x:v>
      </x:c>
      <x:c r="AA74" s="1" t="str">
        <x:f>'Inventory inputs'!R74</x:f>
        <x:v>Classified</x:v>
      </x:c>
      <x:c r="AB74" s="1" t="n">
        <x:f>IF(L74=1,SUMIFS('Incoming POs'!$P$2:$P$305,'Incoming POs'!$A$2:$A$305,A74,'Incoming POs'!$B$2:$B$305,B74,'Incoming POs'!$C$2:$C$305,C74,'Incoming POs'!$G$2:$G$305,"&gt;="&amp;D74,'Incoming POs'!$G$2:$G$305,"&lt;"&amp;Dashboard!$I$5,'Incoming POs'!$Q$2:$Q$305,"&lt;="&amp;('Inventory inputs'!P74/'Inventory inputs'!J74*1.01)),"n.a.")</x:f>
        <x:v>0</x:v>
      </x:c>
      <x:c r="AC74" s="9" t="n">
        <x:f>I74*G74</x:f>
        <x:v>167.60000000000002</x:v>
      </x:c>
      <x:c r="AD74" s="9" t="n">
        <x:f>J74*G74</x:f>
        <x:v>0</x:v>
      </x:c>
      <x:c r="AE74" s="9" t="n">
        <x:f>K74*G74</x:f>
        <x:v>0</x:v>
      </x:c>
      <x:c r="AF74" s="9" t="n">
        <x:f>R74*G74</x:f>
        <x:v>161.5603911786448</x:v>
      </x:c>
    </x:row>
    <x:row r="75" ht="21" customHeight="1">
      <x:c r="A75" s="1" t="str">
        <x:f>'Inventory inputs'!A75</x:f>
        <x:v>C400</x:v>
      </x:c>
      <x:c r="B75" s="1" t="str">
        <x:f>'Inventory inputs'!B75</x:f>
        <x:v>60</x:v>
      </x:c>
      <x:c r="C75" s="1" t="str">
        <x:f>'Inventory inputs'!C75</x:f>
        <x:v>400LBRC</x:v>
      </x:c>
      <x:c r="D75" s="7" t="n">
        <x:f>'Inventory inputs'!E75</x:f>
        <x:v>46303</x:v>
      </x:c>
      <x:c r="E75" s="1" t="n">
        <x:f>'Inventory inputs'!F75</x:f>
        <x:v>5600</x:v>
      </x:c>
      <x:c r="F75" s="1" t="n">
        <x:f>'Inventory inputs'!G75</x:f>
        <x:v>108.33</x:v>
      </x:c>
      <x:c r="G75" s="1" t="n">
        <x:f>'Inventory inputs'!H75/'Inventory inputs'!J75</x:f>
        <x:v>0.029900000000000003</x:v>
      </x:c>
      <x:c r="H75" s="1" t="n">
        <x:f>IF('Inventory inputs'!I75&gt;0,'Inventory inputs'!I75*'Inventory inputs'!K75/'Inventory inputs'!J75,"n.a.")</x:f>
        <x:v>0.034675199999999996</x:v>
      </x:c>
      <x:c r="I75" s="1" t="n">
        <x:f>'Inventory inputs'!L75</x:f>
        <x:v>5600</x:v>
      </x:c>
      <x:c r="J75" s="1" t="n">
        <x:f>'Inventory inputs'!M75</x:f>
        <x:v>0</x:v>
      </x:c>
      <x:c r="K75" s="1" t="n">
        <x:f>'Inventory inputs'!N75</x:f>
        <x:v>0</x:v>
      </x:c>
      <x:c r="L75" s="1" t="n">
        <x:f>'Inventory inputs'!O75</x:f>
        <x:v>1</x:v>
      </x:c>
      <x:c r="M75" s="9" t="n">
        <x:f>E75*G75</x:f>
        <x:v>167.44000000000003</x:v>
      </x:c>
      <x:c r="N75" s="9" t="n">
        <x:f>'Inventory inputs'!Q75</x:f>
        <x:v>167.44</x:v>
      </x:c>
      <x:c r="O75" s="9" t="n">
        <x:f>N75-M75</x:f>
        <x:v>-2.842170943040401e-14</x:v>
      </x:c>
      <x:c r="P75" s="1" t="n">
        <x:f>SUMIFS('Incoming POs'!$P$2:$P$305,'Incoming POs'!$A$2:$A$305,A75,'Incoming POs'!$B$2:$B$305,B75,'Incoming POs'!$C$2:$C$305,C75,'Incoming POs'!$G$2:$G$305,"&gt;="&amp;D75,'Incoming POs'!$G$2:$G$305,"&lt;"&amp;Dashboard!$I$5)</x:f>
        <x:v>0</x:v>
      </x:c>
      <x:c r="Q75" s="1" t="n">
        <x:f>F75*Dashboard!$L$5*MAX(0,Dashboard!$I$5-D75)/30.4375</x:f>
        <x:v>144.14340862422998</x:v>
      </x:c>
      <x:c r="R75" s="1" t="n">
        <x:f>MAX(0,E75+P75-Q75)</x:f>
        <x:v>5455.85659137577</x:v>
      </x:c>
      <x:c r="S75" s="1" t="n">
        <x:f>MAX(0,Q75-E75-P75)</x:f>
        <x:v>0</x:v>
      </x:c>
      <x:c r="T75" s="1" t="n">
        <x:f>IF(L75=1,MAX(0,I75+AB75-MIN(Q75,E75+P75)),"n.a.")</x:f>
        <x:v>5455.85659137577</x:v>
      </x:c>
      <x:c r="U75" s="9" t="n">
        <x:f>IF(ISNUMBER(T75),T75*G75,"n.a.")</x:f>
        <x:v>163.13011208213555</x:v>
      </x:c>
      <x:c r="V75" s="25" t="n">
        <x:f>IF(Dashboard!$I$6="Flat %",1,IF(ISNUMBER(H75),1,0))</x:f>
        <x:v>1</x:v>
      </x:c>
      <x:c r="W75" s="9" t="n">
        <x:f>IF(Dashboard!$I$6="Flat %",G75*(1+Dashboard!$L$6),H75)</x:f>
        <x:v>0.034675199999999996</x:v>
      </x:c>
      <x:c r="X75" s="9" t="n">
        <x:f>IF(V75=1,R75*(W75-G75),"n.a.")</x:f>
        <x:v>26.05280639513754</x:v>
      </x:c>
      <x:c r="Y75" s="9" t="n">
        <x:f>IF(V75=1,R75*W75,"n.a.")</x:f>
        <x:v>189.1829184772731</x:v>
      </x:c>
      <x:c r="Z75" s="1" t="n">
        <x:f>IF(ISNUMBER(T75),R75-T75,"n.a.")</x:f>
        <x:v>0</x:v>
      </x:c>
      <x:c r="AA75" s="1" t="str">
        <x:f>'Inventory inputs'!R75</x:f>
        <x:v>Classified</x:v>
      </x:c>
      <x:c r="AB75" s="1" t="n">
        <x:f>IF(L75=1,SUMIFS('Incoming POs'!$P$2:$P$305,'Incoming POs'!$A$2:$A$305,A75,'Incoming POs'!$B$2:$B$305,B75,'Incoming POs'!$C$2:$C$305,C75,'Incoming POs'!$G$2:$G$305,"&gt;="&amp;D75,'Incoming POs'!$G$2:$G$305,"&lt;"&amp;Dashboard!$I$5,'Incoming POs'!$Q$2:$Q$305,"&lt;="&amp;('Inventory inputs'!P75/'Inventory inputs'!J75*1.01)),"n.a.")</x:f>
        <x:v>0</x:v>
      </x:c>
      <x:c r="AC75" s="9" t="n">
        <x:f>I75*G75</x:f>
        <x:v>167.44000000000003</x:v>
      </x:c>
      <x:c r="AD75" s="9" t="n">
        <x:f>J75*G75</x:f>
        <x:v>0</x:v>
      </x:c>
      <x:c r="AE75" s="9" t="n">
        <x:f>K75*G75</x:f>
        <x:v>0</x:v>
      </x:c>
      <x:c r="AF75" s="9" t="n">
        <x:f>R75*G75</x:f>
        <x:v>163.13011208213555</x:v>
      </x:c>
    </x:row>
    <x:row r="76" ht="21" customHeight="1">
      <x:c r="A76" s="1" t="str">
        <x:f>'Inventory inputs'!A76</x:f>
        <x:v>C400</x:v>
      </x:c>
      <x:c r="B76" s="1" t="str">
        <x:f>'Inventory inputs'!B76</x:f>
        <x:v>30</x:v>
      </x:c>
      <x:c r="C76" s="1" t="str">
        <x:f>'Inventory inputs'!C76</x:f>
        <x:v>400MASC19P</x:v>
      </x:c>
      <x:c r="D76" s="7" t="n">
        <x:f>'Inventory inputs'!E76</x:f>
        <x:v>46303</x:v>
      </x:c>
      <x:c r="E76" s="1" t="n">
        <x:f>'Inventory inputs'!F76</x:f>
        <x:v>4000</x:v>
      </x:c>
      <x:c r="F76" s="1" t="n">
        <x:f>'Inventory inputs'!G76</x:f>
        <x:v>41.67</x:v>
      </x:c>
      <x:c r="G76" s="1" t="n">
        <x:f>'Inventory inputs'!H76/'Inventory inputs'!J76</x:f>
        <x:v>0.0441</x:v>
      </x:c>
      <x:c r="H76" s="1" t="n">
        <x:f>IF('Inventory inputs'!I76&gt;0,'Inventory inputs'!I76*'Inventory inputs'!K76/'Inventory inputs'!J76,"n.a.")</x:f>
        <x:v>0.051062399999999994</x:v>
      </x:c>
      <x:c r="I76" s="1" t="n">
        <x:f>'Inventory inputs'!L76</x:f>
        <x:v>4000</x:v>
      </x:c>
      <x:c r="J76" s="1" t="n">
        <x:f>'Inventory inputs'!M76</x:f>
        <x:v>0</x:v>
      </x:c>
      <x:c r="K76" s="1" t="n">
        <x:f>'Inventory inputs'!N76</x:f>
        <x:v>0</x:v>
      </x:c>
      <x:c r="L76" s="1" t="n">
        <x:f>'Inventory inputs'!O76</x:f>
        <x:v>1</x:v>
      </x:c>
      <x:c r="M76" s="9" t="n">
        <x:f>E76*G76</x:f>
        <x:v>176.4</x:v>
      </x:c>
      <x:c r="N76" s="9" t="n">
        <x:f>'Inventory inputs'!Q76</x:f>
        <x:v>176.4</x:v>
      </x:c>
      <x:c r="O76" s="9" t="n">
        <x:f>N76-M76</x:f>
        <x:v>0</x:v>
      </x:c>
      <x:c r="P76" s="1" t="n">
        <x:f>SUMIFS('Incoming POs'!$P$2:$P$305,'Incoming POs'!$A$2:$A$305,A76,'Incoming POs'!$B$2:$B$305,B76,'Incoming POs'!$C$2:$C$305,C76,'Incoming POs'!$G$2:$G$305,"&gt;="&amp;D76,'Incoming POs'!$G$2:$G$305,"&lt;"&amp;Dashboard!$I$5)</x:f>
        <x:v>0</x:v>
      </x:c>
      <x:c r="Q76" s="1" t="n">
        <x:f>F76*Dashboard!$L$5*MAX(0,Dashboard!$I$5-D76)/30.4375</x:f>
        <x:v>55.445913757700204</x:v>
      </x:c>
      <x:c r="R76" s="1" t="n">
        <x:f>MAX(0,E76+P76-Q76)</x:f>
        <x:v>3944.5540862423</x:v>
      </x:c>
      <x:c r="S76" s="1" t="n">
        <x:f>MAX(0,Q76-E76-P76)</x:f>
        <x:v>0</x:v>
      </x:c>
      <x:c r="T76" s="1" t="n">
        <x:f>IF(L76=1,MAX(0,I76+AB76-MIN(Q76,E76+P76)),"n.a.")</x:f>
        <x:v>3944.5540862423</x:v>
      </x:c>
      <x:c r="U76" s="9" t="n">
        <x:f>IF(ISNUMBER(T76),T76*G76,"n.a.")</x:f>
        <x:v>173.95483520328543</x:v>
      </x:c>
      <x:c r="V76" s="25" t="n">
        <x:f>IF(Dashboard!$I$6="Flat %",1,IF(ISNUMBER(H76),1,0))</x:f>
        <x:v>1</x:v>
      </x:c>
      <x:c r="W76" s="9" t="n">
        <x:f>IF(Dashboard!$I$6="Flat %",G76*(1+Dashboard!$L$6),H76)</x:f>
        <x:v>0.051062399999999994</x:v>
      </x:c>
      <x:c r="X76" s="9" t="n">
        <x:f>IF(V76=1,R76*(W76-G76),"n.a.")</x:f>
        <x:v>27.463563370053365</x:v>
      </x:c>
      <x:c r="Y76" s="9" t="n">
        <x:f>IF(V76=1,R76*W76,"n.a.")</x:f>
        <x:v>201.4183985733388</x:v>
      </x:c>
      <x:c r="Z76" s="1" t="n">
        <x:f>IF(ISNUMBER(T76),R76-T76,"n.a.")</x:f>
        <x:v>0</x:v>
      </x:c>
      <x:c r="AA76" s="1" t="str">
        <x:f>'Inventory inputs'!R76</x:f>
        <x:v>Classified</x:v>
      </x:c>
      <x:c r="AB76" s="1" t="n">
        <x:f>IF(L76=1,SUMIFS('Incoming POs'!$P$2:$P$305,'Incoming POs'!$A$2:$A$305,A76,'Incoming POs'!$B$2:$B$305,B76,'Incoming POs'!$C$2:$C$305,C76,'Incoming POs'!$G$2:$G$305,"&gt;="&amp;D76,'Incoming POs'!$G$2:$G$305,"&lt;"&amp;Dashboard!$I$5,'Incoming POs'!$Q$2:$Q$305,"&lt;="&amp;('Inventory inputs'!P76/'Inventory inputs'!J76*1.01)),"n.a.")</x:f>
        <x:v>0</x:v>
      </x:c>
      <x:c r="AC76" s="9" t="n">
        <x:f>I76*G76</x:f>
        <x:v>176.4</x:v>
      </x:c>
      <x:c r="AD76" s="9" t="n">
        <x:f>J76*G76</x:f>
        <x:v>0</x:v>
      </x:c>
      <x:c r="AE76" s="9" t="n">
        <x:f>K76*G76</x:f>
        <x:v>0</x:v>
      </x:c>
      <x:c r="AF76" s="9" t="n">
        <x:f>R76*G76</x:f>
        <x:v>173.95483520328543</x:v>
      </x:c>
    </x:row>
    <x:row r="77" ht="21" customHeight="1">
      <x:c r="A77" s="1" t="str">
        <x:f>'Inventory inputs'!A77</x:f>
        <x:v>C400</x:v>
      </x:c>
      <x:c r="B77" s="1" t="str">
        <x:f>'Inventory inputs'!B77</x:f>
        <x:v>30</x:v>
      </x:c>
      <x:c r="C77" s="1" t="str">
        <x:f>'Inventory inputs'!C77</x:f>
        <x:v>400LCSC</x:v>
      </x:c>
      <x:c r="D77" s="7" t="n">
        <x:f>'Inventory inputs'!E77</x:f>
        <x:v>46303</x:v>
      </x:c>
      <x:c r="E77" s="1" t="n">
        <x:f>'Inventory inputs'!F77</x:f>
        <x:v>2200</x:v>
      </x:c>
      <x:c r="F77" s="1" t="n">
        <x:f>'Inventory inputs'!G77</x:f>
        <x:v>25</x:v>
      </x:c>
      <x:c r="G77" s="1" t="n">
        <x:f>'Inventory inputs'!H77/'Inventory inputs'!J77</x:f>
        <x:v>0.0353</x:v>
      </x:c>
      <x:c r="H77" s="1" t="n">
        <x:f>IF('Inventory inputs'!I77&gt;0,'Inventory inputs'!I77*'Inventory inputs'!K77/'Inventory inputs'!J77,"n.a.")</x:f>
        <x:v>0.0408672</x:v>
      </x:c>
      <x:c r="I77" s="1" t="n">
        <x:f>'Inventory inputs'!L77</x:f>
        <x:v>0</x:v>
      </x:c>
      <x:c r="J77" s="1" t="n">
        <x:f>'Inventory inputs'!M77</x:f>
        <x:v>0</x:v>
      </x:c>
      <x:c r="K77" s="1" t="n">
        <x:f>'Inventory inputs'!N77</x:f>
        <x:v>2200</x:v>
      </x:c>
      <x:c r="L77" s="1" t="n">
        <x:f>'Inventory inputs'!O77</x:f>
        <x:v>0</x:v>
      </x:c>
      <x:c r="M77" s="9" t="n">
        <x:f>E77*G77</x:f>
        <x:v>77.66</x:v>
      </x:c>
      <x:c r="N77" s="9" t="n">
        <x:f>'Inventory inputs'!Q77</x:f>
        <x:v>77.66</x:v>
      </x:c>
      <x:c r="O77" s="9" t="n">
        <x:f>N77-M77</x:f>
        <x:v>0</x:v>
      </x:c>
      <x:c r="P77" s="1" t="n">
        <x:f>SUMIFS('Incoming POs'!$P$2:$P$305,'Incoming POs'!$A$2:$A$305,A77,'Incoming POs'!$B$2:$B$305,B77,'Incoming POs'!$C$2:$C$305,C77,'Incoming POs'!$G$2:$G$305,"&gt;="&amp;D77,'Incoming POs'!$G$2:$G$305,"&lt;"&amp;Dashboard!$I$5)</x:f>
        <x:v>0</x:v>
      </x:c>
      <x:c r="Q77" s="1" t="n">
        <x:f>F77*Dashboard!$L$5*MAX(0,Dashboard!$I$5-D77)/30.4375</x:f>
        <x:v>33.26488706365503</x:v>
      </x:c>
      <x:c r="R77" s="1" t="n">
        <x:f>MAX(0,E77+P77-Q77)</x:f>
        <x:v>2166.735112936345</x:v>
      </x:c>
      <x:c r="S77" s="1" t="n">
        <x:f>MAX(0,Q77-E77-P77)</x:f>
        <x:v>0</x:v>
      </x:c>
      <x:c r="T77" s="1" t="str">
        <x:f>IF(L77=1,MAX(0,I77+AB77-MIN(Q77,E77+P77)),"n.a.")</x:f>
        <x:v>n.a.</x:v>
      </x:c>
      <x:c r="U77" s="9" t="str">
        <x:f>IF(ISNUMBER(T77),T77*G77,"n.a.")</x:f>
        <x:v>n.a.</x:v>
      </x:c>
      <x:c r="V77" s="25" t="n">
        <x:f>IF(Dashboard!$I$6="Flat %",1,IF(ISNUMBER(H77),1,0))</x:f>
        <x:v>1</x:v>
      </x:c>
      <x:c r="W77" s="9" t="n">
        <x:f>IF(Dashboard!$I$6="Flat %",G77*(1+Dashboard!$L$6),H77)</x:f>
        <x:v>0.0408672</x:v>
      </x:c>
      <x:c r="X77" s="9" t="n">
        <x:f>IF(V77=1,R77*(W77-G77),"n.a.")</x:f>
        <x:v>12.062647720739223</x:v>
      </x:c>
      <x:c r="Y77" s="9" t="n">
        <x:f>IF(V77=1,R77*W77,"n.a.")</x:f>
        <x:v>88.5483972073922</x:v>
      </x:c>
      <x:c r="Z77" s="1" t="str">
        <x:f>IF(ISNUMBER(T77),R77-T77,"n.a.")</x:f>
        <x:v>n.a.</x:v>
      </x:c>
      <x:c r="AA77" s="1" t="str">
        <x:f>'Inventory inputs'!R77</x:f>
        <x:v>Review receipt reconciliation or original PO baseline</x:v>
      </x:c>
      <x:c r="AB77" s="1" t="str">
        <x:f>IF(L77=1,SUMIFS('Incoming POs'!$P$2:$P$305,'Incoming POs'!$A$2:$A$305,A77,'Incoming POs'!$B$2:$B$305,B77,'Incoming POs'!$C$2:$C$305,C77,'Incoming POs'!$G$2:$G$305,"&gt;="&amp;D77,'Incoming POs'!$G$2:$G$305,"&lt;"&amp;Dashboard!$I$5,'Incoming POs'!$Q$2:$Q$305,"&lt;="&amp;('Inventory inputs'!P77/'Inventory inputs'!J77*1.01)),"n.a.")</x:f>
        <x:v>n.a.</x:v>
      </x:c>
      <x:c r="AC77" s="9" t="n">
        <x:f>I77*G77</x:f>
        <x:v>0</x:v>
      </x:c>
      <x:c r="AD77" s="9" t="n">
        <x:f>J77*G77</x:f>
        <x:v>0</x:v>
      </x:c>
      <x:c r="AE77" s="9" t="n">
        <x:f>K77*G77</x:f>
        <x:v>77.66</x:v>
      </x:c>
      <x:c r="AF77" s="9" t="n">
        <x:f>R77*G77</x:f>
        <x:v>76.48574948665298</x:v>
      </x:c>
    </x:row>
    <x:row r="78" ht="21" customHeight="1">
      <x:c r="A78" s="1" t="str">
        <x:f>'Inventory inputs'!A78</x:f>
        <x:v>C400</x:v>
      </x:c>
      <x:c r="B78" s="1" t="str">
        <x:f>'Inventory inputs'!B78</x:f>
        <x:v>30</x:v>
      </x:c>
      <x:c r="C78" s="1" t="str">
        <x:f>'Inventory inputs'!C78</x:f>
        <x:v>400HASC3</x:v>
      </x:c>
      <x:c r="D78" s="7" t="n">
        <x:f>'Inventory inputs'!E78</x:f>
        <x:v>46303</x:v>
      </x:c>
      <x:c r="E78" s="1" t="n">
        <x:f>'Inventory inputs'!F78</x:f>
        <x:v>600</x:v>
      </x:c>
      <x:c r="F78" s="1" t="n">
        <x:f>'Inventory inputs'!G78</x:f>
        <x:v>16.67</x:v>
      </x:c>
      <x:c r="G78" s="1" t="n">
        <x:f>'Inventory inputs'!H78/'Inventory inputs'!J78</x:f>
        <x:v>0.0666</x:v>
      </x:c>
      <x:c r="H78" s="1" t="str">
        <x:f>IF('Inventory inputs'!I78&gt;0,'Inventory inputs'!I78*'Inventory inputs'!K78/'Inventory inputs'!J78,"n.a.")</x:f>
        <x:v>n.a.</x:v>
      </x:c>
      <x:c r="I78" s="1" t="n">
        <x:f>'Inventory inputs'!L78</x:f>
        <x:v>0</x:v>
      </x:c>
      <x:c r="J78" s="1" t="n">
        <x:f>'Inventory inputs'!M78</x:f>
        <x:v>0</x:v>
      </x:c>
      <x:c r="K78" s="1" t="n">
        <x:f>'Inventory inputs'!N78</x:f>
        <x:v>600</x:v>
      </x:c>
      <x:c r="L78" s="1" t="n">
        <x:f>'Inventory inputs'!O78</x:f>
        <x:v>0</x:v>
      </x:c>
      <x:c r="M78" s="9" t="n">
        <x:f>E78*G78</x:f>
        <x:v>39.96</x:v>
      </x:c>
      <x:c r="N78" s="9" t="n">
        <x:f>'Inventory inputs'!Q78</x:f>
        <x:v>39.96</x:v>
      </x:c>
      <x:c r="O78" s="9" t="n">
        <x:f>N78-M78</x:f>
        <x:v>0</x:v>
      </x:c>
      <x:c r="P78" s="1" t="n">
        <x:f>SUMIFS('Incoming POs'!$P$2:$P$305,'Incoming POs'!$A$2:$A$305,A78,'Incoming POs'!$B$2:$B$305,B78,'Incoming POs'!$C$2:$C$305,C78,'Incoming POs'!$G$2:$G$305,"&gt;="&amp;D78,'Incoming POs'!$G$2:$G$305,"&lt;"&amp;Dashboard!$I$5)</x:f>
        <x:v>0</x:v>
      </x:c>
      <x:c r="Q78" s="1" t="n">
        <x:f>F78*Dashboard!$L$5*MAX(0,Dashboard!$I$5-D78)/30.4375</x:f>
        <x:v>22.18102669404518</x:v>
      </x:c>
      <x:c r="R78" s="1" t="n">
        <x:f>MAX(0,E78+P78-Q78)</x:f>
        <x:v>577.8189733059548</x:v>
      </x:c>
      <x:c r="S78" s="1" t="n">
        <x:f>MAX(0,Q78-E78-P78)</x:f>
        <x:v>0</x:v>
      </x:c>
      <x:c r="T78" s="1" t="str">
        <x:f>IF(L78=1,MAX(0,I78+AB78-MIN(Q78,E78+P78)),"n.a.")</x:f>
        <x:v>n.a.</x:v>
      </x:c>
      <x:c r="U78" s="9" t="str">
        <x:f>IF(ISNUMBER(T78),T78*G78,"n.a.")</x:f>
        <x:v>n.a.</x:v>
      </x:c>
      <x:c r="V78" s="25" t="n">
        <x:f>IF(Dashboard!$I$6="Flat %",1,IF(ISNUMBER(H78),1,0))</x:f>
        <x:v>0</x:v>
      </x:c>
      <x:c r="W78" s="9" t="str">
        <x:f>IF(Dashboard!$I$6="Flat %",G78*(1+Dashboard!$L$6),H78)</x:f>
        <x:v>n.a.</x:v>
      </x:c>
      <x:c r="X78" s="9" t="str">
        <x:f>IF(V78=1,R78*(W78-G78),"n.a.")</x:f>
        <x:v>n.a.</x:v>
      </x:c>
      <x:c r="Y78" s="9" t="str">
        <x:f>IF(V78=1,R78*W78,"n.a.")</x:f>
        <x:v>n.a.</x:v>
      </x:c>
      <x:c r="Z78" s="1" t="str">
        <x:f>IF(ISNUMBER(T78),R78-T78,"n.a.")</x:f>
        <x:v>n.a.</x:v>
      </x:c>
      <x:c r="AA78" s="1" t="str">
        <x:f>'Inventory inputs'!R78</x:f>
        <x:v>Review receipt reconciliation or original PO baseline</x:v>
      </x:c>
      <x:c r="AB78" s="1" t="str">
        <x:f>IF(L78=1,SUMIFS('Incoming POs'!$P$2:$P$305,'Incoming POs'!$A$2:$A$305,A78,'Incoming POs'!$B$2:$B$305,B78,'Incoming POs'!$C$2:$C$305,C78,'Incoming POs'!$G$2:$G$305,"&gt;="&amp;D78,'Incoming POs'!$G$2:$G$305,"&lt;"&amp;Dashboard!$I$5,'Incoming POs'!$Q$2:$Q$305,"&lt;="&amp;('Inventory inputs'!P78/'Inventory inputs'!J78*1.01)),"n.a.")</x:f>
        <x:v>n.a.</x:v>
      </x:c>
      <x:c r="AC78" s="9" t="n">
        <x:f>I78*G78</x:f>
        <x:v>0</x:v>
      </x:c>
      <x:c r="AD78" s="9" t="n">
        <x:f>J78*G78</x:f>
        <x:v>0</x:v>
      </x:c>
      <x:c r="AE78" s="9" t="n">
        <x:f>K78*G78</x:f>
        <x:v>39.96</x:v>
      </x:c>
      <x:c r="AF78" s="9" t="n">
        <x:f>R78*G78</x:f>
        <x:v>38.4827436221766</x:v>
      </x:c>
    </x:row>
    <x:row r="79" ht="21" customHeight="1">
      <x:c r="A79" s="1" t="str">
        <x:f>'Inventory inputs'!A79</x:f>
        <x:v>C400</x:v>
      </x:c>
      <x:c r="B79" s="1" t="str">
        <x:f>'Inventory inputs'!B79</x:f>
        <x:v>60</x:v>
      </x:c>
      <x:c r="C79" s="1" t="str">
        <x:f>'Inventory inputs'!C79</x:f>
        <x:v>400HMBRC</x:v>
      </x:c>
      <x:c r="D79" s="7" t="n">
        <x:f>'Inventory inputs'!E79</x:f>
        <x:v>46303</x:v>
      </x:c>
      <x:c r="E79" s="1" t="n">
        <x:f>'Inventory inputs'!F79</x:f>
        <x:v>2500</x:v>
      </x:c>
      <x:c r="F79" s="1" t="n">
        <x:f>'Inventory inputs'!G79</x:f>
        <x:v>16.67</x:v>
      </x:c>
      <x:c r="G79" s="1" t="n">
        <x:f>'Inventory inputs'!H79/'Inventory inputs'!J79</x:f>
        <x:v>0.0629</x:v>
      </x:c>
      <x:c r="H79" s="1" t="n">
        <x:f>IF('Inventory inputs'!I79&gt;0,'Inventory inputs'!I79*'Inventory inputs'!K79/'Inventory inputs'!J79,"n.a.")</x:f>
        <x:v>0.072864</x:v>
      </x:c>
      <x:c r="I79" s="1" t="n">
        <x:f>'Inventory inputs'!L79</x:f>
        <x:v>0</x:v>
      </x:c>
      <x:c r="J79" s="1" t="n">
        <x:f>'Inventory inputs'!M79</x:f>
        <x:v>0</x:v>
      </x:c>
      <x:c r="K79" s="1" t="n">
        <x:f>'Inventory inputs'!N79</x:f>
        <x:v>2500</x:v>
      </x:c>
      <x:c r="L79" s="1" t="n">
        <x:f>'Inventory inputs'!O79</x:f>
        <x:v>0</x:v>
      </x:c>
      <x:c r="M79" s="9" t="n">
        <x:f>E79*G79</x:f>
        <x:v>157.25</x:v>
      </x:c>
      <x:c r="N79" s="9" t="n">
        <x:f>'Inventory inputs'!Q79</x:f>
        <x:v>157.25</x:v>
      </x:c>
      <x:c r="O79" s="9" t="n">
        <x:f>N79-M79</x:f>
        <x:v>0</x:v>
      </x:c>
      <x:c r="P79" s="1" t="n">
        <x:f>SUMIFS('Incoming POs'!$P$2:$P$305,'Incoming POs'!$A$2:$A$305,A79,'Incoming POs'!$B$2:$B$305,B79,'Incoming POs'!$C$2:$C$305,C79,'Incoming POs'!$G$2:$G$305,"&gt;="&amp;D79,'Incoming POs'!$G$2:$G$305,"&lt;"&amp;Dashboard!$I$5)</x:f>
        <x:v>0</x:v>
      </x:c>
      <x:c r="Q79" s="1" t="n">
        <x:f>F79*Dashboard!$L$5*MAX(0,Dashboard!$I$5-D79)/30.4375</x:f>
        <x:v>22.18102669404518</x:v>
      </x:c>
      <x:c r="R79" s="1" t="n">
        <x:f>MAX(0,E79+P79-Q79)</x:f>
        <x:v>2477.818973305955</x:v>
      </x:c>
      <x:c r="S79" s="1" t="n">
        <x:f>MAX(0,Q79-E79-P79)</x:f>
        <x:v>0</x:v>
      </x:c>
      <x:c r="T79" s="1" t="str">
        <x:f>IF(L79=1,MAX(0,I79+AB79-MIN(Q79,E79+P79)),"n.a.")</x:f>
        <x:v>n.a.</x:v>
      </x:c>
      <x:c r="U79" s="9" t="str">
        <x:f>IF(ISNUMBER(T79),T79*G79,"n.a.")</x:f>
        <x:v>n.a.</x:v>
      </x:c>
      <x:c r="V79" s="25" t="n">
        <x:f>IF(Dashboard!$I$6="Flat %",1,IF(ISNUMBER(H79),1,0))</x:f>
        <x:v>1</x:v>
      </x:c>
      <x:c r="W79" s="9" t="n">
        <x:f>IF(Dashboard!$I$6="Flat %",G79*(1+Dashboard!$L$6),H79)</x:f>
        <x:v>0.072864</x:v>
      </x:c>
      <x:c r="X79" s="9" t="n">
        <x:f>IF(V79=1,R79*(W79-G79),"n.a.")</x:f>
        <x:v>24.688988250020536</x:v>
      </x:c>
      <x:c r="Y79" s="9" t="n">
        <x:f>IF(V79=1,R79*W79,"n.a.")</x:f>
        <x:v>180.54380167096508</x:v>
      </x:c>
      <x:c r="Z79" s="1" t="str">
        <x:f>IF(ISNUMBER(T79),R79-T79,"n.a.")</x:f>
        <x:v>n.a.</x:v>
      </x:c>
      <x:c r="AA79" s="1" t="str">
        <x:f>'Inventory inputs'!R79</x:f>
        <x:v>Review receipt reconciliation or original PO baseline</x:v>
      </x:c>
      <x:c r="AB79" s="1" t="str">
        <x:f>IF(L79=1,SUMIFS('Incoming POs'!$P$2:$P$305,'Incoming POs'!$A$2:$A$305,A79,'Incoming POs'!$B$2:$B$305,B79,'Incoming POs'!$C$2:$C$305,C79,'Incoming POs'!$G$2:$G$305,"&gt;="&amp;D79,'Incoming POs'!$G$2:$G$305,"&lt;"&amp;Dashboard!$I$5,'Incoming POs'!$Q$2:$Q$305,"&lt;="&amp;('Inventory inputs'!P79/'Inventory inputs'!J79*1.01)),"n.a.")</x:f>
        <x:v>n.a.</x:v>
      </x:c>
      <x:c r="AC79" s="9" t="n">
        <x:f>I79*G79</x:f>
        <x:v>0</x:v>
      </x:c>
      <x:c r="AD79" s="9" t="n">
        <x:f>J79*G79</x:f>
        <x:v>0</x:v>
      </x:c>
      <x:c r="AE79" s="9" t="n">
        <x:f>K79*G79</x:f>
        <x:v>157.25</x:v>
      </x:c>
      <x:c r="AF79" s="9" t="n">
        <x:f>R79*G79</x:f>
        <x:v>155.85481342094457</x:v>
      </x:c>
    </x:row>
    <x:row r="80" ht="21" customHeight="1">
      <x:c r="A80" s="1" t="str">
        <x:f>'Inventory inputs'!A80</x:f>
        <x:v>C400</x:v>
      </x:c>
      <x:c r="B80" s="1" t="str">
        <x:f>'Inventory inputs'!B80</x:f>
        <x:v>30</x:v>
      </x:c>
      <x:c r="C80" s="1" t="str">
        <x:f>'Inventory inputs'!C80</x:f>
        <x:v>400HBRC19P</x:v>
      </x:c>
      <x:c r="D80" s="7" t="n">
        <x:f>'Inventory inputs'!E80</x:f>
        <x:v>46303</x:v>
      </x:c>
      <x:c r="E80" s="1" t="n">
        <x:f>'Inventory inputs'!F80</x:f>
        <x:v>1600</x:v>
      </x:c>
      <x:c r="F80" s="1" t="n">
        <x:f>'Inventory inputs'!G80</x:f>
        <x:v>8.33</x:v>
      </x:c>
      <x:c r="G80" s="1" t="n">
        <x:f>'Inventory inputs'!H80/'Inventory inputs'!J80</x:f>
        <x:v>0.0652</x:v>
      </x:c>
      <x:c r="H80" s="1" t="n">
        <x:f>IF('Inventory inputs'!I80&gt;0,'Inventory inputs'!I80*'Inventory inputs'!K80/'Inventory inputs'!J80,"n.a.")</x:f>
        <x:v>0.07547039999999999</x:v>
      </x:c>
      <x:c r="I80" s="1" t="n">
        <x:f>'Inventory inputs'!L80</x:f>
        <x:v>0</x:v>
      </x:c>
      <x:c r="J80" s="1" t="n">
        <x:f>'Inventory inputs'!M80</x:f>
        <x:v>0</x:v>
      </x:c>
      <x:c r="K80" s="1" t="n">
        <x:f>'Inventory inputs'!N80</x:f>
        <x:v>1600</x:v>
      </x:c>
      <x:c r="L80" s="1" t="n">
        <x:f>'Inventory inputs'!O80</x:f>
        <x:v>0</x:v>
      </x:c>
      <x:c r="M80" s="9" t="n">
        <x:f>E80*G80</x:f>
        <x:v>104.32</x:v>
      </x:c>
      <x:c r="N80" s="9" t="n">
        <x:f>'Inventory inputs'!Q80</x:f>
        <x:v>104.32000000000001</x:v>
      </x:c>
      <x:c r="O80" s="9" t="n">
        <x:f>N80-M80</x:f>
        <x:v>1.4210854715202004e-14</x:v>
      </x:c>
      <x:c r="P80" s="1" t="n">
        <x:f>SUMIFS('Incoming POs'!$P$2:$P$305,'Incoming POs'!$A$2:$A$305,A80,'Incoming POs'!$B$2:$B$305,B80,'Incoming POs'!$C$2:$C$305,C80,'Incoming POs'!$G$2:$G$305,"&gt;="&amp;D80,'Incoming POs'!$G$2:$G$305,"&lt;"&amp;Dashboard!$I$5)</x:f>
        <x:v>0</x:v>
      </x:c>
      <x:c r="Q80" s="1" t="n">
        <x:f>F80*Dashboard!$L$5*MAX(0,Dashboard!$I$5-D80)/30.4375</x:f>
        <x:v>11.083860369609857</x:v>
      </x:c>
      <x:c r="R80" s="1" t="n">
        <x:f>MAX(0,E80+P80-Q80)</x:f>
        <x:v>1588.91613963039</x:v>
      </x:c>
      <x:c r="S80" s="1" t="n">
        <x:f>MAX(0,Q80-E80-P80)</x:f>
        <x:v>0</x:v>
      </x:c>
      <x:c r="T80" s="1" t="str">
        <x:f>IF(L80=1,MAX(0,I80+AB80-MIN(Q80,E80+P80)),"n.a.")</x:f>
        <x:v>n.a.</x:v>
      </x:c>
      <x:c r="U80" s="9" t="str">
        <x:f>IF(ISNUMBER(T80),T80*G80,"n.a.")</x:f>
        <x:v>n.a.</x:v>
      </x:c>
      <x:c r="V80" s="25" t="n">
        <x:f>IF(Dashboard!$I$6="Flat %",1,IF(ISNUMBER(H80),1,0))</x:f>
        <x:v>1</x:v>
      </x:c>
      <x:c r="W80" s="9" t="n">
        <x:f>IF(Dashboard!$I$6="Flat %",G80*(1+Dashboard!$L$6),H80)</x:f>
        <x:v>0.07547039999999999</x:v>
      </x:c>
      <x:c r="X80" s="9" t="n">
        <x:f>IF(V80=1,R80*(W80-G80),"n.a.")</x:f>
        <x:v>16.318804320459957</x:v>
      </x:c>
      <x:c r="Y80" s="9" t="n">
        <x:f>IF(V80=1,R80*W80,"n.a.")</x:f>
        <x:v>119.91613662436137</x:v>
      </x:c>
      <x:c r="Z80" s="1" t="str">
        <x:f>IF(ISNUMBER(T80),R80-T80,"n.a.")</x:f>
        <x:v>n.a.</x:v>
      </x:c>
      <x:c r="AA80" s="1" t="str">
        <x:f>'Inventory inputs'!R80</x:f>
        <x:v>Review receipt reconciliation or original PO baseline</x:v>
      </x:c>
      <x:c r="AB80" s="1" t="str">
        <x:f>IF(L80=1,SUMIFS('Incoming POs'!$P$2:$P$305,'Incoming POs'!$A$2:$A$305,A80,'Incoming POs'!$B$2:$B$305,B80,'Incoming POs'!$C$2:$C$305,C80,'Incoming POs'!$G$2:$G$305,"&gt;="&amp;D80,'Incoming POs'!$G$2:$G$305,"&lt;"&amp;Dashboard!$I$5,'Incoming POs'!$Q$2:$Q$305,"&lt;="&amp;('Inventory inputs'!P80/'Inventory inputs'!J80*1.01)),"n.a.")</x:f>
        <x:v>n.a.</x:v>
      </x:c>
      <x:c r="AC80" s="9" t="n">
        <x:f>I80*G80</x:f>
        <x:v>0</x:v>
      </x:c>
      <x:c r="AD80" s="9" t="n">
        <x:f>J80*G80</x:f>
        <x:v>0</x:v>
      </x:c>
      <x:c r="AE80" s="9" t="n">
        <x:f>K80*G80</x:f>
        <x:v>104.32</x:v>
      </x:c>
      <x:c r="AF80" s="9" t="n">
        <x:f>R80*G80</x:f>
        <x:v>103.59733230390142</x:v>
      </x:c>
    </x:row>
    <x:row r="81" ht="21" customHeight="1">
      <x:c r="A81" s="1" t="str">
        <x:f>'Inventory inputs'!A81</x:f>
        <x:v>C400</x:v>
      </x:c>
      <x:c r="B81" s="1" t="str">
        <x:f>'Inventory inputs'!B81</x:f>
        <x:v>30</x:v>
      </x:c>
      <x:c r="C81" s="1" t="str">
        <x:f>'Inventory inputs'!C81</x:f>
        <x:v>400LBRC</x:v>
      </x:c>
      <x:c r="D81" s="7" t="n">
        <x:f>'Inventory inputs'!E81</x:f>
        <x:v>46303</x:v>
      </x:c>
      <x:c r="E81" s="1" t="n">
        <x:f>'Inventory inputs'!F81</x:f>
        <x:v>2800</x:v>
      </x:c>
      <x:c r="F81" s="1" t="n">
        <x:f>'Inventory inputs'!G81</x:f>
        <x:v>8.33</x:v>
      </x:c>
      <x:c r="G81" s="1" t="n">
        <x:f>'Inventory inputs'!H81/'Inventory inputs'!J81</x:f>
        <x:v>0.029900000000000003</x:v>
      </x:c>
      <x:c r="H81" s="1" t="n">
        <x:f>IF('Inventory inputs'!I81&gt;0,'Inventory inputs'!I81*'Inventory inputs'!K81/'Inventory inputs'!J81,"n.a.")</x:f>
        <x:v>0.034675199999999996</x:v>
      </x:c>
      <x:c r="I81" s="1" t="n">
        <x:f>'Inventory inputs'!L81</x:f>
        <x:v>0</x:v>
      </x:c>
      <x:c r="J81" s="1" t="n">
        <x:f>'Inventory inputs'!M81</x:f>
        <x:v>0</x:v>
      </x:c>
      <x:c r="K81" s="1" t="n">
        <x:f>'Inventory inputs'!N81</x:f>
        <x:v>2800</x:v>
      </x:c>
      <x:c r="L81" s="1" t="n">
        <x:f>'Inventory inputs'!O81</x:f>
        <x:v>0</x:v>
      </x:c>
      <x:c r="M81" s="9" t="n">
        <x:f>E81*G81</x:f>
        <x:v>83.72000000000001</x:v>
      </x:c>
      <x:c r="N81" s="9" t="n">
        <x:f>'Inventory inputs'!Q81</x:f>
        <x:v>83.72</x:v>
      </x:c>
      <x:c r="O81" s="9" t="n">
        <x:f>N81-M81</x:f>
        <x:v>-1.4210854715202004e-14</x:v>
      </x:c>
      <x:c r="P81" s="1" t="n">
        <x:f>SUMIFS('Incoming POs'!$P$2:$P$305,'Incoming POs'!$A$2:$A$305,A81,'Incoming POs'!$B$2:$B$305,B81,'Incoming POs'!$C$2:$C$305,C81,'Incoming POs'!$G$2:$G$305,"&gt;="&amp;D81,'Incoming POs'!$G$2:$G$305,"&lt;"&amp;Dashboard!$I$5)</x:f>
        <x:v>0</x:v>
      </x:c>
      <x:c r="Q81" s="1" t="n">
        <x:f>F81*Dashboard!$L$5*MAX(0,Dashboard!$I$5-D81)/30.4375</x:f>
        <x:v>11.083860369609857</x:v>
      </x:c>
      <x:c r="R81" s="1" t="n">
        <x:f>MAX(0,E81+P81-Q81)</x:f>
        <x:v>2788.9161396303903</x:v>
      </x:c>
      <x:c r="S81" s="1" t="n">
        <x:f>MAX(0,Q81-E81-P81)</x:f>
        <x:v>0</x:v>
      </x:c>
      <x:c r="T81" s="1" t="str">
        <x:f>IF(L81=1,MAX(0,I81+AB81-MIN(Q81,E81+P81)),"n.a.")</x:f>
        <x:v>n.a.</x:v>
      </x:c>
      <x:c r="U81" s="9" t="str">
        <x:f>IF(ISNUMBER(T81),T81*G81,"n.a.")</x:f>
        <x:v>n.a.</x:v>
      </x:c>
      <x:c r="V81" s="25" t="n">
        <x:f>IF(Dashboard!$I$6="Flat %",1,IF(ISNUMBER(H81),1,0))</x:f>
        <x:v>1</x:v>
      </x:c>
      <x:c r="W81" s="9" t="n">
        <x:f>IF(Dashboard!$I$6="Flat %",G81*(1+Dashboard!$L$6),H81)</x:f>
        <x:v>0.034675199999999996</x:v>
      </x:c>
      <x:c r="X81" s="9" t="n">
        <x:f>IF(V81=1,R81*(W81-G81),"n.a.")</x:f>
        <x:v>13.317632349963022</x:v>
      </x:c>
      <x:c r="Y81" s="9" t="n">
        <x:f>IF(V81=1,R81*W81,"n.a.")</x:f>
        <x:v>96.7062249249117</x:v>
      </x:c>
      <x:c r="Z81" s="1" t="str">
        <x:f>IF(ISNUMBER(T81),R81-T81,"n.a.")</x:f>
        <x:v>n.a.</x:v>
      </x:c>
      <x:c r="AA81" s="1" t="str">
        <x:f>'Inventory inputs'!R81</x:f>
        <x:v>Review receipt reconciliation or original PO baseline</x:v>
      </x:c>
      <x:c r="AB81" s="1" t="str">
        <x:f>IF(L81=1,SUMIFS('Incoming POs'!$P$2:$P$305,'Incoming POs'!$A$2:$A$305,A81,'Incoming POs'!$B$2:$B$305,B81,'Incoming POs'!$C$2:$C$305,C81,'Incoming POs'!$G$2:$G$305,"&gt;="&amp;D81,'Incoming POs'!$G$2:$G$305,"&lt;"&amp;Dashboard!$I$5,'Incoming POs'!$Q$2:$Q$305,"&lt;="&amp;('Inventory inputs'!P81/'Inventory inputs'!J81*1.01)),"n.a.")</x:f>
        <x:v>n.a.</x:v>
      </x:c>
      <x:c r="AC81" s="9" t="n">
        <x:f>I81*G81</x:f>
        <x:v>0</x:v>
      </x:c>
      <x:c r="AD81" s="9" t="n">
        <x:f>J81*G81</x:f>
        <x:v>0</x:v>
      </x:c>
      <x:c r="AE81" s="9" t="n">
        <x:f>K81*G81</x:f>
        <x:v>83.72000000000001</x:v>
      </x:c>
      <x:c r="AF81" s="9" t="n">
        <x:f>R81*G81</x:f>
        <x:v>83.38859257494867</x:v>
      </x:c>
    </x:row>
    <x:row r="82" ht="21" customHeight="1">
      <x:c r="A82" s="1" t="str">
        <x:f>'Inventory inputs'!A82</x:f>
        <x:v>C400</x:v>
      </x:c>
      <x:c r="B82" s="1" t="str">
        <x:f>'Inventory inputs'!B82</x:f>
        <x:v>10</x:v>
      </x:c>
      <x:c r="C82" s="1" t="str">
        <x:f>'Inventory inputs'!C82</x:f>
        <x:v>WOR</x:v>
      </x:c>
      <x:c r="D82" s="7" t="n">
        <x:f>'Inventory inputs'!E82</x:f>
        <x:v>46303</x:v>
      </x:c>
      <x:c r="E82" s="1" t="n">
        <x:f>'Inventory inputs'!F82</x:f>
        <x:v>159</x:v>
      </x:c>
      <x:c r="F82" s="1" t="n">
        <x:f>'Inventory inputs'!G82</x:f>
        <x:v>0</x:v>
      </x:c>
      <x:c r="G82" s="1" t="n">
        <x:f>'Inventory inputs'!H82/'Inventory inputs'!J82</x:f>
        <x:v>0.032</x:v>
      </x:c>
      <x:c r="H82" s="1" t="n">
        <x:f>IF('Inventory inputs'!I82&gt;0,'Inventory inputs'!I82*'Inventory inputs'!K82/'Inventory inputs'!J82,"n.a.")</x:f>
        <x:v>0.03384</x:v>
      </x:c>
      <x:c r="I82" s="1" t="n">
        <x:f>'Inventory inputs'!L82</x:f>
        <x:v>0</x:v>
      </x:c>
      <x:c r="J82" s="1" t="n">
        <x:f>'Inventory inputs'!M82</x:f>
        <x:v>0</x:v>
      </x:c>
      <x:c r="K82" s="1" t="n">
        <x:f>'Inventory inputs'!N82</x:f>
        <x:v>159</x:v>
      </x:c>
      <x:c r="L82" s="1" t="n">
        <x:f>'Inventory inputs'!O82</x:f>
        <x:v>0</x:v>
      </x:c>
      <x:c r="M82" s="9" t="n">
        <x:f>E82*G82</x:f>
        <x:v>5.088</x:v>
      </x:c>
      <x:c r="N82" s="9" t="n">
        <x:f>'Inventory inputs'!Q82</x:f>
        <x:v>508.8</x:v>
      </x:c>
      <x:c r="O82" s="9" t="n">
        <x:f>N82-M82</x:f>
        <x:v>503.712</x:v>
      </x:c>
      <x:c r="P82" s="1" t="n">
        <x:f>SUMIFS('Incoming POs'!$P$2:$P$305,'Incoming POs'!$A$2:$A$305,A82,'Incoming POs'!$B$2:$B$305,B82,'Incoming POs'!$C$2:$C$305,C82,'Incoming POs'!$G$2:$G$305,"&gt;="&amp;D82,'Incoming POs'!$G$2:$G$305,"&lt;"&amp;Dashboard!$I$5)</x:f>
        <x:v>0</x:v>
      </x:c>
      <x:c r="Q82" s="1" t="n">
        <x:f>F82*Dashboard!$L$5*MAX(0,Dashboard!$I$5-D82)/30.4375</x:f>
        <x:v>0</x:v>
      </x:c>
      <x:c r="R82" s="1" t="n">
        <x:f>MAX(0,E82+P82-Q82)</x:f>
        <x:v>159</x:v>
      </x:c>
      <x:c r="S82" s="1" t="n">
        <x:f>MAX(0,Q82-E82-P82)</x:f>
        <x:v>0</x:v>
      </x:c>
      <x:c r="T82" s="1" t="str">
        <x:f>IF(L82=1,MAX(0,I82+AB82-MIN(Q82,E82+P82)),"n.a.")</x:f>
        <x:v>n.a.</x:v>
      </x:c>
      <x:c r="U82" s="9" t="str">
        <x:f>IF(ISNUMBER(T82),T82*G82,"n.a.")</x:f>
        <x:v>n.a.</x:v>
      </x:c>
      <x:c r="V82" s="25" t="n">
        <x:f>IF(Dashboard!$I$6="Flat %",1,IF(ISNUMBER(H82),1,0))</x:f>
        <x:v>1</x:v>
      </x:c>
      <x:c r="W82" s="9" t="n">
        <x:f>IF(Dashboard!$I$6="Flat %",G82*(1+Dashboard!$L$6),H82)</x:f>
        <x:v>0.03384</x:v>
      </x:c>
      <x:c r="X82" s="9" t="n">
        <x:f>IF(V82=1,R82*(W82-G82),"n.a.")</x:f>
        <x:v>0.2925600000000002</x:v>
      </x:c>
      <x:c r="Y82" s="9" t="n">
        <x:f>IF(V82=1,R82*W82,"n.a.")</x:f>
        <x:v>5.38056</x:v>
      </x:c>
      <x:c r="Z82" s="1" t="str">
        <x:f>IF(ISNUMBER(T82),R82-T82,"n.a.")</x:f>
        <x:v>n.a.</x:v>
      </x:c>
      <x:c r="AA82" s="1" t="str">
        <x:f>'Inventory inputs'!R82</x:f>
        <x:v>Review receipt reconciliation or original PO baseline</x:v>
      </x:c>
      <x:c r="AB82" s="1" t="str">
        <x:f>IF(L82=1,SUMIFS('Incoming POs'!$P$2:$P$305,'Incoming POs'!$A$2:$A$305,A82,'Incoming POs'!$B$2:$B$305,B82,'Incoming POs'!$C$2:$C$305,C82,'Incoming POs'!$G$2:$G$305,"&gt;="&amp;D82,'Incoming POs'!$G$2:$G$305,"&lt;"&amp;Dashboard!$I$5,'Incoming POs'!$Q$2:$Q$305,"&lt;="&amp;('Inventory inputs'!P82/'Inventory inputs'!J82*1.01)),"n.a.")</x:f>
        <x:v>n.a.</x:v>
      </x:c>
      <x:c r="AC82" s="9" t="n">
        <x:f>I82*G82</x:f>
        <x:v>0</x:v>
      </x:c>
      <x:c r="AD82" s="9" t="n">
        <x:f>J82*G82</x:f>
        <x:v>0</x:v>
      </x:c>
      <x:c r="AE82" s="9" t="n">
        <x:f>K82*G82</x:f>
        <x:v>5.088</x:v>
      </x:c>
      <x:c r="AF82" s="9" t="n">
        <x:f>R82*G82</x:f>
        <x:v>5.088</x:v>
      </x:c>
    </x:row>
    <x:row r="83" ht="21" customHeight="1">
      <x:c r="A83" s="1" t="str">
        <x:f>'Inventory inputs'!A83</x:f>
        <x:v>C400</x:v>
      </x:c>
      <x:c r="B83" s="1" t="str">
        <x:f>'Inventory inputs'!B83</x:f>
        <x:v>10</x:v>
      </x:c>
      <x:c r="C83" s="1" t="str">
        <x:f>'Inventory inputs'!C83</x:f>
        <x:v>PIOC400</x:v>
      </x:c>
      <x:c r="D83" s="7" t="n">
        <x:f>'Inventory inputs'!E83</x:f>
        <x:v>46303</x:v>
      </x:c>
      <x:c r="E83" s="1" t="n">
        <x:f>'Inventory inputs'!F83</x:f>
        <x:v>71.61</x:v>
      </x:c>
      <x:c r="F83" s="1" t="n">
        <x:f>'Inventory inputs'!G83</x:f>
        <x:v>0</x:v>
      </x:c>
      <x:c r="G83" s="1" t="n">
        <x:f>'Inventory inputs'!H83/'Inventory inputs'!J83</x:f>
        <x:v>0.01</x:v>
      </x:c>
      <x:c r="H83" s="1" t="str">
        <x:f>IF('Inventory inputs'!I83&gt;0,'Inventory inputs'!I83*'Inventory inputs'!K83/'Inventory inputs'!J83,"n.a.")</x:f>
        <x:v>n.a.</x:v>
      </x:c>
      <x:c r="I83" s="1" t="n">
        <x:f>'Inventory inputs'!L83</x:f>
        <x:v>0</x:v>
      </x:c>
      <x:c r="J83" s="1" t="n">
        <x:f>'Inventory inputs'!M83</x:f>
        <x:v>0</x:v>
      </x:c>
      <x:c r="K83" s="1" t="n">
        <x:f>'Inventory inputs'!N83</x:f>
        <x:v>71.61</x:v>
      </x:c>
      <x:c r="L83" s="1" t="n">
        <x:f>'Inventory inputs'!O83</x:f>
        <x:v>0</x:v>
      </x:c>
      <x:c r="M83" s="9" t="n">
        <x:f>E83*G83</x:f>
        <x:v>0.7161</x:v>
      </x:c>
      <x:c r="N83" s="9" t="n">
        <x:f>'Inventory inputs'!Q83</x:f>
        <x:v>71.61</x:v>
      </x:c>
      <x:c r="O83" s="9" t="n">
        <x:f>N83-M83</x:f>
        <x:v>70.8939</x:v>
      </x:c>
      <x:c r="P83" s="1" t="n">
        <x:f>SUMIFS('Incoming POs'!$P$2:$P$305,'Incoming POs'!$A$2:$A$305,A83,'Incoming POs'!$B$2:$B$305,B83,'Incoming POs'!$C$2:$C$305,C83,'Incoming POs'!$G$2:$G$305,"&gt;="&amp;D83,'Incoming POs'!$G$2:$G$305,"&lt;"&amp;Dashboard!$I$5)</x:f>
        <x:v>0</x:v>
      </x:c>
      <x:c r="Q83" s="1" t="n">
        <x:f>F83*Dashboard!$L$5*MAX(0,Dashboard!$I$5-D83)/30.4375</x:f>
        <x:v>0</x:v>
      </x:c>
      <x:c r="R83" s="1" t="n">
        <x:f>MAX(0,E83+P83-Q83)</x:f>
        <x:v>71.61</x:v>
      </x:c>
      <x:c r="S83" s="1" t="n">
        <x:f>MAX(0,Q83-E83-P83)</x:f>
        <x:v>0</x:v>
      </x:c>
      <x:c r="T83" s="1" t="str">
        <x:f>IF(L83=1,MAX(0,I83+AB83-MIN(Q83,E83+P83)),"n.a.")</x:f>
        <x:v>n.a.</x:v>
      </x:c>
      <x:c r="U83" s="9" t="str">
        <x:f>IF(ISNUMBER(T83),T83*G83,"n.a.")</x:f>
        <x:v>n.a.</x:v>
      </x:c>
      <x:c r="V83" s="25" t="n">
        <x:f>IF(Dashboard!$I$6="Flat %",1,IF(ISNUMBER(H83),1,0))</x:f>
        <x:v>0</x:v>
      </x:c>
      <x:c r="W83" s="9" t="str">
        <x:f>IF(Dashboard!$I$6="Flat %",G83*(1+Dashboard!$L$6),H83)</x:f>
        <x:v>n.a.</x:v>
      </x:c>
      <x:c r="X83" s="9" t="str">
        <x:f>IF(V83=1,R83*(W83-G83),"n.a.")</x:f>
        <x:v>n.a.</x:v>
      </x:c>
      <x:c r="Y83" s="9" t="str">
        <x:f>IF(V83=1,R83*W83,"n.a.")</x:f>
        <x:v>n.a.</x:v>
      </x:c>
      <x:c r="Z83" s="1" t="str">
        <x:f>IF(ISNUMBER(T83),R83-T83,"n.a.")</x:f>
        <x:v>n.a.</x:v>
      </x:c>
      <x:c r="AA83" s="1" t="str">
        <x:f>'Inventory inputs'!R83</x:f>
        <x:v>Review receipt reconciliation or original PO baseline</x:v>
      </x:c>
      <x:c r="AB83" s="1" t="str">
        <x:f>IF(L83=1,SUMIFS('Incoming POs'!$P$2:$P$305,'Incoming POs'!$A$2:$A$305,A83,'Incoming POs'!$B$2:$B$305,B83,'Incoming POs'!$C$2:$C$305,C83,'Incoming POs'!$G$2:$G$305,"&gt;="&amp;D83,'Incoming POs'!$G$2:$G$305,"&lt;"&amp;Dashboard!$I$5,'Incoming POs'!$Q$2:$Q$305,"&lt;="&amp;('Inventory inputs'!P83/'Inventory inputs'!J83*1.01)),"n.a.")</x:f>
        <x:v>n.a.</x:v>
      </x:c>
      <x:c r="AC83" s="9" t="n">
        <x:f>I83*G83</x:f>
        <x:v>0</x:v>
      </x:c>
      <x:c r="AD83" s="9" t="n">
        <x:f>J83*G83</x:f>
        <x:v>0</x:v>
      </x:c>
      <x:c r="AE83" s="9" t="n">
        <x:f>K83*G83</x:f>
        <x:v>0.7161</x:v>
      </x:c>
      <x:c r="AF83" s="9" t="n">
        <x:f>R83*G83</x:f>
        <x:v>0.7161</x:v>
      </x:c>
    </x:row>
    <x:row r="84" ht="21" customHeight="1">
      <x:c r="A84" s="1" t="str">
        <x:f>'Inventory inputs'!A84</x:f>
        <x:v>C400</x:v>
      </x:c>
      <x:c r="B84" s="1" t="str">
        <x:f>'Inventory inputs'!B84</x:f>
        <x:v>30</x:v>
      </x:c>
      <x:c r="C84" s="1" t="str">
        <x:f>'Inventory inputs'!C84</x:f>
        <x:v>400HMBRC</x:v>
      </x:c>
      <x:c r="D84" s="7" t="n">
        <x:f>'Inventory inputs'!E84</x:f>
        <x:v>46303</x:v>
      </x:c>
      <x:c r="E84" s="1" t="n">
        <x:f>'Inventory inputs'!F84</x:f>
        <x:v>2100</x:v>
      </x:c>
      <x:c r="F84" s="1" t="n">
        <x:f>'Inventory inputs'!G84</x:f>
        <x:v>0</x:v>
      </x:c>
      <x:c r="G84" s="1" t="n">
        <x:f>'Inventory inputs'!H84/'Inventory inputs'!J84</x:f>
        <x:v>0.0629</x:v>
      </x:c>
      <x:c r="H84" s="1" t="n">
        <x:f>IF('Inventory inputs'!I84&gt;0,'Inventory inputs'!I84*'Inventory inputs'!K84/'Inventory inputs'!J84,"n.a.")</x:f>
        <x:v>0.072864</x:v>
      </x:c>
      <x:c r="I84" s="1" t="n">
        <x:f>'Inventory inputs'!L84</x:f>
        <x:v>0</x:v>
      </x:c>
      <x:c r="J84" s="1" t="n">
        <x:f>'Inventory inputs'!M84</x:f>
        <x:v>0</x:v>
      </x:c>
      <x:c r="K84" s="1" t="n">
        <x:f>'Inventory inputs'!N84</x:f>
        <x:v>2100</x:v>
      </x:c>
      <x:c r="L84" s="1" t="n">
        <x:f>'Inventory inputs'!O84</x:f>
        <x:v>0</x:v>
      </x:c>
      <x:c r="M84" s="9" t="n">
        <x:f>E84*G84</x:f>
        <x:v>132.09</x:v>
      </x:c>
      <x:c r="N84" s="9" t="n">
        <x:f>'Inventory inputs'!Q84</x:f>
        <x:v>132.09</x:v>
      </x:c>
      <x:c r="O84" s="9" t="n">
        <x:f>N84-M84</x:f>
        <x:v>0</x:v>
      </x:c>
      <x:c r="P84" s="1" t="n">
        <x:f>SUMIFS('Incoming POs'!$P$2:$P$305,'Incoming POs'!$A$2:$A$305,A84,'Incoming POs'!$B$2:$B$305,B84,'Incoming POs'!$C$2:$C$305,C84,'Incoming POs'!$G$2:$G$305,"&gt;="&amp;D84,'Incoming POs'!$G$2:$G$305,"&lt;"&amp;Dashboard!$I$5)</x:f>
        <x:v>0</x:v>
      </x:c>
      <x:c r="Q84" s="1" t="n">
        <x:f>F84*Dashboard!$L$5*MAX(0,Dashboard!$I$5-D84)/30.4375</x:f>
        <x:v>0</x:v>
      </x:c>
      <x:c r="R84" s="1" t="n">
        <x:f>MAX(0,E84+P84-Q84)</x:f>
        <x:v>2100</x:v>
      </x:c>
      <x:c r="S84" s="1" t="n">
        <x:f>MAX(0,Q84-E84-P84)</x:f>
        <x:v>0</x:v>
      </x:c>
      <x:c r="T84" s="1" t="str">
        <x:f>IF(L84=1,MAX(0,I84+AB84-MIN(Q84,E84+P84)),"n.a.")</x:f>
        <x:v>n.a.</x:v>
      </x:c>
      <x:c r="U84" s="9" t="str">
        <x:f>IF(ISNUMBER(T84),T84*G84,"n.a.")</x:f>
        <x:v>n.a.</x:v>
      </x:c>
      <x:c r="V84" s="25" t="n">
        <x:f>IF(Dashboard!$I$6="Flat %",1,IF(ISNUMBER(H84),1,0))</x:f>
        <x:v>1</x:v>
      </x:c>
      <x:c r="W84" s="9" t="n">
        <x:f>IF(Dashboard!$I$6="Flat %",G84*(1+Dashboard!$L$6),H84)</x:f>
        <x:v>0.072864</x:v>
      </x:c>
      <x:c r="X84" s="9" t="n">
        <x:f>IF(V84=1,R84*(W84-G84),"n.a.")</x:f>
        <x:v>20.924400000000002</x:v>
      </x:c>
      <x:c r="Y84" s="9" t="n">
        <x:f>IF(V84=1,R84*W84,"n.a.")</x:f>
        <x:v>153.0144</x:v>
      </x:c>
      <x:c r="Z84" s="1" t="str">
        <x:f>IF(ISNUMBER(T84),R84-T84,"n.a.")</x:f>
        <x:v>n.a.</x:v>
      </x:c>
      <x:c r="AA84" s="1" t="str">
        <x:f>'Inventory inputs'!R84</x:f>
        <x:v>Review receipt reconciliation or original PO baseline</x:v>
      </x:c>
      <x:c r="AB84" s="1" t="str">
        <x:f>IF(L84=1,SUMIFS('Incoming POs'!$P$2:$P$305,'Incoming POs'!$A$2:$A$305,A84,'Incoming POs'!$B$2:$B$305,B84,'Incoming POs'!$C$2:$C$305,C84,'Incoming POs'!$G$2:$G$305,"&gt;="&amp;D84,'Incoming POs'!$G$2:$G$305,"&lt;"&amp;Dashboard!$I$5,'Incoming POs'!$Q$2:$Q$305,"&lt;="&amp;('Inventory inputs'!P84/'Inventory inputs'!J84*1.01)),"n.a.")</x:f>
        <x:v>n.a.</x:v>
      </x:c>
      <x:c r="AC84" s="9" t="n">
        <x:f>I84*G84</x:f>
        <x:v>0</x:v>
      </x:c>
      <x:c r="AD84" s="9" t="n">
        <x:f>J84*G84</x:f>
        <x:v>0</x:v>
      </x:c>
      <x:c r="AE84" s="9" t="n">
        <x:f>K84*G84</x:f>
        <x:v>132.09</x:v>
      </x:c>
      <x:c r="AF84" s="9" t="n">
        <x:f>R84*G84</x:f>
        <x:v>132.09</x:v>
      </x:c>
    </x:row>
    <x:row r="85" ht="21" customHeight="1">
      <x:c r="A85" s="1" t="str">
        <x:f>'Inventory inputs'!A85</x:f>
        <x:v>C400</x:v>
      </x:c>
      <x:c r="B85" s="1" t="str">
        <x:f>'Inventory inputs'!B85</x:f>
        <x:v>30</x:v>
      </x:c>
      <x:c r="C85" s="1" t="str">
        <x:f>'Inventory inputs'!C85</x:f>
        <x:v>400LASC19P</x:v>
      </x:c>
      <x:c r="D85" s="7" t="n">
        <x:f>'Inventory inputs'!E85</x:f>
        <x:v>46303</x:v>
      </x:c>
      <x:c r="E85" s="1" t="n">
        <x:f>'Inventory inputs'!F85</x:f>
        <x:v>4500</x:v>
      </x:c>
      <x:c r="F85" s="1" t="n">
        <x:f>'Inventory inputs'!G85</x:f>
        <x:v>0</x:v>
      </x:c>
      <x:c r="G85" s="1" t="n">
        <x:f>'Inventory inputs'!H85/'Inventory inputs'!J85</x:f>
        <x:v>0.033</x:v>
      </x:c>
      <x:c r="H85" s="1" t="n">
        <x:f>IF('Inventory inputs'!I85&gt;0,'Inventory inputs'!I85*'Inventory inputs'!K85/'Inventory inputs'!J85,"n.a.")</x:f>
        <x:v>0.0382464</x:v>
      </x:c>
      <x:c r="I85" s="1" t="n">
        <x:f>'Inventory inputs'!L85</x:f>
        <x:v>0</x:v>
      </x:c>
      <x:c r="J85" s="1" t="n">
        <x:f>'Inventory inputs'!M85</x:f>
        <x:v>0</x:v>
      </x:c>
      <x:c r="K85" s="1" t="n">
        <x:f>'Inventory inputs'!N85</x:f>
        <x:v>4500</x:v>
      </x:c>
      <x:c r="L85" s="1" t="n">
        <x:f>'Inventory inputs'!O85</x:f>
        <x:v>0</x:v>
      </x:c>
      <x:c r="M85" s="9" t="n">
        <x:f>E85*G85</x:f>
        <x:v>148.5</x:v>
      </x:c>
      <x:c r="N85" s="9" t="n">
        <x:f>'Inventory inputs'!Q85</x:f>
        <x:v>148.5</x:v>
      </x:c>
      <x:c r="O85" s="9" t="n">
        <x:f>N85-M85</x:f>
        <x:v>0</x:v>
      </x:c>
      <x:c r="P85" s="1" t="n">
        <x:f>SUMIFS('Incoming POs'!$P$2:$P$305,'Incoming POs'!$A$2:$A$305,A85,'Incoming POs'!$B$2:$B$305,B85,'Incoming POs'!$C$2:$C$305,C85,'Incoming POs'!$G$2:$G$305,"&gt;="&amp;D85,'Incoming POs'!$G$2:$G$305,"&lt;"&amp;Dashboard!$I$5)</x:f>
        <x:v>0</x:v>
      </x:c>
      <x:c r="Q85" s="1" t="n">
        <x:f>F85*Dashboard!$L$5*MAX(0,Dashboard!$I$5-D85)/30.4375</x:f>
        <x:v>0</x:v>
      </x:c>
      <x:c r="R85" s="1" t="n">
        <x:f>MAX(0,E85+P85-Q85)</x:f>
        <x:v>4500</x:v>
      </x:c>
      <x:c r="S85" s="1" t="n">
        <x:f>MAX(0,Q85-E85-P85)</x:f>
        <x:v>0</x:v>
      </x:c>
      <x:c r="T85" s="1" t="str">
        <x:f>IF(L85=1,MAX(0,I85+AB85-MIN(Q85,E85+P85)),"n.a.")</x:f>
        <x:v>n.a.</x:v>
      </x:c>
      <x:c r="U85" s="9" t="str">
        <x:f>IF(ISNUMBER(T85),T85*G85,"n.a.")</x:f>
        <x:v>n.a.</x:v>
      </x:c>
      <x:c r="V85" s="25" t="n">
        <x:f>IF(Dashboard!$I$6="Flat %",1,IF(ISNUMBER(H85),1,0))</x:f>
        <x:v>1</x:v>
      </x:c>
      <x:c r="W85" s="9" t="n">
        <x:f>IF(Dashboard!$I$6="Flat %",G85*(1+Dashboard!$L$6),H85)</x:f>
        <x:v>0.0382464</x:v>
      </x:c>
      <x:c r="X85" s="9" t="n">
        <x:f>IF(V85=1,R85*(W85-G85),"n.a.")</x:f>
        <x:v>23.60879999999999</x:v>
      </x:c>
      <x:c r="Y85" s="9" t="n">
        <x:f>IF(V85=1,R85*W85,"n.a.")</x:f>
        <x:v>172.1088</x:v>
      </x:c>
      <x:c r="Z85" s="1" t="str">
        <x:f>IF(ISNUMBER(T85),R85-T85,"n.a.")</x:f>
        <x:v>n.a.</x:v>
      </x:c>
      <x:c r="AA85" s="1" t="str">
        <x:f>'Inventory inputs'!R85</x:f>
        <x:v>Review receipt reconciliation or original PO baseline</x:v>
      </x:c>
      <x:c r="AB85" s="1" t="str">
        <x:f>IF(L85=1,SUMIFS('Incoming POs'!$P$2:$P$305,'Incoming POs'!$A$2:$A$305,A85,'Incoming POs'!$B$2:$B$305,B85,'Incoming POs'!$C$2:$C$305,C85,'Incoming POs'!$G$2:$G$305,"&gt;="&amp;D85,'Incoming POs'!$G$2:$G$305,"&lt;"&amp;Dashboard!$I$5,'Incoming POs'!$Q$2:$Q$305,"&lt;="&amp;('Inventory inputs'!P85/'Inventory inputs'!J85*1.01)),"n.a.")</x:f>
        <x:v>n.a.</x:v>
      </x:c>
      <x:c r="AC85" s="9" t="n">
        <x:f>I85*G85</x:f>
        <x:v>0</x:v>
      </x:c>
      <x:c r="AD85" s="9" t="n">
        <x:f>J85*G85</x:f>
        <x:v>0</x:v>
      </x:c>
      <x:c r="AE85" s="9" t="n">
        <x:f>K85*G85</x:f>
        <x:v>148.5</x:v>
      </x:c>
      <x:c r="AF85" s="9" t="n">
        <x:f>R85*G85</x:f>
        <x:v>148.5</x:v>
      </x:c>
    </x:row>
    <x:row r="86" ht="21" customHeight="1">
      <x:c r="A86" s="1" t="str">
        <x:f>'Inventory inputs'!A86</x:f>
        <x:v>C400</x:v>
      </x:c>
      <x:c r="B86" s="1" t="str">
        <x:f>'Inventory inputs'!B86</x:f>
        <x:v>30</x:v>
      </x:c>
      <x:c r="C86" s="1" t="str">
        <x:f>'Inventory inputs'!C86</x:f>
        <x:v>PRHRP7ASC</x:v>
      </x:c>
      <x:c r="D86" s="7" t="n">
        <x:f>'Inventory inputs'!E86</x:f>
        <x:v>46303</x:v>
      </x:c>
      <x:c r="E86" s="1" t="n">
        <x:f>'Inventory inputs'!F86</x:f>
        <x:v>0</x:v>
      </x:c>
      <x:c r="F86" s="1" t="n">
        <x:f>'Inventory inputs'!G86</x:f>
        <x:v>0</x:v>
      </x:c>
      <x:c r="G86" s="1" t="n">
        <x:f>'Inventory inputs'!H86/'Inventory inputs'!J86</x:f>
        <x:v>0.1545</x:v>
      </x:c>
      <x:c r="H86" s="1" t="str">
        <x:f>IF('Inventory inputs'!I86&gt;0,'Inventory inputs'!I86*'Inventory inputs'!K86/'Inventory inputs'!J86,"n.a.")</x:f>
        <x:v>n.a.</x:v>
      </x:c>
      <x:c r="I86" s="1" t="n">
        <x:f>'Inventory inputs'!L86</x:f>
        <x:v>0</x:v>
      </x:c>
      <x:c r="J86" s="1" t="n">
        <x:f>'Inventory inputs'!M86</x:f>
        <x:v>0</x:v>
      </x:c>
      <x:c r="K86" s="1" t="n">
        <x:f>'Inventory inputs'!N86</x:f>
        <x:v>0</x:v>
      </x:c>
      <x:c r="L86" s="1" t="n">
        <x:f>'Inventory inputs'!O86</x:f>
        <x:v>0</x:v>
      </x:c>
      <x:c r="M86" s="9" t="n">
        <x:f>E86*G86</x:f>
        <x:v>0</x:v>
      </x:c>
      <x:c r="N86" s="9" t="n">
        <x:f>'Inventory inputs'!Q86</x:f>
        <x:v>0</x:v>
      </x:c>
      <x:c r="O86" s="9" t="n">
        <x:f>N86-M86</x:f>
        <x:v>0</x:v>
      </x:c>
      <x:c r="P86" s="1" t="n">
        <x:f>SUMIFS('Incoming POs'!$P$2:$P$305,'Incoming POs'!$A$2:$A$305,A86,'Incoming POs'!$B$2:$B$305,B86,'Incoming POs'!$C$2:$C$305,C86,'Incoming POs'!$G$2:$G$305,"&gt;="&amp;D86,'Incoming POs'!$G$2:$G$305,"&lt;"&amp;Dashboard!$I$5)</x:f>
        <x:v>0</x:v>
      </x:c>
      <x:c r="Q86" s="1" t="n">
        <x:f>F86*Dashboard!$L$5*MAX(0,Dashboard!$I$5-D86)/30.4375</x:f>
        <x:v>0</x:v>
      </x:c>
      <x:c r="R86" s="1" t="n">
        <x:f>MAX(0,E86+P86-Q86)</x:f>
        <x:v>0</x:v>
      </x:c>
      <x:c r="S86" s="1" t="n">
        <x:f>MAX(0,Q86-E86-P86)</x:f>
        <x:v>0</x:v>
      </x:c>
      <x:c r="T86" s="1" t="str">
        <x:f>IF(L86=1,MAX(0,I86+AB86-MIN(Q86,E86+P86)),"n.a.")</x:f>
        <x:v>n.a.</x:v>
      </x:c>
      <x:c r="U86" s="9" t="str">
        <x:f>IF(ISNUMBER(T86),T86*G86,"n.a.")</x:f>
        <x:v>n.a.</x:v>
      </x:c>
      <x:c r="V86" s="25" t="n">
        <x:f>IF(Dashboard!$I$6="Flat %",1,IF(ISNUMBER(H86),1,0))</x:f>
        <x:v>0</x:v>
      </x:c>
      <x:c r="W86" s="9" t="str">
        <x:f>IF(Dashboard!$I$6="Flat %",G86*(1+Dashboard!$L$6),H86)</x:f>
        <x:v>n.a.</x:v>
      </x:c>
      <x:c r="X86" s="9" t="str">
        <x:f>IF(V86=1,R86*(W86-G86),"n.a.")</x:f>
        <x:v>n.a.</x:v>
      </x:c>
      <x:c r="Y86" s="9" t="str">
        <x:f>IF(V86=1,R86*W86,"n.a.")</x:f>
        <x:v>n.a.</x:v>
      </x:c>
      <x:c r="Z86" s="1" t="str">
        <x:f>IF(ISNUMBER(T86),R86-T86,"n.a.")</x:f>
        <x:v>n.a.</x:v>
      </x:c>
      <x:c r="AA86" s="1" t="str">
        <x:f>'Inventory inputs'!R86</x:f>
        <x:v>Review receipt reconciliation or original PO baseline</x:v>
      </x:c>
      <x:c r="AB86" s="1" t="str">
        <x:f>IF(L86=1,SUMIFS('Incoming POs'!$P$2:$P$305,'Incoming POs'!$A$2:$A$305,A86,'Incoming POs'!$B$2:$B$305,B86,'Incoming POs'!$C$2:$C$305,C86,'Incoming POs'!$G$2:$G$305,"&gt;="&amp;D86,'Incoming POs'!$G$2:$G$305,"&lt;"&amp;Dashboard!$I$5,'Incoming POs'!$Q$2:$Q$305,"&lt;="&amp;('Inventory inputs'!P86/'Inventory inputs'!J86*1.01)),"n.a.")</x:f>
        <x:v>n.a.</x:v>
      </x:c>
      <x:c r="AC86" s="9" t="n">
        <x:f>I86*G86</x:f>
        <x:v>0</x:v>
      </x:c>
      <x:c r="AD86" s="9" t="n">
        <x:f>J86*G86</x:f>
        <x:v>0</x:v>
      </x:c>
      <x:c r="AE86" s="9" t="n">
        <x:f>K86*G86</x:f>
        <x:v>0</x:v>
      </x:c>
      <x:c r="AF86" s="9" t="n">
        <x:f>R86*G86</x:f>
        <x:v>0</x:v>
      </x:c>
    </x:row>
    <x:row r="87" ht="21" customHeight="1">
      <x:c r="A87" s="1" t="str">
        <x:f>'Inventory inputs'!A87</x:f>
        <x:v>C400</x:v>
      </x:c>
      <x:c r="B87" s="1" t="str">
        <x:f>'Inventory inputs'!B87</x:f>
        <x:v>30</x:v>
      </x:c>
      <x:c r="C87" s="1" t="str">
        <x:f>'Inventory inputs'!C87</x:f>
        <x:v>WOM</x:v>
      </x:c>
      <x:c r="D87" s="7" t="n">
        <x:f>'Inventory inputs'!E87</x:f>
        <x:v>46303</x:v>
      </x:c>
      <x:c r="E87" s="1" t="n">
        <x:f>'Inventory inputs'!F87</x:f>
        <x:v>200</x:v>
      </x:c>
      <x:c r="F87" s="1" t="n">
        <x:f>'Inventory inputs'!G87</x:f>
        <x:v>0</x:v>
      </x:c>
      <x:c r="G87" s="1" t="n">
        <x:f>'Inventory inputs'!H87/'Inventory inputs'!J87</x:f>
        <x:v>0.0275</x:v>
      </x:c>
      <x:c r="H87" s="1" t="str">
        <x:f>IF('Inventory inputs'!I87&gt;0,'Inventory inputs'!I87*'Inventory inputs'!K87/'Inventory inputs'!J87,"n.a.")</x:f>
        <x:v>n.a.</x:v>
      </x:c>
      <x:c r="I87" s="1" t="n">
        <x:f>'Inventory inputs'!L87</x:f>
        <x:v>0</x:v>
      </x:c>
      <x:c r="J87" s="1" t="n">
        <x:f>'Inventory inputs'!M87</x:f>
        <x:v>0</x:v>
      </x:c>
      <x:c r="K87" s="1" t="n">
        <x:f>'Inventory inputs'!N87</x:f>
        <x:v>200</x:v>
      </x:c>
      <x:c r="L87" s="1" t="n">
        <x:f>'Inventory inputs'!O87</x:f>
        <x:v>0</x:v>
      </x:c>
      <x:c r="M87" s="9" t="n">
        <x:f>E87*G87</x:f>
        <x:v>5.5</x:v>
      </x:c>
      <x:c r="N87" s="9" t="n">
        <x:f>'Inventory inputs'!Q87</x:f>
        <x:v>5.5</x:v>
      </x:c>
      <x:c r="O87" s="9" t="n">
        <x:f>N87-M87</x:f>
        <x:v>0</x:v>
      </x:c>
      <x:c r="P87" s="1" t="n">
        <x:f>SUMIFS('Incoming POs'!$P$2:$P$305,'Incoming POs'!$A$2:$A$305,A87,'Incoming POs'!$B$2:$B$305,B87,'Incoming POs'!$C$2:$C$305,C87,'Incoming POs'!$G$2:$G$305,"&gt;="&amp;D87,'Incoming POs'!$G$2:$G$305,"&lt;"&amp;Dashboard!$I$5)</x:f>
        <x:v>0</x:v>
      </x:c>
      <x:c r="Q87" s="1" t="n">
        <x:f>F87*Dashboard!$L$5*MAX(0,Dashboard!$I$5-D87)/30.4375</x:f>
        <x:v>0</x:v>
      </x:c>
      <x:c r="R87" s="1" t="n">
        <x:f>MAX(0,E87+P87-Q87)</x:f>
        <x:v>200</x:v>
      </x:c>
      <x:c r="S87" s="1" t="n">
        <x:f>MAX(0,Q87-E87-P87)</x:f>
        <x:v>0</x:v>
      </x:c>
      <x:c r="T87" s="1" t="str">
        <x:f>IF(L87=1,MAX(0,I87+AB87-MIN(Q87,E87+P87)),"n.a.")</x:f>
        <x:v>n.a.</x:v>
      </x:c>
      <x:c r="U87" s="9" t="str">
        <x:f>IF(ISNUMBER(T87),T87*G87,"n.a.")</x:f>
        <x:v>n.a.</x:v>
      </x:c>
      <x:c r="V87" s="25" t="n">
        <x:f>IF(Dashboard!$I$6="Flat %",1,IF(ISNUMBER(H87),1,0))</x:f>
        <x:v>0</x:v>
      </x:c>
      <x:c r="W87" s="9" t="str">
        <x:f>IF(Dashboard!$I$6="Flat %",G87*(1+Dashboard!$L$6),H87)</x:f>
        <x:v>n.a.</x:v>
      </x:c>
      <x:c r="X87" s="9" t="str">
        <x:f>IF(V87=1,R87*(W87-G87),"n.a.")</x:f>
        <x:v>n.a.</x:v>
      </x:c>
      <x:c r="Y87" s="9" t="str">
        <x:f>IF(V87=1,R87*W87,"n.a.")</x:f>
        <x:v>n.a.</x:v>
      </x:c>
      <x:c r="Z87" s="1" t="str">
        <x:f>IF(ISNUMBER(T87),R87-T87,"n.a.")</x:f>
        <x:v>n.a.</x:v>
      </x:c>
      <x:c r="AA87" s="1" t="str">
        <x:f>'Inventory inputs'!R87</x:f>
        <x:v>Review receipt reconciliation or original PO baseline</x:v>
      </x:c>
      <x:c r="AB87" s="1" t="str">
        <x:f>IF(L87=1,SUMIFS('Incoming POs'!$P$2:$P$305,'Incoming POs'!$A$2:$A$305,A87,'Incoming POs'!$B$2:$B$305,B87,'Incoming POs'!$C$2:$C$305,C87,'Incoming POs'!$G$2:$G$305,"&gt;="&amp;D87,'Incoming POs'!$G$2:$G$305,"&lt;"&amp;Dashboard!$I$5,'Incoming POs'!$Q$2:$Q$305,"&lt;="&amp;('Inventory inputs'!P87/'Inventory inputs'!J87*1.01)),"n.a.")</x:f>
        <x:v>n.a.</x:v>
      </x:c>
      <x:c r="AC87" s="9" t="n">
        <x:f>I87*G87</x:f>
        <x:v>0</x:v>
      </x:c>
      <x:c r="AD87" s="9" t="n">
        <x:f>J87*G87</x:f>
        <x:v>0</x:v>
      </x:c>
      <x:c r="AE87" s="9" t="n">
        <x:f>K87*G87</x:f>
        <x:v>5.5</x:v>
      </x:c>
      <x:c r="AF87" s="9" t="n">
        <x:f>R87*G87</x:f>
        <x:v>5.5</x:v>
      </x:c>
    </x:row>
    <x:row r="88" ht="21" customHeight="1">
      <x:c r="A88" s="1" t="str">
        <x:f>'Inventory inputs'!A88</x:f>
        <x:v>C400</x:v>
      </x:c>
      <x:c r="B88" s="1" t="str">
        <x:f>'Inventory inputs'!B88</x:f>
        <x:v>30</x:v>
      </x:c>
      <x:c r="C88" s="1" t="str">
        <x:f>'Inventory inputs'!C88</x:f>
        <x:v>PIOC400</x:v>
      </x:c>
      <x:c r="D88" s="7" t="n">
        <x:f>'Inventory inputs'!E88</x:f>
        <x:v>46303</x:v>
      </x:c>
      <x:c r="E88" s="1" t="n">
        <x:f>'Inventory inputs'!F88</x:f>
        <x:v>13.77</x:v>
      </x:c>
      <x:c r="F88" s="1" t="n">
        <x:f>'Inventory inputs'!G88</x:f>
        <x:v>0</x:v>
      </x:c>
      <x:c r="G88" s="1" t="n">
        <x:f>'Inventory inputs'!H88/'Inventory inputs'!J88</x:f>
        <x:v>0.01</x:v>
      </x:c>
      <x:c r="H88" s="1" t="str">
        <x:f>IF('Inventory inputs'!I88&gt;0,'Inventory inputs'!I88*'Inventory inputs'!K88/'Inventory inputs'!J88,"n.a.")</x:f>
        <x:v>n.a.</x:v>
      </x:c>
      <x:c r="I88" s="1" t="n">
        <x:f>'Inventory inputs'!L88</x:f>
        <x:v>0</x:v>
      </x:c>
      <x:c r="J88" s="1" t="n">
        <x:f>'Inventory inputs'!M88</x:f>
        <x:v>0</x:v>
      </x:c>
      <x:c r="K88" s="1" t="n">
        <x:f>'Inventory inputs'!N88</x:f>
        <x:v>13.77</x:v>
      </x:c>
      <x:c r="L88" s="1" t="n">
        <x:f>'Inventory inputs'!O88</x:f>
        <x:v>0</x:v>
      </x:c>
      <x:c r="M88" s="9" t="n">
        <x:f>E88*G88</x:f>
        <x:v>0.1377</x:v>
      </x:c>
      <x:c r="N88" s="9" t="n">
        <x:f>'Inventory inputs'!Q88</x:f>
        <x:v>13.77</x:v>
      </x:c>
      <x:c r="O88" s="9" t="n">
        <x:f>N88-M88</x:f>
        <x:v>13.632299999999999</x:v>
      </x:c>
      <x:c r="P88" s="1" t="n">
        <x:f>SUMIFS('Incoming POs'!$P$2:$P$305,'Incoming POs'!$A$2:$A$305,A88,'Incoming POs'!$B$2:$B$305,B88,'Incoming POs'!$C$2:$C$305,C88,'Incoming POs'!$G$2:$G$305,"&gt;="&amp;D88,'Incoming POs'!$G$2:$G$305,"&lt;"&amp;Dashboard!$I$5)</x:f>
        <x:v>0</x:v>
      </x:c>
      <x:c r="Q88" s="1" t="n">
        <x:f>F88*Dashboard!$L$5*MAX(0,Dashboard!$I$5-D88)/30.4375</x:f>
        <x:v>0</x:v>
      </x:c>
      <x:c r="R88" s="1" t="n">
        <x:f>MAX(0,E88+P88-Q88)</x:f>
        <x:v>13.77</x:v>
      </x:c>
      <x:c r="S88" s="1" t="n">
        <x:f>MAX(0,Q88-E88-P88)</x:f>
        <x:v>0</x:v>
      </x:c>
      <x:c r="T88" s="1" t="str">
        <x:f>IF(L88=1,MAX(0,I88+AB88-MIN(Q88,E88+P88)),"n.a.")</x:f>
        <x:v>n.a.</x:v>
      </x:c>
      <x:c r="U88" s="9" t="str">
        <x:f>IF(ISNUMBER(T88),T88*G88,"n.a.")</x:f>
        <x:v>n.a.</x:v>
      </x:c>
      <x:c r="V88" s="25" t="n">
        <x:f>IF(Dashboard!$I$6="Flat %",1,IF(ISNUMBER(H88),1,0))</x:f>
        <x:v>0</x:v>
      </x:c>
      <x:c r="W88" s="9" t="str">
        <x:f>IF(Dashboard!$I$6="Flat %",G88*(1+Dashboard!$L$6),H88)</x:f>
        <x:v>n.a.</x:v>
      </x:c>
      <x:c r="X88" s="9" t="str">
        <x:f>IF(V88=1,R88*(W88-G88),"n.a.")</x:f>
        <x:v>n.a.</x:v>
      </x:c>
      <x:c r="Y88" s="9" t="str">
        <x:f>IF(V88=1,R88*W88,"n.a.")</x:f>
        <x:v>n.a.</x:v>
      </x:c>
      <x:c r="Z88" s="1" t="str">
        <x:f>IF(ISNUMBER(T88),R88-T88,"n.a.")</x:f>
        <x:v>n.a.</x:v>
      </x:c>
      <x:c r="AA88" s="1" t="str">
        <x:f>'Inventory inputs'!R88</x:f>
        <x:v>Review receipt reconciliation or original PO baseline</x:v>
      </x:c>
      <x:c r="AB88" s="1" t="str">
        <x:f>IF(L88=1,SUMIFS('Incoming POs'!$P$2:$P$305,'Incoming POs'!$A$2:$A$305,A88,'Incoming POs'!$B$2:$B$305,B88,'Incoming POs'!$C$2:$C$305,C88,'Incoming POs'!$G$2:$G$305,"&gt;="&amp;D88,'Incoming POs'!$G$2:$G$305,"&lt;"&amp;Dashboard!$I$5,'Incoming POs'!$Q$2:$Q$305,"&lt;="&amp;('Inventory inputs'!P88/'Inventory inputs'!J88*1.01)),"n.a.")</x:f>
        <x:v>n.a.</x:v>
      </x:c>
      <x:c r="AC88" s="9" t="n">
        <x:f>I88*G88</x:f>
        <x:v>0</x:v>
      </x:c>
      <x:c r="AD88" s="9" t="n">
        <x:f>J88*G88</x:f>
        <x:v>0</x:v>
      </x:c>
      <x:c r="AE88" s="9" t="n">
        <x:f>K88*G88</x:f>
        <x:v>0.1377</x:v>
      </x:c>
      <x:c r="AF88" s="9" t="n">
        <x:f>R88*G88</x:f>
        <x:v>0.1377</x:v>
      </x:c>
    </x:row>
    <x:row r="89" ht="21" customHeight="1">
      <x:c r="A89" s="1" t="str">
        <x:f>'Inventory inputs'!A89</x:f>
        <x:v>C400</x:v>
      </x:c>
      <x:c r="B89" s="1" t="str">
        <x:f>'Inventory inputs'!B89</x:f>
        <x:v>60</x:v>
      </x:c>
      <x:c r="C89" s="1" t="str">
        <x:f>'Inventory inputs'!C89</x:f>
        <x:v>PRHRP7ASC</x:v>
      </x:c>
      <x:c r="D89" s="7" t="n">
        <x:f>'Inventory inputs'!E89</x:f>
        <x:v>46303</x:v>
      </x:c>
      <x:c r="E89" s="1" t="n">
        <x:f>'Inventory inputs'!F89</x:f>
        <x:v>0</x:v>
      </x:c>
      <x:c r="F89" s="1" t="n">
        <x:f>'Inventory inputs'!G89</x:f>
        <x:v>0</x:v>
      </x:c>
      <x:c r="G89" s="1" t="n">
        <x:f>'Inventory inputs'!H89/'Inventory inputs'!J89</x:f>
        <x:v>0.1545</x:v>
      </x:c>
      <x:c r="H89" s="1" t="str">
        <x:f>IF('Inventory inputs'!I89&gt;0,'Inventory inputs'!I89*'Inventory inputs'!K89/'Inventory inputs'!J89,"n.a.")</x:f>
        <x:v>n.a.</x:v>
      </x:c>
      <x:c r="I89" s="1" t="n">
        <x:f>'Inventory inputs'!L89</x:f>
        <x:v>0</x:v>
      </x:c>
      <x:c r="J89" s="1" t="n">
        <x:f>'Inventory inputs'!M89</x:f>
        <x:v>0</x:v>
      </x:c>
      <x:c r="K89" s="1" t="n">
        <x:f>'Inventory inputs'!N89</x:f>
        <x:v>0</x:v>
      </x:c>
      <x:c r="L89" s="1" t="n">
        <x:f>'Inventory inputs'!O89</x:f>
        <x:v>0</x:v>
      </x:c>
      <x:c r="M89" s="9" t="n">
        <x:f>E89*G89</x:f>
        <x:v>0</x:v>
      </x:c>
      <x:c r="N89" s="9" t="n">
        <x:f>'Inventory inputs'!Q89</x:f>
        <x:v>0</x:v>
      </x:c>
      <x:c r="O89" s="9" t="n">
        <x:f>N89-M89</x:f>
        <x:v>0</x:v>
      </x:c>
      <x:c r="P89" s="1" t="n">
        <x:f>SUMIFS('Incoming POs'!$P$2:$P$305,'Incoming POs'!$A$2:$A$305,A89,'Incoming POs'!$B$2:$B$305,B89,'Incoming POs'!$C$2:$C$305,C89,'Incoming POs'!$G$2:$G$305,"&gt;="&amp;D89,'Incoming POs'!$G$2:$G$305,"&lt;"&amp;Dashboard!$I$5)</x:f>
        <x:v>0</x:v>
      </x:c>
      <x:c r="Q89" s="1" t="n">
        <x:f>F89*Dashboard!$L$5*MAX(0,Dashboard!$I$5-D89)/30.4375</x:f>
        <x:v>0</x:v>
      </x:c>
      <x:c r="R89" s="1" t="n">
        <x:f>MAX(0,E89+P89-Q89)</x:f>
        <x:v>0</x:v>
      </x:c>
      <x:c r="S89" s="1" t="n">
        <x:f>MAX(0,Q89-E89-P89)</x:f>
        <x:v>0</x:v>
      </x:c>
      <x:c r="T89" s="1" t="str">
        <x:f>IF(L89=1,MAX(0,I89+AB89-MIN(Q89,E89+P89)),"n.a.")</x:f>
        <x:v>n.a.</x:v>
      </x:c>
      <x:c r="U89" s="9" t="str">
        <x:f>IF(ISNUMBER(T89),T89*G89,"n.a.")</x:f>
        <x:v>n.a.</x:v>
      </x:c>
      <x:c r="V89" s="25" t="n">
        <x:f>IF(Dashboard!$I$6="Flat %",1,IF(ISNUMBER(H89),1,0))</x:f>
        <x:v>0</x:v>
      </x:c>
      <x:c r="W89" s="9" t="str">
        <x:f>IF(Dashboard!$I$6="Flat %",G89*(1+Dashboard!$L$6),H89)</x:f>
        <x:v>n.a.</x:v>
      </x:c>
      <x:c r="X89" s="9" t="str">
        <x:f>IF(V89=1,R89*(W89-G89),"n.a.")</x:f>
        <x:v>n.a.</x:v>
      </x:c>
      <x:c r="Y89" s="9" t="str">
        <x:f>IF(V89=1,R89*W89,"n.a.")</x:f>
        <x:v>n.a.</x:v>
      </x:c>
      <x:c r="Z89" s="1" t="str">
        <x:f>IF(ISNUMBER(T89),R89-T89,"n.a.")</x:f>
        <x:v>n.a.</x:v>
      </x:c>
      <x:c r="AA89" s="1" t="str">
        <x:f>'Inventory inputs'!R89</x:f>
        <x:v>Review receipt reconciliation or original PO baseline</x:v>
      </x:c>
      <x:c r="AB89" s="1" t="str">
        <x:f>IF(L89=1,SUMIFS('Incoming POs'!$P$2:$P$305,'Incoming POs'!$A$2:$A$305,A89,'Incoming POs'!$B$2:$B$305,B89,'Incoming POs'!$C$2:$C$305,C89,'Incoming POs'!$G$2:$G$305,"&gt;="&amp;D89,'Incoming POs'!$G$2:$G$305,"&lt;"&amp;Dashboard!$I$5,'Incoming POs'!$Q$2:$Q$305,"&lt;="&amp;('Inventory inputs'!P89/'Inventory inputs'!J89*1.01)),"n.a.")</x:f>
        <x:v>n.a.</x:v>
      </x:c>
      <x:c r="AC89" s="9" t="n">
        <x:f>I89*G89</x:f>
        <x:v>0</x:v>
      </x:c>
      <x:c r="AD89" s="9" t="n">
        <x:f>J89*G89</x:f>
        <x:v>0</x:v>
      </x:c>
      <x:c r="AE89" s="9" t="n">
        <x:f>K89*G89</x:f>
        <x:v>0</x:v>
      </x:c>
      <x:c r="AF89" s="9" t="n">
        <x:f>R89*G89</x:f>
        <x:v>0</x:v>
      </x:c>
    </x:row>
    <x:row r="90" ht="21" customHeight="1">
      <x:c r="A90" s="1" t="str">
        <x:f>'Inventory inputs'!A90</x:f>
        <x:v>C400</x:v>
      </x:c>
      <x:c r="B90" s="1" t="str">
        <x:f>'Inventory inputs'!B90</x:f>
        <x:v>60</x:v>
      </x:c>
      <x:c r="C90" s="1" t="str">
        <x:f>'Inventory inputs'!C90</x:f>
        <x:v>400HASC3</x:v>
      </x:c>
      <x:c r="D90" s="7" t="n">
        <x:f>'Inventory inputs'!E90</x:f>
        <x:v>46303</x:v>
      </x:c>
      <x:c r="E90" s="1" t="n">
        <x:f>'Inventory inputs'!F90</x:f>
        <x:v>0</x:v>
      </x:c>
      <x:c r="F90" s="1" t="n">
        <x:f>'Inventory inputs'!G90</x:f>
        <x:v>0</x:v>
      </x:c>
      <x:c r="G90" s="1" t="n">
        <x:f>'Inventory inputs'!H90/'Inventory inputs'!J90</x:f>
        <x:v>0.0666</x:v>
      </x:c>
      <x:c r="H90" s="1" t="str">
        <x:f>IF('Inventory inputs'!I90&gt;0,'Inventory inputs'!I90*'Inventory inputs'!K90/'Inventory inputs'!J90,"n.a.")</x:f>
        <x:v>n.a.</x:v>
      </x:c>
      <x:c r="I90" s="1" t="n">
        <x:f>'Inventory inputs'!L90</x:f>
        <x:v>0</x:v>
      </x:c>
      <x:c r="J90" s="1" t="n">
        <x:f>'Inventory inputs'!M90</x:f>
        <x:v>0</x:v>
      </x:c>
      <x:c r="K90" s="1" t="n">
        <x:f>'Inventory inputs'!N90</x:f>
        <x:v>0</x:v>
      </x:c>
      <x:c r="L90" s="1" t="n">
        <x:f>'Inventory inputs'!O90</x:f>
        <x:v>0</x:v>
      </x:c>
      <x:c r="M90" s="9" t="n">
        <x:f>E90*G90</x:f>
        <x:v>0</x:v>
      </x:c>
      <x:c r="N90" s="9" t="n">
        <x:f>'Inventory inputs'!Q90</x:f>
        <x:v>0</x:v>
      </x:c>
      <x:c r="O90" s="9" t="n">
        <x:f>N90-M90</x:f>
        <x:v>0</x:v>
      </x:c>
      <x:c r="P90" s="1" t="n">
        <x:f>SUMIFS('Incoming POs'!$P$2:$P$305,'Incoming POs'!$A$2:$A$305,A90,'Incoming POs'!$B$2:$B$305,B90,'Incoming POs'!$C$2:$C$305,C90,'Incoming POs'!$G$2:$G$305,"&gt;="&amp;D90,'Incoming POs'!$G$2:$G$305,"&lt;"&amp;Dashboard!$I$5)</x:f>
        <x:v>0</x:v>
      </x:c>
      <x:c r="Q90" s="1" t="n">
        <x:f>F90*Dashboard!$L$5*MAX(0,Dashboard!$I$5-D90)/30.4375</x:f>
        <x:v>0</x:v>
      </x:c>
      <x:c r="R90" s="1" t="n">
        <x:f>MAX(0,E90+P90-Q90)</x:f>
        <x:v>0</x:v>
      </x:c>
      <x:c r="S90" s="1" t="n">
        <x:f>MAX(0,Q90-E90-P90)</x:f>
        <x:v>0</x:v>
      </x:c>
      <x:c r="T90" s="1" t="str">
        <x:f>IF(L90=1,MAX(0,I90+AB90-MIN(Q90,E90+P90)),"n.a.")</x:f>
        <x:v>n.a.</x:v>
      </x:c>
      <x:c r="U90" s="9" t="str">
        <x:f>IF(ISNUMBER(T90),T90*G90,"n.a.")</x:f>
        <x:v>n.a.</x:v>
      </x:c>
      <x:c r="V90" s="25" t="n">
        <x:f>IF(Dashboard!$I$6="Flat %",1,IF(ISNUMBER(H90),1,0))</x:f>
        <x:v>0</x:v>
      </x:c>
      <x:c r="W90" s="9" t="str">
        <x:f>IF(Dashboard!$I$6="Flat %",G90*(1+Dashboard!$L$6),H90)</x:f>
        <x:v>n.a.</x:v>
      </x:c>
      <x:c r="X90" s="9" t="str">
        <x:f>IF(V90=1,R90*(W90-G90),"n.a.")</x:f>
        <x:v>n.a.</x:v>
      </x:c>
      <x:c r="Y90" s="9" t="str">
        <x:f>IF(V90=1,R90*W90,"n.a.")</x:f>
        <x:v>n.a.</x:v>
      </x:c>
      <x:c r="Z90" s="1" t="str">
        <x:f>IF(ISNUMBER(T90),R90-T90,"n.a.")</x:f>
        <x:v>n.a.</x:v>
      </x:c>
      <x:c r="AA90" s="1" t="str">
        <x:f>'Inventory inputs'!R90</x:f>
        <x:v>Review receipt reconciliation or original PO baseline</x:v>
      </x:c>
      <x:c r="AB90" s="1" t="str">
        <x:f>IF(L90=1,SUMIFS('Incoming POs'!$P$2:$P$305,'Incoming POs'!$A$2:$A$305,A90,'Incoming POs'!$B$2:$B$305,B90,'Incoming POs'!$C$2:$C$305,C90,'Incoming POs'!$G$2:$G$305,"&gt;="&amp;D90,'Incoming POs'!$G$2:$G$305,"&lt;"&amp;Dashboard!$I$5,'Incoming POs'!$Q$2:$Q$305,"&lt;="&amp;('Inventory inputs'!P90/'Inventory inputs'!J90*1.01)),"n.a.")</x:f>
        <x:v>n.a.</x:v>
      </x:c>
      <x:c r="AC90" s="9" t="n">
        <x:f>I90*G90</x:f>
        <x:v>0</x:v>
      </x:c>
      <x:c r="AD90" s="9" t="n">
        <x:f>J90*G90</x:f>
        <x:v>0</x:v>
      </x:c>
      <x:c r="AE90" s="9" t="n">
        <x:f>K90*G90</x:f>
        <x:v>0</x:v>
      </x:c>
      <x:c r="AF90" s="9" t="n">
        <x:f>R90*G90</x:f>
        <x:v>0</x:v>
      </x:c>
    </x:row>
    <x:row r="91" ht="21" customHeight="1">
      <x:c r="A91" s="1" t="str">
        <x:f>'Inventory inputs'!A91</x:f>
        <x:v>C400</x:v>
      </x:c>
      <x:c r="B91" s="1" t="str">
        <x:f>'Inventory inputs'!B91</x:f>
        <x:v>60</x:v>
      </x:c>
      <x:c r="C91" s="1" t="str">
        <x:f>'Inventory inputs'!C91</x:f>
        <x:v>400MASC3</x:v>
      </x:c>
      <x:c r="D91" s="7" t="n">
        <x:f>'Inventory inputs'!E91</x:f>
        <x:v>46303</x:v>
      </x:c>
      <x:c r="E91" s="1" t="n">
        <x:f>'Inventory inputs'!F91</x:f>
        <x:v>1600</x:v>
      </x:c>
      <x:c r="F91" s="1" t="n">
        <x:f>'Inventory inputs'!G91</x:f>
        <x:v>0</x:v>
      </x:c>
      <x:c r="G91" s="1" t="n">
        <x:f>'Inventory inputs'!H91/'Inventory inputs'!J91</x:f>
        <x:v>0.053</x:v>
      </x:c>
      <x:c r="H91" s="1" t="str">
        <x:f>IF('Inventory inputs'!I91&gt;0,'Inventory inputs'!I91*'Inventory inputs'!K91/'Inventory inputs'!J91,"n.a.")</x:f>
        <x:v>n.a.</x:v>
      </x:c>
      <x:c r="I91" s="1" t="n">
        <x:f>'Inventory inputs'!L91</x:f>
        <x:v>0</x:v>
      </x:c>
      <x:c r="J91" s="1" t="n">
        <x:f>'Inventory inputs'!M91</x:f>
        <x:v>0</x:v>
      </x:c>
      <x:c r="K91" s="1" t="n">
        <x:f>'Inventory inputs'!N91</x:f>
        <x:v>1600</x:v>
      </x:c>
      <x:c r="L91" s="1" t="n">
        <x:f>'Inventory inputs'!O91</x:f>
        <x:v>0</x:v>
      </x:c>
      <x:c r="M91" s="9" t="n">
        <x:f>E91*G91</x:f>
        <x:v>84.8</x:v>
      </x:c>
      <x:c r="N91" s="9" t="n">
        <x:f>'Inventory inputs'!Q91</x:f>
        <x:v>84.8</x:v>
      </x:c>
      <x:c r="O91" s="9" t="n">
        <x:f>N91-M91</x:f>
        <x:v>0</x:v>
      </x:c>
      <x:c r="P91" s="1" t="n">
        <x:f>SUMIFS('Incoming POs'!$P$2:$P$305,'Incoming POs'!$A$2:$A$305,A91,'Incoming POs'!$B$2:$B$305,B91,'Incoming POs'!$C$2:$C$305,C91,'Incoming POs'!$G$2:$G$305,"&gt;="&amp;D91,'Incoming POs'!$G$2:$G$305,"&lt;"&amp;Dashboard!$I$5)</x:f>
        <x:v>0</x:v>
      </x:c>
      <x:c r="Q91" s="1" t="n">
        <x:f>F91*Dashboard!$L$5*MAX(0,Dashboard!$I$5-D91)/30.4375</x:f>
        <x:v>0</x:v>
      </x:c>
      <x:c r="R91" s="1" t="n">
        <x:f>MAX(0,E91+P91-Q91)</x:f>
        <x:v>1600</x:v>
      </x:c>
      <x:c r="S91" s="1" t="n">
        <x:f>MAX(0,Q91-E91-P91)</x:f>
        <x:v>0</x:v>
      </x:c>
      <x:c r="T91" s="1" t="str">
        <x:f>IF(L91=1,MAX(0,I91+AB91-MIN(Q91,E91+P91)),"n.a.")</x:f>
        <x:v>n.a.</x:v>
      </x:c>
      <x:c r="U91" s="9" t="str">
        <x:f>IF(ISNUMBER(T91),T91*G91,"n.a.")</x:f>
        <x:v>n.a.</x:v>
      </x:c>
      <x:c r="V91" s="25" t="n">
        <x:f>IF(Dashboard!$I$6="Flat %",1,IF(ISNUMBER(H91),1,0))</x:f>
        <x:v>0</x:v>
      </x:c>
      <x:c r="W91" s="9" t="str">
        <x:f>IF(Dashboard!$I$6="Flat %",G91*(1+Dashboard!$L$6),H91)</x:f>
        <x:v>n.a.</x:v>
      </x:c>
      <x:c r="X91" s="9" t="str">
        <x:f>IF(V91=1,R91*(W91-G91),"n.a.")</x:f>
        <x:v>n.a.</x:v>
      </x:c>
      <x:c r="Y91" s="9" t="str">
        <x:f>IF(V91=1,R91*W91,"n.a.")</x:f>
        <x:v>n.a.</x:v>
      </x:c>
      <x:c r="Z91" s="1" t="str">
        <x:f>IF(ISNUMBER(T91),R91-T91,"n.a.")</x:f>
        <x:v>n.a.</x:v>
      </x:c>
      <x:c r="AA91" s="1" t="str">
        <x:f>'Inventory inputs'!R91</x:f>
        <x:v>Review receipt reconciliation or original PO baseline</x:v>
      </x:c>
      <x:c r="AB91" s="1" t="str">
        <x:f>IF(L91=1,SUMIFS('Incoming POs'!$P$2:$P$305,'Incoming POs'!$A$2:$A$305,A91,'Incoming POs'!$B$2:$B$305,B91,'Incoming POs'!$C$2:$C$305,C91,'Incoming POs'!$G$2:$G$305,"&gt;="&amp;D91,'Incoming POs'!$G$2:$G$305,"&lt;"&amp;Dashboard!$I$5,'Incoming POs'!$Q$2:$Q$305,"&lt;="&amp;('Inventory inputs'!P91/'Inventory inputs'!J91*1.01)),"n.a.")</x:f>
        <x:v>n.a.</x:v>
      </x:c>
      <x:c r="AC91" s="9" t="n">
        <x:f>I91*G91</x:f>
        <x:v>0</x:v>
      </x:c>
      <x:c r="AD91" s="9" t="n">
        <x:f>J91*G91</x:f>
        <x:v>0</x:v>
      </x:c>
      <x:c r="AE91" s="9" t="n">
        <x:f>K91*G91</x:f>
        <x:v>84.8</x:v>
      </x:c>
      <x:c r="AF91" s="9" t="n">
        <x:f>R91*G91</x:f>
        <x:v>84.8</x:v>
      </x:c>
    </x:row>
    <x:row r="92" ht="21" customHeight="1">
      <x:c r="A92" s="1" t="str">
        <x:f>'Inventory inputs'!A92</x:f>
        <x:v>C400</x:v>
      </x:c>
      <x:c r="B92" s="1" t="str">
        <x:f>'Inventory inputs'!B92</x:f>
        <x:v>60</x:v>
      </x:c>
      <x:c r="C92" s="1" t="str">
        <x:f>'Inventory inputs'!C92</x:f>
        <x:v>WOM</x:v>
      </x:c>
      <x:c r="D92" s="7" t="n">
        <x:f>'Inventory inputs'!E92</x:f>
        <x:v>46303</x:v>
      </x:c>
      <x:c r="E92" s="1" t="n">
        <x:f>'Inventory inputs'!F92</x:f>
        <x:v>300</x:v>
      </x:c>
      <x:c r="F92" s="1" t="n">
        <x:f>'Inventory inputs'!G92</x:f>
        <x:v>0</x:v>
      </x:c>
      <x:c r="G92" s="1" t="n">
        <x:f>'Inventory inputs'!H92/'Inventory inputs'!J92</x:f>
        <x:v>0.0275</x:v>
      </x:c>
      <x:c r="H92" s="1" t="str">
        <x:f>IF('Inventory inputs'!I92&gt;0,'Inventory inputs'!I92*'Inventory inputs'!K92/'Inventory inputs'!J92,"n.a.")</x:f>
        <x:v>n.a.</x:v>
      </x:c>
      <x:c r="I92" s="1" t="n">
        <x:f>'Inventory inputs'!L92</x:f>
        <x:v>0</x:v>
      </x:c>
      <x:c r="J92" s="1" t="n">
        <x:f>'Inventory inputs'!M92</x:f>
        <x:v>0</x:v>
      </x:c>
      <x:c r="K92" s="1" t="n">
        <x:f>'Inventory inputs'!N92</x:f>
        <x:v>300</x:v>
      </x:c>
      <x:c r="L92" s="1" t="n">
        <x:f>'Inventory inputs'!O92</x:f>
        <x:v>0</x:v>
      </x:c>
      <x:c r="M92" s="9" t="n">
        <x:f>E92*G92</x:f>
        <x:v>8.25</x:v>
      </x:c>
      <x:c r="N92" s="9" t="n">
        <x:f>'Inventory inputs'!Q92</x:f>
        <x:v>8.25</x:v>
      </x:c>
      <x:c r="O92" s="9" t="n">
        <x:f>N92-M92</x:f>
        <x:v>0</x:v>
      </x:c>
      <x:c r="P92" s="1" t="n">
        <x:f>SUMIFS('Incoming POs'!$P$2:$P$305,'Incoming POs'!$A$2:$A$305,A92,'Incoming POs'!$B$2:$B$305,B92,'Incoming POs'!$C$2:$C$305,C92,'Incoming POs'!$G$2:$G$305,"&gt;="&amp;D92,'Incoming POs'!$G$2:$G$305,"&lt;"&amp;Dashboard!$I$5)</x:f>
        <x:v>0</x:v>
      </x:c>
      <x:c r="Q92" s="1" t="n">
        <x:f>F92*Dashboard!$L$5*MAX(0,Dashboard!$I$5-D92)/30.4375</x:f>
        <x:v>0</x:v>
      </x:c>
      <x:c r="R92" s="1" t="n">
        <x:f>MAX(0,E92+P92-Q92)</x:f>
        <x:v>300</x:v>
      </x:c>
      <x:c r="S92" s="1" t="n">
        <x:f>MAX(0,Q92-E92-P92)</x:f>
        <x:v>0</x:v>
      </x:c>
      <x:c r="T92" s="1" t="str">
        <x:f>IF(L92=1,MAX(0,I92+AB92-MIN(Q92,E92+P92)),"n.a.")</x:f>
        <x:v>n.a.</x:v>
      </x:c>
      <x:c r="U92" s="9" t="str">
        <x:f>IF(ISNUMBER(T92),T92*G92,"n.a.")</x:f>
        <x:v>n.a.</x:v>
      </x:c>
      <x:c r="V92" s="25" t="n">
        <x:f>IF(Dashboard!$I$6="Flat %",1,IF(ISNUMBER(H92),1,0))</x:f>
        <x:v>0</x:v>
      </x:c>
      <x:c r="W92" s="9" t="str">
        <x:f>IF(Dashboard!$I$6="Flat %",G92*(1+Dashboard!$L$6),H92)</x:f>
        <x:v>n.a.</x:v>
      </x:c>
      <x:c r="X92" s="9" t="str">
        <x:f>IF(V92=1,R92*(W92-G92),"n.a.")</x:f>
        <x:v>n.a.</x:v>
      </x:c>
      <x:c r="Y92" s="9" t="str">
        <x:f>IF(V92=1,R92*W92,"n.a.")</x:f>
        <x:v>n.a.</x:v>
      </x:c>
      <x:c r="Z92" s="1" t="str">
        <x:f>IF(ISNUMBER(T92),R92-T92,"n.a.")</x:f>
        <x:v>n.a.</x:v>
      </x:c>
      <x:c r="AA92" s="1" t="str">
        <x:f>'Inventory inputs'!R92</x:f>
        <x:v>Review receipt reconciliation or original PO baseline</x:v>
      </x:c>
      <x:c r="AB92" s="1" t="str">
        <x:f>IF(L92=1,SUMIFS('Incoming POs'!$P$2:$P$305,'Incoming POs'!$A$2:$A$305,A92,'Incoming POs'!$B$2:$B$305,B92,'Incoming POs'!$C$2:$C$305,C92,'Incoming POs'!$G$2:$G$305,"&gt;="&amp;D92,'Incoming POs'!$G$2:$G$305,"&lt;"&amp;Dashboard!$I$5,'Incoming POs'!$Q$2:$Q$305,"&lt;="&amp;('Inventory inputs'!P92/'Inventory inputs'!J92*1.01)),"n.a.")</x:f>
        <x:v>n.a.</x:v>
      </x:c>
      <x:c r="AC92" s="9" t="n">
        <x:f>I92*G92</x:f>
        <x:v>0</x:v>
      </x:c>
      <x:c r="AD92" s="9" t="n">
        <x:f>J92*G92</x:f>
        <x:v>0</x:v>
      </x:c>
      <x:c r="AE92" s="9" t="n">
        <x:f>K92*G92</x:f>
        <x:v>8.25</x:v>
      </x:c>
      <x:c r="AF92" s="9" t="n">
        <x:f>R92*G92</x:f>
        <x:v>8.25</x:v>
      </x:c>
    </x:row>
    <x:row r="93" ht="21" customHeight="1">
      <x:c r="A93" s="1" t="str">
        <x:f>'Inventory inputs'!A93</x:f>
        <x:v>PLAS</x:v>
      </x:c>
      <x:c r="B93" s="1" t="str">
        <x:f>'Inventory inputs'!B93</x:f>
        <x:v>10</x:v>
      </x:c>
      <x:c r="C93" s="1" t="str">
        <x:f>'Inventory inputs'!C93</x:f>
        <x:v>03819RWBBLK</x:v>
      </x:c>
      <x:c r="D93" s="7" t="n">
        <x:f>'Inventory inputs'!E93</x:f>
        <x:v>46303</x:v>
      </x:c>
      <x:c r="E93" s="1" t="n">
        <x:f>'Inventory inputs'!F93</x:f>
        <x:v>325600</x:v>
      </x:c>
      <x:c r="F93" s="1" t="n">
        <x:f>'Inventory inputs'!G93</x:f>
        <x:v>68485.42</x:v>
      </x:c>
      <x:c r="G93" s="1" t="n">
        <x:f>'Inventory inputs'!H93/'Inventory inputs'!J93</x:f>
        <x:v>0.0248</x:v>
      </x:c>
      <x:c r="H93" s="1" t="n">
        <x:f>IF('Inventory inputs'!I93&gt;0,'Inventory inputs'!I93*'Inventory inputs'!K93/'Inventory inputs'!J93,"n.a.")</x:f>
        <x:v>0.029106</x:v>
      </x:c>
      <x:c r="I93" s="1" t="n">
        <x:f>'Inventory inputs'!L93</x:f>
        <x:v>65600</x:v>
      </x:c>
      <x:c r="J93" s="1" t="n">
        <x:f>'Inventory inputs'!M93</x:f>
        <x:v>260000</x:v>
      </x:c>
      <x:c r="K93" s="1" t="n">
        <x:f>'Inventory inputs'!N93</x:f>
        <x:v>0</x:v>
      </x:c>
      <x:c r="L93" s="1" t="n">
        <x:f>'Inventory inputs'!O93</x:f>
        <x:v>1</x:v>
      </x:c>
      <x:c r="M93" s="9" t="n">
        <x:f>E93*G93</x:f>
        <x:v>8074.88</x:v>
      </x:c>
      <x:c r="N93" s="9" t="n">
        <x:f>'Inventory inputs'!Q93</x:f>
        <x:v>8089.76</x:v>
      </x:c>
      <x:c r="O93" s="9" t="n">
        <x:f>N93-M93</x:f>
        <x:v>14.88000000000011</x:v>
      </x:c>
      <x:c r="P93" s="1" t="n">
        <x:f>SUMIFS('Incoming POs'!$P$2:$P$305,'Incoming POs'!$A$2:$A$305,A93,'Incoming POs'!$B$2:$B$305,B93,'Incoming POs'!$C$2:$C$305,C93,'Incoming POs'!$G$2:$G$305,"&gt;="&amp;D93,'Incoming POs'!$G$2:$G$305,"&lt;"&amp;Dashboard!$I$5)</x:f>
        <x:v>70000</x:v>
      </x:c>
      <x:c r="Q93" s="1" t="n">
        <x:f>F93*Dashboard!$L$5*MAX(0,Dashboard!$I$5-D93)/30.4375</x:f>
        <x:v>91126.39047227926</x:v>
      </x:c>
      <x:c r="R93" s="1" t="n">
        <x:f>MAX(0,E93+P93-Q93)</x:f>
        <x:v>304473.6095277207</x:v>
      </x:c>
      <x:c r="S93" s="1" t="n">
        <x:f>MAX(0,Q93-E93-P93)</x:f>
        <x:v>0</x:v>
      </x:c>
      <x:c r="T93" s="1" t="n">
        <x:f>IF(L93=1,MAX(0,I93+AB93-MIN(Q93,E93+P93)),"n.a.")</x:f>
        <x:v>0</x:v>
      </x:c>
      <x:c r="U93" s="9" t="n">
        <x:f>IF(ISNUMBER(T93),T93*G93,"n.a.")</x:f>
        <x:v>0</x:v>
      </x:c>
      <x:c r="V93" s="25" t="n">
        <x:f>IF(Dashboard!$I$6="Flat %",1,IF(ISNUMBER(H93),1,0))</x:f>
        <x:v>1</x:v>
      </x:c>
      <x:c r="W93" s="9" t="n">
        <x:f>IF(Dashboard!$I$6="Flat %",G93*(1+Dashboard!$L$6),H93)</x:f>
        <x:v>0.029106</x:v>
      </x:c>
      <x:c r="X93" s="9" t="n">
        <x:f>IF(V93=1,R93*(W93-G93),"n.a.")</x:f>
        <x:v>1311.0633626263657</x:v>
      </x:c>
      <x:c r="Y93" s="9" t="n">
        <x:f>IF(V93=1,R93*W93,"n.a.")</x:f>
        <x:v>8862.008878913839</x:v>
      </x:c>
      <x:c r="Z93" s="1" t="n">
        <x:f>IF(ISNUMBER(T93),R93-T93,"n.a.")</x:f>
        <x:v>304473.6095277207</x:v>
      </x:c>
      <x:c r="AA93" s="1" t="str">
        <x:f>'Inventory inputs'!R93</x:f>
        <x:v>Classified</x:v>
      </x:c>
      <x:c r="AB93" s="1" t="n">
        <x:f>IF(L93=1,SUMIFS('Incoming POs'!$P$2:$P$305,'Incoming POs'!$A$2:$A$305,A93,'Incoming POs'!$B$2:$B$305,B93,'Incoming POs'!$C$2:$C$305,C93,'Incoming POs'!$G$2:$G$305,"&gt;="&amp;D93,'Incoming POs'!$G$2:$G$305,"&lt;"&amp;Dashboard!$I$5,'Incoming POs'!$Q$2:$Q$305,"&lt;="&amp;('Inventory inputs'!P93/'Inventory inputs'!J93*1.01)),"n.a.")</x:f>
        <x:v>0</x:v>
      </x:c>
      <x:c r="AC93" s="9" t="n">
        <x:f>I93*G93</x:f>
        <x:v>1626.8799999999999</x:v>
      </x:c>
      <x:c r="AD93" s="9" t="n">
        <x:f>J93*G93</x:f>
        <x:v>6448</x:v>
      </x:c>
      <x:c r="AE93" s="9" t="n">
        <x:f>K93*G93</x:f>
        <x:v>0</x:v>
      </x:c>
      <x:c r="AF93" s="9" t="n">
        <x:f>R93*G93</x:f>
        <x:v>7550.945516287474</x:v>
      </x:c>
    </x:row>
    <x:row r="94" ht="21" customHeight="1">
      <x:c r="A94" s="1" t="str">
        <x:f>'Inventory inputs'!A94</x:f>
        <x:v>PLAS</x:v>
      </x:c>
      <x:c r="B94" s="1" t="str">
        <x:f>'Inventory inputs'!B94</x:f>
        <x:v>10</x:v>
      </x:c>
      <x:c r="C94" s="1" t="str">
        <x:f>'Inventory inputs'!C94</x:f>
        <x:v>01219RWBBLK</x:v>
      </x:c>
      <x:c r="D94" s="7" t="n">
        <x:f>'Inventory inputs'!E94</x:f>
        <x:v>46303</x:v>
      </x:c>
      <x:c r="E94" s="1" t="n">
        <x:f>'Inventory inputs'!F94</x:f>
        <x:v>120280</x:v>
      </x:c>
      <x:c r="F94" s="1" t="n">
        <x:f>'Inventory inputs'!G94</x:f>
        <x:v>39137.09</x:v>
      </x:c>
      <x:c r="G94" s="1" t="n">
        <x:f>'Inventory inputs'!H94/'Inventory inputs'!J94</x:f>
        <x:v>0.036000000000000004</x:v>
      </x:c>
      <x:c r="H94" s="1" t="n">
        <x:f>IF('Inventory inputs'!I94&gt;0,'Inventory inputs'!I94*'Inventory inputs'!K94/'Inventory inputs'!J94,"n.a.")</x:f>
        <x:v>0.042189</x:v>
      </x:c>
      <x:c r="I94" s="1" t="n">
        <x:f>'Inventory inputs'!L94</x:f>
        <x:v>20280</x:v>
      </x:c>
      <x:c r="J94" s="1" t="n">
        <x:f>'Inventory inputs'!M94</x:f>
        <x:v>100000</x:v>
      </x:c>
      <x:c r="K94" s="1" t="n">
        <x:f>'Inventory inputs'!N94</x:f>
        <x:v>0</x:v>
      </x:c>
      <x:c r="L94" s="1" t="n">
        <x:f>'Inventory inputs'!O94</x:f>
        <x:v>1</x:v>
      </x:c>
      <x:c r="M94" s="9" t="n">
        <x:f>E94*G94</x:f>
        <x:v>4330.080000000001</x:v>
      </x:c>
      <x:c r="N94" s="9" t="n">
        <x:f>'Inventory inputs'!Q94</x:f>
        <x:v>4330.08</x:v>
      </x:c>
      <x:c r="O94" s="9" t="n">
        <x:f>N94-M94</x:f>
        <x:v>-9.094947017729282e-13</x:v>
      </x:c>
      <x:c r="P94" s="1" t="n">
        <x:f>SUMIFS('Incoming POs'!$P$2:$P$305,'Incoming POs'!$A$2:$A$305,A94,'Incoming POs'!$B$2:$B$305,B94,'Incoming POs'!$C$2:$C$305,C94,'Incoming POs'!$G$2:$G$305,"&gt;="&amp;D94,'Incoming POs'!$G$2:$G$305,"&lt;"&amp;Dashboard!$I$5)</x:f>
        <x:v>80000</x:v>
      </x:c>
      <x:c r="Q94" s="1" t="n">
        <x:f>F94*Dashboard!$L$5*MAX(0,Dashboard!$I$5-D94)/30.4375</x:f>
        <x:v>52075.6351540041</x:v>
      </x:c>
      <x:c r="R94" s="1" t="n">
        <x:f>MAX(0,E94+P94-Q94)</x:f>
        <x:v>148204.3648459959</x:v>
      </x:c>
      <x:c r="S94" s="1" t="n">
        <x:f>MAX(0,Q94-E94-P94)</x:f>
        <x:v>0</x:v>
      </x:c>
      <x:c r="T94" s="1" t="n">
        <x:f>IF(L94=1,MAX(0,I94+AB94-MIN(Q94,E94+P94)),"n.a.")</x:f>
        <x:v>0</x:v>
      </x:c>
      <x:c r="U94" s="9" t="n">
        <x:f>IF(ISNUMBER(T94),T94*G94,"n.a.")</x:f>
        <x:v>0</x:v>
      </x:c>
      <x:c r="V94" s="25" t="n">
        <x:f>IF(Dashboard!$I$6="Flat %",1,IF(ISNUMBER(H94),1,0))</x:f>
        <x:v>1</x:v>
      </x:c>
      <x:c r="W94" s="9" t="n">
        <x:f>IF(Dashboard!$I$6="Flat %",G94*(1+Dashboard!$L$6),H94)</x:f>
        <x:v>0.042189</x:v>
      </x:c>
      <x:c r="X94" s="9" t="n">
        <x:f>IF(V94=1,R94*(W94-G94),"n.a.")</x:f>
        <x:v>917.2368140318677</x:v>
      </x:c>
      <x:c r="Y94" s="9" t="n">
        <x:f>IF(V94=1,R94*W94,"n.a.")</x:f>
        <x:v>6252.593948487721</x:v>
      </x:c>
      <x:c r="Z94" s="1" t="n">
        <x:f>IF(ISNUMBER(T94),R94-T94,"n.a.")</x:f>
        <x:v>148204.3648459959</x:v>
      </x:c>
      <x:c r="AA94" s="1" t="str">
        <x:f>'Inventory inputs'!R94</x:f>
        <x:v>Classified</x:v>
      </x:c>
      <x:c r="AB94" s="1" t="n">
        <x:f>IF(L94=1,SUMIFS('Incoming POs'!$P$2:$P$305,'Incoming POs'!$A$2:$A$305,A94,'Incoming POs'!$B$2:$B$305,B94,'Incoming POs'!$C$2:$C$305,C94,'Incoming POs'!$G$2:$G$305,"&gt;="&amp;D94,'Incoming POs'!$G$2:$G$305,"&lt;"&amp;Dashboard!$I$5,'Incoming POs'!$Q$2:$Q$305,"&lt;="&amp;('Inventory inputs'!P94/'Inventory inputs'!J94*1.01)),"n.a.")</x:f>
        <x:v>0</x:v>
      </x:c>
      <x:c r="AC94" s="9" t="n">
        <x:f>I94*G94</x:f>
        <x:v>730.08</x:v>
      </x:c>
      <x:c r="AD94" s="9" t="n">
        <x:f>J94*G94</x:f>
        <x:v>3600.0000000000005</x:v>
      </x:c>
      <x:c r="AE94" s="9" t="n">
        <x:f>K94*G94</x:f>
        <x:v>0</x:v>
      </x:c>
      <x:c r="AF94" s="9" t="n">
        <x:f>R94*G94</x:f>
        <x:v>5335.357134455853</x:v>
      </x:c>
    </x:row>
    <x:row r="95" ht="21" customHeight="1">
      <x:c r="A95" s="1" t="str">
        <x:f>'Inventory inputs'!A95</x:f>
        <x:v>PLAS</x:v>
      </x:c>
      <x:c r="B95" s="1" t="str">
        <x:f>'Inventory inputs'!B95</x:f>
        <x:v>10</x:v>
      </x:c>
      <x:c r="C95" s="1" t="str">
        <x:f>'Inventory inputs'!C95</x:f>
        <x:v>51619RWBBLK</x:v>
      </x:c>
      <x:c r="D95" s="7" t="n">
        <x:f>'Inventory inputs'!E95</x:f>
        <x:v>46303</x:v>
      </x:c>
      <x:c r="E95" s="1" t="n">
        <x:f>'Inventory inputs'!F95</x:f>
        <x:v>126700</x:v>
      </x:c>
      <x:c r="F95" s="1" t="n">
        <x:f>'Inventory inputs'!G95</x:f>
        <x:v>37427.92</x:v>
      </x:c>
      <x:c r="G95" s="1" t="n">
        <x:f>'Inventory inputs'!H95/'Inventory inputs'!J95</x:f>
        <x:v>0.0216</x:v>
      </x:c>
      <x:c r="H95" s="1" t="n">
        <x:f>IF('Inventory inputs'!I95&gt;0,'Inventory inputs'!I95*'Inventory inputs'!K95/'Inventory inputs'!J95,"n.a.")</x:f>
        <x:v>0.025284</x:v>
      </x:c>
      <x:c r="I95" s="1" t="n">
        <x:f>'Inventory inputs'!L95</x:f>
        <x:v>0</x:v>
      </x:c>
      <x:c r="J95" s="1" t="n">
        <x:f>'Inventory inputs'!M95</x:f>
        <x:v>126700</x:v>
      </x:c>
      <x:c r="K95" s="1" t="n">
        <x:f>'Inventory inputs'!N95</x:f>
        <x:v>0</x:v>
      </x:c>
      <x:c r="L95" s="1" t="n">
        <x:f>'Inventory inputs'!O95</x:f>
        <x:v>1</x:v>
      </x:c>
      <x:c r="M95" s="9" t="n">
        <x:f>E95*G95</x:f>
        <x:v>2736.7200000000003</x:v>
      </x:c>
      <x:c r="N95" s="9" t="n">
        <x:f>'Inventory inputs'!Q95</x:f>
        <x:v>2736.7200000000003</x:v>
      </x:c>
      <x:c r="O95" s="9" t="n">
        <x:f>N95-M95</x:f>
        <x:v>0</x:v>
      </x:c>
      <x:c r="P95" s="1" t="n">
        <x:f>SUMIFS('Incoming POs'!$P$2:$P$305,'Incoming POs'!$A$2:$A$305,A95,'Incoming POs'!$B$2:$B$305,B95,'Incoming POs'!$C$2:$C$305,C95,'Incoming POs'!$G$2:$G$305,"&gt;="&amp;D95,'Incoming POs'!$G$2:$G$305,"&lt;"&amp;Dashboard!$I$5)</x:f>
        <x:v>62000</x:v>
      </x:c>
      <x:c r="Q95" s="1" t="n">
        <x:f>F95*Dashboard!$L$5*MAX(0,Dashboard!$I$5-D95)/30.4375</x:f>
        <x:v>49801.42127310062</x:v>
      </x:c>
      <x:c r="R95" s="1" t="n">
        <x:f>MAX(0,E95+P95-Q95)</x:f>
        <x:v>138898.57872689937</x:v>
      </x:c>
      <x:c r="S95" s="1" t="n">
        <x:f>MAX(0,Q95-E95-P95)</x:f>
        <x:v>0</x:v>
      </x:c>
      <x:c r="T95" s="1" t="n">
        <x:f>IF(L95=1,MAX(0,I95+AB95-MIN(Q95,E95+P95)),"n.a.")</x:f>
        <x:v>0</x:v>
      </x:c>
      <x:c r="U95" s="9" t="n">
        <x:f>IF(ISNUMBER(T95),T95*G95,"n.a.")</x:f>
        <x:v>0</x:v>
      </x:c>
      <x:c r="V95" s="25" t="n">
        <x:f>IF(Dashboard!$I$6="Flat %",1,IF(ISNUMBER(H95),1,0))</x:f>
        <x:v>1</x:v>
      </x:c>
      <x:c r="W95" s="9" t="n">
        <x:f>IF(Dashboard!$I$6="Flat %",G95*(1+Dashboard!$L$6),H95)</x:f>
        <x:v>0.025284</x:v>
      </x:c>
      <x:c r="X95" s="9" t="n">
        <x:f>IF(V95=1,R95*(W95-G95),"n.a.")</x:f>
        <x:v>511.70236402989724</x:v>
      </x:c>
      <x:c r="Y95" s="9" t="n">
        <x:f>IF(V95=1,R95*W95,"n.a.")</x:f>
        <x:v>3511.911664530924</x:v>
      </x:c>
      <x:c r="Z95" s="1" t="n">
        <x:f>IF(ISNUMBER(T95),R95-T95,"n.a.")</x:f>
        <x:v>138898.57872689937</x:v>
      </x:c>
      <x:c r="AA95" s="1" t="str">
        <x:f>'Inventory inputs'!R95</x:f>
        <x:v>Classified</x:v>
      </x:c>
      <x:c r="AB95" s="1" t="n">
        <x:f>IF(L95=1,SUMIFS('Incoming POs'!$P$2:$P$305,'Incoming POs'!$A$2:$A$305,A95,'Incoming POs'!$B$2:$B$305,B95,'Incoming POs'!$C$2:$C$305,C95,'Incoming POs'!$G$2:$G$305,"&gt;="&amp;D95,'Incoming POs'!$G$2:$G$305,"&lt;"&amp;Dashboard!$I$5,'Incoming POs'!$Q$2:$Q$305,"&lt;="&amp;('Inventory inputs'!P95/'Inventory inputs'!J95*1.01)),"n.a.")</x:f>
        <x:v>0</x:v>
      </x:c>
      <x:c r="AC95" s="9" t="n">
        <x:f>I95*G95</x:f>
        <x:v>0</x:v>
      </x:c>
      <x:c r="AD95" s="9" t="n">
        <x:f>J95*G95</x:f>
        <x:v>2736.7200000000003</x:v>
      </x:c>
      <x:c r="AE95" s="9" t="n">
        <x:f>K95*G95</x:f>
        <x:v>0</x:v>
      </x:c>
      <x:c r="AF95" s="9" t="n">
        <x:f>R95*G95</x:f>
        <x:v>3000.2093005010265</x:v>
      </x:c>
    </x:row>
    <x:row r="96" ht="21" customHeight="1">
      <x:c r="A96" s="1" t="str">
        <x:f>'Inventory inputs'!A96</x:f>
        <x:v>PLAS</x:v>
      </x:c>
      <x:c r="B96" s="1" t="str">
        <x:f>'Inventory inputs'!B96</x:f>
        <x:v>10</x:v>
      </x:c>
      <x:c r="C96" s="1" t="str">
        <x:f>'Inventory inputs'!C96</x:f>
        <x:v>01419RWBBLK</x:v>
      </x:c>
      <x:c r="D96" s="7" t="n">
        <x:f>'Inventory inputs'!E96</x:f>
        <x:v>46303</x:v>
      </x:c>
      <x:c r="E96" s="1" t="n">
        <x:f>'Inventory inputs'!F96</x:f>
        <x:v>58800</x:v>
      </x:c>
      <x:c r="F96" s="1" t="n">
        <x:f>'Inventory inputs'!G96</x:f>
        <x:v>27633.34</x:v>
      </x:c>
      <x:c r="G96" s="1" t="n">
        <x:f>'Inventory inputs'!H96/'Inventory inputs'!J96</x:f>
        <x:v>0.0181</x:v>
      </x:c>
      <x:c r="H96" s="1" t="n">
        <x:f>IF('Inventory inputs'!I96&gt;0,'Inventory inputs'!I96*'Inventory inputs'!K96/'Inventory inputs'!J96,"n.a.")</x:f>
        <x:v>0.021168</x:v>
      </x:c>
      <x:c r="I96" s="1" t="n">
        <x:f>'Inventory inputs'!L96</x:f>
        <x:v>0</x:v>
      </x:c>
      <x:c r="J96" s="1" t="n">
        <x:f>'Inventory inputs'!M96</x:f>
        <x:v>58800</x:v>
      </x:c>
      <x:c r="K96" s="1" t="n">
        <x:f>'Inventory inputs'!N96</x:f>
        <x:v>0</x:v>
      </x:c>
      <x:c r="L96" s="1" t="n">
        <x:f>'Inventory inputs'!O96</x:f>
        <x:v>1</x:v>
      </x:c>
      <x:c r="M96" s="9" t="n">
        <x:f>E96*G96</x:f>
        <x:v>1064.2800000000002</x:v>
      </x:c>
      <x:c r="N96" s="9" t="n">
        <x:f>'Inventory inputs'!Q96</x:f>
        <x:v>1064.28</x:v>
      </x:c>
      <x:c r="O96" s="9" t="n">
        <x:f>N96-M96</x:f>
        <x:v>-2.2737367544323206e-13</x:v>
      </x:c>
      <x:c r="P96" s="1" t="n">
        <x:f>SUMIFS('Incoming POs'!$P$2:$P$305,'Incoming POs'!$A$2:$A$305,A96,'Incoming POs'!$B$2:$B$305,B96,'Incoming POs'!$C$2:$C$305,C96,'Incoming POs'!$G$2:$G$305,"&gt;="&amp;D96,'Incoming POs'!$G$2:$G$305,"&lt;"&amp;Dashboard!$I$5)</x:f>
        <x:v>55000</x:v>
      </x:c>
      <x:c r="Q96" s="1" t="n">
        <x:f>F96*Dashboard!$L$5*MAX(0,Dashboard!$I$5-D96)/30.4375</x:f>
        <x:v>36768.79737166325</x:v>
      </x:c>
      <x:c r="R96" s="1" t="n">
        <x:f>MAX(0,E96+P96-Q96)</x:f>
        <x:v>77031.20262833676</x:v>
      </x:c>
      <x:c r="S96" s="1" t="n">
        <x:f>MAX(0,Q96-E96-P96)</x:f>
        <x:v>0</x:v>
      </x:c>
      <x:c r="T96" s="1" t="n">
        <x:f>IF(L96=1,MAX(0,I96+AB96-MIN(Q96,E96+P96)),"n.a.")</x:f>
        <x:v>0</x:v>
      </x:c>
      <x:c r="U96" s="9" t="n">
        <x:f>IF(ISNUMBER(T96),T96*G96,"n.a.")</x:f>
        <x:v>0</x:v>
      </x:c>
      <x:c r="V96" s="25" t="n">
        <x:f>IF(Dashboard!$I$6="Flat %",1,IF(ISNUMBER(H96),1,0))</x:f>
        <x:v>1</x:v>
      </x:c>
      <x:c r="W96" s="9" t="n">
        <x:f>IF(Dashboard!$I$6="Flat %",G96*(1+Dashboard!$L$6),H96)</x:f>
        <x:v>0.021168</x:v>
      </x:c>
      <x:c r="X96" s="9" t="n">
        <x:f>IF(V96=1,R96*(W96-G96),"n.a.")</x:f>
        <x:v>236.331729663737</x:v>
      </x:c>
      <x:c r="Y96" s="9" t="n">
        <x:f>IF(V96=1,R96*W96,"n.a.")</x:f>
        <x:v>1630.5964972366326</x:v>
      </x:c>
      <x:c r="Z96" s="1" t="n">
        <x:f>IF(ISNUMBER(T96),R96-T96,"n.a.")</x:f>
        <x:v>77031.20262833676</x:v>
      </x:c>
      <x:c r="AA96" s="1" t="str">
        <x:f>'Inventory inputs'!R96</x:f>
        <x:v>Classified</x:v>
      </x:c>
      <x:c r="AB96" s="1" t="n">
        <x:f>IF(L96=1,SUMIFS('Incoming POs'!$P$2:$P$305,'Incoming POs'!$A$2:$A$305,A96,'Incoming POs'!$B$2:$B$305,B96,'Incoming POs'!$C$2:$C$305,C96,'Incoming POs'!$G$2:$G$305,"&gt;="&amp;D96,'Incoming POs'!$G$2:$G$305,"&lt;"&amp;Dashboard!$I$5,'Incoming POs'!$Q$2:$Q$305,"&lt;="&amp;('Inventory inputs'!P96/'Inventory inputs'!J96*1.01)),"n.a.")</x:f>
        <x:v>0</x:v>
      </x:c>
      <x:c r="AC96" s="9" t="n">
        <x:f>I96*G96</x:f>
        <x:v>0</x:v>
      </x:c>
      <x:c r="AD96" s="9" t="n">
        <x:f>J96*G96</x:f>
        <x:v>1064.2800000000002</x:v>
      </x:c>
      <x:c r="AE96" s="9" t="n">
        <x:f>K96*G96</x:f>
        <x:v>0</x:v>
      </x:c>
      <x:c r="AF96" s="9" t="n">
        <x:f>R96*G96</x:f>
        <x:v>1394.2647675728954</x:v>
      </x:c>
    </x:row>
    <x:row r="97" ht="21" customHeight="1">
      <x:c r="A97" s="1" t="str">
        <x:f>'Inventory inputs'!A97</x:f>
        <x:v>PLAS</x:v>
      </x:c>
      <x:c r="B97" s="1" t="str">
        <x:f>'Inventory inputs'!B97</x:f>
        <x:v>10</x:v>
      </x:c>
      <x:c r="C97" s="1" t="str">
        <x:f>'Inventory inputs'!C97</x:f>
        <x:v>71619RWBBLK</x:v>
      </x:c>
      <x:c r="D97" s="7" t="n">
        <x:f>'Inventory inputs'!E97</x:f>
        <x:v>46303</x:v>
      </x:c>
      <x:c r="E97" s="1" t="n">
        <x:f>'Inventory inputs'!F97</x:f>
        <x:v>100600</x:v>
      </x:c>
      <x:c r="F97" s="1" t="n">
        <x:f>'Inventory inputs'!G97</x:f>
        <x:v>26966.67</x:v>
      </x:c>
      <x:c r="G97" s="1" t="n">
        <x:f>'Inventory inputs'!H97/'Inventory inputs'!J97</x:f>
        <x:v>0.0315</x:v>
      </x:c>
      <x:c r="H97" s="1" t="n">
        <x:f>IF('Inventory inputs'!I97&gt;0,'Inventory inputs'!I97*'Inventory inputs'!K97/'Inventory inputs'!J97,"n.a.")</x:f>
        <x:v>0.03675</x:v>
      </x:c>
      <x:c r="I97" s="1" t="n">
        <x:f>'Inventory inputs'!L97</x:f>
        <x:v>3600</x:v>
      </x:c>
      <x:c r="J97" s="1" t="n">
        <x:f>'Inventory inputs'!M97</x:f>
        <x:v>97000</x:v>
      </x:c>
      <x:c r="K97" s="1" t="n">
        <x:f>'Inventory inputs'!N97</x:f>
        <x:v>0</x:v>
      </x:c>
      <x:c r="L97" s="1" t="n">
        <x:f>'Inventory inputs'!O97</x:f>
        <x:v>1</x:v>
      </x:c>
      <x:c r="M97" s="9" t="n">
        <x:f>E97*G97</x:f>
        <x:v>3168.9</x:v>
      </x:c>
      <x:c r="N97" s="9" t="n">
        <x:f>'Inventory inputs'!Q97</x:f>
        <x:v>3194.1</x:v>
      </x:c>
      <x:c r="O97" s="9" t="n">
        <x:f>N97-M97</x:f>
        <x:v>25.199999999999818</x:v>
      </x:c>
      <x:c r="P97" s="1" t="n">
        <x:f>SUMIFS('Incoming POs'!$P$2:$P$305,'Incoming POs'!$A$2:$A$305,A97,'Incoming POs'!$B$2:$B$305,B97,'Incoming POs'!$C$2:$C$305,C97,'Incoming POs'!$G$2:$G$305,"&gt;="&amp;D97,'Incoming POs'!$G$2:$G$305,"&lt;"&amp;Dashboard!$I$5)</x:f>
        <x:v>70000</x:v>
      </x:c>
      <x:c r="Q97" s="1" t="n">
        <x:f>F97*Dashboard!$L$5*MAX(0,Dashboard!$I$5-D97)/30.4375</x:f>
        <x:v>35881.72928131417</x:v>
      </x:c>
      <x:c r="R97" s="1" t="n">
        <x:f>MAX(0,E97+P97-Q97)</x:f>
        <x:v>134718.27071868582</x:v>
      </x:c>
      <x:c r="S97" s="1" t="n">
        <x:f>MAX(0,Q97-E97-P97)</x:f>
        <x:v>0</x:v>
      </x:c>
      <x:c r="T97" s="1" t="n">
        <x:f>IF(L97=1,MAX(0,I97+AB97-MIN(Q97,E97+P97)),"n.a.")</x:f>
        <x:v>0</x:v>
      </x:c>
      <x:c r="U97" s="9" t="n">
        <x:f>IF(ISNUMBER(T97),T97*G97,"n.a.")</x:f>
        <x:v>0</x:v>
      </x:c>
      <x:c r="V97" s="25" t="n">
        <x:f>IF(Dashboard!$I$6="Flat %",1,IF(ISNUMBER(H97),1,0))</x:f>
        <x:v>1</x:v>
      </x:c>
      <x:c r="W97" s="9" t="n">
        <x:f>IF(Dashboard!$I$6="Flat %",G97*(1+Dashboard!$L$6),H97)</x:f>
        <x:v>0.03675</x:v>
      </x:c>
      <x:c r="X97" s="9" t="n">
        <x:f>IF(V97=1,R97*(W97-G97),"n.a.")</x:f>
        <x:v>707.2709212731003</x:v>
      </x:c>
      <x:c r="Y97" s="9" t="n">
        <x:f>IF(V97=1,R97*W97,"n.a.")</x:f>
        <x:v>4950.896448911703</x:v>
      </x:c>
      <x:c r="Z97" s="1" t="n">
        <x:f>IF(ISNUMBER(T97),R97-T97,"n.a.")</x:f>
        <x:v>134718.27071868582</x:v>
      </x:c>
      <x:c r="AA97" s="1" t="str">
        <x:f>'Inventory inputs'!R97</x:f>
        <x:v>Classified</x:v>
      </x:c>
      <x:c r="AB97" s="1" t="n">
        <x:f>IF(L97=1,SUMIFS('Incoming POs'!$P$2:$P$305,'Incoming POs'!$A$2:$A$305,A97,'Incoming POs'!$B$2:$B$305,B97,'Incoming POs'!$C$2:$C$305,C97,'Incoming POs'!$G$2:$G$305,"&gt;="&amp;D97,'Incoming POs'!$G$2:$G$305,"&lt;"&amp;Dashboard!$I$5,'Incoming POs'!$Q$2:$Q$305,"&lt;="&amp;('Inventory inputs'!P97/'Inventory inputs'!J97*1.01)),"n.a.")</x:f>
        <x:v>0</x:v>
      </x:c>
      <x:c r="AC97" s="9" t="n">
        <x:f>I97*G97</x:f>
        <x:v>113.4</x:v>
      </x:c>
      <x:c r="AD97" s="9" t="n">
        <x:f>J97*G97</x:f>
        <x:v>3055.5</x:v>
      </x:c>
      <x:c r="AE97" s="9" t="n">
        <x:f>K97*G97</x:f>
        <x:v>0</x:v>
      </x:c>
      <x:c r="AF97" s="9" t="n">
        <x:f>R97*G97</x:f>
        <x:v>4243.625527638604</x:v>
      </x:c>
    </x:row>
    <x:row r="98" ht="21" customHeight="1">
      <x:c r="A98" s="1" t="str">
        <x:f>'Inventory inputs'!A98</x:f>
        <x:v>PLAS</x:v>
      </x:c>
      <x:c r="B98" s="1" t="str">
        <x:f>'Inventory inputs'!B98</x:f>
        <x:v>10</x:v>
      </x:c>
      <x:c r="C98" s="1" t="str">
        <x:f>'Inventory inputs'!C98</x:f>
        <x:v>03419RWBBLK</x:v>
      </x:c>
      <x:c r="D98" s="7" t="n">
        <x:f>'Inventory inputs'!E98</x:f>
        <x:v>46303</x:v>
      </x:c>
      <x:c r="E98" s="1" t="n">
        <x:f>'Inventory inputs'!F98</x:f>
        <x:v>61990</x:v>
      </x:c>
      <x:c r="F98" s="1" t="n">
        <x:f>'Inventory inputs'!G98</x:f>
        <x:v>18552.49</x:v>
      </x:c>
      <x:c r="G98" s="1" t="n">
        <x:f>'Inventory inputs'!H98/'Inventory inputs'!J98</x:f>
        <x:v>0.0625</x:v>
      </x:c>
      <x:c r="H98" s="1" t="n">
        <x:f>IF('Inventory inputs'!I98&gt;0,'Inventory inputs'!I98*'Inventory inputs'!K98/'Inventory inputs'!J98,"n.a.")</x:f>
        <x:v>0.073059</x:v>
      </x:c>
      <x:c r="I98" s="1" t="n">
        <x:f>'Inventory inputs'!L98</x:f>
        <x:v>17990</x:v>
      </x:c>
      <x:c r="J98" s="1" t="n">
        <x:f>'Inventory inputs'!M98</x:f>
        <x:v>44000</x:v>
      </x:c>
      <x:c r="K98" s="1" t="n">
        <x:f>'Inventory inputs'!N98</x:f>
        <x:v>0</x:v>
      </x:c>
      <x:c r="L98" s="1" t="n">
        <x:f>'Inventory inputs'!O98</x:f>
        <x:v>1</x:v>
      </x:c>
      <x:c r="M98" s="9" t="n">
        <x:f>E98*G98</x:f>
        <x:v>3874.375</x:v>
      </x:c>
      <x:c r="N98" s="9" t="n">
        <x:f>'Inventory inputs'!Q98</x:f>
        <x:v>3874.375</x:v>
      </x:c>
      <x:c r="O98" s="9" t="n">
        <x:f>N98-M98</x:f>
        <x:v>0</x:v>
      </x:c>
      <x:c r="P98" s="1" t="n">
        <x:f>SUMIFS('Incoming POs'!$P$2:$P$305,'Incoming POs'!$A$2:$A$305,A98,'Incoming POs'!$B$2:$B$305,B98,'Incoming POs'!$C$2:$C$305,C98,'Incoming POs'!$G$2:$G$305,"&gt;="&amp;D98,'Incoming POs'!$G$2:$G$305,"&lt;"&amp;Dashboard!$I$5)</x:f>
        <x:v>45000</x:v>
      </x:c>
      <x:c r="Q98" s="1" t="n">
        <x:f>F98*Dashboard!$L$5*MAX(0,Dashboard!$I$5-D98)/30.4375</x:f>
        <x:v>24685.85938398357</x:v>
      </x:c>
      <x:c r="R98" s="1" t="n">
        <x:f>MAX(0,E98+P98-Q98)</x:f>
        <x:v>82304.14061601643</x:v>
      </x:c>
      <x:c r="S98" s="1" t="n">
        <x:f>MAX(0,Q98-E98-P98)</x:f>
        <x:v>0</x:v>
      </x:c>
      <x:c r="T98" s="1" t="n">
        <x:f>IF(L98=1,MAX(0,I98+AB98-MIN(Q98,E98+P98)),"n.a.")</x:f>
        <x:v>0</x:v>
      </x:c>
      <x:c r="U98" s="9" t="n">
        <x:f>IF(ISNUMBER(T98),T98*G98,"n.a.")</x:f>
        <x:v>0</x:v>
      </x:c>
      <x:c r="V98" s="25" t="n">
        <x:f>IF(Dashboard!$I$6="Flat %",1,IF(ISNUMBER(H98),1,0))</x:f>
        <x:v>1</x:v>
      </x:c>
      <x:c r="W98" s="9" t="n">
        <x:f>IF(Dashboard!$I$6="Flat %",G98*(1+Dashboard!$L$6),H98)</x:f>
        <x:v>0.073059</x:v>
      </x:c>
      <x:c r="X98" s="9" t="n">
        <x:f>IF(V98=1,R98*(W98-G98),"n.a.")</x:f>
        <x:v>869.0494207645174</x:v>
      </x:c>
      <x:c r="Y98" s="9" t="n">
        <x:f>IF(V98=1,R98*W98,"n.a.")</x:f>
        <x:v>6013.058209265544</x:v>
      </x:c>
      <x:c r="Z98" s="1" t="n">
        <x:f>IF(ISNUMBER(T98),R98-T98,"n.a.")</x:f>
        <x:v>82304.14061601643</x:v>
      </x:c>
      <x:c r="AA98" s="1" t="str">
        <x:f>'Inventory inputs'!R98</x:f>
        <x:v>Classified</x:v>
      </x:c>
      <x:c r="AB98" s="1" t="n">
        <x:f>IF(L98=1,SUMIFS('Incoming POs'!$P$2:$P$305,'Incoming POs'!$A$2:$A$305,A98,'Incoming POs'!$B$2:$B$305,B98,'Incoming POs'!$C$2:$C$305,C98,'Incoming POs'!$G$2:$G$305,"&gt;="&amp;D98,'Incoming POs'!$G$2:$G$305,"&lt;"&amp;Dashboard!$I$5,'Incoming POs'!$Q$2:$Q$305,"&lt;="&amp;('Inventory inputs'!P98/'Inventory inputs'!J98*1.01)),"n.a.")</x:f>
        <x:v>0</x:v>
      </x:c>
      <x:c r="AC98" s="9" t="n">
        <x:f>I98*G98</x:f>
        <x:v>1124.375</x:v>
      </x:c>
      <x:c r="AD98" s="9" t="n">
        <x:f>J98*G98</x:f>
        <x:v>2750</x:v>
      </x:c>
      <x:c r="AE98" s="9" t="n">
        <x:f>K98*G98</x:f>
        <x:v>0</x:v>
      </x:c>
      <x:c r="AF98" s="9" t="n">
        <x:f>R98*G98</x:f>
        <x:v>5144.008788501027</x:v>
      </x:c>
    </x:row>
    <x:row r="99" ht="21" customHeight="1">
      <x:c r="A99" s="1" t="str">
        <x:f>'Inventory inputs'!A99</x:f>
        <x:v>PLAS</x:v>
      </x:c>
      <x:c r="B99" s="1" t="str">
        <x:f>'Inventory inputs'!B99</x:f>
        <x:v>10</x:v>
      </x:c>
      <x:c r="C99" s="1" t="str">
        <x:f>'Inventory inputs'!C99</x:f>
        <x:v>05819RWBBLK</x:v>
      </x:c>
      <x:c r="D99" s="7" t="n">
        <x:f>'Inventory inputs'!E99</x:f>
        <x:v>46303</x:v>
      </x:c>
      <x:c r="E99" s="1" t="n">
        <x:f>'Inventory inputs'!F99</x:f>
        <x:v>81094</x:v>
      </x:c>
      <x:c r="F99" s="1" t="n">
        <x:f>'Inventory inputs'!G99</x:f>
        <x:v>17912.58</x:v>
      </x:c>
      <x:c r="G99" s="1" t="n">
        <x:f>'Inventory inputs'!H99/'Inventory inputs'!J99</x:f>
        <x:v>0.045599999999999995</x:v>
      </x:c>
      <x:c r="H99" s="1" t="n">
        <x:f>IF('Inventory inputs'!I99&gt;0,'Inventory inputs'!I99*'Inventory inputs'!K99/'Inventory inputs'!J99,"n.a.")</x:f>
        <x:v>0.053361</x:v>
      </x:c>
      <x:c r="I99" s="1" t="n">
        <x:f>'Inventory inputs'!L99</x:f>
        <x:v>6094</x:v>
      </x:c>
      <x:c r="J99" s="1" t="n">
        <x:f>'Inventory inputs'!M99</x:f>
        <x:v>75000</x:v>
      </x:c>
      <x:c r="K99" s="1" t="n">
        <x:f>'Inventory inputs'!N99</x:f>
        <x:v>0</x:v>
      </x:c>
      <x:c r="L99" s="1" t="n">
        <x:f>'Inventory inputs'!O99</x:f>
        <x:v>1</x:v>
      </x:c>
      <x:c r="M99" s="9" t="n">
        <x:f>E99*G99</x:f>
        <x:v>3697.8863999999994</x:v>
      </x:c>
      <x:c r="N99" s="9" t="n">
        <x:f>'Inventory inputs'!Q99</x:f>
        <x:v>3697.8863999999994</x:v>
      </x:c>
      <x:c r="O99" s="9" t="n">
        <x:f>N99-M99</x:f>
        <x:v>0</x:v>
      </x:c>
      <x:c r="P99" s="1" t="n">
        <x:f>SUMIFS('Incoming POs'!$P$2:$P$305,'Incoming POs'!$A$2:$A$305,A99,'Incoming POs'!$B$2:$B$305,B99,'Incoming POs'!$C$2:$C$305,C99,'Incoming POs'!$G$2:$G$305,"&gt;="&amp;D99,'Incoming POs'!$G$2:$G$305,"&lt;"&amp;Dashboard!$I$5)</x:f>
        <x:v>10000</x:v>
      </x:c>
      <x:c r="Q99" s="1" t="n">
        <x:f>F99*Dashboard!$L$5*MAX(0,Dashboard!$I$5-D99)/30.4375</x:f>
        <x:v>23834.398028747437</x:v>
      </x:c>
      <x:c r="R99" s="1" t="n">
        <x:f>MAX(0,E99+P99-Q99)</x:f>
        <x:v>67259.60197125256</x:v>
      </x:c>
      <x:c r="S99" s="1" t="n">
        <x:f>MAX(0,Q99-E99-P99)</x:f>
        <x:v>0</x:v>
      </x:c>
      <x:c r="T99" s="1" t="n">
        <x:f>IF(L99=1,MAX(0,I99+AB99-MIN(Q99,E99+P99)),"n.a.")</x:f>
        <x:v>0</x:v>
      </x:c>
      <x:c r="U99" s="9" t="n">
        <x:f>IF(ISNUMBER(T99),T99*G99,"n.a.")</x:f>
        <x:v>0</x:v>
      </x:c>
      <x:c r="V99" s="25" t="n">
        <x:f>IF(Dashboard!$I$6="Flat %",1,IF(ISNUMBER(H99),1,0))</x:f>
        <x:v>1</x:v>
      </x:c>
      <x:c r="W99" s="9" t="n">
        <x:f>IF(Dashboard!$I$6="Flat %",G99*(1+Dashboard!$L$6),H99)</x:f>
        <x:v>0.053361</x:v>
      </x:c>
      <x:c r="X99" s="9" t="n">
        <x:f>IF(V99=1,R99*(W99-G99),"n.a.")</x:f>
        <x:v>522.0017708988914</x:v>
      </x:c>
      <x:c r="Y99" s="9" t="n">
        <x:f>IF(V99=1,R99*W99,"n.a.")</x:f>
        <x:v>3589.0396207880076</x:v>
      </x:c>
      <x:c r="Z99" s="1" t="n">
        <x:f>IF(ISNUMBER(T99),R99-T99,"n.a.")</x:f>
        <x:v>67259.60197125256</x:v>
      </x:c>
      <x:c r="AA99" s="1" t="str">
        <x:f>'Inventory inputs'!R99</x:f>
        <x:v>Classified</x:v>
      </x:c>
      <x:c r="AB99" s="1" t="n">
        <x:f>IF(L99=1,SUMIFS('Incoming POs'!$P$2:$P$305,'Incoming POs'!$A$2:$A$305,A99,'Incoming POs'!$B$2:$B$305,B99,'Incoming POs'!$C$2:$C$305,C99,'Incoming POs'!$G$2:$G$305,"&gt;="&amp;D99,'Incoming POs'!$G$2:$G$305,"&lt;"&amp;Dashboard!$I$5,'Incoming POs'!$Q$2:$Q$305,"&lt;="&amp;('Inventory inputs'!P99/'Inventory inputs'!J99*1.01)),"n.a.")</x:f>
        <x:v>0</x:v>
      </x:c>
      <x:c r="AC99" s="9" t="n">
        <x:f>I99*G99</x:f>
        <x:v>277.8864</x:v>
      </x:c>
      <x:c r="AD99" s="9" t="n">
        <x:f>J99*G99</x:f>
        <x:v>3419.9999999999995</x:v>
      </x:c>
      <x:c r="AE99" s="9" t="n">
        <x:f>K99*G99</x:f>
        <x:v>0</x:v>
      </x:c>
      <x:c r="AF99" s="9" t="n">
        <x:f>R99*G99</x:f>
        <x:v>3067.0378498891164</x:v>
      </x:c>
    </x:row>
    <x:row r="100" ht="21" customHeight="1">
      <x:c r="A100" s="1" t="str">
        <x:f>'Inventory inputs'!A100</x:f>
        <x:v>PLAS</x:v>
      </x:c>
      <x:c r="B100" s="1" t="str">
        <x:f>'Inventory inputs'!B100</x:f>
        <x:v>60</x:v>
      </x:c>
      <x:c r="C100" s="1" t="str">
        <x:f>'Inventory inputs'!C100</x:f>
        <x:v>03819RWBBLK</x:v>
      </x:c>
      <x:c r="D100" s="7" t="n">
        <x:f>'Inventory inputs'!E100</x:f>
        <x:v>46303</x:v>
      </x:c>
      <x:c r="E100" s="1" t="n">
        <x:f>'Inventory inputs'!F100</x:f>
        <x:v>92000</x:v>
      </x:c>
      <x:c r="F100" s="1" t="n">
        <x:f>'Inventory inputs'!G100</x:f>
        <x:v>14800</x:v>
      </x:c>
      <x:c r="G100" s="1" t="n">
        <x:f>'Inventory inputs'!H100/'Inventory inputs'!J100</x:f>
        <x:v>0.0248</x:v>
      </x:c>
      <x:c r="H100" s="1" t="n">
        <x:f>IF('Inventory inputs'!I100&gt;0,'Inventory inputs'!I100*'Inventory inputs'!K100/'Inventory inputs'!J100,"n.a.")</x:f>
        <x:v>0.029106</x:v>
      </x:c>
      <x:c r="I100" s="1" t="n">
        <x:f>'Inventory inputs'!L100</x:f>
        <x:v>0</x:v>
      </x:c>
      <x:c r="J100" s="1" t="n">
        <x:f>'Inventory inputs'!M100</x:f>
        <x:v>0</x:v>
      </x:c>
      <x:c r="K100" s="1" t="n">
        <x:f>'Inventory inputs'!N100</x:f>
        <x:v>92000</x:v>
      </x:c>
      <x:c r="L100" s="1" t="n">
        <x:f>'Inventory inputs'!O100</x:f>
        <x:v>0</x:v>
      </x:c>
      <x:c r="M100" s="9" t="n">
        <x:f>E100*G100</x:f>
        <x:v>2281.6</x:v>
      </x:c>
      <x:c r="N100" s="9" t="n">
        <x:f>'Inventory inputs'!Q100</x:f>
        <x:v>2281.6</x:v>
      </x:c>
      <x:c r="O100" s="9" t="n">
        <x:f>N100-M100</x:f>
        <x:v>0</x:v>
      </x:c>
      <x:c r="P100" s="1" t="n">
        <x:f>SUMIFS('Incoming POs'!$P$2:$P$305,'Incoming POs'!$A$2:$A$305,A100,'Incoming POs'!$B$2:$B$305,B100,'Incoming POs'!$C$2:$C$305,C100,'Incoming POs'!$G$2:$G$305,"&gt;="&amp;D100,'Incoming POs'!$G$2:$G$305,"&lt;"&amp;Dashboard!$I$5)</x:f>
        <x:v>0</x:v>
      </x:c>
      <x:c r="Q100" s="1" t="n">
        <x:f>F100*Dashboard!$L$5*MAX(0,Dashboard!$I$5-D100)/30.4375</x:f>
        <x:v>19692.81314168378</x:v>
      </x:c>
      <x:c r="R100" s="1" t="n">
        <x:f>MAX(0,E100+P100-Q100)</x:f>
        <x:v>72307.18685831621</x:v>
      </x:c>
      <x:c r="S100" s="1" t="n">
        <x:f>MAX(0,Q100-E100-P100)</x:f>
        <x:v>0</x:v>
      </x:c>
      <x:c r="T100" s="1" t="str">
        <x:f>IF(L100=1,MAX(0,I100+AB100-MIN(Q100,E100+P100)),"n.a.")</x:f>
        <x:v>n.a.</x:v>
      </x:c>
      <x:c r="U100" s="9" t="str">
        <x:f>IF(ISNUMBER(T100),T100*G100,"n.a.")</x:f>
        <x:v>n.a.</x:v>
      </x:c>
      <x:c r="V100" s="25" t="n">
        <x:f>IF(Dashboard!$I$6="Flat %",1,IF(ISNUMBER(H100),1,0))</x:f>
        <x:v>1</x:v>
      </x:c>
      <x:c r="W100" s="9" t="n">
        <x:f>IF(Dashboard!$I$6="Flat %",G100*(1+Dashboard!$L$6),H100)</x:f>
        <x:v>0.029106</x:v>
      </x:c>
      <x:c r="X100" s="9" t="n">
        <x:f>IF(V100=1,R100*(W100-G100),"n.a.")</x:f>
        <x:v>311.35474661190966</x:v>
      </x:c>
      <x:c r="Y100" s="9" t="n">
        <x:f>IF(V100=1,R100*W100,"n.a.")</x:f>
        <x:v>2104.5729806981517</x:v>
      </x:c>
      <x:c r="Z100" s="1" t="str">
        <x:f>IF(ISNUMBER(T100),R100-T100,"n.a.")</x:f>
        <x:v>n.a.</x:v>
      </x:c>
      <x:c r="AA100" s="1" t="str">
        <x:f>'Inventory inputs'!R100</x:f>
        <x:v>Review receipt reconciliation or original PO baseline</x:v>
      </x:c>
      <x:c r="AB100" s="1" t="str">
        <x:f>IF(L100=1,SUMIFS('Incoming POs'!$P$2:$P$305,'Incoming POs'!$A$2:$A$305,A100,'Incoming POs'!$B$2:$B$305,B100,'Incoming POs'!$C$2:$C$305,C100,'Incoming POs'!$G$2:$G$305,"&gt;="&amp;D100,'Incoming POs'!$G$2:$G$305,"&lt;"&amp;Dashboard!$I$5,'Incoming POs'!$Q$2:$Q$305,"&lt;="&amp;('Inventory inputs'!P100/'Inventory inputs'!J100*1.01)),"n.a.")</x:f>
        <x:v>n.a.</x:v>
      </x:c>
      <x:c r="AC100" s="9" t="n">
        <x:f>I100*G100</x:f>
        <x:v>0</x:v>
      </x:c>
      <x:c r="AD100" s="9" t="n">
        <x:f>J100*G100</x:f>
        <x:v>0</x:v>
      </x:c>
      <x:c r="AE100" s="9" t="n">
        <x:f>K100*G100</x:f>
        <x:v>2281.6</x:v>
      </x:c>
      <x:c r="AF100" s="9" t="n">
        <x:f>R100*G100</x:f>
        <x:v>1793.218234086242</x:v>
      </x:c>
    </x:row>
    <x:row r="101" ht="21" customHeight="1">
      <x:c r="A101" s="1" t="str">
        <x:f>'Inventory inputs'!A101</x:f>
        <x:v>PLAS</x:v>
      </x:c>
      <x:c r="B101" s="1" t="str">
        <x:f>'Inventory inputs'!B101</x:f>
        <x:v>60</x:v>
      </x:c>
      <x:c r="C101" s="1" t="str">
        <x:f>'Inventory inputs'!C101</x:f>
        <x:v>51619RWBBLK</x:v>
      </x:c>
      <x:c r="D101" s="7" t="n">
        <x:f>'Inventory inputs'!E101</x:f>
        <x:v>46303</x:v>
      </x:c>
      <x:c r="E101" s="1" t="n">
        <x:f>'Inventory inputs'!F101</x:f>
        <x:v>59000</x:v>
      </x:c>
      <x:c r="F101" s="1" t="n">
        <x:f>'Inventory inputs'!G101</x:f>
        <x:v>13900</x:v>
      </x:c>
      <x:c r="G101" s="1" t="n">
        <x:f>'Inventory inputs'!H101/'Inventory inputs'!J101</x:f>
        <x:v>0.0216</x:v>
      </x:c>
      <x:c r="H101" s="1" t="n">
        <x:f>IF('Inventory inputs'!I101&gt;0,'Inventory inputs'!I101*'Inventory inputs'!K101/'Inventory inputs'!J101,"n.a.")</x:f>
        <x:v>0.025284</x:v>
      </x:c>
      <x:c r="I101" s="1" t="n">
        <x:f>'Inventory inputs'!L101</x:f>
        <x:v>0</x:v>
      </x:c>
      <x:c r="J101" s="1" t="n">
        <x:f>'Inventory inputs'!M101</x:f>
        <x:v>0</x:v>
      </x:c>
      <x:c r="K101" s="1" t="n">
        <x:f>'Inventory inputs'!N101</x:f>
        <x:v>59000</x:v>
      </x:c>
      <x:c r="L101" s="1" t="n">
        <x:f>'Inventory inputs'!O101</x:f>
        <x:v>0</x:v>
      </x:c>
      <x:c r="M101" s="9" t="n">
        <x:f>E101*G101</x:f>
        <x:v>1274.4</x:v>
      </x:c>
      <x:c r="N101" s="9" t="n">
        <x:f>'Inventory inputs'!Q101</x:f>
        <x:v>1274.4</x:v>
      </x:c>
      <x:c r="O101" s="9" t="n">
        <x:f>N101-M101</x:f>
        <x:v>0</x:v>
      </x:c>
      <x:c r="P101" s="1" t="n">
        <x:f>SUMIFS('Incoming POs'!$P$2:$P$305,'Incoming POs'!$A$2:$A$305,A101,'Incoming POs'!$B$2:$B$305,B101,'Incoming POs'!$C$2:$C$305,C101,'Incoming POs'!$G$2:$G$305,"&gt;="&amp;D101,'Incoming POs'!$G$2:$G$305,"&lt;"&amp;Dashboard!$I$5)</x:f>
        <x:v>0</x:v>
      </x:c>
      <x:c r="Q101" s="1" t="n">
        <x:f>F101*Dashboard!$L$5*MAX(0,Dashboard!$I$5-D101)/30.4375</x:f>
        <x:v>18495.2772073922</x:v>
      </x:c>
      <x:c r="R101" s="1" t="n">
        <x:f>MAX(0,E101+P101-Q101)</x:f>
        <x:v>40504.722792607805</x:v>
      </x:c>
      <x:c r="S101" s="1" t="n">
        <x:f>MAX(0,Q101-E101-P101)</x:f>
        <x:v>0</x:v>
      </x:c>
      <x:c r="T101" s="1" t="str">
        <x:f>IF(L101=1,MAX(0,I101+AB101-MIN(Q101,E101+P101)),"n.a.")</x:f>
        <x:v>n.a.</x:v>
      </x:c>
      <x:c r="U101" s="9" t="str">
        <x:f>IF(ISNUMBER(T101),T101*G101,"n.a.")</x:f>
        <x:v>n.a.</x:v>
      </x:c>
      <x:c r="V101" s="25" t="n">
        <x:f>IF(Dashboard!$I$6="Flat %",1,IF(ISNUMBER(H101),1,0))</x:f>
        <x:v>1</x:v>
      </x:c>
      <x:c r="W101" s="9" t="n">
        <x:f>IF(Dashboard!$I$6="Flat %",G101*(1+Dashboard!$L$6),H101)</x:f>
        <x:v>0.025284</x:v>
      </x:c>
      <x:c r="X101" s="9" t="n">
        <x:f>IF(V101=1,R101*(W101-G101),"n.a.")</x:f>
        <x:v>149.21939876796714</x:v>
      </x:c>
      <x:c r="Y101" s="9" t="n">
        <x:f>IF(V101=1,R101*W101,"n.a.")</x:f>
        <x:v>1024.1214110882959</x:v>
      </x:c>
      <x:c r="Z101" s="1" t="str">
        <x:f>IF(ISNUMBER(T101),R101-T101,"n.a.")</x:f>
        <x:v>n.a.</x:v>
      </x:c>
      <x:c r="AA101" s="1" t="str">
        <x:f>'Inventory inputs'!R101</x:f>
        <x:v>Review receipt reconciliation or original PO baseline</x:v>
      </x:c>
      <x:c r="AB101" s="1" t="str">
        <x:f>IF(L101=1,SUMIFS('Incoming POs'!$P$2:$P$305,'Incoming POs'!$A$2:$A$305,A101,'Incoming POs'!$B$2:$B$305,B101,'Incoming POs'!$C$2:$C$305,C101,'Incoming POs'!$G$2:$G$305,"&gt;="&amp;D101,'Incoming POs'!$G$2:$G$305,"&lt;"&amp;Dashboard!$I$5,'Incoming POs'!$Q$2:$Q$305,"&lt;="&amp;('Inventory inputs'!P101/'Inventory inputs'!J101*1.01)),"n.a.")</x:f>
        <x:v>n.a.</x:v>
      </x:c>
      <x:c r="AC101" s="9" t="n">
        <x:f>I101*G101</x:f>
        <x:v>0</x:v>
      </x:c>
      <x:c r="AD101" s="9" t="n">
        <x:f>J101*G101</x:f>
        <x:v>0</x:v>
      </x:c>
      <x:c r="AE101" s="9" t="n">
        <x:f>K101*G101</x:f>
        <x:v>1274.4</x:v>
      </x:c>
      <x:c r="AF101" s="9" t="n">
        <x:f>R101*G101</x:f>
        <x:v>874.9020123203286</x:v>
      </x:c>
    </x:row>
    <x:row r="102" ht="21" customHeight="1">
      <x:c r="A102" s="1" t="str">
        <x:f>'Inventory inputs'!A102</x:f>
        <x:v>PLAS</x:v>
      </x:c>
      <x:c r="B102" s="1" t="str">
        <x:f>'Inventory inputs'!B102</x:f>
        <x:v>10</x:v>
      </x:c>
      <x:c r="C102" s="1" t="str">
        <x:f>'Inventory inputs'!C102</x:f>
        <x:v>51619RWBWHT</x:v>
      </x:c>
      <x:c r="D102" s="7" t="n">
        <x:f>'Inventory inputs'!E102</x:f>
        <x:v>46303</x:v>
      </x:c>
      <x:c r="E102" s="1" t="n">
        <x:f>'Inventory inputs'!F102</x:f>
        <x:v>73200</x:v>
      </x:c>
      <x:c r="F102" s="1" t="n">
        <x:f>'Inventory inputs'!G102</x:f>
        <x:v>12425</x:v>
      </x:c>
      <x:c r="G102" s="1" t="n">
        <x:f>'Inventory inputs'!H102/'Inventory inputs'!J102</x:f>
        <x:v>0.0216</x:v>
      </x:c>
      <x:c r="H102" s="1" t="n">
        <x:f>IF('Inventory inputs'!I102&gt;0,'Inventory inputs'!I102*'Inventory inputs'!K102/'Inventory inputs'!J102,"n.a.")</x:f>
        <x:v>0.025284</x:v>
      </x:c>
      <x:c r="I102" s="1" t="n">
        <x:f>'Inventory inputs'!L102</x:f>
        <x:v>45200</x:v>
      </x:c>
      <x:c r="J102" s="1" t="n">
        <x:f>'Inventory inputs'!M102</x:f>
        <x:v>28000</x:v>
      </x:c>
      <x:c r="K102" s="1" t="n">
        <x:f>'Inventory inputs'!N102</x:f>
        <x:v>0</x:v>
      </x:c>
      <x:c r="L102" s="1" t="n">
        <x:f>'Inventory inputs'!O102</x:f>
        <x:v>1</x:v>
      </x:c>
      <x:c r="M102" s="9" t="n">
        <x:f>E102*G102</x:f>
        <x:v>1581.1200000000001</x:v>
      </x:c>
      <x:c r="N102" s="9" t="n">
        <x:f>'Inventory inputs'!Q102</x:f>
        <x:v>1585.44</x:v>
      </x:c>
      <x:c r="O102" s="9" t="n">
        <x:f>N102-M102</x:f>
        <x:v>4.319999999999936</x:v>
      </x:c>
      <x:c r="P102" s="1" t="n">
        <x:f>SUMIFS('Incoming POs'!$P$2:$P$305,'Incoming POs'!$A$2:$A$305,A102,'Incoming POs'!$B$2:$B$305,B102,'Incoming POs'!$C$2:$C$305,C102,'Incoming POs'!$G$2:$G$305,"&gt;="&amp;D102,'Incoming POs'!$G$2:$G$305,"&lt;"&amp;Dashboard!$I$5)</x:f>
        <x:v>70000</x:v>
      </x:c>
      <x:c r="Q102" s="1" t="n">
        <x:f>F102*Dashboard!$L$5*MAX(0,Dashboard!$I$5-D102)/30.4375</x:f>
        <x:v>16532.64887063655</x:v>
      </x:c>
      <x:c r="R102" s="1" t="n">
        <x:f>MAX(0,E102+P102-Q102)</x:f>
        <x:v>126667.35112936345</x:v>
      </x:c>
      <x:c r="S102" s="1" t="n">
        <x:f>MAX(0,Q102-E102-P102)</x:f>
        <x:v>0</x:v>
      </x:c>
      <x:c r="T102" s="1" t="n">
        <x:f>IF(L102=1,MAX(0,I102+AB102-MIN(Q102,E102+P102)),"n.a.")</x:f>
        <x:v>28667.35112936345</x:v>
      </x:c>
      <x:c r="U102" s="9" t="n">
        <x:f>IF(ISNUMBER(T102),T102*G102,"n.a.")</x:f>
        <x:v>619.2147843942506</x:v>
      </x:c>
      <x:c r="V102" s="25" t="n">
        <x:f>IF(Dashboard!$I$6="Flat %",1,IF(ISNUMBER(H102),1,0))</x:f>
        <x:v>1</x:v>
      </x:c>
      <x:c r="W102" s="9" t="n">
        <x:f>IF(Dashboard!$I$6="Flat %",G102*(1+Dashboard!$L$6),H102)</x:f>
        <x:v>0.025284</x:v>
      </x:c>
      <x:c r="X102" s="9" t="n">
        <x:f>IF(V102=1,R102*(W102-G102),"n.a.")</x:f>
        <x:v>466.64252156057495</x:v>
      </x:c>
      <x:c r="Y102" s="9" t="n">
        <x:f>IF(V102=1,R102*W102,"n.a.")</x:f>
        <x:v>3202.6573059548255</x:v>
      </x:c>
      <x:c r="Z102" s="1" t="n">
        <x:f>IF(ISNUMBER(T102),R102-T102,"n.a.")</x:f>
        <x:v>98000</x:v>
      </x:c>
      <x:c r="AA102" s="1" t="str">
        <x:f>'Inventory inputs'!R102</x:f>
        <x:v>Classified</x:v>
      </x:c>
      <x:c r="AB102" s="1" t="n">
        <x:f>IF(L102=1,SUMIFS('Incoming POs'!$P$2:$P$305,'Incoming POs'!$A$2:$A$305,A102,'Incoming POs'!$B$2:$B$305,B102,'Incoming POs'!$C$2:$C$305,C102,'Incoming POs'!$G$2:$G$305,"&gt;="&amp;D102,'Incoming POs'!$G$2:$G$305,"&lt;"&amp;Dashboard!$I$5,'Incoming POs'!$Q$2:$Q$305,"&lt;="&amp;('Inventory inputs'!P102/'Inventory inputs'!J102*1.01)),"n.a.")</x:f>
        <x:v>0</x:v>
      </x:c>
      <x:c r="AC102" s="9" t="n">
        <x:f>I102*G102</x:f>
        <x:v>976.32</x:v>
      </x:c>
      <x:c r="AD102" s="9" t="n">
        <x:f>J102*G102</x:f>
        <x:v>604.8000000000001</x:v>
      </x:c>
      <x:c r="AE102" s="9" t="n">
        <x:f>K102*G102</x:f>
        <x:v>0</x:v>
      </x:c>
      <x:c r="AF102" s="9" t="n">
        <x:f>R102*G102</x:f>
        <x:v>2736.014784394251</x:v>
      </x:c>
    </x:row>
    <x:row r="103" ht="21" customHeight="1">
      <x:c r="A103" s="1" t="str">
        <x:f>'Inventory inputs'!A103</x:f>
        <x:v>PLAS</x:v>
      </x:c>
      <x:c r="B103" s="1" t="str">
        <x:f>'Inventory inputs'!B103</x:f>
        <x:v>60</x:v>
      </x:c>
      <x:c r="C103" s="1" t="str">
        <x:f>'Inventory inputs'!C103</x:f>
        <x:v>01419RWBBLK</x:v>
      </x:c>
      <x:c r="D103" s="7" t="n">
        <x:f>'Inventory inputs'!E103</x:f>
        <x:v>46303</x:v>
      </x:c>
      <x:c r="E103" s="1" t="n">
        <x:f>'Inventory inputs'!F103</x:f>
        <x:v>2100</x:v>
      </x:c>
      <x:c r="F103" s="1" t="n">
        <x:f>'Inventory inputs'!G103</x:f>
        <x:v>12350</x:v>
      </x:c>
      <x:c r="G103" s="1" t="n">
        <x:f>'Inventory inputs'!H103/'Inventory inputs'!J103</x:f>
        <x:v>0.0181</x:v>
      </x:c>
      <x:c r="H103" s="1" t="n">
        <x:f>IF('Inventory inputs'!I103&gt;0,'Inventory inputs'!I103*'Inventory inputs'!K103/'Inventory inputs'!J103,"n.a.")</x:f>
        <x:v>0.021168</x:v>
      </x:c>
      <x:c r="I103" s="1" t="n">
        <x:f>'Inventory inputs'!L103</x:f>
        <x:v>0</x:v>
      </x:c>
      <x:c r="J103" s="1" t="n">
        <x:f>'Inventory inputs'!M103</x:f>
        <x:v>0</x:v>
      </x:c>
      <x:c r="K103" s="1" t="n">
        <x:f>'Inventory inputs'!N103</x:f>
        <x:v>2100</x:v>
      </x:c>
      <x:c r="L103" s="1" t="n">
        <x:f>'Inventory inputs'!O103</x:f>
        <x:v>0</x:v>
      </x:c>
      <x:c r="M103" s="9" t="n">
        <x:f>E103*G103</x:f>
        <x:v>38.010000000000005</x:v>
      </x:c>
      <x:c r="N103" s="9" t="n">
        <x:f>'Inventory inputs'!Q103</x:f>
        <x:v>38.01</x:v>
      </x:c>
      <x:c r="O103" s="9" t="n">
        <x:f>N103-M103</x:f>
        <x:v>-7.105427357601002e-15</x:v>
      </x:c>
      <x:c r="P103" s="1" t="n">
        <x:f>SUMIFS('Incoming POs'!$P$2:$P$305,'Incoming POs'!$A$2:$A$305,A103,'Incoming POs'!$B$2:$B$305,B103,'Incoming POs'!$C$2:$C$305,C103,'Incoming POs'!$G$2:$G$305,"&gt;="&amp;D103,'Incoming POs'!$G$2:$G$305,"&lt;"&amp;Dashboard!$I$5)</x:f>
        <x:v>0</x:v>
      </x:c>
      <x:c r="Q103" s="1" t="n">
        <x:f>F103*Dashboard!$L$5*MAX(0,Dashboard!$I$5-D103)/30.4375</x:f>
        <x:v>16432.854209445584</x:v>
      </x:c>
      <x:c r="R103" s="1" t="n">
        <x:f>MAX(0,E103+P103-Q103)</x:f>
        <x:v>0</x:v>
      </x:c>
      <x:c r="S103" s="1" t="n">
        <x:f>MAX(0,Q103-E103-P103)</x:f>
        <x:v>14332.854209445584</x:v>
      </x:c>
      <x:c r="T103" s="1" t="str">
        <x:f>IF(L103=1,MAX(0,I103+AB103-MIN(Q103,E103+P103)),"n.a.")</x:f>
        <x:v>n.a.</x:v>
      </x:c>
      <x:c r="U103" s="9" t="str">
        <x:f>IF(ISNUMBER(T103),T103*G103,"n.a.")</x:f>
        <x:v>n.a.</x:v>
      </x:c>
      <x:c r="V103" s="25" t="n">
        <x:f>IF(Dashboard!$I$6="Flat %",1,IF(ISNUMBER(H103),1,0))</x:f>
        <x:v>1</x:v>
      </x:c>
      <x:c r="W103" s="9" t="n">
        <x:f>IF(Dashboard!$I$6="Flat %",G103*(1+Dashboard!$L$6),H103)</x:f>
        <x:v>0.021168</x:v>
      </x:c>
      <x:c r="X103" s="9" t="n">
        <x:f>IF(V103=1,R103*(W103-G103),"n.a.")</x:f>
        <x:v>0</x:v>
      </x:c>
      <x:c r="Y103" s="9" t="n">
        <x:f>IF(V103=1,R103*W103,"n.a.")</x:f>
        <x:v>0</x:v>
      </x:c>
      <x:c r="Z103" s="1" t="str">
        <x:f>IF(ISNUMBER(T103),R103-T103,"n.a.")</x:f>
        <x:v>n.a.</x:v>
      </x:c>
      <x:c r="AA103" s="1" t="str">
        <x:f>'Inventory inputs'!R103</x:f>
        <x:v>Review receipt reconciliation or original PO baseline</x:v>
      </x:c>
      <x:c r="AB103" s="1" t="str">
        <x:f>IF(L103=1,SUMIFS('Incoming POs'!$P$2:$P$305,'Incoming POs'!$A$2:$A$305,A103,'Incoming POs'!$B$2:$B$305,B103,'Incoming POs'!$C$2:$C$305,C103,'Incoming POs'!$G$2:$G$305,"&gt;="&amp;D103,'Incoming POs'!$G$2:$G$305,"&lt;"&amp;Dashboard!$I$5,'Incoming POs'!$Q$2:$Q$305,"&lt;="&amp;('Inventory inputs'!P103/'Inventory inputs'!J103*1.01)),"n.a.")</x:f>
        <x:v>n.a.</x:v>
      </x:c>
      <x:c r="AC103" s="9" t="n">
        <x:f>I103*G103</x:f>
        <x:v>0</x:v>
      </x:c>
      <x:c r="AD103" s="9" t="n">
        <x:f>J103*G103</x:f>
        <x:v>0</x:v>
      </x:c>
      <x:c r="AE103" s="9" t="n">
        <x:f>K103*G103</x:f>
        <x:v>38.010000000000005</x:v>
      </x:c>
      <x:c r="AF103" s="9" t="n">
        <x:f>R103*G103</x:f>
        <x:v>0</x:v>
      </x:c>
    </x:row>
    <x:row r="104" ht="21" customHeight="1">
      <x:c r="A104" s="1" t="str">
        <x:f>'Inventory inputs'!A104</x:f>
        <x:v>PLAS</x:v>
      </x:c>
      <x:c r="B104" s="1" t="str">
        <x:f>'Inventory inputs'!B104</x:f>
        <x:v>10</x:v>
      </x:c>
      <x:c r="C104" s="1" t="str">
        <x:f>'Inventory inputs'!C104</x:f>
        <x:v>07819RWBBLK</x:v>
      </x:c>
      <x:c r="D104" s="7" t="n">
        <x:f>'Inventory inputs'!E104</x:f>
        <x:v>46303</x:v>
      </x:c>
      <x:c r="E104" s="1" t="n">
        <x:f>'Inventory inputs'!F104</x:f>
        <x:v>10492</x:v>
      </x:c>
      <x:c r="F104" s="1" t="n">
        <x:f>'Inventory inputs'!G104</x:f>
        <x:v>11240.09</x:v>
      </x:c>
      <x:c r="G104" s="1" t="n">
        <x:f>'Inventory inputs'!H104/'Inventory inputs'!J104</x:f>
        <x:v>0.0797</x:v>
      </x:c>
      <x:c r="H104" s="1" t="n">
        <x:f>IF('Inventory inputs'!I104&gt;0,'Inventory inputs'!I104*'Inventory inputs'!K104/'Inventory inputs'!J104,"n.a.")</x:f>
        <x:v>0.09319799999999999</x:v>
      </x:c>
      <x:c r="I104" s="1" t="n">
        <x:f>'Inventory inputs'!L104</x:f>
        <x:v>0</x:v>
      </x:c>
      <x:c r="J104" s="1" t="n">
        <x:f>'Inventory inputs'!M104</x:f>
        <x:v>10492</x:v>
      </x:c>
      <x:c r="K104" s="1" t="n">
        <x:f>'Inventory inputs'!N104</x:f>
        <x:v>0</x:v>
      </x:c>
      <x:c r="L104" s="1" t="n">
        <x:f>'Inventory inputs'!O104</x:f>
        <x:v>1</x:v>
      </x:c>
      <x:c r="M104" s="9" t="n">
        <x:f>E104*G104</x:f>
        <x:v>836.2123999999999</x:v>
      </x:c>
      <x:c r="N104" s="9" t="n">
        <x:f>'Inventory inputs'!Q104</x:f>
        <x:v>836.2123999999999</x:v>
      </x:c>
      <x:c r="O104" s="9" t="n">
        <x:f>N104-M104</x:f>
        <x:v>0</x:v>
      </x:c>
      <x:c r="P104" s="1" t="n">
        <x:f>SUMIFS('Incoming POs'!$P$2:$P$305,'Incoming POs'!$A$2:$A$305,A104,'Incoming POs'!$B$2:$B$305,B104,'Incoming POs'!$C$2:$C$305,C104,'Incoming POs'!$G$2:$G$305,"&gt;="&amp;D104,'Incoming POs'!$G$2:$G$305,"&lt;"&amp;Dashboard!$I$5)</x:f>
        <x:v>35000</x:v>
      </x:c>
      <x:c r="Q104" s="1" t="n">
        <x:f>F104*Dashboard!$L$5*MAX(0,Dashboard!$I$5-D104)/30.4375</x:f>
        <x:v>14956.012977412733</x:v>
      </x:c>
      <x:c r="R104" s="1" t="n">
        <x:f>MAX(0,E104+P104-Q104)</x:f>
        <x:v>30535.987022587266</x:v>
      </x:c>
      <x:c r="S104" s="1" t="n">
        <x:f>MAX(0,Q104-E104-P104)</x:f>
        <x:v>0</x:v>
      </x:c>
      <x:c r="T104" s="1" t="n">
        <x:f>IF(L104=1,MAX(0,I104+AB104-MIN(Q104,E104+P104)),"n.a.")</x:f>
        <x:v>0</x:v>
      </x:c>
      <x:c r="U104" s="9" t="n">
        <x:f>IF(ISNUMBER(T104),T104*G104,"n.a.")</x:f>
        <x:v>0</x:v>
      </x:c>
      <x:c r="V104" s="25" t="n">
        <x:f>IF(Dashboard!$I$6="Flat %",1,IF(ISNUMBER(H104),1,0))</x:f>
        <x:v>1</x:v>
      </x:c>
      <x:c r="W104" s="9" t="n">
        <x:f>IF(Dashboard!$I$6="Flat %",G104*(1+Dashboard!$L$6),H104)</x:f>
        <x:v>0.09319799999999999</x:v>
      </x:c>
      <x:c r="X104" s="9" t="n">
        <x:f>IF(V104=1,R104*(W104-G104),"n.a.")</x:f>
        <x:v>412.17475283088277</x:v>
      </x:c>
      <x:c r="Y104" s="9" t="n">
        <x:f>IF(V104=1,R104*W104,"n.a.")</x:f>
        <x:v>2845.8929185310876</x:v>
      </x:c>
      <x:c r="Z104" s="1" t="n">
        <x:f>IF(ISNUMBER(T104),R104-T104,"n.a.")</x:f>
        <x:v>30535.987022587266</x:v>
      </x:c>
      <x:c r="AA104" s="1" t="str">
        <x:f>'Inventory inputs'!R104</x:f>
        <x:v>Classified</x:v>
      </x:c>
      <x:c r="AB104" s="1" t="n">
        <x:f>IF(L104=1,SUMIFS('Incoming POs'!$P$2:$P$305,'Incoming POs'!$A$2:$A$305,A104,'Incoming POs'!$B$2:$B$305,B104,'Incoming POs'!$C$2:$C$305,C104,'Incoming POs'!$G$2:$G$305,"&gt;="&amp;D104,'Incoming POs'!$G$2:$G$305,"&lt;"&amp;Dashboard!$I$5,'Incoming POs'!$Q$2:$Q$305,"&lt;="&amp;('Inventory inputs'!P104/'Inventory inputs'!J104*1.01)),"n.a.")</x:f>
        <x:v>0</x:v>
      </x:c>
      <x:c r="AC104" s="9" t="n">
        <x:f>I104*G104</x:f>
        <x:v>0</x:v>
      </x:c>
      <x:c r="AD104" s="9" t="n">
        <x:f>J104*G104</x:f>
        <x:v>836.2123999999999</x:v>
      </x:c>
      <x:c r="AE104" s="9" t="n">
        <x:f>K104*G104</x:f>
        <x:v>0</x:v>
      </x:c>
      <x:c r="AF104" s="9" t="n">
        <x:f>R104*G104</x:f>
        <x:v>2433.7181657002047</x:v>
      </x:c>
    </x:row>
    <x:row r="105" ht="21" customHeight="1">
      <x:c r="A105" s="1" t="str">
        <x:f>'Inventory inputs'!A105</x:f>
        <x:v>PLAS</x:v>
      </x:c>
      <x:c r="B105" s="1" t="str">
        <x:f>'Inventory inputs'!B105</x:f>
        <x:v>10</x:v>
      </x:c>
      <x:c r="C105" s="1" t="str">
        <x:f>'Inventory inputs'!C105</x:f>
        <x:v>91619RWBBLK</x:v>
      </x:c>
      <x:c r="D105" s="7" t="n">
        <x:f>'Inventory inputs'!E105</x:f>
        <x:v>46303</x:v>
      </x:c>
      <x:c r="E105" s="1" t="n">
        <x:f>'Inventory inputs'!F105</x:f>
        <x:v>34562</x:v>
      </x:c>
      <x:c r="F105" s="1" t="n">
        <x:f>'Inventory inputs'!G105</x:f>
        <x:v>10718.75</x:v>
      </x:c>
      <x:c r="G105" s="1" t="n">
        <x:f>'Inventory inputs'!H105/'Inventory inputs'!J105</x:f>
        <x:v>0.042800000000000005</x:v>
      </x:c>
      <x:c r="H105" s="1" t="n">
        <x:f>IF('Inventory inputs'!I105&gt;0,'Inventory inputs'!I105*'Inventory inputs'!K105/'Inventory inputs'!J105,"n.a.")</x:f>
        <x:v>0.049980000000000004</x:v>
      </x:c>
      <x:c r="I105" s="1" t="n">
        <x:f>'Inventory inputs'!L105</x:f>
        <x:v>0</x:v>
      </x:c>
      <x:c r="J105" s="1" t="n">
        <x:f>'Inventory inputs'!M105</x:f>
        <x:v>34562</x:v>
      </x:c>
      <x:c r="K105" s="1" t="n">
        <x:f>'Inventory inputs'!N105</x:f>
        <x:v>0</x:v>
      </x:c>
      <x:c r="L105" s="1" t="n">
        <x:f>'Inventory inputs'!O105</x:f>
        <x:v>1</x:v>
      </x:c>
      <x:c r="M105" s="9" t="n">
        <x:f>E105*G105</x:f>
        <x:v>1479.2536000000002</x:v>
      </x:c>
      <x:c r="N105" s="9" t="n">
        <x:f>'Inventory inputs'!Q105</x:f>
        <x:v>1479.2536000000002</x:v>
      </x:c>
      <x:c r="O105" s="9" t="n">
        <x:f>N105-M105</x:f>
        <x:v>0</x:v>
      </x:c>
      <x:c r="P105" s="1" t="n">
        <x:f>SUMIFS('Incoming POs'!$P$2:$P$305,'Incoming POs'!$A$2:$A$305,A105,'Incoming POs'!$B$2:$B$305,B105,'Incoming POs'!$C$2:$C$305,C105,'Incoming POs'!$G$2:$G$305,"&gt;="&amp;D105,'Incoming POs'!$G$2:$G$305,"&lt;"&amp;Dashboard!$I$5)</x:f>
        <x:v>25000</x:v>
      </x:c>
      <x:c r="Q105" s="1" t="n">
        <x:f>F105*Dashboard!$L$5*MAX(0,Dashboard!$I$5-D105)/30.4375</x:f>
        <x:v>14262.320328542095</x:v>
      </x:c>
      <x:c r="R105" s="1" t="n">
        <x:f>MAX(0,E105+P105-Q105)</x:f>
        <x:v>45299.6796714579</x:v>
      </x:c>
      <x:c r="S105" s="1" t="n">
        <x:f>MAX(0,Q105-E105-P105)</x:f>
        <x:v>0</x:v>
      </x:c>
      <x:c r="T105" s="1" t="n">
        <x:f>IF(L105=1,MAX(0,I105+AB105-MIN(Q105,E105+P105)),"n.a.")</x:f>
        <x:v>0</x:v>
      </x:c>
      <x:c r="U105" s="9" t="n">
        <x:f>IF(ISNUMBER(T105),T105*G105,"n.a.")</x:f>
        <x:v>0</x:v>
      </x:c>
      <x:c r="V105" s="25" t="n">
        <x:f>IF(Dashboard!$I$6="Flat %",1,IF(ISNUMBER(H105),1,0))</x:f>
        <x:v>1</x:v>
      </x:c>
      <x:c r="W105" s="9" t="n">
        <x:f>IF(Dashboard!$I$6="Flat %",G105*(1+Dashboard!$L$6),H105)</x:f>
        <x:v>0.049980000000000004</x:v>
      </x:c>
      <x:c r="X105" s="9" t="n">
        <x:f>IF(V105=1,R105*(W105-G105),"n.a.")</x:f>
        <x:v>325.2517000410677</x:v>
      </x:c>
      <x:c r="Y105" s="9" t="n">
        <x:f>IF(V105=1,R105*W105,"n.a.")</x:f>
        <x:v>2264.077989979466</x:v>
      </x:c>
      <x:c r="Z105" s="1" t="n">
        <x:f>IF(ISNUMBER(T105),R105-T105,"n.a.")</x:f>
        <x:v>45299.6796714579</x:v>
      </x:c>
      <x:c r="AA105" s="1" t="str">
        <x:f>'Inventory inputs'!R105</x:f>
        <x:v>Classified</x:v>
      </x:c>
      <x:c r="AB105" s="1" t="n">
        <x:f>IF(L105=1,SUMIFS('Incoming POs'!$P$2:$P$305,'Incoming POs'!$A$2:$A$305,A105,'Incoming POs'!$B$2:$B$305,B105,'Incoming POs'!$C$2:$C$305,C105,'Incoming POs'!$G$2:$G$305,"&gt;="&amp;D105,'Incoming POs'!$G$2:$G$305,"&lt;"&amp;Dashboard!$I$5,'Incoming POs'!$Q$2:$Q$305,"&lt;="&amp;('Inventory inputs'!P105/'Inventory inputs'!J105*1.01)),"n.a.")</x:f>
        <x:v>0</x:v>
      </x:c>
      <x:c r="AC105" s="9" t="n">
        <x:f>I105*G105</x:f>
        <x:v>0</x:v>
      </x:c>
      <x:c r="AD105" s="9" t="n">
        <x:f>J105*G105</x:f>
        <x:v>1479.2536000000002</x:v>
      </x:c>
      <x:c r="AE105" s="9" t="n">
        <x:f>K105*G105</x:f>
        <x:v>0</x:v>
      </x:c>
      <x:c r="AF105" s="9" t="n">
        <x:f>R105*G105</x:f>
        <x:v>1938.8262899383985</x:v>
      </x:c>
    </x:row>
    <x:row r="106" ht="21" customHeight="1">
      <x:c r="A106" s="1" t="str">
        <x:f>'Inventory inputs'!A106</x:f>
        <x:v>PLAS</x:v>
      </x:c>
      <x:c r="B106" s="1" t="str">
        <x:f>'Inventory inputs'!B106</x:f>
        <x:v>60</x:v>
      </x:c>
      <x:c r="C106" s="1" t="str">
        <x:f>'Inventory inputs'!C106</x:f>
        <x:v>01219RWBBLK</x:v>
      </x:c>
      <x:c r="D106" s="7" t="n">
        <x:f>'Inventory inputs'!E106</x:f>
        <x:v>46303</x:v>
      </x:c>
      <x:c r="E106" s="1" t="n">
        <x:f>'Inventory inputs'!F106</x:f>
        <x:v>41100</x:v>
      </x:c>
      <x:c r="F106" s="1" t="n">
        <x:f>'Inventory inputs'!G106</x:f>
        <x:v>10266.67</x:v>
      </x:c>
      <x:c r="G106" s="1" t="n">
        <x:f>'Inventory inputs'!H106/'Inventory inputs'!J106</x:f>
        <x:v>0.036000000000000004</x:v>
      </x:c>
      <x:c r="H106" s="1" t="n">
        <x:f>IF('Inventory inputs'!I106&gt;0,'Inventory inputs'!I106*'Inventory inputs'!K106/'Inventory inputs'!J106,"n.a.")</x:f>
        <x:v>0.042189</x:v>
      </x:c>
      <x:c r="I106" s="1" t="n">
        <x:f>'Inventory inputs'!L106</x:f>
        <x:v>0</x:v>
      </x:c>
      <x:c r="J106" s="1" t="n">
        <x:f>'Inventory inputs'!M106</x:f>
        <x:v>0</x:v>
      </x:c>
      <x:c r="K106" s="1" t="n">
        <x:f>'Inventory inputs'!N106</x:f>
        <x:v>41100</x:v>
      </x:c>
      <x:c r="L106" s="1" t="n">
        <x:f>'Inventory inputs'!O106</x:f>
        <x:v>0</x:v>
      </x:c>
      <x:c r="M106" s="9" t="n">
        <x:f>E106*G106</x:f>
        <x:v>1479.6000000000001</x:v>
      </x:c>
      <x:c r="N106" s="9" t="n">
        <x:f>'Inventory inputs'!Q106</x:f>
        <x:v>1479.6000000000001</x:v>
      </x:c>
      <x:c r="O106" s="9" t="n">
        <x:f>N106-M106</x:f>
        <x:v>0</x:v>
      </x:c>
      <x:c r="P106" s="1" t="n">
        <x:f>SUMIFS('Incoming POs'!$P$2:$P$305,'Incoming POs'!$A$2:$A$305,A106,'Incoming POs'!$B$2:$B$305,B106,'Incoming POs'!$C$2:$C$305,C106,'Incoming POs'!$G$2:$G$305,"&gt;="&amp;D106,'Incoming POs'!$G$2:$G$305,"&lt;"&amp;Dashboard!$I$5)</x:f>
        <x:v>0</x:v>
      </x:c>
      <x:c r="Q106" s="1" t="n">
        <x:f>F106*Dashboard!$L$5*MAX(0,Dashboard!$I$5-D106)/30.4375</x:f>
        <x:v>13660.784722792609</x:v>
      </x:c>
      <x:c r="R106" s="1" t="n">
        <x:f>MAX(0,E106+P106-Q106)</x:f>
        <x:v>27439.21527720739</x:v>
      </x:c>
      <x:c r="S106" s="1" t="n">
        <x:f>MAX(0,Q106-E106-P106)</x:f>
        <x:v>0</x:v>
      </x:c>
      <x:c r="T106" s="1" t="str">
        <x:f>IF(L106=1,MAX(0,I106+AB106-MIN(Q106,E106+P106)),"n.a.")</x:f>
        <x:v>n.a.</x:v>
      </x:c>
      <x:c r="U106" s="9" t="str">
        <x:f>IF(ISNUMBER(T106),T106*G106,"n.a.")</x:f>
        <x:v>n.a.</x:v>
      </x:c>
      <x:c r="V106" s="25" t="n">
        <x:f>IF(Dashboard!$I$6="Flat %",1,IF(ISNUMBER(H106),1,0))</x:f>
        <x:v>1</x:v>
      </x:c>
      <x:c r="W106" s="9" t="n">
        <x:f>IF(Dashboard!$I$6="Flat %",G106*(1+Dashboard!$L$6),H106)</x:f>
        <x:v>0.042189</x:v>
      </x:c>
      <x:c r="X106" s="9" t="n">
        <x:f>IF(V106=1,R106*(W106-G106),"n.a.")</x:f>
        <x:v>169.82130335063636</x:v>
      </x:c>
      <x:c r="Y106" s="9" t="n">
        <x:f>IF(V106=1,R106*W106,"n.a.")</x:f>
        <x:v>1157.6330533301025</x:v>
      </x:c>
      <x:c r="Z106" s="1" t="str">
        <x:f>IF(ISNUMBER(T106),R106-T106,"n.a.")</x:f>
        <x:v>n.a.</x:v>
      </x:c>
      <x:c r="AA106" s="1" t="str">
        <x:f>'Inventory inputs'!R106</x:f>
        <x:v>Review receipt reconciliation or original PO baseline</x:v>
      </x:c>
      <x:c r="AB106" s="1" t="str">
        <x:f>IF(L106=1,SUMIFS('Incoming POs'!$P$2:$P$305,'Incoming POs'!$A$2:$A$305,A106,'Incoming POs'!$B$2:$B$305,B106,'Incoming POs'!$C$2:$C$305,C106,'Incoming POs'!$G$2:$G$305,"&gt;="&amp;D106,'Incoming POs'!$G$2:$G$305,"&lt;"&amp;Dashboard!$I$5,'Incoming POs'!$Q$2:$Q$305,"&lt;="&amp;('Inventory inputs'!P106/'Inventory inputs'!J106*1.01)),"n.a.")</x:f>
        <x:v>n.a.</x:v>
      </x:c>
      <x:c r="AC106" s="9" t="n">
        <x:f>I106*G106</x:f>
        <x:v>0</x:v>
      </x:c>
      <x:c r="AD106" s="9" t="n">
        <x:f>J106*G106</x:f>
        <x:v>0</x:v>
      </x:c>
      <x:c r="AE106" s="9" t="n">
        <x:f>K106*G106</x:f>
        <x:v>1479.6000000000001</x:v>
      </x:c>
      <x:c r="AF106" s="9" t="n">
        <x:f>R106*G106</x:f>
        <x:v>987.8117499794662</x:v>
      </x:c>
    </x:row>
    <x:row r="107" ht="21" customHeight="1">
      <x:c r="A107" s="1" t="str">
        <x:f>'Inventory inputs'!A107</x:f>
        <x:v>PLAS</x:v>
      </x:c>
      <x:c r="B107" s="1" t="str">
        <x:f>'Inventory inputs'!B107</x:f>
        <x:v>10</x:v>
      </x:c>
      <x:c r="C107" s="1" t="str">
        <x:f>'Inventory inputs'!C107</x:f>
        <x:v>03819RWBWHT</x:v>
      </x:c>
      <x:c r="D107" s="7" t="n">
        <x:f>'Inventory inputs'!E107</x:f>
        <x:v>46303</x:v>
      </x:c>
      <x:c r="E107" s="1" t="n">
        <x:f>'Inventory inputs'!F107</x:f>
        <x:v>25900</x:v>
      </x:c>
      <x:c r="F107" s="1" t="n">
        <x:f>'Inventory inputs'!G107</x:f>
        <x:v>9935.5</x:v>
      </x:c>
      <x:c r="G107" s="1" t="n">
        <x:f>'Inventory inputs'!H107/'Inventory inputs'!J107</x:f>
        <x:v>0.0248</x:v>
      </x:c>
      <x:c r="H107" s="1" t="n">
        <x:f>IF('Inventory inputs'!I107&gt;0,'Inventory inputs'!I107*'Inventory inputs'!K107/'Inventory inputs'!J107,"n.a.")</x:f>
        <x:v>0.029106</x:v>
      </x:c>
      <x:c r="I107" s="1" t="n">
        <x:f>'Inventory inputs'!L107</x:f>
        <x:v>3900</x:v>
      </x:c>
      <x:c r="J107" s="1" t="n">
        <x:f>'Inventory inputs'!M107</x:f>
        <x:v>22000</x:v>
      </x:c>
      <x:c r="K107" s="1" t="n">
        <x:f>'Inventory inputs'!N107</x:f>
        <x:v>0</x:v>
      </x:c>
      <x:c r="L107" s="1" t="n">
        <x:f>'Inventory inputs'!O107</x:f>
        <x:v>1</x:v>
      </x:c>
      <x:c r="M107" s="9" t="n">
        <x:f>E107*G107</x:f>
        <x:v>642.3199999999999</x:v>
      </x:c>
      <x:c r="N107" s="9" t="n">
        <x:f>'Inventory inputs'!Q107</x:f>
        <x:v>642.32</x:v>
      </x:c>
      <x:c r="O107" s="9" t="n">
        <x:f>N107-M107</x:f>
        <x:v>1.1368683772161603e-13</x:v>
      </x:c>
      <x:c r="P107" s="1" t="n">
        <x:f>SUMIFS('Incoming POs'!$P$2:$P$305,'Incoming POs'!$A$2:$A$305,A107,'Incoming POs'!$B$2:$B$305,B107,'Incoming POs'!$C$2:$C$305,C107,'Incoming POs'!$G$2:$G$305,"&gt;="&amp;D107,'Incoming POs'!$G$2:$G$305,"&lt;"&amp;Dashboard!$I$5)</x:f>
        <x:v>30000</x:v>
      </x:c>
      <x:c r="Q107" s="1" t="n">
        <x:f>F107*Dashboard!$L$5*MAX(0,Dashboard!$I$5-D107)/30.4375</x:f>
        <x:v>13220.131416837783</x:v>
      </x:c>
      <x:c r="R107" s="1" t="n">
        <x:f>MAX(0,E107+P107-Q107)</x:f>
        <x:v>42679.86858316221</x:v>
      </x:c>
      <x:c r="S107" s="1" t="n">
        <x:f>MAX(0,Q107-E107-P107)</x:f>
        <x:v>0</x:v>
      </x:c>
      <x:c r="T107" s="1" t="n">
        <x:f>IF(L107=1,MAX(0,I107+AB107-MIN(Q107,E107+P107)),"n.a.")</x:f>
        <x:v>0</x:v>
      </x:c>
      <x:c r="U107" s="9" t="n">
        <x:f>IF(ISNUMBER(T107),T107*G107,"n.a.")</x:f>
        <x:v>0</x:v>
      </x:c>
      <x:c r="V107" s="25" t="n">
        <x:f>IF(Dashboard!$I$6="Flat %",1,IF(ISNUMBER(H107),1,0))</x:f>
        <x:v>1</x:v>
      </x:c>
      <x:c r="W107" s="9" t="n">
        <x:f>IF(Dashboard!$I$6="Flat %",G107*(1+Dashboard!$L$6),H107)</x:f>
        <x:v>0.029106</x:v>
      </x:c>
      <x:c r="X107" s="9" t="n">
        <x:f>IF(V107=1,R107*(W107-G107),"n.a.")</x:f>
        <x:v>183.77951411909652</x:v>
      </x:c>
      <x:c r="Y107" s="9" t="n">
        <x:f>IF(V107=1,R107*W107,"n.a.")</x:f>
        <x:v>1242.2402549815195</x:v>
      </x:c>
      <x:c r="Z107" s="1" t="n">
        <x:f>IF(ISNUMBER(T107),R107-T107,"n.a.")</x:f>
        <x:v>42679.86858316221</x:v>
      </x:c>
      <x:c r="AA107" s="1" t="str">
        <x:f>'Inventory inputs'!R107</x:f>
        <x:v>Classified</x:v>
      </x:c>
      <x:c r="AB107" s="1" t="n">
        <x:f>IF(L107=1,SUMIFS('Incoming POs'!$P$2:$P$305,'Incoming POs'!$A$2:$A$305,A107,'Incoming POs'!$B$2:$B$305,B107,'Incoming POs'!$C$2:$C$305,C107,'Incoming POs'!$G$2:$G$305,"&gt;="&amp;D107,'Incoming POs'!$G$2:$G$305,"&lt;"&amp;Dashboard!$I$5,'Incoming POs'!$Q$2:$Q$305,"&lt;="&amp;('Inventory inputs'!P107/'Inventory inputs'!J107*1.01)),"n.a.")</x:f>
        <x:v>0</x:v>
      </x:c>
      <x:c r="AC107" s="9" t="n">
        <x:f>I107*G107</x:f>
        <x:v>96.72</x:v>
      </x:c>
      <x:c r="AD107" s="9" t="n">
        <x:f>J107*G107</x:f>
        <x:v>545.6</x:v>
      </x:c>
      <x:c r="AE107" s="9" t="n">
        <x:f>K107*G107</x:f>
        <x:v>0</x:v>
      </x:c>
      <x:c r="AF107" s="9" t="n">
        <x:f>R107*G107</x:f>
        <x:v>1058.4607408624229</x:v>
      </x:c>
    </x:row>
    <x:row r="108" ht="21" customHeight="1">
      <x:c r="A108" s="1" t="str">
        <x:f>'Inventory inputs'!A108</x:f>
        <x:v>PLAS</x:v>
      </x:c>
      <x:c r="B108" s="1" t="str">
        <x:f>'Inventory inputs'!B108</x:f>
        <x:v>10</x:v>
      </x:c>
      <x:c r="C108" s="1" t="str">
        <x:f>'Inventory inputs'!C108</x:f>
        <x:v>00119RWBBLK</x:v>
      </x:c>
      <x:c r="D108" s="7" t="n">
        <x:f>'Inventory inputs'!E108</x:f>
        <x:v>46303</x:v>
      </x:c>
      <x:c r="E108" s="1" t="n">
        <x:f>'Inventory inputs'!F108</x:f>
        <x:v>11900</x:v>
      </x:c>
      <x:c r="F108" s="1" t="n">
        <x:f>'Inventory inputs'!G108</x:f>
        <x:v>9891.66</x:v>
      </x:c>
      <x:c r="G108" s="1" t="n">
        <x:f>'Inventory inputs'!H108/'Inventory inputs'!J108</x:f>
        <x:v>0.1054</x:v>
      </x:c>
      <x:c r="H108" s="1" t="n">
        <x:f>IF('Inventory inputs'!I108&gt;0,'Inventory inputs'!I108*'Inventory inputs'!K108/'Inventory inputs'!J108,"n.a.")</x:f>
        <x:v>0.12333300000000001</x:v>
      </x:c>
      <x:c r="I108" s="1" t="n">
        <x:f>'Inventory inputs'!L108</x:f>
        <x:v>0</x:v>
      </x:c>
      <x:c r="J108" s="1" t="n">
        <x:f>'Inventory inputs'!M108</x:f>
        <x:v>11900</x:v>
      </x:c>
      <x:c r="K108" s="1" t="n">
        <x:f>'Inventory inputs'!N108</x:f>
        <x:v>0</x:v>
      </x:c>
      <x:c r="L108" s="1" t="n">
        <x:f>'Inventory inputs'!O108</x:f>
        <x:v>1</x:v>
      </x:c>
      <x:c r="M108" s="9" t="n">
        <x:f>E108*G108</x:f>
        <x:v>1254.26</x:v>
      </x:c>
      <x:c r="N108" s="9" t="n">
        <x:f>'Inventory inputs'!Q108</x:f>
        <x:v>1254.26</x:v>
      </x:c>
      <x:c r="O108" s="9" t="n">
        <x:f>N108-M108</x:f>
        <x:v>0</x:v>
      </x:c>
      <x:c r="P108" s="1" t="n">
        <x:f>SUMIFS('Incoming POs'!$P$2:$P$305,'Incoming POs'!$A$2:$A$305,A108,'Incoming POs'!$B$2:$B$305,B108,'Incoming POs'!$C$2:$C$305,C108,'Incoming POs'!$G$2:$G$305,"&gt;="&amp;D108,'Incoming POs'!$G$2:$G$305,"&lt;"&amp;Dashboard!$I$5)</x:f>
        <x:v>24000</x:v>
      </x:c>
      <x:c r="Q108" s="1" t="n">
        <x:f>F108*Dashboard!$L$5*MAX(0,Dashboard!$I$5-D108)/30.4375</x:f>
        <x:v>13161.798110882955</x:v>
      </x:c>
      <x:c r="R108" s="1" t="n">
        <x:f>MAX(0,E108+P108-Q108)</x:f>
        <x:v>22738.201889117045</x:v>
      </x:c>
      <x:c r="S108" s="1" t="n">
        <x:f>MAX(0,Q108-E108-P108)</x:f>
        <x:v>0</x:v>
      </x:c>
      <x:c r="T108" s="1" t="n">
        <x:f>IF(L108=1,MAX(0,I108+AB108-MIN(Q108,E108+P108)),"n.a.")</x:f>
        <x:v>0</x:v>
      </x:c>
      <x:c r="U108" s="9" t="n">
        <x:f>IF(ISNUMBER(T108),T108*G108,"n.a.")</x:f>
        <x:v>0</x:v>
      </x:c>
      <x:c r="V108" s="25" t="n">
        <x:f>IF(Dashboard!$I$6="Flat %",1,IF(ISNUMBER(H108),1,0))</x:f>
        <x:v>1</x:v>
      </x:c>
      <x:c r="W108" s="9" t="n">
        <x:f>IF(Dashboard!$I$6="Flat %",G108*(1+Dashboard!$L$6),H108)</x:f>
        <x:v>0.12333300000000001</x:v>
      </x:c>
      <x:c r="X108" s="9" t="n">
        <x:f>IF(V108=1,R108*(W108-G108),"n.a.")</x:f>
        <x:v>407.76417447753636</x:v>
      </x:c>
      <x:c r="Y108" s="9" t="n">
        <x:f>IF(V108=1,R108*W108,"n.a.")</x:f>
        <x:v>2804.3706535904726</x:v>
      </x:c>
      <x:c r="Z108" s="1" t="n">
        <x:f>IF(ISNUMBER(T108),R108-T108,"n.a.")</x:f>
        <x:v>22738.201889117045</x:v>
      </x:c>
      <x:c r="AA108" s="1" t="str">
        <x:f>'Inventory inputs'!R108</x:f>
        <x:v>Classified</x:v>
      </x:c>
      <x:c r="AB108" s="1" t="n">
        <x:f>IF(L108=1,SUMIFS('Incoming POs'!$P$2:$P$305,'Incoming POs'!$A$2:$A$305,A108,'Incoming POs'!$B$2:$B$305,B108,'Incoming POs'!$C$2:$C$305,C108,'Incoming POs'!$G$2:$G$305,"&gt;="&amp;D108,'Incoming POs'!$G$2:$G$305,"&lt;"&amp;Dashboard!$I$5,'Incoming POs'!$Q$2:$Q$305,"&lt;="&amp;('Inventory inputs'!P108/'Inventory inputs'!J108*1.01)),"n.a.")</x:f>
        <x:v>0</x:v>
      </x:c>
      <x:c r="AC108" s="9" t="n">
        <x:f>I108*G108</x:f>
        <x:v>0</x:v>
      </x:c>
      <x:c r="AD108" s="9" t="n">
        <x:f>J108*G108</x:f>
        <x:v>1254.26</x:v>
      </x:c>
      <x:c r="AE108" s="9" t="n">
        <x:f>K108*G108</x:f>
        <x:v>0</x:v>
      </x:c>
      <x:c r="AF108" s="9" t="n">
        <x:f>R108*G108</x:f>
        <x:v>2396.6064791129365</x:v>
      </x:c>
    </x:row>
    <x:row r="109" ht="21" customHeight="1">
      <x:c r="A109" s="1" t="str">
        <x:f>'Inventory inputs'!A109</x:f>
        <x:v>PLAS</x:v>
      </x:c>
      <x:c r="B109" s="1" t="str">
        <x:f>'Inventory inputs'!B109</x:f>
        <x:v>10</x:v>
      </x:c>
      <x:c r="C109" s="1" t="str">
        <x:f>'Inventory inputs'!C109</x:f>
        <x:v>03819RWBNAV</x:v>
      </x:c>
      <x:c r="D109" s="7" t="n">
        <x:f>'Inventory inputs'!E109</x:f>
        <x:v>46303</x:v>
      </x:c>
      <x:c r="E109" s="1" t="n">
        <x:f>'Inventory inputs'!F109</x:f>
        <x:v>14380</x:v>
      </x:c>
      <x:c r="F109" s="1" t="n">
        <x:f>'Inventory inputs'!G109</x:f>
        <x:v>9035</x:v>
      </x:c>
      <x:c r="G109" s="1" t="n">
        <x:f>'Inventory inputs'!H109/'Inventory inputs'!J109</x:f>
        <x:v>0.0248</x:v>
      </x:c>
      <x:c r="H109" s="1" t="n">
        <x:f>IF('Inventory inputs'!I109&gt;0,'Inventory inputs'!I109*'Inventory inputs'!K109/'Inventory inputs'!J109,"n.a.")</x:f>
        <x:v>0.029106</x:v>
      </x:c>
      <x:c r="I109" s="1" t="n">
        <x:f>'Inventory inputs'!L109</x:f>
        <x:v>380</x:v>
      </x:c>
      <x:c r="J109" s="1" t="n">
        <x:f>'Inventory inputs'!M109</x:f>
        <x:v>14000</x:v>
      </x:c>
      <x:c r="K109" s="1" t="n">
        <x:f>'Inventory inputs'!N109</x:f>
        <x:v>0</x:v>
      </x:c>
      <x:c r="L109" s="1" t="n">
        <x:f>'Inventory inputs'!O109</x:f>
        <x:v>1</x:v>
      </x:c>
      <x:c r="M109" s="9" t="n">
        <x:f>E109*G109</x:f>
        <x:v>356.62399999999997</x:v>
      </x:c>
      <x:c r="N109" s="9" t="n">
        <x:f>'Inventory inputs'!Q109</x:f>
        <x:v>356.624</x:v>
      </x:c>
      <x:c r="O109" s="9" t="n">
        <x:f>N109-M109</x:f>
        <x:v>5.684341886080802e-14</x:v>
      </x:c>
      <x:c r="P109" s="1" t="n">
        <x:f>SUMIFS('Incoming POs'!$P$2:$P$305,'Incoming POs'!$A$2:$A$305,A109,'Incoming POs'!$B$2:$B$305,B109,'Incoming POs'!$C$2:$C$305,C109,'Incoming POs'!$G$2:$G$305,"&gt;="&amp;D109,'Incoming POs'!$G$2:$G$305,"&lt;"&amp;Dashboard!$I$5)</x:f>
        <x:v>35000</x:v>
      </x:c>
      <x:c r="Q109" s="1" t="n">
        <x:f>F109*Dashboard!$L$5*MAX(0,Dashboard!$I$5-D109)/30.4375</x:f>
        <x:v>12021.930184804929</x:v>
      </x:c>
      <x:c r="R109" s="1" t="n">
        <x:f>MAX(0,E109+P109-Q109)</x:f>
        <x:v>37358.06981519507</x:v>
      </x:c>
      <x:c r="S109" s="1" t="n">
        <x:f>MAX(0,Q109-E109-P109)</x:f>
        <x:v>0</x:v>
      </x:c>
      <x:c r="T109" s="1" t="n">
        <x:f>IF(L109=1,MAX(0,I109+AB109-MIN(Q109,E109+P109)),"n.a.")</x:f>
        <x:v>0</x:v>
      </x:c>
      <x:c r="U109" s="9" t="n">
        <x:f>IF(ISNUMBER(T109),T109*G109,"n.a.")</x:f>
        <x:v>0</x:v>
      </x:c>
      <x:c r="V109" s="25" t="n">
        <x:f>IF(Dashboard!$I$6="Flat %",1,IF(ISNUMBER(H109),1,0))</x:f>
        <x:v>1</x:v>
      </x:c>
      <x:c r="W109" s="9" t="n">
        <x:f>IF(Dashboard!$I$6="Flat %",G109*(1+Dashboard!$L$6),H109)</x:f>
        <x:v>0.029106</x:v>
      </x:c>
      <x:c r="X109" s="9" t="n">
        <x:f>IF(V109=1,R109*(W109-G109),"n.a.")</x:f>
        <x:v>160.86384862423</x:v>
      </x:c>
      <x:c r="Y109" s="9" t="n">
        <x:f>IF(V109=1,R109*W109,"n.a.")</x:f>
        <x:v>1087.3439800410677</x:v>
      </x:c>
      <x:c r="Z109" s="1" t="n">
        <x:f>IF(ISNUMBER(T109),R109-T109,"n.a.")</x:f>
        <x:v>37358.06981519507</x:v>
      </x:c>
      <x:c r="AA109" s="1" t="str">
        <x:f>'Inventory inputs'!R109</x:f>
        <x:v>Classified</x:v>
      </x:c>
      <x:c r="AB109" s="1" t="n">
        <x:f>IF(L109=1,SUMIFS('Incoming POs'!$P$2:$P$305,'Incoming POs'!$A$2:$A$305,A109,'Incoming POs'!$B$2:$B$305,B109,'Incoming POs'!$C$2:$C$305,C109,'Incoming POs'!$G$2:$G$305,"&gt;="&amp;D109,'Incoming POs'!$G$2:$G$305,"&lt;"&amp;Dashboard!$I$5,'Incoming POs'!$Q$2:$Q$305,"&lt;="&amp;('Inventory inputs'!P109/'Inventory inputs'!J109*1.01)),"n.a.")</x:f>
        <x:v>0</x:v>
      </x:c>
      <x:c r="AC109" s="9" t="n">
        <x:f>I109*G109</x:f>
        <x:v>9.424</x:v>
      </x:c>
      <x:c r="AD109" s="9" t="n">
        <x:f>J109*G109</x:f>
        <x:v>347.2</x:v>
      </x:c>
      <x:c r="AE109" s="9" t="n">
        <x:f>K109*G109</x:f>
        <x:v>0</x:v>
      </x:c>
      <x:c r="AF109" s="9" t="n">
        <x:f>R109*G109</x:f>
        <x:v>926.4801314168377</x:v>
      </x:c>
    </x:row>
    <x:row r="110" ht="21" customHeight="1">
      <x:c r="A110" s="1" t="str">
        <x:f>'Inventory inputs'!A110</x:f>
        <x:v>PLAS</x:v>
      </x:c>
      <x:c r="B110" s="1" t="str">
        <x:f>'Inventory inputs'!B110</x:f>
        <x:v>60</x:v>
      </x:c>
      <x:c r="C110" s="1" t="str">
        <x:f>'Inventory inputs'!C110</x:f>
        <x:v>71619RWBBLK</x:v>
      </x:c>
      <x:c r="D110" s="7" t="n">
        <x:f>'Inventory inputs'!E110</x:f>
        <x:v>46303</x:v>
      </x:c>
      <x:c r="E110" s="1" t="n">
        <x:f>'Inventory inputs'!F110</x:f>
        <x:v>35300</x:v>
      </x:c>
      <x:c r="F110" s="1" t="n">
        <x:f>'Inventory inputs'!G110</x:f>
        <x:v>8166.67</x:v>
      </x:c>
      <x:c r="G110" s="1" t="n">
        <x:f>'Inventory inputs'!H110/'Inventory inputs'!J110</x:f>
        <x:v>0.0315</x:v>
      </x:c>
      <x:c r="H110" s="1" t="n">
        <x:f>IF('Inventory inputs'!I110&gt;0,'Inventory inputs'!I110*'Inventory inputs'!K110/'Inventory inputs'!J110,"n.a.")</x:f>
        <x:v>0.03675</x:v>
      </x:c>
      <x:c r="I110" s="1" t="n">
        <x:f>'Inventory inputs'!L110</x:f>
        <x:v>0</x:v>
      </x:c>
      <x:c r="J110" s="1" t="n">
        <x:f>'Inventory inputs'!M110</x:f>
        <x:v>0</x:v>
      </x:c>
      <x:c r="K110" s="1" t="n">
        <x:f>'Inventory inputs'!N110</x:f>
        <x:v>35300</x:v>
      </x:c>
      <x:c r="L110" s="1" t="n">
        <x:f>'Inventory inputs'!O110</x:f>
        <x:v>0</x:v>
      </x:c>
      <x:c r="M110" s="9" t="n">
        <x:f>E110*G110</x:f>
        <x:v>1111.95</x:v>
      </x:c>
      <x:c r="N110" s="9" t="n">
        <x:f>'Inventory inputs'!Q110</x:f>
        <x:v>1111.95</x:v>
      </x:c>
      <x:c r="O110" s="9" t="n">
        <x:f>N110-M110</x:f>
        <x:v>0</x:v>
      </x:c>
      <x:c r="P110" s="1" t="n">
        <x:f>SUMIFS('Incoming POs'!$P$2:$P$305,'Incoming POs'!$A$2:$A$305,A110,'Incoming POs'!$B$2:$B$305,B110,'Incoming POs'!$C$2:$C$305,C110,'Incoming POs'!$G$2:$G$305,"&gt;="&amp;D110,'Incoming POs'!$G$2:$G$305,"&lt;"&amp;Dashboard!$I$5)</x:f>
        <x:v>0</x:v>
      </x:c>
      <x:c r="Q110" s="1" t="n">
        <x:f>F110*Dashboard!$L$5*MAX(0,Dashboard!$I$5-D110)/30.4375</x:f>
        <x:v>10866.534209445586</x:v>
      </x:c>
      <x:c r="R110" s="1" t="n">
        <x:f>MAX(0,E110+P110-Q110)</x:f>
        <x:v>24433.465790554415</x:v>
      </x:c>
      <x:c r="S110" s="1" t="n">
        <x:f>MAX(0,Q110-E110-P110)</x:f>
        <x:v>0</x:v>
      </x:c>
      <x:c r="T110" s="1" t="str">
        <x:f>IF(L110=1,MAX(0,I110+AB110-MIN(Q110,E110+P110)),"n.a.")</x:f>
        <x:v>n.a.</x:v>
      </x:c>
      <x:c r="U110" s="9" t="str">
        <x:f>IF(ISNUMBER(T110),T110*G110,"n.a.")</x:f>
        <x:v>n.a.</x:v>
      </x:c>
      <x:c r="V110" s="25" t="n">
        <x:f>IF(Dashboard!$I$6="Flat %",1,IF(ISNUMBER(H110),1,0))</x:f>
        <x:v>1</x:v>
      </x:c>
      <x:c r="W110" s="9" t="n">
        <x:f>IF(Dashboard!$I$6="Flat %",G110*(1+Dashboard!$L$6),H110)</x:f>
        <x:v>0.03675</x:v>
      </x:c>
      <x:c r="X110" s="9" t="n">
        <x:f>IF(V110=1,R110*(W110-G110),"n.a.")</x:f>
        <x:v>128.27569540041063</x:v>
      </x:c>
      <x:c r="Y110" s="9" t="n">
        <x:f>IF(V110=1,R110*W110,"n.a.")</x:f>
        <x:v>897.9298678028747</x:v>
      </x:c>
      <x:c r="Z110" s="1" t="str">
        <x:f>IF(ISNUMBER(T110),R110-T110,"n.a.")</x:f>
        <x:v>n.a.</x:v>
      </x:c>
      <x:c r="AA110" s="1" t="str">
        <x:f>'Inventory inputs'!R110</x:f>
        <x:v>Review receipt reconciliation or original PO baseline</x:v>
      </x:c>
      <x:c r="AB110" s="1" t="str">
        <x:f>IF(L110=1,SUMIFS('Incoming POs'!$P$2:$P$305,'Incoming POs'!$A$2:$A$305,A110,'Incoming POs'!$B$2:$B$305,B110,'Incoming POs'!$C$2:$C$305,C110,'Incoming POs'!$G$2:$G$305,"&gt;="&amp;D110,'Incoming POs'!$G$2:$G$305,"&lt;"&amp;Dashboard!$I$5,'Incoming POs'!$Q$2:$Q$305,"&lt;="&amp;('Inventory inputs'!P110/'Inventory inputs'!J110*1.01)),"n.a.")</x:f>
        <x:v>n.a.</x:v>
      </x:c>
      <x:c r="AC110" s="9" t="n">
        <x:f>I110*G110</x:f>
        <x:v>0</x:v>
      </x:c>
      <x:c r="AD110" s="9" t="n">
        <x:f>J110*G110</x:f>
        <x:v>0</x:v>
      </x:c>
      <x:c r="AE110" s="9" t="n">
        <x:f>K110*G110</x:f>
        <x:v>1111.95</x:v>
      </x:c>
      <x:c r="AF110" s="9" t="n">
        <x:f>R110*G110</x:f>
        <x:v>769.654172402464</x:v>
      </x:c>
    </x:row>
    <x:row r="111" ht="21" customHeight="1">
      <x:c r="A111" s="1" t="str">
        <x:f>'Inventory inputs'!A111</x:f>
        <x:v>PLAS</x:v>
      </x:c>
      <x:c r="B111" s="1" t="str">
        <x:f>'Inventory inputs'!B111</x:f>
        <x:v>60</x:v>
      </x:c>
      <x:c r="C111" s="1" t="str">
        <x:f>'Inventory inputs'!C111</x:f>
        <x:v>51619RWBWHT</x:v>
      </x:c>
      <x:c r="D111" s="7" t="n">
        <x:f>'Inventory inputs'!E111</x:f>
        <x:v>46303</x:v>
      </x:c>
      <x:c r="E111" s="1" t="n">
        <x:f>'Inventory inputs'!F111</x:f>
        <x:v>64500</x:v>
      </x:c>
      <x:c r="F111" s="1" t="n">
        <x:f>'Inventory inputs'!G111</x:f>
        <x:v>8116.67</x:v>
      </x:c>
      <x:c r="G111" s="1" t="n">
        <x:f>'Inventory inputs'!H111/'Inventory inputs'!J111</x:f>
        <x:v>0.0216</x:v>
      </x:c>
      <x:c r="H111" s="1" t="n">
        <x:f>IF('Inventory inputs'!I111&gt;0,'Inventory inputs'!I111*'Inventory inputs'!K111/'Inventory inputs'!J111,"n.a.")</x:f>
        <x:v>0.025284</x:v>
      </x:c>
      <x:c r="I111" s="1" t="n">
        <x:f>'Inventory inputs'!L111</x:f>
        <x:v>0</x:v>
      </x:c>
      <x:c r="J111" s="1" t="n">
        <x:f>'Inventory inputs'!M111</x:f>
        <x:v>0</x:v>
      </x:c>
      <x:c r="K111" s="1" t="n">
        <x:f>'Inventory inputs'!N111</x:f>
        <x:v>64500</x:v>
      </x:c>
      <x:c r="L111" s="1" t="n">
        <x:f>'Inventory inputs'!O111</x:f>
        <x:v>0</x:v>
      </x:c>
      <x:c r="M111" s="9" t="n">
        <x:f>E111*G111</x:f>
        <x:v>1393.2</x:v>
      </x:c>
      <x:c r="N111" s="9" t="n">
        <x:f>'Inventory inputs'!Q111</x:f>
        <x:v>1393.2</x:v>
      </x:c>
      <x:c r="O111" s="9" t="n">
        <x:f>N111-M111</x:f>
        <x:v>0</x:v>
      </x:c>
      <x:c r="P111" s="1" t="n">
        <x:f>SUMIFS('Incoming POs'!$P$2:$P$305,'Incoming POs'!$A$2:$A$305,A111,'Incoming POs'!$B$2:$B$305,B111,'Incoming POs'!$C$2:$C$305,C111,'Incoming POs'!$G$2:$G$305,"&gt;="&amp;D111,'Incoming POs'!$G$2:$G$305,"&lt;"&amp;Dashboard!$I$5)</x:f>
        <x:v>0</x:v>
      </x:c>
      <x:c r="Q111" s="1" t="n">
        <x:f>F111*Dashboard!$L$5*MAX(0,Dashboard!$I$5-D111)/30.4375</x:f>
        <x:v>10800.004435318275</x:v>
      </x:c>
      <x:c r="R111" s="1" t="n">
        <x:f>MAX(0,E111+P111-Q111)</x:f>
        <x:v>53699.995564681725</x:v>
      </x:c>
      <x:c r="S111" s="1" t="n">
        <x:f>MAX(0,Q111-E111-P111)</x:f>
        <x:v>0</x:v>
      </x:c>
      <x:c r="T111" s="1" t="str">
        <x:f>IF(L111=1,MAX(0,I111+AB111-MIN(Q111,E111+P111)),"n.a.")</x:f>
        <x:v>n.a.</x:v>
      </x:c>
      <x:c r="U111" s="9" t="str">
        <x:f>IF(ISNUMBER(T111),T111*G111,"n.a.")</x:f>
        <x:v>n.a.</x:v>
      </x:c>
      <x:c r="V111" s="25" t="n">
        <x:f>IF(Dashboard!$I$6="Flat %",1,IF(ISNUMBER(H111),1,0))</x:f>
        <x:v>1</x:v>
      </x:c>
      <x:c r="W111" s="9" t="n">
        <x:f>IF(Dashboard!$I$6="Flat %",G111*(1+Dashboard!$L$6),H111)</x:f>
        <x:v>0.025284</x:v>
      </x:c>
      <x:c r="X111" s="9" t="n">
        <x:f>IF(V111=1,R111*(W111-G111),"n.a.")</x:f>
        <x:v>197.83078366028747</x:v>
      </x:c>
      <x:c r="Y111" s="9" t="n">
        <x:f>IF(V111=1,R111*W111,"n.a.")</x:f>
        <x:v>1357.7506878574127</x:v>
      </x:c>
      <x:c r="Z111" s="1" t="str">
        <x:f>IF(ISNUMBER(T111),R111-T111,"n.a.")</x:f>
        <x:v>n.a.</x:v>
      </x:c>
      <x:c r="AA111" s="1" t="str">
        <x:f>'Inventory inputs'!R111</x:f>
        <x:v>Review receipt reconciliation or original PO baseline</x:v>
      </x:c>
      <x:c r="AB111" s="1" t="str">
        <x:f>IF(L111=1,SUMIFS('Incoming POs'!$P$2:$P$305,'Incoming POs'!$A$2:$A$305,A111,'Incoming POs'!$B$2:$B$305,B111,'Incoming POs'!$C$2:$C$305,C111,'Incoming POs'!$G$2:$G$305,"&gt;="&amp;D111,'Incoming POs'!$G$2:$G$305,"&lt;"&amp;Dashboard!$I$5,'Incoming POs'!$Q$2:$Q$305,"&lt;="&amp;('Inventory inputs'!P111/'Inventory inputs'!J111*1.01)),"n.a.")</x:f>
        <x:v>n.a.</x:v>
      </x:c>
      <x:c r="AC111" s="9" t="n">
        <x:f>I111*G111</x:f>
        <x:v>0</x:v>
      </x:c>
      <x:c r="AD111" s="9" t="n">
        <x:f>J111*G111</x:f>
        <x:v>0</x:v>
      </x:c>
      <x:c r="AE111" s="9" t="n">
        <x:f>K111*G111</x:f>
        <x:v>1393.2</x:v>
      </x:c>
      <x:c r="AF111" s="9" t="n">
        <x:f>R111*G111</x:f>
        <x:v>1159.9199041971253</x:v>
      </x:c>
    </x:row>
    <x:row r="112" ht="21" customHeight="1">
      <x:c r="A112" s="1" t="str">
        <x:f>'Inventory inputs'!A112</x:f>
        <x:v>PLAS</x:v>
      </x:c>
      <x:c r="B112" s="1" t="str">
        <x:f>'Inventory inputs'!B112</x:f>
        <x:v>10</x:v>
      </x:c>
      <x:c r="C112" s="1" t="str">
        <x:f>'Inventory inputs'!C112</x:f>
        <x:v>51619RWBNAV</x:v>
      </x:c>
      <x:c r="D112" s="7" t="n">
        <x:f>'Inventory inputs'!E112</x:f>
        <x:v>46303</x:v>
      </x:c>
      <x:c r="E112" s="1" t="n">
        <x:f>'Inventory inputs'!F112</x:f>
        <x:v>9000</x:v>
      </x:c>
      <x:c r="F112" s="1" t="n">
        <x:f>'Inventory inputs'!G112</x:f>
        <x:v>6734.08</x:v>
      </x:c>
      <x:c r="G112" s="1" t="n">
        <x:f>'Inventory inputs'!H112/'Inventory inputs'!J112</x:f>
        <x:v>0.0216</x:v>
      </x:c>
      <x:c r="H112" s="1" t="n">
        <x:f>IF('Inventory inputs'!I112&gt;0,'Inventory inputs'!I112*'Inventory inputs'!K112/'Inventory inputs'!J112,"n.a.")</x:f>
        <x:v>0.025284</x:v>
      </x:c>
      <x:c r="I112" s="1" t="n">
        <x:f>'Inventory inputs'!L112</x:f>
        <x:v>0</x:v>
      </x:c>
      <x:c r="J112" s="1" t="n">
        <x:f>'Inventory inputs'!M112</x:f>
        <x:v>9000</x:v>
      </x:c>
      <x:c r="K112" s="1" t="n">
        <x:f>'Inventory inputs'!N112</x:f>
        <x:v>0</x:v>
      </x:c>
      <x:c r="L112" s="1" t="n">
        <x:f>'Inventory inputs'!O112</x:f>
        <x:v>1</x:v>
      </x:c>
      <x:c r="M112" s="9" t="n">
        <x:f>E112*G112</x:f>
        <x:v>194.4</x:v>
      </x:c>
      <x:c r="N112" s="9" t="n">
        <x:f>'Inventory inputs'!Q112</x:f>
        <x:v>194.4</x:v>
      </x:c>
      <x:c r="O112" s="9" t="n">
        <x:f>N112-M112</x:f>
        <x:v>0</x:v>
      </x:c>
      <x:c r="P112" s="1" t="n">
        <x:f>SUMIFS('Incoming POs'!$P$2:$P$305,'Incoming POs'!$A$2:$A$305,A112,'Incoming POs'!$B$2:$B$305,B112,'Incoming POs'!$C$2:$C$305,C112,'Incoming POs'!$G$2:$G$305,"&gt;="&amp;D112,'Incoming POs'!$G$2:$G$305,"&lt;"&amp;Dashboard!$I$5)</x:f>
        <x:v>40000</x:v>
      </x:c>
      <x:c r="Q112" s="1" t="n">
        <x:f>F112*Dashboard!$L$5*MAX(0,Dashboard!$I$5-D112)/30.4375</x:f>
        <x:v>8960.336427104723</x:v>
      </x:c>
      <x:c r="R112" s="1" t="n">
        <x:f>MAX(0,E112+P112-Q112)</x:f>
        <x:v>40039.663572895275</x:v>
      </x:c>
      <x:c r="S112" s="1" t="n">
        <x:f>MAX(0,Q112-E112-P112)</x:f>
        <x:v>0</x:v>
      </x:c>
      <x:c r="T112" s="1" t="n">
        <x:f>IF(L112=1,MAX(0,I112+AB112-MIN(Q112,E112+P112)),"n.a.")</x:f>
        <x:v>0</x:v>
      </x:c>
      <x:c r="U112" s="9" t="n">
        <x:f>IF(ISNUMBER(T112),T112*G112,"n.a.")</x:f>
        <x:v>0</x:v>
      </x:c>
      <x:c r="V112" s="25" t="n">
        <x:f>IF(Dashboard!$I$6="Flat %",1,IF(ISNUMBER(H112),1,0))</x:f>
        <x:v>1</x:v>
      </x:c>
      <x:c r="W112" s="9" t="n">
        <x:f>IF(Dashboard!$I$6="Flat %",G112*(1+Dashboard!$L$6),H112)</x:f>
        <x:v>0.025284</x:v>
      </x:c>
      <x:c r="X112" s="9" t="n">
        <x:f>IF(V112=1,R112*(W112-G112),"n.a.")</x:f>
        <x:v>147.5061206025462</x:v>
      </x:c>
      <x:c r="Y112" s="9" t="n">
        <x:f>IF(V112=1,R112*W112,"n.a.")</x:f>
        <x:v>1012.3628537770842</x:v>
      </x:c>
      <x:c r="Z112" s="1" t="n">
        <x:f>IF(ISNUMBER(T112),R112-T112,"n.a.")</x:f>
        <x:v>40039.663572895275</x:v>
      </x:c>
      <x:c r="AA112" s="1" t="str">
        <x:f>'Inventory inputs'!R112</x:f>
        <x:v>Classified</x:v>
      </x:c>
      <x:c r="AB112" s="1" t="n">
        <x:f>IF(L112=1,SUMIFS('Incoming POs'!$P$2:$P$305,'Incoming POs'!$A$2:$A$305,A112,'Incoming POs'!$B$2:$B$305,B112,'Incoming POs'!$C$2:$C$305,C112,'Incoming POs'!$G$2:$G$305,"&gt;="&amp;D112,'Incoming POs'!$G$2:$G$305,"&lt;"&amp;Dashboard!$I$5,'Incoming POs'!$Q$2:$Q$305,"&lt;="&amp;('Inventory inputs'!P112/'Inventory inputs'!J112*1.01)),"n.a.")</x:f>
        <x:v>0</x:v>
      </x:c>
      <x:c r="AC112" s="9" t="n">
        <x:f>I112*G112</x:f>
        <x:v>0</x:v>
      </x:c>
      <x:c r="AD112" s="9" t="n">
        <x:f>J112*G112</x:f>
        <x:v>194.4</x:v>
      </x:c>
      <x:c r="AE112" s="9" t="n">
        <x:f>K112*G112</x:f>
        <x:v>0</x:v>
      </x:c>
      <x:c r="AF112" s="9" t="n">
        <x:f>R112*G112</x:f>
        <x:v>864.856733174538</x:v>
      </x:c>
    </x:row>
    <x:row r="113" ht="21" customHeight="1">
      <x:c r="A113" s="1" t="str">
        <x:f>'Inventory inputs'!A113</x:f>
        <x:v>PLAS</x:v>
      </x:c>
      <x:c r="B113" s="1" t="str">
        <x:f>'Inventory inputs'!B113</x:f>
        <x:v>60</x:v>
      </x:c>
      <x:c r="C113" s="1" t="str">
        <x:f>'Inventory inputs'!C113</x:f>
        <x:v>05819RWBBLK</x:v>
      </x:c>
      <x:c r="D113" s="7" t="n">
        <x:f>'Inventory inputs'!E113</x:f>
        <x:v>46303</x:v>
      </x:c>
      <x:c r="E113" s="1" t="n">
        <x:f>'Inventory inputs'!F113</x:f>
        <x:v>23200</x:v>
      </x:c>
      <x:c r="F113" s="1" t="n">
        <x:f>'Inventory inputs'!G113</x:f>
        <x:v>6083.33</x:v>
      </x:c>
      <x:c r="G113" s="1" t="n">
        <x:f>'Inventory inputs'!H113/'Inventory inputs'!J113</x:f>
        <x:v>0.045599999999999995</x:v>
      </x:c>
      <x:c r="H113" s="1" t="n">
        <x:f>IF('Inventory inputs'!I113&gt;0,'Inventory inputs'!I113*'Inventory inputs'!K113/'Inventory inputs'!J113,"n.a.")</x:f>
        <x:v>0.053361</x:v>
      </x:c>
      <x:c r="I113" s="1" t="n">
        <x:f>'Inventory inputs'!L113</x:f>
        <x:v>0</x:v>
      </x:c>
      <x:c r="J113" s="1" t="n">
        <x:f>'Inventory inputs'!M113</x:f>
        <x:v>0</x:v>
      </x:c>
      <x:c r="K113" s="1" t="n">
        <x:f>'Inventory inputs'!N113</x:f>
        <x:v>23200</x:v>
      </x:c>
      <x:c r="L113" s="1" t="n">
        <x:f>'Inventory inputs'!O113</x:f>
        <x:v>0</x:v>
      </x:c>
      <x:c r="M113" s="9" t="n">
        <x:f>E113*G113</x:f>
        <x:v>1057.9199999999998</x:v>
      </x:c>
      <x:c r="N113" s="9" t="n">
        <x:f>'Inventory inputs'!Q113</x:f>
        <x:v>1057.9199999999998</x:v>
      </x:c>
      <x:c r="O113" s="9" t="n">
        <x:f>N113-M113</x:f>
        <x:v>0</x:v>
      </x:c>
      <x:c r="P113" s="1" t="n">
        <x:f>SUMIFS('Incoming POs'!$P$2:$P$305,'Incoming POs'!$A$2:$A$305,A113,'Incoming POs'!$B$2:$B$305,B113,'Incoming POs'!$C$2:$C$305,C113,'Incoming POs'!$G$2:$G$305,"&gt;="&amp;D113,'Incoming POs'!$G$2:$G$305,"&lt;"&amp;Dashboard!$I$5)</x:f>
        <x:v>0</x:v>
      </x:c>
      <x:c r="Q113" s="1" t="n">
        <x:f>F113*Dashboard!$L$5*MAX(0,Dashboard!$I$5-D113)/30.4375</x:f>
        <x:v>8094.451416837781</x:v>
      </x:c>
      <x:c r="R113" s="1" t="n">
        <x:f>MAX(0,E113+P113-Q113)</x:f>
        <x:v>15105.548583162219</x:v>
      </x:c>
      <x:c r="S113" s="1" t="n">
        <x:f>MAX(0,Q113-E113-P113)</x:f>
        <x:v>0</x:v>
      </x:c>
      <x:c r="T113" s="1" t="str">
        <x:f>IF(L113=1,MAX(0,I113+AB113-MIN(Q113,E113+P113)),"n.a.")</x:f>
        <x:v>n.a.</x:v>
      </x:c>
      <x:c r="U113" s="9" t="str">
        <x:f>IF(ISNUMBER(T113),T113*G113,"n.a.")</x:f>
        <x:v>n.a.</x:v>
      </x:c>
      <x:c r="V113" s="25" t="n">
        <x:f>IF(Dashboard!$I$6="Flat %",1,IF(ISNUMBER(H113),1,0))</x:f>
        <x:v>1</x:v>
      </x:c>
      <x:c r="W113" s="9" t="n">
        <x:f>IF(Dashboard!$I$6="Flat %",G113*(1+Dashboard!$L$6),H113)</x:f>
        <x:v>0.053361</x:v>
      </x:c>
      <x:c r="X113" s="9" t="n">
        <x:f>IF(V113=1,R113*(W113-G113),"n.a.")</x:f>
        <x:v>117.23416255392205</x:v>
      </x:c>
      <x:c r="Y113" s="9" t="n">
        <x:f>IF(V113=1,R113*W113,"n.a.")</x:f>
        <x:v>806.0471779461192</x:v>
      </x:c>
      <x:c r="Z113" s="1" t="str">
        <x:f>IF(ISNUMBER(T113),R113-T113,"n.a.")</x:f>
        <x:v>n.a.</x:v>
      </x:c>
      <x:c r="AA113" s="1" t="str">
        <x:f>'Inventory inputs'!R113</x:f>
        <x:v>Review receipt reconciliation or original PO baseline</x:v>
      </x:c>
      <x:c r="AB113" s="1" t="str">
        <x:f>IF(L113=1,SUMIFS('Incoming POs'!$P$2:$P$305,'Incoming POs'!$A$2:$A$305,A113,'Incoming POs'!$B$2:$B$305,B113,'Incoming POs'!$C$2:$C$305,C113,'Incoming POs'!$G$2:$G$305,"&gt;="&amp;D113,'Incoming POs'!$G$2:$G$305,"&lt;"&amp;Dashboard!$I$5,'Incoming POs'!$Q$2:$Q$305,"&lt;="&amp;('Inventory inputs'!P113/'Inventory inputs'!J113*1.01)),"n.a.")</x:f>
        <x:v>n.a.</x:v>
      </x:c>
      <x:c r="AC113" s="9" t="n">
        <x:f>I113*G113</x:f>
        <x:v>0</x:v>
      </x:c>
      <x:c r="AD113" s="9" t="n">
        <x:f>J113*G113</x:f>
        <x:v>0</x:v>
      </x:c>
      <x:c r="AE113" s="9" t="n">
        <x:f>K113*G113</x:f>
        <x:v>1057.9199999999998</x:v>
      </x:c>
      <x:c r="AF113" s="9" t="n">
        <x:f>R113*G113</x:f>
        <x:v>688.8130153921971</x:v>
      </x:c>
    </x:row>
    <x:row r="114" ht="21" customHeight="1">
      <x:c r="A114" s="1" t="str">
        <x:f>'Inventory inputs'!A114</x:f>
        <x:v>PLAS</x:v>
      </x:c>
      <x:c r="B114" s="1" t="str">
        <x:f>'Inventory inputs'!B114</x:f>
        <x:v>10</x:v>
      </x:c>
      <x:c r="C114" s="1" t="str">
        <x:f>'Inventory inputs'!C114</x:f>
        <x:v>00219RSLBLK</x:v>
      </x:c>
      <x:c r="D114" s="7" t="n">
        <x:f>'Inventory inputs'!E114</x:f>
        <x:v>46303</x:v>
      </x:c>
      <x:c r="E114" s="1" t="n">
        <x:f>'Inventory inputs'!F114</x:f>
        <x:v>11360</x:v>
      </x:c>
      <x:c r="F114" s="1" t="n">
        <x:f>'Inventory inputs'!G114</x:f>
        <x:v>5644</x:v>
      </x:c>
      <x:c r="G114" s="1" t="n">
        <x:f>'Inventory inputs'!H114/'Inventory inputs'!J114</x:f>
        <x:v>0.1477</x:v>
      </x:c>
      <x:c r="H114" s="1" t="n">
        <x:f>IF('Inventory inputs'!I114&gt;0,'Inventory inputs'!I114*'Inventory inputs'!K114/'Inventory inputs'!J114,"n.a.")</x:f>
        <x:v>0.172872</x:v>
      </x:c>
      <x:c r="I114" s="1" t="n">
        <x:f>'Inventory inputs'!L114</x:f>
        <x:v>5360</x:v>
      </x:c>
      <x:c r="J114" s="1" t="n">
        <x:f>'Inventory inputs'!M114</x:f>
        <x:v>6000</x:v>
      </x:c>
      <x:c r="K114" s="1" t="n">
        <x:f>'Inventory inputs'!N114</x:f>
        <x:v>0</x:v>
      </x:c>
      <x:c r="L114" s="1" t="n">
        <x:f>'Inventory inputs'!O114</x:f>
        <x:v>1</x:v>
      </x:c>
      <x:c r="M114" s="9" t="n">
        <x:f>E114*G114</x:f>
        <x:v>1677.872</x:v>
      </x:c>
      <x:c r="N114" s="9" t="n">
        <x:f>'Inventory inputs'!Q114</x:f>
        <x:v>1677.8719999999998</x:v>
      </x:c>
      <x:c r="O114" s="9" t="n">
        <x:f>N114-M114</x:f>
        <x:v>-2.2737367544323206e-13</x:v>
      </x:c>
      <x:c r="P114" s="1" t="n">
        <x:f>SUMIFS('Incoming POs'!$P$2:$P$305,'Incoming POs'!$A$2:$A$305,A114,'Incoming POs'!$B$2:$B$305,B114,'Incoming POs'!$C$2:$C$305,C114,'Incoming POs'!$G$2:$G$305,"&gt;="&amp;D114,'Incoming POs'!$G$2:$G$305,"&lt;"&amp;Dashboard!$I$5)</x:f>
        <x:v>20000</x:v>
      </x:c>
      <x:c r="Q114" s="1" t="n">
        <x:f>F114*Dashboard!$L$5*MAX(0,Dashboard!$I$5-D114)/30.4375</x:f>
        <x:v>7509.88090349076</x:v>
      </x:c>
      <x:c r="R114" s="1" t="n">
        <x:f>MAX(0,E114+P114-Q114)</x:f>
        <x:v>23850.11909650924</x:v>
      </x:c>
      <x:c r="S114" s="1" t="n">
        <x:f>MAX(0,Q114-E114-P114)</x:f>
        <x:v>0</x:v>
      </x:c>
      <x:c r="T114" s="1" t="n">
        <x:f>IF(L114=1,MAX(0,I114+AB114-MIN(Q114,E114+P114)),"n.a.")</x:f>
        <x:v>0</x:v>
      </x:c>
      <x:c r="U114" s="9" t="n">
        <x:f>IF(ISNUMBER(T114),T114*G114,"n.a.")</x:f>
        <x:v>0</x:v>
      </x:c>
      <x:c r="V114" s="25" t="n">
        <x:f>IF(Dashboard!$I$6="Flat %",1,IF(ISNUMBER(H114),1,0))</x:f>
        <x:v>1</x:v>
      </x:c>
      <x:c r="W114" s="9" t="n">
        <x:f>IF(Dashboard!$I$6="Flat %",G114*(1+Dashboard!$L$6),H114)</x:f>
        <x:v>0.172872</x:v>
      </x:c>
      <x:c r="X114" s="9" t="n">
        <x:f>IF(V114=1,R114*(W114-G114),"n.a.")</x:f>
        <x:v>600.3551978973305</x:v>
      </x:c>
      <x:c r="Y114" s="9" t="n">
        <x:f>IF(V114=1,R114*W114,"n.a.")</x:f>
        <x:v>4123.017788451745</x:v>
      </x:c>
      <x:c r="Z114" s="1" t="n">
        <x:f>IF(ISNUMBER(T114),R114-T114,"n.a.")</x:f>
        <x:v>23850.11909650924</x:v>
      </x:c>
      <x:c r="AA114" s="1" t="str">
        <x:f>'Inventory inputs'!R114</x:f>
        <x:v>Classified</x:v>
      </x:c>
      <x:c r="AB114" s="1" t="n">
        <x:f>IF(L114=1,SUMIFS('Incoming POs'!$P$2:$P$305,'Incoming POs'!$A$2:$A$305,A114,'Incoming POs'!$B$2:$B$305,B114,'Incoming POs'!$C$2:$C$305,C114,'Incoming POs'!$G$2:$G$305,"&gt;="&amp;D114,'Incoming POs'!$G$2:$G$305,"&lt;"&amp;Dashboard!$I$5,'Incoming POs'!$Q$2:$Q$305,"&lt;="&amp;('Inventory inputs'!P114/'Inventory inputs'!J114*1.01)),"n.a.")</x:f>
        <x:v>0</x:v>
      </x:c>
      <x:c r="AC114" s="9" t="n">
        <x:f>I114*G114</x:f>
        <x:v>791.672</x:v>
      </x:c>
      <x:c r="AD114" s="9" t="n">
        <x:f>J114*G114</x:f>
        <x:v>886.1999999999999</x:v>
      </x:c>
      <x:c r="AE114" s="9" t="n">
        <x:f>K114*G114</x:f>
        <x:v>0</x:v>
      </x:c>
      <x:c r="AF114" s="9" t="n">
        <x:f>R114*G114</x:f>
        <x:v>3522.6625905544147</x:v>
      </x:c>
    </x:row>
    <x:row r="115" ht="21" customHeight="1">
      <x:c r="A115" s="1" t="str">
        <x:f>'Inventory inputs'!A115</x:f>
        <x:v>PLAS</x:v>
      </x:c>
      <x:c r="B115" s="1" t="str">
        <x:f>'Inventory inputs'!B115</x:f>
        <x:v>30</x:v>
      </x:c>
      <x:c r="C115" s="1" t="str">
        <x:f>'Inventory inputs'!C115</x:f>
        <x:v>03819RWBBLK</x:v>
      </x:c>
      <x:c r="D115" s="7" t="n">
        <x:f>'Inventory inputs'!E115</x:f>
        <x:v>46303</x:v>
      </x:c>
      <x:c r="E115" s="1" t="n">
        <x:f>'Inventory inputs'!F115</x:f>
        <x:v>13400</x:v>
      </x:c>
      <x:c r="F115" s="1" t="n">
        <x:f>'Inventory inputs'!G115</x:f>
        <x:v>5550</x:v>
      </x:c>
      <x:c r="G115" s="1" t="n">
        <x:f>'Inventory inputs'!H115/'Inventory inputs'!J115</x:f>
        <x:v>0.0248</x:v>
      </x:c>
      <x:c r="H115" s="1" t="n">
        <x:f>IF('Inventory inputs'!I115&gt;0,'Inventory inputs'!I115*'Inventory inputs'!K115/'Inventory inputs'!J115,"n.a.")</x:f>
        <x:v>0.029106</x:v>
      </x:c>
      <x:c r="I115" s="1" t="n">
        <x:f>'Inventory inputs'!L115</x:f>
        <x:v>0</x:v>
      </x:c>
      <x:c r="J115" s="1" t="n">
        <x:f>'Inventory inputs'!M115</x:f>
        <x:v>0</x:v>
      </x:c>
      <x:c r="K115" s="1" t="n">
        <x:f>'Inventory inputs'!N115</x:f>
        <x:v>13400</x:v>
      </x:c>
      <x:c r="L115" s="1" t="n">
        <x:f>'Inventory inputs'!O115</x:f>
        <x:v>0</x:v>
      </x:c>
      <x:c r="M115" s="9" t="n">
        <x:f>E115*G115</x:f>
        <x:v>332.32</x:v>
      </x:c>
      <x:c r="N115" s="9" t="n">
        <x:f>'Inventory inputs'!Q115</x:f>
        <x:v>332.32</x:v>
      </x:c>
      <x:c r="O115" s="9" t="n">
        <x:f>N115-M115</x:f>
        <x:v>0</x:v>
      </x:c>
      <x:c r="P115" s="1" t="n">
        <x:f>SUMIFS('Incoming POs'!$P$2:$P$305,'Incoming POs'!$A$2:$A$305,A115,'Incoming POs'!$B$2:$B$305,B115,'Incoming POs'!$C$2:$C$305,C115,'Incoming POs'!$G$2:$G$305,"&gt;="&amp;D115,'Incoming POs'!$G$2:$G$305,"&lt;"&amp;Dashboard!$I$5)</x:f>
        <x:v>0</x:v>
      </x:c>
      <x:c r="Q115" s="1" t="n">
        <x:f>F115*Dashboard!$L$5*MAX(0,Dashboard!$I$5-D115)/30.4375</x:f>
        <x:v>7384.804928131417</x:v>
      </x:c>
      <x:c r="R115" s="1" t="n">
        <x:f>MAX(0,E115+P115-Q115)</x:f>
        <x:v>6015.195071868583</x:v>
      </x:c>
      <x:c r="S115" s="1" t="n">
        <x:f>MAX(0,Q115-E115-P115)</x:f>
        <x:v>0</x:v>
      </x:c>
      <x:c r="T115" s="1" t="str">
        <x:f>IF(L115=1,MAX(0,I115+AB115-MIN(Q115,E115+P115)),"n.a.")</x:f>
        <x:v>n.a.</x:v>
      </x:c>
      <x:c r="U115" s="9" t="str">
        <x:f>IF(ISNUMBER(T115),T115*G115,"n.a.")</x:f>
        <x:v>n.a.</x:v>
      </x:c>
      <x:c r="V115" s="25" t="n">
        <x:f>IF(Dashboard!$I$6="Flat %",1,IF(ISNUMBER(H115),1,0))</x:f>
        <x:v>1</x:v>
      </x:c>
      <x:c r="W115" s="9" t="n">
        <x:f>IF(Dashboard!$I$6="Flat %",G115*(1+Dashboard!$L$6),H115)</x:f>
        <x:v>0.029106</x:v>
      </x:c>
      <x:c r="X115" s="9" t="n">
        <x:f>IF(V115=1,R115*(W115-G115),"n.a.")</x:f>
        <x:v>25.901429979466123</x:v>
      </x:c>
      <x:c r="Y115" s="9" t="n">
        <x:f>IF(V115=1,R115*W115,"n.a.")</x:f>
        <x:v>175.07826776180698</x:v>
      </x:c>
      <x:c r="Z115" s="1" t="str">
        <x:f>IF(ISNUMBER(T115),R115-T115,"n.a.")</x:f>
        <x:v>n.a.</x:v>
      </x:c>
      <x:c r="AA115" s="1" t="str">
        <x:f>'Inventory inputs'!R115</x:f>
        <x:v>Review receipt reconciliation or original PO baseline</x:v>
      </x:c>
      <x:c r="AB115" s="1" t="str">
        <x:f>IF(L115=1,SUMIFS('Incoming POs'!$P$2:$P$305,'Incoming POs'!$A$2:$A$305,A115,'Incoming POs'!$B$2:$B$305,B115,'Incoming POs'!$C$2:$C$305,C115,'Incoming POs'!$G$2:$G$305,"&gt;="&amp;D115,'Incoming POs'!$G$2:$G$305,"&lt;"&amp;Dashboard!$I$5,'Incoming POs'!$Q$2:$Q$305,"&lt;="&amp;('Inventory inputs'!P115/'Inventory inputs'!J115*1.01)),"n.a.")</x:f>
        <x:v>n.a.</x:v>
      </x:c>
      <x:c r="AC115" s="9" t="n">
        <x:f>I115*G115</x:f>
        <x:v>0</x:v>
      </x:c>
      <x:c r="AD115" s="9" t="n">
        <x:f>J115*G115</x:f>
        <x:v>0</x:v>
      </x:c>
      <x:c r="AE115" s="9" t="n">
        <x:f>K115*G115</x:f>
        <x:v>332.32</x:v>
      </x:c>
      <x:c r="AF115" s="9" t="n">
        <x:f>R115*G115</x:f>
        <x:v>149.17683778234084</x:v>
      </x:c>
    </x:row>
    <x:row r="116" ht="21" customHeight="1">
      <x:c r="A116" s="1" t="str">
        <x:f>'Inventory inputs'!A116</x:f>
        <x:v>PLAS</x:v>
      </x:c>
      <x:c r="B116" s="1" t="str">
        <x:f>'Inventory inputs'!B116</x:f>
        <x:v>10</x:v>
      </x:c>
      <x:c r="C116" s="1" t="str">
        <x:f>'Inventory inputs'!C116</x:f>
        <x:v>11419RSLBLK</x:v>
      </x:c>
      <x:c r="D116" s="7" t="n">
        <x:f>'Inventory inputs'!E116</x:f>
        <x:v>46303</x:v>
      </x:c>
      <x:c r="E116" s="1" t="n">
        <x:f>'Inventory inputs'!F116</x:f>
        <x:v>23870</x:v>
      </x:c>
      <x:c r="F116" s="1" t="n">
        <x:f>'Inventory inputs'!G116</x:f>
        <x:v>5372.83</x:v>
      </x:c>
      <x:c r="G116" s="1" t="n">
        <x:f>'Inventory inputs'!H116/'Inventory inputs'!J116</x:f>
        <x:v>0.111</x:v>
      </x:c>
      <x:c r="H116" s="1" t="n">
        <x:f>IF('Inventory inputs'!I116&gt;0,'Inventory inputs'!I116*'Inventory inputs'!K116/'Inventory inputs'!J116,"n.a.")</x:f>
        <x:v>0.129801</x:v>
      </x:c>
      <x:c r="I116" s="1" t="n">
        <x:f>'Inventory inputs'!L116</x:f>
        <x:v>10870</x:v>
      </x:c>
      <x:c r="J116" s="1" t="n">
        <x:f>'Inventory inputs'!M116</x:f>
        <x:v>13000</x:v>
      </x:c>
      <x:c r="K116" s="1" t="n">
        <x:f>'Inventory inputs'!N116</x:f>
        <x:v>0</x:v>
      </x:c>
      <x:c r="L116" s="1" t="n">
        <x:f>'Inventory inputs'!O116</x:f>
        <x:v>1</x:v>
      </x:c>
      <x:c r="M116" s="9" t="n">
        <x:f>E116*G116</x:f>
        <x:v>2649.57</x:v>
      </x:c>
      <x:c r="N116" s="9" t="n">
        <x:f>'Inventory inputs'!Q116</x:f>
        <x:v>2649.57</x:v>
      </x:c>
      <x:c r="O116" s="9" t="n">
        <x:f>N116-M116</x:f>
        <x:v>0</x:v>
      </x:c>
      <x:c r="P116" s="1" t="n">
        <x:f>SUMIFS('Incoming POs'!$P$2:$P$305,'Incoming POs'!$A$2:$A$305,A116,'Incoming POs'!$B$2:$B$305,B116,'Incoming POs'!$C$2:$C$305,C116,'Incoming POs'!$G$2:$G$305,"&gt;="&amp;D116,'Incoming POs'!$G$2:$G$305,"&lt;"&amp;Dashboard!$I$5)</x:f>
        <x:v>5000</x:v>
      </x:c>
      <x:c r="Q116" s="1" t="n">
        <x:f>F116*Dashboard!$L$5*MAX(0,Dashboard!$I$5-D116)/30.4375</x:f>
        <x:v>7149.0633264887065</x:v>
      </x:c>
      <x:c r="R116" s="1" t="n">
        <x:f>MAX(0,E116+P116-Q116)</x:f>
        <x:v>21720.936673511293</x:v>
      </x:c>
      <x:c r="S116" s="1" t="n">
        <x:f>MAX(0,Q116-E116-P116)</x:f>
        <x:v>0</x:v>
      </x:c>
      <x:c r="T116" s="1" t="n">
        <x:f>IF(L116=1,MAX(0,I116+AB116-MIN(Q116,E116+P116)),"n.a.")</x:f>
        <x:v>3720.9366735112935</x:v>
      </x:c>
      <x:c r="U116" s="9" t="n">
        <x:f>IF(ISNUMBER(T116),T116*G116,"n.a.")</x:f>
        <x:v>413.0239707597536</x:v>
      </x:c>
      <x:c r="V116" s="25" t="n">
        <x:f>IF(Dashboard!$I$6="Flat %",1,IF(ISNUMBER(H116),1,0))</x:f>
        <x:v>1</x:v>
      </x:c>
      <x:c r="W116" s="9" t="n">
        <x:f>IF(Dashboard!$I$6="Flat %",G116*(1+Dashboard!$L$6),H116)</x:f>
        <x:v>0.129801</x:v>
      </x:c>
      <x:c r="X116" s="9" t="n">
        <x:f>IF(V116=1,R116*(W116-G116),"n.a.")</x:f>
        <x:v>408.3753303986858</x:v>
      </x:c>
      <x:c r="Y116" s="9" t="n">
        <x:f>IF(V116=1,R116*W116,"n.a.")</x:f>
        <x:v>2819.3993011584394</x:v>
      </x:c>
      <x:c r="Z116" s="1" t="n">
        <x:f>IF(ISNUMBER(T116),R116-T116,"n.a.")</x:f>
        <x:v>18000</x:v>
      </x:c>
      <x:c r="AA116" s="1" t="str">
        <x:f>'Inventory inputs'!R116</x:f>
        <x:v>Classified</x:v>
      </x:c>
      <x:c r="AB116" s="1" t="n">
        <x:f>IF(L116=1,SUMIFS('Incoming POs'!$P$2:$P$305,'Incoming POs'!$A$2:$A$305,A116,'Incoming POs'!$B$2:$B$305,B116,'Incoming POs'!$C$2:$C$305,C116,'Incoming POs'!$G$2:$G$305,"&gt;="&amp;D116,'Incoming POs'!$G$2:$G$305,"&lt;"&amp;Dashboard!$I$5,'Incoming POs'!$Q$2:$Q$305,"&lt;="&amp;('Inventory inputs'!P116/'Inventory inputs'!J116*1.01)),"n.a.")</x:f>
        <x:v>0</x:v>
      </x:c>
      <x:c r="AC116" s="9" t="n">
        <x:f>I116*G116</x:f>
        <x:v>1206.57</x:v>
      </x:c>
      <x:c r="AD116" s="9" t="n">
        <x:f>J116*G116</x:f>
        <x:v>1443</x:v>
      </x:c>
      <x:c r="AE116" s="9" t="n">
        <x:f>K116*G116</x:f>
        <x:v>0</x:v>
      </x:c>
      <x:c r="AF116" s="9" t="n">
        <x:f>R116*G116</x:f>
        <x:v>2411.0239707597534</x:v>
      </x:c>
    </x:row>
    <x:row r="117" ht="21" customHeight="1">
      <x:c r="A117" s="1" t="str">
        <x:f>'Inventory inputs'!A117</x:f>
        <x:v>PLAS</x:v>
      </x:c>
      <x:c r="B117" s="1" t="str">
        <x:f>'Inventory inputs'!B117</x:f>
        <x:v>60</x:v>
      </x:c>
      <x:c r="C117" s="1" t="str">
        <x:f>'Inventory inputs'!C117</x:f>
        <x:v>03819RWBWHT</x:v>
      </x:c>
      <x:c r="D117" s="7" t="n">
        <x:f>'Inventory inputs'!E117</x:f>
        <x:v>46303</x:v>
      </x:c>
      <x:c r="E117" s="1" t="n">
        <x:f>'Inventory inputs'!F117</x:f>
        <x:v>15600</x:v>
      </x:c>
      <x:c r="F117" s="1" t="n">
        <x:f>'Inventory inputs'!G117</x:f>
        <x:v>5183.33</x:v>
      </x:c>
      <x:c r="G117" s="1" t="n">
        <x:f>'Inventory inputs'!H117/'Inventory inputs'!J117</x:f>
        <x:v>0.0248</x:v>
      </x:c>
      <x:c r="H117" s="1" t="n">
        <x:f>IF('Inventory inputs'!I117&gt;0,'Inventory inputs'!I117*'Inventory inputs'!K117/'Inventory inputs'!J117,"n.a.")</x:f>
        <x:v>0.029106</x:v>
      </x:c>
      <x:c r="I117" s="1" t="n">
        <x:f>'Inventory inputs'!L117</x:f>
        <x:v>0</x:v>
      </x:c>
      <x:c r="J117" s="1" t="n">
        <x:f>'Inventory inputs'!M117</x:f>
        <x:v>0</x:v>
      </x:c>
      <x:c r="K117" s="1" t="n">
        <x:f>'Inventory inputs'!N117</x:f>
        <x:v>15600</x:v>
      </x:c>
      <x:c r="L117" s="1" t="n">
        <x:f>'Inventory inputs'!O117</x:f>
        <x:v>0</x:v>
      </x:c>
      <x:c r="M117" s="9" t="n">
        <x:f>E117*G117</x:f>
        <x:v>386.88</x:v>
      </x:c>
      <x:c r="N117" s="9" t="n">
        <x:f>'Inventory inputs'!Q117</x:f>
        <x:v>386.88</x:v>
      </x:c>
      <x:c r="O117" s="9" t="n">
        <x:f>N117-M117</x:f>
        <x:v>0</x:v>
      </x:c>
      <x:c r="P117" s="1" t="n">
        <x:f>SUMIFS('Incoming POs'!$P$2:$P$305,'Incoming POs'!$A$2:$A$305,A117,'Incoming POs'!$B$2:$B$305,B117,'Incoming POs'!$C$2:$C$305,C117,'Incoming POs'!$G$2:$G$305,"&gt;="&amp;D117,'Incoming POs'!$G$2:$G$305,"&lt;"&amp;Dashboard!$I$5)</x:f>
        <x:v>0</x:v>
      </x:c>
      <x:c r="Q117" s="1" t="n">
        <x:f>F117*Dashboard!$L$5*MAX(0,Dashboard!$I$5-D117)/30.4375</x:f>
        <x:v>6896.915482546201</x:v>
      </x:c>
      <x:c r="R117" s="1" t="n">
        <x:f>MAX(0,E117+P117-Q117)</x:f>
        <x:v>8703.084517453799</x:v>
      </x:c>
      <x:c r="S117" s="1" t="n">
        <x:f>MAX(0,Q117-E117-P117)</x:f>
        <x:v>0</x:v>
      </x:c>
      <x:c r="T117" s="1" t="str">
        <x:f>IF(L117=1,MAX(0,I117+AB117-MIN(Q117,E117+P117)),"n.a.")</x:f>
        <x:v>n.a.</x:v>
      </x:c>
      <x:c r="U117" s="9" t="str">
        <x:f>IF(ISNUMBER(T117),T117*G117,"n.a.")</x:f>
        <x:v>n.a.</x:v>
      </x:c>
      <x:c r="V117" s="25" t="n">
        <x:f>IF(Dashboard!$I$6="Flat %",1,IF(ISNUMBER(H117),1,0))</x:f>
        <x:v>1</x:v>
      </x:c>
      <x:c r="W117" s="9" t="n">
        <x:f>IF(Dashboard!$I$6="Flat %",G117*(1+Dashboard!$L$6),H117)</x:f>
        <x:v>0.029106</x:v>
      </x:c>
      <x:c r="X117" s="9" t="n">
        <x:f>IF(V117=1,R117*(W117-G117),"n.a.")</x:f>
        <x:v>37.475481932156065</x:v>
      </x:c>
      <x:c r="Y117" s="9" t="n">
        <x:f>IF(V117=1,R117*W117,"n.a.")</x:f>
        <x:v>253.31197796501027</x:v>
      </x:c>
      <x:c r="Z117" s="1" t="str">
        <x:f>IF(ISNUMBER(T117),R117-T117,"n.a.")</x:f>
        <x:v>n.a.</x:v>
      </x:c>
      <x:c r="AA117" s="1" t="str">
        <x:f>'Inventory inputs'!R117</x:f>
        <x:v>Review receipt reconciliation or original PO baseline</x:v>
      </x:c>
      <x:c r="AB117" s="1" t="str">
        <x:f>IF(L117=1,SUMIFS('Incoming POs'!$P$2:$P$305,'Incoming POs'!$A$2:$A$305,A117,'Incoming POs'!$B$2:$B$305,B117,'Incoming POs'!$C$2:$C$305,C117,'Incoming POs'!$G$2:$G$305,"&gt;="&amp;D117,'Incoming POs'!$G$2:$G$305,"&lt;"&amp;Dashboard!$I$5,'Incoming POs'!$Q$2:$Q$305,"&lt;="&amp;('Inventory inputs'!P117/'Inventory inputs'!J117*1.01)),"n.a.")</x:f>
        <x:v>n.a.</x:v>
      </x:c>
      <x:c r="AC117" s="9" t="n">
        <x:f>I117*G117</x:f>
        <x:v>0</x:v>
      </x:c>
      <x:c r="AD117" s="9" t="n">
        <x:f>J117*G117</x:f>
        <x:v>0</x:v>
      </x:c>
      <x:c r="AE117" s="9" t="n">
        <x:f>K117*G117</x:f>
        <x:v>386.88</x:v>
      </x:c>
      <x:c r="AF117" s="9" t="n">
        <x:f>R117*G117</x:f>
        <x:v>215.8364960328542</x:v>
      </x:c>
    </x:row>
    <x:row r="118" ht="21" customHeight="1">
      <x:c r="A118" s="1" t="str">
        <x:f>'Inventory inputs'!A118</x:f>
        <x:v>PLAS</x:v>
      </x:c>
      <x:c r="B118" s="1" t="str">
        <x:f>'Inventory inputs'!B118</x:f>
        <x:v>10</x:v>
      </x:c>
      <x:c r="C118" s="1" t="str">
        <x:f>'Inventory inputs'!C118</x:f>
        <x:v>01419RWBNAV</x:v>
      </x:c>
      <x:c r="D118" s="7" t="n">
        <x:f>'Inventory inputs'!E118</x:f>
        <x:v>46303</x:v>
      </x:c>
      <x:c r="E118" s="1" t="n">
        <x:f>'Inventory inputs'!F118</x:f>
        <x:v>1400</x:v>
      </x:c>
      <x:c r="F118" s="1" t="n">
        <x:f>'Inventory inputs'!G118</x:f>
        <x:v>5141.66</x:v>
      </x:c>
      <x:c r="G118" s="1" t="n">
        <x:f>'Inventory inputs'!H118/'Inventory inputs'!J118</x:f>
        <x:v>0.0181</x:v>
      </x:c>
      <x:c r="H118" s="1" t="n">
        <x:f>IF('Inventory inputs'!I118&gt;0,'Inventory inputs'!I118*'Inventory inputs'!K118/'Inventory inputs'!J118,"n.a.")</x:f>
        <x:v>0.021168</x:v>
      </x:c>
      <x:c r="I118" s="1" t="n">
        <x:f>'Inventory inputs'!L118</x:f>
        <x:v>0</x:v>
      </x:c>
      <x:c r="J118" s="1" t="n">
        <x:f>'Inventory inputs'!M118</x:f>
        <x:v>1400</x:v>
      </x:c>
      <x:c r="K118" s="1" t="n">
        <x:f>'Inventory inputs'!N118</x:f>
        <x:v>0</x:v>
      </x:c>
      <x:c r="L118" s="1" t="n">
        <x:f>'Inventory inputs'!O118</x:f>
        <x:v>1</x:v>
      </x:c>
      <x:c r="M118" s="9" t="n">
        <x:f>E118*G118</x:f>
        <x:v>25.340000000000003</x:v>
      </x:c>
      <x:c r="N118" s="9" t="n">
        <x:f>'Inventory inputs'!Q118</x:f>
        <x:v>25.34</x:v>
      </x:c>
      <x:c r="O118" s="9" t="n">
        <x:f>N118-M118</x:f>
        <x:v>-3.552713678800501e-15</x:v>
      </x:c>
      <x:c r="P118" s="1" t="n">
        <x:f>SUMIFS('Incoming POs'!$P$2:$P$305,'Incoming POs'!$A$2:$A$305,A118,'Incoming POs'!$B$2:$B$305,B118,'Incoming POs'!$C$2:$C$305,C118,'Incoming POs'!$G$2:$G$305,"&gt;="&amp;D118,'Incoming POs'!$G$2:$G$305,"&lt;"&amp;Dashboard!$I$5)</x:f>
        <x:v>20000</x:v>
      </x:c>
      <x:c r="Q118" s="1" t="n">
        <x:f>F118*Dashboard!$L$5*MAX(0,Dashboard!$I$5-D118)/30.4375</x:f>
        <x:v>6841.4695687885005</x:v>
      </x:c>
      <x:c r="R118" s="1" t="n">
        <x:f>MAX(0,E118+P118-Q118)</x:f>
        <x:v>14558.5304312115</x:v>
      </x:c>
      <x:c r="S118" s="1" t="n">
        <x:f>MAX(0,Q118-E118-P118)</x:f>
        <x:v>0</x:v>
      </x:c>
      <x:c r="T118" s="1" t="n">
        <x:f>IF(L118=1,MAX(0,I118+AB118-MIN(Q118,E118+P118)),"n.a.")</x:f>
        <x:v>0</x:v>
      </x:c>
      <x:c r="U118" s="9" t="n">
        <x:f>IF(ISNUMBER(T118),T118*G118,"n.a.")</x:f>
        <x:v>0</x:v>
      </x:c>
      <x:c r="V118" s="25" t="n">
        <x:f>IF(Dashboard!$I$6="Flat %",1,IF(ISNUMBER(H118),1,0))</x:f>
        <x:v>1</x:v>
      </x:c>
      <x:c r="W118" s="9" t="n">
        <x:f>IF(Dashboard!$I$6="Flat %",G118*(1+Dashboard!$L$6),H118)</x:f>
        <x:v>0.021168</x:v>
      </x:c>
      <x:c r="X118" s="9" t="n">
        <x:f>IF(V118=1,R118*(W118-G118),"n.a.")</x:f>
        <x:v>44.665571362956854</x:v>
      </x:c>
      <x:c r="Y118" s="9" t="n">
        <x:f>IF(V118=1,R118*W118,"n.a.")</x:f>
        <x:v>308.174972167885</x:v>
      </x:c>
      <x:c r="Z118" s="1" t="n">
        <x:f>IF(ISNUMBER(T118),R118-T118,"n.a.")</x:f>
        <x:v>14558.5304312115</x:v>
      </x:c>
      <x:c r="AA118" s="1" t="str">
        <x:f>'Inventory inputs'!R118</x:f>
        <x:v>Classified</x:v>
      </x:c>
      <x:c r="AB118" s="1" t="n">
        <x:f>IF(L118=1,SUMIFS('Incoming POs'!$P$2:$P$305,'Incoming POs'!$A$2:$A$305,A118,'Incoming POs'!$B$2:$B$305,B118,'Incoming POs'!$C$2:$C$305,C118,'Incoming POs'!$G$2:$G$305,"&gt;="&amp;D118,'Incoming POs'!$G$2:$G$305,"&lt;"&amp;Dashboard!$I$5,'Incoming POs'!$Q$2:$Q$305,"&lt;="&amp;('Inventory inputs'!P118/'Inventory inputs'!J118*1.01)),"n.a.")</x:f>
        <x:v>0</x:v>
      </x:c>
      <x:c r="AC118" s="9" t="n">
        <x:f>I118*G118</x:f>
        <x:v>0</x:v>
      </x:c>
      <x:c r="AD118" s="9" t="n">
        <x:f>J118*G118</x:f>
        <x:v>25.340000000000003</x:v>
      </x:c>
      <x:c r="AE118" s="9" t="n">
        <x:f>K118*G118</x:f>
        <x:v>0</x:v>
      </x:c>
      <x:c r="AF118" s="9" t="n">
        <x:f>R118*G118</x:f>
        <x:v>263.5094008049282</x:v>
      </x:c>
    </x:row>
    <x:row r="119" ht="21" customHeight="1">
      <x:c r="A119" s="1" t="str">
        <x:f>'Inventory inputs'!A119</x:f>
        <x:v>PLAS</x:v>
      </x:c>
      <x:c r="B119" s="1" t="str">
        <x:f>'Inventory inputs'!B119</x:f>
        <x:v>10</x:v>
      </x:c>
      <x:c r="C119" s="1" t="str">
        <x:f>'Inventory inputs'!C119</x:f>
        <x:v>05815RWBWHTC</x:v>
      </x:c>
      <x:c r="D119" s="7" t="n">
        <x:f>'Inventory inputs'!E119</x:f>
        <x:v>46303</x:v>
      </x:c>
      <x:c r="E119" s="1" t="n">
        <x:f>'Inventory inputs'!F119</x:f>
        <x:v>68000</x:v>
      </x:c>
      <x:c r="F119" s="1" t="n">
        <x:f>'Inventory inputs'!G119</x:f>
        <x:v>4916.67</x:v>
      </x:c>
      <x:c r="G119" s="1" t="n">
        <x:f>'Inventory inputs'!H119/'Inventory inputs'!J119</x:f>
        <x:v>0.0404</x:v>
      </x:c>
      <x:c r="H119" s="1" t="n">
        <x:f>IF('Inventory inputs'!I119&gt;0,'Inventory inputs'!I119*'Inventory inputs'!K119/'Inventory inputs'!J119,"n.a.")</x:f>
        <x:v>0.04733400000000001</x:v>
      </x:c>
      <x:c r="I119" s="1" t="n">
        <x:f>'Inventory inputs'!L119</x:f>
        <x:v>43000</x:v>
      </x:c>
      <x:c r="J119" s="1" t="n">
        <x:f>'Inventory inputs'!M119</x:f>
        <x:v>25000</x:v>
      </x:c>
      <x:c r="K119" s="1" t="n">
        <x:f>'Inventory inputs'!N119</x:f>
        <x:v>0</x:v>
      </x:c>
      <x:c r="L119" s="1" t="n">
        <x:f>'Inventory inputs'!O119</x:f>
        <x:v>1</x:v>
      </x:c>
      <x:c r="M119" s="9" t="n">
        <x:f>E119*G119</x:f>
        <x:v>2747.2</x:v>
      </x:c>
      <x:c r="N119" s="9" t="n">
        <x:f>'Inventory inputs'!Q119</x:f>
        <x:v>2747.2000000000003</x:v>
      </x:c>
      <x:c r="O119" s="9" t="n">
        <x:f>N119-M119</x:f>
        <x:v>4.547473508864641e-13</x:v>
      </x:c>
      <x:c r="P119" s="1" t="n">
        <x:f>SUMIFS('Incoming POs'!$P$2:$P$305,'Incoming POs'!$A$2:$A$305,A119,'Incoming POs'!$B$2:$B$305,B119,'Incoming POs'!$C$2:$C$305,C119,'Incoming POs'!$G$2:$G$305,"&gt;="&amp;D119,'Incoming POs'!$G$2:$G$305,"&lt;"&amp;Dashboard!$I$5)</x:f>
        <x:v>0</x:v>
      </x:c>
      <x:c r="Q119" s="1" t="n">
        <x:f>F119*Dashboard!$L$5*MAX(0,Dashboard!$I$5-D119)/30.4375</x:f>
        <x:v>6542.098891170432</x:v>
      </x:c>
      <x:c r="R119" s="1" t="n">
        <x:f>MAX(0,E119+P119-Q119)</x:f>
        <x:v>61457.90110882957</x:v>
      </x:c>
      <x:c r="S119" s="1" t="n">
        <x:f>MAX(0,Q119-E119-P119)</x:f>
        <x:v>0</x:v>
      </x:c>
      <x:c r="T119" s="1" t="n">
        <x:f>IF(L119=1,MAX(0,I119+AB119-MIN(Q119,E119+P119)),"n.a.")</x:f>
        <x:v>36457.90110882957</x:v>
      </x:c>
      <x:c r="U119" s="9" t="n">
        <x:f>IF(ISNUMBER(T119),T119*G119,"n.a.")</x:f>
        <x:v>1472.8992047967145</x:v>
      </x:c>
      <x:c r="V119" s="25" t="n">
        <x:f>IF(Dashboard!$I$6="Flat %",1,IF(ISNUMBER(H119),1,0))</x:f>
        <x:v>1</x:v>
      </x:c>
      <x:c r="W119" s="9" t="n">
        <x:f>IF(Dashboard!$I$6="Flat %",G119*(1+Dashboard!$L$6),H119)</x:f>
        <x:v>0.04733400000000001</x:v>
      </x:c>
      <x:c r="X119" s="9" t="n">
        <x:f>IF(V119=1,R119*(W119-G119),"n.a.")</x:f>
        <x:v>426.1490862886248</x:v>
      </x:c>
      <x:c r="Y119" s="9" t="n">
        <x:f>IF(V119=1,R119*W119,"n.a.")</x:f>
        <x:v>2909.0482910853393</x:v>
      </x:c>
      <x:c r="Z119" s="1" t="n">
        <x:f>IF(ISNUMBER(T119),R119-T119,"n.a.")</x:f>
        <x:v>25000</x:v>
      </x:c>
      <x:c r="AA119" s="1" t="str">
        <x:f>'Inventory inputs'!R119</x:f>
        <x:v>Classified</x:v>
      </x:c>
      <x:c r="AB119" s="1" t="n">
        <x:f>IF(L119=1,SUMIFS('Incoming POs'!$P$2:$P$305,'Incoming POs'!$A$2:$A$305,A119,'Incoming POs'!$B$2:$B$305,B119,'Incoming POs'!$C$2:$C$305,C119,'Incoming POs'!$G$2:$G$305,"&gt;="&amp;D119,'Incoming POs'!$G$2:$G$305,"&lt;"&amp;Dashboard!$I$5,'Incoming POs'!$Q$2:$Q$305,"&lt;="&amp;('Inventory inputs'!P119/'Inventory inputs'!J119*1.01)),"n.a.")</x:f>
        <x:v>0</x:v>
      </x:c>
      <x:c r="AC119" s="9" t="n">
        <x:f>I119*G119</x:f>
        <x:v>1737.1999999999998</x:v>
      </x:c>
      <x:c r="AD119" s="9" t="n">
        <x:f>J119*G119</x:f>
        <x:v>1010</x:v>
      </x:c>
      <x:c r="AE119" s="9" t="n">
        <x:f>K119*G119</x:f>
        <x:v>0</x:v>
      </x:c>
      <x:c r="AF119" s="9" t="n">
        <x:f>R119*G119</x:f>
        <x:v>2482.8992047967145</x:v>
      </x:c>
    </x:row>
    <x:row r="120" ht="21" customHeight="1">
      <x:c r="A120" s="1" t="str">
        <x:f>'Inventory inputs'!A120</x:f>
        <x:v>PLAS</x:v>
      </x:c>
      <x:c r="B120" s="1" t="str">
        <x:f>'Inventory inputs'!B120</x:f>
        <x:v>10</x:v>
      </x:c>
      <x:c r="C120" s="1" t="str">
        <x:f>'Inventory inputs'!C120</x:f>
        <x:v>01219RWBNAV</x:v>
      </x:c>
      <x:c r="D120" s="7" t="n">
        <x:f>'Inventory inputs'!E120</x:f>
        <x:v>46303</x:v>
      </x:c>
      <x:c r="E120" s="1" t="n">
        <x:f>'Inventory inputs'!F120</x:f>
        <x:v>0</x:v>
      </x:c>
      <x:c r="F120" s="1" t="n">
        <x:f>'Inventory inputs'!G120</x:f>
        <x:v>4612.75</x:v>
      </x:c>
      <x:c r="G120" s="1" t="n">
        <x:f>'Inventory inputs'!H120/'Inventory inputs'!J120</x:f>
        <x:v>0.036000000000000004</x:v>
      </x:c>
      <x:c r="H120" s="1" t="n">
        <x:f>IF('Inventory inputs'!I120&gt;0,'Inventory inputs'!I120*'Inventory inputs'!K120/'Inventory inputs'!J120,"n.a.")</x:f>
        <x:v>0.042189</x:v>
      </x:c>
      <x:c r="I120" s="1" t="n">
        <x:f>'Inventory inputs'!L120</x:f>
        <x:v>0</x:v>
      </x:c>
      <x:c r="J120" s="1" t="n">
        <x:f>'Inventory inputs'!M120</x:f>
        <x:v>0</x:v>
      </x:c>
      <x:c r="K120" s="1" t="n">
        <x:f>'Inventory inputs'!N120</x:f>
        <x:v>0</x:v>
      </x:c>
      <x:c r="L120" s="1" t="n">
        <x:f>'Inventory inputs'!O120</x:f>
        <x:v>1</x:v>
      </x:c>
      <x:c r="M120" s="9" t="n">
        <x:f>E120*G120</x:f>
        <x:v>0</x:v>
      </x:c>
      <x:c r="N120" s="9" t="n">
        <x:f>'Inventory inputs'!Q120</x:f>
        <x:v>0</x:v>
      </x:c>
      <x:c r="O120" s="9" t="n">
        <x:f>N120-M120</x:f>
        <x:v>0</x:v>
      </x:c>
      <x:c r="P120" s="1" t="n">
        <x:f>SUMIFS('Incoming POs'!$P$2:$P$305,'Incoming POs'!$A$2:$A$305,A120,'Incoming POs'!$B$2:$B$305,B120,'Incoming POs'!$C$2:$C$305,C120,'Incoming POs'!$G$2:$G$305,"&gt;="&amp;D120,'Incoming POs'!$G$2:$G$305,"&lt;"&amp;Dashboard!$I$5)</x:f>
        <x:v>22000</x:v>
      </x:c>
      <x:c r="Q120" s="1" t="n">
        <x:f>F120*Dashboard!$L$5*MAX(0,Dashboard!$I$5-D120)/30.4375</x:f>
        <x:v>6137.70431211499</x:v>
      </x:c>
      <x:c r="R120" s="1" t="n">
        <x:f>MAX(0,E120+P120-Q120)</x:f>
        <x:v>15862.29568788501</x:v>
      </x:c>
      <x:c r="S120" s="1" t="n">
        <x:f>MAX(0,Q120-E120-P120)</x:f>
        <x:v>0</x:v>
      </x:c>
      <x:c r="T120" s="1" t="n">
        <x:f>IF(L120=1,MAX(0,I120+AB120-MIN(Q120,E120+P120)),"n.a.")</x:f>
        <x:v>0</x:v>
      </x:c>
      <x:c r="U120" s="9" t="n">
        <x:f>IF(ISNUMBER(T120),T120*G120,"n.a.")</x:f>
        <x:v>0</x:v>
      </x:c>
      <x:c r="V120" s="25" t="n">
        <x:f>IF(Dashboard!$I$6="Flat %",1,IF(ISNUMBER(H120),1,0))</x:f>
        <x:v>1</x:v>
      </x:c>
      <x:c r="W120" s="9" t="n">
        <x:f>IF(Dashboard!$I$6="Flat %",G120*(1+Dashboard!$L$6),H120)</x:f>
        <x:v>0.042189</x:v>
      </x:c>
      <x:c r="X120" s="9" t="n">
        <x:f>IF(V120=1,R120*(W120-G120),"n.a.")</x:f>
        <x:v>98.17174801232021</x:v>
      </x:c>
      <x:c r="Y120" s="9" t="n">
        <x:f>IF(V120=1,R120*W120,"n.a.")</x:f>
        <x:v>669.2143927761806</x:v>
      </x:c>
      <x:c r="Z120" s="1" t="n">
        <x:f>IF(ISNUMBER(T120),R120-T120,"n.a.")</x:f>
        <x:v>15862.29568788501</x:v>
      </x:c>
      <x:c r="AA120" s="1" t="str">
        <x:f>'Inventory inputs'!R120</x:f>
        <x:v>Classified</x:v>
      </x:c>
      <x:c r="AB120" s="1" t="n">
        <x:f>IF(L120=1,SUMIFS('Incoming POs'!$P$2:$P$305,'Incoming POs'!$A$2:$A$305,A120,'Incoming POs'!$B$2:$B$305,B120,'Incoming POs'!$C$2:$C$305,C120,'Incoming POs'!$G$2:$G$305,"&gt;="&amp;D120,'Incoming POs'!$G$2:$G$305,"&lt;"&amp;Dashboard!$I$5,'Incoming POs'!$Q$2:$Q$305,"&lt;="&amp;('Inventory inputs'!P120/'Inventory inputs'!J120*1.01)),"n.a.")</x:f>
        <x:v>0</x:v>
      </x:c>
      <x:c r="AC120" s="9" t="n">
        <x:f>I120*G120</x:f>
        <x:v>0</x:v>
      </x:c>
      <x:c r="AD120" s="9" t="n">
        <x:f>J120*G120</x:f>
        <x:v>0</x:v>
      </x:c>
      <x:c r="AE120" s="9" t="n">
        <x:f>K120*G120</x:f>
        <x:v>0</x:v>
      </x:c>
      <x:c r="AF120" s="9" t="n">
        <x:f>R120*G120</x:f>
        <x:v>571.0426447638604</x:v>
      </x:c>
    </x:row>
    <x:row r="121" ht="21" customHeight="1">
      <x:c r="A121" s="1" t="str">
        <x:f>'Inventory inputs'!A121</x:f>
        <x:v>PLAS</x:v>
      </x:c>
      <x:c r="B121" s="1" t="str">
        <x:f>'Inventory inputs'!B121</x:f>
        <x:v>10</x:v>
      </x:c>
      <x:c r="C121" s="1" t="str">
        <x:f>'Inventory inputs'!C121</x:f>
        <x:v>71619RWBNAV</x:v>
      </x:c>
      <x:c r="D121" s="7" t="n">
        <x:f>'Inventory inputs'!E121</x:f>
        <x:v>46303</x:v>
      </x:c>
      <x:c r="E121" s="1" t="n">
        <x:f>'Inventory inputs'!F121</x:f>
        <x:v>700</x:v>
      </x:c>
      <x:c r="F121" s="1" t="n">
        <x:f>'Inventory inputs'!G121</x:f>
        <x:v>4525</x:v>
      </x:c>
      <x:c r="G121" s="1" t="n">
        <x:f>'Inventory inputs'!H121/'Inventory inputs'!J121</x:f>
        <x:v>0.0315</x:v>
      </x:c>
      <x:c r="H121" s="1" t="n">
        <x:f>IF('Inventory inputs'!I121&gt;0,'Inventory inputs'!I121*'Inventory inputs'!K121/'Inventory inputs'!J121,"n.a.")</x:f>
        <x:v>0.03675</x:v>
      </x:c>
      <x:c r="I121" s="1" t="n">
        <x:f>'Inventory inputs'!L121</x:f>
        <x:v>0</x:v>
      </x:c>
      <x:c r="J121" s="1" t="n">
        <x:f>'Inventory inputs'!M121</x:f>
        <x:v>700</x:v>
      </x:c>
      <x:c r="K121" s="1" t="n">
        <x:f>'Inventory inputs'!N121</x:f>
        <x:v>0</x:v>
      </x:c>
      <x:c r="L121" s="1" t="n">
        <x:f>'Inventory inputs'!O121</x:f>
        <x:v>1</x:v>
      </x:c>
      <x:c r="M121" s="9" t="n">
        <x:f>E121*G121</x:f>
        <x:v>22.05</x:v>
      </x:c>
      <x:c r="N121" s="9" t="n">
        <x:f>'Inventory inputs'!Q121</x:f>
        <x:v>22.05</x:v>
      </x:c>
      <x:c r="O121" s="9" t="n">
        <x:f>N121-M121</x:f>
        <x:v>0</x:v>
      </x:c>
      <x:c r="P121" s="1" t="n">
        <x:f>SUMIFS('Incoming POs'!$P$2:$P$305,'Incoming POs'!$A$2:$A$305,A121,'Incoming POs'!$B$2:$B$305,B121,'Incoming POs'!$C$2:$C$305,C121,'Incoming POs'!$G$2:$G$305,"&gt;="&amp;D121,'Incoming POs'!$G$2:$G$305,"&lt;"&amp;Dashboard!$I$5)</x:f>
        <x:v>26000</x:v>
      </x:c>
      <x:c r="Q121" s="1" t="n">
        <x:f>F121*Dashboard!$L$5*MAX(0,Dashboard!$I$5-D121)/30.4375</x:f>
        <x:v>6020.944558521561</x:v>
      </x:c>
      <x:c r="R121" s="1" t="n">
        <x:f>MAX(0,E121+P121-Q121)</x:f>
        <x:v>20679.05544147844</x:v>
      </x:c>
      <x:c r="S121" s="1" t="n">
        <x:f>MAX(0,Q121-E121-P121)</x:f>
        <x:v>0</x:v>
      </x:c>
      <x:c r="T121" s="1" t="n">
        <x:f>IF(L121=1,MAX(0,I121+AB121-MIN(Q121,E121+P121)),"n.a.")</x:f>
        <x:v>0</x:v>
      </x:c>
      <x:c r="U121" s="9" t="n">
        <x:f>IF(ISNUMBER(T121),T121*G121,"n.a.")</x:f>
        <x:v>0</x:v>
      </x:c>
      <x:c r="V121" s="25" t="n">
        <x:f>IF(Dashboard!$I$6="Flat %",1,IF(ISNUMBER(H121),1,0))</x:f>
        <x:v>1</x:v>
      </x:c>
      <x:c r="W121" s="9" t="n">
        <x:f>IF(Dashboard!$I$6="Flat %",G121*(1+Dashboard!$L$6),H121)</x:f>
        <x:v>0.03675</x:v>
      </x:c>
      <x:c r="X121" s="9" t="n">
        <x:f>IF(V121=1,R121*(W121-G121),"n.a.")</x:f>
        <x:v>108.56504106776175</x:v>
      </x:c>
      <x:c r="Y121" s="9" t="n">
        <x:f>IF(V121=1,R121*W121,"n.a.")</x:f>
        <x:v>759.9552874743325</x:v>
      </x:c>
      <x:c r="Z121" s="1" t="n">
        <x:f>IF(ISNUMBER(T121),R121-T121,"n.a.")</x:f>
        <x:v>20679.05544147844</x:v>
      </x:c>
      <x:c r="AA121" s="1" t="str">
        <x:f>'Inventory inputs'!R121</x:f>
        <x:v>Classified</x:v>
      </x:c>
      <x:c r="AB121" s="1" t="n">
        <x:f>IF(L121=1,SUMIFS('Incoming POs'!$P$2:$P$305,'Incoming POs'!$A$2:$A$305,A121,'Incoming POs'!$B$2:$B$305,B121,'Incoming POs'!$C$2:$C$305,C121,'Incoming POs'!$G$2:$G$305,"&gt;="&amp;D121,'Incoming POs'!$G$2:$G$305,"&lt;"&amp;Dashboard!$I$5,'Incoming POs'!$Q$2:$Q$305,"&lt;="&amp;('Inventory inputs'!P121/'Inventory inputs'!J121*1.01)),"n.a.")</x:f>
        <x:v>0</x:v>
      </x:c>
      <x:c r="AC121" s="9" t="n">
        <x:f>I121*G121</x:f>
        <x:v>0</x:v>
      </x:c>
      <x:c r="AD121" s="9" t="n">
        <x:f>J121*G121</x:f>
        <x:v>22.05</x:v>
      </x:c>
      <x:c r="AE121" s="9" t="n">
        <x:f>K121*G121</x:f>
        <x:v>0</x:v>
      </x:c>
      <x:c r="AF121" s="9" t="n">
        <x:f>R121*G121</x:f>
        <x:v>651.3902464065708</x:v>
      </x:c>
    </x:row>
    <x:row r="122" ht="21" customHeight="1">
      <x:c r="A122" s="1" t="str">
        <x:f>'Inventory inputs'!A122</x:f>
        <x:v>PLAS</x:v>
      </x:c>
      <x:c r="B122" s="1" t="str">
        <x:f>'Inventory inputs'!B122</x:f>
        <x:v>10</x:v>
      </x:c>
      <x:c r="C122" s="1" t="str">
        <x:f>'Inventory inputs'!C122</x:f>
        <x:v>03419RWBWHT</x:v>
      </x:c>
      <x:c r="D122" s="7" t="n">
        <x:f>'Inventory inputs'!E122</x:f>
        <x:v>46303</x:v>
      </x:c>
      <x:c r="E122" s="1" t="n">
        <x:f>'Inventory inputs'!F122</x:f>
        <x:v>7100</x:v>
      </x:c>
      <x:c r="F122" s="1" t="n">
        <x:f>'Inventory inputs'!G122</x:f>
        <x:v>4320.17</x:v>
      </x:c>
      <x:c r="G122" s="1" t="n">
        <x:f>'Inventory inputs'!H122/'Inventory inputs'!J122</x:f>
        <x:v>0.0625</x:v>
      </x:c>
      <x:c r="H122" s="1" t="n">
        <x:f>IF('Inventory inputs'!I122&gt;0,'Inventory inputs'!I122*'Inventory inputs'!K122/'Inventory inputs'!J122,"n.a.")</x:f>
        <x:v>0.073059</x:v>
      </x:c>
      <x:c r="I122" s="1" t="n">
        <x:f>'Inventory inputs'!L122</x:f>
        <x:v>0</x:v>
      </x:c>
      <x:c r="J122" s="1" t="n">
        <x:f>'Inventory inputs'!M122</x:f>
        <x:v>7100</x:v>
      </x:c>
      <x:c r="K122" s="1" t="n">
        <x:f>'Inventory inputs'!N122</x:f>
        <x:v>0</x:v>
      </x:c>
      <x:c r="L122" s="1" t="n">
        <x:f>'Inventory inputs'!O122</x:f>
        <x:v>1</x:v>
      </x:c>
      <x:c r="M122" s="9" t="n">
        <x:f>E122*G122</x:f>
        <x:v>443.75</x:v>
      </x:c>
      <x:c r="N122" s="9" t="n">
        <x:f>'Inventory inputs'!Q122</x:f>
        <x:v>443.75</x:v>
      </x:c>
      <x:c r="O122" s="9" t="n">
        <x:f>N122-M122</x:f>
        <x:v>0</x:v>
      </x:c>
      <x:c r="P122" s="1" t="n">
        <x:f>SUMIFS('Incoming POs'!$P$2:$P$305,'Incoming POs'!$A$2:$A$305,A122,'Incoming POs'!$B$2:$B$305,B122,'Incoming POs'!$C$2:$C$305,C122,'Incoming POs'!$G$2:$G$305,"&gt;="&amp;D122,'Incoming POs'!$G$2:$G$305,"&lt;"&amp;Dashboard!$I$5)</x:f>
        <x:v>14000</x:v>
      </x:c>
      <x:c r="Q122" s="1" t="n">
        <x:f>F122*Dashboard!$L$5*MAX(0,Dashboard!$I$5-D122)/30.4375</x:f>
        <x:v>5748.398685831622</x:v>
      </x:c>
      <x:c r="R122" s="1" t="n">
        <x:f>MAX(0,E122+P122-Q122)</x:f>
        <x:v>15351.601314168378</x:v>
      </x:c>
      <x:c r="S122" s="1" t="n">
        <x:f>MAX(0,Q122-E122-P122)</x:f>
        <x:v>0</x:v>
      </x:c>
      <x:c r="T122" s="1" t="n">
        <x:f>IF(L122=1,MAX(0,I122+AB122-MIN(Q122,E122+P122)),"n.a.")</x:f>
        <x:v>0</x:v>
      </x:c>
      <x:c r="U122" s="9" t="n">
        <x:f>IF(ISNUMBER(T122),T122*G122,"n.a.")</x:f>
        <x:v>0</x:v>
      </x:c>
      <x:c r="V122" s="25" t="n">
        <x:f>IF(Dashboard!$I$6="Flat %",1,IF(ISNUMBER(H122),1,0))</x:f>
        <x:v>1</x:v>
      </x:c>
      <x:c r="W122" s="9" t="n">
        <x:f>IF(Dashboard!$I$6="Flat %",G122*(1+Dashboard!$L$6),H122)</x:f>
        <x:v>0.073059</x:v>
      </x:c>
      <x:c r="X122" s="9" t="n">
        <x:f>IF(V122=1,R122*(W122-G122),"n.a.")</x:f>
        <x:v>162.0975582763039</x:v>
      </x:c>
      <x:c r="Y122" s="9" t="n">
        <x:f>IF(V122=1,R122*W122,"n.a.")</x:f>
        <x:v>1121.5726404118275</x:v>
      </x:c>
      <x:c r="Z122" s="1" t="n">
        <x:f>IF(ISNUMBER(T122),R122-T122,"n.a.")</x:f>
        <x:v>15351.601314168378</x:v>
      </x:c>
      <x:c r="AA122" s="1" t="str">
        <x:f>'Inventory inputs'!R122</x:f>
        <x:v>Classified</x:v>
      </x:c>
      <x:c r="AB122" s="1" t="n">
        <x:f>IF(L122=1,SUMIFS('Incoming POs'!$P$2:$P$305,'Incoming POs'!$A$2:$A$305,A122,'Incoming POs'!$B$2:$B$305,B122,'Incoming POs'!$C$2:$C$305,C122,'Incoming POs'!$G$2:$G$305,"&gt;="&amp;D122,'Incoming POs'!$G$2:$G$305,"&lt;"&amp;Dashboard!$I$5,'Incoming POs'!$Q$2:$Q$305,"&lt;="&amp;('Inventory inputs'!P122/'Inventory inputs'!J122*1.01)),"n.a.")</x:f>
        <x:v>0</x:v>
      </x:c>
      <x:c r="AC122" s="9" t="n">
        <x:f>I122*G122</x:f>
        <x:v>0</x:v>
      </x:c>
      <x:c r="AD122" s="9" t="n">
        <x:f>J122*G122</x:f>
        <x:v>443.75</x:v>
      </x:c>
      <x:c r="AE122" s="9" t="n">
        <x:f>K122*G122</x:f>
        <x:v>0</x:v>
      </x:c>
      <x:c r="AF122" s="9" t="n">
        <x:f>R122*G122</x:f>
        <x:v>959.4750821355236</x:v>
      </x:c>
    </x:row>
    <x:row r="123" ht="21" customHeight="1">
      <x:c r="A123" s="1" t="str">
        <x:f>'Inventory inputs'!A123</x:f>
        <x:v>PLAS</x:v>
      </x:c>
      <x:c r="B123" s="1" t="str">
        <x:f>'Inventory inputs'!B123</x:f>
        <x:v>10</x:v>
      </x:c>
      <x:c r="C123" s="1" t="str">
        <x:f>'Inventory inputs'!C123</x:f>
        <x:v>11219RSLBLK</x:v>
      </x:c>
      <x:c r="D123" s="7" t="n">
        <x:f>'Inventory inputs'!E123</x:f>
        <x:v>46303</x:v>
      </x:c>
      <x:c r="E123" s="1" t="n">
        <x:f>'Inventory inputs'!F123</x:f>
        <x:v>16536</x:v>
      </x:c>
      <x:c r="F123" s="1" t="n">
        <x:f>'Inventory inputs'!G123</x:f>
        <x:v>4271.5</x:v>
      </x:c>
      <x:c r="G123" s="1" t="n">
        <x:f>'Inventory inputs'!H123/'Inventory inputs'!J123</x:f>
        <x:v>0.1298</x:v>
      </x:c>
      <x:c r="H123" s="1" t="n">
        <x:f>IF('Inventory inputs'!I123&gt;0,'Inventory inputs'!I123*'Inventory inputs'!K123/'Inventory inputs'!J123,"n.a.")</x:f>
        <x:v>0.151851</x:v>
      </x:c>
      <x:c r="I123" s="1" t="n">
        <x:f>'Inventory inputs'!L123</x:f>
        <x:v>9536</x:v>
      </x:c>
      <x:c r="J123" s="1" t="n">
        <x:f>'Inventory inputs'!M123</x:f>
        <x:v>7000</x:v>
      </x:c>
      <x:c r="K123" s="1" t="n">
        <x:f>'Inventory inputs'!N123</x:f>
        <x:v>0</x:v>
      </x:c>
      <x:c r="L123" s="1" t="n">
        <x:f>'Inventory inputs'!O123</x:f>
        <x:v>1</x:v>
      </x:c>
      <x:c r="M123" s="9" t="n">
        <x:f>E123*G123</x:f>
        <x:v>2146.3728</x:v>
      </x:c>
      <x:c r="N123" s="9" t="n">
        <x:f>'Inventory inputs'!Q123</x:f>
        <x:v>2147.1516</x:v>
      </x:c>
      <x:c r="O123" s="9" t="n">
        <x:f>N123-M123</x:f>
        <x:v>0.7788000000000466</x:v>
      </x:c>
      <x:c r="P123" s="1" t="n">
        <x:f>SUMIFS('Incoming POs'!$P$2:$P$305,'Incoming POs'!$A$2:$A$305,A123,'Incoming POs'!$B$2:$B$305,B123,'Incoming POs'!$C$2:$C$305,C123,'Incoming POs'!$G$2:$G$305,"&gt;="&amp;D123,'Incoming POs'!$G$2:$G$305,"&lt;"&amp;Dashboard!$I$5)</x:f>
        <x:v>15000</x:v>
      </x:c>
      <x:c r="Q123" s="1" t="n">
        <x:f>F123*Dashboard!$L$5*MAX(0,Dashboard!$I$5-D123)/30.4375</x:f>
        <x:v>5683.6386036960985</x:v>
      </x:c>
      <x:c r="R123" s="1" t="n">
        <x:f>MAX(0,E123+P123-Q123)</x:f>
        <x:v>25852.361396303902</x:v>
      </x:c>
      <x:c r="S123" s="1" t="n">
        <x:f>MAX(0,Q123-E123-P123)</x:f>
        <x:v>0</x:v>
      </x:c>
      <x:c r="T123" s="1" t="n">
        <x:f>IF(L123=1,MAX(0,I123+AB123-MIN(Q123,E123+P123)),"n.a.")</x:f>
        <x:v>3852.3613963039015</x:v>
      </x:c>
      <x:c r="U123" s="9" t="n">
        <x:f>IF(ISNUMBER(T123),T123*G123,"n.a.")</x:f>
        <x:v>500.0365092402464</x:v>
      </x:c>
      <x:c r="V123" s="25" t="n">
        <x:f>IF(Dashboard!$I$6="Flat %",1,IF(ISNUMBER(H123),1,0))</x:f>
        <x:v>1</x:v>
      </x:c>
      <x:c r="W123" s="9" t="n">
        <x:f>IF(Dashboard!$I$6="Flat %",G123*(1+Dashboard!$L$6),H123)</x:f>
        <x:v>0.151851</x:v>
      </x:c>
      <x:c r="X123" s="9" t="n">
        <x:f>IF(V123=1,R123*(W123-G123),"n.a.")</x:f>
        <x:v>570.0704211498977</x:v>
      </x:c>
      <x:c r="Y123" s="9" t="n">
        <x:f>IF(V123=1,R123*W123,"n.a.")</x:f>
        <x:v>3925.7069303901444</x:v>
      </x:c>
      <x:c r="Z123" s="1" t="n">
        <x:f>IF(ISNUMBER(T123),R123-T123,"n.a.")</x:f>
        <x:v>22000</x:v>
      </x:c>
      <x:c r="AA123" s="1" t="str">
        <x:f>'Inventory inputs'!R123</x:f>
        <x:v>Classified</x:v>
      </x:c>
      <x:c r="AB123" s="1" t="n">
        <x:f>IF(L123=1,SUMIFS('Incoming POs'!$P$2:$P$305,'Incoming POs'!$A$2:$A$305,A123,'Incoming POs'!$B$2:$B$305,B123,'Incoming POs'!$C$2:$C$305,C123,'Incoming POs'!$G$2:$G$305,"&gt;="&amp;D123,'Incoming POs'!$G$2:$G$305,"&lt;"&amp;Dashboard!$I$5,'Incoming POs'!$Q$2:$Q$305,"&lt;="&amp;('Inventory inputs'!P123/'Inventory inputs'!J123*1.01)),"n.a.")</x:f>
        <x:v>0</x:v>
      </x:c>
      <x:c r="AC123" s="9" t="n">
        <x:f>I123*G123</x:f>
        <x:v>1237.7728</x:v>
      </x:c>
      <x:c r="AD123" s="9" t="n">
        <x:f>J123*G123</x:f>
        <x:v>908.6</x:v>
      </x:c>
      <x:c r="AE123" s="9" t="n">
        <x:f>K123*G123</x:f>
        <x:v>0</x:v>
      </x:c>
      <x:c r="AF123" s="9" t="n">
        <x:f>R123*G123</x:f>
        <x:v>3355.6365092402466</x:v>
      </x:c>
    </x:row>
    <x:row r="124" ht="21" customHeight="1">
      <x:c r="A124" s="1" t="str">
        <x:f>'Inventory inputs'!A124</x:f>
        <x:v>PLAS</x:v>
      </x:c>
      <x:c r="B124" s="1" t="str">
        <x:f>'Inventory inputs'!B124</x:f>
        <x:v>10</x:v>
      </x:c>
      <x:c r="C124" s="1" t="str">
        <x:f>'Inventory inputs'!C124</x:f>
        <x:v>03815RWBBLK</x:v>
      </x:c>
      <x:c r="D124" s="7" t="n">
        <x:f>'Inventory inputs'!E124</x:f>
        <x:v>46303</x:v>
      </x:c>
      <x:c r="E124" s="1" t="n">
        <x:f>'Inventory inputs'!F124</x:f>
        <x:v>24500</x:v>
      </x:c>
      <x:c r="F124" s="1" t="n">
        <x:f>'Inventory inputs'!G124</x:f>
        <x:v>4175</x:v>
      </x:c>
      <x:c r="G124" s="1" t="n">
        <x:f>'Inventory inputs'!H124/'Inventory inputs'!J124</x:f>
        <x:v>0.016200000000000003</x:v>
      </x:c>
      <x:c r="H124" s="1" t="n">
        <x:f>IF('Inventory inputs'!I124&gt;0,'Inventory inputs'!I124*'Inventory inputs'!K124/'Inventory inputs'!J124,"n.a.")</x:f>
        <x:v>0.018963</x:v>
      </x:c>
      <x:c r="I124" s="1" t="n">
        <x:f>'Inventory inputs'!L124</x:f>
        <x:v>14500</x:v>
      </x:c>
      <x:c r="J124" s="1" t="n">
        <x:f>'Inventory inputs'!M124</x:f>
        <x:v>10000</x:v>
      </x:c>
      <x:c r="K124" s="1" t="n">
        <x:f>'Inventory inputs'!N124</x:f>
        <x:v>0</x:v>
      </x:c>
      <x:c r="L124" s="1" t="n">
        <x:f>'Inventory inputs'!O124</x:f>
        <x:v>1</x:v>
      </x:c>
      <x:c r="M124" s="9" t="n">
        <x:f>E124*G124</x:f>
        <x:v>396.9000000000001</x:v>
      </x:c>
      <x:c r="N124" s="9" t="n">
        <x:f>'Inventory inputs'!Q124</x:f>
        <x:v>396.90000000000003</x:v>
      </x:c>
      <x:c r="O124" s="9" t="n">
        <x:f>N124-M124</x:f>
        <x:v>-5.684341886080802e-14</x:v>
      </x:c>
      <x:c r="P124" s="1" t="n">
        <x:f>SUMIFS('Incoming POs'!$P$2:$P$305,'Incoming POs'!$A$2:$A$305,A124,'Incoming POs'!$B$2:$B$305,B124,'Incoming POs'!$C$2:$C$305,C124,'Incoming POs'!$G$2:$G$305,"&gt;="&amp;D124,'Incoming POs'!$G$2:$G$305,"&lt;"&amp;Dashboard!$I$5)</x:f>
        <x:v>10000</x:v>
      </x:c>
      <x:c r="Q124" s="1" t="n">
        <x:f>F124*Dashboard!$L$5*MAX(0,Dashboard!$I$5-D124)/30.4375</x:f>
        <x:v>5555.23613963039</x:v>
      </x:c>
      <x:c r="R124" s="1" t="n">
        <x:f>MAX(0,E124+P124-Q124)</x:f>
        <x:v>28944.76386036961</x:v>
      </x:c>
      <x:c r="S124" s="1" t="n">
        <x:f>MAX(0,Q124-E124-P124)</x:f>
        <x:v>0</x:v>
      </x:c>
      <x:c r="T124" s="1" t="n">
        <x:f>IF(L124=1,MAX(0,I124+AB124-MIN(Q124,E124+P124)),"n.a.")</x:f>
        <x:v>8944.76386036961</x:v>
      </x:c>
      <x:c r="U124" s="9" t="n">
        <x:f>IF(ISNUMBER(T124),T124*G124,"n.a.")</x:f>
        <x:v>144.9051745379877</x:v>
      </x:c>
      <x:c r="V124" s="25" t="n">
        <x:f>IF(Dashboard!$I$6="Flat %",1,IF(ISNUMBER(H124),1,0))</x:f>
        <x:v>1</x:v>
      </x:c>
      <x:c r="W124" s="9" t="n">
        <x:f>IF(Dashboard!$I$6="Flat %",G124*(1+Dashboard!$L$6),H124)</x:f>
        <x:v>0.018963</x:v>
      </x:c>
      <x:c r="X124" s="9" t="n">
        <x:f>IF(V124=1,R124*(W124-G124),"n.a.")</x:f>
        <x:v>79.97438254620118</x:v>
      </x:c>
      <x:c r="Y124" s="9" t="n">
        <x:f>IF(V124=1,R124*W124,"n.a.")</x:f>
        <x:v>548.879557084189</x:v>
      </x:c>
      <x:c r="Z124" s="1" t="n">
        <x:f>IF(ISNUMBER(T124),R124-T124,"n.a.")</x:f>
        <x:v>20000</x:v>
      </x:c>
      <x:c r="AA124" s="1" t="str">
        <x:f>'Inventory inputs'!R124</x:f>
        <x:v>Classified</x:v>
      </x:c>
      <x:c r="AB124" s="1" t="n">
        <x:f>IF(L124=1,SUMIFS('Incoming POs'!$P$2:$P$305,'Incoming POs'!$A$2:$A$305,A124,'Incoming POs'!$B$2:$B$305,B124,'Incoming POs'!$C$2:$C$305,C124,'Incoming POs'!$G$2:$G$305,"&gt;="&amp;D124,'Incoming POs'!$G$2:$G$305,"&lt;"&amp;Dashboard!$I$5,'Incoming POs'!$Q$2:$Q$305,"&lt;="&amp;('Inventory inputs'!P124/'Inventory inputs'!J124*1.01)),"n.a.")</x:f>
        <x:v>0</x:v>
      </x:c>
      <x:c r="AC124" s="9" t="n">
        <x:f>I124*G124</x:f>
        <x:v>234.90000000000003</x:v>
      </x:c>
      <x:c r="AD124" s="9" t="n">
        <x:f>J124*G124</x:f>
        <x:v>162.00000000000003</x:v>
      </x:c>
      <x:c r="AE124" s="9" t="n">
        <x:f>K124*G124</x:f>
        <x:v>0</x:v>
      </x:c>
      <x:c r="AF124" s="9" t="n">
        <x:f>R124*G124</x:f>
        <x:v>468.90517453798776</x:v>
      </x:c>
    </x:row>
    <x:row r="125" ht="21" customHeight="1">
      <x:c r="A125" s="1" t="str">
        <x:f>'Inventory inputs'!A125</x:f>
        <x:v>PLAS</x:v>
      </x:c>
      <x:c r="B125" s="1" t="str">
        <x:f>'Inventory inputs'!B125</x:f>
        <x:v>60</x:v>
      </x:c>
      <x:c r="C125" s="1" t="str">
        <x:f>'Inventory inputs'!C125</x:f>
        <x:v>03419RWBBLK</x:v>
      </x:c>
      <x:c r="D125" s="7" t="n">
        <x:f>'Inventory inputs'!E125</x:f>
        <x:v>46303</x:v>
      </x:c>
      <x:c r="E125" s="1" t="n">
        <x:f>'Inventory inputs'!F125</x:f>
        <x:v>20200</x:v>
      </x:c>
      <x:c r="F125" s="1" t="n">
        <x:f>'Inventory inputs'!G125</x:f>
        <x:v>4133.33</x:v>
      </x:c>
      <x:c r="G125" s="1" t="n">
        <x:f>'Inventory inputs'!H125/'Inventory inputs'!J125</x:f>
        <x:v>0.0625</x:v>
      </x:c>
      <x:c r="H125" s="1" t="n">
        <x:f>IF('Inventory inputs'!I125&gt;0,'Inventory inputs'!I125*'Inventory inputs'!K125/'Inventory inputs'!J125,"n.a.")</x:f>
        <x:v>0.073059</x:v>
      </x:c>
      <x:c r="I125" s="1" t="n">
        <x:f>'Inventory inputs'!L125</x:f>
        <x:v>0</x:v>
      </x:c>
      <x:c r="J125" s="1" t="n">
        <x:f>'Inventory inputs'!M125</x:f>
        <x:v>0</x:v>
      </x:c>
      <x:c r="K125" s="1" t="n">
        <x:f>'Inventory inputs'!N125</x:f>
        <x:v>20200</x:v>
      </x:c>
      <x:c r="L125" s="1" t="n">
        <x:f>'Inventory inputs'!O125</x:f>
        <x:v>0</x:v>
      </x:c>
      <x:c r="M125" s="9" t="n">
        <x:f>E125*G125</x:f>
        <x:v>1262.5</x:v>
      </x:c>
      <x:c r="N125" s="9" t="n">
        <x:f>'Inventory inputs'!Q125</x:f>
        <x:v>1262.5</x:v>
      </x:c>
      <x:c r="O125" s="9" t="n">
        <x:f>N125-M125</x:f>
        <x:v>0</x:v>
      </x:c>
      <x:c r="P125" s="1" t="n">
        <x:f>SUMIFS('Incoming POs'!$P$2:$P$305,'Incoming POs'!$A$2:$A$305,A125,'Incoming POs'!$B$2:$B$305,B125,'Incoming POs'!$C$2:$C$305,C125,'Incoming POs'!$G$2:$G$305,"&gt;="&amp;D125,'Incoming POs'!$G$2:$G$305,"&lt;"&amp;Dashboard!$I$5)</x:f>
        <x:v>0</x:v>
      </x:c>
      <x:c r="Q125" s="1" t="n">
        <x:f>F125*Dashboard!$L$5*MAX(0,Dashboard!$I$5-D125)/30.4375</x:f>
        <x:v>5499.79022587269</x:v>
      </x:c>
      <x:c r="R125" s="1" t="n">
        <x:f>MAX(0,E125+P125-Q125)</x:f>
        <x:v>14700.20977412731</x:v>
      </x:c>
      <x:c r="S125" s="1" t="n">
        <x:f>MAX(0,Q125-E125-P125)</x:f>
        <x:v>0</x:v>
      </x:c>
      <x:c r="T125" s="1" t="str">
        <x:f>IF(L125=1,MAX(0,I125+AB125-MIN(Q125,E125+P125)),"n.a.")</x:f>
        <x:v>n.a.</x:v>
      </x:c>
      <x:c r="U125" s="9" t="str">
        <x:f>IF(ISNUMBER(T125),T125*G125,"n.a.")</x:f>
        <x:v>n.a.</x:v>
      </x:c>
      <x:c r="V125" s="25" t="n">
        <x:f>IF(Dashboard!$I$6="Flat %",1,IF(ISNUMBER(H125),1,0))</x:f>
        <x:v>1</x:v>
      </x:c>
      <x:c r="W125" s="9" t="n">
        <x:f>IF(Dashboard!$I$6="Flat %",G125*(1+Dashboard!$L$6),H125)</x:f>
        <x:v>0.073059</x:v>
      </x:c>
      <x:c r="X125" s="9" t="n">
        <x:f>IF(V125=1,R125*(W125-G125),"n.a.")</x:f>
        <x:v>155.21951500501027</x:v>
      </x:c>
      <x:c r="Y125" s="9" t="n">
        <x:f>IF(V125=1,R125*W125,"n.a.")</x:f>
        <x:v>1073.982625887967</x:v>
      </x:c>
      <x:c r="Z125" s="1" t="str">
        <x:f>IF(ISNUMBER(T125),R125-T125,"n.a.")</x:f>
        <x:v>n.a.</x:v>
      </x:c>
      <x:c r="AA125" s="1" t="str">
        <x:f>'Inventory inputs'!R125</x:f>
        <x:v>Review receipt reconciliation or original PO baseline</x:v>
      </x:c>
      <x:c r="AB125" s="1" t="str">
        <x:f>IF(L125=1,SUMIFS('Incoming POs'!$P$2:$P$305,'Incoming POs'!$A$2:$A$305,A125,'Incoming POs'!$B$2:$B$305,B125,'Incoming POs'!$C$2:$C$305,C125,'Incoming POs'!$G$2:$G$305,"&gt;="&amp;D125,'Incoming POs'!$G$2:$G$305,"&lt;"&amp;Dashboard!$I$5,'Incoming POs'!$Q$2:$Q$305,"&lt;="&amp;('Inventory inputs'!P125/'Inventory inputs'!J125*1.01)),"n.a.")</x:f>
        <x:v>n.a.</x:v>
      </x:c>
      <x:c r="AC125" s="9" t="n">
        <x:f>I125*G125</x:f>
        <x:v>0</x:v>
      </x:c>
      <x:c r="AD125" s="9" t="n">
        <x:f>J125*G125</x:f>
        <x:v>0</x:v>
      </x:c>
      <x:c r="AE125" s="9" t="n">
        <x:f>K125*G125</x:f>
        <x:v>1262.5</x:v>
      </x:c>
      <x:c r="AF125" s="9" t="n">
        <x:f>R125*G125</x:f>
        <x:v>918.7631108829569</x:v>
      </x:c>
    </x:row>
    <x:row r="126" ht="21" customHeight="1">
      <x:c r="A126" s="1" t="str">
        <x:f>'Inventory inputs'!A126</x:f>
        <x:v>PLAS</x:v>
      </x:c>
      <x:c r="B126" s="1" t="str">
        <x:f>'Inventory inputs'!B126</x:f>
        <x:v>30</x:v>
      </x:c>
      <x:c r="C126" s="1" t="str">
        <x:f>'Inventory inputs'!C126</x:f>
        <x:v>01219RWBBLK</x:v>
      </x:c>
      <x:c r="D126" s="7" t="n">
        <x:f>'Inventory inputs'!E126</x:f>
        <x:v>46303</x:v>
      </x:c>
      <x:c r="E126" s="1" t="n">
        <x:f>'Inventory inputs'!F126</x:f>
        <x:v>11700</x:v>
      </x:c>
      <x:c r="F126" s="1" t="n">
        <x:f>'Inventory inputs'!G126</x:f>
        <x:v>3966.67</x:v>
      </x:c>
      <x:c r="G126" s="1" t="n">
        <x:f>'Inventory inputs'!H126/'Inventory inputs'!J126</x:f>
        <x:v>0.036000000000000004</x:v>
      </x:c>
      <x:c r="H126" s="1" t="n">
        <x:f>IF('Inventory inputs'!I126&gt;0,'Inventory inputs'!I126*'Inventory inputs'!K126/'Inventory inputs'!J126,"n.a.")</x:f>
        <x:v>0.042189</x:v>
      </x:c>
      <x:c r="I126" s="1" t="n">
        <x:f>'Inventory inputs'!L126</x:f>
        <x:v>0</x:v>
      </x:c>
      <x:c r="J126" s="1" t="n">
        <x:f>'Inventory inputs'!M126</x:f>
        <x:v>0</x:v>
      </x:c>
      <x:c r="K126" s="1" t="n">
        <x:f>'Inventory inputs'!N126</x:f>
        <x:v>11700</x:v>
      </x:c>
      <x:c r="L126" s="1" t="n">
        <x:f>'Inventory inputs'!O126</x:f>
        <x:v>0</x:v>
      </x:c>
      <x:c r="M126" s="9" t="n">
        <x:f>E126*G126</x:f>
        <x:v>421.20000000000005</x:v>
      </x:c>
      <x:c r="N126" s="9" t="n">
        <x:f>'Inventory inputs'!Q126</x:f>
        <x:v>421.2</x:v>
      </x:c>
      <x:c r="O126" s="9" t="n">
        <x:f>N126-M126</x:f>
        <x:v>-5.684341886080802e-14</x:v>
      </x:c>
      <x:c r="P126" s="1" t="n">
        <x:f>SUMIFS('Incoming POs'!$P$2:$P$305,'Incoming POs'!$A$2:$A$305,A126,'Incoming POs'!$B$2:$B$305,B126,'Incoming POs'!$C$2:$C$305,C126,'Incoming POs'!$G$2:$G$305,"&gt;="&amp;D126,'Incoming POs'!$G$2:$G$305,"&lt;"&amp;Dashboard!$I$5)</x:f>
        <x:v>0</x:v>
      </x:c>
      <x:c r="Q126" s="1" t="n">
        <x:f>F126*Dashboard!$L$5*MAX(0,Dashboard!$I$5-D126)/30.4375</x:f>
        <x:v>5278.03318275154</x:v>
      </x:c>
      <x:c r="R126" s="1" t="n">
        <x:f>MAX(0,E126+P126-Q126)</x:f>
        <x:v>6421.96681724846</x:v>
      </x:c>
      <x:c r="S126" s="1" t="n">
        <x:f>MAX(0,Q126-E126-P126)</x:f>
        <x:v>0</x:v>
      </x:c>
      <x:c r="T126" s="1" t="str">
        <x:f>IF(L126=1,MAX(0,I126+AB126-MIN(Q126,E126+P126)),"n.a.")</x:f>
        <x:v>n.a.</x:v>
      </x:c>
      <x:c r="U126" s="9" t="str">
        <x:f>IF(ISNUMBER(T126),T126*G126,"n.a.")</x:f>
        <x:v>n.a.</x:v>
      </x:c>
      <x:c r="V126" s="25" t="n">
        <x:f>IF(Dashboard!$I$6="Flat %",1,IF(ISNUMBER(H126),1,0))</x:f>
        <x:v>1</x:v>
      </x:c>
      <x:c r="W126" s="9" t="n">
        <x:f>IF(Dashboard!$I$6="Flat %",G126*(1+Dashboard!$L$6),H126)</x:f>
        <x:v>0.042189</x:v>
      </x:c>
      <x:c r="X126" s="9" t="n">
        <x:f>IF(V126=1,R126*(W126-G126),"n.a.")</x:f>
        <x:v>39.74555263195067</x:v>
      </x:c>
      <x:c r="Y126" s="9" t="n">
        <x:f>IF(V126=1,R126*W126,"n.a.")</x:f>
        <x:v>270.93635805289523</x:v>
      </x:c>
      <x:c r="Z126" s="1" t="str">
        <x:f>IF(ISNUMBER(T126),R126-T126,"n.a.")</x:f>
        <x:v>n.a.</x:v>
      </x:c>
      <x:c r="AA126" s="1" t="str">
        <x:f>'Inventory inputs'!R126</x:f>
        <x:v>Review receipt reconciliation or original PO baseline</x:v>
      </x:c>
      <x:c r="AB126" s="1" t="str">
        <x:f>IF(L126=1,SUMIFS('Incoming POs'!$P$2:$P$305,'Incoming POs'!$A$2:$A$305,A126,'Incoming POs'!$B$2:$B$305,B126,'Incoming POs'!$C$2:$C$305,C126,'Incoming POs'!$G$2:$G$305,"&gt;="&amp;D126,'Incoming POs'!$G$2:$G$305,"&lt;"&amp;Dashboard!$I$5,'Incoming POs'!$Q$2:$Q$305,"&lt;="&amp;('Inventory inputs'!P126/'Inventory inputs'!J126*1.01)),"n.a.")</x:f>
        <x:v>n.a.</x:v>
      </x:c>
      <x:c r="AC126" s="9" t="n">
        <x:f>I126*G126</x:f>
        <x:v>0</x:v>
      </x:c>
      <x:c r="AD126" s="9" t="n">
        <x:f>J126*G126</x:f>
        <x:v>0</x:v>
      </x:c>
      <x:c r="AE126" s="9" t="n">
        <x:f>K126*G126</x:f>
        <x:v>421.20000000000005</x:v>
      </x:c>
      <x:c r="AF126" s="9" t="n">
        <x:f>R126*G126</x:f>
        <x:v>231.19080542094457</x:v>
      </x:c>
    </x:row>
    <x:row r="127" ht="21" customHeight="1">
      <x:c r="A127" s="1" t="str">
        <x:f>'Inventory inputs'!A127</x:f>
        <x:v>PLAS</x:v>
      </x:c>
      <x:c r="B127" s="1" t="str">
        <x:f>'Inventory inputs'!B127</x:f>
        <x:v>10</x:v>
      </x:c>
      <x:c r="C127" s="1" t="str">
        <x:f>'Inventory inputs'!C127</x:f>
        <x:v>01219RWBWHT</x:v>
      </x:c>
      <x:c r="D127" s="7" t="n">
        <x:f>'Inventory inputs'!E127</x:f>
        <x:v>46303</x:v>
      </x:c>
      <x:c r="E127" s="1" t="n">
        <x:f>'Inventory inputs'!F127</x:f>
        <x:v>24600</x:v>
      </x:c>
      <x:c r="F127" s="1" t="n">
        <x:f>'Inventory inputs'!G127</x:f>
        <x:v>3966.42</x:v>
      </x:c>
      <x:c r="G127" s="1" t="n">
        <x:f>'Inventory inputs'!H127/'Inventory inputs'!J127</x:f>
        <x:v>0.036000000000000004</x:v>
      </x:c>
      <x:c r="H127" s="1" t="n">
        <x:f>IF('Inventory inputs'!I127&gt;0,'Inventory inputs'!I127*'Inventory inputs'!K127/'Inventory inputs'!J127,"n.a.")</x:f>
        <x:v>0.042189</x:v>
      </x:c>
      <x:c r="I127" s="1" t="n">
        <x:f>'Inventory inputs'!L127</x:f>
        <x:v>19600</x:v>
      </x:c>
      <x:c r="J127" s="1" t="n">
        <x:f>'Inventory inputs'!M127</x:f>
        <x:v>5000</x:v>
      </x:c>
      <x:c r="K127" s="1" t="n">
        <x:f>'Inventory inputs'!N127</x:f>
        <x:v>0</x:v>
      </x:c>
      <x:c r="L127" s="1" t="n">
        <x:f>'Inventory inputs'!O127</x:f>
        <x:v>1</x:v>
      </x:c>
      <x:c r="M127" s="9" t="n">
        <x:f>E127*G127</x:f>
        <x:v>885.6000000000001</x:v>
      </x:c>
      <x:c r="N127" s="9" t="n">
        <x:f>'Inventory inputs'!Q127</x:f>
        <x:v>885.6</x:v>
      </x:c>
      <x:c r="O127" s="9" t="n">
        <x:f>N127-M127</x:f>
        <x:v>-1.1368683772161603e-13</x:v>
      </x:c>
      <x:c r="P127" s="1" t="n">
        <x:f>SUMIFS('Incoming POs'!$P$2:$P$305,'Incoming POs'!$A$2:$A$305,A127,'Incoming POs'!$B$2:$B$305,B127,'Incoming POs'!$C$2:$C$305,C127,'Incoming POs'!$G$2:$G$305,"&gt;="&amp;D127,'Incoming POs'!$G$2:$G$305,"&lt;"&amp;Dashboard!$I$5)</x:f>
        <x:v>0</x:v>
      </x:c>
      <x:c r="Q127" s="1" t="n">
        <x:f>F127*Dashboard!$L$5*MAX(0,Dashboard!$I$5-D127)/30.4375</x:f>
        <x:v>5277.700533880904</x:v>
      </x:c>
      <x:c r="R127" s="1" t="n">
        <x:f>MAX(0,E127+P127-Q127)</x:f>
        <x:v>19322.299466119097</x:v>
      </x:c>
      <x:c r="S127" s="1" t="n">
        <x:f>MAX(0,Q127-E127-P127)</x:f>
        <x:v>0</x:v>
      </x:c>
      <x:c r="T127" s="1" t="n">
        <x:f>IF(L127=1,MAX(0,I127+AB127-MIN(Q127,E127+P127)),"n.a.")</x:f>
        <x:v>14322.299466119097</x:v>
      </x:c>
      <x:c r="U127" s="9" t="n">
        <x:f>IF(ISNUMBER(T127),T127*G127,"n.a.")</x:f>
        <x:v>515.6027807802875</x:v>
      </x:c>
      <x:c r="V127" s="25" t="n">
        <x:f>IF(Dashboard!$I$6="Flat %",1,IF(ISNUMBER(H127),1,0))</x:f>
        <x:v>1</x:v>
      </x:c>
      <x:c r="W127" s="9" t="n">
        <x:f>IF(Dashboard!$I$6="Flat %",G127*(1+Dashboard!$L$6),H127)</x:f>
        <x:v>0.042189</x:v>
      </x:c>
      <x:c r="X127" s="9" t="n">
        <x:f>IF(V127=1,R127*(W127-G127),"n.a.")</x:f>
        <x:v>119.58571139581096</x:v>
      </x:c>
      <x:c r="Y127" s="9" t="n">
        <x:f>IF(V127=1,R127*W127,"n.a.")</x:f>
        <x:v>815.1884921760985</x:v>
      </x:c>
      <x:c r="Z127" s="1" t="n">
        <x:f>IF(ISNUMBER(T127),R127-T127,"n.a.")</x:f>
        <x:v>5000</x:v>
      </x:c>
      <x:c r="AA127" s="1" t="str">
        <x:f>'Inventory inputs'!R127</x:f>
        <x:v>Classified</x:v>
      </x:c>
      <x:c r="AB127" s="1" t="n">
        <x:f>IF(L127=1,SUMIFS('Incoming POs'!$P$2:$P$305,'Incoming POs'!$A$2:$A$305,A127,'Incoming POs'!$B$2:$B$305,B127,'Incoming POs'!$C$2:$C$305,C127,'Incoming POs'!$G$2:$G$305,"&gt;="&amp;D127,'Incoming POs'!$G$2:$G$305,"&lt;"&amp;Dashboard!$I$5,'Incoming POs'!$Q$2:$Q$305,"&lt;="&amp;('Inventory inputs'!P127/'Inventory inputs'!J127*1.01)),"n.a.")</x:f>
        <x:v>0</x:v>
      </x:c>
      <x:c r="AC127" s="9" t="n">
        <x:f>I127*G127</x:f>
        <x:v>705.6000000000001</x:v>
      </x:c>
      <x:c r="AD127" s="9" t="n">
        <x:f>J127*G127</x:f>
        <x:v>180.00000000000003</x:v>
      </x:c>
      <x:c r="AE127" s="9" t="n">
        <x:f>K127*G127</x:f>
        <x:v>0</x:v>
      </x:c>
      <x:c r="AF127" s="9" t="n">
        <x:f>R127*G127</x:f>
        <x:v>695.6027807802876</x:v>
      </x:c>
    </x:row>
    <x:row r="128" ht="21" customHeight="1">
      <x:c r="A128" s="1" t="str">
        <x:f>'Inventory inputs'!A128</x:f>
        <x:v>PLAS</x:v>
      </x:c>
      <x:c r="B128" s="1" t="str">
        <x:f>'Inventory inputs'!B128</x:f>
        <x:v>60</x:v>
      </x:c>
      <x:c r="C128" s="1" t="str">
        <x:f>'Inventory inputs'!C128</x:f>
        <x:v>07819RWBBLK</x:v>
      </x:c>
      <x:c r="D128" s="7" t="n">
        <x:f>'Inventory inputs'!E128</x:f>
        <x:v>46303</x:v>
      </x:c>
      <x:c r="E128" s="1" t="n">
        <x:f>'Inventory inputs'!F128</x:f>
        <x:v>4100</x:v>
      </x:c>
      <x:c r="F128" s="1" t="n">
        <x:f>'Inventory inputs'!G128</x:f>
        <x:v>3900</x:v>
      </x:c>
      <x:c r="G128" s="1" t="n">
        <x:f>'Inventory inputs'!H128/'Inventory inputs'!J128</x:f>
        <x:v>0.0797</x:v>
      </x:c>
      <x:c r="H128" s="1" t="n">
        <x:f>IF('Inventory inputs'!I128&gt;0,'Inventory inputs'!I128*'Inventory inputs'!K128/'Inventory inputs'!J128,"n.a.")</x:f>
        <x:v>0.09319799999999999</x:v>
      </x:c>
      <x:c r="I128" s="1" t="n">
        <x:f>'Inventory inputs'!L128</x:f>
        <x:v>0</x:v>
      </x:c>
      <x:c r="J128" s="1" t="n">
        <x:f>'Inventory inputs'!M128</x:f>
        <x:v>0</x:v>
      </x:c>
      <x:c r="K128" s="1" t="n">
        <x:f>'Inventory inputs'!N128</x:f>
        <x:v>4100</x:v>
      </x:c>
      <x:c r="L128" s="1" t="n">
        <x:f>'Inventory inputs'!O128</x:f>
        <x:v>0</x:v>
      </x:c>
      <x:c r="M128" s="9" t="n">
        <x:f>E128*G128</x:f>
        <x:v>326.77</x:v>
      </x:c>
      <x:c r="N128" s="9" t="n">
        <x:f>'Inventory inputs'!Q128</x:f>
        <x:v>326.77</x:v>
      </x:c>
      <x:c r="O128" s="9" t="n">
        <x:f>N128-M128</x:f>
        <x:v>0</x:v>
      </x:c>
      <x:c r="P128" s="1" t="n">
        <x:f>SUMIFS('Incoming POs'!$P$2:$P$305,'Incoming POs'!$A$2:$A$305,A128,'Incoming POs'!$B$2:$B$305,B128,'Incoming POs'!$C$2:$C$305,C128,'Incoming POs'!$G$2:$G$305,"&gt;="&amp;D128,'Incoming POs'!$G$2:$G$305,"&lt;"&amp;Dashboard!$I$5)</x:f>
        <x:v>0</x:v>
      </x:c>
      <x:c r="Q128" s="1" t="n">
        <x:f>F128*Dashboard!$L$5*MAX(0,Dashboard!$I$5-D128)/30.4375</x:f>
        <x:v>5189.322381930185</x:v>
      </x:c>
      <x:c r="R128" s="1" t="n">
        <x:f>MAX(0,E128+P128-Q128)</x:f>
        <x:v>0</x:v>
      </x:c>
      <x:c r="S128" s="1" t="n">
        <x:f>MAX(0,Q128-E128-P128)</x:f>
        <x:v>1089.3223819301847</x:v>
      </x:c>
      <x:c r="T128" s="1" t="str">
        <x:f>IF(L128=1,MAX(0,I128+AB128-MIN(Q128,E128+P128)),"n.a.")</x:f>
        <x:v>n.a.</x:v>
      </x:c>
      <x:c r="U128" s="9" t="str">
        <x:f>IF(ISNUMBER(T128),T128*G128,"n.a.")</x:f>
        <x:v>n.a.</x:v>
      </x:c>
      <x:c r="V128" s="25" t="n">
        <x:f>IF(Dashboard!$I$6="Flat %",1,IF(ISNUMBER(H128),1,0))</x:f>
        <x:v>1</x:v>
      </x:c>
      <x:c r="W128" s="9" t="n">
        <x:f>IF(Dashboard!$I$6="Flat %",G128*(1+Dashboard!$L$6),H128)</x:f>
        <x:v>0.09319799999999999</x:v>
      </x:c>
      <x:c r="X128" s="9" t="n">
        <x:f>IF(V128=1,R128*(W128-G128),"n.a.")</x:f>
        <x:v>0</x:v>
      </x:c>
      <x:c r="Y128" s="9" t="n">
        <x:f>IF(V128=1,R128*W128,"n.a.")</x:f>
        <x:v>0</x:v>
      </x:c>
      <x:c r="Z128" s="1" t="str">
        <x:f>IF(ISNUMBER(T128),R128-T128,"n.a.")</x:f>
        <x:v>n.a.</x:v>
      </x:c>
      <x:c r="AA128" s="1" t="str">
        <x:f>'Inventory inputs'!R128</x:f>
        <x:v>Review receipt reconciliation or original PO baseline</x:v>
      </x:c>
      <x:c r="AB128" s="1" t="str">
        <x:f>IF(L128=1,SUMIFS('Incoming POs'!$P$2:$P$305,'Incoming POs'!$A$2:$A$305,A128,'Incoming POs'!$B$2:$B$305,B128,'Incoming POs'!$C$2:$C$305,C128,'Incoming POs'!$G$2:$G$305,"&gt;="&amp;D128,'Incoming POs'!$G$2:$G$305,"&lt;"&amp;Dashboard!$I$5,'Incoming POs'!$Q$2:$Q$305,"&lt;="&amp;('Inventory inputs'!P128/'Inventory inputs'!J128*1.01)),"n.a.")</x:f>
        <x:v>n.a.</x:v>
      </x:c>
      <x:c r="AC128" s="9" t="n">
        <x:f>I128*G128</x:f>
        <x:v>0</x:v>
      </x:c>
      <x:c r="AD128" s="9" t="n">
        <x:f>J128*G128</x:f>
        <x:v>0</x:v>
      </x:c>
      <x:c r="AE128" s="9" t="n">
        <x:f>K128*G128</x:f>
        <x:v>326.77</x:v>
      </x:c>
      <x:c r="AF128" s="9" t="n">
        <x:f>R128*G128</x:f>
        <x:v>0</x:v>
      </x:c>
    </x:row>
    <x:row r="129" ht="21" customHeight="1">
      <x:c r="A129" s="1" t="str">
        <x:f>'Inventory inputs'!A129</x:f>
        <x:v>PLAS</x:v>
      </x:c>
      <x:c r="B129" s="1" t="str">
        <x:f>'Inventory inputs'!B129</x:f>
        <x:v>10</x:v>
      </x:c>
      <x:c r="C129" s="1" t="str">
        <x:f>'Inventory inputs'!C129</x:f>
        <x:v>71615RWBBLK</x:v>
      </x:c>
      <x:c r="D129" s="7" t="n">
        <x:f>'Inventory inputs'!E129</x:f>
        <x:v>46303</x:v>
      </x:c>
      <x:c r="E129" s="1" t="n">
        <x:f>'Inventory inputs'!F129</x:f>
        <x:v>28609</x:v>
      </x:c>
      <x:c r="F129" s="1" t="n">
        <x:f>'Inventory inputs'!G129</x:f>
        <x:v>3825</x:v>
      </x:c>
      <x:c r="G129" s="1" t="n">
        <x:f>'Inventory inputs'!H129/'Inventory inputs'!J129</x:f>
        <x:v>0.0219</x:v>
      </x:c>
      <x:c r="H129" s="1" t="n">
        <x:f>IF('Inventory inputs'!I129&gt;0,'Inventory inputs'!I129*'Inventory inputs'!K129/'Inventory inputs'!J129,"n.a.")</x:f>
        <x:v>0.025578</x:v>
      </x:c>
      <x:c r="I129" s="1" t="n">
        <x:f>'Inventory inputs'!L129</x:f>
        <x:v>16609</x:v>
      </x:c>
      <x:c r="J129" s="1" t="n">
        <x:f>'Inventory inputs'!M129</x:f>
        <x:v>12000</x:v>
      </x:c>
      <x:c r="K129" s="1" t="n">
        <x:f>'Inventory inputs'!N129</x:f>
        <x:v>0</x:v>
      </x:c>
      <x:c r="L129" s="1" t="n">
        <x:f>'Inventory inputs'!O129</x:f>
        <x:v>1</x:v>
      </x:c>
      <x:c r="M129" s="9" t="n">
        <x:f>E129*G129</x:f>
        <x:v>626.5371</x:v>
      </x:c>
      <x:c r="N129" s="9" t="n">
        <x:f>'Inventory inputs'!Q129</x:f>
        <x:v>626.5371</x:v>
      </x:c>
      <x:c r="O129" s="9" t="n">
        <x:f>N129-M129</x:f>
        <x:v>0</x:v>
      </x:c>
      <x:c r="P129" s="1" t="n">
        <x:f>SUMIFS('Incoming POs'!$P$2:$P$305,'Incoming POs'!$A$2:$A$305,A129,'Incoming POs'!$B$2:$B$305,B129,'Incoming POs'!$C$2:$C$305,C129,'Incoming POs'!$G$2:$G$305,"&gt;="&amp;D129,'Incoming POs'!$G$2:$G$305,"&lt;"&amp;Dashboard!$I$5)</x:f>
        <x:v>2000</x:v>
      </x:c>
      <x:c r="Q129" s="1" t="n">
        <x:f>F129*Dashboard!$L$5*MAX(0,Dashboard!$I$5-D129)/30.4375</x:f>
        <x:v>5089.52772073922</x:v>
      </x:c>
      <x:c r="R129" s="1" t="n">
        <x:f>MAX(0,E129+P129-Q129)</x:f>
        <x:v>25519.47227926078</x:v>
      </x:c>
      <x:c r="S129" s="1" t="n">
        <x:f>MAX(0,Q129-E129-P129)</x:f>
        <x:v>0</x:v>
      </x:c>
      <x:c r="T129" s="1" t="n">
        <x:f>IF(L129=1,MAX(0,I129+AB129-MIN(Q129,E129+P129)),"n.a.")</x:f>
        <x:v>11519.472279260779</x:v>
      </x:c>
      <x:c r="U129" s="9" t="n">
        <x:f>IF(ISNUMBER(T129),T129*G129,"n.a.")</x:f>
        <x:v>252.27644291581106</x:v>
      </x:c>
      <x:c r="V129" s="25" t="n">
        <x:f>IF(Dashboard!$I$6="Flat %",1,IF(ISNUMBER(H129),1,0))</x:f>
        <x:v>1</x:v>
      </x:c>
      <x:c r="W129" s="9" t="n">
        <x:f>IF(Dashboard!$I$6="Flat %",G129*(1+Dashboard!$L$6),H129)</x:f>
        <x:v>0.025578</x:v>
      </x:c>
      <x:c r="X129" s="9" t="n">
        <x:f>IF(V129=1,R129*(W129-G129),"n.a.")</x:f>
        <x:v>93.86061904312116</x:v>
      </x:c>
      <x:c r="Y129" s="9" t="n">
        <x:f>IF(V129=1,R129*W129,"n.a.")</x:f>
        <x:v>652.7370619589323</x:v>
      </x:c>
      <x:c r="Z129" s="1" t="n">
        <x:f>IF(ISNUMBER(T129),R129-T129,"n.a.")</x:f>
        <x:v>14000</x:v>
      </x:c>
      <x:c r="AA129" s="1" t="str">
        <x:f>'Inventory inputs'!R129</x:f>
        <x:v>Classified</x:v>
      </x:c>
      <x:c r="AB129" s="1" t="n">
        <x:f>IF(L129=1,SUMIFS('Incoming POs'!$P$2:$P$305,'Incoming POs'!$A$2:$A$305,A129,'Incoming POs'!$B$2:$B$305,B129,'Incoming POs'!$C$2:$C$305,C129,'Incoming POs'!$G$2:$G$305,"&gt;="&amp;D129,'Incoming POs'!$G$2:$G$305,"&lt;"&amp;Dashboard!$I$5,'Incoming POs'!$Q$2:$Q$305,"&lt;="&amp;('Inventory inputs'!P129/'Inventory inputs'!J129*1.01)),"n.a.")</x:f>
        <x:v>0</x:v>
      </x:c>
      <x:c r="AC129" s="9" t="n">
        <x:f>I129*G129</x:f>
        <x:v>363.7371</x:v>
      </x:c>
      <x:c r="AD129" s="9" t="n">
        <x:f>J129*G129</x:f>
        <x:v>262.8</x:v>
      </x:c>
      <x:c r="AE129" s="9" t="n">
        <x:f>K129*G129</x:f>
        <x:v>0</x:v>
      </x:c>
      <x:c r="AF129" s="9" t="n">
        <x:f>R129*G129</x:f>
        <x:v>558.876442915811</x:v>
      </x:c>
    </x:row>
    <x:row r="130" ht="21" customHeight="1">
      <x:c r="A130" s="1" t="str">
        <x:f>'Inventory inputs'!A130</x:f>
        <x:v>PLAS</x:v>
      </x:c>
      <x:c r="B130" s="1" t="str">
        <x:f>'Inventory inputs'!B130</x:f>
        <x:v>10</x:v>
      </x:c>
      <x:c r="C130" s="1" t="str">
        <x:f>'Inventory inputs'!C130</x:f>
        <x:v>71615RWBWHTC</x:v>
      </x:c>
      <x:c r="D130" s="7" t="n">
        <x:f>'Inventory inputs'!E130</x:f>
        <x:v>46303</x:v>
      </x:c>
      <x:c r="E130" s="1" t="n">
        <x:f>'Inventory inputs'!F130</x:f>
        <x:v>94000</x:v>
      </x:c>
      <x:c r="F130" s="1" t="n">
        <x:f>'Inventory inputs'!G130</x:f>
        <x:v>3666.67</x:v>
      </x:c>
      <x:c r="G130" s="1" t="n">
        <x:f>'Inventory inputs'!H130/'Inventory inputs'!J130</x:f>
        <x:v>0.0281</x:v>
      </x:c>
      <x:c r="H130" s="1" t="n">
        <x:f>IF('Inventory inputs'!I130&gt;0,'Inventory inputs'!I130*'Inventory inputs'!K130/'Inventory inputs'!J130,"n.a.")</x:f>
        <x:v>0.032781</x:v>
      </x:c>
      <x:c r="I130" s="1" t="n">
        <x:f>'Inventory inputs'!L130</x:f>
        <x:v>64000</x:v>
      </x:c>
      <x:c r="J130" s="1" t="n">
        <x:f>'Inventory inputs'!M130</x:f>
        <x:v>30000</x:v>
      </x:c>
      <x:c r="K130" s="1" t="n">
        <x:f>'Inventory inputs'!N130</x:f>
        <x:v>0</x:v>
      </x:c>
      <x:c r="L130" s="1" t="n">
        <x:f>'Inventory inputs'!O130</x:f>
        <x:v>1</x:v>
      </x:c>
      <x:c r="M130" s="9" t="n">
        <x:f>E130*G130</x:f>
        <x:v>2641.4</x:v>
      </x:c>
      <x:c r="N130" s="9" t="n">
        <x:f>'Inventory inputs'!Q130</x:f>
        <x:v>2641.4</x:v>
      </x:c>
      <x:c r="O130" s="9" t="n">
        <x:f>N130-M130</x:f>
        <x:v>0</x:v>
      </x:c>
      <x:c r="P130" s="1" t="n">
        <x:f>SUMIFS('Incoming POs'!$P$2:$P$305,'Incoming POs'!$A$2:$A$305,A130,'Incoming POs'!$B$2:$B$305,B130,'Incoming POs'!$C$2:$C$305,C130,'Incoming POs'!$G$2:$G$305,"&gt;="&amp;D130,'Incoming POs'!$G$2:$G$305,"&lt;"&amp;Dashboard!$I$5)</x:f>
        <x:v>0</x:v>
      </x:c>
      <x:c r="Q130" s="1" t="n">
        <x:f>F130*Dashboard!$L$5*MAX(0,Dashboard!$I$5-D130)/30.4375</x:f>
        <x:v>4878.85453798768</x:v>
      </x:c>
      <x:c r="R130" s="1" t="n">
        <x:f>MAX(0,E130+P130-Q130)</x:f>
        <x:v>89121.14546201233</x:v>
      </x:c>
      <x:c r="S130" s="1" t="n">
        <x:f>MAX(0,Q130-E130-P130)</x:f>
        <x:v>0</x:v>
      </x:c>
      <x:c r="T130" s="1" t="n">
        <x:f>IF(L130=1,MAX(0,I130+AB130-MIN(Q130,E130+P130)),"n.a.")</x:f>
        <x:v>59121.14546201232</x:v>
      </x:c>
      <x:c r="U130" s="9" t="n">
        <x:f>IF(ISNUMBER(T130),T130*G130,"n.a.")</x:f>
        <x:v>1661.3041874825462</x:v>
      </x:c>
      <x:c r="V130" s="25" t="n">
        <x:f>IF(Dashboard!$I$6="Flat %",1,IF(ISNUMBER(H130),1,0))</x:f>
        <x:v>1</x:v>
      </x:c>
      <x:c r="W130" s="9" t="n">
        <x:f>IF(Dashboard!$I$6="Flat %",G130*(1+Dashboard!$L$6),H130)</x:f>
        <x:v>0.032781</x:v>
      </x:c>
      <x:c r="X130" s="9" t="n">
        <x:f>IF(V130=1,R130*(W130-G130),"n.a.")</x:f>
        <x:v>417.1760819076795</x:v>
      </x:c>
      <x:c r="Y130" s="9" t="n">
        <x:f>IF(V130=1,R130*W130,"n.a.")</x:f>
        <x:v>2921.4802693902257</x:v>
      </x:c>
      <x:c r="Z130" s="1" t="n">
        <x:f>IF(ISNUMBER(T130),R130-T130,"n.a.")</x:f>
        <x:v>30000.000000000007</x:v>
      </x:c>
      <x:c r="AA130" s="1" t="str">
        <x:f>'Inventory inputs'!R130</x:f>
        <x:v>Classified</x:v>
      </x:c>
      <x:c r="AB130" s="1" t="n">
        <x:f>IF(L130=1,SUMIFS('Incoming POs'!$P$2:$P$305,'Incoming POs'!$A$2:$A$305,A130,'Incoming POs'!$B$2:$B$305,B130,'Incoming POs'!$C$2:$C$305,C130,'Incoming POs'!$G$2:$G$305,"&gt;="&amp;D130,'Incoming POs'!$G$2:$G$305,"&lt;"&amp;Dashboard!$I$5,'Incoming POs'!$Q$2:$Q$305,"&lt;="&amp;('Inventory inputs'!P130/'Inventory inputs'!J130*1.01)),"n.a.")</x:f>
        <x:v>0</x:v>
      </x:c>
      <x:c r="AC130" s="9" t="n">
        <x:f>I130*G130</x:f>
        <x:v>1798.4</x:v>
      </x:c>
      <x:c r="AD130" s="9" t="n">
        <x:f>J130*G130</x:f>
        <x:v>843</x:v>
      </x:c>
      <x:c r="AE130" s="9" t="n">
        <x:f>K130*G130</x:f>
        <x:v>0</x:v>
      </x:c>
      <x:c r="AF130" s="9" t="n">
        <x:f>R130*G130</x:f>
        <x:v>2504.3041874825462</x:v>
      </x:c>
    </x:row>
    <x:row r="131" ht="21" customHeight="1">
      <x:c r="A131" s="1" t="str">
        <x:f>'Inventory inputs'!A131</x:f>
        <x:v>PLAS</x:v>
      </x:c>
      <x:c r="B131" s="1" t="str">
        <x:f>'Inventory inputs'!B131</x:f>
        <x:v>10</x:v>
      </x:c>
      <x:c r="C131" s="1" t="str">
        <x:f>'Inventory inputs'!C131</x:f>
        <x:v>71619RWBWHT</x:v>
      </x:c>
      <x:c r="D131" s="7" t="n">
        <x:f>'Inventory inputs'!E131</x:f>
        <x:v>46303</x:v>
      </x:c>
      <x:c r="E131" s="1" t="n">
        <x:f>'Inventory inputs'!F131</x:f>
        <x:v>5000</x:v>
      </x:c>
      <x:c r="F131" s="1" t="n">
        <x:f>'Inventory inputs'!G131</x:f>
        <x:v>3566.67</x:v>
      </x:c>
      <x:c r="G131" s="1" t="n">
        <x:f>'Inventory inputs'!H131/'Inventory inputs'!J131</x:f>
        <x:v>0.0315</x:v>
      </x:c>
      <x:c r="H131" s="1" t="n">
        <x:f>IF('Inventory inputs'!I131&gt;0,'Inventory inputs'!I131*'Inventory inputs'!K131/'Inventory inputs'!J131,"n.a.")</x:f>
        <x:v>0.03675</x:v>
      </x:c>
      <x:c r="I131" s="1" t="n">
        <x:f>'Inventory inputs'!L131</x:f>
        <x:v>0</x:v>
      </x:c>
      <x:c r="J131" s="1" t="n">
        <x:f>'Inventory inputs'!M131</x:f>
        <x:v>5000</x:v>
      </x:c>
      <x:c r="K131" s="1" t="n">
        <x:f>'Inventory inputs'!N131</x:f>
        <x:v>0</x:v>
      </x:c>
      <x:c r="L131" s="1" t="n">
        <x:f>'Inventory inputs'!O131</x:f>
        <x:v>1</x:v>
      </x:c>
      <x:c r="M131" s="9" t="n">
        <x:f>E131*G131</x:f>
        <x:v>157.5</x:v>
      </x:c>
      <x:c r="N131" s="9" t="n">
        <x:f>'Inventory inputs'!Q131</x:f>
        <x:v>157.5</x:v>
      </x:c>
      <x:c r="O131" s="9" t="n">
        <x:f>N131-M131</x:f>
        <x:v>0</x:v>
      </x:c>
      <x:c r="P131" s="1" t="n">
        <x:f>SUMIFS('Incoming POs'!$P$2:$P$305,'Incoming POs'!$A$2:$A$305,A131,'Incoming POs'!$B$2:$B$305,B131,'Incoming POs'!$C$2:$C$305,C131,'Incoming POs'!$G$2:$G$305,"&gt;="&amp;D131,'Incoming POs'!$G$2:$G$305,"&lt;"&amp;Dashboard!$I$5)</x:f>
        <x:v>20000</x:v>
      </x:c>
      <x:c r="Q131" s="1" t="n">
        <x:f>F131*Dashboard!$L$5*MAX(0,Dashboard!$I$5-D131)/30.4375</x:f>
        <x:v>4745.79498973306</x:v>
      </x:c>
      <x:c r="R131" s="1" t="n">
        <x:f>MAX(0,E131+P131-Q131)</x:f>
        <x:v>20254.20501026694</x:v>
      </x:c>
      <x:c r="S131" s="1" t="n">
        <x:f>MAX(0,Q131-E131-P131)</x:f>
        <x:v>0</x:v>
      </x:c>
      <x:c r="T131" s="1" t="n">
        <x:f>IF(L131=1,MAX(0,I131+AB131-MIN(Q131,E131+P131)),"n.a.")</x:f>
        <x:v>0</x:v>
      </x:c>
      <x:c r="U131" s="9" t="n">
        <x:f>IF(ISNUMBER(T131),T131*G131,"n.a.")</x:f>
        <x:v>0</x:v>
      </x:c>
      <x:c r="V131" s="25" t="n">
        <x:f>IF(Dashboard!$I$6="Flat %",1,IF(ISNUMBER(H131),1,0))</x:f>
        <x:v>1</x:v>
      </x:c>
      <x:c r="W131" s="9" t="n">
        <x:f>IF(Dashboard!$I$6="Flat %",G131*(1+Dashboard!$L$6),H131)</x:f>
        <x:v>0.03675</x:v>
      </x:c>
      <x:c r="X131" s="9" t="n">
        <x:f>IF(V131=1,R131*(W131-G131),"n.a.")</x:f>
        <x:v>106.33457630390139</x:v>
      </x:c>
      <x:c r="Y131" s="9" t="n">
        <x:f>IF(V131=1,R131*W131,"n.a.")</x:f>
        <x:v>744.34203412731</x:v>
      </x:c>
      <x:c r="Z131" s="1" t="n">
        <x:f>IF(ISNUMBER(T131),R131-T131,"n.a.")</x:f>
        <x:v>20254.20501026694</x:v>
      </x:c>
      <x:c r="AA131" s="1" t="str">
        <x:f>'Inventory inputs'!R131</x:f>
        <x:v>Classified</x:v>
      </x:c>
      <x:c r="AB131" s="1" t="n">
        <x:f>IF(L131=1,SUMIFS('Incoming POs'!$P$2:$P$305,'Incoming POs'!$A$2:$A$305,A131,'Incoming POs'!$B$2:$B$305,B131,'Incoming POs'!$C$2:$C$305,C131,'Incoming POs'!$G$2:$G$305,"&gt;="&amp;D131,'Incoming POs'!$G$2:$G$305,"&lt;"&amp;Dashboard!$I$5,'Incoming POs'!$Q$2:$Q$305,"&lt;="&amp;('Inventory inputs'!P131/'Inventory inputs'!J131*1.01)),"n.a.")</x:f>
        <x:v>0</x:v>
      </x:c>
      <x:c r="AC131" s="9" t="n">
        <x:f>I131*G131</x:f>
        <x:v>0</x:v>
      </x:c>
      <x:c r="AD131" s="9" t="n">
        <x:f>J131*G131</x:f>
        <x:v>157.5</x:v>
      </x:c>
      <x:c r="AE131" s="9" t="n">
        <x:f>K131*G131</x:f>
        <x:v>0</x:v>
      </x:c>
      <x:c r="AF131" s="9" t="n">
        <x:f>R131*G131</x:f>
        <x:v>638.0074578234086</x:v>
      </x:c>
    </x:row>
    <x:row r="132" ht="21" customHeight="1">
      <x:c r="A132" s="1" t="str">
        <x:f>'Inventory inputs'!A132</x:f>
        <x:v>PLAS</x:v>
      </x:c>
      <x:c r="B132" s="1" t="str">
        <x:f>'Inventory inputs'!B132</x:f>
        <x:v>10</x:v>
      </x:c>
      <x:c r="C132" s="1" t="str">
        <x:f>'Inventory inputs'!C132</x:f>
        <x:v>03815RWBWHT</x:v>
      </x:c>
      <x:c r="D132" s="7" t="n">
        <x:f>'Inventory inputs'!E132</x:f>
        <x:v>46303</x:v>
      </x:c>
      <x:c r="E132" s="1" t="n">
        <x:f>'Inventory inputs'!F132</x:f>
        <x:v>22000</x:v>
      </x:c>
      <x:c r="F132" s="1" t="n">
        <x:f>'Inventory inputs'!G132</x:f>
        <x:v>3333.33</x:v>
      </x:c>
      <x:c r="G132" s="1" t="n">
        <x:f>'Inventory inputs'!H132/'Inventory inputs'!J132</x:f>
        <x:v>0.016200000000000003</x:v>
      </x:c>
      <x:c r="H132" s="1" t="n">
        <x:f>IF('Inventory inputs'!I132&gt;0,'Inventory inputs'!I132*'Inventory inputs'!K132/'Inventory inputs'!J132,"n.a.")</x:f>
        <x:v>0.018963</x:v>
      </x:c>
      <x:c r="I132" s="1" t="n">
        <x:f>'Inventory inputs'!L132</x:f>
        <x:v>18000</x:v>
      </x:c>
      <x:c r="J132" s="1" t="n">
        <x:f>'Inventory inputs'!M132</x:f>
        <x:v>4000</x:v>
      </x:c>
      <x:c r="K132" s="1" t="n">
        <x:f>'Inventory inputs'!N132</x:f>
        <x:v>0</x:v>
      </x:c>
      <x:c r="L132" s="1" t="n">
        <x:f>'Inventory inputs'!O132</x:f>
        <x:v>1</x:v>
      </x:c>
      <x:c r="M132" s="9" t="n">
        <x:f>E132*G132</x:f>
        <x:v>356.40000000000003</x:v>
      </x:c>
      <x:c r="N132" s="9" t="n">
        <x:f>'Inventory inputs'!Q132</x:f>
        <x:v>356.40000000000003</x:v>
      </x:c>
      <x:c r="O132" s="9" t="n">
        <x:f>N132-M132</x:f>
        <x:v>0</x:v>
      </x:c>
      <x:c r="P132" s="1" t="n">
        <x:f>SUMIFS('Incoming POs'!$P$2:$P$305,'Incoming POs'!$A$2:$A$305,A132,'Incoming POs'!$B$2:$B$305,B132,'Incoming POs'!$C$2:$C$305,C132,'Incoming POs'!$G$2:$G$305,"&gt;="&amp;D132,'Incoming POs'!$G$2:$G$305,"&lt;"&amp;Dashboard!$I$5)</x:f>
        <x:v>10000</x:v>
      </x:c>
      <x:c r="Q132" s="1" t="n">
        <x:f>F132*Dashboard!$L$5*MAX(0,Dashboard!$I$5-D132)/30.4375</x:f>
        <x:v>4435.313839835729</x:v>
      </x:c>
      <x:c r="R132" s="1" t="n">
        <x:f>MAX(0,E132+P132-Q132)</x:f>
        <x:v>27564.68616016427</x:v>
      </x:c>
      <x:c r="S132" s="1" t="n">
        <x:f>MAX(0,Q132-E132-P132)</x:f>
        <x:v>0</x:v>
      </x:c>
      <x:c r="T132" s="1" t="n">
        <x:f>IF(L132=1,MAX(0,I132+AB132-MIN(Q132,E132+P132)),"n.a.")</x:f>
        <x:v>13564.68616016427</x:v>
      </x:c>
      <x:c r="U132" s="9" t="n">
        <x:f>IF(ISNUMBER(T132),T132*G132,"n.a.")</x:f>
        <x:v>219.74791579466122</x:v>
      </x:c>
      <x:c r="V132" s="25" t="n">
        <x:f>IF(Dashboard!$I$6="Flat %",1,IF(ISNUMBER(H132),1,0))</x:f>
        <x:v>1</x:v>
      </x:c>
      <x:c r="W132" s="9" t="n">
        <x:f>IF(Dashboard!$I$6="Flat %",G132*(1+Dashboard!$L$6),H132)</x:f>
        <x:v>0.018963</x:v>
      </x:c>
      <x:c r="X132" s="9" t="n">
        <x:f>IF(V132=1,R132*(W132-G132),"n.a.")</x:f>
        <x:v>76.16122786053383</x:v>
      </x:c>
      <x:c r="Y132" s="9" t="n">
        <x:f>IF(V132=1,R132*W132,"n.a.")</x:f>
        <x:v>522.7091436551951</x:v>
      </x:c>
      <x:c r="Z132" s="1" t="n">
        <x:f>IF(ISNUMBER(T132),R132-T132,"n.a.")</x:f>
        <x:v>14000</x:v>
      </x:c>
      <x:c r="AA132" s="1" t="str">
        <x:f>'Inventory inputs'!R132</x:f>
        <x:v>Classified</x:v>
      </x:c>
      <x:c r="AB132" s="1" t="n">
        <x:f>IF(L132=1,SUMIFS('Incoming POs'!$P$2:$P$305,'Incoming POs'!$A$2:$A$305,A132,'Incoming POs'!$B$2:$B$305,B132,'Incoming POs'!$C$2:$C$305,C132,'Incoming POs'!$G$2:$G$305,"&gt;="&amp;D132,'Incoming POs'!$G$2:$G$305,"&lt;"&amp;Dashboard!$I$5,'Incoming POs'!$Q$2:$Q$305,"&lt;="&amp;('Inventory inputs'!P132/'Inventory inputs'!J132*1.01)),"n.a.")</x:f>
        <x:v>0</x:v>
      </x:c>
      <x:c r="AC132" s="9" t="n">
        <x:f>I132*G132</x:f>
        <x:v>291.6</x:v>
      </x:c>
      <x:c r="AD132" s="9" t="n">
        <x:f>J132*G132</x:f>
        <x:v>64.80000000000001</x:v>
      </x:c>
      <x:c r="AE132" s="9" t="n">
        <x:f>K132*G132</x:f>
        <x:v>0</x:v>
      </x:c>
      <x:c r="AF132" s="9" t="n">
        <x:f>R132*G132</x:f>
        <x:v>446.54791579466126</x:v>
      </x:c>
    </x:row>
    <x:row r="133" ht="21" customHeight="1">
      <x:c r="A133" s="1" t="str">
        <x:f>'Inventory inputs'!A133</x:f>
        <x:v>PLAS</x:v>
      </x:c>
      <x:c r="B133" s="1" t="str">
        <x:f>'Inventory inputs'!B133</x:f>
        <x:v>60</x:v>
      </x:c>
      <x:c r="C133" s="1" t="str">
        <x:f>'Inventory inputs'!C133</x:f>
        <x:v>91619RWBBLK</x:v>
      </x:c>
      <x:c r="D133" s="7" t="n">
        <x:f>'Inventory inputs'!E133</x:f>
        <x:v>46303</x:v>
      </x:c>
      <x:c r="E133" s="1" t="n">
        <x:f>'Inventory inputs'!F133</x:f>
        <x:v>22500</x:v>
      </x:c>
      <x:c r="F133" s="1" t="n">
        <x:f>'Inventory inputs'!G133</x:f>
        <x:v>3216.67</x:v>
      </x:c>
      <x:c r="G133" s="1" t="n">
        <x:f>'Inventory inputs'!H133/'Inventory inputs'!J133</x:f>
        <x:v>0.042800000000000005</x:v>
      </x:c>
      <x:c r="H133" s="1" t="n">
        <x:f>IF('Inventory inputs'!I133&gt;0,'Inventory inputs'!I133*'Inventory inputs'!K133/'Inventory inputs'!J133,"n.a.")</x:f>
        <x:v>0.049980000000000004</x:v>
      </x:c>
      <x:c r="I133" s="1" t="n">
        <x:f>'Inventory inputs'!L133</x:f>
        <x:v>0</x:v>
      </x:c>
      <x:c r="J133" s="1" t="n">
        <x:f>'Inventory inputs'!M133</x:f>
        <x:v>0</x:v>
      </x:c>
      <x:c r="K133" s="1" t="n">
        <x:f>'Inventory inputs'!N133</x:f>
        <x:v>22500</x:v>
      </x:c>
      <x:c r="L133" s="1" t="n">
        <x:f>'Inventory inputs'!O133</x:f>
        <x:v>0</x:v>
      </x:c>
      <x:c r="M133" s="9" t="n">
        <x:f>E133*G133</x:f>
        <x:v>963.0000000000001</x:v>
      </x:c>
      <x:c r="N133" s="9" t="n">
        <x:f>'Inventory inputs'!Q133</x:f>
        <x:v>963</x:v>
      </x:c>
      <x:c r="O133" s="9" t="n">
        <x:f>N133-M133</x:f>
        <x:v>-1.1368683772161603e-13</x:v>
      </x:c>
      <x:c r="P133" s="1" t="n">
        <x:f>SUMIFS('Incoming POs'!$P$2:$P$305,'Incoming POs'!$A$2:$A$305,A133,'Incoming POs'!$B$2:$B$305,B133,'Incoming POs'!$C$2:$C$305,C133,'Incoming POs'!$G$2:$G$305,"&gt;="&amp;D133,'Incoming POs'!$G$2:$G$305,"&lt;"&amp;Dashboard!$I$5)</x:f>
        <x:v>0</x:v>
      </x:c>
      <x:c r="Q133" s="1" t="n">
        <x:f>F133*Dashboard!$L$5*MAX(0,Dashboard!$I$5-D133)/30.4375</x:f>
        <x:v>4280.08657084189</x:v>
      </x:c>
      <x:c r="R133" s="1" t="n">
        <x:f>MAX(0,E133+P133-Q133)</x:f>
        <x:v>18219.91342915811</x:v>
      </x:c>
      <x:c r="S133" s="1" t="n">
        <x:f>MAX(0,Q133-E133-P133)</x:f>
        <x:v>0</x:v>
      </x:c>
      <x:c r="T133" s="1" t="str">
        <x:f>IF(L133=1,MAX(0,I133+AB133-MIN(Q133,E133+P133)),"n.a.")</x:f>
        <x:v>n.a.</x:v>
      </x:c>
      <x:c r="U133" s="9" t="str">
        <x:f>IF(ISNUMBER(T133),T133*G133,"n.a.")</x:f>
        <x:v>n.a.</x:v>
      </x:c>
      <x:c r="V133" s="25" t="n">
        <x:f>IF(Dashboard!$I$6="Flat %",1,IF(ISNUMBER(H133),1,0))</x:f>
        <x:v>1</x:v>
      </x:c>
      <x:c r="W133" s="9" t="n">
        <x:f>IF(Dashboard!$I$6="Flat %",G133*(1+Dashboard!$L$6),H133)</x:f>
        <x:v>0.049980000000000004</x:v>
      </x:c>
      <x:c r="X133" s="9" t="n">
        <x:f>IF(V133=1,R133*(W133-G133),"n.a.")</x:f>
        <x:v>130.8189784213552</x:v>
      </x:c>
      <x:c r="Y133" s="9" t="n">
        <x:f>IF(V133=1,R133*W133,"n.a.")</x:f>
        <x:v>910.6312731893224</x:v>
      </x:c>
      <x:c r="Z133" s="1" t="str">
        <x:f>IF(ISNUMBER(T133),R133-T133,"n.a.")</x:f>
        <x:v>n.a.</x:v>
      </x:c>
      <x:c r="AA133" s="1" t="str">
        <x:f>'Inventory inputs'!R133</x:f>
        <x:v>Review receipt reconciliation or original PO baseline</x:v>
      </x:c>
      <x:c r="AB133" s="1" t="str">
        <x:f>IF(L133=1,SUMIFS('Incoming POs'!$P$2:$P$305,'Incoming POs'!$A$2:$A$305,A133,'Incoming POs'!$B$2:$B$305,B133,'Incoming POs'!$C$2:$C$305,C133,'Incoming POs'!$G$2:$G$305,"&gt;="&amp;D133,'Incoming POs'!$G$2:$G$305,"&lt;"&amp;Dashboard!$I$5,'Incoming POs'!$Q$2:$Q$305,"&lt;="&amp;('Inventory inputs'!P133/'Inventory inputs'!J133*1.01)),"n.a.")</x:f>
        <x:v>n.a.</x:v>
      </x:c>
      <x:c r="AC133" s="9" t="n">
        <x:f>I133*G133</x:f>
        <x:v>0</x:v>
      </x:c>
      <x:c r="AD133" s="9" t="n">
        <x:f>J133*G133</x:f>
        <x:v>0</x:v>
      </x:c>
      <x:c r="AE133" s="9" t="n">
        <x:f>K133*G133</x:f>
        <x:v>963.0000000000001</x:v>
      </x:c>
      <x:c r="AF133" s="9" t="n">
        <x:f>R133*G133</x:f>
        <x:v>779.8122947679672</x:v>
      </x:c>
    </x:row>
    <x:row r="134" ht="21" customHeight="1">
      <x:c r="A134" s="1" t="str">
        <x:f>'Inventory inputs'!A134</x:f>
        <x:v>PLAS</x:v>
      </x:c>
      <x:c r="B134" s="1" t="str">
        <x:f>'Inventory inputs'!B134</x:f>
        <x:v>10</x:v>
      </x:c>
      <x:c r="C134" s="1" t="str">
        <x:f>'Inventory inputs'!C134</x:f>
        <x:v>05815RWBBLK</x:v>
      </x:c>
      <x:c r="D134" s="7" t="n">
        <x:f>'Inventory inputs'!E134</x:f>
        <x:v>46303</x:v>
      </x:c>
      <x:c r="E134" s="1" t="n">
        <x:f>'Inventory inputs'!F134</x:f>
        <x:v>5700</x:v>
      </x:c>
      <x:c r="F134" s="1" t="n">
        <x:f>'Inventory inputs'!G134</x:f>
        <x:v>2916.66</x:v>
      </x:c>
      <x:c r="G134" s="1" t="n">
        <x:f>'Inventory inputs'!H134/'Inventory inputs'!J134</x:f>
        <x:v>0.030899999999999997</x:v>
      </x:c>
      <x:c r="H134" s="1" t="n">
        <x:f>IF('Inventory inputs'!I134&gt;0,'Inventory inputs'!I134*'Inventory inputs'!K134/'Inventory inputs'!J134,"n.a.")</x:f>
        <x:v>0.036162</x:v>
      </x:c>
      <x:c r="I134" s="1" t="n">
        <x:f>'Inventory inputs'!L134</x:f>
        <x:v>2700</x:v>
      </x:c>
      <x:c r="J134" s="1" t="n">
        <x:f>'Inventory inputs'!M134</x:f>
        <x:v>3000</x:v>
      </x:c>
      <x:c r="K134" s="1" t="n">
        <x:f>'Inventory inputs'!N134</x:f>
        <x:v>0</x:v>
      </x:c>
      <x:c r="L134" s="1" t="n">
        <x:f>'Inventory inputs'!O134</x:f>
        <x:v>1</x:v>
      </x:c>
      <x:c r="M134" s="9" t="n">
        <x:f>E134*G134</x:f>
        <x:v>176.13</x:v>
      </x:c>
      <x:c r="N134" s="9" t="n">
        <x:f>'Inventory inputs'!Q134</x:f>
        <x:v>176.13</x:v>
      </x:c>
      <x:c r="O134" s="9" t="n">
        <x:f>N134-M134</x:f>
        <x:v>0</x:v>
      </x:c>
      <x:c r="P134" s="1" t="n">
        <x:f>SUMIFS('Incoming POs'!$P$2:$P$305,'Incoming POs'!$A$2:$A$305,A134,'Incoming POs'!$B$2:$B$305,B134,'Incoming POs'!$C$2:$C$305,C134,'Incoming POs'!$G$2:$G$305,"&gt;="&amp;D134,'Incoming POs'!$G$2:$G$305,"&lt;"&amp;Dashboard!$I$5)</x:f>
        <x:v>0</x:v>
      </x:c>
      <x:c r="Q134" s="1" t="n">
        <x:f>F134*Dashboard!$L$5*MAX(0,Dashboard!$I$5-D134)/30.4375</x:f>
        <x:v>3880.8946201232034</x:v>
      </x:c>
      <x:c r="R134" s="1" t="n">
        <x:f>MAX(0,E134+P134-Q134)</x:f>
        <x:v>1819.1053798767966</x:v>
      </x:c>
      <x:c r="S134" s="1" t="n">
        <x:f>MAX(0,Q134-E134-P134)</x:f>
        <x:v>0</x:v>
      </x:c>
      <x:c r="T134" s="1" t="n">
        <x:f>IF(L134=1,MAX(0,I134+AB134-MIN(Q134,E134+P134)),"n.a.")</x:f>
        <x:v>0</x:v>
      </x:c>
      <x:c r="U134" s="9" t="n">
        <x:f>IF(ISNUMBER(T134),T134*G134,"n.a.")</x:f>
        <x:v>0</x:v>
      </x:c>
      <x:c r="V134" s="25" t="n">
        <x:f>IF(Dashboard!$I$6="Flat %",1,IF(ISNUMBER(H134),1,0))</x:f>
        <x:v>1</x:v>
      </x:c>
      <x:c r="W134" s="9" t="n">
        <x:f>IF(Dashboard!$I$6="Flat %",G134*(1+Dashboard!$L$6),H134)</x:f>
        <x:v>0.036162</x:v>
      </x:c>
      <x:c r="X134" s="9" t="n">
        <x:f>IF(V134=1,R134*(W134-G134),"n.a.")</x:f>
        <x:v>9.572132508911709</x:v>
      </x:c>
      <x:c r="Y134" s="9" t="n">
        <x:f>IF(V134=1,R134*W134,"n.a.")</x:f>
        <x:v>65.78248874710472</x:v>
      </x:c>
      <x:c r="Z134" s="1" t="n">
        <x:f>IF(ISNUMBER(T134),R134-T134,"n.a.")</x:f>
        <x:v>1819.1053798767966</x:v>
      </x:c>
      <x:c r="AA134" s="1" t="str">
        <x:f>'Inventory inputs'!R134</x:f>
        <x:v>Classified</x:v>
      </x:c>
      <x:c r="AB134" s="1" t="n">
        <x:f>IF(L134=1,SUMIFS('Incoming POs'!$P$2:$P$305,'Incoming POs'!$A$2:$A$305,A134,'Incoming POs'!$B$2:$B$305,B134,'Incoming POs'!$C$2:$C$305,C134,'Incoming POs'!$G$2:$G$305,"&gt;="&amp;D134,'Incoming POs'!$G$2:$G$305,"&lt;"&amp;Dashboard!$I$5,'Incoming POs'!$Q$2:$Q$305,"&lt;="&amp;('Inventory inputs'!P134/'Inventory inputs'!J134*1.01)),"n.a.")</x:f>
        <x:v>0</x:v>
      </x:c>
      <x:c r="AC134" s="9" t="n">
        <x:f>I134*G134</x:f>
        <x:v>83.42999999999999</x:v>
      </x:c>
      <x:c r="AD134" s="9" t="n">
        <x:f>J134*G134</x:f>
        <x:v>92.69999999999999</x:v>
      </x:c>
      <x:c r="AE134" s="9" t="n">
        <x:f>K134*G134</x:f>
        <x:v>0</x:v>
      </x:c>
      <x:c r="AF134" s="9" t="n">
        <x:f>R134*G134</x:f>
        <x:v>56.21035623819301</x:v>
      </x:c>
    </x:row>
    <x:row r="135" ht="21" customHeight="1">
      <x:c r="A135" s="1" t="str">
        <x:f>'Inventory inputs'!A135</x:f>
        <x:v>PLAS</x:v>
      </x:c>
      <x:c r="B135" s="1" t="str">
        <x:f>'Inventory inputs'!B135</x:f>
        <x:v>30</x:v>
      </x:c>
      <x:c r="C135" s="1" t="str">
        <x:f>'Inventory inputs'!C135</x:f>
        <x:v>71619RWBBLK</x:v>
      </x:c>
      <x:c r="D135" s="7" t="n">
        <x:f>'Inventory inputs'!E135</x:f>
        <x:v>46303</x:v>
      </x:c>
      <x:c r="E135" s="1" t="n">
        <x:f>'Inventory inputs'!F135</x:f>
        <x:v>3800</x:v>
      </x:c>
      <x:c r="F135" s="1" t="n">
        <x:f>'Inventory inputs'!G135</x:f>
        <x:v>2650</x:v>
      </x:c>
      <x:c r="G135" s="1" t="n">
        <x:f>'Inventory inputs'!H135/'Inventory inputs'!J135</x:f>
        <x:v>0.0315</x:v>
      </x:c>
      <x:c r="H135" s="1" t="n">
        <x:f>IF('Inventory inputs'!I135&gt;0,'Inventory inputs'!I135*'Inventory inputs'!K135/'Inventory inputs'!J135,"n.a.")</x:f>
        <x:v>0.03675</x:v>
      </x:c>
      <x:c r="I135" s="1" t="n">
        <x:f>'Inventory inputs'!L135</x:f>
        <x:v>0</x:v>
      </x:c>
      <x:c r="J135" s="1" t="n">
        <x:f>'Inventory inputs'!M135</x:f>
        <x:v>0</x:v>
      </x:c>
      <x:c r="K135" s="1" t="n">
        <x:f>'Inventory inputs'!N135</x:f>
        <x:v>3800</x:v>
      </x:c>
      <x:c r="L135" s="1" t="n">
        <x:f>'Inventory inputs'!O135</x:f>
        <x:v>0</x:v>
      </x:c>
      <x:c r="M135" s="9" t="n">
        <x:f>E135*G135</x:f>
        <x:v>119.7</x:v>
      </x:c>
      <x:c r="N135" s="9" t="n">
        <x:f>'Inventory inputs'!Q135</x:f>
        <x:v>119.7</x:v>
      </x:c>
      <x:c r="O135" s="9" t="n">
        <x:f>N135-M135</x:f>
        <x:v>0</x:v>
      </x:c>
      <x:c r="P135" s="1" t="n">
        <x:f>SUMIFS('Incoming POs'!$P$2:$P$305,'Incoming POs'!$A$2:$A$305,A135,'Incoming POs'!$B$2:$B$305,B135,'Incoming POs'!$C$2:$C$305,C135,'Incoming POs'!$G$2:$G$305,"&gt;="&amp;D135,'Incoming POs'!$G$2:$G$305,"&lt;"&amp;Dashboard!$I$5)</x:f>
        <x:v>0</x:v>
      </x:c>
      <x:c r="Q135" s="1" t="n">
        <x:f>F135*Dashboard!$L$5*MAX(0,Dashboard!$I$5-D135)/30.4375</x:f>
        <x:v>3526.078028747433</x:v>
      </x:c>
      <x:c r="R135" s="1" t="n">
        <x:f>MAX(0,E135+P135-Q135)</x:f>
        <x:v>273.9219712525669</x:v>
      </x:c>
      <x:c r="S135" s="1" t="n">
        <x:f>MAX(0,Q135-E135-P135)</x:f>
        <x:v>0</x:v>
      </x:c>
      <x:c r="T135" s="1" t="str">
        <x:f>IF(L135=1,MAX(0,I135+AB135-MIN(Q135,E135+P135)),"n.a.")</x:f>
        <x:v>n.a.</x:v>
      </x:c>
      <x:c r="U135" s="9" t="str">
        <x:f>IF(ISNUMBER(T135),T135*G135,"n.a.")</x:f>
        <x:v>n.a.</x:v>
      </x:c>
      <x:c r="V135" s="25" t="n">
        <x:f>IF(Dashboard!$I$6="Flat %",1,IF(ISNUMBER(H135),1,0))</x:f>
        <x:v>1</x:v>
      </x:c>
      <x:c r="W135" s="9" t="n">
        <x:f>IF(Dashboard!$I$6="Flat %",G135*(1+Dashboard!$L$6),H135)</x:f>
        <x:v>0.03675</x:v>
      </x:c>
      <x:c r="X135" s="9" t="n">
        <x:f>IF(V135=1,R135*(W135-G135),"n.a.")</x:f>
        <x:v>1.4380903490759755</x:v>
      </x:c>
      <x:c r="Y135" s="9" t="n">
        <x:f>IF(V135=1,R135*W135,"n.a.")</x:f>
        <x:v>10.066632443531832</x:v>
      </x:c>
      <x:c r="Z135" s="1" t="str">
        <x:f>IF(ISNUMBER(T135),R135-T135,"n.a.")</x:f>
        <x:v>n.a.</x:v>
      </x:c>
      <x:c r="AA135" s="1" t="str">
        <x:f>'Inventory inputs'!R135</x:f>
        <x:v>Review receipt reconciliation or original PO baseline</x:v>
      </x:c>
      <x:c r="AB135" s="1" t="str">
        <x:f>IF(L135=1,SUMIFS('Incoming POs'!$P$2:$P$305,'Incoming POs'!$A$2:$A$305,A135,'Incoming POs'!$B$2:$B$305,B135,'Incoming POs'!$C$2:$C$305,C135,'Incoming POs'!$G$2:$G$305,"&gt;="&amp;D135,'Incoming POs'!$G$2:$G$305,"&lt;"&amp;Dashboard!$I$5,'Incoming POs'!$Q$2:$Q$305,"&lt;="&amp;('Inventory inputs'!P135/'Inventory inputs'!J135*1.01)),"n.a.")</x:f>
        <x:v>n.a.</x:v>
      </x:c>
      <x:c r="AC135" s="9" t="n">
        <x:f>I135*G135</x:f>
        <x:v>0</x:v>
      </x:c>
      <x:c r="AD135" s="9" t="n">
        <x:f>J135*G135</x:f>
        <x:v>0</x:v>
      </x:c>
      <x:c r="AE135" s="9" t="n">
        <x:f>K135*G135</x:f>
        <x:v>119.7</x:v>
      </x:c>
      <x:c r="AF135" s="9" t="n">
        <x:f>R135*G135</x:f>
        <x:v>8.628542094455858</x:v>
      </x:c>
    </x:row>
    <x:row r="136" ht="21" customHeight="1">
      <x:c r="A136" s="1" t="str">
        <x:f>'Inventory inputs'!A136</x:f>
        <x:v>PLAS</x:v>
      </x:c>
      <x:c r="B136" s="1" t="str">
        <x:f>'Inventory inputs'!B136</x:f>
        <x:v>30</x:v>
      </x:c>
      <x:c r="C136" s="1" t="str">
        <x:f>'Inventory inputs'!C136</x:f>
        <x:v>03419RWBBLK</x:v>
      </x:c>
      <x:c r="D136" s="7" t="n">
        <x:f>'Inventory inputs'!E136</x:f>
        <x:v>46303</x:v>
      </x:c>
      <x:c r="E136" s="1" t="n">
        <x:f>'Inventory inputs'!F136</x:f>
        <x:v>19000</x:v>
      </x:c>
      <x:c r="F136" s="1" t="n">
        <x:f>'Inventory inputs'!G136</x:f>
        <x:v>2533.33</x:v>
      </x:c>
      <x:c r="G136" s="1" t="n">
        <x:f>'Inventory inputs'!H136/'Inventory inputs'!J136</x:f>
        <x:v>0.0625</x:v>
      </x:c>
      <x:c r="H136" s="1" t="n">
        <x:f>IF('Inventory inputs'!I136&gt;0,'Inventory inputs'!I136*'Inventory inputs'!K136/'Inventory inputs'!J136,"n.a.")</x:f>
        <x:v>0.073059</x:v>
      </x:c>
      <x:c r="I136" s="1" t="n">
        <x:f>'Inventory inputs'!L136</x:f>
        <x:v>0</x:v>
      </x:c>
      <x:c r="J136" s="1" t="n">
        <x:f>'Inventory inputs'!M136</x:f>
        <x:v>0</x:v>
      </x:c>
      <x:c r="K136" s="1" t="n">
        <x:f>'Inventory inputs'!N136</x:f>
        <x:v>19000</x:v>
      </x:c>
      <x:c r="L136" s="1" t="n">
        <x:f>'Inventory inputs'!O136</x:f>
        <x:v>0</x:v>
      </x:c>
      <x:c r="M136" s="9" t="n">
        <x:f>E136*G136</x:f>
        <x:v>1187.5</x:v>
      </x:c>
      <x:c r="N136" s="9" t="n">
        <x:f>'Inventory inputs'!Q136</x:f>
        <x:v>1187.5</x:v>
      </x:c>
      <x:c r="O136" s="9" t="n">
        <x:f>N136-M136</x:f>
        <x:v>0</x:v>
      </x:c>
      <x:c r="P136" s="1" t="n">
        <x:f>SUMIFS('Incoming POs'!$P$2:$P$305,'Incoming POs'!$A$2:$A$305,A136,'Incoming POs'!$B$2:$B$305,B136,'Incoming POs'!$C$2:$C$305,C136,'Incoming POs'!$G$2:$G$305,"&gt;="&amp;D136,'Incoming POs'!$G$2:$G$305,"&lt;"&amp;Dashboard!$I$5)</x:f>
        <x:v>0</x:v>
      </x:c>
      <x:c r="Q136" s="1" t="n">
        <x:f>F136*Dashboard!$L$5*MAX(0,Dashboard!$I$5-D136)/30.4375</x:f>
        <x:v>3370.8374537987675</x:v>
      </x:c>
      <x:c r="R136" s="1" t="n">
        <x:f>MAX(0,E136+P136-Q136)</x:f>
        <x:v>15629.162546201233</x:v>
      </x:c>
      <x:c r="S136" s="1" t="n">
        <x:f>MAX(0,Q136-E136-P136)</x:f>
        <x:v>0</x:v>
      </x:c>
      <x:c r="T136" s="1" t="str">
        <x:f>IF(L136=1,MAX(0,I136+AB136-MIN(Q136,E136+P136)),"n.a.")</x:f>
        <x:v>n.a.</x:v>
      </x:c>
      <x:c r="U136" s="9" t="str">
        <x:f>IF(ISNUMBER(T136),T136*G136,"n.a.")</x:f>
        <x:v>n.a.</x:v>
      </x:c>
      <x:c r="V136" s="25" t="n">
        <x:f>IF(Dashboard!$I$6="Flat %",1,IF(ISNUMBER(H136),1,0))</x:f>
        <x:v>1</x:v>
      </x:c>
      <x:c r="W136" s="9" t="n">
        <x:f>IF(Dashboard!$I$6="Flat %",G136*(1+Dashboard!$L$6),H136)</x:f>
        <x:v>0.073059</x:v>
      </x:c>
      <x:c r="X136" s="9" t="n">
        <x:f>IF(V136=1,R136*(W136-G136),"n.a.")</x:f>
        <x:v>165.0283273253388</x:v>
      </x:c>
      <x:c r="Y136" s="9" t="n">
        <x:f>IF(V136=1,R136*W136,"n.a.")</x:f>
        <x:v>1141.850986462916</x:v>
      </x:c>
      <x:c r="Z136" s="1" t="str">
        <x:f>IF(ISNUMBER(T136),R136-T136,"n.a.")</x:f>
        <x:v>n.a.</x:v>
      </x:c>
      <x:c r="AA136" s="1" t="str">
        <x:f>'Inventory inputs'!R136</x:f>
        <x:v>Review receipt reconciliation or original PO baseline</x:v>
      </x:c>
      <x:c r="AB136" s="1" t="str">
        <x:f>IF(L136=1,SUMIFS('Incoming POs'!$P$2:$P$305,'Incoming POs'!$A$2:$A$305,A136,'Incoming POs'!$B$2:$B$305,B136,'Incoming POs'!$C$2:$C$305,C136,'Incoming POs'!$G$2:$G$305,"&gt;="&amp;D136,'Incoming POs'!$G$2:$G$305,"&lt;"&amp;Dashboard!$I$5,'Incoming POs'!$Q$2:$Q$305,"&lt;="&amp;('Inventory inputs'!P136/'Inventory inputs'!J136*1.01)),"n.a.")</x:f>
        <x:v>n.a.</x:v>
      </x:c>
      <x:c r="AC136" s="9" t="n">
        <x:f>I136*G136</x:f>
        <x:v>0</x:v>
      </x:c>
      <x:c r="AD136" s="9" t="n">
        <x:f>J136*G136</x:f>
        <x:v>0</x:v>
      </x:c>
      <x:c r="AE136" s="9" t="n">
        <x:f>K136*G136</x:f>
        <x:v>1187.5</x:v>
      </x:c>
      <x:c r="AF136" s="9" t="n">
        <x:f>R136*G136</x:f>
        <x:v>976.822659137577</x:v>
      </x:c>
    </x:row>
    <x:row r="137" ht="21" customHeight="1">
      <x:c r="A137" s="1" t="str">
        <x:f>'Inventory inputs'!A137</x:f>
        <x:v>PLAS</x:v>
      </x:c>
      <x:c r="B137" s="1" t="str">
        <x:f>'Inventory inputs'!B137</x:f>
        <x:v>10</x:v>
      </x:c>
      <x:c r="C137" s="1" t="str">
        <x:f>'Inventory inputs'!C137</x:f>
        <x:v>03415RWBBLK</x:v>
      </x:c>
      <x:c r="D137" s="7" t="n">
        <x:f>'Inventory inputs'!E137</x:f>
        <x:v>46303</x:v>
      </x:c>
      <x:c r="E137" s="1" t="n">
        <x:f>'Inventory inputs'!F137</x:f>
        <x:v>18235</x:v>
      </x:c>
      <x:c r="F137" s="1" t="n">
        <x:f>'Inventory inputs'!G137</x:f>
        <x:v>2500</x:v>
      </x:c>
      <x:c r="G137" s="1" t="n">
        <x:f>'Inventory inputs'!H137/'Inventory inputs'!J137</x:f>
        <x:v>0.044000000000000004</x:v>
      </x:c>
      <x:c r="H137" s="1" t="n">
        <x:f>IF('Inventory inputs'!I137&gt;0,'Inventory inputs'!I137*'Inventory inputs'!K137/'Inventory inputs'!J137,"n.a.")</x:f>
        <x:v>0.051449999999999996</x:v>
      </x:c>
      <x:c r="I137" s="1" t="n">
        <x:f>'Inventory inputs'!L137</x:f>
        <x:v>13235</x:v>
      </x:c>
      <x:c r="J137" s="1" t="n">
        <x:f>'Inventory inputs'!M137</x:f>
        <x:v>5000</x:v>
      </x:c>
      <x:c r="K137" s="1" t="n">
        <x:f>'Inventory inputs'!N137</x:f>
        <x:v>0</x:v>
      </x:c>
      <x:c r="L137" s="1" t="n">
        <x:f>'Inventory inputs'!O137</x:f>
        <x:v>1</x:v>
      </x:c>
      <x:c r="M137" s="9" t="n">
        <x:f>E137*G137</x:f>
        <x:v>802.34</x:v>
      </x:c>
      <x:c r="N137" s="9" t="n">
        <x:f>'Inventory inputs'!Q137</x:f>
        <x:v>802.34</x:v>
      </x:c>
      <x:c r="O137" s="9" t="n">
        <x:f>N137-M137</x:f>
        <x:v>0</x:v>
      </x:c>
      <x:c r="P137" s="1" t="n">
        <x:f>SUMIFS('Incoming POs'!$P$2:$P$305,'Incoming POs'!$A$2:$A$305,A137,'Incoming POs'!$B$2:$B$305,B137,'Incoming POs'!$C$2:$C$305,C137,'Incoming POs'!$G$2:$G$305,"&gt;="&amp;D137,'Incoming POs'!$G$2:$G$305,"&lt;"&amp;Dashboard!$I$5)</x:f>
        <x:v>0</x:v>
      </x:c>
      <x:c r="Q137" s="1" t="n">
        <x:f>F137*Dashboard!$L$5*MAX(0,Dashboard!$I$5-D137)/30.4375</x:f>
        <x:v>3326.4887063655033</x:v>
      </x:c>
      <x:c r="R137" s="1" t="n">
        <x:f>MAX(0,E137+P137-Q137)</x:f>
        <x:v>14908.511293634496</x:v>
      </x:c>
      <x:c r="S137" s="1" t="n">
        <x:f>MAX(0,Q137-E137-P137)</x:f>
        <x:v>0</x:v>
      </x:c>
      <x:c r="T137" s="1" t="n">
        <x:f>IF(L137=1,MAX(0,I137+AB137-MIN(Q137,E137+P137)),"n.a.")</x:f>
        <x:v>9908.511293634496</x:v>
      </x:c>
      <x:c r="U137" s="9" t="n">
        <x:f>IF(ISNUMBER(T137),T137*G137,"n.a.")</x:f>
        <x:v>435.97449691991784</x:v>
      </x:c>
      <x:c r="V137" s="25" t="n">
        <x:f>IF(Dashboard!$I$6="Flat %",1,IF(ISNUMBER(H137),1,0))</x:f>
        <x:v>1</x:v>
      </x:c>
      <x:c r="W137" s="9" t="n">
        <x:f>IF(Dashboard!$I$6="Flat %",G137*(1+Dashboard!$L$6),H137)</x:f>
        <x:v>0.051449999999999996</x:v>
      </x:c>
      <x:c r="X137" s="9" t="n">
        <x:f>IF(V137=1,R137*(W137-G137),"n.a.")</x:f>
        <x:v>111.06840913757686</x:v>
      </x:c>
      <x:c r="Y137" s="9" t="n">
        <x:f>IF(V137=1,R137*W137,"n.a.")</x:f>
        <x:v>767.0429060574947</x:v>
      </x:c>
      <x:c r="Z137" s="1" t="n">
        <x:f>IF(ISNUMBER(T137),R137-T137,"n.a.")</x:f>
        <x:v>5000</x:v>
      </x:c>
      <x:c r="AA137" s="1" t="str">
        <x:f>'Inventory inputs'!R137</x:f>
        <x:v>Classified</x:v>
      </x:c>
      <x:c r="AB137" s="1" t="n">
        <x:f>IF(L137=1,SUMIFS('Incoming POs'!$P$2:$P$305,'Incoming POs'!$A$2:$A$305,A137,'Incoming POs'!$B$2:$B$305,B137,'Incoming POs'!$C$2:$C$305,C137,'Incoming POs'!$G$2:$G$305,"&gt;="&amp;D137,'Incoming POs'!$G$2:$G$305,"&lt;"&amp;Dashboard!$I$5,'Incoming POs'!$Q$2:$Q$305,"&lt;="&amp;('Inventory inputs'!P137/'Inventory inputs'!J137*1.01)),"n.a.")</x:f>
        <x:v>0</x:v>
      </x:c>
      <x:c r="AC137" s="9" t="n">
        <x:f>I137*G137</x:f>
        <x:v>582.34</x:v>
      </x:c>
      <x:c r="AD137" s="9" t="n">
        <x:f>J137*G137</x:f>
        <x:v>220.00000000000003</x:v>
      </x:c>
      <x:c r="AE137" s="9" t="n">
        <x:f>K137*G137</x:f>
        <x:v>0</x:v>
      </x:c>
      <x:c r="AF137" s="9" t="n">
        <x:f>R137*G137</x:f>
        <x:v>655.9744969199179</x:v>
      </x:c>
    </x:row>
    <x:row r="138" ht="21" customHeight="1">
      <x:c r="A138" s="1" t="str">
        <x:f>'Inventory inputs'!A138</x:f>
        <x:v>PLAS</x:v>
      </x:c>
      <x:c r="B138" s="1" t="str">
        <x:f>'Inventory inputs'!B138</x:f>
        <x:v>10</x:v>
      </x:c>
      <x:c r="C138" s="1" t="str">
        <x:f>'Inventory inputs'!C138</x:f>
        <x:v>01215RWBBLK</x:v>
      </x:c>
      <x:c r="D138" s="7" t="n">
        <x:f>'Inventory inputs'!E138</x:f>
        <x:v>46303</x:v>
      </x:c>
      <x:c r="E138" s="1" t="n">
        <x:f>'Inventory inputs'!F138</x:f>
        <x:v>14500</x:v>
      </x:c>
      <x:c r="F138" s="1" t="n">
        <x:f>'Inventory inputs'!G138</x:f>
        <x:v>2458.33</x:v>
      </x:c>
      <x:c r="G138" s="1" t="n">
        <x:f>'Inventory inputs'!H138/'Inventory inputs'!J138</x:f>
        <x:v>0.025</x:v>
      </x:c>
      <x:c r="H138" s="1" t="n">
        <x:f>IF('Inventory inputs'!I138&gt;0,'Inventory inputs'!I138*'Inventory inputs'!K138/'Inventory inputs'!J138,"n.a.")</x:f>
        <x:v>0.029253</x:v>
      </x:c>
      <x:c r="I138" s="1" t="n">
        <x:f>'Inventory inputs'!L138</x:f>
        <x:v>8500</x:v>
      </x:c>
      <x:c r="J138" s="1" t="n">
        <x:f>'Inventory inputs'!M138</x:f>
        <x:v>6000</x:v>
      </x:c>
      <x:c r="K138" s="1" t="n">
        <x:f>'Inventory inputs'!N138</x:f>
        <x:v>0</x:v>
      </x:c>
      <x:c r="L138" s="1" t="n">
        <x:f>'Inventory inputs'!O138</x:f>
        <x:v>1</x:v>
      </x:c>
      <x:c r="M138" s="9" t="n">
        <x:f>E138*G138</x:f>
        <x:v>362.5</x:v>
      </x:c>
      <x:c r="N138" s="9" t="n">
        <x:f>'Inventory inputs'!Q138</x:f>
        <x:v>362.5</x:v>
      </x:c>
      <x:c r="O138" s="9" t="n">
        <x:f>N138-M138</x:f>
        <x:v>0</x:v>
      </x:c>
      <x:c r="P138" s="1" t="n">
        <x:f>SUMIFS('Incoming POs'!$P$2:$P$305,'Incoming POs'!$A$2:$A$305,A138,'Incoming POs'!$B$2:$B$305,B138,'Incoming POs'!$C$2:$C$305,C138,'Incoming POs'!$G$2:$G$305,"&gt;="&amp;D138,'Incoming POs'!$G$2:$G$305,"&lt;"&amp;Dashboard!$I$5)</x:f>
        <x:v>0</x:v>
      </x:c>
      <x:c r="Q138" s="1" t="n">
        <x:f>F138*Dashboard!$L$5*MAX(0,Dashboard!$I$5-D138)/30.4375</x:f>
        <x:v>3271.0427926078028</x:v>
      </x:c>
      <x:c r="R138" s="1" t="n">
        <x:f>MAX(0,E138+P138-Q138)</x:f>
        <x:v>11228.957207392197</x:v>
      </x:c>
      <x:c r="S138" s="1" t="n">
        <x:f>MAX(0,Q138-E138-P138)</x:f>
        <x:v>0</x:v>
      </x:c>
      <x:c r="T138" s="1" t="n">
        <x:f>IF(L138=1,MAX(0,I138+AB138-MIN(Q138,E138+P138)),"n.a.")</x:f>
        <x:v>5228.957207392197</x:v>
      </x:c>
      <x:c r="U138" s="9" t="n">
        <x:f>IF(ISNUMBER(T138),T138*G138,"n.a.")</x:f>
        <x:v>130.72393018480494</x:v>
      </x:c>
      <x:c r="V138" s="25" t="n">
        <x:f>IF(Dashboard!$I$6="Flat %",1,IF(ISNUMBER(H138),1,0))</x:f>
        <x:v>1</x:v>
      </x:c>
      <x:c r="W138" s="9" t="n">
        <x:f>IF(Dashboard!$I$6="Flat %",G138*(1+Dashboard!$L$6),H138)</x:f>
        <x:v>0.029253</x:v>
      </x:c>
      <x:c r="X138" s="9" t="n">
        <x:f>IF(V138=1,R138*(W138-G138),"n.a.")</x:f>
        <x:v>47.75675500303901</x:v>
      </x:c>
      <x:c r="Y138" s="9" t="n">
        <x:f>IF(V138=1,R138*W138,"n.a.")</x:f>
        <x:v>328.48068518784396</x:v>
      </x:c>
      <x:c r="Z138" s="1" t="n">
        <x:f>IF(ISNUMBER(T138),R138-T138,"n.a.")</x:f>
        <x:v>6000</x:v>
      </x:c>
      <x:c r="AA138" s="1" t="str">
        <x:f>'Inventory inputs'!R138</x:f>
        <x:v>Classified</x:v>
      </x:c>
      <x:c r="AB138" s="1" t="n">
        <x:f>IF(L138=1,SUMIFS('Incoming POs'!$P$2:$P$305,'Incoming POs'!$A$2:$A$305,A138,'Incoming POs'!$B$2:$B$305,B138,'Incoming POs'!$C$2:$C$305,C138,'Incoming POs'!$G$2:$G$305,"&gt;="&amp;D138,'Incoming POs'!$G$2:$G$305,"&lt;"&amp;Dashboard!$I$5,'Incoming POs'!$Q$2:$Q$305,"&lt;="&amp;('Inventory inputs'!P138/'Inventory inputs'!J138*1.01)),"n.a.")</x:f>
        <x:v>0</x:v>
      </x:c>
      <x:c r="AC138" s="9" t="n">
        <x:f>I138*G138</x:f>
        <x:v>212.5</x:v>
      </x:c>
      <x:c r="AD138" s="9" t="n">
        <x:f>J138*G138</x:f>
        <x:v>150</x:v>
      </x:c>
      <x:c r="AE138" s="9" t="n">
        <x:f>K138*G138</x:f>
        <x:v>0</x:v>
      </x:c>
      <x:c r="AF138" s="9" t="n">
        <x:f>R138*G138</x:f>
        <x:v>280.72393018480494</x:v>
      </x:c>
    </x:row>
    <x:row r="139" ht="21" customHeight="1">
      <x:c r="A139" s="1" t="str">
        <x:f>'Inventory inputs'!A139</x:f>
        <x:v>PLAS</x:v>
      </x:c>
      <x:c r="B139" s="1" t="str">
        <x:f>'Inventory inputs'!B139</x:f>
        <x:v>10</x:v>
      </x:c>
      <x:c r="C139" s="1" t="str">
        <x:f>'Inventory inputs'!C139</x:f>
        <x:v>03819RWBBLU</x:v>
      </x:c>
      <x:c r="D139" s="7" t="n">
        <x:f>'Inventory inputs'!E139</x:f>
        <x:v>46303</x:v>
      </x:c>
      <x:c r="E139" s="1" t="n">
        <x:f>'Inventory inputs'!F139</x:f>
        <x:v>0</x:v>
      </x:c>
      <x:c r="F139" s="1" t="n">
        <x:f>'Inventory inputs'!G139</x:f>
        <x:v>2450.01</x:v>
      </x:c>
      <x:c r="G139" s="1" t="n">
        <x:f>'Inventory inputs'!H139/'Inventory inputs'!J139</x:f>
        <x:v>0.0248</x:v>
      </x:c>
      <x:c r="H139" s="1" t="n">
        <x:f>IF('Inventory inputs'!I139&gt;0,'Inventory inputs'!I139*'Inventory inputs'!K139/'Inventory inputs'!J139,"n.a.")</x:f>
        <x:v>0.029106</x:v>
      </x:c>
      <x:c r="I139" s="1" t="n">
        <x:f>'Inventory inputs'!L139</x:f>
        <x:v>0</x:v>
      </x:c>
      <x:c r="J139" s="1" t="n">
        <x:f>'Inventory inputs'!M139</x:f>
        <x:v>0</x:v>
      </x:c>
      <x:c r="K139" s="1" t="n">
        <x:f>'Inventory inputs'!N139</x:f>
        <x:v>0</x:v>
      </x:c>
      <x:c r="L139" s="1" t="n">
        <x:f>'Inventory inputs'!O139</x:f>
        <x:v>1</x:v>
      </x:c>
      <x:c r="M139" s="9" t="n">
        <x:f>E139*G139</x:f>
        <x:v>0</x:v>
      </x:c>
      <x:c r="N139" s="9" t="n">
        <x:f>'Inventory inputs'!Q139</x:f>
        <x:v>0</x:v>
      </x:c>
      <x:c r="O139" s="9" t="n">
        <x:f>N139-M139</x:f>
        <x:v>0</x:v>
      </x:c>
      <x:c r="P139" s="1" t="n">
        <x:f>SUMIFS('Incoming POs'!$P$2:$P$305,'Incoming POs'!$A$2:$A$305,A139,'Incoming POs'!$B$2:$B$305,B139,'Incoming POs'!$C$2:$C$305,C139,'Incoming POs'!$G$2:$G$305,"&gt;="&amp;D139,'Incoming POs'!$G$2:$G$305,"&lt;"&amp;Dashboard!$I$5)</x:f>
        <x:v>20000</x:v>
      </x:c>
      <x:c r="Q139" s="1" t="n">
        <x:f>F139*Dashboard!$L$5*MAX(0,Dashboard!$I$5-D139)/30.4375</x:f>
        <x:v>3259.9722381930187</x:v>
      </x:c>
      <x:c r="R139" s="1" t="n">
        <x:f>MAX(0,E139+P139-Q139)</x:f>
        <x:v>16740.02776180698</x:v>
      </x:c>
      <x:c r="S139" s="1" t="n">
        <x:f>MAX(0,Q139-E139-P139)</x:f>
        <x:v>0</x:v>
      </x:c>
      <x:c r="T139" s="1" t="n">
        <x:f>IF(L139=1,MAX(0,I139+AB139-MIN(Q139,E139+P139)),"n.a.")</x:f>
        <x:v>0</x:v>
      </x:c>
      <x:c r="U139" s="9" t="n">
        <x:f>IF(ISNUMBER(T139),T139*G139,"n.a.")</x:f>
        <x:v>0</x:v>
      </x:c>
      <x:c r="V139" s="25" t="n">
        <x:f>IF(Dashboard!$I$6="Flat %",1,IF(ISNUMBER(H139),1,0))</x:f>
        <x:v>1</x:v>
      </x:c>
      <x:c r="W139" s="9" t="n">
        <x:f>IF(Dashboard!$I$6="Flat %",G139*(1+Dashboard!$L$6),H139)</x:f>
        <x:v>0.029106</x:v>
      </x:c>
      <x:c r="X139" s="9" t="n">
        <x:f>IF(V139=1,R139*(W139-G139),"n.a.")</x:f>
        <x:v>72.08255954234087</x:v>
      </x:c>
      <x:c r="Y139" s="9" t="n">
        <x:f>IF(V139=1,R139*W139,"n.a.")</x:f>
        <x:v>487.235248035154</x:v>
      </x:c>
      <x:c r="Z139" s="1" t="n">
        <x:f>IF(ISNUMBER(T139),R139-T139,"n.a.")</x:f>
        <x:v>16740.02776180698</x:v>
      </x:c>
      <x:c r="AA139" s="1" t="str">
        <x:f>'Inventory inputs'!R139</x:f>
        <x:v>Classified</x:v>
      </x:c>
      <x:c r="AB139" s="1" t="n">
        <x:f>IF(L139=1,SUMIFS('Incoming POs'!$P$2:$P$305,'Incoming POs'!$A$2:$A$305,A139,'Incoming POs'!$B$2:$B$305,B139,'Incoming POs'!$C$2:$C$305,C139,'Incoming POs'!$G$2:$G$305,"&gt;="&amp;D139,'Incoming POs'!$G$2:$G$305,"&lt;"&amp;Dashboard!$I$5,'Incoming POs'!$Q$2:$Q$305,"&lt;="&amp;('Inventory inputs'!P139/'Inventory inputs'!J139*1.01)),"n.a.")</x:f>
        <x:v>0</x:v>
      </x:c>
      <x:c r="AC139" s="9" t="n">
        <x:f>I139*G139</x:f>
        <x:v>0</x:v>
      </x:c>
      <x:c r="AD139" s="9" t="n">
        <x:f>J139*G139</x:f>
        <x:v>0</x:v>
      </x:c>
      <x:c r="AE139" s="9" t="n">
        <x:f>K139*G139</x:f>
        <x:v>0</x:v>
      </x:c>
      <x:c r="AF139" s="9" t="n">
        <x:f>R139*G139</x:f>
        <x:v>415.1526884928131</x:v>
      </x:c>
    </x:row>
    <x:row r="140" ht="21" customHeight="1">
      <x:c r="A140" s="1" t="str">
        <x:f>'Inventory inputs'!A140</x:f>
        <x:v>PLAS</x:v>
      </x:c>
      <x:c r="B140" s="1" t="str">
        <x:f>'Inventory inputs'!B140</x:f>
        <x:v>30</x:v>
      </x:c>
      <x:c r="C140" s="1" t="str">
        <x:f>'Inventory inputs'!C140</x:f>
        <x:v>05819RWBBLK</x:v>
      </x:c>
      <x:c r="D140" s="7" t="n">
        <x:f>'Inventory inputs'!E140</x:f>
        <x:v>46303</x:v>
      </x:c>
      <x:c r="E140" s="1" t="n">
        <x:f>'Inventory inputs'!F140</x:f>
        <x:v>10000</x:v>
      </x:c>
      <x:c r="F140" s="1" t="n">
        <x:f>'Inventory inputs'!G140</x:f>
        <x:v>2416.67</x:v>
      </x:c>
      <x:c r="G140" s="1" t="n">
        <x:f>'Inventory inputs'!H140/'Inventory inputs'!J140</x:f>
        <x:v>0.045599999999999995</x:v>
      </x:c>
      <x:c r="H140" s="1" t="n">
        <x:f>IF('Inventory inputs'!I140&gt;0,'Inventory inputs'!I140*'Inventory inputs'!K140/'Inventory inputs'!J140,"n.a.")</x:f>
        <x:v>0.053361</x:v>
      </x:c>
      <x:c r="I140" s="1" t="n">
        <x:f>'Inventory inputs'!L140</x:f>
        <x:v>0</x:v>
      </x:c>
      <x:c r="J140" s="1" t="n">
        <x:f>'Inventory inputs'!M140</x:f>
        <x:v>0</x:v>
      </x:c>
      <x:c r="K140" s="1" t="n">
        <x:f>'Inventory inputs'!N140</x:f>
        <x:v>10000</x:v>
      </x:c>
      <x:c r="L140" s="1" t="n">
        <x:f>'Inventory inputs'!O140</x:f>
        <x:v>0</x:v>
      </x:c>
      <x:c r="M140" s="9" t="n">
        <x:f>E140*G140</x:f>
        <x:v>455.99999999999994</x:v>
      </x:c>
      <x:c r="N140" s="9" t="n">
        <x:f>'Inventory inputs'!Q140</x:f>
        <x:v>455.99999999999994</x:v>
      </x:c>
      <x:c r="O140" s="9" t="n">
        <x:f>N140-M140</x:f>
        <x:v>0</x:v>
      </x:c>
      <x:c r="P140" s="1" t="n">
        <x:f>SUMIFS('Incoming POs'!$P$2:$P$305,'Incoming POs'!$A$2:$A$305,A140,'Incoming POs'!$B$2:$B$305,B140,'Incoming POs'!$C$2:$C$305,C140,'Incoming POs'!$G$2:$G$305,"&gt;="&amp;D140,'Incoming POs'!$G$2:$G$305,"&lt;"&amp;Dashboard!$I$5)</x:f>
        <x:v>0</x:v>
      </x:c>
      <x:c r="Q140" s="1" t="n">
        <x:f>F140*Dashboard!$L$5*MAX(0,Dashboard!$I$5-D140)/30.4375</x:f>
        <x:v>3215.6101848049284</x:v>
      </x:c>
      <x:c r="R140" s="1" t="n">
        <x:f>MAX(0,E140+P140-Q140)</x:f>
        <x:v>6784.389815195072</x:v>
      </x:c>
      <x:c r="S140" s="1" t="n">
        <x:f>MAX(0,Q140-E140-P140)</x:f>
        <x:v>0</x:v>
      </x:c>
      <x:c r="T140" s="1" t="str">
        <x:f>IF(L140=1,MAX(0,I140+AB140-MIN(Q140,E140+P140)),"n.a.")</x:f>
        <x:v>n.a.</x:v>
      </x:c>
      <x:c r="U140" s="9" t="str">
        <x:f>IF(ISNUMBER(T140),T140*G140,"n.a.")</x:f>
        <x:v>n.a.</x:v>
      </x:c>
      <x:c r="V140" s="25" t="n">
        <x:f>IF(Dashboard!$I$6="Flat %",1,IF(ISNUMBER(H140),1,0))</x:f>
        <x:v>1</x:v>
      </x:c>
      <x:c r="W140" s="9" t="n">
        <x:f>IF(Dashboard!$I$6="Flat %",G140*(1+Dashboard!$L$6),H140)</x:f>
        <x:v>0.053361</x:v>
      </x:c>
      <x:c r="X140" s="9" t="n">
        <x:f>IF(V140=1,R140*(W140-G140),"n.a.")</x:f>
        <x:v>52.65364935572898</x:v>
      </x:c>
      <x:c r="Y140" s="9" t="n">
        <x:f>IF(V140=1,R140*W140,"n.a.")</x:f>
        <x:v>362.0218249286242</x:v>
      </x:c>
      <x:c r="Z140" s="1" t="str">
        <x:f>IF(ISNUMBER(T140),R140-T140,"n.a.")</x:f>
        <x:v>n.a.</x:v>
      </x:c>
      <x:c r="AA140" s="1" t="str">
        <x:f>'Inventory inputs'!R140</x:f>
        <x:v>Review receipt reconciliation or original PO baseline</x:v>
      </x:c>
      <x:c r="AB140" s="1" t="str">
        <x:f>IF(L140=1,SUMIFS('Incoming POs'!$P$2:$P$305,'Incoming POs'!$A$2:$A$305,A140,'Incoming POs'!$B$2:$B$305,B140,'Incoming POs'!$C$2:$C$305,C140,'Incoming POs'!$G$2:$G$305,"&gt;="&amp;D140,'Incoming POs'!$G$2:$G$305,"&lt;"&amp;Dashboard!$I$5,'Incoming POs'!$Q$2:$Q$305,"&lt;="&amp;('Inventory inputs'!P140/'Inventory inputs'!J140*1.01)),"n.a.")</x:f>
        <x:v>n.a.</x:v>
      </x:c>
      <x:c r="AC140" s="9" t="n">
        <x:f>I140*G140</x:f>
        <x:v>0</x:v>
      </x:c>
      <x:c r="AD140" s="9" t="n">
        <x:f>J140*G140</x:f>
        <x:v>0</x:v>
      </x:c>
      <x:c r="AE140" s="9" t="n">
        <x:f>K140*G140</x:f>
        <x:v>455.99999999999994</x:v>
      </x:c>
      <x:c r="AF140" s="9" t="n">
        <x:f>R140*G140</x:f>
        <x:v>309.3681755728952</x:v>
      </x:c>
    </x:row>
    <x:row r="141" ht="21" customHeight="1">
      <x:c r="A141" s="1" t="str">
        <x:f>'Inventory inputs'!A141</x:f>
        <x:v>PLAS</x:v>
      </x:c>
      <x:c r="B141" s="1" t="str">
        <x:f>'Inventory inputs'!B141</x:f>
        <x:v>10</x:v>
      </x:c>
      <x:c r="C141" s="1" t="str">
        <x:f>'Inventory inputs'!C141</x:f>
        <x:v>11819RWBBLK</x:v>
      </x:c>
      <x:c r="D141" s="7" t="n">
        <x:f>'Inventory inputs'!E141</x:f>
        <x:v>46303</x:v>
      </x:c>
      <x:c r="E141" s="1" t="n">
        <x:f>'Inventory inputs'!F141</x:f>
        <x:v>3674</x:v>
      </x:c>
      <x:c r="F141" s="1" t="n">
        <x:f>'Inventory inputs'!G141</x:f>
        <x:v>2340.17</x:v>
      </x:c>
      <x:c r="G141" s="1" t="n">
        <x:f>'Inventory inputs'!H141/'Inventory inputs'!J141</x:f>
        <x:v>0.1323</x:v>
      </x:c>
      <x:c r="H141" s="1" t="n">
        <x:f>IF('Inventory inputs'!I141&gt;0,'Inventory inputs'!I141*'Inventory inputs'!K141/'Inventory inputs'!J141,"n.a.")</x:f>
        <x:v>0.15479099999999998</x:v>
      </x:c>
      <x:c r="I141" s="1" t="n">
        <x:f>'Inventory inputs'!L141</x:f>
        <x:v>0</x:v>
      </x:c>
      <x:c r="J141" s="1" t="n">
        <x:f>'Inventory inputs'!M141</x:f>
        <x:v>3674</x:v>
      </x:c>
      <x:c r="K141" s="1" t="n">
        <x:f>'Inventory inputs'!N141</x:f>
        <x:v>0</x:v>
      </x:c>
      <x:c r="L141" s="1" t="n">
        <x:f>'Inventory inputs'!O141</x:f>
        <x:v>1</x:v>
      </x:c>
      <x:c r="M141" s="9" t="n">
        <x:f>E141*G141</x:f>
        <x:v>486.0702</x:v>
      </x:c>
      <x:c r="N141" s="9" t="n">
        <x:f>'Inventory inputs'!Q141</x:f>
        <x:v>486.07020000000006</x:v>
      </x:c>
      <x:c r="O141" s="9" t="n">
        <x:f>N141-M141</x:f>
        <x:v>5.684341886080802e-14</x:v>
      </x:c>
      <x:c r="P141" s="1" t="n">
        <x:f>SUMIFS('Incoming POs'!$P$2:$P$305,'Incoming POs'!$A$2:$A$305,A141,'Incoming POs'!$B$2:$B$305,B141,'Incoming POs'!$C$2:$C$305,C141,'Incoming POs'!$G$2:$G$305,"&gt;="&amp;D141,'Incoming POs'!$G$2:$G$305,"&lt;"&amp;Dashboard!$I$5)</x:f>
        <x:v>7000</x:v>
      </x:c>
      <x:c r="Q141" s="1" t="n">
        <x:f>F141*Dashboard!$L$5*MAX(0,Dashboard!$I$5-D141)/30.4375</x:f>
        <x:v>3113.819630390144</x:v>
      </x:c>
      <x:c r="R141" s="1" t="n">
        <x:f>MAX(0,E141+P141-Q141)</x:f>
        <x:v>7560.180369609856</x:v>
      </x:c>
      <x:c r="S141" s="1" t="n">
        <x:f>MAX(0,Q141-E141-P141)</x:f>
        <x:v>0</x:v>
      </x:c>
      <x:c r="T141" s="1" t="n">
        <x:f>IF(L141=1,MAX(0,I141+AB141-MIN(Q141,E141+P141)),"n.a.")</x:f>
        <x:v>0</x:v>
      </x:c>
      <x:c r="U141" s="9" t="n">
        <x:f>IF(ISNUMBER(T141),T141*G141,"n.a.")</x:f>
        <x:v>0</x:v>
      </x:c>
      <x:c r="V141" s="25" t="n">
        <x:f>IF(Dashboard!$I$6="Flat %",1,IF(ISNUMBER(H141),1,0))</x:f>
        <x:v>1</x:v>
      </x:c>
      <x:c r="W141" s="9" t="n">
        <x:f>IF(Dashboard!$I$6="Flat %",G141*(1+Dashboard!$L$6),H141)</x:f>
        <x:v>0.15479099999999998</x:v>
      </x:c>
      <x:c r="X141" s="9" t="n">
        <x:f>IF(V141=1,R141*(W141-G141),"n.a.")</x:f>
        <x:v>170.03601669289515</x:v>
      </x:c>
      <x:c r="Y141" s="9" t="n">
        <x:f>IF(V141=1,R141*W141,"n.a.")</x:f>
        <x:v>1170.247879592279</x:v>
      </x:c>
      <x:c r="Z141" s="1" t="n">
        <x:f>IF(ISNUMBER(T141),R141-T141,"n.a.")</x:f>
        <x:v>7560.180369609856</x:v>
      </x:c>
      <x:c r="AA141" s="1" t="str">
        <x:f>'Inventory inputs'!R141</x:f>
        <x:v>Classified</x:v>
      </x:c>
      <x:c r="AB141" s="1" t="n">
        <x:f>IF(L141=1,SUMIFS('Incoming POs'!$P$2:$P$305,'Incoming POs'!$A$2:$A$305,A141,'Incoming POs'!$B$2:$B$305,B141,'Incoming POs'!$C$2:$C$305,C141,'Incoming POs'!$G$2:$G$305,"&gt;="&amp;D141,'Incoming POs'!$G$2:$G$305,"&lt;"&amp;Dashboard!$I$5,'Incoming POs'!$Q$2:$Q$305,"&lt;="&amp;('Inventory inputs'!P141/'Inventory inputs'!J141*1.01)),"n.a.")</x:f>
        <x:v>0</x:v>
      </x:c>
      <x:c r="AC141" s="9" t="n">
        <x:f>I141*G141</x:f>
        <x:v>0</x:v>
      </x:c>
      <x:c r="AD141" s="9" t="n">
        <x:f>J141*G141</x:f>
        <x:v>486.0702</x:v>
      </x:c>
      <x:c r="AE141" s="9" t="n">
        <x:f>K141*G141</x:f>
        <x:v>0</x:v>
      </x:c>
      <x:c r="AF141" s="9" t="n">
        <x:f>R141*G141</x:f>
        <x:v>1000.211862899384</x:v>
      </x:c>
    </x:row>
    <x:row r="142" ht="21" customHeight="1">
      <x:c r="A142" s="1" t="str">
        <x:f>'Inventory inputs'!A142</x:f>
        <x:v>PLAS</x:v>
      </x:c>
      <x:c r="B142" s="1" t="str">
        <x:f>'Inventory inputs'!B142</x:f>
        <x:v>10</x:v>
      </x:c>
      <x:c r="C142" s="1" t="str">
        <x:f>'Inventory inputs'!C142</x:f>
        <x:v>11219RSLWHT</x:v>
      </x:c>
      <x:c r="D142" s="7" t="n">
        <x:f>'Inventory inputs'!E142</x:f>
        <x:v>46303</x:v>
      </x:c>
      <x:c r="E142" s="1" t="n">
        <x:f>'Inventory inputs'!F142</x:f>
        <x:v>11100</x:v>
      </x:c>
      <x:c r="F142" s="1" t="n">
        <x:f>'Inventory inputs'!G142</x:f>
        <x:v>2262.51</x:v>
      </x:c>
      <x:c r="G142" s="1" t="n">
        <x:f>'Inventory inputs'!H142/'Inventory inputs'!J142</x:f>
        <x:v>0.1298</x:v>
      </x:c>
      <x:c r="H142" s="1" t="n">
        <x:f>IF('Inventory inputs'!I142&gt;0,'Inventory inputs'!I142*'Inventory inputs'!K142/'Inventory inputs'!J142,"n.a.")</x:f>
        <x:v>0.151851</x:v>
      </x:c>
      <x:c r="I142" s="1" t="n">
        <x:f>'Inventory inputs'!L142</x:f>
        <x:v>3100</x:v>
      </x:c>
      <x:c r="J142" s="1" t="n">
        <x:f>'Inventory inputs'!M142</x:f>
        <x:v>8000</x:v>
      </x:c>
      <x:c r="K142" s="1" t="n">
        <x:f>'Inventory inputs'!N142</x:f>
        <x:v>0</x:v>
      </x:c>
      <x:c r="L142" s="1" t="n">
        <x:f>'Inventory inputs'!O142</x:f>
        <x:v>1</x:v>
      </x:c>
      <x:c r="M142" s="9" t="n">
        <x:f>E142*G142</x:f>
        <x:v>1440.78</x:v>
      </x:c>
      <x:c r="N142" s="9" t="n">
        <x:f>'Inventory inputs'!Q142</x:f>
        <x:v>1440.78</x:v>
      </x:c>
      <x:c r="O142" s="9" t="n">
        <x:f>N142-M142</x:f>
        <x:v>0</x:v>
      </x:c>
      <x:c r="P142" s="1" t="n">
        <x:f>SUMIFS('Incoming POs'!$P$2:$P$305,'Incoming POs'!$A$2:$A$305,A142,'Incoming POs'!$B$2:$B$305,B142,'Incoming POs'!$C$2:$C$305,C142,'Incoming POs'!$G$2:$G$305,"&gt;="&amp;D142,'Incoming POs'!$G$2:$G$305,"&lt;"&amp;Dashboard!$I$5)</x:f>
        <x:v>10000</x:v>
      </x:c>
      <x:c r="Q142" s="1" t="n">
        <x:f>F142*Dashboard!$L$5*MAX(0,Dashboard!$I$5-D142)/30.4375</x:f>
        <x:v>3010.485585215606</x:v>
      </x:c>
      <x:c r="R142" s="1" t="n">
        <x:f>MAX(0,E142+P142-Q142)</x:f>
        <x:v>18089.514414784393</x:v>
      </x:c>
      <x:c r="S142" s="1" t="n">
        <x:f>MAX(0,Q142-E142-P142)</x:f>
        <x:v>0</x:v>
      </x:c>
      <x:c r="T142" s="1" t="n">
        <x:f>IF(L142=1,MAX(0,I142+AB142-MIN(Q142,E142+P142)),"n.a.")</x:f>
        <x:v>89.51441478439392</x:v>
      </x:c>
      <x:c r="U142" s="9" t="n">
        <x:f>IF(ISNUMBER(T142),T142*G142,"n.a.")</x:f>
        <x:v>11.618971039014331</x:v>
      </x:c>
      <x:c r="V142" s="25" t="n">
        <x:f>IF(Dashboard!$I$6="Flat %",1,IF(ISNUMBER(H142),1,0))</x:f>
        <x:v>1</x:v>
      </x:c>
      <x:c r="W142" s="9" t="n">
        <x:f>IF(Dashboard!$I$6="Flat %",G142*(1+Dashboard!$L$6),H142)</x:f>
        <x:v>0.151851</x:v>
      </x:c>
      <x:c r="X142" s="9" t="n">
        <x:f>IF(V142=1,R142*(W142-G142),"n.a.")</x:f>
        <x:v>398.89188236041093</x:v>
      </x:c>
      <x:c r="Y142" s="9" t="n">
        <x:f>IF(V142=1,R142*W142,"n.a.")</x:f>
        <x:v>2746.910853399425</x:v>
      </x:c>
      <x:c r="Z142" s="1" t="n">
        <x:f>IF(ISNUMBER(T142),R142-T142,"n.a.")</x:f>
        <x:v>18000</x:v>
      </x:c>
      <x:c r="AA142" s="1" t="str">
        <x:f>'Inventory inputs'!R142</x:f>
        <x:v>Classified</x:v>
      </x:c>
      <x:c r="AB142" s="1" t="n">
        <x:f>IF(L142=1,SUMIFS('Incoming POs'!$P$2:$P$305,'Incoming POs'!$A$2:$A$305,A142,'Incoming POs'!$B$2:$B$305,B142,'Incoming POs'!$C$2:$C$305,C142,'Incoming POs'!$G$2:$G$305,"&gt;="&amp;D142,'Incoming POs'!$G$2:$G$305,"&lt;"&amp;Dashboard!$I$5,'Incoming POs'!$Q$2:$Q$305,"&lt;="&amp;('Inventory inputs'!P142/'Inventory inputs'!J142*1.01)),"n.a.")</x:f>
        <x:v>0</x:v>
      </x:c>
      <x:c r="AC142" s="9" t="n">
        <x:f>I142*G142</x:f>
        <x:v>402.38</x:v>
      </x:c>
      <x:c r="AD142" s="9" t="n">
        <x:f>J142*G142</x:f>
        <x:v>1038.4</x:v>
      </x:c>
      <x:c r="AE142" s="9" t="n">
        <x:f>K142*G142</x:f>
        <x:v>0</x:v>
      </x:c>
      <x:c r="AF142" s="9" t="n">
        <x:f>R142*G142</x:f>
        <x:v>2348.018971039014</x:v>
      </x:c>
    </x:row>
    <x:row r="143" ht="21" customHeight="1">
      <x:c r="A143" s="1" t="str">
        <x:f>'Inventory inputs'!A143</x:f>
        <x:v>PLAS</x:v>
      </x:c>
      <x:c r="B143" s="1" t="str">
        <x:f>'Inventory inputs'!B143</x:f>
        <x:v>30</x:v>
      </x:c>
      <x:c r="C143" s="1" t="str">
        <x:f>'Inventory inputs'!C143</x:f>
        <x:v>01419RWBBLK</x:v>
      </x:c>
      <x:c r="D143" s="7" t="n">
        <x:f>'Inventory inputs'!E143</x:f>
        <x:v>46303</x:v>
      </x:c>
      <x:c r="E143" s="1" t="n">
        <x:f>'Inventory inputs'!F143</x:f>
        <x:v>200</x:v>
      </x:c>
      <x:c r="F143" s="1" t="n">
        <x:f>'Inventory inputs'!G143</x:f>
        <x:v>2216.67</x:v>
      </x:c>
      <x:c r="G143" s="1" t="n">
        <x:f>'Inventory inputs'!H143/'Inventory inputs'!J143</x:f>
        <x:v>0.0181</x:v>
      </x:c>
      <x:c r="H143" s="1" t="n">
        <x:f>IF('Inventory inputs'!I143&gt;0,'Inventory inputs'!I143*'Inventory inputs'!K143/'Inventory inputs'!J143,"n.a.")</x:f>
        <x:v>0.021168</x:v>
      </x:c>
      <x:c r="I143" s="1" t="n">
        <x:f>'Inventory inputs'!L143</x:f>
        <x:v>0</x:v>
      </x:c>
      <x:c r="J143" s="1" t="n">
        <x:f>'Inventory inputs'!M143</x:f>
        <x:v>0</x:v>
      </x:c>
      <x:c r="K143" s="1" t="n">
        <x:f>'Inventory inputs'!N143</x:f>
        <x:v>200</x:v>
      </x:c>
      <x:c r="L143" s="1" t="n">
        <x:f>'Inventory inputs'!O143</x:f>
        <x:v>0</x:v>
      </x:c>
      <x:c r="M143" s="9" t="n">
        <x:f>E143*G143</x:f>
        <x:v>3.62</x:v>
      </x:c>
      <x:c r="N143" s="9" t="n">
        <x:f>'Inventory inputs'!Q143</x:f>
        <x:v>3.62</x:v>
      </x:c>
      <x:c r="O143" s="9" t="n">
        <x:f>N143-M143</x:f>
        <x:v>0</x:v>
      </x:c>
      <x:c r="P143" s="1" t="n">
        <x:f>SUMIFS('Incoming POs'!$P$2:$P$305,'Incoming POs'!$A$2:$A$305,A143,'Incoming POs'!$B$2:$B$305,B143,'Incoming POs'!$C$2:$C$305,C143,'Incoming POs'!$G$2:$G$305,"&gt;="&amp;D143,'Incoming POs'!$G$2:$G$305,"&lt;"&amp;Dashboard!$I$5)</x:f>
        <x:v>0</x:v>
      </x:c>
      <x:c r="Q143" s="1" t="n">
        <x:f>F143*Dashboard!$L$5*MAX(0,Dashboard!$I$5-D143)/30.4375</x:f>
        <x:v>2949.4910882956883</x:v>
      </x:c>
      <x:c r="R143" s="1" t="n">
        <x:f>MAX(0,E143+P143-Q143)</x:f>
        <x:v>0</x:v>
      </x:c>
      <x:c r="S143" s="1" t="n">
        <x:f>MAX(0,Q143-E143-P143)</x:f>
        <x:v>2749.4910882956883</x:v>
      </x:c>
      <x:c r="T143" s="1" t="str">
        <x:f>IF(L143=1,MAX(0,I143+AB143-MIN(Q143,E143+P143)),"n.a.")</x:f>
        <x:v>n.a.</x:v>
      </x:c>
      <x:c r="U143" s="9" t="str">
        <x:f>IF(ISNUMBER(T143),T143*G143,"n.a.")</x:f>
        <x:v>n.a.</x:v>
      </x:c>
      <x:c r="V143" s="25" t="n">
        <x:f>IF(Dashboard!$I$6="Flat %",1,IF(ISNUMBER(H143),1,0))</x:f>
        <x:v>1</x:v>
      </x:c>
      <x:c r="W143" s="9" t="n">
        <x:f>IF(Dashboard!$I$6="Flat %",G143*(1+Dashboard!$L$6),H143)</x:f>
        <x:v>0.021168</x:v>
      </x:c>
      <x:c r="X143" s="9" t="n">
        <x:f>IF(V143=1,R143*(W143-G143),"n.a.")</x:f>
        <x:v>0</x:v>
      </x:c>
      <x:c r="Y143" s="9" t="n">
        <x:f>IF(V143=1,R143*W143,"n.a.")</x:f>
        <x:v>0</x:v>
      </x:c>
      <x:c r="Z143" s="1" t="str">
        <x:f>IF(ISNUMBER(T143),R143-T143,"n.a.")</x:f>
        <x:v>n.a.</x:v>
      </x:c>
      <x:c r="AA143" s="1" t="str">
        <x:f>'Inventory inputs'!R143</x:f>
        <x:v>Review receipt reconciliation or original PO baseline</x:v>
      </x:c>
      <x:c r="AB143" s="1" t="str">
        <x:f>IF(L143=1,SUMIFS('Incoming POs'!$P$2:$P$305,'Incoming POs'!$A$2:$A$305,A143,'Incoming POs'!$B$2:$B$305,B143,'Incoming POs'!$C$2:$C$305,C143,'Incoming POs'!$G$2:$G$305,"&gt;="&amp;D143,'Incoming POs'!$G$2:$G$305,"&lt;"&amp;Dashboard!$I$5,'Incoming POs'!$Q$2:$Q$305,"&lt;="&amp;('Inventory inputs'!P143/'Inventory inputs'!J143*1.01)),"n.a.")</x:f>
        <x:v>n.a.</x:v>
      </x:c>
      <x:c r="AC143" s="9" t="n">
        <x:f>I143*G143</x:f>
        <x:v>0</x:v>
      </x:c>
      <x:c r="AD143" s="9" t="n">
        <x:f>J143*G143</x:f>
        <x:v>0</x:v>
      </x:c>
      <x:c r="AE143" s="9" t="n">
        <x:f>K143*G143</x:f>
        <x:v>3.62</x:v>
      </x:c>
      <x:c r="AF143" s="9" t="n">
        <x:f>R143*G143</x:f>
        <x:v>0</x:v>
      </x:c>
    </x:row>
    <x:row r="144" ht="21" customHeight="1">
      <x:c r="A144" s="1" t="str">
        <x:f>'Inventory inputs'!A144</x:f>
        <x:v>PLAS</x:v>
      </x:c>
      <x:c r="B144" s="1" t="str">
        <x:f>'Inventory inputs'!B144</x:f>
        <x:v>10</x:v>
      </x:c>
      <x:c r="C144" s="1" t="str">
        <x:f>'Inventory inputs'!C144</x:f>
        <x:v>13419RSLBLK</x:v>
      </x:c>
      <x:c r="D144" s="7" t="n">
        <x:f>'Inventory inputs'!E144</x:f>
        <x:v>46303</x:v>
      </x:c>
      <x:c r="E144" s="1" t="n">
        <x:f>'Inventory inputs'!F144</x:f>
        <x:v>7836</x:v>
      </x:c>
      <x:c r="F144" s="1" t="n">
        <x:f>'Inventory inputs'!G144</x:f>
        <x:v>2201.41</x:v>
      </x:c>
      <x:c r="G144" s="1" t="n">
        <x:f>'Inventory inputs'!H144/'Inventory inputs'!J144</x:f>
        <x:v>0.1457</x:v>
      </x:c>
      <x:c r="H144" s="1" t="n">
        <x:f>IF('Inventory inputs'!I144&gt;0,'Inventory inputs'!I144*'Inventory inputs'!K144/'Inventory inputs'!J144,"n.a.")</x:f>
        <x:v>0.170373</x:v>
      </x:c>
      <x:c r="I144" s="1" t="n">
        <x:f>'Inventory inputs'!L144</x:f>
        <x:v>3836</x:v>
      </x:c>
      <x:c r="J144" s="1" t="n">
        <x:f>'Inventory inputs'!M144</x:f>
        <x:v>4000</x:v>
      </x:c>
      <x:c r="K144" s="1" t="n">
        <x:f>'Inventory inputs'!N144</x:f>
        <x:v>0</x:v>
      </x:c>
      <x:c r="L144" s="1" t="n">
        <x:f>'Inventory inputs'!O144</x:f>
        <x:v>1</x:v>
      </x:c>
      <x:c r="M144" s="9" t="n">
        <x:f>E144*G144</x:f>
        <x:v>1141.7051999999999</x:v>
      </x:c>
      <x:c r="N144" s="9" t="n">
        <x:f>'Inventory inputs'!Q144</x:f>
        <x:v>1141.7052</x:v>
      </x:c>
      <x:c r="O144" s="9" t="n">
        <x:f>N144-M144</x:f>
        <x:v>2.2737367544323206e-13</x:v>
      </x:c>
      <x:c r="P144" s="1" t="n">
        <x:f>SUMIFS('Incoming POs'!$P$2:$P$305,'Incoming POs'!$A$2:$A$305,A144,'Incoming POs'!$B$2:$B$305,B144,'Incoming POs'!$C$2:$C$305,C144,'Incoming POs'!$G$2:$G$305,"&gt;="&amp;D144,'Incoming POs'!$G$2:$G$305,"&lt;"&amp;Dashboard!$I$5)</x:f>
        <x:v>10000</x:v>
      </x:c>
      <x:c r="Q144" s="1" t="n">
        <x:f>F144*Dashboard!$L$5*MAX(0,Dashboard!$I$5-D144)/30.4375</x:f>
        <x:v>2929.1862012320325</x:v>
      </x:c>
      <x:c r="R144" s="1" t="n">
        <x:f>MAX(0,E144+P144-Q144)</x:f>
        <x:v>14906.813798767967</x:v>
      </x:c>
      <x:c r="S144" s="1" t="n">
        <x:f>MAX(0,Q144-E144-P144)</x:f>
        <x:v>0</x:v>
      </x:c>
      <x:c r="T144" s="1" t="n">
        <x:f>IF(L144=1,MAX(0,I144+AB144-MIN(Q144,E144+P144)),"n.a.")</x:f>
        <x:v>906.8137987679675</x:v>
      </x:c>
      <x:c r="U144" s="9" t="n">
        <x:f>IF(ISNUMBER(T144),T144*G144,"n.a.")</x:f>
        <x:v>132.12277048049285</x:v>
      </x:c>
      <x:c r="V144" s="25" t="n">
        <x:f>IF(Dashboard!$I$6="Flat %",1,IF(ISNUMBER(H144),1,0))</x:f>
        <x:v>1</x:v>
      </x:c>
      <x:c r="W144" s="9" t="n">
        <x:f>IF(Dashboard!$I$6="Flat %",G144*(1+Dashboard!$L$6),H144)</x:f>
        <x:v>0.170373</x:v>
      </x:c>
      <x:c r="X144" s="9" t="n">
        <x:f>IF(V144=1,R144*(W144-G144),"n.a.")</x:f>
        <x:v>367.7958168570021</x:v>
      </x:c>
      <x:c r="Y144" s="9" t="n">
        <x:f>IF(V144=1,R144*W144,"n.a.")</x:f>
        <x:v>2539.7185873374947</x:v>
      </x:c>
      <x:c r="Z144" s="1" t="n">
        <x:f>IF(ISNUMBER(T144),R144-T144,"n.a.")</x:f>
        <x:v>14000</x:v>
      </x:c>
      <x:c r="AA144" s="1" t="str">
        <x:f>'Inventory inputs'!R144</x:f>
        <x:v>Classified</x:v>
      </x:c>
      <x:c r="AB144" s="1" t="n">
        <x:f>IF(L144=1,SUMIFS('Incoming POs'!$P$2:$P$305,'Incoming POs'!$A$2:$A$305,A144,'Incoming POs'!$B$2:$B$305,B144,'Incoming POs'!$C$2:$C$305,C144,'Incoming POs'!$G$2:$G$305,"&gt;="&amp;D144,'Incoming POs'!$G$2:$G$305,"&lt;"&amp;Dashboard!$I$5,'Incoming POs'!$Q$2:$Q$305,"&lt;="&amp;('Inventory inputs'!P144/'Inventory inputs'!J144*1.01)),"n.a.")</x:f>
        <x:v>0</x:v>
      </x:c>
      <x:c r="AC144" s="9" t="n">
        <x:f>I144*G144</x:f>
        <x:v>558.9052</x:v>
      </x:c>
      <x:c r="AD144" s="9" t="n">
        <x:f>J144*G144</x:f>
        <x:v>582.8</x:v>
      </x:c>
      <x:c r="AE144" s="9" t="n">
        <x:f>K144*G144</x:f>
        <x:v>0</x:v>
      </x:c>
      <x:c r="AF144" s="9" t="n">
        <x:f>R144*G144</x:f>
        <x:v>2171.922770480493</x:v>
      </x:c>
    </x:row>
    <x:row r="145" ht="21" customHeight="1">
      <x:c r="A145" s="1" t="str">
        <x:f>'Inventory inputs'!A145</x:f>
        <x:v>PLAS</x:v>
      </x:c>
      <x:c r="B145" s="1" t="str">
        <x:f>'Inventory inputs'!B145</x:f>
        <x:v>10</x:v>
      </x:c>
      <x:c r="C145" s="1" t="str">
        <x:f>'Inventory inputs'!C145</x:f>
        <x:v>03419RWBNAV</x:v>
      </x:c>
      <x:c r="D145" s="7" t="n">
        <x:f>'Inventory inputs'!E145</x:f>
        <x:v>46303</x:v>
      </x:c>
      <x:c r="E145" s="1" t="n">
        <x:f>'Inventory inputs'!F145</x:f>
        <x:v>7900</x:v>
      </x:c>
      <x:c r="F145" s="1" t="n">
        <x:f>'Inventory inputs'!G145</x:f>
        <x:v>2173.08</x:v>
      </x:c>
      <x:c r="G145" s="1" t="n">
        <x:f>'Inventory inputs'!H145/'Inventory inputs'!J145</x:f>
        <x:v>0.0625</x:v>
      </x:c>
      <x:c r="H145" s="1" t="n">
        <x:f>IF('Inventory inputs'!I145&gt;0,'Inventory inputs'!I145*'Inventory inputs'!K145/'Inventory inputs'!J145,"n.a.")</x:f>
        <x:v>0.073059</x:v>
      </x:c>
      <x:c r="I145" s="1" t="n">
        <x:f>'Inventory inputs'!L145</x:f>
        <x:v>7900</x:v>
      </x:c>
      <x:c r="J145" s="1" t="n">
        <x:f>'Inventory inputs'!M145</x:f>
        <x:v>0</x:v>
      </x:c>
      <x:c r="K145" s="1" t="n">
        <x:f>'Inventory inputs'!N145</x:f>
        <x:v>0</x:v>
      </x:c>
      <x:c r="L145" s="1" t="n">
        <x:f>'Inventory inputs'!O145</x:f>
        <x:v>1</x:v>
      </x:c>
      <x:c r="M145" s="9" t="n">
        <x:f>E145*G145</x:f>
        <x:v>493.75</x:v>
      </x:c>
      <x:c r="N145" s="9" t="n">
        <x:f>'Inventory inputs'!Q145</x:f>
        <x:v>493.75</x:v>
      </x:c>
      <x:c r="O145" s="9" t="n">
        <x:f>N145-M145</x:f>
        <x:v>0</x:v>
      </x:c>
      <x:c r="P145" s="1" t="n">
        <x:f>SUMIFS('Incoming POs'!$P$2:$P$305,'Incoming POs'!$A$2:$A$305,A145,'Incoming POs'!$B$2:$B$305,B145,'Incoming POs'!$C$2:$C$305,C145,'Incoming POs'!$G$2:$G$305,"&gt;="&amp;D145,'Incoming POs'!$G$2:$G$305,"&lt;"&amp;Dashboard!$I$5)</x:f>
        <x:v>10000</x:v>
      </x:c>
      <x:c r="Q145" s="1" t="n">
        <x:f>F145*Dashboard!$L$5*MAX(0,Dashboard!$I$5-D145)/30.4375</x:f>
        <x:v>2891.4904312114986</x:v>
      </x:c>
      <x:c r="R145" s="1" t="n">
        <x:f>MAX(0,E145+P145-Q145)</x:f>
        <x:v>15008.5095687885</x:v>
      </x:c>
      <x:c r="S145" s="1" t="n">
        <x:f>MAX(0,Q145-E145-P145)</x:f>
        <x:v>0</x:v>
      </x:c>
      <x:c r="T145" s="1" t="n">
        <x:f>IF(L145=1,MAX(0,I145+AB145-MIN(Q145,E145+P145)),"n.a.")</x:f>
        <x:v>5008.509568788501</x:v>
      </x:c>
      <x:c r="U145" s="9" t="n">
        <x:f>IF(ISNUMBER(T145),T145*G145,"n.a.")</x:f>
        <x:v>313.03184804928134</x:v>
      </x:c>
      <x:c r="V145" s="25" t="n">
        <x:f>IF(Dashboard!$I$6="Flat %",1,IF(ISNUMBER(H145),1,0))</x:f>
        <x:v>1</x:v>
      </x:c>
      <x:c r="W145" s="9" t="n">
        <x:f>IF(Dashboard!$I$6="Flat %",G145*(1+Dashboard!$L$6),H145)</x:f>
        <x:v>0.073059</x:v>
      </x:c>
      <x:c r="X145" s="9" t="n">
        <x:f>IF(V145=1,R145*(W145-G145),"n.a.")</x:f>
        <x:v>158.47485253683777</x:v>
      </x:c>
      <x:c r="Y145" s="9" t="n">
        <x:f>IF(V145=1,R145*W145,"n.a.")</x:f>
        <x:v>1096.506700586119</x:v>
      </x:c>
      <x:c r="Z145" s="1" t="n">
        <x:f>IF(ISNUMBER(T145),R145-T145,"n.a.")</x:f>
        <x:v>10000</x:v>
      </x:c>
      <x:c r="AA145" s="1" t="str">
        <x:f>'Inventory inputs'!R145</x:f>
        <x:v>Classified</x:v>
      </x:c>
      <x:c r="AB145" s="1" t="n">
        <x:f>IF(L145=1,SUMIFS('Incoming POs'!$P$2:$P$305,'Incoming POs'!$A$2:$A$305,A145,'Incoming POs'!$B$2:$B$305,B145,'Incoming POs'!$C$2:$C$305,C145,'Incoming POs'!$G$2:$G$305,"&gt;="&amp;D145,'Incoming POs'!$G$2:$G$305,"&lt;"&amp;Dashboard!$I$5,'Incoming POs'!$Q$2:$Q$305,"&lt;="&amp;('Inventory inputs'!P145/'Inventory inputs'!J145*1.01)),"n.a.")</x:f>
        <x:v>0</x:v>
      </x:c>
      <x:c r="AC145" s="9" t="n">
        <x:f>I145*G145</x:f>
        <x:v>493.75</x:v>
      </x:c>
      <x:c r="AD145" s="9" t="n">
        <x:f>J145*G145</x:f>
        <x:v>0</x:v>
      </x:c>
      <x:c r="AE145" s="9" t="n">
        <x:f>K145*G145</x:f>
        <x:v>0</x:v>
      </x:c>
      <x:c r="AF145" s="9" t="n">
        <x:f>R145*G145</x:f>
        <x:v>938.0318480492813</x:v>
      </x:c>
    </x:row>
    <x:row r="146" ht="21" customHeight="1">
      <x:c r="A146" s="1" t="str">
        <x:f>'Inventory inputs'!A146</x:f>
        <x:v>PLAS</x:v>
      </x:c>
      <x:c r="B146" s="1" t="str">
        <x:f>'Inventory inputs'!B146</x:f>
        <x:v>10</x:v>
      </x:c>
      <x:c r="C146" s="1" t="str">
        <x:f>'Inventory inputs'!C146</x:f>
        <x:v>03819RWBCLR</x:v>
      </x:c>
      <x:c r="D146" s="7" t="n">
        <x:f>'Inventory inputs'!E146</x:f>
        <x:v>46303</x:v>
      </x:c>
      <x:c r="E146" s="1" t="n">
        <x:f>'Inventory inputs'!F146</x:f>
        <x:v>5400</x:v>
      </x:c>
      <x:c r="F146" s="1" t="n">
        <x:f>'Inventory inputs'!G146</x:f>
        <x:v>2116.67</x:v>
      </x:c>
      <x:c r="G146" s="1" t="n">
        <x:f>'Inventory inputs'!H146/'Inventory inputs'!J146</x:f>
        <x:v>0.0248</x:v>
      </x:c>
      <x:c r="H146" s="1" t="n">
        <x:f>IF('Inventory inputs'!I146&gt;0,'Inventory inputs'!I146*'Inventory inputs'!K146/'Inventory inputs'!J146,"n.a.")</x:f>
        <x:v>0.029106</x:v>
      </x:c>
      <x:c r="I146" s="1" t="n">
        <x:f>'Inventory inputs'!L146</x:f>
        <x:v>1400</x:v>
      </x:c>
      <x:c r="J146" s="1" t="n">
        <x:f>'Inventory inputs'!M146</x:f>
        <x:v>4000</x:v>
      </x:c>
      <x:c r="K146" s="1" t="n">
        <x:f>'Inventory inputs'!N146</x:f>
        <x:v>0</x:v>
      </x:c>
      <x:c r="L146" s="1" t="n">
        <x:f>'Inventory inputs'!O146</x:f>
        <x:v>1</x:v>
      </x:c>
      <x:c r="M146" s="9" t="n">
        <x:f>E146*G146</x:f>
        <x:v>133.92</x:v>
      </x:c>
      <x:c r="N146" s="9" t="n">
        <x:f>'Inventory inputs'!Q146</x:f>
        <x:v>133.92000000000002</x:v>
      </x:c>
      <x:c r="O146" s="9" t="n">
        <x:f>N146-M146</x:f>
        <x:v>2.842170943040401e-14</x:v>
      </x:c>
      <x:c r="P146" s="1" t="n">
        <x:f>SUMIFS('Incoming POs'!$P$2:$P$305,'Incoming POs'!$A$2:$A$305,A146,'Incoming POs'!$B$2:$B$305,B146,'Incoming POs'!$C$2:$C$305,C146,'Incoming POs'!$G$2:$G$305,"&gt;="&amp;D146,'Incoming POs'!$G$2:$G$305,"&lt;"&amp;Dashboard!$I$5)</x:f>
        <x:v>14000</x:v>
      </x:c>
      <x:c r="Q146" s="1" t="n">
        <x:f>F146*Dashboard!$L$5*MAX(0,Dashboard!$I$5-D146)/30.4375</x:f>
        <x:v>2816.4315400410683</x:v>
      </x:c>
      <x:c r="R146" s="1" t="n">
        <x:f>MAX(0,E146+P146-Q146)</x:f>
        <x:v>16583.568459958933</x:v>
      </x:c>
      <x:c r="S146" s="1" t="n">
        <x:f>MAX(0,Q146-E146-P146)</x:f>
        <x:v>0</x:v>
      </x:c>
      <x:c r="T146" s="1" t="n">
        <x:f>IF(L146=1,MAX(0,I146+AB146-MIN(Q146,E146+P146)),"n.a.")</x:f>
        <x:v>0</x:v>
      </x:c>
      <x:c r="U146" s="9" t="n">
        <x:f>IF(ISNUMBER(T146),T146*G146,"n.a.")</x:f>
        <x:v>0</x:v>
      </x:c>
      <x:c r="V146" s="25" t="n">
        <x:f>IF(Dashboard!$I$6="Flat %",1,IF(ISNUMBER(H146),1,0))</x:f>
        <x:v>1</x:v>
      </x:c>
      <x:c r="W146" s="9" t="n">
        <x:f>IF(Dashboard!$I$6="Flat %",G146*(1+Dashboard!$L$6),H146)</x:f>
        <x:v>0.029106</x:v>
      </x:c>
      <x:c r="X146" s="9" t="n">
        <x:f>IF(V146=1,R146*(W146-G146),"n.a.")</x:f>
        <x:v>71.40884578858318</x:v>
      </x:c>
      <x:c r="Y146" s="9" t="n">
        <x:f>IF(V146=1,R146*W146,"n.a.")</x:f>
        <x:v>482.6813435955647</x:v>
      </x:c>
      <x:c r="Z146" s="1" t="n">
        <x:f>IF(ISNUMBER(T146),R146-T146,"n.a.")</x:f>
        <x:v>16583.568459958933</x:v>
      </x:c>
      <x:c r="AA146" s="1" t="str">
        <x:f>'Inventory inputs'!R146</x:f>
        <x:v>Classified</x:v>
      </x:c>
      <x:c r="AB146" s="1" t="n">
        <x:f>IF(L146=1,SUMIFS('Incoming POs'!$P$2:$P$305,'Incoming POs'!$A$2:$A$305,A146,'Incoming POs'!$B$2:$B$305,B146,'Incoming POs'!$C$2:$C$305,C146,'Incoming POs'!$G$2:$G$305,"&gt;="&amp;D146,'Incoming POs'!$G$2:$G$305,"&lt;"&amp;Dashboard!$I$5,'Incoming POs'!$Q$2:$Q$305,"&lt;="&amp;('Inventory inputs'!P146/'Inventory inputs'!J146*1.01)),"n.a.")</x:f>
        <x:v>0</x:v>
      </x:c>
      <x:c r="AC146" s="9" t="n">
        <x:f>I146*G146</x:f>
        <x:v>34.72</x:v>
      </x:c>
      <x:c r="AD146" s="9" t="n">
        <x:f>J146*G146</x:f>
        <x:v>99.2</x:v>
      </x:c>
      <x:c r="AE146" s="9" t="n">
        <x:f>K146*G146</x:f>
        <x:v>0</x:v>
      </x:c>
      <x:c r="AF146" s="9" t="n">
        <x:f>R146*G146</x:f>
        <x:v>411.2724978069815</x:v>
      </x:c>
    </x:row>
    <x:row r="147" ht="21" customHeight="1">
      <x:c r="A147" s="1" t="str">
        <x:f>'Inventory inputs'!A147</x:f>
        <x:v>PLAS</x:v>
      </x:c>
      <x:c r="B147" s="1" t="str">
        <x:f>'Inventory inputs'!B147</x:f>
        <x:v>10</x:v>
      </x:c>
      <x:c r="C147" s="1" t="str">
        <x:f>'Inventory inputs'!C147</x:f>
        <x:v>01419RWBWHT</x:v>
      </x:c>
      <x:c r="D147" s="7" t="n">
        <x:f>'Inventory inputs'!E147</x:f>
        <x:v>46303</x:v>
      </x:c>
      <x:c r="E147" s="1" t="n">
        <x:f>'Inventory inputs'!F147</x:f>
        <x:v>3000</x:v>
      </x:c>
      <x:c r="F147" s="1" t="n">
        <x:f>'Inventory inputs'!G147</x:f>
        <x:v>1975</x:v>
      </x:c>
      <x:c r="G147" s="1" t="n">
        <x:f>'Inventory inputs'!H147/'Inventory inputs'!J147</x:f>
        <x:v>0.0181</x:v>
      </x:c>
      <x:c r="H147" s="1" t="n">
        <x:f>IF('Inventory inputs'!I147&gt;0,'Inventory inputs'!I147*'Inventory inputs'!K147/'Inventory inputs'!J147,"n.a.")</x:f>
        <x:v>0.021168</x:v>
      </x:c>
      <x:c r="I147" s="1" t="n">
        <x:f>'Inventory inputs'!L147</x:f>
        <x:v>0</x:v>
      </x:c>
      <x:c r="J147" s="1" t="n">
        <x:f>'Inventory inputs'!M147</x:f>
        <x:v>3000</x:v>
      </x:c>
      <x:c r="K147" s="1" t="n">
        <x:f>'Inventory inputs'!N147</x:f>
        <x:v>0</x:v>
      </x:c>
      <x:c r="L147" s="1" t="n">
        <x:f>'Inventory inputs'!O147</x:f>
        <x:v>1</x:v>
      </x:c>
      <x:c r="M147" s="9" t="n">
        <x:f>E147*G147</x:f>
        <x:v>54.300000000000004</x:v>
      </x:c>
      <x:c r="N147" s="9" t="n">
        <x:f>'Inventory inputs'!Q147</x:f>
        <x:v>54.300000000000004</x:v>
      </x:c>
      <x:c r="O147" s="9" t="n">
        <x:f>N147-M147</x:f>
        <x:v>0</x:v>
      </x:c>
      <x:c r="P147" s="1" t="n">
        <x:f>SUMIFS('Incoming POs'!$P$2:$P$305,'Incoming POs'!$A$2:$A$305,A147,'Incoming POs'!$B$2:$B$305,B147,'Incoming POs'!$C$2:$C$305,C147,'Incoming POs'!$G$2:$G$305,"&gt;="&amp;D147,'Incoming POs'!$G$2:$G$305,"&lt;"&amp;Dashboard!$I$5)</x:f>
        <x:v>13000</x:v>
      </x:c>
      <x:c r="Q147" s="1" t="n">
        <x:f>F147*Dashboard!$L$5*MAX(0,Dashboard!$I$5-D147)/30.4375</x:f>
        <x:v>2627.9260780287473</x:v>
      </x:c>
      <x:c r="R147" s="1" t="n">
        <x:f>MAX(0,E147+P147-Q147)</x:f>
        <x:v>13372.073921971252</x:v>
      </x:c>
      <x:c r="S147" s="1" t="n">
        <x:f>MAX(0,Q147-E147-P147)</x:f>
        <x:v>0</x:v>
      </x:c>
      <x:c r="T147" s="1" t="n">
        <x:f>IF(L147=1,MAX(0,I147+AB147-MIN(Q147,E147+P147)),"n.a.")</x:f>
        <x:v>0</x:v>
      </x:c>
      <x:c r="U147" s="9" t="n">
        <x:f>IF(ISNUMBER(T147),T147*G147,"n.a.")</x:f>
        <x:v>0</x:v>
      </x:c>
      <x:c r="V147" s="25" t="n">
        <x:f>IF(Dashboard!$I$6="Flat %",1,IF(ISNUMBER(H147),1,0))</x:f>
        <x:v>1</x:v>
      </x:c>
      <x:c r="W147" s="9" t="n">
        <x:f>IF(Dashboard!$I$6="Flat %",G147*(1+Dashboard!$L$6),H147)</x:f>
        <x:v>0.021168</x:v>
      </x:c>
      <x:c r="X147" s="9" t="n">
        <x:f>IF(V147=1,R147*(W147-G147),"n.a.")</x:f>
        <x:v>41.025522792607774</x:v>
      </x:c>
      <x:c r="Y147" s="9" t="n">
        <x:f>IF(V147=1,R147*W147,"n.a.")</x:f>
        <x:v>283.0600607802875</x:v>
      </x:c>
      <x:c r="Z147" s="1" t="n">
        <x:f>IF(ISNUMBER(T147),R147-T147,"n.a.")</x:f>
        <x:v>13372.073921971252</x:v>
      </x:c>
      <x:c r="AA147" s="1" t="str">
        <x:f>'Inventory inputs'!R147</x:f>
        <x:v>Classified</x:v>
      </x:c>
      <x:c r="AB147" s="1" t="n">
        <x:f>IF(L147=1,SUMIFS('Incoming POs'!$P$2:$P$305,'Incoming POs'!$A$2:$A$305,A147,'Incoming POs'!$B$2:$B$305,B147,'Incoming POs'!$C$2:$C$305,C147,'Incoming POs'!$G$2:$G$305,"&gt;="&amp;D147,'Incoming POs'!$G$2:$G$305,"&lt;"&amp;Dashboard!$I$5,'Incoming POs'!$Q$2:$Q$305,"&lt;="&amp;('Inventory inputs'!P147/'Inventory inputs'!J147*1.01)),"n.a.")</x:f>
        <x:v>0</x:v>
      </x:c>
      <x:c r="AC147" s="9" t="n">
        <x:f>I147*G147</x:f>
        <x:v>0</x:v>
      </x:c>
      <x:c r="AD147" s="9" t="n">
        <x:f>J147*G147</x:f>
        <x:v>54.300000000000004</x:v>
      </x:c>
      <x:c r="AE147" s="9" t="n">
        <x:f>K147*G147</x:f>
        <x:v>0</x:v>
      </x:c>
      <x:c r="AF147" s="9" t="n">
        <x:f>R147*G147</x:f>
        <x:v>242.0345379876797</x:v>
      </x:c>
    </x:row>
    <x:row r="148" ht="21" customHeight="1">
      <x:c r="A148" s="1" t="str">
        <x:f>'Inventory inputs'!A148</x:f>
        <x:v>PLAS</x:v>
      </x:c>
      <x:c r="B148" s="1" t="str">
        <x:f>'Inventory inputs'!B148</x:f>
        <x:v>30</x:v>
      </x:c>
      <x:c r="C148" s="1" t="str">
        <x:f>'Inventory inputs'!C148</x:f>
        <x:v>03815RWBBLK</x:v>
      </x:c>
      <x:c r="D148" s="7" t="n">
        <x:f>'Inventory inputs'!E148</x:f>
        <x:v>46303</x:v>
      </x:c>
      <x:c r="E148" s="1" t="n">
        <x:f>'Inventory inputs'!F148</x:f>
        <x:v>14000</x:v>
      </x:c>
      <x:c r="F148" s="1" t="n">
        <x:f>'Inventory inputs'!G148</x:f>
        <x:v>1966.67</x:v>
      </x:c>
      <x:c r="G148" s="1" t="n">
        <x:f>'Inventory inputs'!H148/'Inventory inputs'!J148</x:f>
        <x:v>0.016200000000000003</x:v>
      </x:c>
      <x:c r="H148" s="1" t="n">
        <x:f>IF('Inventory inputs'!I148&gt;0,'Inventory inputs'!I148*'Inventory inputs'!K148/'Inventory inputs'!J148,"n.a.")</x:f>
        <x:v>0.018963</x:v>
      </x:c>
      <x:c r="I148" s="1" t="n">
        <x:f>'Inventory inputs'!L148</x:f>
        <x:v>0</x:v>
      </x:c>
      <x:c r="J148" s="1" t="n">
        <x:f>'Inventory inputs'!M148</x:f>
        <x:v>0</x:v>
      </x:c>
      <x:c r="K148" s="1" t="n">
        <x:f>'Inventory inputs'!N148</x:f>
        <x:v>14000</x:v>
      </x:c>
      <x:c r="L148" s="1" t="n">
        <x:f>'Inventory inputs'!O148</x:f>
        <x:v>0</x:v>
      </x:c>
      <x:c r="M148" s="9" t="n">
        <x:f>E148*G148</x:f>
        <x:v>226.80000000000004</x:v>
      </x:c>
      <x:c r="N148" s="9" t="n">
        <x:f>'Inventory inputs'!Q148</x:f>
        <x:v>226.8</x:v>
      </x:c>
      <x:c r="O148" s="9" t="n">
        <x:f>N148-M148</x:f>
        <x:v>-2.842170943040401e-14</x:v>
      </x:c>
      <x:c r="P148" s="1" t="n">
        <x:f>SUMIFS('Incoming POs'!$P$2:$P$305,'Incoming POs'!$A$2:$A$305,A148,'Incoming POs'!$B$2:$B$305,B148,'Incoming POs'!$C$2:$C$305,C148,'Incoming POs'!$G$2:$G$305,"&gt;="&amp;D148,'Incoming POs'!$G$2:$G$305,"&lt;"&amp;Dashboard!$I$5)</x:f>
        <x:v>0</x:v>
      </x:c>
      <x:c r="Q148" s="1" t="n">
        <x:f>F148*Dashboard!$L$5*MAX(0,Dashboard!$I$5-D148)/30.4375</x:f>
        <x:v>2616.842217659138</x:v>
      </x:c>
      <x:c r="R148" s="1" t="n">
        <x:f>MAX(0,E148+P148-Q148)</x:f>
        <x:v>11383.157782340862</x:v>
      </x:c>
      <x:c r="S148" s="1" t="n">
        <x:f>MAX(0,Q148-E148-P148)</x:f>
        <x:v>0</x:v>
      </x:c>
      <x:c r="T148" s="1" t="str">
        <x:f>IF(L148=1,MAX(0,I148+AB148-MIN(Q148,E148+P148)),"n.a.")</x:f>
        <x:v>n.a.</x:v>
      </x:c>
      <x:c r="U148" s="9" t="str">
        <x:f>IF(ISNUMBER(T148),T148*G148,"n.a.")</x:f>
        <x:v>n.a.</x:v>
      </x:c>
      <x:c r="V148" s="25" t="n">
        <x:f>IF(Dashboard!$I$6="Flat %",1,IF(ISNUMBER(H148),1,0))</x:f>
        <x:v>1</x:v>
      </x:c>
      <x:c r="W148" s="9" t="n">
        <x:f>IF(Dashboard!$I$6="Flat %",G148*(1+Dashboard!$L$6),H148)</x:f>
        <x:v>0.018963</x:v>
      </x:c>
      <x:c r="X148" s="9" t="n">
        <x:f>IF(V148=1,R148*(W148-G148),"n.a.")</x:f>
        <x:v>31.451664952607782</x:v>
      </x:c>
      <x:c r="Y148" s="9" t="n">
        <x:f>IF(V148=1,R148*W148,"n.a.")</x:f>
        <x:v>215.8588210265298</x:v>
      </x:c>
      <x:c r="Z148" s="1" t="str">
        <x:f>IF(ISNUMBER(T148),R148-T148,"n.a.")</x:f>
        <x:v>n.a.</x:v>
      </x:c>
      <x:c r="AA148" s="1" t="str">
        <x:f>'Inventory inputs'!R148</x:f>
        <x:v>Review receipt reconciliation or original PO baseline</x:v>
      </x:c>
      <x:c r="AB148" s="1" t="str">
        <x:f>IF(L148=1,SUMIFS('Incoming POs'!$P$2:$P$305,'Incoming POs'!$A$2:$A$305,A148,'Incoming POs'!$B$2:$B$305,B148,'Incoming POs'!$C$2:$C$305,C148,'Incoming POs'!$G$2:$G$305,"&gt;="&amp;D148,'Incoming POs'!$G$2:$G$305,"&lt;"&amp;Dashboard!$I$5,'Incoming POs'!$Q$2:$Q$305,"&lt;="&amp;('Inventory inputs'!P148/'Inventory inputs'!J148*1.01)),"n.a.")</x:f>
        <x:v>n.a.</x:v>
      </x:c>
      <x:c r="AC148" s="9" t="n">
        <x:f>I148*G148</x:f>
        <x:v>0</x:v>
      </x:c>
      <x:c r="AD148" s="9" t="n">
        <x:f>J148*G148</x:f>
        <x:v>0</x:v>
      </x:c>
      <x:c r="AE148" s="9" t="n">
        <x:f>K148*G148</x:f>
        <x:v>226.80000000000004</x:v>
      </x:c>
      <x:c r="AF148" s="9" t="n">
        <x:f>R148*G148</x:f>
        <x:v>184.407156073922</x:v>
      </x:c>
    </x:row>
    <x:row r="149" ht="21" customHeight="1">
      <x:c r="A149" s="1" t="str">
        <x:f>'Inventory inputs'!A149</x:f>
        <x:v>PLAS</x:v>
      </x:c>
      <x:c r="B149" s="1" t="str">
        <x:f>'Inventory inputs'!B149</x:f>
        <x:v>30</x:v>
      </x:c>
      <x:c r="C149" s="1" t="str">
        <x:f>'Inventory inputs'!C149</x:f>
        <x:v>51619RWBBLK</x:v>
      </x:c>
      <x:c r="D149" s="7" t="n">
        <x:f>'Inventory inputs'!E149</x:f>
        <x:v>46303</x:v>
      </x:c>
      <x:c r="E149" s="1" t="n">
        <x:f>'Inventory inputs'!F149</x:f>
        <x:v>2500</x:v>
      </x:c>
      <x:c r="F149" s="1" t="n">
        <x:f>'Inventory inputs'!G149</x:f>
        <x:v>1966.67</x:v>
      </x:c>
      <x:c r="G149" s="1" t="n">
        <x:f>'Inventory inputs'!H149/'Inventory inputs'!J149</x:f>
        <x:v>0.0216</x:v>
      </x:c>
      <x:c r="H149" s="1" t="n">
        <x:f>IF('Inventory inputs'!I149&gt;0,'Inventory inputs'!I149*'Inventory inputs'!K149/'Inventory inputs'!J149,"n.a.")</x:f>
        <x:v>0.025284</x:v>
      </x:c>
      <x:c r="I149" s="1" t="n">
        <x:f>'Inventory inputs'!L149</x:f>
        <x:v>0</x:v>
      </x:c>
      <x:c r="J149" s="1" t="n">
        <x:f>'Inventory inputs'!M149</x:f>
        <x:v>0</x:v>
      </x:c>
      <x:c r="K149" s="1" t="n">
        <x:f>'Inventory inputs'!N149</x:f>
        <x:v>2500</x:v>
      </x:c>
      <x:c r="L149" s="1" t="n">
        <x:f>'Inventory inputs'!O149</x:f>
        <x:v>0</x:v>
      </x:c>
      <x:c r="M149" s="9" t="n">
        <x:f>E149*G149</x:f>
        <x:v>54</x:v>
      </x:c>
      <x:c r="N149" s="9" t="n">
        <x:f>'Inventory inputs'!Q149</x:f>
        <x:v>54</x:v>
      </x:c>
      <x:c r="O149" s="9" t="n">
        <x:f>N149-M149</x:f>
        <x:v>0</x:v>
      </x:c>
      <x:c r="P149" s="1" t="n">
        <x:f>SUMIFS('Incoming POs'!$P$2:$P$305,'Incoming POs'!$A$2:$A$305,A149,'Incoming POs'!$B$2:$B$305,B149,'Incoming POs'!$C$2:$C$305,C149,'Incoming POs'!$G$2:$G$305,"&gt;="&amp;D149,'Incoming POs'!$G$2:$G$305,"&lt;"&amp;Dashboard!$I$5)</x:f>
        <x:v>0</x:v>
      </x:c>
      <x:c r="Q149" s="1" t="n">
        <x:f>F149*Dashboard!$L$5*MAX(0,Dashboard!$I$5-D149)/30.4375</x:f>
        <x:v>2616.842217659138</x:v>
      </x:c>
      <x:c r="R149" s="1" t="n">
        <x:f>MAX(0,E149+P149-Q149)</x:f>
        <x:v>0</x:v>
      </x:c>
      <x:c r="S149" s="1" t="n">
        <x:f>MAX(0,Q149-E149-P149)</x:f>
        <x:v>116.84221765913799</x:v>
      </x:c>
      <x:c r="T149" s="1" t="str">
        <x:f>IF(L149=1,MAX(0,I149+AB149-MIN(Q149,E149+P149)),"n.a.")</x:f>
        <x:v>n.a.</x:v>
      </x:c>
      <x:c r="U149" s="9" t="str">
        <x:f>IF(ISNUMBER(T149),T149*G149,"n.a.")</x:f>
        <x:v>n.a.</x:v>
      </x:c>
      <x:c r="V149" s="25" t="n">
        <x:f>IF(Dashboard!$I$6="Flat %",1,IF(ISNUMBER(H149),1,0))</x:f>
        <x:v>1</x:v>
      </x:c>
      <x:c r="W149" s="9" t="n">
        <x:f>IF(Dashboard!$I$6="Flat %",G149*(1+Dashboard!$L$6),H149)</x:f>
        <x:v>0.025284</x:v>
      </x:c>
      <x:c r="X149" s="9" t="n">
        <x:f>IF(V149=1,R149*(W149-G149),"n.a.")</x:f>
        <x:v>0</x:v>
      </x:c>
      <x:c r="Y149" s="9" t="n">
        <x:f>IF(V149=1,R149*W149,"n.a.")</x:f>
        <x:v>0</x:v>
      </x:c>
      <x:c r="Z149" s="1" t="str">
        <x:f>IF(ISNUMBER(T149),R149-T149,"n.a.")</x:f>
        <x:v>n.a.</x:v>
      </x:c>
      <x:c r="AA149" s="1" t="str">
        <x:f>'Inventory inputs'!R149</x:f>
        <x:v>Review receipt reconciliation or original PO baseline</x:v>
      </x:c>
      <x:c r="AB149" s="1" t="str">
        <x:f>IF(L149=1,SUMIFS('Incoming POs'!$P$2:$P$305,'Incoming POs'!$A$2:$A$305,A149,'Incoming POs'!$B$2:$B$305,B149,'Incoming POs'!$C$2:$C$305,C149,'Incoming POs'!$G$2:$G$305,"&gt;="&amp;D149,'Incoming POs'!$G$2:$G$305,"&lt;"&amp;Dashboard!$I$5,'Incoming POs'!$Q$2:$Q$305,"&lt;="&amp;('Inventory inputs'!P149/'Inventory inputs'!J149*1.01)),"n.a.")</x:f>
        <x:v>n.a.</x:v>
      </x:c>
      <x:c r="AC149" s="9" t="n">
        <x:f>I149*G149</x:f>
        <x:v>0</x:v>
      </x:c>
      <x:c r="AD149" s="9" t="n">
        <x:f>J149*G149</x:f>
        <x:v>0</x:v>
      </x:c>
      <x:c r="AE149" s="9" t="n">
        <x:f>K149*G149</x:f>
        <x:v>54</x:v>
      </x:c>
      <x:c r="AF149" s="9" t="n">
        <x:f>R149*G149</x:f>
        <x:v>0</x:v>
      </x:c>
    </x:row>
    <x:row r="150" ht="21" customHeight="1">
      <x:c r="A150" s="1" t="str">
        <x:f>'Inventory inputs'!A150</x:f>
        <x:v>PLAS</x:v>
      </x:c>
      <x:c r="B150" s="1" t="str">
        <x:f>'Inventory inputs'!B150</x:f>
        <x:v>10</x:v>
      </x:c>
      <x:c r="C150" s="1" t="str">
        <x:f>'Inventory inputs'!C150</x:f>
        <x:v>91621RWBBLK</x:v>
      </x:c>
      <x:c r="D150" s="7" t="n">
        <x:f>'Inventory inputs'!E150</x:f>
        <x:v>46303</x:v>
      </x:c>
      <x:c r="E150" s="1" t="n">
        <x:f>'Inventory inputs'!F150</x:f>
        <x:v>23750</x:v>
      </x:c>
      <x:c r="F150" s="1" t="n">
        <x:f>'Inventory inputs'!G150</x:f>
        <x:v>1939.83</x:v>
      </x:c>
      <x:c r="G150" s="1" t="n">
        <x:f>'Inventory inputs'!H150/'Inventory inputs'!J150</x:f>
        <x:v>0.040999999999999995</x:v>
      </x:c>
      <x:c r="H150" s="1" t="n">
        <x:f>IF('Inventory inputs'!I150&gt;0,'Inventory inputs'!I150*'Inventory inputs'!K150/'Inventory inputs'!J150,"n.a.")</x:f>
        <x:v>0.04792199999999999</x:v>
      </x:c>
      <x:c r="I150" s="1" t="n">
        <x:f>'Inventory inputs'!L150</x:f>
        <x:v>14750</x:v>
      </x:c>
      <x:c r="J150" s="1" t="n">
        <x:f>'Inventory inputs'!M150</x:f>
        <x:v>9000</x:v>
      </x:c>
      <x:c r="K150" s="1" t="n">
        <x:f>'Inventory inputs'!N150</x:f>
        <x:v>0</x:v>
      </x:c>
      <x:c r="L150" s="1" t="n">
        <x:f>'Inventory inputs'!O150</x:f>
        <x:v>1</x:v>
      </x:c>
      <x:c r="M150" s="9" t="n">
        <x:f>E150*G150</x:f>
        <x:v>973.7499999999999</x:v>
      </x:c>
      <x:c r="N150" s="9" t="n">
        <x:f>'Inventory inputs'!Q150</x:f>
        <x:v>973.7499999999999</x:v>
      </x:c>
      <x:c r="O150" s="9" t="n">
        <x:f>N150-M150</x:f>
        <x:v>0</x:v>
      </x:c>
      <x:c r="P150" s="1" t="n">
        <x:f>SUMIFS('Incoming POs'!$P$2:$P$305,'Incoming POs'!$A$2:$A$305,A150,'Incoming POs'!$B$2:$B$305,B150,'Incoming POs'!$C$2:$C$305,C150,'Incoming POs'!$G$2:$G$305,"&gt;="&amp;D150,'Incoming POs'!$G$2:$G$305,"&lt;"&amp;Dashboard!$I$5)</x:f>
        <x:v>0</x:v>
      </x:c>
      <x:c r="Q150" s="1" t="n">
        <x:f>F150*Dashboard!$L$5*MAX(0,Dashboard!$I$5-D150)/30.4375</x:f>
        <x:v>2581.129034907597</x:v>
      </x:c>
      <x:c r="R150" s="1" t="n">
        <x:f>MAX(0,E150+P150-Q150)</x:f>
        <x:v>21168.870965092403</x:v>
      </x:c>
      <x:c r="S150" s="1" t="n">
        <x:f>MAX(0,Q150-E150-P150)</x:f>
        <x:v>0</x:v>
      </x:c>
      <x:c r="T150" s="1" t="n">
        <x:f>IF(L150=1,MAX(0,I150+AB150-MIN(Q150,E150+P150)),"n.a.")</x:f>
        <x:v>12168.870965092403</x:v>
      </x:c>
      <x:c r="U150" s="9" t="n">
        <x:f>IF(ISNUMBER(T150),T150*G150,"n.a.")</x:f>
        <x:v>498.92370956878847</x:v>
      </x:c>
      <x:c r="V150" s="25" t="n">
        <x:f>IF(Dashboard!$I$6="Flat %",1,IF(ISNUMBER(H150),1,0))</x:f>
        <x:v>1</x:v>
      </x:c>
      <x:c r="W150" s="9" t="n">
        <x:f>IF(Dashboard!$I$6="Flat %",G150*(1+Dashboard!$L$6),H150)</x:f>
        <x:v>0.04792199999999999</x:v>
      </x:c>
      <x:c r="X150" s="9" t="n">
        <x:f>IF(V150=1,R150*(W150-G150),"n.a.")</x:f>
        <x:v>146.53092482036956</x:v>
      </x:c>
      <x:c r="Y150" s="9" t="n">
        <x:f>IF(V150=1,R150*W150,"n.a.")</x:f>
        <x:v>1014.454634389158</x:v>
      </x:c>
      <x:c r="Z150" s="1" t="n">
        <x:f>IF(ISNUMBER(T150),R150-T150,"n.a.")</x:f>
        <x:v>9000</x:v>
      </x:c>
      <x:c r="AA150" s="1" t="str">
        <x:f>'Inventory inputs'!R150</x:f>
        <x:v>Classified</x:v>
      </x:c>
      <x:c r="AB150" s="1" t="n">
        <x:f>IF(L150=1,SUMIFS('Incoming POs'!$P$2:$P$305,'Incoming POs'!$A$2:$A$305,A150,'Incoming POs'!$B$2:$B$305,B150,'Incoming POs'!$C$2:$C$305,C150,'Incoming POs'!$G$2:$G$305,"&gt;="&amp;D150,'Incoming POs'!$G$2:$G$305,"&lt;"&amp;Dashboard!$I$5,'Incoming POs'!$Q$2:$Q$305,"&lt;="&amp;('Inventory inputs'!P150/'Inventory inputs'!J150*1.01)),"n.a.")</x:f>
        <x:v>0</x:v>
      </x:c>
      <x:c r="AC150" s="9" t="n">
        <x:f>I150*G150</x:f>
        <x:v>604.7499999999999</x:v>
      </x:c>
      <x:c r="AD150" s="9" t="n">
        <x:f>J150*G150</x:f>
        <x:v>368.99999999999994</x:v>
      </x:c>
      <x:c r="AE150" s="9" t="n">
        <x:f>K150*G150</x:f>
        <x:v>0</x:v>
      </x:c>
      <x:c r="AF150" s="9" t="n">
        <x:f>R150*G150</x:f>
        <x:v>867.9237095687884</x:v>
      </x:c>
    </x:row>
    <x:row r="151" ht="21" customHeight="1">
      <x:c r="A151" s="1" t="str">
        <x:f>'Inventory inputs'!A151</x:f>
        <x:v>PLAS</x:v>
      </x:c>
      <x:c r="B151" s="1" t="str">
        <x:f>'Inventory inputs'!B151</x:f>
        <x:v>10</x:v>
      </x:c>
      <x:c r="C151" s="1" t="str">
        <x:f>'Inventory inputs'!C151</x:f>
        <x:v>07819RWBWHT</x:v>
      </x:c>
      <x:c r="D151" s="7" t="n">
        <x:f>'Inventory inputs'!E151</x:f>
        <x:v>46303</x:v>
      </x:c>
      <x:c r="E151" s="1" t="n">
        <x:f>'Inventory inputs'!F151</x:f>
        <x:v>1500</x:v>
      </x:c>
      <x:c r="F151" s="1" t="n">
        <x:f>'Inventory inputs'!G151</x:f>
        <x:v>1936.67</x:v>
      </x:c>
      <x:c r="G151" s="1" t="n">
        <x:f>'Inventory inputs'!H151/'Inventory inputs'!J151</x:f>
        <x:v>0.0797</x:v>
      </x:c>
      <x:c r="H151" s="1" t="n">
        <x:f>IF('Inventory inputs'!I151&gt;0,'Inventory inputs'!I151*'Inventory inputs'!K151/'Inventory inputs'!J151,"n.a.")</x:f>
        <x:v>0.09319799999999999</x:v>
      </x:c>
      <x:c r="I151" s="1" t="n">
        <x:f>'Inventory inputs'!L151</x:f>
        <x:v>0</x:v>
      </x:c>
      <x:c r="J151" s="1" t="n">
        <x:f>'Inventory inputs'!M151</x:f>
        <x:v>1500</x:v>
      </x:c>
      <x:c r="K151" s="1" t="n">
        <x:f>'Inventory inputs'!N151</x:f>
        <x:v>0</x:v>
      </x:c>
      <x:c r="L151" s="1" t="n">
        <x:f>'Inventory inputs'!O151</x:f>
        <x:v>1</x:v>
      </x:c>
      <x:c r="M151" s="9" t="n">
        <x:f>E151*G151</x:f>
        <x:v>119.54999999999998</x:v>
      </x:c>
      <x:c r="N151" s="9" t="n">
        <x:f>'Inventory inputs'!Q151</x:f>
        <x:v>119.55</x:v>
      </x:c>
      <x:c r="O151" s="9" t="n">
        <x:f>N151-M151</x:f>
        <x:v>1.4210854715202004e-14</x:v>
      </x:c>
      <x:c r="P151" s="1" t="n">
        <x:f>SUMIFS('Incoming POs'!$P$2:$P$305,'Incoming POs'!$A$2:$A$305,A151,'Incoming POs'!$B$2:$B$305,B151,'Incoming POs'!$C$2:$C$305,C151,'Incoming POs'!$G$2:$G$305,"&gt;="&amp;D151,'Incoming POs'!$G$2:$G$305,"&lt;"&amp;Dashboard!$I$5)</x:f>
        <x:v>8000</x:v>
      </x:c>
      <x:c r="Q151" s="1" t="n">
        <x:f>F151*Dashboard!$L$5*MAX(0,Dashboard!$I$5-D151)/30.4375</x:f>
        <x:v>2576.924353182752</x:v>
      </x:c>
      <x:c r="R151" s="1" t="n">
        <x:f>MAX(0,E151+P151-Q151)</x:f>
        <x:v>6923.075646817248</x:v>
      </x:c>
      <x:c r="S151" s="1" t="n">
        <x:f>MAX(0,Q151-E151-P151)</x:f>
        <x:v>0</x:v>
      </x:c>
      <x:c r="T151" s="1" t="n">
        <x:f>IF(L151=1,MAX(0,I151+AB151-MIN(Q151,E151+P151)),"n.a.")</x:f>
        <x:v>0</x:v>
      </x:c>
      <x:c r="U151" s="9" t="n">
        <x:f>IF(ISNUMBER(T151),T151*G151,"n.a.")</x:f>
        <x:v>0</x:v>
      </x:c>
      <x:c r="V151" s="25" t="n">
        <x:f>IF(Dashboard!$I$6="Flat %",1,IF(ISNUMBER(H151),1,0))</x:f>
        <x:v>1</x:v>
      </x:c>
      <x:c r="W151" s="9" t="n">
        <x:f>IF(Dashboard!$I$6="Flat %",G151*(1+Dashboard!$L$6),H151)</x:f>
        <x:v>0.09319799999999999</x:v>
      </x:c>
      <x:c r="X151" s="9" t="n">
        <x:f>IF(V151=1,R151*(W151-G151),"n.a.")</x:f>
        <x:v>93.44767508073919</x:v>
      </x:c>
      <x:c r="Y151" s="9" t="n">
        <x:f>IF(V151=1,R151*W151,"n.a.")</x:f>
        <x:v>645.2168041320738</x:v>
      </x:c>
      <x:c r="Z151" s="1" t="n">
        <x:f>IF(ISNUMBER(T151),R151-T151,"n.a.")</x:f>
        <x:v>6923.075646817248</x:v>
      </x:c>
      <x:c r="AA151" s="1" t="str">
        <x:f>'Inventory inputs'!R151</x:f>
        <x:v>Classified</x:v>
      </x:c>
      <x:c r="AB151" s="1" t="n">
        <x:f>IF(L151=1,SUMIFS('Incoming POs'!$P$2:$P$305,'Incoming POs'!$A$2:$A$305,A151,'Incoming POs'!$B$2:$B$305,B151,'Incoming POs'!$C$2:$C$305,C151,'Incoming POs'!$G$2:$G$305,"&gt;="&amp;D151,'Incoming POs'!$G$2:$G$305,"&lt;"&amp;Dashboard!$I$5,'Incoming POs'!$Q$2:$Q$305,"&lt;="&amp;('Inventory inputs'!P151/'Inventory inputs'!J151*1.01)),"n.a.")</x:f>
        <x:v>0</x:v>
      </x:c>
      <x:c r="AC151" s="9" t="n">
        <x:f>I151*G151</x:f>
        <x:v>0</x:v>
      </x:c>
      <x:c r="AD151" s="9" t="n">
        <x:f>J151*G151</x:f>
        <x:v>119.54999999999998</x:v>
      </x:c>
      <x:c r="AE151" s="9" t="n">
        <x:f>K151*G151</x:f>
        <x:v>0</x:v>
      </x:c>
      <x:c r="AF151" s="9" t="n">
        <x:f>R151*G151</x:f>
        <x:v>551.7691290513346</x:v>
      </x:c>
    </x:row>
    <x:row r="152" ht="21" customHeight="1">
      <x:c r="A152" s="1" t="str">
        <x:f>'Inventory inputs'!A152</x:f>
        <x:v>PLAS</x:v>
      </x:c>
      <x:c r="B152" s="1" t="str">
        <x:f>'Inventory inputs'!B152</x:f>
        <x:v>10</x:v>
      </x:c>
      <x:c r="C152" s="1" t="str">
        <x:f>'Inventory inputs'!C152</x:f>
        <x:v>05819RWBNAV</x:v>
      </x:c>
      <x:c r="D152" s="7" t="n">
        <x:f>'Inventory inputs'!E152</x:f>
        <x:v>46303</x:v>
      </x:c>
      <x:c r="E152" s="1" t="n">
        <x:f>'Inventory inputs'!F152</x:f>
        <x:v>10200</x:v>
      </x:c>
      <x:c r="F152" s="1" t="n">
        <x:f>'Inventory inputs'!G152</x:f>
        <x:v>1876.67</x:v>
      </x:c>
      <x:c r="G152" s="1" t="n">
        <x:f>'Inventory inputs'!H152/'Inventory inputs'!J152</x:f>
        <x:v>0.045599999999999995</x:v>
      </x:c>
      <x:c r="H152" s="1" t="n">
        <x:f>IF('Inventory inputs'!I152&gt;0,'Inventory inputs'!I152*'Inventory inputs'!K152/'Inventory inputs'!J152,"n.a.")</x:f>
        <x:v>0.053361</x:v>
      </x:c>
      <x:c r="I152" s="1" t="n">
        <x:f>'Inventory inputs'!L152</x:f>
        <x:v>4200</x:v>
      </x:c>
      <x:c r="J152" s="1" t="n">
        <x:f>'Inventory inputs'!M152</x:f>
        <x:v>6000</x:v>
      </x:c>
      <x:c r="K152" s="1" t="n">
        <x:f>'Inventory inputs'!N152</x:f>
        <x:v>0</x:v>
      </x:c>
      <x:c r="L152" s="1" t="n">
        <x:f>'Inventory inputs'!O152</x:f>
        <x:v>1</x:v>
      </x:c>
      <x:c r="M152" s="9" t="n">
        <x:f>E152*G152</x:f>
        <x:v>465.11999999999995</x:v>
      </x:c>
      <x:c r="N152" s="9" t="n">
        <x:f>'Inventory inputs'!Q152</x:f>
        <x:v>465.11999999999995</x:v>
      </x:c>
      <x:c r="O152" s="9" t="n">
        <x:f>N152-M152</x:f>
        <x:v>0</x:v>
      </x:c>
      <x:c r="P152" s="1" t="n">
        <x:f>SUMIFS('Incoming POs'!$P$2:$P$305,'Incoming POs'!$A$2:$A$305,A152,'Incoming POs'!$B$2:$B$305,B152,'Incoming POs'!$C$2:$C$305,C152,'Incoming POs'!$G$2:$G$305,"&gt;="&amp;D152,'Incoming POs'!$G$2:$G$305,"&lt;"&amp;Dashboard!$I$5)</x:f>
        <x:v>8000</x:v>
      </x:c>
      <x:c r="Q152" s="1" t="n">
        <x:f>F152*Dashboard!$L$5*MAX(0,Dashboard!$I$5-D152)/30.4375</x:f>
        <x:v>2497.08862422998</x:v>
      </x:c>
      <x:c r="R152" s="1" t="n">
        <x:f>MAX(0,E152+P152-Q152)</x:f>
        <x:v>15702.91137577002</x:v>
      </x:c>
      <x:c r="S152" s="1" t="n">
        <x:f>MAX(0,Q152-E152-P152)</x:f>
        <x:v>0</x:v>
      </x:c>
      <x:c r="T152" s="1" t="n">
        <x:f>IF(L152=1,MAX(0,I152+AB152-MIN(Q152,E152+P152)),"n.a.")</x:f>
        <x:v>1702.9113757700202</x:v>
      </x:c>
      <x:c r="U152" s="9" t="n">
        <x:f>IF(ISNUMBER(T152),T152*G152,"n.a.")</x:f>
        <x:v>77.65275873511291</x:v>
      </x:c>
      <x:c r="V152" s="25" t="n">
        <x:f>IF(Dashboard!$I$6="Flat %",1,IF(ISNUMBER(H152),1,0))</x:f>
        <x:v>1</x:v>
      </x:c>
      <x:c r="W152" s="9" t="n">
        <x:f>IF(Dashboard!$I$6="Flat %",G152*(1+Dashboard!$L$6),H152)</x:f>
        <x:v>0.053361</x:v>
      </x:c>
      <x:c r="X152" s="9" t="n">
        <x:f>IF(V152=1,R152*(W152-G152),"n.a.")</x:f>
        <x:v>121.87029518735119</x:v>
      </x:c>
      <x:c r="Y152" s="9" t="n">
        <x:f>IF(V152=1,R152*W152,"n.a.")</x:f>
        <x:v>837.923053922464</x:v>
      </x:c>
      <x:c r="Z152" s="1" t="n">
        <x:f>IF(ISNUMBER(T152),R152-T152,"n.a.")</x:f>
        <x:v>14000</x:v>
      </x:c>
      <x:c r="AA152" s="1" t="str">
        <x:f>'Inventory inputs'!R152</x:f>
        <x:v>Classified</x:v>
      </x:c>
      <x:c r="AB152" s="1" t="n">
        <x:f>IF(L152=1,SUMIFS('Incoming POs'!$P$2:$P$305,'Incoming POs'!$A$2:$A$305,A152,'Incoming POs'!$B$2:$B$305,B152,'Incoming POs'!$C$2:$C$305,C152,'Incoming POs'!$G$2:$G$305,"&gt;="&amp;D152,'Incoming POs'!$G$2:$G$305,"&lt;"&amp;Dashboard!$I$5,'Incoming POs'!$Q$2:$Q$305,"&lt;="&amp;('Inventory inputs'!P152/'Inventory inputs'!J152*1.01)),"n.a.")</x:f>
        <x:v>0</x:v>
      </x:c>
      <x:c r="AC152" s="9" t="n">
        <x:f>I152*G152</x:f>
        <x:v>191.51999999999998</x:v>
      </x:c>
      <x:c r="AD152" s="9" t="n">
        <x:f>J152*G152</x:f>
        <x:v>273.59999999999997</x:v>
      </x:c>
      <x:c r="AE152" s="9" t="n">
        <x:f>K152*G152</x:f>
        <x:v>0</x:v>
      </x:c>
      <x:c r="AF152" s="9" t="n">
        <x:f>R152*G152</x:f>
        <x:v>716.0527587351128</x:v>
      </x:c>
    </x:row>
    <x:row r="153" ht="21" customHeight="1">
      <x:c r="A153" s="1" t="str">
        <x:f>'Inventory inputs'!A153</x:f>
        <x:v>PLAS</x:v>
      </x:c>
      <x:c r="B153" s="1" t="str">
        <x:f>'Inventory inputs'!B153</x:f>
        <x:v>60</x:v>
      </x:c>
      <x:c r="C153" s="1" t="str">
        <x:f>'Inventory inputs'!C153</x:f>
        <x:v>00119RWBBLK</x:v>
      </x:c>
      <x:c r="D153" s="7" t="n">
        <x:f>'Inventory inputs'!E153</x:f>
        <x:v>46303</x:v>
      </x:c>
      <x:c r="E153" s="1" t="n">
        <x:f>'Inventory inputs'!F153</x:f>
        <x:v>2150</x:v>
      </x:c>
      <x:c r="F153" s="1" t="n">
        <x:f>'Inventory inputs'!G153</x:f>
        <x:v>1850</x:v>
      </x:c>
      <x:c r="G153" s="1" t="n">
        <x:f>'Inventory inputs'!H153/'Inventory inputs'!J153</x:f>
        <x:v>0.1054</x:v>
      </x:c>
      <x:c r="H153" s="1" t="n">
        <x:f>IF('Inventory inputs'!I153&gt;0,'Inventory inputs'!I153*'Inventory inputs'!K153/'Inventory inputs'!J153,"n.a.")</x:f>
        <x:v>0.12333300000000001</x:v>
      </x:c>
      <x:c r="I153" s="1" t="n">
        <x:f>'Inventory inputs'!L153</x:f>
        <x:v>0</x:v>
      </x:c>
      <x:c r="J153" s="1" t="n">
        <x:f>'Inventory inputs'!M153</x:f>
        <x:v>0</x:v>
      </x:c>
      <x:c r="K153" s="1" t="n">
        <x:f>'Inventory inputs'!N153</x:f>
        <x:v>2150</x:v>
      </x:c>
      <x:c r="L153" s="1" t="n">
        <x:f>'Inventory inputs'!O153</x:f>
        <x:v>0</x:v>
      </x:c>
      <x:c r="M153" s="9" t="n">
        <x:f>E153*G153</x:f>
        <x:v>226.60999999999999</x:v>
      </x:c>
      <x:c r="N153" s="9" t="n">
        <x:f>'Inventory inputs'!Q153</x:f>
        <x:v>226.60999999999996</x:v>
      </x:c>
      <x:c r="O153" s="9" t="n">
        <x:f>N153-M153</x:f>
        <x:v>-2.842170943040401e-14</x:v>
      </x:c>
      <x:c r="P153" s="1" t="n">
        <x:f>SUMIFS('Incoming POs'!$P$2:$P$305,'Incoming POs'!$A$2:$A$305,A153,'Incoming POs'!$B$2:$B$305,B153,'Incoming POs'!$C$2:$C$305,C153,'Incoming POs'!$G$2:$G$305,"&gt;="&amp;D153,'Incoming POs'!$G$2:$G$305,"&lt;"&amp;Dashboard!$I$5)</x:f>
        <x:v>0</x:v>
      </x:c>
      <x:c r="Q153" s="1" t="n">
        <x:f>F153*Dashboard!$L$5*MAX(0,Dashboard!$I$5-D153)/30.4375</x:f>
        <x:v>2461.6016427104723</x:v>
      </x:c>
      <x:c r="R153" s="1" t="n">
        <x:f>MAX(0,E153+P153-Q153)</x:f>
        <x:v>0</x:v>
      </x:c>
      <x:c r="S153" s="1" t="n">
        <x:f>MAX(0,Q153-E153-P153)</x:f>
        <x:v>311.60164271047233</x:v>
      </x:c>
      <x:c r="T153" s="1" t="str">
        <x:f>IF(L153=1,MAX(0,I153+AB153-MIN(Q153,E153+P153)),"n.a.")</x:f>
        <x:v>n.a.</x:v>
      </x:c>
      <x:c r="U153" s="9" t="str">
        <x:f>IF(ISNUMBER(T153),T153*G153,"n.a.")</x:f>
        <x:v>n.a.</x:v>
      </x:c>
      <x:c r="V153" s="25" t="n">
        <x:f>IF(Dashboard!$I$6="Flat %",1,IF(ISNUMBER(H153),1,0))</x:f>
        <x:v>1</x:v>
      </x:c>
      <x:c r="W153" s="9" t="n">
        <x:f>IF(Dashboard!$I$6="Flat %",G153*(1+Dashboard!$L$6),H153)</x:f>
        <x:v>0.12333300000000001</x:v>
      </x:c>
      <x:c r="X153" s="9" t="n">
        <x:f>IF(V153=1,R153*(W153-G153),"n.a.")</x:f>
        <x:v>0</x:v>
      </x:c>
      <x:c r="Y153" s="9" t="n">
        <x:f>IF(V153=1,R153*W153,"n.a.")</x:f>
        <x:v>0</x:v>
      </x:c>
      <x:c r="Z153" s="1" t="str">
        <x:f>IF(ISNUMBER(T153),R153-T153,"n.a.")</x:f>
        <x:v>n.a.</x:v>
      </x:c>
      <x:c r="AA153" s="1" t="str">
        <x:f>'Inventory inputs'!R153</x:f>
        <x:v>Review receipt reconciliation or original PO baseline</x:v>
      </x:c>
      <x:c r="AB153" s="1" t="str">
        <x:f>IF(L153=1,SUMIFS('Incoming POs'!$P$2:$P$305,'Incoming POs'!$A$2:$A$305,A153,'Incoming POs'!$B$2:$B$305,B153,'Incoming POs'!$C$2:$C$305,C153,'Incoming POs'!$G$2:$G$305,"&gt;="&amp;D153,'Incoming POs'!$G$2:$G$305,"&lt;"&amp;Dashboard!$I$5,'Incoming POs'!$Q$2:$Q$305,"&lt;="&amp;('Inventory inputs'!P153/'Inventory inputs'!J153*1.01)),"n.a.")</x:f>
        <x:v>n.a.</x:v>
      </x:c>
      <x:c r="AC153" s="9" t="n">
        <x:f>I153*G153</x:f>
        <x:v>0</x:v>
      </x:c>
      <x:c r="AD153" s="9" t="n">
        <x:f>J153*G153</x:f>
        <x:v>0</x:v>
      </x:c>
      <x:c r="AE153" s="9" t="n">
        <x:f>K153*G153</x:f>
        <x:v>226.60999999999999</x:v>
      </x:c>
      <x:c r="AF153" s="9" t="n">
        <x:f>R153*G153</x:f>
        <x:v>0</x:v>
      </x:c>
    </x:row>
    <x:row r="154" ht="21" customHeight="1">
      <x:c r="A154" s="1" t="str">
        <x:f>'Inventory inputs'!A154</x:f>
        <x:v>PLAS</x:v>
      </x:c>
      <x:c r="B154" s="1" t="str">
        <x:f>'Inventory inputs'!B154</x:f>
        <x:v>10</x:v>
      </x:c>
      <x:c r="C154" s="1" t="str">
        <x:f>'Inventory inputs'!C154</x:f>
        <x:v>00119RWBWHT</x:v>
      </x:c>
      <x:c r="D154" s="7" t="n">
        <x:f>'Inventory inputs'!E154</x:f>
        <x:v>46303</x:v>
      </x:c>
      <x:c r="E154" s="1" t="n">
        <x:f>'Inventory inputs'!F154</x:f>
        <x:v>2700</x:v>
      </x:c>
      <x:c r="F154" s="1" t="n">
        <x:f>'Inventory inputs'!G154</x:f>
        <x:v>1753</x:v>
      </x:c>
      <x:c r="G154" s="1" t="n">
        <x:f>'Inventory inputs'!H154/'Inventory inputs'!J154</x:f>
        <x:v>0.1054</x:v>
      </x:c>
      <x:c r="H154" s="1" t="n">
        <x:f>IF('Inventory inputs'!I154&gt;0,'Inventory inputs'!I154*'Inventory inputs'!K154/'Inventory inputs'!J154,"n.a.")</x:f>
        <x:v>0.12333300000000001</x:v>
      </x:c>
      <x:c r="I154" s="1" t="n">
        <x:f>'Inventory inputs'!L154</x:f>
        <x:v>1700</x:v>
      </x:c>
      <x:c r="J154" s="1" t="n">
        <x:f>'Inventory inputs'!M154</x:f>
        <x:v>1000</x:v>
      </x:c>
      <x:c r="K154" s="1" t="n">
        <x:f>'Inventory inputs'!N154</x:f>
        <x:v>0</x:v>
      </x:c>
      <x:c r="L154" s="1" t="n">
        <x:f>'Inventory inputs'!O154</x:f>
        <x:v>1</x:v>
      </x:c>
      <x:c r="M154" s="9" t="n">
        <x:f>E154*G154</x:f>
        <x:v>284.58</x:v>
      </x:c>
      <x:c r="N154" s="9" t="n">
        <x:f>'Inventory inputs'!Q154</x:f>
        <x:v>284.58</x:v>
      </x:c>
      <x:c r="O154" s="9" t="n">
        <x:f>N154-M154</x:f>
        <x:v>0</x:v>
      </x:c>
      <x:c r="P154" s="1" t="n">
        <x:f>SUMIFS('Incoming POs'!$P$2:$P$305,'Incoming POs'!$A$2:$A$305,A154,'Incoming POs'!$B$2:$B$305,B154,'Incoming POs'!$C$2:$C$305,C154,'Incoming POs'!$G$2:$G$305,"&gt;="&amp;D154,'Incoming POs'!$G$2:$G$305,"&lt;"&amp;Dashboard!$I$5)</x:f>
        <x:v>8000</x:v>
      </x:c>
      <x:c r="Q154" s="1" t="n">
        <x:f>F154*Dashboard!$L$5*MAX(0,Dashboard!$I$5-D154)/30.4375</x:f>
        <x:v>2332.5338809034906</x:v>
      </x:c>
      <x:c r="R154" s="1" t="n">
        <x:f>MAX(0,E154+P154-Q154)</x:f>
        <x:v>8367.466119096509</x:v>
      </x:c>
      <x:c r="S154" s="1" t="n">
        <x:f>MAX(0,Q154-E154-P154)</x:f>
        <x:v>0</x:v>
      </x:c>
      <x:c r="T154" s="1" t="n">
        <x:f>IF(L154=1,MAX(0,I154+AB154-MIN(Q154,E154+P154)),"n.a.")</x:f>
        <x:v>0</x:v>
      </x:c>
      <x:c r="U154" s="9" t="n">
        <x:f>IF(ISNUMBER(T154),T154*G154,"n.a.")</x:f>
        <x:v>0</x:v>
      </x:c>
      <x:c r="V154" s="25" t="n">
        <x:f>IF(Dashboard!$I$6="Flat %",1,IF(ISNUMBER(H154),1,0))</x:f>
        <x:v>1</x:v>
      </x:c>
      <x:c r="W154" s="9" t="n">
        <x:f>IF(Dashboard!$I$6="Flat %",G154*(1+Dashboard!$L$6),H154)</x:f>
        <x:v>0.12333300000000001</x:v>
      </x:c>
      <x:c r="X154" s="9" t="n">
        <x:f>IF(V154=1,R154*(W154-G154),"n.a.")</x:f>
        <x:v>150.05376991375786</x:v>
      </x:c>
      <x:c r="Y154" s="9" t="n">
        <x:f>IF(V154=1,R154*W154,"n.a.")</x:f>
        <x:v>1031.98469886653</x:v>
      </x:c>
      <x:c r="Z154" s="1" t="n">
        <x:f>IF(ISNUMBER(T154),R154-T154,"n.a.")</x:f>
        <x:v>8367.466119096509</x:v>
      </x:c>
      <x:c r="AA154" s="1" t="str">
        <x:f>'Inventory inputs'!R154</x:f>
        <x:v>Classified</x:v>
      </x:c>
      <x:c r="AB154" s="1" t="n">
        <x:f>IF(L154=1,SUMIFS('Incoming POs'!$P$2:$P$305,'Incoming POs'!$A$2:$A$305,A154,'Incoming POs'!$B$2:$B$305,B154,'Incoming POs'!$C$2:$C$305,C154,'Incoming POs'!$G$2:$G$305,"&gt;="&amp;D154,'Incoming POs'!$G$2:$G$305,"&lt;"&amp;Dashboard!$I$5,'Incoming POs'!$Q$2:$Q$305,"&lt;="&amp;('Inventory inputs'!P154/'Inventory inputs'!J154*1.01)),"n.a.")</x:f>
        <x:v>0</x:v>
      </x:c>
      <x:c r="AC154" s="9" t="n">
        <x:f>I154*G154</x:f>
        <x:v>179.17999999999998</x:v>
      </x:c>
      <x:c r="AD154" s="9" t="n">
        <x:f>J154*G154</x:f>
        <x:v>105.39999999999999</x:v>
      </x:c>
      <x:c r="AE154" s="9" t="n">
        <x:f>K154*G154</x:f>
        <x:v>0</x:v>
      </x:c>
      <x:c r="AF154" s="9" t="n">
        <x:f>R154*G154</x:f>
        <x:v>881.930928952772</x:v>
      </x:c>
    </x:row>
    <x:row r="155" ht="21" customHeight="1">
      <x:c r="A155" s="1" t="str">
        <x:f>'Inventory inputs'!A155</x:f>
        <x:v>PLAS</x:v>
      </x:c>
      <x:c r="B155" s="1" t="str">
        <x:f>'Inventory inputs'!B155</x:f>
        <x:v>10</x:v>
      </x:c>
      <x:c r="C155" s="1" t="str">
        <x:f>'Inventory inputs'!C155</x:f>
        <x:v>91619RWBNAV</x:v>
      </x:c>
      <x:c r="D155" s="7" t="n">
        <x:f>'Inventory inputs'!E155</x:f>
        <x:v>46303</x:v>
      </x:c>
      <x:c r="E155" s="1" t="n">
        <x:f>'Inventory inputs'!F155</x:f>
        <x:v>200</x:v>
      </x:c>
      <x:c r="F155" s="1" t="n">
        <x:f>'Inventory inputs'!G155</x:f>
        <x:v>1750.5</x:v>
      </x:c>
      <x:c r="G155" s="1" t="n">
        <x:f>'Inventory inputs'!H155/'Inventory inputs'!J155</x:f>
        <x:v>0.042800000000000005</x:v>
      </x:c>
      <x:c r="H155" s="1" t="n">
        <x:f>IF('Inventory inputs'!I155&gt;0,'Inventory inputs'!I155*'Inventory inputs'!K155/'Inventory inputs'!J155,"n.a.")</x:f>
        <x:v>0.049980000000000004</x:v>
      </x:c>
      <x:c r="I155" s="1" t="n">
        <x:f>'Inventory inputs'!L155</x:f>
        <x:v>0</x:v>
      </x:c>
      <x:c r="J155" s="1" t="n">
        <x:f>'Inventory inputs'!M155</x:f>
        <x:v>200</x:v>
      </x:c>
      <x:c r="K155" s="1" t="n">
        <x:f>'Inventory inputs'!N155</x:f>
        <x:v>0</x:v>
      </x:c>
      <x:c r="L155" s="1" t="n">
        <x:f>'Inventory inputs'!O155</x:f>
        <x:v>1</x:v>
      </x:c>
      <x:c r="M155" s="9" t="n">
        <x:f>E155*G155</x:f>
        <x:v>8.56</x:v>
      </x:c>
      <x:c r="N155" s="9" t="n">
        <x:f>'Inventory inputs'!Q155</x:f>
        <x:v>8.56</x:v>
      </x:c>
      <x:c r="O155" s="9" t="n">
        <x:f>N155-M155</x:f>
        <x:v>0</x:v>
      </x:c>
      <x:c r="P155" s="1" t="n">
        <x:f>SUMIFS('Incoming POs'!$P$2:$P$305,'Incoming POs'!$A$2:$A$305,A155,'Incoming POs'!$B$2:$B$305,B155,'Incoming POs'!$C$2:$C$305,C155,'Incoming POs'!$G$2:$G$305,"&gt;="&amp;D155,'Incoming POs'!$G$2:$G$305,"&lt;"&amp;Dashboard!$I$5)</x:f>
        <x:v>10000</x:v>
      </x:c>
      <x:c r="Q155" s="1" t="n">
        <x:f>F155*Dashboard!$L$5*MAX(0,Dashboard!$I$5-D155)/30.4375</x:f>
        <x:v>2329.207392197125</x:v>
      </x:c>
      <x:c r="R155" s="1" t="n">
        <x:f>MAX(0,E155+P155-Q155)</x:f>
        <x:v>7870.792607802875</x:v>
      </x:c>
      <x:c r="S155" s="1" t="n">
        <x:f>MAX(0,Q155-E155-P155)</x:f>
        <x:v>0</x:v>
      </x:c>
      <x:c r="T155" s="1" t="n">
        <x:f>IF(L155=1,MAX(0,I155+AB155-MIN(Q155,E155+P155)),"n.a.")</x:f>
        <x:v>0</x:v>
      </x:c>
      <x:c r="U155" s="9" t="n">
        <x:f>IF(ISNUMBER(T155),T155*G155,"n.a.")</x:f>
        <x:v>0</x:v>
      </x:c>
      <x:c r="V155" s="25" t="n">
        <x:f>IF(Dashboard!$I$6="Flat %",1,IF(ISNUMBER(H155),1,0))</x:f>
        <x:v>1</x:v>
      </x:c>
      <x:c r="W155" s="9" t="n">
        <x:f>IF(Dashboard!$I$6="Flat %",G155*(1+Dashboard!$L$6),H155)</x:f>
        <x:v>0.049980000000000004</x:v>
      </x:c>
      <x:c r="X155" s="9" t="n">
        <x:f>IF(V155=1,R155*(W155-G155),"n.a.")</x:f>
        <x:v>56.51229092402463</x:v>
      </x:c>
      <x:c r="Y155" s="9" t="n">
        <x:f>IF(V155=1,R155*W155,"n.a.")</x:f>
        <x:v>393.3822145379877</x:v>
      </x:c>
      <x:c r="Z155" s="1" t="n">
        <x:f>IF(ISNUMBER(T155),R155-T155,"n.a.")</x:f>
        <x:v>7870.792607802875</x:v>
      </x:c>
      <x:c r="AA155" s="1" t="str">
        <x:f>'Inventory inputs'!R155</x:f>
        <x:v>Classified</x:v>
      </x:c>
      <x:c r="AB155" s="1" t="n">
        <x:f>IF(L155=1,SUMIFS('Incoming POs'!$P$2:$P$305,'Incoming POs'!$A$2:$A$305,A155,'Incoming POs'!$B$2:$B$305,B155,'Incoming POs'!$C$2:$C$305,C155,'Incoming POs'!$G$2:$G$305,"&gt;="&amp;D155,'Incoming POs'!$G$2:$G$305,"&lt;"&amp;Dashboard!$I$5,'Incoming POs'!$Q$2:$Q$305,"&lt;="&amp;('Inventory inputs'!P155/'Inventory inputs'!J155*1.01)),"n.a.")</x:f>
        <x:v>0</x:v>
      </x:c>
      <x:c r="AC155" s="9" t="n">
        <x:f>I155*G155</x:f>
        <x:v>0</x:v>
      </x:c>
      <x:c r="AD155" s="9" t="n">
        <x:f>J155*G155</x:f>
        <x:v>8.56</x:v>
      </x:c>
      <x:c r="AE155" s="9" t="n">
        <x:f>K155*G155</x:f>
        <x:v>0</x:v>
      </x:c>
      <x:c r="AF155" s="9" t="n">
        <x:f>R155*G155</x:f>
        <x:v>336.86992361396307</x:v>
      </x:c>
    </x:row>
    <x:row r="156" ht="21" customHeight="1">
      <x:c r="A156" s="1" t="str">
        <x:f>'Inventory inputs'!A156</x:f>
        <x:v>PLAS</x:v>
      </x:c>
      <x:c r="B156" s="1" t="str">
        <x:f>'Inventory inputs'!B156</x:f>
        <x:v>10</x:v>
      </x:c>
      <x:c r="C156" s="1" t="str">
        <x:f>'Inventory inputs'!C156</x:f>
        <x:v>00219RSLBLU</x:v>
      </x:c>
      <x:c r="D156" s="7" t="n">
        <x:f>'Inventory inputs'!E156</x:f>
        <x:v>46303</x:v>
      </x:c>
      <x:c r="E156" s="1" t="n">
        <x:f>'Inventory inputs'!F156</x:f>
        <x:v>0</x:v>
      </x:c>
      <x:c r="F156" s="1" t="n">
        <x:f>'Inventory inputs'!G156</x:f>
        <x:v>1735.17</x:v>
      </x:c>
      <x:c r="G156" s="1" t="n">
        <x:f>'Inventory inputs'!H156/'Inventory inputs'!J156</x:f>
        <x:v>0.1477</x:v>
      </x:c>
      <x:c r="H156" s="1" t="n">
        <x:f>IF('Inventory inputs'!I156&gt;0,'Inventory inputs'!I156*'Inventory inputs'!K156/'Inventory inputs'!J156,"n.a.")</x:f>
        <x:v>0.172872</x:v>
      </x:c>
      <x:c r="I156" s="1" t="n">
        <x:f>'Inventory inputs'!L156</x:f>
        <x:v>0</x:v>
      </x:c>
      <x:c r="J156" s="1" t="n">
        <x:f>'Inventory inputs'!M156</x:f>
        <x:v>0</x:v>
      </x:c>
      <x:c r="K156" s="1" t="n">
        <x:f>'Inventory inputs'!N156</x:f>
        <x:v>0</x:v>
      </x:c>
      <x:c r="L156" s="1" t="n">
        <x:f>'Inventory inputs'!O156</x:f>
        <x:v>1</x:v>
      </x:c>
      <x:c r="M156" s="9" t="n">
        <x:f>E156*G156</x:f>
        <x:v>0</x:v>
      </x:c>
      <x:c r="N156" s="9" t="n">
        <x:f>'Inventory inputs'!Q156</x:f>
        <x:v>0</x:v>
      </x:c>
      <x:c r="O156" s="9" t="n">
        <x:f>N156-M156</x:f>
        <x:v>0</x:v>
      </x:c>
      <x:c r="P156" s="1" t="n">
        <x:f>SUMIFS('Incoming POs'!$P$2:$P$305,'Incoming POs'!$A$2:$A$305,A156,'Incoming POs'!$B$2:$B$305,B156,'Incoming POs'!$C$2:$C$305,C156,'Incoming POs'!$G$2:$G$305,"&gt;="&amp;D156,'Incoming POs'!$G$2:$G$305,"&lt;"&amp;Dashboard!$I$5)</x:f>
        <x:v>20000</x:v>
      </x:c>
      <x:c r="Q156" s="1" t="n">
        <x:f>F156*Dashboard!$L$5*MAX(0,Dashboard!$I$5-D156)/30.4375</x:f>
        <x:v>2308.8093634496922</x:v>
      </x:c>
      <x:c r="R156" s="1" t="n">
        <x:f>MAX(0,E156+P156-Q156)</x:f>
        <x:v>17691.19063655031</x:v>
      </x:c>
      <x:c r="S156" s="1" t="n">
        <x:f>MAX(0,Q156-E156-P156)</x:f>
        <x:v>0</x:v>
      </x:c>
      <x:c r="T156" s="1" t="n">
        <x:f>IF(L156=1,MAX(0,I156+AB156-MIN(Q156,E156+P156)),"n.a.")</x:f>
        <x:v>0</x:v>
      </x:c>
      <x:c r="U156" s="9" t="n">
        <x:f>IF(ISNUMBER(T156),T156*G156,"n.a.")</x:f>
        <x:v>0</x:v>
      </x:c>
      <x:c r="V156" s="25" t="n">
        <x:f>IF(Dashboard!$I$6="Flat %",1,IF(ISNUMBER(H156),1,0))</x:f>
        <x:v>1</x:v>
      </x:c>
      <x:c r="W156" s="9" t="n">
        <x:f>IF(Dashboard!$I$6="Flat %",G156*(1+Dashboard!$L$6),H156)</x:f>
        <x:v>0.172872</x:v>
      </x:c>
      <x:c r="X156" s="9" t="n">
        <x:f>IF(V156=1,R156*(W156-G156),"n.a.")</x:f>
        <x:v>445.3226507032444</x:v>
      </x:c>
      <x:c r="Y156" s="9" t="n">
        <x:f>IF(V156=1,R156*W156,"n.a.")</x:f>
        <x:v>3058.311507721725</x:v>
      </x:c>
      <x:c r="Z156" s="1" t="n">
        <x:f>IF(ISNUMBER(T156),R156-T156,"n.a.")</x:f>
        <x:v>17691.19063655031</x:v>
      </x:c>
      <x:c r="AA156" s="1" t="str">
        <x:f>'Inventory inputs'!R156</x:f>
        <x:v>Classified</x:v>
      </x:c>
      <x:c r="AB156" s="1" t="n">
        <x:f>IF(L156=1,SUMIFS('Incoming POs'!$P$2:$P$305,'Incoming POs'!$A$2:$A$305,A156,'Incoming POs'!$B$2:$B$305,B156,'Incoming POs'!$C$2:$C$305,C156,'Incoming POs'!$G$2:$G$305,"&gt;="&amp;D156,'Incoming POs'!$G$2:$G$305,"&lt;"&amp;Dashboard!$I$5,'Incoming POs'!$Q$2:$Q$305,"&lt;="&amp;('Inventory inputs'!P156/'Inventory inputs'!J156*1.01)),"n.a.")</x:f>
        <x:v>0</x:v>
      </x:c>
      <x:c r="AC156" s="9" t="n">
        <x:f>I156*G156</x:f>
        <x:v>0</x:v>
      </x:c>
      <x:c r="AD156" s="9" t="n">
        <x:f>J156*G156</x:f>
        <x:v>0</x:v>
      </x:c>
      <x:c r="AE156" s="9" t="n">
        <x:f>K156*G156</x:f>
        <x:v>0</x:v>
      </x:c>
      <x:c r="AF156" s="9" t="n">
        <x:f>R156*G156</x:f>
        <x:v>2612.9888570184808</x:v>
      </x:c>
    </x:row>
    <x:row r="157" ht="21" customHeight="1">
      <x:c r="A157" s="1" t="str">
        <x:f>'Inventory inputs'!A157</x:f>
        <x:v>PLAS</x:v>
      </x:c>
      <x:c r="B157" s="1" t="str">
        <x:f>'Inventory inputs'!B157</x:f>
        <x:v>10</x:v>
      </x:c>
      <x:c r="C157" s="1" t="str">
        <x:f>'Inventory inputs'!C157</x:f>
        <x:v>03819RWBFG</x:v>
      </x:c>
      <x:c r="D157" s="7" t="n">
        <x:f>'Inventory inputs'!E157</x:f>
        <x:v>46303</x:v>
      </x:c>
      <x:c r="E157" s="1" t="n">
        <x:f>'Inventory inputs'!F157</x:f>
        <x:v>6400</x:v>
      </x:c>
      <x:c r="F157" s="1" t="n">
        <x:f>'Inventory inputs'!G157</x:f>
        <x:v>1725</x:v>
      </x:c>
      <x:c r="G157" s="1" t="n">
        <x:f>'Inventory inputs'!H157/'Inventory inputs'!J157</x:f>
        <x:v>0.0248</x:v>
      </x:c>
      <x:c r="H157" s="1" t="n">
        <x:f>IF('Inventory inputs'!I157&gt;0,'Inventory inputs'!I157*'Inventory inputs'!K157/'Inventory inputs'!J157,"n.a.")</x:f>
        <x:v>0.029106</x:v>
      </x:c>
      <x:c r="I157" s="1" t="n">
        <x:f>'Inventory inputs'!L157</x:f>
        <x:v>3400</x:v>
      </x:c>
      <x:c r="J157" s="1" t="n">
        <x:f>'Inventory inputs'!M157</x:f>
        <x:v>3000</x:v>
      </x:c>
      <x:c r="K157" s="1" t="n">
        <x:f>'Inventory inputs'!N157</x:f>
        <x:v>0</x:v>
      </x:c>
      <x:c r="L157" s="1" t="n">
        <x:f>'Inventory inputs'!O157</x:f>
        <x:v>1</x:v>
      </x:c>
      <x:c r="M157" s="9" t="n">
        <x:f>E157*G157</x:f>
        <x:v>158.72</x:v>
      </x:c>
      <x:c r="N157" s="9" t="n">
        <x:f>'Inventory inputs'!Q157</x:f>
        <x:v>158.72</x:v>
      </x:c>
      <x:c r="O157" s="9" t="n">
        <x:f>N157-M157</x:f>
        <x:v>0</x:v>
      </x:c>
      <x:c r="P157" s="1" t="n">
        <x:f>SUMIFS('Incoming POs'!$P$2:$P$305,'Incoming POs'!$A$2:$A$305,A157,'Incoming POs'!$B$2:$B$305,B157,'Incoming POs'!$C$2:$C$305,C157,'Incoming POs'!$G$2:$G$305,"&gt;="&amp;D157,'Incoming POs'!$G$2:$G$305,"&lt;"&amp;Dashboard!$I$5)</x:f>
        <x:v>10000</x:v>
      </x:c>
      <x:c r="Q157" s="1" t="n">
        <x:f>F157*Dashboard!$L$5*MAX(0,Dashboard!$I$5-D157)/30.4375</x:f>
        <x:v>2295.277207392197</x:v>
      </x:c>
      <x:c r="R157" s="1" t="n">
        <x:f>MAX(0,E157+P157-Q157)</x:f>
        <x:v>14104.722792607803</x:v>
      </x:c>
      <x:c r="S157" s="1" t="n">
        <x:f>MAX(0,Q157-E157-P157)</x:f>
        <x:v>0</x:v>
      </x:c>
      <x:c r="T157" s="1" t="n">
        <x:f>IF(L157=1,MAX(0,I157+AB157-MIN(Q157,E157+P157)),"n.a.")</x:f>
        <x:v>1104.722792607803</x:v>
      </x:c>
      <x:c r="U157" s="9" t="n">
        <x:f>IF(ISNUMBER(T157),T157*G157,"n.a.")</x:f>
        <x:v>27.397125256673515</x:v>
      </x:c>
      <x:c r="V157" s="25" t="n">
        <x:f>IF(Dashboard!$I$6="Flat %",1,IF(ISNUMBER(H157),1,0))</x:f>
        <x:v>1</x:v>
      </x:c>
      <x:c r="W157" s="9" t="n">
        <x:f>IF(Dashboard!$I$6="Flat %",G157*(1+Dashboard!$L$6),H157)</x:f>
        <x:v>0.029106</x:v>
      </x:c>
      <x:c r="X157" s="9" t="n">
        <x:f>IF(V157=1,R157*(W157-G157),"n.a.")</x:f>
        <x:v>60.73493634496921</x:v>
      </x:c>
      <x:c r="Y157" s="9" t="n">
        <x:f>IF(V157=1,R157*W157,"n.a.")</x:f>
        <x:v>410.53206160164274</x:v>
      </x:c>
      <x:c r="Z157" s="1" t="n">
        <x:f>IF(ISNUMBER(T157),R157-T157,"n.a.")</x:f>
        <x:v>13000</x:v>
      </x:c>
      <x:c r="AA157" s="1" t="str">
        <x:f>'Inventory inputs'!R157</x:f>
        <x:v>Classified</x:v>
      </x:c>
      <x:c r="AB157" s="1" t="n">
        <x:f>IF(L157=1,SUMIFS('Incoming POs'!$P$2:$P$305,'Incoming POs'!$A$2:$A$305,A157,'Incoming POs'!$B$2:$B$305,B157,'Incoming POs'!$C$2:$C$305,C157,'Incoming POs'!$G$2:$G$305,"&gt;="&amp;D157,'Incoming POs'!$G$2:$G$305,"&lt;"&amp;Dashboard!$I$5,'Incoming POs'!$Q$2:$Q$305,"&lt;="&amp;('Inventory inputs'!P157/'Inventory inputs'!J157*1.01)),"n.a.")</x:f>
        <x:v>0</x:v>
      </x:c>
      <x:c r="AC157" s="9" t="n">
        <x:f>I157*G157</x:f>
        <x:v>84.32</x:v>
      </x:c>
      <x:c r="AD157" s="9" t="n">
        <x:f>J157*G157</x:f>
        <x:v>74.39999999999999</x:v>
      </x:c>
      <x:c r="AE157" s="9" t="n">
        <x:f>K157*G157</x:f>
        <x:v>0</x:v>
      </x:c>
      <x:c r="AF157" s="9" t="n">
        <x:f>R157*G157</x:f>
        <x:v>349.7971252566735</x:v>
      </x:c>
    </x:row>
    <x:row r="158" ht="21" customHeight="1">
      <x:c r="A158" s="1" t="str">
        <x:f>'Inventory inputs'!A158</x:f>
        <x:v>PLAS</x:v>
      </x:c>
      <x:c r="B158" s="1" t="str">
        <x:f>'Inventory inputs'!B158</x:f>
        <x:v>10</x:v>
      </x:c>
      <x:c r="C158" s="1" t="str">
        <x:f>'Inventory inputs'!C158</x:f>
        <x:v>05821RWBBLK</x:v>
      </x:c>
      <x:c r="D158" s="7" t="n">
        <x:f>'Inventory inputs'!E158</x:f>
        <x:v>46303</x:v>
      </x:c>
      <x:c r="E158" s="1" t="n">
        <x:f>'Inventory inputs'!F158</x:f>
        <x:v>26550</x:v>
      </x:c>
      <x:c r="F158" s="1" t="n">
        <x:f>'Inventory inputs'!G158</x:f>
        <x:v>1701.67</x:v>
      </x:c>
      <x:c r="G158" s="1" t="n">
        <x:f>'Inventory inputs'!H158/'Inventory inputs'!J158</x:f>
        <x:v>0.0441</x:v>
      </x:c>
      <x:c r="H158" s="1" t="n">
        <x:f>IF('Inventory inputs'!I158&gt;0,'Inventory inputs'!I158*'Inventory inputs'!K158/'Inventory inputs'!J158,"n.a.")</x:f>
        <x:v>0.051597</x:v>
      </x:c>
      <x:c r="I158" s="1" t="n">
        <x:f>'Inventory inputs'!L158</x:f>
        <x:v>26550</x:v>
      </x:c>
      <x:c r="J158" s="1" t="n">
        <x:f>'Inventory inputs'!M158</x:f>
        <x:v>0</x:v>
      </x:c>
      <x:c r="K158" s="1" t="n">
        <x:f>'Inventory inputs'!N158</x:f>
        <x:v>0</x:v>
      </x:c>
      <x:c r="L158" s="1" t="n">
        <x:f>'Inventory inputs'!O158</x:f>
        <x:v>1</x:v>
      </x:c>
      <x:c r="M158" s="9" t="n">
        <x:f>E158*G158</x:f>
        <x:v>1170.855</x:v>
      </x:c>
      <x:c r="N158" s="9" t="n">
        <x:f>'Inventory inputs'!Q158</x:f>
        <x:v>1170.855</x:v>
      </x:c>
      <x:c r="O158" s="9" t="n">
        <x:f>N158-M158</x:f>
        <x:v>0</x:v>
      </x:c>
      <x:c r="P158" s="1" t="n">
        <x:f>SUMIFS('Incoming POs'!$P$2:$P$305,'Incoming POs'!$A$2:$A$305,A158,'Incoming POs'!$B$2:$B$305,B158,'Incoming POs'!$C$2:$C$305,C158,'Incoming POs'!$G$2:$G$305,"&gt;="&amp;D158,'Incoming POs'!$G$2:$G$305,"&lt;"&amp;Dashboard!$I$5)</x:f>
        <x:v>0</x:v>
      </x:c>
      <x:c r="Q158" s="1" t="n">
        <x:f>F158*Dashboard!$L$5*MAX(0,Dashboard!$I$5-D158)/30.4375</x:f>
        <x:v>2264.2344147843946</x:v>
      </x:c>
      <x:c r="R158" s="1" t="n">
        <x:f>MAX(0,E158+P158-Q158)</x:f>
        <x:v>24285.765585215606</x:v>
      </x:c>
      <x:c r="S158" s="1" t="n">
        <x:f>MAX(0,Q158-E158-P158)</x:f>
        <x:v>0</x:v>
      </x:c>
      <x:c r="T158" s="1" t="n">
        <x:f>IF(L158=1,MAX(0,I158+AB158-MIN(Q158,E158+P158)),"n.a.")</x:f>
        <x:v>24285.765585215606</x:v>
      </x:c>
      <x:c r="U158" s="9" t="n">
        <x:f>IF(ISNUMBER(T158),T158*G158,"n.a.")</x:f>
        <x:v>1071.0022623080083</x:v>
      </x:c>
      <x:c r="V158" s="25" t="n">
        <x:f>IF(Dashboard!$I$6="Flat %",1,IF(ISNUMBER(H158),1,0))</x:f>
        <x:v>1</x:v>
      </x:c>
      <x:c r="W158" s="9" t="n">
        <x:f>IF(Dashboard!$I$6="Flat %",G158*(1+Dashboard!$L$6),H158)</x:f>
        <x:v>0.051597</x:v>
      </x:c>
      <x:c r="X158" s="9" t="n">
        <x:f>IF(V158=1,R158*(W158-G158),"n.a.")</x:f>
        <x:v>182.0703845923613</x:v>
      </x:c>
      <x:c r="Y158" s="9" t="n">
        <x:f>IF(V158=1,R158*W158,"n.a.")</x:f>
        <x:v>1253.0726469003696</x:v>
      </x:c>
      <x:c r="Z158" s="1" t="n">
        <x:f>IF(ISNUMBER(T158),R158-T158,"n.a.")</x:f>
        <x:v>0</x:v>
      </x:c>
      <x:c r="AA158" s="1" t="str">
        <x:f>'Inventory inputs'!R158</x:f>
        <x:v>Classified</x:v>
      </x:c>
      <x:c r="AB158" s="1" t="n">
        <x:f>IF(L158=1,SUMIFS('Incoming POs'!$P$2:$P$305,'Incoming POs'!$A$2:$A$305,A158,'Incoming POs'!$B$2:$B$305,B158,'Incoming POs'!$C$2:$C$305,C158,'Incoming POs'!$G$2:$G$305,"&gt;="&amp;D158,'Incoming POs'!$G$2:$G$305,"&lt;"&amp;Dashboard!$I$5,'Incoming POs'!$Q$2:$Q$305,"&lt;="&amp;('Inventory inputs'!P158/'Inventory inputs'!J158*1.01)),"n.a.")</x:f>
        <x:v>0</x:v>
      </x:c>
      <x:c r="AC158" s="9" t="n">
        <x:f>I158*G158</x:f>
        <x:v>1170.855</x:v>
      </x:c>
      <x:c r="AD158" s="9" t="n">
        <x:f>J158*G158</x:f>
        <x:v>0</x:v>
      </x:c>
      <x:c r="AE158" s="9" t="n">
        <x:f>K158*G158</x:f>
        <x:v>0</x:v>
      </x:c>
      <x:c r="AF158" s="9" t="n">
        <x:f>R158*G158</x:f>
        <x:v>1071.0022623080083</x:v>
      </x:c>
    </x:row>
    <x:row r="159" ht="21" customHeight="1">
      <x:c r="A159" s="1" t="str">
        <x:f>'Inventory inputs'!A159</x:f>
        <x:v>PLAS</x:v>
      </x:c>
      <x:c r="B159" s="1" t="str">
        <x:f>'Inventory inputs'!B159</x:f>
        <x:v>30</x:v>
      </x:c>
      <x:c r="C159" s="1" t="str">
        <x:f>'Inventory inputs'!C159</x:f>
        <x:v>91619RWBBLK</x:v>
      </x:c>
      <x:c r="D159" s="7" t="n">
        <x:f>'Inventory inputs'!E159</x:f>
        <x:v>46303</x:v>
      </x:c>
      <x:c r="E159" s="1" t="n">
        <x:f>'Inventory inputs'!F159</x:f>
        <x:v>7500</x:v>
      </x:c>
      <x:c r="F159" s="1" t="n">
        <x:f>'Inventory inputs'!G159</x:f>
        <x:v>1683.33</x:v>
      </x:c>
      <x:c r="G159" s="1" t="n">
        <x:f>'Inventory inputs'!H159/'Inventory inputs'!J159</x:f>
        <x:v>0.042800000000000005</x:v>
      </x:c>
      <x:c r="H159" s="1" t="n">
        <x:f>IF('Inventory inputs'!I159&gt;0,'Inventory inputs'!I159*'Inventory inputs'!K159/'Inventory inputs'!J159,"n.a.")</x:f>
        <x:v>0.049980000000000004</x:v>
      </x:c>
      <x:c r="I159" s="1" t="n">
        <x:f>'Inventory inputs'!L159</x:f>
        <x:v>0</x:v>
      </x:c>
      <x:c r="J159" s="1" t="n">
        <x:f>'Inventory inputs'!M159</x:f>
        <x:v>0</x:v>
      </x:c>
      <x:c r="K159" s="1" t="n">
        <x:f>'Inventory inputs'!N159</x:f>
        <x:v>7500</x:v>
      </x:c>
      <x:c r="L159" s="1" t="n">
        <x:f>'Inventory inputs'!O159</x:f>
        <x:v>0</x:v>
      </x:c>
      <x:c r="M159" s="9" t="n">
        <x:f>E159*G159</x:f>
        <x:v>321.00000000000006</x:v>
      </x:c>
      <x:c r="N159" s="9" t="n">
        <x:f>'Inventory inputs'!Q159</x:f>
        <x:v>321.00000000000006</x:v>
      </x:c>
      <x:c r="O159" s="9" t="n">
        <x:f>N159-M159</x:f>
        <x:v>0</x:v>
      </x:c>
      <x:c r="P159" s="1" t="n">
        <x:f>SUMIFS('Incoming POs'!$P$2:$P$305,'Incoming POs'!$A$2:$A$305,A159,'Incoming POs'!$B$2:$B$305,B159,'Incoming POs'!$C$2:$C$305,C159,'Incoming POs'!$G$2:$G$305,"&gt;="&amp;D159,'Incoming POs'!$G$2:$G$305,"&lt;"&amp;Dashboard!$I$5)</x:f>
        <x:v>0</x:v>
      </x:c>
      <x:c r="Q159" s="1" t="n">
        <x:f>F159*Dashboard!$L$5*MAX(0,Dashboard!$I$5-D159)/30.4375</x:f>
        <x:v>2239.8312936344964</x:v>
      </x:c>
      <x:c r="R159" s="1" t="n">
        <x:f>MAX(0,E159+P159-Q159)</x:f>
        <x:v>5260.168706365504</x:v>
      </x:c>
      <x:c r="S159" s="1" t="n">
        <x:f>MAX(0,Q159-E159-P159)</x:f>
        <x:v>0</x:v>
      </x:c>
      <x:c r="T159" s="1" t="str">
        <x:f>IF(L159=1,MAX(0,I159+AB159-MIN(Q159,E159+P159)),"n.a.")</x:f>
        <x:v>n.a.</x:v>
      </x:c>
      <x:c r="U159" s="9" t="str">
        <x:f>IF(ISNUMBER(T159),T159*G159,"n.a.")</x:f>
        <x:v>n.a.</x:v>
      </x:c>
      <x:c r="V159" s="25" t="n">
        <x:f>IF(Dashboard!$I$6="Flat %",1,IF(ISNUMBER(H159),1,0))</x:f>
        <x:v>1</x:v>
      </x:c>
      <x:c r="W159" s="9" t="n">
        <x:f>IF(Dashboard!$I$6="Flat %",G159*(1+Dashboard!$L$6),H159)</x:f>
        <x:v>0.049980000000000004</x:v>
      </x:c>
      <x:c r="X159" s="9" t="n">
        <x:f>IF(V159=1,R159*(W159-G159),"n.a.")</x:f>
        <x:v>37.768011311704306</x:v>
      </x:c>
      <x:c r="Y159" s="9" t="n">
        <x:f>IF(V159=1,R159*W159,"n.a.")</x:f>
        <x:v>262.9032319441479</x:v>
      </x:c>
      <x:c r="Z159" s="1" t="str">
        <x:f>IF(ISNUMBER(T159),R159-T159,"n.a.")</x:f>
        <x:v>n.a.</x:v>
      </x:c>
      <x:c r="AA159" s="1" t="str">
        <x:f>'Inventory inputs'!R159</x:f>
        <x:v>Review receipt reconciliation or original PO baseline</x:v>
      </x:c>
      <x:c r="AB159" s="1" t="str">
        <x:f>IF(L159=1,SUMIFS('Incoming POs'!$P$2:$P$305,'Incoming POs'!$A$2:$A$305,A159,'Incoming POs'!$B$2:$B$305,B159,'Incoming POs'!$C$2:$C$305,C159,'Incoming POs'!$G$2:$G$305,"&gt;="&amp;D159,'Incoming POs'!$G$2:$G$305,"&lt;"&amp;Dashboard!$I$5,'Incoming POs'!$Q$2:$Q$305,"&lt;="&amp;('Inventory inputs'!P159/'Inventory inputs'!J159*1.01)),"n.a.")</x:f>
        <x:v>n.a.</x:v>
      </x:c>
      <x:c r="AC159" s="9" t="n">
        <x:f>I159*G159</x:f>
        <x:v>0</x:v>
      </x:c>
      <x:c r="AD159" s="9" t="n">
        <x:f>J159*G159</x:f>
        <x:v>0</x:v>
      </x:c>
      <x:c r="AE159" s="9" t="n">
        <x:f>K159*G159</x:f>
        <x:v>321.00000000000006</x:v>
      </x:c>
      <x:c r="AF159" s="9" t="n">
        <x:f>R159*G159</x:f>
        <x:v>225.13522063244358</x:v>
      </x:c>
    </x:row>
    <x:row r="160" ht="21" customHeight="1">
      <x:c r="A160" s="1" t="str">
        <x:f>'Inventory inputs'!A160</x:f>
        <x:v>PLAS</x:v>
      </x:c>
      <x:c r="B160" s="1" t="str">
        <x:f>'Inventory inputs'!B160</x:f>
        <x:v>60</x:v>
      </x:c>
      <x:c r="C160" s="1" t="str">
        <x:f>'Inventory inputs'!C160</x:f>
        <x:v>03419RWBWHT</x:v>
      </x:c>
      <x:c r="D160" s="7" t="n">
        <x:f>'Inventory inputs'!E160</x:f>
        <x:v>46303</x:v>
      </x:c>
      <x:c r="E160" s="1" t="n">
        <x:f>'Inventory inputs'!F160</x:f>
        <x:v>3100</x:v>
      </x:c>
      <x:c r="F160" s="1" t="n">
        <x:f>'Inventory inputs'!G160</x:f>
        <x:v>1683.33</x:v>
      </x:c>
      <x:c r="G160" s="1" t="n">
        <x:f>'Inventory inputs'!H160/'Inventory inputs'!J160</x:f>
        <x:v>0.0625</x:v>
      </x:c>
      <x:c r="H160" s="1" t="n">
        <x:f>IF('Inventory inputs'!I160&gt;0,'Inventory inputs'!I160*'Inventory inputs'!K160/'Inventory inputs'!J160,"n.a.")</x:f>
        <x:v>0.073059</x:v>
      </x:c>
      <x:c r="I160" s="1" t="n">
        <x:f>'Inventory inputs'!L160</x:f>
        <x:v>0</x:v>
      </x:c>
      <x:c r="J160" s="1" t="n">
        <x:f>'Inventory inputs'!M160</x:f>
        <x:v>0</x:v>
      </x:c>
      <x:c r="K160" s="1" t="n">
        <x:f>'Inventory inputs'!N160</x:f>
        <x:v>3100</x:v>
      </x:c>
      <x:c r="L160" s="1" t="n">
        <x:f>'Inventory inputs'!O160</x:f>
        <x:v>0</x:v>
      </x:c>
      <x:c r="M160" s="9" t="n">
        <x:f>E160*G160</x:f>
        <x:v>193.75</x:v>
      </x:c>
      <x:c r="N160" s="9" t="n">
        <x:f>'Inventory inputs'!Q160</x:f>
        <x:v>193.75</x:v>
      </x:c>
      <x:c r="O160" s="9" t="n">
        <x:f>N160-M160</x:f>
        <x:v>0</x:v>
      </x:c>
      <x:c r="P160" s="1" t="n">
        <x:f>SUMIFS('Incoming POs'!$P$2:$P$305,'Incoming POs'!$A$2:$A$305,A160,'Incoming POs'!$B$2:$B$305,B160,'Incoming POs'!$C$2:$C$305,C160,'Incoming POs'!$G$2:$G$305,"&gt;="&amp;D160,'Incoming POs'!$G$2:$G$305,"&lt;"&amp;Dashboard!$I$5)</x:f>
        <x:v>0</x:v>
      </x:c>
      <x:c r="Q160" s="1" t="n">
        <x:f>F160*Dashboard!$L$5*MAX(0,Dashboard!$I$5-D160)/30.4375</x:f>
        <x:v>2239.8312936344964</x:v>
      </x:c>
      <x:c r="R160" s="1" t="n">
        <x:f>MAX(0,E160+P160-Q160)</x:f>
        <x:v>860.1687063655036</x:v>
      </x:c>
      <x:c r="S160" s="1" t="n">
        <x:f>MAX(0,Q160-E160-P160)</x:f>
        <x:v>0</x:v>
      </x:c>
      <x:c r="T160" s="1" t="str">
        <x:f>IF(L160=1,MAX(0,I160+AB160-MIN(Q160,E160+P160)),"n.a.")</x:f>
        <x:v>n.a.</x:v>
      </x:c>
      <x:c r="U160" s="9" t="str">
        <x:f>IF(ISNUMBER(T160),T160*G160,"n.a.")</x:f>
        <x:v>n.a.</x:v>
      </x:c>
      <x:c r="V160" s="25" t="n">
        <x:f>IF(Dashboard!$I$6="Flat %",1,IF(ISNUMBER(H160),1,0))</x:f>
        <x:v>1</x:v>
      </x:c>
      <x:c r="W160" s="9" t="n">
        <x:f>IF(Dashboard!$I$6="Flat %",G160*(1+Dashboard!$L$6),H160)</x:f>
        <x:v>0.073059</x:v>
      </x:c>
      <x:c r="X160" s="9" t="n">
        <x:f>IF(V160=1,R160*(W160-G160),"n.a.")</x:f>
        <x:v>9.082521370513351</x:v>
      </x:c>
      <x:c r="Y160" s="9" t="n">
        <x:f>IF(V160=1,R160*W160,"n.a.")</x:f>
        <x:v>62.84306551835732</x:v>
      </x:c>
      <x:c r="Z160" s="1" t="str">
        <x:f>IF(ISNUMBER(T160),R160-T160,"n.a.")</x:f>
        <x:v>n.a.</x:v>
      </x:c>
      <x:c r="AA160" s="1" t="str">
        <x:f>'Inventory inputs'!R160</x:f>
        <x:v>Review receipt reconciliation or original PO baseline</x:v>
      </x:c>
      <x:c r="AB160" s="1" t="str">
        <x:f>IF(L160=1,SUMIFS('Incoming POs'!$P$2:$P$305,'Incoming POs'!$A$2:$A$305,A160,'Incoming POs'!$B$2:$B$305,B160,'Incoming POs'!$C$2:$C$305,C160,'Incoming POs'!$G$2:$G$305,"&gt;="&amp;D160,'Incoming POs'!$G$2:$G$305,"&lt;"&amp;Dashboard!$I$5,'Incoming POs'!$Q$2:$Q$305,"&lt;="&amp;('Inventory inputs'!P160/'Inventory inputs'!J160*1.01)),"n.a.")</x:f>
        <x:v>n.a.</x:v>
      </x:c>
      <x:c r="AC160" s="9" t="n">
        <x:f>I160*G160</x:f>
        <x:v>0</x:v>
      </x:c>
      <x:c r="AD160" s="9" t="n">
        <x:f>J160*G160</x:f>
        <x:v>0</x:v>
      </x:c>
      <x:c r="AE160" s="9" t="n">
        <x:f>K160*G160</x:f>
        <x:v>193.75</x:v>
      </x:c>
      <x:c r="AF160" s="9" t="n">
        <x:f>R160*G160</x:f>
        <x:v>53.76054414784397</x:v>
      </x:c>
    </x:row>
    <x:row r="161" ht="21" customHeight="1">
      <x:c r="A161" s="1" t="str">
        <x:f>'Inventory inputs'!A161</x:f>
        <x:v>PLAS</x:v>
      </x:c>
      <x:c r="B161" s="1" t="str">
        <x:f>'Inventory inputs'!B161</x:f>
        <x:v>10</x:v>
      </x:c>
      <x:c r="C161" s="1" t="str">
        <x:f>'Inventory inputs'!C161</x:f>
        <x:v>03819RWBMAR</x:v>
      </x:c>
      <x:c r="D161" s="7" t="n">
        <x:f>'Inventory inputs'!E161</x:f>
        <x:v>46303</x:v>
      </x:c>
      <x:c r="E161" s="1" t="n">
        <x:f>'Inventory inputs'!F161</x:f>
        <x:v>0</x:v>
      </x:c>
      <x:c r="F161" s="1" t="n">
        <x:f>'Inventory inputs'!G161</x:f>
        <x:v>1669.17</x:v>
      </x:c>
      <x:c r="G161" s="1" t="n">
        <x:f>'Inventory inputs'!H161/'Inventory inputs'!J161</x:f>
        <x:v>0.0248</x:v>
      </x:c>
      <x:c r="H161" s="1" t="n">
        <x:f>IF('Inventory inputs'!I161&gt;0,'Inventory inputs'!I161*'Inventory inputs'!K161/'Inventory inputs'!J161,"n.a.")</x:f>
        <x:v>0.029106</x:v>
      </x:c>
      <x:c r="I161" s="1" t="n">
        <x:f>'Inventory inputs'!L161</x:f>
        <x:v>0</x:v>
      </x:c>
      <x:c r="J161" s="1" t="n">
        <x:f>'Inventory inputs'!M161</x:f>
        <x:v>0</x:v>
      </x:c>
      <x:c r="K161" s="1" t="n">
        <x:f>'Inventory inputs'!N161</x:f>
        <x:v>0</x:v>
      </x:c>
      <x:c r="L161" s="1" t="n">
        <x:f>'Inventory inputs'!O161</x:f>
        <x:v>1</x:v>
      </x:c>
      <x:c r="M161" s="9" t="n">
        <x:f>E161*G161</x:f>
        <x:v>0</x:v>
      </x:c>
      <x:c r="N161" s="9" t="n">
        <x:f>'Inventory inputs'!Q161</x:f>
        <x:v>0</x:v>
      </x:c>
      <x:c r="O161" s="9" t="n">
        <x:f>N161-M161</x:f>
        <x:v>0</x:v>
      </x:c>
      <x:c r="P161" s="1" t="n">
        <x:f>SUMIFS('Incoming POs'!$P$2:$P$305,'Incoming POs'!$A$2:$A$305,A161,'Incoming POs'!$B$2:$B$305,B161,'Incoming POs'!$C$2:$C$305,C161,'Incoming POs'!$G$2:$G$305,"&gt;="&amp;D161,'Incoming POs'!$G$2:$G$305,"&lt;"&amp;Dashboard!$I$5)</x:f>
        <x:v>16000</x:v>
      </x:c>
      <x:c r="Q161" s="1" t="n">
        <x:f>F161*Dashboard!$L$5*MAX(0,Dashboard!$I$5-D161)/30.4375</x:f>
        <x:v>2220.990061601643</x:v>
      </x:c>
      <x:c r="R161" s="1" t="n">
        <x:f>MAX(0,E161+P161-Q161)</x:f>
        <x:v>13779.009938398358</x:v>
      </x:c>
      <x:c r="S161" s="1" t="n">
        <x:f>MAX(0,Q161-E161-P161)</x:f>
        <x:v>0</x:v>
      </x:c>
      <x:c r="T161" s="1" t="n">
        <x:f>IF(L161=1,MAX(0,I161+AB161-MIN(Q161,E161+P161)),"n.a.")</x:f>
        <x:v>0</x:v>
      </x:c>
      <x:c r="U161" s="9" t="n">
        <x:f>IF(ISNUMBER(T161),T161*G161,"n.a.")</x:f>
        <x:v>0</x:v>
      </x:c>
      <x:c r="V161" s="25" t="n">
        <x:f>IF(Dashboard!$I$6="Flat %",1,IF(ISNUMBER(H161),1,0))</x:f>
        <x:v>1</x:v>
      </x:c>
      <x:c r="W161" s="9" t="n">
        <x:f>IF(Dashboard!$I$6="Flat %",G161*(1+Dashboard!$L$6),H161)</x:f>
        <x:v>0.029106</x:v>
      </x:c>
      <x:c r="X161" s="9" t="n">
        <x:f>IF(V161=1,R161*(W161-G161),"n.a.")</x:f>
        <x:v>59.33241679474334</x:v>
      </x:c>
      <x:c r="Y161" s="9" t="n">
        <x:f>IF(V161=1,R161*W161,"n.a.")</x:f>
        <x:v>401.0518632670226</x:v>
      </x:c>
      <x:c r="Z161" s="1" t="n">
        <x:f>IF(ISNUMBER(T161),R161-T161,"n.a.")</x:f>
        <x:v>13779.009938398358</x:v>
      </x:c>
      <x:c r="AA161" s="1" t="str">
        <x:f>'Inventory inputs'!R161</x:f>
        <x:v>Classified</x:v>
      </x:c>
      <x:c r="AB161" s="1" t="n">
        <x:f>IF(L161=1,SUMIFS('Incoming POs'!$P$2:$P$305,'Incoming POs'!$A$2:$A$305,A161,'Incoming POs'!$B$2:$B$305,B161,'Incoming POs'!$C$2:$C$305,C161,'Incoming POs'!$G$2:$G$305,"&gt;="&amp;D161,'Incoming POs'!$G$2:$G$305,"&lt;"&amp;Dashboard!$I$5,'Incoming POs'!$Q$2:$Q$305,"&lt;="&amp;('Inventory inputs'!P161/'Inventory inputs'!J161*1.01)),"n.a.")</x:f>
        <x:v>0</x:v>
      </x:c>
      <x:c r="AC161" s="9" t="n">
        <x:f>I161*G161</x:f>
        <x:v>0</x:v>
      </x:c>
      <x:c r="AD161" s="9" t="n">
        <x:f>J161*G161</x:f>
        <x:v>0</x:v>
      </x:c>
      <x:c r="AE161" s="9" t="n">
        <x:f>K161*G161</x:f>
        <x:v>0</x:v>
      </x:c>
      <x:c r="AF161" s="9" t="n">
        <x:f>R161*G161</x:f>
        <x:v>341.7194464722793</x:v>
      </x:c>
    </x:row>
    <x:row r="162" ht="21" customHeight="1">
      <x:c r="A162" s="1" t="str">
        <x:f>'Inventory inputs'!A162</x:f>
        <x:v>PLAS</x:v>
      </x:c>
      <x:c r="B162" s="1" t="str">
        <x:f>'Inventory inputs'!B162</x:f>
        <x:v>30</x:v>
      </x:c>
      <x:c r="C162" s="1" t="str">
        <x:f>'Inventory inputs'!C162</x:f>
        <x:v>07819RWBBLK</x:v>
      </x:c>
      <x:c r="D162" s="7" t="n">
        <x:f>'Inventory inputs'!E162</x:f>
        <x:v>46303</x:v>
      </x:c>
      <x:c r="E162" s="1" t="n">
        <x:f>'Inventory inputs'!F162</x:f>
        <x:v>3100</x:v>
      </x:c>
      <x:c r="F162" s="1" t="n">
        <x:f>'Inventory inputs'!G162</x:f>
        <x:v>1616.67</x:v>
      </x:c>
      <x:c r="G162" s="1" t="n">
        <x:f>'Inventory inputs'!H162/'Inventory inputs'!J162</x:f>
        <x:v>0.0797</x:v>
      </x:c>
      <x:c r="H162" s="1" t="n">
        <x:f>IF('Inventory inputs'!I162&gt;0,'Inventory inputs'!I162*'Inventory inputs'!K162/'Inventory inputs'!J162,"n.a.")</x:f>
        <x:v>0.09319799999999999</x:v>
      </x:c>
      <x:c r="I162" s="1" t="n">
        <x:f>'Inventory inputs'!L162</x:f>
        <x:v>0</x:v>
      </x:c>
      <x:c r="J162" s="1" t="n">
        <x:f>'Inventory inputs'!M162</x:f>
        <x:v>0</x:v>
      </x:c>
      <x:c r="K162" s="1" t="n">
        <x:f>'Inventory inputs'!N162</x:f>
        <x:v>3100</x:v>
      </x:c>
      <x:c r="L162" s="1" t="n">
        <x:f>'Inventory inputs'!O162</x:f>
        <x:v>0</x:v>
      </x:c>
      <x:c r="M162" s="9" t="n">
        <x:f>E162*G162</x:f>
        <x:v>247.06999999999996</x:v>
      </x:c>
      <x:c r="N162" s="9" t="n">
        <x:f>'Inventory inputs'!Q162</x:f>
        <x:v>247.07</x:v>
      </x:c>
      <x:c r="O162" s="9" t="n">
        <x:f>N162-M162</x:f>
        <x:v>2.842170943040401e-14</x:v>
      </x:c>
      <x:c r="P162" s="1" t="n">
        <x:f>SUMIFS('Incoming POs'!$P$2:$P$305,'Incoming POs'!$A$2:$A$305,A162,'Incoming POs'!$B$2:$B$305,B162,'Incoming POs'!$C$2:$C$305,C162,'Incoming POs'!$G$2:$G$305,"&gt;="&amp;D162,'Incoming POs'!$G$2:$G$305,"&lt;"&amp;Dashboard!$I$5)</x:f>
        <x:v>0</x:v>
      </x:c>
      <x:c r="Q162" s="1" t="n">
        <x:f>F162*Dashboard!$L$5*MAX(0,Dashboard!$I$5-D162)/30.4375</x:f>
        <x:v>2151.133798767967</x:v>
      </x:c>
      <x:c r="R162" s="1" t="n">
        <x:f>MAX(0,E162+P162-Q162)</x:f>
        <x:v>948.8662012320328</x:v>
      </x:c>
      <x:c r="S162" s="1" t="n">
        <x:f>MAX(0,Q162-E162-P162)</x:f>
        <x:v>0</x:v>
      </x:c>
      <x:c r="T162" s="1" t="str">
        <x:f>IF(L162=1,MAX(0,I162+AB162-MIN(Q162,E162+P162)),"n.a.")</x:f>
        <x:v>n.a.</x:v>
      </x:c>
      <x:c r="U162" s="9" t="str">
        <x:f>IF(ISNUMBER(T162),T162*G162,"n.a.")</x:f>
        <x:v>n.a.</x:v>
      </x:c>
      <x:c r="V162" s="25" t="n">
        <x:f>IF(Dashboard!$I$6="Flat %",1,IF(ISNUMBER(H162),1,0))</x:f>
        <x:v>1</x:v>
      </x:c>
      <x:c r="W162" s="9" t="n">
        <x:f>IF(Dashboard!$I$6="Flat %",G162*(1+Dashboard!$L$6),H162)</x:f>
        <x:v>0.09319799999999999</x:v>
      </x:c>
      <x:c r="X162" s="9" t="n">
        <x:f>IF(V162=1,R162*(W162-G162),"n.a.")</x:f>
        <x:v>12.807795984229976</x:v>
      </x:c>
      <x:c r="Y162" s="9" t="n">
        <x:f>IF(V162=1,R162*W162,"n.a.")</x:f>
        <x:v>88.43243222242299</x:v>
      </x:c>
      <x:c r="Z162" s="1" t="str">
        <x:f>IF(ISNUMBER(T162),R162-T162,"n.a.")</x:f>
        <x:v>n.a.</x:v>
      </x:c>
      <x:c r="AA162" s="1" t="str">
        <x:f>'Inventory inputs'!R162</x:f>
        <x:v>Review receipt reconciliation or original PO baseline</x:v>
      </x:c>
      <x:c r="AB162" s="1" t="str">
        <x:f>IF(L162=1,SUMIFS('Incoming POs'!$P$2:$P$305,'Incoming POs'!$A$2:$A$305,A162,'Incoming POs'!$B$2:$B$305,B162,'Incoming POs'!$C$2:$C$305,C162,'Incoming POs'!$G$2:$G$305,"&gt;="&amp;D162,'Incoming POs'!$G$2:$G$305,"&lt;"&amp;Dashboard!$I$5,'Incoming POs'!$Q$2:$Q$305,"&lt;="&amp;('Inventory inputs'!P162/'Inventory inputs'!J162*1.01)),"n.a.")</x:f>
        <x:v>n.a.</x:v>
      </x:c>
      <x:c r="AC162" s="9" t="n">
        <x:f>I162*G162</x:f>
        <x:v>0</x:v>
      </x:c>
      <x:c r="AD162" s="9" t="n">
        <x:f>J162*G162</x:f>
        <x:v>0</x:v>
      </x:c>
      <x:c r="AE162" s="9" t="n">
        <x:f>K162*G162</x:f>
        <x:v>247.06999999999996</x:v>
      </x:c>
      <x:c r="AF162" s="9" t="n">
        <x:f>R162*G162</x:f>
        <x:v>75.624636238193</x:v>
      </x:c>
    </x:row>
    <x:row r="163" ht="21" customHeight="1">
      <x:c r="A163" s="1" t="str">
        <x:f>'Inventory inputs'!A163</x:f>
        <x:v>PLAS</x:v>
      </x:c>
      <x:c r="B163" s="1" t="str">
        <x:f>'Inventory inputs'!B163</x:f>
        <x:v>60</x:v>
      </x:c>
      <x:c r="C163" s="1" t="str">
        <x:f>'Inventory inputs'!C163</x:f>
        <x:v>71619RWBNAV</x:v>
      </x:c>
      <x:c r="D163" s="7" t="n">
        <x:f>'Inventory inputs'!E163</x:f>
        <x:v>46303</x:v>
      </x:c>
      <x:c r="E163" s="1" t="n">
        <x:f>'Inventory inputs'!F163</x:f>
        <x:v>1500</x:v>
      </x:c>
      <x:c r="F163" s="1" t="n">
        <x:f>'Inventory inputs'!G163</x:f>
        <x:v>1516.67</x:v>
      </x:c>
      <x:c r="G163" s="1" t="n">
        <x:f>'Inventory inputs'!H163/'Inventory inputs'!J163</x:f>
        <x:v>0.0315</x:v>
      </x:c>
      <x:c r="H163" s="1" t="n">
        <x:f>IF('Inventory inputs'!I163&gt;0,'Inventory inputs'!I163*'Inventory inputs'!K163/'Inventory inputs'!J163,"n.a.")</x:f>
        <x:v>0.03675</x:v>
      </x:c>
      <x:c r="I163" s="1" t="n">
        <x:f>'Inventory inputs'!L163</x:f>
        <x:v>0</x:v>
      </x:c>
      <x:c r="J163" s="1" t="n">
        <x:f>'Inventory inputs'!M163</x:f>
        <x:v>0</x:v>
      </x:c>
      <x:c r="K163" s="1" t="n">
        <x:f>'Inventory inputs'!N163</x:f>
        <x:v>1500</x:v>
      </x:c>
      <x:c r="L163" s="1" t="n">
        <x:f>'Inventory inputs'!O163</x:f>
        <x:v>0</x:v>
      </x:c>
      <x:c r="M163" s="9" t="n">
        <x:f>E163*G163</x:f>
        <x:v>47.25</x:v>
      </x:c>
      <x:c r="N163" s="9" t="n">
        <x:f>'Inventory inputs'!Q163</x:f>
        <x:v>47.25</x:v>
      </x:c>
      <x:c r="O163" s="9" t="n">
        <x:f>N163-M163</x:f>
        <x:v>0</x:v>
      </x:c>
      <x:c r="P163" s="1" t="n">
        <x:f>SUMIFS('Incoming POs'!$P$2:$P$305,'Incoming POs'!$A$2:$A$305,A163,'Incoming POs'!$B$2:$B$305,B163,'Incoming POs'!$C$2:$C$305,C163,'Incoming POs'!$G$2:$G$305,"&gt;="&amp;D163,'Incoming POs'!$G$2:$G$305,"&lt;"&amp;Dashboard!$I$5)</x:f>
        <x:v>0</x:v>
      </x:c>
      <x:c r="Q163" s="1" t="n">
        <x:f>F163*Dashboard!$L$5*MAX(0,Dashboard!$I$5-D163)/30.4375</x:f>
        <x:v>2018.0742505133471</x:v>
      </x:c>
      <x:c r="R163" s="1" t="n">
        <x:f>MAX(0,E163+P163-Q163)</x:f>
        <x:v>0</x:v>
      </x:c>
      <x:c r="S163" s="1" t="n">
        <x:f>MAX(0,Q163-E163-P163)</x:f>
        <x:v>518.0742505133471</x:v>
      </x:c>
      <x:c r="T163" s="1" t="str">
        <x:f>IF(L163=1,MAX(0,I163+AB163-MIN(Q163,E163+P163)),"n.a.")</x:f>
        <x:v>n.a.</x:v>
      </x:c>
      <x:c r="U163" s="9" t="str">
        <x:f>IF(ISNUMBER(T163),T163*G163,"n.a.")</x:f>
        <x:v>n.a.</x:v>
      </x:c>
      <x:c r="V163" s="25" t="n">
        <x:f>IF(Dashboard!$I$6="Flat %",1,IF(ISNUMBER(H163),1,0))</x:f>
        <x:v>1</x:v>
      </x:c>
      <x:c r="W163" s="9" t="n">
        <x:f>IF(Dashboard!$I$6="Flat %",G163*(1+Dashboard!$L$6),H163)</x:f>
        <x:v>0.03675</x:v>
      </x:c>
      <x:c r="X163" s="9" t="n">
        <x:f>IF(V163=1,R163*(W163-G163),"n.a.")</x:f>
        <x:v>0</x:v>
      </x:c>
      <x:c r="Y163" s="9" t="n">
        <x:f>IF(V163=1,R163*W163,"n.a.")</x:f>
        <x:v>0</x:v>
      </x:c>
      <x:c r="Z163" s="1" t="str">
        <x:f>IF(ISNUMBER(T163),R163-T163,"n.a.")</x:f>
        <x:v>n.a.</x:v>
      </x:c>
      <x:c r="AA163" s="1" t="str">
        <x:f>'Inventory inputs'!R163</x:f>
        <x:v>Review receipt reconciliation or original PO baseline</x:v>
      </x:c>
      <x:c r="AB163" s="1" t="str">
        <x:f>IF(L163=1,SUMIFS('Incoming POs'!$P$2:$P$305,'Incoming POs'!$A$2:$A$305,A163,'Incoming POs'!$B$2:$B$305,B163,'Incoming POs'!$C$2:$C$305,C163,'Incoming POs'!$G$2:$G$305,"&gt;="&amp;D163,'Incoming POs'!$G$2:$G$305,"&lt;"&amp;Dashboard!$I$5,'Incoming POs'!$Q$2:$Q$305,"&lt;="&amp;('Inventory inputs'!P163/'Inventory inputs'!J163*1.01)),"n.a.")</x:f>
        <x:v>n.a.</x:v>
      </x:c>
      <x:c r="AC163" s="9" t="n">
        <x:f>I163*G163</x:f>
        <x:v>0</x:v>
      </x:c>
      <x:c r="AD163" s="9" t="n">
        <x:f>J163*G163</x:f>
        <x:v>0</x:v>
      </x:c>
      <x:c r="AE163" s="9" t="n">
        <x:f>K163*G163</x:f>
        <x:v>47.25</x:v>
      </x:c>
      <x:c r="AF163" s="9" t="n">
        <x:f>R163*G163</x:f>
        <x:v>0</x:v>
      </x:c>
    </x:row>
    <x:row r="164" ht="21" customHeight="1">
      <x:c r="A164" s="1" t="str">
        <x:f>'Inventory inputs'!A164</x:f>
        <x:v>PLAS</x:v>
      </x:c>
      <x:c r="B164" s="1" t="str">
        <x:f>'Inventory inputs'!B164</x:f>
        <x:v>60</x:v>
      </x:c>
      <x:c r="C164" s="1" t="str">
        <x:f>'Inventory inputs'!C164</x:f>
        <x:v>51619RWBNAV</x:v>
      </x:c>
      <x:c r="D164" s="7" t="n">
        <x:f>'Inventory inputs'!E164</x:f>
        <x:v>46303</x:v>
      </x:c>
      <x:c r="E164" s="1" t="n">
        <x:f>'Inventory inputs'!F164</x:f>
        <x:v>700</x:v>
      </x:c>
      <x:c r="F164" s="1" t="n">
        <x:f>'Inventory inputs'!G164</x:f>
        <x:v>1466.67</x:v>
      </x:c>
      <x:c r="G164" s="1" t="n">
        <x:f>'Inventory inputs'!H164/'Inventory inputs'!J164</x:f>
        <x:v>0.0216</x:v>
      </x:c>
      <x:c r="H164" s="1" t="n">
        <x:f>IF('Inventory inputs'!I164&gt;0,'Inventory inputs'!I164*'Inventory inputs'!K164/'Inventory inputs'!J164,"n.a.")</x:f>
        <x:v>0.025284</x:v>
      </x:c>
      <x:c r="I164" s="1" t="n">
        <x:f>'Inventory inputs'!L164</x:f>
        <x:v>0</x:v>
      </x:c>
      <x:c r="J164" s="1" t="n">
        <x:f>'Inventory inputs'!M164</x:f>
        <x:v>0</x:v>
      </x:c>
      <x:c r="K164" s="1" t="n">
        <x:f>'Inventory inputs'!N164</x:f>
        <x:v>700</x:v>
      </x:c>
      <x:c r="L164" s="1" t="n">
        <x:f>'Inventory inputs'!O164</x:f>
        <x:v>0</x:v>
      </x:c>
      <x:c r="M164" s="9" t="n">
        <x:f>E164*G164</x:f>
        <x:v>15.120000000000001</x:v>
      </x:c>
      <x:c r="N164" s="9" t="n">
        <x:f>'Inventory inputs'!Q164</x:f>
        <x:v>15.120000000000001</x:v>
      </x:c>
      <x:c r="O164" s="9" t="n">
        <x:f>N164-M164</x:f>
        <x:v>0</x:v>
      </x:c>
      <x:c r="P164" s="1" t="n">
        <x:f>SUMIFS('Incoming POs'!$P$2:$P$305,'Incoming POs'!$A$2:$A$305,A164,'Incoming POs'!$B$2:$B$305,B164,'Incoming POs'!$C$2:$C$305,C164,'Incoming POs'!$G$2:$G$305,"&gt;="&amp;D164,'Incoming POs'!$G$2:$G$305,"&lt;"&amp;Dashboard!$I$5)</x:f>
        <x:v>0</x:v>
      </x:c>
      <x:c r="Q164" s="1" t="n">
        <x:f>F164*Dashboard!$L$5*MAX(0,Dashboard!$I$5-D164)/30.4375</x:f>
        <x:v>1951.544476386037</x:v>
      </x:c>
      <x:c r="R164" s="1" t="n">
        <x:f>MAX(0,E164+P164-Q164)</x:f>
        <x:v>0</x:v>
      </x:c>
      <x:c r="S164" s="1" t="n">
        <x:f>MAX(0,Q164-E164-P164)</x:f>
        <x:v>1251.544476386037</x:v>
      </x:c>
      <x:c r="T164" s="1" t="str">
        <x:f>IF(L164=1,MAX(0,I164+AB164-MIN(Q164,E164+P164)),"n.a.")</x:f>
        <x:v>n.a.</x:v>
      </x:c>
      <x:c r="U164" s="9" t="str">
        <x:f>IF(ISNUMBER(T164),T164*G164,"n.a.")</x:f>
        <x:v>n.a.</x:v>
      </x:c>
      <x:c r="V164" s="25" t="n">
        <x:f>IF(Dashboard!$I$6="Flat %",1,IF(ISNUMBER(H164),1,0))</x:f>
        <x:v>1</x:v>
      </x:c>
      <x:c r="W164" s="9" t="n">
        <x:f>IF(Dashboard!$I$6="Flat %",G164*(1+Dashboard!$L$6),H164)</x:f>
        <x:v>0.025284</x:v>
      </x:c>
      <x:c r="X164" s="9" t="n">
        <x:f>IF(V164=1,R164*(W164-G164),"n.a.")</x:f>
        <x:v>0</x:v>
      </x:c>
      <x:c r="Y164" s="9" t="n">
        <x:f>IF(V164=1,R164*W164,"n.a.")</x:f>
        <x:v>0</x:v>
      </x:c>
      <x:c r="Z164" s="1" t="str">
        <x:f>IF(ISNUMBER(T164),R164-T164,"n.a.")</x:f>
        <x:v>n.a.</x:v>
      </x:c>
      <x:c r="AA164" s="1" t="str">
        <x:f>'Inventory inputs'!R164</x:f>
        <x:v>Review receipt reconciliation or original PO baseline</x:v>
      </x:c>
      <x:c r="AB164" s="1" t="str">
        <x:f>IF(L164=1,SUMIFS('Incoming POs'!$P$2:$P$305,'Incoming POs'!$A$2:$A$305,A164,'Incoming POs'!$B$2:$B$305,B164,'Incoming POs'!$C$2:$C$305,C164,'Incoming POs'!$G$2:$G$305,"&gt;="&amp;D164,'Incoming POs'!$G$2:$G$305,"&lt;"&amp;Dashboard!$I$5,'Incoming POs'!$Q$2:$Q$305,"&lt;="&amp;('Inventory inputs'!P164/'Inventory inputs'!J164*1.01)),"n.a.")</x:f>
        <x:v>n.a.</x:v>
      </x:c>
      <x:c r="AC164" s="9" t="n">
        <x:f>I164*G164</x:f>
        <x:v>0</x:v>
      </x:c>
      <x:c r="AD164" s="9" t="n">
        <x:f>J164*G164</x:f>
        <x:v>0</x:v>
      </x:c>
      <x:c r="AE164" s="9" t="n">
        <x:f>K164*G164</x:f>
        <x:v>15.120000000000001</x:v>
      </x:c>
      <x:c r="AF164" s="9" t="n">
        <x:f>R164*G164</x:f>
        <x:v>0</x:v>
      </x:c>
    </x:row>
    <x:row r="165" ht="21" customHeight="1">
      <x:c r="A165" s="1" t="str">
        <x:f>'Inventory inputs'!A165</x:f>
        <x:v>PLAS</x:v>
      </x:c>
      <x:c r="B165" s="1" t="str">
        <x:f>'Inventory inputs'!B165</x:f>
        <x:v>10</x:v>
      </x:c>
      <x:c r="C165" s="1" t="str">
        <x:f>'Inventory inputs'!C165</x:f>
        <x:v>05819RWBWHT</x:v>
      </x:c>
      <x:c r="D165" s="7" t="n">
        <x:f>'Inventory inputs'!E165</x:f>
        <x:v>46303</x:v>
      </x:c>
      <x:c r="E165" s="1" t="n">
        <x:f>'Inventory inputs'!F165</x:f>
        <x:v>19569</x:v>
      </x:c>
      <x:c r="F165" s="1" t="n">
        <x:f>'Inventory inputs'!G165</x:f>
        <x:v>1445.08</x:v>
      </x:c>
      <x:c r="G165" s="1" t="n">
        <x:f>'Inventory inputs'!H165/'Inventory inputs'!J165</x:f>
        <x:v>0.045599999999999995</x:v>
      </x:c>
      <x:c r="H165" s="1" t="n">
        <x:f>IF('Inventory inputs'!I165&gt;0,'Inventory inputs'!I165*'Inventory inputs'!K165/'Inventory inputs'!J165,"n.a.")</x:f>
        <x:v>0.053361</x:v>
      </x:c>
      <x:c r="I165" s="1" t="n">
        <x:f>'Inventory inputs'!L165</x:f>
        <x:v>15569</x:v>
      </x:c>
      <x:c r="J165" s="1" t="n">
        <x:f>'Inventory inputs'!M165</x:f>
        <x:v>4000</x:v>
      </x:c>
      <x:c r="K165" s="1" t="n">
        <x:f>'Inventory inputs'!N165</x:f>
        <x:v>0</x:v>
      </x:c>
      <x:c r="L165" s="1" t="n">
        <x:f>'Inventory inputs'!O165</x:f>
        <x:v>1</x:v>
      </x:c>
      <x:c r="M165" s="9" t="n">
        <x:f>E165*G165</x:f>
        <x:v>892.3463999999999</x:v>
      </x:c>
      <x:c r="N165" s="9" t="n">
        <x:f>'Inventory inputs'!Q165</x:f>
        <x:v>892.3464</x:v>
      </x:c>
      <x:c r="O165" s="9" t="n">
        <x:f>N165-M165</x:f>
        <x:v>1.1368683772161603e-13</x:v>
      </x:c>
      <x:c r="P165" s="1" t="n">
        <x:f>SUMIFS('Incoming POs'!$P$2:$P$305,'Incoming POs'!$A$2:$A$305,A165,'Incoming POs'!$B$2:$B$305,B165,'Incoming POs'!$C$2:$C$305,C165,'Incoming POs'!$G$2:$G$305,"&gt;="&amp;D165,'Incoming POs'!$G$2:$G$305,"&lt;"&amp;Dashboard!$I$5)</x:f>
        <x:v>0</x:v>
      </x:c>
      <x:c r="Q165" s="1" t="n">
        <x:f>F165*Dashboard!$L$5*MAX(0,Dashboard!$I$5-D165)/30.4375</x:f>
        <x:v>1922.8169199178644</x:v>
      </x:c>
      <x:c r="R165" s="1" t="n">
        <x:f>MAX(0,E165+P165-Q165)</x:f>
        <x:v>17646.183080082137</x:v>
      </x:c>
      <x:c r="S165" s="1" t="n">
        <x:f>MAX(0,Q165-E165-P165)</x:f>
        <x:v>0</x:v>
      </x:c>
      <x:c r="T165" s="1" t="n">
        <x:f>IF(L165=1,MAX(0,I165+AB165-MIN(Q165,E165+P165)),"n.a.")</x:f>
        <x:v>13646.183080082135</x:v>
      </x:c>
      <x:c r="U165" s="9" t="n">
        <x:f>IF(ISNUMBER(T165),T165*G165,"n.a.")</x:f>
        <x:v>622.2659484517453</x:v>
      </x:c>
      <x:c r="V165" s="25" t="n">
        <x:f>IF(Dashboard!$I$6="Flat %",1,IF(ISNUMBER(H165),1,0))</x:f>
        <x:v>1</x:v>
      </x:c>
      <x:c r="W165" s="9" t="n">
        <x:f>IF(Dashboard!$I$6="Flat %",G165*(1+Dashboard!$L$6),H165)</x:f>
        <x:v>0.053361</x:v>
      </x:c>
      <x:c r="X165" s="9" t="n">
        <x:f>IF(V165=1,R165*(W165-G165),"n.a.")</x:f>
        <x:v>136.95202688451755</x:v>
      </x:c>
      <x:c r="Y165" s="9" t="n">
        <x:f>IF(V165=1,R165*W165,"n.a.")</x:f>
        <x:v>941.6179753362629</x:v>
      </x:c>
      <x:c r="Z165" s="1" t="n">
        <x:f>IF(ISNUMBER(T165),R165-T165,"n.a.")</x:f>
        <x:v>4000.000000000002</x:v>
      </x:c>
      <x:c r="AA165" s="1" t="str">
        <x:f>'Inventory inputs'!R165</x:f>
        <x:v>Classified</x:v>
      </x:c>
      <x:c r="AB165" s="1" t="n">
        <x:f>IF(L165=1,SUMIFS('Incoming POs'!$P$2:$P$305,'Incoming POs'!$A$2:$A$305,A165,'Incoming POs'!$B$2:$B$305,B165,'Incoming POs'!$C$2:$C$305,C165,'Incoming POs'!$G$2:$G$305,"&gt;="&amp;D165,'Incoming POs'!$G$2:$G$305,"&lt;"&amp;Dashboard!$I$5,'Incoming POs'!$Q$2:$Q$305,"&lt;="&amp;('Inventory inputs'!P165/'Inventory inputs'!J165*1.01)),"n.a.")</x:f>
        <x:v>0</x:v>
      </x:c>
      <x:c r="AC165" s="9" t="n">
        <x:f>I165*G165</x:f>
        <x:v>709.9463999999999</x:v>
      </x:c>
      <x:c r="AD165" s="9" t="n">
        <x:f>J165*G165</x:f>
        <x:v>182.39999999999998</x:v>
      </x:c>
      <x:c r="AE165" s="9" t="n">
        <x:f>K165*G165</x:f>
        <x:v>0</x:v>
      </x:c>
      <x:c r="AF165" s="9" t="n">
        <x:f>R165*G165</x:f>
        <x:v>804.6659484517454</x:v>
      </x:c>
    </x:row>
    <x:row r="166" ht="21" customHeight="1">
      <x:c r="A166" s="1" t="str">
        <x:f>'Inventory inputs'!A166</x:f>
        <x:v>PLAS</x:v>
      </x:c>
      <x:c r="B166" s="1" t="str">
        <x:f>'Inventory inputs'!B166</x:f>
        <x:v>10</x:v>
      </x:c>
      <x:c r="C166" s="1" t="str">
        <x:f>'Inventory inputs'!C166</x:f>
        <x:v>01219RWBBLU</x:v>
      </x:c>
      <x:c r="D166" s="7" t="n">
        <x:f>'Inventory inputs'!E166</x:f>
        <x:v>46303</x:v>
      </x:c>
      <x:c r="E166" s="1" t="n">
        <x:f>'Inventory inputs'!F166</x:f>
        <x:v>1700</x:v>
      </x:c>
      <x:c r="F166" s="1" t="n">
        <x:f>'Inventory inputs'!G166</x:f>
        <x:v>1424.99</x:v>
      </x:c>
      <x:c r="G166" s="1" t="n">
        <x:f>'Inventory inputs'!H166/'Inventory inputs'!J166</x:f>
        <x:v>0.036000000000000004</x:v>
      </x:c>
      <x:c r="H166" s="1" t="n">
        <x:f>IF('Inventory inputs'!I166&gt;0,'Inventory inputs'!I166*'Inventory inputs'!K166/'Inventory inputs'!J166,"n.a.")</x:f>
        <x:v>0.042189</x:v>
      </x:c>
      <x:c r="I166" s="1" t="n">
        <x:f>'Inventory inputs'!L166</x:f>
        <x:v>0</x:v>
      </x:c>
      <x:c r="J166" s="1" t="n">
        <x:f>'Inventory inputs'!M166</x:f>
        <x:v>1700</x:v>
      </x:c>
      <x:c r="K166" s="1" t="n">
        <x:f>'Inventory inputs'!N166</x:f>
        <x:v>0</x:v>
      </x:c>
      <x:c r="L166" s="1" t="n">
        <x:f>'Inventory inputs'!O166</x:f>
        <x:v>1</x:v>
      </x:c>
      <x:c r="M166" s="9" t="n">
        <x:f>E166*G166</x:f>
        <x:v>61.20000000000001</x:v>
      </x:c>
      <x:c r="N166" s="9" t="n">
        <x:f>'Inventory inputs'!Q166</x:f>
        <x:v>61.2</x:v>
      </x:c>
      <x:c r="O166" s="9" t="n">
        <x:f>N166-M166</x:f>
        <x:v>-7.105427357601002e-15</x:v>
      </x:c>
      <x:c r="P166" s="1" t="n">
        <x:f>SUMIFS('Incoming POs'!$P$2:$P$305,'Incoming POs'!$A$2:$A$305,A166,'Incoming POs'!$B$2:$B$305,B166,'Incoming POs'!$C$2:$C$305,C166,'Incoming POs'!$G$2:$G$305,"&gt;="&amp;D166,'Incoming POs'!$G$2:$G$305,"&lt;"&amp;Dashboard!$I$5)</x:f>
        <x:v>10000</x:v>
      </x:c>
      <x:c r="Q166" s="1" t="n">
        <x:f>F166*Dashboard!$L$5*MAX(0,Dashboard!$I$5-D166)/30.4375</x:f>
        <x:v>1896.0852566735114</x:v>
      </x:c>
      <x:c r="R166" s="1" t="n">
        <x:f>MAX(0,E166+P166-Q166)</x:f>
        <x:v>9803.914743326488</x:v>
      </x:c>
      <x:c r="S166" s="1" t="n">
        <x:f>MAX(0,Q166-E166-P166)</x:f>
        <x:v>0</x:v>
      </x:c>
      <x:c r="T166" s="1" t="n">
        <x:f>IF(L166=1,MAX(0,I166+AB166-MIN(Q166,E166+P166)),"n.a.")</x:f>
        <x:v>0</x:v>
      </x:c>
      <x:c r="U166" s="9" t="n">
        <x:f>IF(ISNUMBER(T166),T166*G166,"n.a.")</x:f>
        <x:v>0</x:v>
      </x:c>
      <x:c r="V166" s="25" t="n">
        <x:f>IF(Dashboard!$I$6="Flat %",1,IF(ISNUMBER(H166),1,0))</x:f>
        <x:v>1</x:v>
      </x:c>
      <x:c r="W166" s="9" t="n">
        <x:f>IF(Dashboard!$I$6="Flat %",G166*(1+Dashboard!$L$6),H166)</x:f>
        <x:v>0.042189</x:v>
      </x:c>
      <x:c r="X166" s="9" t="n">
        <x:f>IF(V166=1,R166*(W166-G166),"n.a.")</x:f>
        <x:v>60.676428346447565</x:v>
      </x:c>
      <x:c r="Y166" s="9" t="n">
        <x:f>IF(V166=1,R166*W166,"n.a.")</x:f>
        <x:v>413.61735910620115</x:v>
      </x:c>
      <x:c r="Z166" s="1" t="n">
        <x:f>IF(ISNUMBER(T166),R166-T166,"n.a.")</x:f>
        <x:v>9803.914743326488</x:v>
      </x:c>
      <x:c r="AA166" s="1" t="str">
        <x:f>'Inventory inputs'!R166</x:f>
        <x:v>Classified</x:v>
      </x:c>
      <x:c r="AB166" s="1" t="n">
        <x:f>IF(L166=1,SUMIFS('Incoming POs'!$P$2:$P$305,'Incoming POs'!$A$2:$A$305,A166,'Incoming POs'!$B$2:$B$305,B166,'Incoming POs'!$C$2:$C$305,C166,'Incoming POs'!$G$2:$G$305,"&gt;="&amp;D166,'Incoming POs'!$G$2:$G$305,"&lt;"&amp;Dashboard!$I$5,'Incoming POs'!$Q$2:$Q$305,"&lt;="&amp;('Inventory inputs'!P166/'Inventory inputs'!J166*1.01)),"n.a.")</x:f>
        <x:v>0</x:v>
      </x:c>
      <x:c r="AC166" s="9" t="n">
        <x:f>I166*G166</x:f>
        <x:v>0</x:v>
      </x:c>
      <x:c r="AD166" s="9" t="n">
        <x:f>J166*G166</x:f>
        <x:v>61.20000000000001</x:v>
      </x:c>
      <x:c r="AE166" s="9" t="n">
        <x:f>K166*G166</x:f>
        <x:v>0</x:v>
      </x:c>
      <x:c r="AF166" s="9" t="n">
        <x:f>R166*G166</x:f>
        <x:v>352.9409307597536</x:v>
      </x:c>
    </x:row>
    <x:row r="167" ht="21" customHeight="1">
      <x:c r="A167" s="1" t="str">
        <x:f>'Inventory inputs'!A167</x:f>
        <x:v>PLAS</x:v>
      </x:c>
      <x:c r="B167" s="1" t="str">
        <x:f>'Inventory inputs'!B167</x:f>
        <x:v>10</x:v>
      </x:c>
      <x:c r="C167" s="1" t="str">
        <x:f>'Inventory inputs'!C167</x:f>
        <x:v>00119RWBNAV</x:v>
      </x:c>
      <x:c r="D167" s="7" t="n">
        <x:f>'Inventory inputs'!E167</x:f>
        <x:v>46303</x:v>
      </x:c>
      <x:c r="E167" s="1" t="n">
        <x:f>'Inventory inputs'!F167</x:f>
        <x:v>2700</x:v>
      </x:c>
      <x:c r="F167" s="1" t="n">
        <x:f>'Inventory inputs'!G167</x:f>
        <x:v>1389.08</x:v>
      </x:c>
      <x:c r="G167" s="1" t="n">
        <x:f>'Inventory inputs'!H167/'Inventory inputs'!J167</x:f>
        <x:v>0.1054</x:v>
      </x:c>
      <x:c r="H167" s="1" t="n">
        <x:f>IF('Inventory inputs'!I167&gt;0,'Inventory inputs'!I167*'Inventory inputs'!K167/'Inventory inputs'!J167,"n.a.")</x:f>
        <x:v>0.12333300000000001</x:v>
      </x:c>
      <x:c r="I167" s="1" t="n">
        <x:f>'Inventory inputs'!L167</x:f>
        <x:v>0</x:v>
      </x:c>
      <x:c r="J167" s="1" t="n">
        <x:f>'Inventory inputs'!M167</x:f>
        <x:v>2700</x:v>
      </x:c>
      <x:c r="K167" s="1" t="n">
        <x:f>'Inventory inputs'!N167</x:f>
        <x:v>0</x:v>
      </x:c>
      <x:c r="L167" s="1" t="n">
        <x:f>'Inventory inputs'!O167</x:f>
        <x:v>1</x:v>
      </x:c>
      <x:c r="M167" s="9" t="n">
        <x:f>E167*G167</x:f>
        <x:v>284.58</x:v>
      </x:c>
      <x:c r="N167" s="9" t="n">
        <x:f>'Inventory inputs'!Q167</x:f>
        <x:v>284.58</x:v>
      </x:c>
      <x:c r="O167" s="9" t="n">
        <x:f>N167-M167</x:f>
        <x:v>0</x:v>
      </x:c>
      <x:c r="P167" s="1" t="n">
        <x:f>SUMIFS('Incoming POs'!$P$2:$P$305,'Incoming POs'!$A$2:$A$305,A167,'Incoming POs'!$B$2:$B$305,B167,'Incoming POs'!$C$2:$C$305,C167,'Incoming POs'!$G$2:$G$305,"&gt;="&amp;D167,'Incoming POs'!$G$2:$G$305,"&lt;"&amp;Dashboard!$I$5)</x:f>
        <x:v>8000</x:v>
      </x:c>
      <x:c r="Q167" s="1" t="n">
        <x:f>F167*Dashboard!$L$5*MAX(0,Dashboard!$I$5-D167)/30.4375</x:f>
        <x:v>1848.303572895277</x:v>
      </x:c>
      <x:c r="R167" s="1" t="n">
        <x:f>MAX(0,E167+P167-Q167)</x:f>
        <x:v>8851.696427104724</x:v>
      </x:c>
      <x:c r="S167" s="1" t="n">
        <x:f>MAX(0,Q167-E167-P167)</x:f>
        <x:v>0</x:v>
      </x:c>
      <x:c r="T167" s="1" t="n">
        <x:f>IF(L167=1,MAX(0,I167+AB167-MIN(Q167,E167+P167)),"n.a.")</x:f>
        <x:v>0</x:v>
      </x:c>
      <x:c r="U167" s="9" t="n">
        <x:f>IF(ISNUMBER(T167),T167*G167,"n.a.")</x:f>
        <x:v>0</x:v>
      </x:c>
      <x:c r="V167" s="25" t="n">
        <x:f>IF(Dashboard!$I$6="Flat %",1,IF(ISNUMBER(H167),1,0))</x:f>
        <x:v>1</x:v>
      </x:c>
      <x:c r="W167" s="9" t="n">
        <x:f>IF(Dashboard!$I$6="Flat %",G167*(1+Dashboard!$L$6),H167)</x:f>
        <x:v>0.12333300000000001</x:v>
      </x:c>
      <x:c r="X167" s="9" t="n">
        <x:f>IF(V167=1,R167*(W167-G167),"n.a.")</x:f>
        <x:v>158.73747202726918</x:v>
      </x:c>
      <x:c r="Y167" s="9" t="n">
        <x:f>IF(V167=1,R167*W167,"n.a.")</x:f>
        <x:v>1091.706275444107</x:v>
      </x:c>
      <x:c r="Z167" s="1" t="n">
        <x:f>IF(ISNUMBER(T167),R167-T167,"n.a.")</x:f>
        <x:v>8851.696427104724</x:v>
      </x:c>
      <x:c r="AA167" s="1" t="str">
        <x:f>'Inventory inputs'!R167</x:f>
        <x:v>Classified</x:v>
      </x:c>
      <x:c r="AB167" s="1" t="n">
        <x:f>IF(L167=1,SUMIFS('Incoming POs'!$P$2:$P$305,'Incoming POs'!$A$2:$A$305,A167,'Incoming POs'!$B$2:$B$305,B167,'Incoming POs'!$C$2:$C$305,C167,'Incoming POs'!$G$2:$G$305,"&gt;="&amp;D167,'Incoming POs'!$G$2:$G$305,"&lt;"&amp;Dashboard!$I$5,'Incoming POs'!$Q$2:$Q$305,"&lt;="&amp;('Inventory inputs'!P167/'Inventory inputs'!J167*1.01)),"n.a.")</x:f>
        <x:v>0</x:v>
      </x:c>
      <x:c r="AC167" s="9" t="n">
        <x:f>I167*G167</x:f>
        <x:v>0</x:v>
      </x:c>
      <x:c r="AD167" s="9" t="n">
        <x:f>J167*G167</x:f>
        <x:v>284.58</x:v>
      </x:c>
      <x:c r="AE167" s="9" t="n">
        <x:f>K167*G167</x:f>
        <x:v>0</x:v>
      </x:c>
      <x:c r="AF167" s="9" t="n">
        <x:f>R167*G167</x:f>
        <x:v>932.9688034168378</x:v>
      </x:c>
    </x:row>
    <x:row r="168" ht="21" customHeight="1">
      <x:c r="A168" s="1" t="str">
        <x:f>'Inventory inputs'!A168</x:f>
        <x:v>PLAS</x:v>
      </x:c>
      <x:c r="B168" s="1" t="str">
        <x:f>'Inventory inputs'!B168</x:f>
        <x:v>60</x:v>
      </x:c>
      <x:c r="C168" s="1" t="str">
        <x:f>'Inventory inputs'!C168</x:f>
        <x:v>01419RWBNAV</x:v>
      </x:c>
      <x:c r="D168" s="7" t="n">
        <x:f>'Inventory inputs'!E168</x:f>
        <x:v>46303</x:v>
      </x:c>
      <x:c r="E168" s="1" t="n">
        <x:f>'Inventory inputs'!F168</x:f>
        <x:v>700</x:v>
      </x:c>
      <x:c r="F168" s="1" t="n">
        <x:f>'Inventory inputs'!G168</x:f>
        <x:v>1383.33</x:v>
      </x:c>
      <x:c r="G168" s="1" t="n">
        <x:f>'Inventory inputs'!H168/'Inventory inputs'!J168</x:f>
        <x:v>0.0181</x:v>
      </x:c>
      <x:c r="H168" s="1" t="n">
        <x:f>IF('Inventory inputs'!I168&gt;0,'Inventory inputs'!I168*'Inventory inputs'!K168/'Inventory inputs'!J168,"n.a.")</x:f>
        <x:v>0.021168</x:v>
      </x:c>
      <x:c r="I168" s="1" t="n">
        <x:f>'Inventory inputs'!L168</x:f>
        <x:v>0</x:v>
      </x:c>
      <x:c r="J168" s="1" t="n">
        <x:f>'Inventory inputs'!M168</x:f>
        <x:v>0</x:v>
      </x:c>
      <x:c r="K168" s="1" t="n">
        <x:f>'Inventory inputs'!N168</x:f>
        <x:v>700</x:v>
      </x:c>
      <x:c r="L168" s="1" t="n">
        <x:f>'Inventory inputs'!O168</x:f>
        <x:v>0</x:v>
      </x:c>
      <x:c r="M168" s="9" t="n">
        <x:f>E168*G168</x:f>
        <x:v>12.670000000000002</x:v>
      </x:c>
      <x:c r="N168" s="9" t="n">
        <x:f>'Inventory inputs'!Q168</x:f>
        <x:v>12.67</x:v>
      </x:c>
      <x:c r="O168" s="9" t="n">
        <x:f>N168-M168</x:f>
        <x:v>-1.7763568394002505e-15</x:v>
      </x:c>
      <x:c r="P168" s="1" t="n">
        <x:f>SUMIFS('Incoming POs'!$P$2:$P$305,'Incoming POs'!$A$2:$A$305,A168,'Incoming POs'!$B$2:$B$305,B168,'Incoming POs'!$C$2:$C$305,C168,'Incoming POs'!$G$2:$G$305,"&gt;="&amp;D168,'Incoming POs'!$G$2:$G$305,"&lt;"&amp;Dashboard!$I$5)</x:f>
        <x:v>0</x:v>
      </x:c>
      <x:c r="Q168" s="1" t="n">
        <x:f>F168*Dashboard!$L$5*MAX(0,Dashboard!$I$5-D168)/30.4375</x:f>
        <x:v>1840.6526488706365</x:v>
      </x:c>
      <x:c r="R168" s="1" t="n">
        <x:f>MAX(0,E168+P168-Q168)</x:f>
        <x:v>0</x:v>
      </x:c>
      <x:c r="S168" s="1" t="n">
        <x:f>MAX(0,Q168-E168-P168)</x:f>
        <x:v>1140.6526488706365</x:v>
      </x:c>
      <x:c r="T168" s="1" t="str">
        <x:f>IF(L168=1,MAX(0,I168+AB168-MIN(Q168,E168+P168)),"n.a.")</x:f>
        <x:v>n.a.</x:v>
      </x:c>
      <x:c r="U168" s="9" t="str">
        <x:f>IF(ISNUMBER(T168),T168*G168,"n.a.")</x:f>
        <x:v>n.a.</x:v>
      </x:c>
      <x:c r="V168" s="25" t="n">
        <x:f>IF(Dashboard!$I$6="Flat %",1,IF(ISNUMBER(H168),1,0))</x:f>
        <x:v>1</x:v>
      </x:c>
      <x:c r="W168" s="9" t="n">
        <x:f>IF(Dashboard!$I$6="Flat %",G168*(1+Dashboard!$L$6),H168)</x:f>
        <x:v>0.021168</x:v>
      </x:c>
      <x:c r="X168" s="9" t="n">
        <x:f>IF(V168=1,R168*(W168-G168),"n.a.")</x:f>
        <x:v>0</x:v>
      </x:c>
      <x:c r="Y168" s="9" t="n">
        <x:f>IF(V168=1,R168*W168,"n.a.")</x:f>
        <x:v>0</x:v>
      </x:c>
      <x:c r="Z168" s="1" t="str">
        <x:f>IF(ISNUMBER(T168),R168-T168,"n.a.")</x:f>
        <x:v>n.a.</x:v>
      </x:c>
      <x:c r="AA168" s="1" t="str">
        <x:f>'Inventory inputs'!R168</x:f>
        <x:v>Review receipt reconciliation or original PO baseline</x:v>
      </x:c>
      <x:c r="AB168" s="1" t="str">
        <x:f>IF(L168=1,SUMIFS('Incoming POs'!$P$2:$P$305,'Incoming POs'!$A$2:$A$305,A168,'Incoming POs'!$B$2:$B$305,B168,'Incoming POs'!$C$2:$C$305,C168,'Incoming POs'!$G$2:$G$305,"&gt;="&amp;D168,'Incoming POs'!$G$2:$G$305,"&lt;"&amp;Dashboard!$I$5,'Incoming POs'!$Q$2:$Q$305,"&lt;="&amp;('Inventory inputs'!P168/'Inventory inputs'!J168*1.01)),"n.a.")</x:f>
        <x:v>n.a.</x:v>
      </x:c>
      <x:c r="AC168" s="9" t="n">
        <x:f>I168*G168</x:f>
        <x:v>0</x:v>
      </x:c>
      <x:c r="AD168" s="9" t="n">
        <x:f>J168*G168</x:f>
        <x:v>0</x:v>
      </x:c>
      <x:c r="AE168" s="9" t="n">
        <x:f>K168*G168</x:f>
        <x:v>12.670000000000002</x:v>
      </x:c>
      <x:c r="AF168" s="9" t="n">
        <x:f>R168*G168</x:f>
        <x:v>0</x:v>
      </x:c>
    </x:row>
    <x:row r="169" ht="21" customHeight="1">
      <x:c r="A169" s="1" t="str">
        <x:f>'Inventory inputs'!A169</x:f>
        <x:v>PLAS</x:v>
      </x:c>
      <x:c r="B169" s="1" t="str">
        <x:f>'Inventory inputs'!B169</x:f>
        <x:v>30</x:v>
      </x:c>
      <x:c r="C169" s="1" t="str">
        <x:f>'Inventory inputs'!C169</x:f>
        <x:v>00119RWBBLK</x:v>
      </x:c>
      <x:c r="D169" s="7" t="n">
        <x:f>'Inventory inputs'!E169</x:f>
        <x:v>46303</x:v>
      </x:c>
      <x:c r="E169" s="1" t="n">
        <x:f>'Inventory inputs'!F169</x:f>
        <x:v>1050</x:v>
      </x:c>
      <x:c r="F169" s="1" t="n">
        <x:f>'Inventory inputs'!G169</x:f>
        <x:v>1308.33</x:v>
      </x:c>
      <x:c r="G169" s="1" t="n">
        <x:f>'Inventory inputs'!H169/'Inventory inputs'!J169</x:f>
        <x:v>0.1054</x:v>
      </x:c>
      <x:c r="H169" s="1" t="n">
        <x:f>IF('Inventory inputs'!I169&gt;0,'Inventory inputs'!I169*'Inventory inputs'!K169/'Inventory inputs'!J169,"n.a.")</x:f>
        <x:v>0.12333300000000001</x:v>
      </x:c>
      <x:c r="I169" s="1" t="n">
        <x:f>'Inventory inputs'!L169</x:f>
        <x:v>0</x:v>
      </x:c>
      <x:c r="J169" s="1" t="n">
        <x:f>'Inventory inputs'!M169</x:f>
        <x:v>0</x:v>
      </x:c>
      <x:c r="K169" s="1" t="n">
        <x:f>'Inventory inputs'!N169</x:f>
        <x:v>1050</x:v>
      </x:c>
      <x:c r="L169" s="1" t="n">
        <x:f>'Inventory inputs'!O169</x:f>
        <x:v>0</x:v>
      </x:c>
      <x:c r="M169" s="9" t="n">
        <x:f>E169*G169</x:f>
        <x:v>110.66999999999999</x:v>
      </x:c>
      <x:c r="N169" s="9" t="n">
        <x:f>'Inventory inputs'!Q169</x:f>
        <x:v>110.67</x:v>
      </x:c>
      <x:c r="O169" s="9" t="n">
        <x:f>N169-M169</x:f>
        <x:v>1.4210854715202004e-14</x:v>
      </x:c>
      <x:c r="P169" s="1" t="n">
        <x:f>SUMIFS('Incoming POs'!$P$2:$P$305,'Incoming POs'!$A$2:$A$305,A169,'Incoming POs'!$B$2:$B$305,B169,'Incoming POs'!$C$2:$C$305,C169,'Incoming POs'!$G$2:$G$305,"&gt;="&amp;D169,'Incoming POs'!$G$2:$G$305,"&lt;"&amp;Dashboard!$I$5)</x:f>
        <x:v>0</x:v>
      </x:c>
      <x:c r="Q169" s="1" t="n">
        <x:f>F169*Dashboard!$L$5*MAX(0,Dashboard!$I$5-D169)/30.4375</x:f>
        <x:v>1740.8579876796714</x:v>
      </x:c>
      <x:c r="R169" s="1" t="n">
        <x:f>MAX(0,E169+P169-Q169)</x:f>
        <x:v>0</x:v>
      </x:c>
      <x:c r="S169" s="1" t="n">
        <x:f>MAX(0,Q169-E169-P169)</x:f>
        <x:v>690.8579876796714</x:v>
      </x:c>
      <x:c r="T169" s="1" t="str">
        <x:f>IF(L169=1,MAX(0,I169+AB169-MIN(Q169,E169+P169)),"n.a.")</x:f>
        <x:v>n.a.</x:v>
      </x:c>
      <x:c r="U169" s="9" t="str">
        <x:f>IF(ISNUMBER(T169),T169*G169,"n.a.")</x:f>
        <x:v>n.a.</x:v>
      </x:c>
      <x:c r="V169" s="25" t="n">
        <x:f>IF(Dashboard!$I$6="Flat %",1,IF(ISNUMBER(H169),1,0))</x:f>
        <x:v>1</x:v>
      </x:c>
      <x:c r="W169" s="9" t="n">
        <x:f>IF(Dashboard!$I$6="Flat %",G169*(1+Dashboard!$L$6),H169)</x:f>
        <x:v>0.12333300000000001</x:v>
      </x:c>
      <x:c r="X169" s="9" t="n">
        <x:f>IF(V169=1,R169*(W169-G169),"n.a.")</x:f>
        <x:v>0</x:v>
      </x:c>
      <x:c r="Y169" s="9" t="n">
        <x:f>IF(V169=1,R169*W169,"n.a.")</x:f>
        <x:v>0</x:v>
      </x:c>
      <x:c r="Z169" s="1" t="str">
        <x:f>IF(ISNUMBER(T169),R169-T169,"n.a.")</x:f>
        <x:v>n.a.</x:v>
      </x:c>
      <x:c r="AA169" s="1" t="str">
        <x:f>'Inventory inputs'!R169</x:f>
        <x:v>Review receipt reconciliation or original PO baseline</x:v>
      </x:c>
      <x:c r="AB169" s="1" t="str">
        <x:f>IF(L169=1,SUMIFS('Incoming POs'!$P$2:$P$305,'Incoming POs'!$A$2:$A$305,A169,'Incoming POs'!$B$2:$B$305,B169,'Incoming POs'!$C$2:$C$305,C169,'Incoming POs'!$G$2:$G$305,"&gt;="&amp;D169,'Incoming POs'!$G$2:$G$305,"&lt;"&amp;Dashboard!$I$5,'Incoming POs'!$Q$2:$Q$305,"&lt;="&amp;('Inventory inputs'!P169/'Inventory inputs'!J169*1.01)),"n.a.")</x:f>
        <x:v>n.a.</x:v>
      </x:c>
      <x:c r="AC169" s="9" t="n">
        <x:f>I169*G169</x:f>
        <x:v>0</x:v>
      </x:c>
      <x:c r="AD169" s="9" t="n">
        <x:f>J169*G169</x:f>
        <x:v>0</x:v>
      </x:c>
      <x:c r="AE169" s="9" t="n">
        <x:f>K169*G169</x:f>
        <x:v>110.66999999999999</x:v>
      </x:c>
      <x:c r="AF169" s="9" t="n">
        <x:f>R169*G169</x:f>
        <x:v>0</x:v>
      </x:c>
    </x:row>
    <x:row r="170" ht="21" customHeight="1">
      <x:c r="A170" s="1" t="str">
        <x:f>'Inventory inputs'!A170</x:f>
        <x:v>PLAS</x:v>
      </x:c>
      <x:c r="B170" s="1" t="str">
        <x:f>'Inventory inputs'!B170</x:f>
        <x:v>10</x:v>
      </x:c>
      <x:c r="C170" s="1" t="str">
        <x:f>'Inventory inputs'!C170</x:f>
        <x:v>01219RWBCLR</x:v>
      </x:c>
      <x:c r="D170" s="7" t="n">
        <x:f>'Inventory inputs'!E170</x:f>
        <x:v>46303</x:v>
      </x:c>
      <x:c r="E170" s="1" t="n">
        <x:f>'Inventory inputs'!F170</x:f>
        <x:v>8100</x:v>
      </x:c>
      <x:c r="F170" s="1" t="n">
        <x:f>'Inventory inputs'!G170</x:f>
        <x:v>1166.67</x:v>
      </x:c>
      <x:c r="G170" s="1" t="n">
        <x:f>'Inventory inputs'!H170/'Inventory inputs'!J170</x:f>
        <x:v>0.036000000000000004</x:v>
      </x:c>
      <x:c r="H170" s="1" t="n">
        <x:f>IF('Inventory inputs'!I170&gt;0,'Inventory inputs'!I170*'Inventory inputs'!K170/'Inventory inputs'!J170,"n.a.")</x:f>
        <x:v>0.042189</x:v>
      </x:c>
      <x:c r="I170" s="1" t="n">
        <x:f>'Inventory inputs'!L170</x:f>
        <x:v>5100</x:v>
      </x:c>
      <x:c r="J170" s="1" t="n">
        <x:f>'Inventory inputs'!M170</x:f>
        <x:v>3000</x:v>
      </x:c>
      <x:c r="K170" s="1" t="n">
        <x:f>'Inventory inputs'!N170</x:f>
        <x:v>0</x:v>
      </x:c>
      <x:c r="L170" s="1" t="n">
        <x:f>'Inventory inputs'!O170</x:f>
        <x:v>1</x:v>
      </x:c>
      <x:c r="M170" s="9" t="n">
        <x:f>E170*G170</x:f>
        <x:v>291.6</x:v>
      </x:c>
      <x:c r="N170" s="9" t="n">
        <x:f>'Inventory inputs'!Q170</x:f>
        <x:v>291.6</x:v>
      </x:c>
      <x:c r="O170" s="9" t="n">
        <x:f>N170-M170</x:f>
        <x:v>0</x:v>
      </x:c>
      <x:c r="P170" s="1" t="n">
        <x:f>SUMIFS('Incoming POs'!$P$2:$P$305,'Incoming POs'!$A$2:$A$305,A170,'Incoming POs'!$B$2:$B$305,B170,'Incoming POs'!$C$2:$C$305,C170,'Incoming POs'!$G$2:$G$305,"&gt;="&amp;D170,'Incoming POs'!$G$2:$G$305,"&lt;"&amp;Dashboard!$I$5)</x:f>
        <x:v>10000</x:v>
      </x:c>
      <x:c r="Q170" s="1" t="n">
        <x:f>F170*Dashboard!$L$5*MAX(0,Dashboard!$I$5-D170)/30.4375</x:f>
        <x:v>1552.3658316221768</x:v>
      </x:c>
      <x:c r="R170" s="1" t="n">
        <x:f>MAX(0,E170+P170-Q170)</x:f>
        <x:v>16547.634168377823</x:v>
      </x:c>
      <x:c r="S170" s="1" t="n">
        <x:f>MAX(0,Q170-E170-P170)</x:f>
        <x:v>0</x:v>
      </x:c>
      <x:c r="T170" s="1" t="n">
        <x:f>IF(L170=1,MAX(0,I170+AB170-MIN(Q170,E170+P170)),"n.a.")</x:f>
        <x:v>3547.6341683778232</x:v>
      </x:c>
      <x:c r="U170" s="9" t="n">
        <x:f>IF(ISNUMBER(T170),T170*G170,"n.a.")</x:f>
        <x:v>127.71483006160165</x:v>
      </x:c>
      <x:c r="V170" s="25" t="n">
        <x:f>IF(Dashboard!$I$6="Flat %",1,IF(ISNUMBER(H170),1,0))</x:f>
        <x:v>1</x:v>
      </x:c>
      <x:c r="W170" s="9" t="n">
        <x:f>IF(Dashboard!$I$6="Flat %",G170*(1+Dashboard!$L$6),H170)</x:f>
        <x:v>0.042189</x:v>
      </x:c>
      <x:c r="X170" s="9" t="n">
        <x:f>IF(V170=1,R170*(W170-G170),"n.a.")</x:f>
        <x:v>102.41330786809023</x:v>
      </x:c>
      <x:c r="Y170" s="9" t="n">
        <x:f>IF(V170=1,R170*W170,"n.a.")</x:f>
        <x:v>698.1281379296919</x:v>
      </x:c>
      <x:c r="Z170" s="1" t="n">
        <x:f>IF(ISNUMBER(T170),R170-T170,"n.a.")</x:f>
        <x:v>13000</x:v>
      </x:c>
      <x:c r="AA170" s="1" t="str">
        <x:f>'Inventory inputs'!R170</x:f>
        <x:v>Classified</x:v>
      </x:c>
      <x:c r="AB170" s="1" t="n">
        <x:f>IF(L170=1,SUMIFS('Incoming POs'!$P$2:$P$305,'Incoming POs'!$A$2:$A$305,A170,'Incoming POs'!$B$2:$B$305,B170,'Incoming POs'!$C$2:$C$305,C170,'Incoming POs'!$G$2:$G$305,"&gt;="&amp;D170,'Incoming POs'!$G$2:$G$305,"&lt;"&amp;Dashboard!$I$5,'Incoming POs'!$Q$2:$Q$305,"&lt;="&amp;('Inventory inputs'!P170/'Inventory inputs'!J170*1.01)),"n.a.")</x:f>
        <x:v>0</x:v>
      </x:c>
      <x:c r="AC170" s="9" t="n">
        <x:f>I170*G170</x:f>
        <x:v>183.60000000000002</x:v>
      </x:c>
      <x:c r="AD170" s="9" t="n">
        <x:f>J170*G170</x:f>
        <x:v>108.00000000000001</x:v>
      </x:c>
      <x:c r="AE170" s="9" t="n">
        <x:f>K170*G170</x:f>
        <x:v>0</x:v>
      </x:c>
      <x:c r="AF170" s="9" t="n">
        <x:f>R170*G170</x:f>
        <x:v>595.7148300616017</x:v>
      </x:c>
    </x:row>
    <x:row r="171" ht="21" customHeight="1">
      <x:c r="A171" s="1" t="str">
        <x:f>'Inventory inputs'!A171</x:f>
        <x:v>PLAS</x:v>
      </x:c>
      <x:c r="B171" s="1" t="str">
        <x:f>'Inventory inputs'!B171</x:f>
        <x:v>60</x:v>
      </x:c>
      <x:c r="C171" s="1" t="str">
        <x:f>'Inventory inputs'!C171</x:f>
        <x:v>71619RWBWHT</x:v>
      </x:c>
      <x:c r="D171" s="7" t="n">
        <x:f>'Inventory inputs'!E171</x:f>
        <x:v>46303</x:v>
      </x:c>
      <x:c r="E171" s="1" t="n">
        <x:f>'Inventory inputs'!F171</x:f>
        <x:v>2600</x:v>
      </x:c>
      <x:c r="F171" s="1" t="n">
        <x:f>'Inventory inputs'!G171</x:f>
        <x:v>1150</x:v>
      </x:c>
      <x:c r="G171" s="1" t="n">
        <x:f>'Inventory inputs'!H171/'Inventory inputs'!J171</x:f>
        <x:v>0.0315</x:v>
      </x:c>
      <x:c r="H171" s="1" t="n">
        <x:f>IF('Inventory inputs'!I171&gt;0,'Inventory inputs'!I171*'Inventory inputs'!K171/'Inventory inputs'!J171,"n.a.")</x:f>
        <x:v>0.03675</x:v>
      </x:c>
      <x:c r="I171" s="1" t="n">
        <x:f>'Inventory inputs'!L171</x:f>
        <x:v>0</x:v>
      </x:c>
      <x:c r="J171" s="1" t="n">
        <x:f>'Inventory inputs'!M171</x:f>
        <x:v>0</x:v>
      </x:c>
      <x:c r="K171" s="1" t="n">
        <x:f>'Inventory inputs'!N171</x:f>
        <x:v>2600</x:v>
      </x:c>
      <x:c r="L171" s="1" t="n">
        <x:f>'Inventory inputs'!O171</x:f>
        <x:v>0</x:v>
      </x:c>
      <x:c r="M171" s="9" t="n">
        <x:f>E171*G171</x:f>
        <x:v>81.9</x:v>
      </x:c>
      <x:c r="N171" s="9" t="n">
        <x:f>'Inventory inputs'!Q171</x:f>
        <x:v>81.9</x:v>
      </x:c>
      <x:c r="O171" s="9" t="n">
        <x:f>N171-M171</x:f>
        <x:v>0</x:v>
      </x:c>
      <x:c r="P171" s="1" t="n">
        <x:f>SUMIFS('Incoming POs'!$P$2:$P$305,'Incoming POs'!$A$2:$A$305,A171,'Incoming POs'!$B$2:$B$305,B171,'Incoming POs'!$C$2:$C$305,C171,'Incoming POs'!$G$2:$G$305,"&gt;="&amp;D171,'Incoming POs'!$G$2:$G$305,"&lt;"&amp;Dashboard!$I$5)</x:f>
        <x:v>0</x:v>
      </x:c>
      <x:c r="Q171" s="1" t="n">
        <x:f>F171*Dashboard!$L$5*MAX(0,Dashboard!$I$5-D171)/30.4375</x:f>
        <x:v>1530.1848049281314</x:v>
      </x:c>
      <x:c r="R171" s="1" t="n">
        <x:f>MAX(0,E171+P171-Q171)</x:f>
        <x:v>1069.8151950718686</x:v>
      </x:c>
      <x:c r="S171" s="1" t="n">
        <x:f>MAX(0,Q171-E171-P171)</x:f>
        <x:v>0</x:v>
      </x:c>
      <x:c r="T171" s="1" t="str">
        <x:f>IF(L171=1,MAX(0,I171+AB171-MIN(Q171,E171+P171)),"n.a.")</x:f>
        <x:v>n.a.</x:v>
      </x:c>
      <x:c r="U171" s="9" t="str">
        <x:f>IF(ISNUMBER(T171),T171*G171,"n.a.")</x:f>
        <x:v>n.a.</x:v>
      </x:c>
      <x:c r="V171" s="25" t="n">
        <x:f>IF(Dashboard!$I$6="Flat %",1,IF(ISNUMBER(H171),1,0))</x:f>
        <x:v>1</x:v>
      </x:c>
      <x:c r="W171" s="9" t="n">
        <x:f>IF(Dashboard!$I$6="Flat %",G171*(1+Dashboard!$L$6),H171)</x:f>
        <x:v>0.03675</x:v>
      </x:c>
      <x:c r="X171" s="9" t="n">
        <x:f>IF(V171=1,R171*(W171-G171),"n.a.")</x:f>
        <x:v>5.616529774127308</x:v>
      </x:c>
      <x:c r="Y171" s="9" t="n">
        <x:f>IF(V171=1,R171*W171,"n.a.")</x:f>
        <x:v>39.31570841889117</x:v>
      </x:c>
      <x:c r="Z171" s="1" t="str">
        <x:f>IF(ISNUMBER(T171),R171-T171,"n.a.")</x:f>
        <x:v>n.a.</x:v>
      </x:c>
      <x:c r="AA171" s="1" t="str">
        <x:f>'Inventory inputs'!R171</x:f>
        <x:v>Review receipt reconciliation or original PO baseline</x:v>
      </x:c>
      <x:c r="AB171" s="1" t="str">
        <x:f>IF(L171=1,SUMIFS('Incoming POs'!$P$2:$P$305,'Incoming POs'!$A$2:$A$305,A171,'Incoming POs'!$B$2:$B$305,B171,'Incoming POs'!$C$2:$C$305,C171,'Incoming POs'!$G$2:$G$305,"&gt;="&amp;D171,'Incoming POs'!$G$2:$G$305,"&lt;"&amp;Dashboard!$I$5,'Incoming POs'!$Q$2:$Q$305,"&lt;="&amp;('Inventory inputs'!P171/'Inventory inputs'!J171*1.01)),"n.a.")</x:f>
        <x:v>n.a.</x:v>
      </x:c>
      <x:c r="AC171" s="9" t="n">
        <x:f>I171*G171</x:f>
        <x:v>0</x:v>
      </x:c>
      <x:c r="AD171" s="9" t="n">
        <x:f>J171*G171</x:f>
        <x:v>0</x:v>
      </x:c>
      <x:c r="AE171" s="9" t="n">
        <x:f>K171*G171</x:f>
        <x:v>81.9</x:v>
      </x:c>
      <x:c r="AF171" s="9" t="n">
        <x:f>R171*G171</x:f>
        <x:v>33.69917864476386</x:v>
      </x:c>
    </x:row>
    <x:row r="172" ht="21" customHeight="1">
      <x:c r="A172" s="1" t="str">
        <x:f>'Inventory inputs'!A172</x:f>
        <x:v>PLAS</x:v>
      </x:c>
      <x:c r="B172" s="1" t="str">
        <x:f>'Inventory inputs'!B172</x:f>
        <x:v>10</x:v>
      </x:c>
      <x:c r="C172" s="1" t="str">
        <x:f>'Inventory inputs'!C172</x:f>
        <x:v>03819RWBRED</x:v>
      </x:c>
      <x:c r="D172" s="7" t="n">
        <x:f>'Inventory inputs'!E172</x:f>
        <x:v>46303</x:v>
      </x:c>
      <x:c r="E172" s="1" t="n">
        <x:f>'Inventory inputs'!F172</x:f>
        <x:v>5100</x:v>
      </x:c>
      <x:c r="F172" s="1" t="n">
        <x:f>'Inventory inputs'!G172</x:f>
        <x:v>1108.34</x:v>
      </x:c>
      <x:c r="G172" s="1" t="n">
        <x:f>'Inventory inputs'!H172/'Inventory inputs'!J172</x:f>
        <x:v>0.0248</x:v>
      </x:c>
      <x:c r="H172" s="1" t="n">
        <x:f>IF('Inventory inputs'!I172&gt;0,'Inventory inputs'!I172*'Inventory inputs'!K172/'Inventory inputs'!J172,"n.a.")</x:f>
        <x:v>0.029106</x:v>
      </x:c>
      <x:c r="I172" s="1" t="n">
        <x:f>'Inventory inputs'!L172</x:f>
        <x:v>0</x:v>
      </x:c>
      <x:c r="J172" s="1" t="n">
        <x:f>'Inventory inputs'!M172</x:f>
        <x:v>5100</x:v>
      </x:c>
      <x:c r="K172" s="1" t="n">
        <x:f>'Inventory inputs'!N172</x:f>
        <x:v>0</x:v>
      </x:c>
      <x:c r="L172" s="1" t="n">
        <x:f>'Inventory inputs'!O172</x:f>
        <x:v>1</x:v>
      </x:c>
      <x:c r="M172" s="9" t="n">
        <x:f>E172*G172</x:f>
        <x:v>126.47999999999999</x:v>
      </x:c>
      <x:c r="N172" s="9" t="n">
        <x:f>'Inventory inputs'!Q172</x:f>
        <x:v>126.48</x:v>
      </x:c>
      <x:c r="O172" s="9" t="n">
        <x:f>N172-M172</x:f>
        <x:v>1.4210854715202004e-14</x:v>
      </x:c>
      <x:c r="P172" s="1" t="n">
        <x:f>SUMIFS('Incoming POs'!$P$2:$P$305,'Incoming POs'!$A$2:$A$305,A172,'Incoming POs'!$B$2:$B$305,B172,'Incoming POs'!$C$2:$C$305,C172,'Incoming POs'!$G$2:$G$305,"&gt;="&amp;D172,'Incoming POs'!$G$2:$G$305,"&lt;"&amp;Dashboard!$I$5)</x:f>
        <x:v>2000</x:v>
      </x:c>
      <x:c r="Q172" s="1" t="n">
        <x:f>F172*Dashboard!$L$5*MAX(0,Dashboard!$I$5-D172)/30.4375</x:f>
        <x:v>1474.7521971252565</x:v>
      </x:c>
      <x:c r="R172" s="1" t="n">
        <x:f>MAX(0,E172+P172-Q172)</x:f>
        <x:v>5625.247802874744</x:v>
      </x:c>
      <x:c r="S172" s="1" t="n">
        <x:f>MAX(0,Q172-E172-P172)</x:f>
        <x:v>0</x:v>
      </x:c>
      <x:c r="T172" s="1" t="n">
        <x:f>IF(L172=1,MAX(0,I172+AB172-MIN(Q172,E172+P172)),"n.a.")</x:f>
        <x:v>0</x:v>
      </x:c>
      <x:c r="U172" s="9" t="n">
        <x:f>IF(ISNUMBER(T172),T172*G172,"n.a.")</x:f>
        <x:v>0</x:v>
      </x:c>
      <x:c r="V172" s="25" t="n">
        <x:f>IF(Dashboard!$I$6="Flat %",1,IF(ISNUMBER(H172),1,0))</x:f>
        <x:v>1</x:v>
      </x:c>
      <x:c r="W172" s="9" t="n">
        <x:f>IF(Dashboard!$I$6="Flat %",G172*(1+Dashboard!$L$6),H172)</x:f>
        <x:v>0.029106</x:v>
      </x:c>
      <x:c r="X172" s="9" t="n">
        <x:f>IF(V172=1,R172*(W172-G172),"n.a.")</x:f>
        <x:v>24.22231703917865</x:v>
      </x:c>
      <x:c r="Y172" s="9" t="n">
        <x:f>IF(V172=1,R172*W172,"n.a.")</x:f>
        <x:v>163.7284625504723</x:v>
      </x:c>
      <x:c r="Z172" s="1" t="n">
        <x:f>IF(ISNUMBER(T172),R172-T172,"n.a.")</x:f>
        <x:v>5625.247802874744</x:v>
      </x:c>
      <x:c r="AA172" s="1" t="str">
        <x:f>'Inventory inputs'!R172</x:f>
        <x:v>Classified</x:v>
      </x:c>
      <x:c r="AB172" s="1" t="n">
        <x:f>IF(L172=1,SUMIFS('Incoming POs'!$P$2:$P$305,'Incoming POs'!$A$2:$A$305,A172,'Incoming POs'!$B$2:$B$305,B172,'Incoming POs'!$C$2:$C$305,C172,'Incoming POs'!$G$2:$G$305,"&gt;="&amp;D172,'Incoming POs'!$G$2:$G$305,"&lt;"&amp;Dashboard!$I$5,'Incoming POs'!$Q$2:$Q$305,"&lt;="&amp;('Inventory inputs'!P172/'Inventory inputs'!J172*1.01)),"n.a.")</x:f>
        <x:v>0</x:v>
      </x:c>
      <x:c r="AC172" s="9" t="n">
        <x:f>I172*G172</x:f>
        <x:v>0</x:v>
      </x:c>
      <x:c r="AD172" s="9" t="n">
        <x:f>J172*G172</x:f>
        <x:v>126.47999999999999</x:v>
      </x:c>
      <x:c r="AE172" s="9" t="n">
        <x:f>K172*G172</x:f>
        <x:v>0</x:v>
      </x:c>
      <x:c r="AF172" s="9" t="n">
        <x:f>R172*G172</x:f>
        <x:v>139.50614551129362</x:v>
      </x:c>
    </x:row>
    <x:row r="173" ht="21" customHeight="1">
      <x:c r="A173" s="1" t="str">
        <x:f>'Inventory inputs'!A173</x:f>
        <x:v>PLAS</x:v>
      </x:c>
      <x:c r="B173" s="1" t="str">
        <x:f>'Inventory inputs'!B173</x:f>
        <x:v>10</x:v>
      </x:c>
      <x:c r="C173" s="1" t="str">
        <x:f>'Inventory inputs'!C173</x:f>
        <x:v>51619RWBMAR</x:v>
      </x:c>
      <x:c r="D173" s="7" t="n">
        <x:f>'Inventory inputs'!E173</x:f>
        <x:v>46303</x:v>
      </x:c>
      <x:c r="E173" s="1" t="n">
        <x:f>'Inventory inputs'!F173</x:f>
        <x:v>2900</x:v>
      </x:c>
      <x:c r="F173" s="1" t="n">
        <x:f>'Inventory inputs'!G173</x:f>
        <x:v>1108.34</x:v>
      </x:c>
      <x:c r="G173" s="1" t="n">
        <x:f>'Inventory inputs'!H173/'Inventory inputs'!J173</x:f>
        <x:v>0.0216</x:v>
      </x:c>
      <x:c r="H173" s="1" t="n">
        <x:f>IF('Inventory inputs'!I173&gt;0,'Inventory inputs'!I173*'Inventory inputs'!K173/'Inventory inputs'!J173,"n.a.")</x:f>
        <x:v>0.025284</x:v>
      </x:c>
      <x:c r="I173" s="1" t="n">
        <x:f>'Inventory inputs'!L173</x:f>
        <x:v>0</x:v>
      </x:c>
      <x:c r="J173" s="1" t="n">
        <x:f>'Inventory inputs'!M173</x:f>
        <x:v>2900</x:v>
      </x:c>
      <x:c r="K173" s="1" t="n">
        <x:f>'Inventory inputs'!N173</x:f>
        <x:v>0</x:v>
      </x:c>
      <x:c r="L173" s="1" t="n">
        <x:f>'Inventory inputs'!O173</x:f>
        <x:v>1</x:v>
      </x:c>
      <x:c r="M173" s="9" t="n">
        <x:f>E173*G173</x:f>
        <x:v>62.64</x:v>
      </x:c>
      <x:c r="N173" s="9" t="n">
        <x:f>'Inventory inputs'!Q173</x:f>
        <x:v>62.64</x:v>
      </x:c>
      <x:c r="O173" s="9" t="n">
        <x:f>N173-M173</x:f>
        <x:v>0</x:v>
      </x:c>
      <x:c r="P173" s="1" t="n">
        <x:f>SUMIFS('Incoming POs'!$P$2:$P$305,'Incoming POs'!$A$2:$A$305,A173,'Incoming POs'!$B$2:$B$305,B173,'Incoming POs'!$C$2:$C$305,C173,'Incoming POs'!$G$2:$G$305,"&gt;="&amp;D173,'Incoming POs'!$G$2:$G$305,"&lt;"&amp;Dashboard!$I$5)</x:f>
        <x:v>5000</x:v>
      </x:c>
      <x:c r="Q173" s="1" t="n">
        <x:f>F173*Dashboard!$L$5*MAX(0,Dashboard!$I$5-D173)/30.4375</x:f>
        <x:v>1474.7521971252565</x:v>
      </x:c>
      <x:c r="R173" s="1" t="n">
        <x:f>MAX(0,E173+P173-Q173)</x:f>
        <x:v>6425.247802874744</x:v>
      </x:c>
      <x:c r="S173" s="1" t="n">
        <x:f>MAX(0,Q173-E173-P173)</x:f>
        <x:v>0</x:v>
      </x:c>
      <x:c r="T173" s="1" t="n">
        <x:f>IF(L173=1,MAX(0,I173+AB173-MIN(Q173,E173+P173)),"n.a.")</x:f>
        <x:v>0</x:v>
      </x:c>
      <x:c r="U173" s="9" t="n">
        <x:f>IF(ISNUMBER(T173),T173*G173,"n.a.")</x:f>
        <x:v>0</x:v>
      </x:c>
      <x:c r="V173" s="25" t="n">
        <x:f>IF(Dashboard!$I$6="Flat %",1,IF(ISNUMBER(H173),1,0))</x:f>
        <x:v>1</x:v>
      </x:c>
      <x:c r="W173" s="9" t="n">
        <x:f>IF(Dashboard!$I$6="Flat %",G173*(1+Dashboard!$L$6),H173)</x:f>
        <x:v>0.025284</x:v>
      </x:c>
      <x:c r="X173" s="9" t="n">
        <x:f>IF(V173=1,R173*(W173-G173),"n.a.")</x:f>
        <x:v>23.670612905790556</x:v>
      </x:c>
      <x:c r="Y173" s="9" t="n">
        <x:f>IF(V173=1,R173*W173,"n.a.")</x:f>
        <x:v>162.45596544788503</x:v>
      </x:c>
      <x:c r="Z173" s="1" t="n">
        <x:f>IF(ISNUMBER(T173),R173-T173,"n.a.")</x:f>
        <x:v>6425.247802874744</x:v>
      </x:c>
      <x:c r="AA173" s="1" t="str">
        <x:f>'Inventory inputs'!R173</x:f>
        <x:v>Classified</x:v>
      </x:c>
      <x:c r="AB173" s="1" t="n">
        <x:f>IF(L173=1,SUMIFS('Incoming POs'!$P$2:$P$305,'Incoming POs'!$A$2:$A$305,A173,'Incoming POs'!$B$2:$B$305,B173,'Incoming POs'!$C$2:$C$305,C173,'Incoming POs'!$G$2:$G$305,"&gt;="&amp;D173,'Incoming POs'!$G$2:$G$305,"&lt;"&amp;Dashboard!$I$5,'Incoming POs'!$Q$2:$Q$305,"&lt;="&amp;('Inventory inputs'!P173/'Inventory inputs'!J173*1.01)),"n.a.")</x:f>
        <x:v>0</x:v>
      </x:c>
      <x:c r="AC173" s="9" t="n">
        <x:f>I173*G173</x:f>
        <x:v>0</x:v>
      </x:c>
      <x:c r="AD173" s="9" t="n">
        <x:f>J173*G173</x:f>
        <x:v>62.64</x:v>
      </x:c>
      <x:c r="AE173" s="9" t="n">
        <x:f>K173*G173</x:f>
        <x:v>0</x:v>
      </x:c>
      <x:c r="AF173" s="9" t="n">
        <x:f>R173*G173</x:f>
        <x:v>138.78535254209447</x:v>
      </x:c>
    </x:row>
    <x:row r="174" ht="21" customHeight="1">
      <x:c r="A174" s="1" t="str">
        <x:f>'Inventory inputs'!A174</x:f>
        <x:v>PLAS</x:v>
      </x:c>
      <x:c r="B174" s="1" t="str">
        <x:f>'Inventory inputs'!B174</x:f>
        <x:v>10</x:v>
      </x:c>
      <x:c r="C174" s="1" t="str">
        <x:f>'Inventory inputs'!C174</x:f>
        <x:v>01215RWBNAV</x:v>
      </x:c>
      <x:c r="D174" s="7" t="n">
        <x:f>'Inventory inputs'!E174</x:f>
        <x:v>46303</x:v>
      </x:c>
      <x:c r="E174" s="1" t="n">
        <x:f>'Inventory inputs'!F174</x:f>
        <x:v>8800</x:v>
      </x:c>
      <x:c r="F174" s="1" t="n">
        <x:f>'Inventory inputs'!G174</x:f>
        <x:v>1100</x:v>
      </x:c>
      <x:c r="G174" s="1" t="n">
        <x:f>'Inventory inputs'!H174/'Inventory inputs'!J174</x:f>
        <x:v>0.025</x:v>
      </x:c>
      <x:c r="H174" s="1" t="n">
        <x:f>IF('Inventory inputs'!I174&gt;0,'Inventory inputs'!I174*'Inventory inputs'!K174/'Inventory inputs'!J174,"n.a.")</x:f>
        <x:v>0.029253</x:v>
      </x:c>
      <x:c r="I174" s="1" t="n">
        <x:f>'Inventory inputs'!L174</x:f>
        <x:v>2800</x:v>
      </x:c>
      <x:c r="J174" s="1" t="n">
        <x:f>'Inventory inputs'!M174</x:f>
        <x:v>6000</x:v>
      </x:c>
      <x:c r="K174" s="1" t="n">
        <x:f>'Inventory inputs'!N174</x:f>
        <x:v>0</x:v>
      </x:c>
      <x:c r="L174" s="1" t="n">
        <x:f>'Inventory inputs'!O174</x:f>
        <x:v>1</x:v>
      </x:c>
      <x:c r="M174" s="9" t="n">
        <x:f>E174*G174</x:f>
        <x:v>220</x:v>
      </x:c>
      <x:c r="N174" s="9" t="n">
        <x:f>'Inventory inputs'!Q174</x:f>
        <x:v>220</x:v>
      </x:c>
      <x:c r="O174" s="9" t="n">
        <x:f>N174-M174</x:f>
        <x:v>0</x:v>
      </x:c>
      <x:c r="P174" s="1" t="n">
        <x:f>SUMIFS('Incoming POs'!$P$2:$P$305,'Incoming POs'!$A$2:$A$305,A174,'Incoming POs'!$B$2:$B$305,B174,'Incoming POs'!$C$2:$C$305,C174,'Incoming POs'!$G$2:$G$305,"&gt;="&amp;D174,'Incoming POs'!$G$2:$G$305,"&lt;"&amp;Dashboard!$I$5)</x:f>
        <x:v>0</x:v>
      </x:c>
      <x:c r="Q174" s="1" t="n">
        <x:f>F174*Dashboard!$L$5*MAX(0,Dashboard!$I$5-D174)/30.4375</x:f>
        <x:v>1463.6550308008214</x:v>
      </x:c>
      <x:c r="R174" s="1" t="n">
        <x:f>MAX(0,E174+P174-Q174)</x:f>
        <x:v>7336.344969199179</x:v>
      </x:c>
      <x:c r="S174" s="1" t="n">
        <x:f>MAX(0,Q174-E174-P174)</x:f>
        <x:v>0</x:v>
      </x:c>
      <x:c r="T174" s="1" t="n">
        <x:f>IF(L174=1,MAX(0,I174+AB174-MIN(Q174,E174+P174)),"n.a.")</x:f>
        <x:v>1336.3449691991786</x:v>
      </x:c>
      <x:c r="U174" s="9" t="n">
        <x:f>IF(ISNUMBER(T174),T174*G174,"n.a.")</x:f>
        <x:v>33.408624229979466</x:v>
      </x:c>
      <x:c r="V174" s="25" t="n">
        <x:f>IF(Dashboard!$I$6="Flat %",1,IF(ISNUMBER(H174),1,0))</x:f>
        <x:v>1</x:v>
      </x:c>
      <x:c r="W174" s="9" t="n">
        <x:f>IF(Dashboard!$I$6="Flat %",G174*(1+Dashboard!$L$6),H174)</x:f>
        <x:v>0.029253</x:v>
      </x:c>
      <x:c r="X174" s="9" t="n">
        <x:f>IF(V174=1,R174*(W174-G174),"n.a.")</x:f>
        <x:v>31.201475154004108</x:v>
      </x:c>
      <x:c r="Y174" s="9" t="n">
        <x:f>IF(V174=1,R174*W174,"n.a.")</x:f>
        <x:v>214.6100993839836</x:v>
      </x:c>
      <x:c r="Z174" s="1" t="n">
        <x:f>IF(ISNUMBER(T174),R174-T174,"n.a.")</x:f>
        <x:v>6000</x:v>
      </x:c>
      <x:c r="AA174" s="1" t="str">
        <x:f>'Inventory inputs'!R174</x:f>
        <x:v>Classified</x:v>
      </x:c>
      <x:c r="AB174" s="1" t="n">
        <x:f>IF(L174=1,SUMIFS('Incoming POs'!$P$2:$P$305,'Incoming POs'!$A$2:$A$305,A174,'Incoming POs'!$B$2:$B$305,B174,'Incoming POs'!$C$2:$C$305,C174,'Incoming POs'!$G$2:$G$305,"&gt;="&amp;D174,'Incoming POs'!$G$2:$G$305,"&lt;"&amp;Dashboard!$I$5,'Incoming POs'!$Q$2:$Q$305,"&lt;="&amp;('Inventory inputs'!P174/'Inventory inputs'!J174*1.01)),"n.a.")</x:f>
        <x:v>0</x:v>
      </x:c>
      <x:c r="AC174" s="9" t="n">
        <x:f>I174*G174</x:f>
        <x:v>70</x:v>
      </x:c>
      <x:c r="AD174" s="9" t="n">
        <x:f>J174*G174</x:f>
        <x:v>150</x:v>
      </x:c>
      <x:c r="AE174" s="9" t="n">
        <x:f>K174*G174</x:f>
        <x:v>0</x:v>
      </x:c>
      <x:c r="AF174" s="9" t="n">
        <x:f>R174*G174</x:f>
        <x:v>183.4086242299795</x:v>
      </x:c>
    </x:row>
    <x:row r="175" ht="21" customHeight="1">
      <x:c r="A175" s="1" t="str">
        <x:f>'Inventory inputs'!A175</x:f>
        <x:v>PLAS</x:v>
      </x:c>
      <x:c r="B175" s="1" t="str">
        <x:f>'Inventory inputs'!B175</x:f>
        <x:v>10</x:v>
      </x:c>
      <x:c r="C175" s="1" t="str">
        <x:f>'Inventory inputs'!C175</x:f>
        <x:v>11821RWBWHT</x:v>
      </x:c>
      <x:c r="D175" s="7" t="n">
        <x:f>'Inventory inputs'!E175</x:f>
        <x:v>46303</x:v>
      </x:c>
      <x:c r="E175" s="1" t="n">
        <x:f>'Inventory inputs'!F175</x:f>
        <x:v>20473</x:v>
      </x:c>
      <x:c r="F175" s="1" t="n">
        <x:f>'Inventory inputs'!G175</x:f>
        <x:v>1099.17</x:v>
      </x:c>
      <x:c r="G175" s="1" t="n">
        <x:f>'Inventory inputs'!H175/'Inventory inputs'!J175</x:f>
        <x:v>0.125</x:v>
      </x:c>
      <x:c r="H175" s="1" t="n">
        <x:f>IF('Inventory inputs'!I175&gt;0,'Inventory inputs'!I175*'Inventory inputs'!K175/'Inventory inputs'!J175,"n.a.")</x:f>
        <x:v>0.14626499999999998</x:v>
      </x:c>
      <x:c r="I175" s="1" t="n">
        <x:f>'Inventory inputs'!L175</x:f>
        <x:v>20473</x:v>
      </x:c>
      <x:c r="J175" s="1" t="n">
        <x:f>'Inventory inputs'!M175</x:f>
        <x:v>0</x:v>
      </x:c>
      <x:c r="K175" s="1" t="n">
        <x:f>'Inventory inputs'!N175</x:f>
        <x:v>0</x:v>
      </x:c>
      <x:c r="L175" s="1" t="n">
        <x:f>'Inventory inputs'!O175</x:f>
        <x:v>1</x:v>
      </x:c>
      <x:c r="M175" s="9" t="n">
        <x:f>E175*G175</x:f>
        <x:v>2559.125</x:v>
      </x:c>
      <x:c r="N175" s="9" t="n">
        <x:f>'Inventory inputs'!Q175</x:f>
        <x:v>2559.125</x:v>
      </x:c>
      <x:c r="O175" s="9" t="n">
        <x:f>N175-M175</x:f>
        <x:v>0</x:v>
      </x:c>
      <x:c r="P175" s="1" t="n">
        <x:f>SUMIFS('Incoming POs'!$P$2:$P$305,'Incoming POs'!$A$2:$A$305,A175,'Incoming POs'!$B$2:$B$305,B175,'Incoming POs'!$C$2:$C$305,C175,'Incoming POs'!$G$2:$G$305,"&gt;="&amp;D175,'Incoming POs'!$G$2:$G$305,"&lt;"&amp;Dashboard!$I$5)</x:f>
        <x:v>0</x:v>
      </x:c>
      <x:c r="Q175" s="1" t="n">
        <x:f>F175*Dashboard!$L$5*MAX(0,Dashboard!$I$5-D175)/30.4375</x:f>
        <x:v>1462.5506365503081</x:v>
      </x:c>
      <x:c r="R175" s="1" t="n">
        <x:f>MAX(0,E175+P175-Q175)</x:f>
        <x:v>19010.44936344969</x:v>
      </x:c>
      <x:c r="S175" s="1" t="n">
        <x:f>MAX(0,Q175-E175-P175)</x:f>
        <x:v>0</x:v>
      </x:c>
      <x:c r="T175" s="1" t="n">
        <x:f>IF(L175=1,MAX(0,I175+AB175-MIN(Q175,E175+P175)),"n.a.")</x:f>
        <x:v>19010.44936344969</x:v>
      </x:c>
      <x:c r="U175" s="9" t="n">
        <x:f>IF(ISNUMBER(T175),T175*G175,"n.a.")</x:f>
        <x:v>2376.3061704312113</x:v>
      </x:c>
      <x:c r="V175" s="25" t="n">
        <x:f>IF(Dashboard!$I$6="Flat %",1,IF(ISNUMBER(H175),1,0))</x:f>
        <x:v>1</x:v>
      </x:c>
      <x:c r="W175" s="9" t="n">
        <x:f>IF(Dashboard!$I$6="Flat %",G175*(1+Dashboard!$L$6),H175)</x:f>
        <x:v>0.14626499999999998</x:v>
      </x:c>
      <x:c r="X175" s="9" t="n">
        <x:f>IF(V175=1,R175*(W175-G175),"n.a.")</x:f>
        <x:v>404.25720571375723</x:v>
      </x:c>
      <x:c r="Y175" s="9" t="n">
        <x:f>IF(V175=1,R175*W175,"n.a.")</x:f>
        <x:v>2780.5633761449685</x:v>
      </x:c>
      <x:c r="Z175" s="1" t="n">
        <x:f>IF(ISNUMBER(T175),R175-T175,"n.a.")</x:f>
        <x:v>0</x:v>
      </x:c>
      <x:c r="AA175" s="1" t="str">
        <x:f>'Inventory inputs'!R175</x:f>
        <x:v>Classified</x:v>
      </x:c>
      <x:c r="AB175" s="1" t="n">
        <x:f>IF(L175=1,SUMIFS('Incoming POs'!$P$2:$P$305,'Incoming POs'!$A$2:$A$305,A175,'Incoming POs'!$B$2:$B$305,B175,'Incoming POs'!$C$2:$C$305,C175,'Incoming POs'!$G$2:$G$305,"&gt;="&amp;D175,'Incoming POs'!$G$2:$G$305,"&lt;"&amp;Dashboard!$I$5,'Incoming POs'!$Q$2:$Q$305,"&lt;="&amp;('Inventory inputs'!P175/'Inventory inputs'!J175*1.01)),"n.a.")</x:f>
        <x:v>0</x:v>
      </x:c>
      <x:c r="AC175" s="9" t="n">
        <x:f>I175*G175</x:f>
        <x:v>2559.125</x:v>
      </x:c>
      <x:c r="AD175" s="9" t="n">
        <x:f>J175*G175</x:f>
        <x:v>0</x:v>
      </x:c>
      <x:c r="AE175" s="9" t="n">
        <x:f>K175*G175</x:f>
        <x:v>0</x:v>
      </x:c>
      <x:c r="AF175" s="9" t="n">
        <x:f>R175*G175</x:f>
        <x:v>2376.3061704312113</x:v>
      </x:c>
    </x:row>
    <x:row r="176" ht="21" customHeight="1">
      <x:c r="A176" s="1" t="str">
        <x:f>'Inventory inputs'!A176</x:f>
        <x:v>PLAS</x:v>
      </x:c>
      <x:c r="B176" s="1" t="str">
        <x:f>'Inventory inputs'!B176</x:f>
        <x:v>60</x:v>
      </x:c>
      <x:c r="C176" s="1" t="str">
        <x:f>'Inventory inputs'!C176</x:f>
        <x:v>01219RWBWHT</x:v>
      </x:c>
      <x:c r="D176" s="7" t="n">
        <x:f>'Inventory inputs'!E176</x:f>
        <x:v>46303</x:v>
      </x:c>
      <x:c r="E176" s="1" t="n">
        <x:f>'Inventory inputs'!F176</x:f>
        <x:v>22800</x:v>
      </x:c>
      <x:c r="F176" s="1" t="n">
        <x:f>'Inventory inputs'!G176</x:f>
        <x:v>1033.33</x:v>
      </x:c>
      <x:c r="G176" s="1" t="n">
        <x:f>'Inventory inputs'!H176/'Inventory inputs'!J176</x:f>
        <x:v>0.036000000000000004</x:v>
      </x:c>
      <x:c r="H176" s="1" t="n">
        <x:f>IF('Inventory inputs'!I176&gt;0,'Inventory inputs'!I176*'Inventory inputs'!K176/'Inventory inputs'!J176,"n.a.")</x:f>
        <x:v>0.042189</x:v>
      </x:c>
      <x:c r="I176" s="1" t="n">
        <x:f>'Inventory inputs'!L176</x:f>
        <x:v>0</x:v>
      </x:c>
      <x:c r="J176" s="1" t="n">
        <x:f>'Inventory inputs'!M176</x:f>
        <x:v>0</x:v>
      </x:c>
      <x:c r="K176" s="1" t="n">
        <x:f>'Inventory inputs'!N176</x:f>
        <x:v>22800</x:v>
      </x:c>
      <x:c r="L176" s="1" t="n">
        <x:f>'Inventory inputs'!O176</x:f>
        <x:v>0</x:v>
      </x:c>
      <x:c r="M176" s="9" t="n">
        <x:f>E176*G176</x:f>
        <x:v>820.8000000000001</x:v>
      </x:c>
      <x:c r="N176" s="9" t="n">
        <x:f>'Inventory inputs'!Q176</x:f>
        <x:v>820.8000000000001</x:v>
      </x:c>
      <x:c r="O176" s="9" t="n">
        <x:f>N176-M176</x:f>
        <x:v>0</x:v>
      </x:c>
      <x:c r="P176" s="1" t="n">
        <x:f>SUMIFS('Incoming POs'!$P$2:$P$305,'Incoming POs'!$A$2:$A$305,A176,'Incoming POs'!$B$2:$B$305,B176,'Incoming POs'!$C$2:$C$305,C176,'Incoming POs'!$G$2:$G$305,"&gt;="&amp;D176,'Incoming POs'!$G$2:$G$305,"&lt;"&amp;Dashboard!$I$5)</x:f>
        <x:v>0</x:v>
      </x:c>
      <x:c r="Q176" s="1" t="n">
        <x:f>F176*Dashboard!$L$5*MAX(0,Dashboard!$I$5-D176)/30.4375</x:f>
        <x:v>1374.944229979466</x:v>
      </x:c>
      <x:c r="R176" s="1" t="n">
        <x:f>MAX(0,E176+P176-Q176)</x:f>
        <x:v>21425.055770020535</x:v>
      </x:c>
      <x:c r="S176" s="1" t="n">
        <x:f>MAX(0,Q176-E176-P176)</x:f>
        <x:v>0</x:v>
      </x:c>
      <x:c r="T176" s="1" t="str">
        <x:f>IF(L176=1,MAX(0,I176+AB176-MIN(Q176,E176+P176)),"n.a.")</x:f>
        <x:v>n.a.</x:v>
      </x:c>
      <x:c r="U176" s="9" t="str">
        <x:f>IF(ISNUMBER(T176),T176*G176,"n.a.")</x:f>
        <x:v>n.a.</x:v>
      </x:c>
      <x:c r="V176" s="25" t="n">
        <x:f>IF(Dashboard!$I$6="Flat %",1,IF(ISNUMBER(H176),1,0))</x:f>
        <x:v>1</x:v>
      </x:c>
      <x:c r="W176" s="9" t="n">
        <x:f>IF(Dashboard!$I$6="Flat %",G176*(1+Dashboard!$L$6),H176)</x:f>
        <x:v>0.042189</x:v>
      </x:c>
      <x:c r="X176" s="9" t="n">
        <x:f>IF(V176=1,R176*(W176-G176),"n.a.")</x:f>
        <x:v>132.59967016065696</x:v>
      </x:c>
      <x:c r="Y176" s="9" t="n">
        <x:f>IF(V176=1,R176*W176,"n.a.")</x:f>
        <x:v>903.9016778813963</x:v>
      </x:c>
      <x:c r="Z176" s="1" t="str">
        <x:f>IF(ISNUMBER(T176),R176-T176,"n.a.")</x:f>
        <x:v>n.a.</x:v>
      </x:c>
      <x:c r="AA176" s="1" t="str">
        <x:f>'Inventory inputs'!R176</x:f>
        <x:v>Review receipt reconciliation or original PO baseline</x:v>
      </x:c>
      <x:c r="AB176" s="1" t="str">
        <x:f>IF(L176=1,SUMIFS('Incoming POs'!$P$2:$P$305,'Incoming POs'!$A$2:$A$305,A176,'Incoming POs'!$B$2:$B$305,B176,'Incoming POs'!$C$2:$C$305,C176,'Incoming POs'!$G$2:$G$305,"&gt;="&amp;D176,'Incoming POs'!$G$2:$G$305,"&lt;"&amp;Dashboard!$I$5,'Incoming POs'!$Q$2:$Q$305,"&lt;="&amp;('Inventory inputs'!P176/'Inventory inputs'!J176*1.01)),"n.a.")</x:f>
        <x:v>n.a.</x:v>
      </x:c>
      <x:c r="AC176" s="9" t="n">
        <x:f>I176*G176</x:f>
        <x:v>0</x:v>
      </x:c>
      <x:c r="AD176" s="9" t="n">
        <x:f>J176*G176</x:f>
        <x:v>0</x:v>
      </x:c>
      <x:c r="AE176" s="9" t="n">
        <x:f>K176*G176</x:f>
        <x:v>820.8000000000001</x:v>
      </x:c>
      <x:c r="AF176" s="9" t="n">
        <x:f>R176*G176</x:f>
        <x:v>771.3020077207393</x:v>
      </x:c>
    </x:row>
    <x:row r="177" ht="21" customHeight="1">
      <x:c r="A177" s="1" t="str">
        <x:f>'Inventory inputs'!A177</x:f>
        <x:v>PLAS</x:v>
      </x:c>
      <x:c r="B177" s="1" t="str">
        <x:f>'Inventory inputs'!B177</x:f>
        <x:v>60</x:v>
      </x:c>
      <x:c r="C177" s="1" t="str">
        <x:f>'Inventory inputs'!C177</x:f>
        <x:v>00219RSLBLK</x:v>
      </x:c>
      <x:c r="D177" s="7" t="n">
        <x:f>'Inventory inputs'!E177</x:f>
        <x:v>46303</x:v>
      </x:c>
      <x:c r="E177" s="1" t="n">
        <x:f>'Inventory inputs'!F177</x:f>
        <x:v>160</x:v>
      </x:c>
      <x:c r="F177" s="1" t="n">
        <x:f>'Inventory inputs'!G177</x:f>
        <x:v>1000</x:v>
      </x:c>
      <x:c r="G177" s="1" t="n">
        <x:f>'Inventory inputs'!H177/'Inventory inputs'!J177</x:f>
        <x:v>0.1477</x:v>
      </x:c>
      <x:c r="H177" s="1" t="n">
        <x:f>IF('Inventory inputs'!I177&gt;0,'Inventory inputs'!I177*'Inventory inputs'!K177/'Inventory inputs'!J177,"n.a.")</x:f>
        <x:v>0.172872</x:v>
      </x:c>
      <x:c r="I177" s="1" t="n">
        <x:f>'Inventory inputs'!L177</x:f>
        <x:v>0</x:v>
      </x:c>
      <x:c r="J177" s="1" t="n">
        <x:f>'Inventory inputs'!M177</x:f>
        <x:v>0</x:v>
      </x:c>
      <x:c r="K177" s="1" t="n">
        <x:f>'Inventory inputs'!N177</x:f>
        <x:v>160</x:v>
      </x:c>
      <x:c r="L177" s="1" t="n">
        <x:f>'Inventory inputs'!O177</x:f>
        <x:v>0</x:v>
      </x:c>
      <x:c r="M177" s="9" t="n">
        <x:f>E177*G177</x:f>
        <x:v>23.631999999999998</x:v>
      </x:c>
      <x:c r="N177" s="9" t="n">
        <x:f>'Inventory inputs'!Q177</x:f>
        <x:v>23.631999999999998</x:v>
      </x:c>
      <x:c r="O177" s="9" t="n">
        <x:f>N177-M177</x:f>
        <x:v>0</x:v>
      </x:c>
      <x:c r="P177" s="1" t="n">
        <x:f>SUMIFS('Incoming POs'!$P$2:$P$305,'Incoming POs'!$A$2:$A$305,A177,'Incoming POs'!$B$2:$B$305,B177,'Incoming POs'!$C$2:$C$305,C177,'Incoming POs'!$G$2:$G$305,"&gt;="&amp;D177,'Incoming POs'!$G$2:$G$305,"&lt;"&amp;Dashboard!$I$5)</x:f>
        <x:v>0</x:v>
      </x:c>
      <x:c r="Q177" s="1" t="n">
        <x:f>F177*Dashboard!$L$5*MAX(0,Dashboard!$I$5-D177)/30.4375</x:f>
        <x:v>1330.5954825462013</x:v>
      </x:c>
      <x:c r="R177" s="1" t="n">
        <x:f>MAX(0,E177+P177-Q177)</x:f>
        <x:v>0</x:v>
      </x:c>
      <x:c r="S177" s="1" t="n">
        <x:f>MAX(0,Q177-E177-P177)</x:f>
        <x:v>1170.5954825462013</x:v>
      </x:c>
      <x:c r="T177" s="1" t="str">
        <x:f>IF(L177=1,MAX(0,I177+AB177-MIN(Q177,E177+P177)),"n.a.")</x:f>
        <x:v>n.a.</x:v>
      </x:c>
      <x:c r="U177" s="9" t="str">
        <x:f>IF(ISNUMBER(T177),T177*G177,"n.a.")</x:f>
        <x:v>n.a.</x:v>
      </x:c>
      <x:c r="V177" s="25" t="n">
        <x:f>IF(Dashboard!$I$6="Flat %",1,IF(ISNUMBER(H177),1,0))</x:f>
        <x:v>1</x:v>
      </x:c>
      <x:c r="W177" s="9" t="n">
        <x:f>IF(Dashboard!$I$6="Flat %",G177*(1+Dashboard!$L$6),H177)</x:f>
        <x:v>0.172872</x:v>
      </x:c>
      <x:c r="X177" s="9" t="n">
        <x:f>IF(V177=1,R177*(W177-G177),"n.a.")</x:f>
        <x:v>0</x:v>
      </x:c>
      <x:c r="Y177" s="9" t="n">
        <x:f>IF(V177=1,R177*W177,"n.a.")</x:f>
        <x:v>0</x:v>
      </x:c>
      <x:c r="Z177" s="1" t="str">
        <x:f>IF(ISNUMBER(T177),R177-T177,"n.a.")</x:f>
        <x:v>n.a.</x:v>
      </x:c>
      <x:c r="AA177" s="1" t="str">
        <x:f>'Inventory inputs'!R177</x:f>
        <x:v>Review receipt reconciliation or original PO baseline</x:v>
      </x:c>
      <x:c r="AB177" s="1" t="str">
        <x:f>IF(L177=1,SUMIFS('Incoming POs'!$P$2:$P$305,'Incoming POs'!$A$2:$A$305,A177,'Incoming POs'!$B$2:$B$305,B177,'Incoming POs'!$C$2:$C$305,C177,'Incoming POs'!$G$2:$G$305,"&gt;="&amp;D177,'Incoming POs'!$G$2:$G$305,"&lt;"&amp;Dashboard!$I$5,'Incoming POs'!$Q$2:$Q$305,"&lt;="&amp;('Inventory inputs'!P177/'Inventory inputs'!J177*1.01)),"n.a.")</x:f>
        <x:v>n.a.</x:v>
      </x:c>
      <x:c r="AC177" s="9" t="n">
        <x:f>I177*G177</x:f>
        <x:v>0</x:v>
      </x:c>
      <x:c r="AD177" s="9" t="n">
        <x:f>J177*G177</x:f>
        <x:v>0</x:v>
      </x:c>
      <x:c r="AE177" s="9" t="n">
        <x:f>K177*G177</x:f>
        <x:v>23.631999999999998</x:v>
      </x:c>
      <x:c r="AF177" s="9" t="n">
        <x:f>R177*G177</x:f>
        <x:v>0</x:v>
      </x:c>
    </x:row>
    <x:row r="178" ht="21" customHeight="1">
      <x:c r="A178" s="1" t="str">
        <x:f>'Inventory inputs'!A178</x:f>
        <x:v>PLAS</x:v>
      </x:c>
      <x:c r="B178" s="1" t="str">
        <x:f>'Inventory inputs'!B178</x:f>
        <x:v>10</x:v>
      </x:c>
      <x:c r="C178" s="1" t="str">
        <x:f>'Inventory inputs'!C178</x:f>
        <x:v>71619RWBMAR</x:v>
      </x:c>
      <x:c r="D178" s="7" t="n">
        <x:f>'Inventory inputs'!E178</x:f>
        <x:v>46303</x:v>
      </x:c>
      <x:c r="E178" s="1" t="n">
        <x:f>'Inventory inputs'!F178</x:f>
        <x:v>1100</x:v>
      </x:c>
      <x:c r="F178" s="1" t="n">
        <x:f>'Inventory inputs'!G178</x:f>
        <x:v>983.33</x:v>
      </x:c>
      <x:c r="G178" s="1" t="n">
        <x:f>'Inventory inputs'!H178/'Inventory inputs'!J178</x:f>
        <x:v>0.0315</x:v>
      </x:c>
      <x:c r="H178" s="1" t="n">
        <x:f>IF('Inventory inputs'!I178&gt;0,'Inventory inputs'!I178*'Inventory inputs'!K178/'Inventory inputs'!J178,"n.a.")</x:f>
        <x:v>0.03675</x:v>
      </x:c>
      <x:c r="I178" s="1" t="n">
        <x:f>'Inventory inputs'!L178</x:f>
        <x:v>100</x:v>
      </x:c>
      <x:c r="J178" s="1" t="n">
        <x:f>'Inventory inputs'!M178</x:f>
        <x:v>1000</x:v>
      </x:c>
      <x:c r="K178" s="1" t="n">
        <x:f>'Inventory inputs'!N178</x:f>
        <x:v>0</x:v>
      </x:c>
      <x:c r="L178" s="1" t="n">
        <x:f>'Inventory inputs'!O178</x:f>
        <x:v>1</x:v>
      </x:c>
      <x:c r="M178" s="9" t="n">
        <x:f>E178*G178</x:f>
        <x:v>34.65</x:v>
      </x:c>
      <x:c r="N178" s="9" t="n">
        <x:f>'Inventory inputs'!Q178</x:f>
        <x:v>34.65</x:v>
      </x:c>
      <x:c r="O178" s="9" t="n">
        <x:f>N178-M178</x:f>
        <x:v>0</x:v>
      </x:c>
      <x:c r="P178" s="1" t="n">
        <x:f>SUMIFS('Incoming POs'!$P$2:$P$305,'Incoming POs'!$A$2:$A$305,A178,'Incoming POs'!$B$2:$B$305,B178,'Incoming POs'!$C$2:$C$305,C178,'Incoming POs'!$G$2:$G$305,"&gt;="&amp;D178,'Incoming POs'!$G$2:$G$305,"&lt;"&amp;Dashboard!$I$5)</x:f>
        <x:v>10000</x:v>
      </x:c>
      <x:c r="Q178" s="1" t="n">
        <x:f>F178*Dashboard!$L$5*MAX(0,Dashboard!$I$5-D178)/30.4375</x:f>
        <x:v>1308.4144558521562</x:v>
      </x:c>
      <x:c r="R178" s="1" t="n">
        <x:f>MAX(0,E178+P178-Q178)</x:f>
        <x:v>9791.585544147843</x:v>
      </x:c>
      <x:c r="S178" s="1" t="n">
        <x:f>MAX(0,Q178-E178-P178)</x:f>
        <x:v>0</x:v>
      </x:c>
      <x:c r="T178" s="1" t="n">
        <x:f>IF(L178=1,MAX(0,I178+AB178-MIN(Q178,E178+P178)),"n.a.")</x:f>
        <x:v>0</x:v>
      </x:c>
      <x:c r="U178" s="9" t="n">
        <x:f>IF(ISNUMBER(T178),T178*G178,"n.a.")</x:f>
        <x:v>0</x:v>
      </x:c>
      <x:c r="V178" s="25" t="n">
        <x:f>IF(Dashboard!$I$6="Flat %",1,IF(ISNUMBER(H178),1,0))</x:f>
        <x:v>1</x:v>
      </x:c>
      <x:c r="W178" s="9" t="n">
        <x:f>IF(Dashboard!$I$6="Flat %",G178*(1+Dashboard!$L$6),H178)</x:f>
        <x:v>0.03675</x:v>
      </x:c>
      <x:c r="X178" s="9" t="n">
        <x:f>IF(V178=1,R178*(W178-G178),"n.a.")</x:f>
        <x:v>51.40582410677616</x:v>
      </x:c>
      <x:c r="Y178" s="9" t="n">
        <x:f>IF(V178=1,R178*W178,"n.a.")</x:f>
        <x:v>359.84076874743323</x:v>
      </x:c>
      <x:c r="Z178" s="1" t="n">
        <x:f>IF(ISNUMBER(T178),R178-T178,"n.a.")</x:f>
        <x:v>9791.585544147843</x:v>
      </x:c>
      <x:c r="AA178" s="1" t="str">
        <x:f>'Inventory inputs'!R178</x:f>
        <x:v>Classified</x:v>
      </x:c>
      <x:c r="AB178" s="1" t="n">
        <x:f>IF(L178=1,SUMIFS('Incoming POs'!$P$2:$P$305,'Incoming POs'!$A$2:$A$305,A178,'Incoming POs'!$B$2:$B$305,B178,'Incoming POs'!$C$2:$C$305,C178,'Incoming POs'!$G$2:$G$305,"&gt;="&amp;D178,'Incoming POs'!$G$2:$G$305,"&lt;"&amp;Dashboard!$I$5,'Incoming POs'!$Q$2:$Q$305,"&lt;="&amp;('Inventory inputs'!P178/'Inventory inputs'!J178*1.01)),"n.a.")</x:f>
        <x:v>0</x:v>
      </x:c>
      <x:c r="AC178" s="9" t="n">
        <x:f>I178*G178</x:f>
        <x:v>3.15</x:v>
      </x:c>
      <x:c r="AD178" s="9" t="n">
        <x:f>J178*G178</x:f>
        <x:v>31.5</x:v>
      </x:c>
      <x:c r="AE178" s="9" t="n">
        <x:f>K178*G178</x:f>
        <x:v>0</x:v>
      </x:c>
      <x:c r="AF178" s="9" t="n">
        <x:f>R178*G178</x:f>
        <x:v>308.4349446406571</x:v>
      </x:c>
    </x:row>
    <x:row r="179" ht="21" customHeight="1">
      <x:c r="A179" s="1" t="str">
        <x:f>'Inventory inputs'!A179</x:f>
        <x:v>PLAS</x:v>
      </x:c>
      <x:c r="B179" s="1" t="str">
        <x:f>'Inventory inputs'!B179</x:f>
        <x:v>10</x:v>
      </x:c>
      <x:c r="C179" s="1" t="str">
        <x:f>'Inventory inputs'!C179</x:f>
        <x:v>11415ROVBLK</x:v>
      </x:c>
      <x:c r="D179" s="7" t="n">
        <x:f>'Inventory inputs'!E179</x:f>
        <x:v>46303</x:v>
      </x:c>
      <x:c r="E179" s="1" t="n">
        <x:f>'Inventory inputs'!F179</x:f>
        <x:v>12697</x:v>
      </x:c>
      <x:c r="F179" s="1" t="n">
        <x:f>'Inventory inputs'!G179</x:f>
        <x:v>941.67</x:v>
      </x:c>
      <x:c r="G179" s="1" t="n">
        <x:f>'Inventory inputs'!H179/'Inventory inputs'!J179</x:f>
        <x:v>0.0883</x:v>
      </x:c>
      <x:c r="H179" s="1" t="n">
        <x:f>IF('Inventory inputs'!I179&gt;0,'Inventory inputs'!I179*'Inventory inputs'!K179/'Inventory inputs'!J179,"n.a.")</x:f>
        <x:v>0.10334099999999999</x:v>
      </x:c>
      <x:c r="I179" s="1" t="n">
        <x:f>'Inventory inputs'!L179</x:f>
        <x:v>9697</x:v>
      </x:c>
      <x:c r="J179" s="1" t="n">
        <x:f>'Inventory inputs'!M179</x:f>
        <x:v>3000</x:v>
      </x:c>
      <x:c r="K179" s="1" t="n">
        <x:f>'Inventory inputs'!N179</x:f>
        <x:v>0</x:v>
      </x:c>
      <x:c r="L179" s="1" t="n">
        <x:f>'Inventory inputs'!O179</x:f>
        <x:v>1</x:v>
      </x:c>
      <x:c r="M179" s="9" t="n">
        <x:f>E179*G179</x:f>
        <x:v>1121.1451</x:v>
      </x:c>
      <x:c r="N179" s="9" t="n">
        <x:f>'Inventory inputs'!Q179</x:f>
        <x:v>1121.1451</x:v>
      </x:c>
      <x:c r="O179" s="9" t="n">
        <x:f>N179-M179</x:f>
        <x:v>0</x:v>
      </x:c>
      <x:c r="P179" s="1" t="n">
        <x:f>SUMIFS('Incoming POs'!$P$2:$P$305,'Incoming POs'!$A$2:$A$305,A179,'Incoming POs'!$B$2:$B$305,B179,'Incoming POs'!$C$2:$C$305,C179,'Incoming POs'!$G$2:$G$305,"&gt;="&amp;D179,'Incoming POs'!$G$2:$G$305,"&lt;"&amp;Dashboard!$I$5)</x:f>
        <x:v>0</x:v>
      </x:c>
      <x:c r="Q179" s="1" t="n">
        <x:f>F179*Dashboard!$L$5*MAX(0,Dashboard!$I$5-D179)/30.4375</x:f>
        <x:v>1252.981848049281</x:v>
      </x:c>
      <x:c r="R179" s="1" t="n">
        <x:f>MAX(0,E179+P179-Q179)</x:f>
        <x:v>11444.018151950719</x:v>
      </x:c>
      <x:c r="S179" s="1" t="n">
        <x:f>MAX(0,Q179-E179-P179)</x:f>
        <x:v>0</x:v>
      </x:c>
      <x:c r="T179" s="1" t="n">
        <x:f>IF(L179=1,MAX(0,I179+AB179-MIN(Q179,E179+P179)),"n.a.")</x:f>
        <x:v>8444.018151950719</x:v>
      </x:c>
      <x:c r="U179" s="9" t="n">
        <x:f>IF(ISNUMBER(T179),T179*G179,"n.a.")</x:f>
        <x:v>745.6068028172485</x:v>
      </x:c>
      <x:c r="V179" s="25" t="n">
        <x:f>IF(Dashboard!$I$6="Flat %",1,IF(ISNUMBER(H179),1,0))</x:f>
        <x:v>1</x:v>
      </x:c>
      <x:c r="W179" s="9" t="n">
        <x:f>IF(Dashboard!$I$6="Flat %",G179*(1+Dashboard!$L$6),H179)</x:f>
        <x:v>0.10334099999999999</x:v>
      </x:c>
      <x:c r="X179" s="9" t="n">
        <x:f>IF(V179=1,R179*(W179-G179),"n.a.")</x:f>
        <x:v>172.12947702349058</x:v>
      </x:c>
      <x:c r="Y179" s="9" t="n">
        <x:f>IF(V179=1,R179*W179,"n.a.")</x:f>
        <x:v>1182.636279840739</x:v>
      </x:c>
      <x:c r="Z179" s="1" t="n">
        <x:f>IF(ISNUMBER(T179),R179-T179,"n.a.")</x:f>
        <x:v>3000</x:v>
      </x:c>
      <x:c r="AA179" s="1" t="str">
        <x:f>'Inventory inputs'!R179</x:f>
        <x:v>Classified</x:v>
      </x:c>
      <x:c r="AB179" s="1" t="n">
        <x:f>IF(L179=1,SUMIFS('Incoming POs'!$P$2:$P$305,'Incoming POs'!$A$2:$A$305,A179,'Incoming POs'!$B$2:$B$305,B179,'Incoming POs'!$C$2:$C$305,C179,'Incoming POs'!$G$2:$G$305,"&gt;="&amp;D179,'Incoming POs'!$G$2:$G$305,"&lt;"&amp;Dashboard!$I$5,'Incoming POs'!$Q$2:$Q$305,"&lt;="&amp;('Inventory inputs'!P179/'Inventory inputs'!J179*1.01)),"n.a.")</x:f>
        <x:v>0</x:v>
      </x:c>
      <x:c r="AC179" s="9" t="n">
        <x:f>I179*G179</x:f>
        <x:v>856.2451</x:v>
      </x:c>
      <x:c r="AD179" s="9" t="n">
        <x:f>J179*G179</x:f>
        <x:v>264.90000000000003</x:v>
      </x:c>
      <x:c r="AE179" s="9" t="n">
        <x:f>K179*G179</x:f>
        <x:v>0</x:v>
      </x:c>
      <x:c r="AF179" s="9" t="n">
        <x:f>R179*G179</x:f>
        <x:v>1010.5068028172485</x:v>
      </x:c>
    </x:row>
    <x:row r="180" ht="21" customHeight="1">
      <x:c r="A180" s="1" t="str">
        <x:f>'Inventory inputs'!A180</x:f>
        <x:v>PLAS</x:v>
      </x:c>
      <x:c r="B180" s="1" t="str">
        <x:f>'Inventory inputs'!B180</x:f>
        <x:v>10</x:v>
      </x:c>
      <x:c r="C180" s="1" t="str">
        <x:f>'Inventory inputs'!C180</x:f>
        <x:v>03419RWBBLU</x:v>
      </x:c>
      <x:c r="D180" s="7" t="n">
        <x:f>'Inventory inputs'!E180</x:f>
        <x:v>46303</x:v>
      </x:c>
      <x:c r="E180" s="1" t="n">
        <x:f>'Inventory inputs'!F180</x:f>
        <x:v>2000</x:v>
      </x:c>
      <x:c r="F180" s="1" t="n">
        <x:f>'Inventory inputs'!G180</x:f>
        <x:v>933.34</x:v>
      </x:c>
      <x:c r="G180" s="1" t="n">
        <x:f>'Inventory inputs'!H180/'Inventory inputs'!J180</x:f>
        <x:v>0.0625</x:v>
      </x:c>
      <x:c r="H180" s="1" t="n">
        <x:f>IF('Inventory inputs'!I180&gt;0,'Inventory inputs'!I180*'Inventory inputs'!K180/'Inventory inputs'!J180,"n.a.")</x:f>
        <x:v>0.073059</x:v>
      </x:c>
      <x:c r="I180" s="1" t="n">
        <x:f>'Inventory inputs'!L180</x:f>
        <x:v>0</x:v>
      </x:c>
      <x:c r="J180" s="1" t="n">
        <x:f>'Inventory inputs'!M180</x:f>
        <x:v>2000</x:v>
      </x:c>
      <x:c r="K180" s="1" t="n">
        <x:f>'Inventory inputs'!N180</x:f>
        <x:v>0</x:v>
      </x:c>
      <x:c r="L180" s="1" t="n">
        <x:f>'Inventory inputs'!O180</x:f>
        <x:v>1</x:v>
      </x:c>
      <x:c r="M180" s="9" t="n">
        <x:f>E180*G180</x:f>
        <x:v>125</x:v>
      </x:c>
      <x:c r="N180" s="9" t="n">
        <x:f>'Inventory inputs'!Q180</x:f>
        <x:v>125</x:v>
      </x:c>
      <x:c r="O180" s="9" t="n">
        <x:f>N180-M180</x:f>
        <x:v>0</x:v>
      </x:c>
      <x:c r="P180" s="1" t="n">
        <x:f>SUMIFS('Incoming POs'!$P$2:$P$305,'Incoming POs'!$A$2:$A$305,A180,'Incoming POs'!$B$2:$B$305,B180,'Incoming POs'!$C$2:$C$305,C180,'Incoming POs'!$G$2:$G$305,"&gt;="&amp;D180,'Incoming POs'!$G$2:$G$305,"&lt;"&amp;Dashboard!$I$5)</x:f>
        <x:v>8000</x:v>
      </x:c>
      <x:c r="Q180" s="1" t="n">
        <x:f>F180*Dashboard!$L$5*MAX(0,Dashboard!$I$5-D180)/30.4375</x:f>
        <x:v>1241.8979876796714</x:v>
      </x:c>
      <x:c r="R180" s="1" t="n">
        <x:f>MAX(0,E180+P180-Q180)</x:f>
        <x:v>8758.102012320329</x:v>
      </x:c>
      <x:c r="S180" s="1" t="n">
        <x:f>MAX(0,Q180-E180-P180)</x:f>
        <x:v>0</x:v>
      </x:c>
      <x:c r="T180" s="1" t="n">
        <x:f>IF(L180=1,MAX(0,I180+AB180-MIN(Q180,E180+P180)),"n.a.")</x:f>
        <x:v>0</x:v>
      </x:c>
      <x:c r="U180" s="9" t="n">
        <x:f>IF(ISNUMBER(T180),T180*G180,"n.a.")</x:f>
        <x:v>0</x:v>
      </x:c>
      <x:c r="V180" s="25" t="n">
        <x:f>IF(Dashboard!$I$6="Flat %",1,IF(ISNUMBER(H180),1,0))</x:f>
        <x:v>1</x:v>
      </x:c>
      <x:c r="W180" s="9" t="n">
        <x:f>IF(Dashboard!$I$6="Flat %",G180*(1+Dashboard!$L$6),H180)</x:f>
        <x:v>0.073059</x:v>
      </x:c>
      <x:c r="X180" s="9" t="n">
        <x:f>IF(V180=1,R180*(W180-G180),"n.a.")</x:f>
        <x:v>92.47679914809034</x:v>
      </x:c>
      <x:c r="Y180" s="9" t="n">
        <x:f>IF(V180=1,R180*W180,"n.a.")</x:f>
        <x:v>639.8581749181109</x:v>
      </x:c>
      <x:c r="Z180" s="1" t="n">
        <x:f>IF(ISNUMBER(T180),R180-T180,"n.a.")</x:f>
        <x:v>8758.102012320329</x:v>
      </x:c>
      <x:c r="AA180" s="1" t="str">
        <x:f>'Inventory inputs'!R180</x:f>
        <x:v>Classified</x:v>
      </x:c>
      <x:c r="AB180" s="1" t="n">
        <x:f>IF(L180=1,SUMIFS('Incoming POs'!$P$2:$P$305,'Incoming POs'!$A$2:$A$305,A180,'Incoming POs'!$B$2:$B$305,B180,'Incoming POs'!$C$2:$C$305,C180,'Incoming POs'!$G$2:$G$305,"&gt;="&amp;D180,'Incoming POs'!$G$2:$G$305,"&lt;"&amp;Dashboard!$I$5,'Incoming POs'!$Q$2:$Q$305,"&lt;="&amp;('Inventory inputs'!P180/'Inventory inputs'!J180*1.01)),"n.a.")</x:f>
        <x:v>0</x:v>
      </x:c>
      <x:c r="AC180" s="9" t="n">
        <x:f>I180*G180</x:f>
        <x:v>0</x:v>
      </x:c>
      <x:c r="AD180" s="9" t="n">
        <x:f>J180*G180</x:f>
        <x:v>125</x:v>
      </x:c>
      <x:c r="AE180" s="9" t="n">
        <x:f>K180*G180</x:f>
        <x:v>0</x:v>
      </x:c>
      <x:c r="AF180" s="9" t="n">
        <x:f>R180*G180</x:f>
        <x:v>547.3813757700206</x:v>
      </x:c>
    </x:row>
    <x:row r="181" ht="21" customHeight="1">
      <x:c r="A181" s="1" t="str">
        <x:f>'Inventory inputs'!A181</x:f>
        <x:v>PLAS</x:v>
      </x:c>
      <x:c r="B181" s="1" t="str">
        <x:f>'Inventory inputs'!B181</x:f>
        <x:v>10</x:v>
      </x:c>
      <x:c r="C181" s="1" t="str">
        <x:f>'Inventory inputs'!C181</x:f>
        <x:v>01219RWBFG</x:v>
      </x:c>
      <x:c r="D181" s="7" t="n">
        <x:f>'Inventory inputs'!E181</x:f>
        <x:v>46303</x:v>
      </x:c>
      <x:c r="E181" s="1" t="n">
        <x:f>'Inventory inputs'!F181</x:f>
        <x:v>9800</x:v>
      </x:c>
      <x:c r="F181" s="1" t="n">
        <x:f>'Inventory inputs'!G181</x:f>
        <x:v>933.33</x:v>
      </x:c>
      <x:c r="G181" s="1" t="n">
        <x:f>'Inventory inputs'!H181/'Inventory inputs'!J181</x:f>
        <x:v>0.036000000000000004</x:v>
      </x:c>
      <x:c r="H181" s="1" t="n">
        <x:f>IF('Inventory inputs'!I181&gt;0,'Inventory inputs'!I181*'Inventory inputs'!K181/'Inventory inputs'!J181,"n.a.")</x:f>
        <x:v>0.042189</x:v>
      </x:c>
      <x:c r="I181" s="1" t="n">
        <x:f>'Inventory inputs'!L181</x:f>
        <x:v>5800</x:v>
      </x:c>
      <x:c r="J181" s="1" t="n">
        <x:f>'Inventory inputs'!M181</x:f>
        <x:v>4000</x:v>
      </x:c>
      <x:c r="K181" s="1" t="n">
        <x:f>'Inventory inputs'!N181</x:f>
        <x:v>0</x:v>
      </x:c>
      <x:c r="L181" s="1" t="n">
        <x:f>'Inventory inputs'!O181</x:f>
        <x:v>1</x:v>
      </x:c>
      <x:c r="M181" s="9" t="n">
        <x:f>E181*G181</x:f>
        <x:v>352.80000000000007</x:v>
      </x:c>
      <x:c r="N181" s="9" t="n">
        <x:f>'Inventory inputs'!Q181</x:f>
        <x:v>352.8</x:v>
      </x:c>
      <x:c r="O181" s="9" t="n">
        <x:f>N181-M181</x:f>
        <x:v>-5.684341886080802e-14</x:v>
      </x:c>
      <x:c r="P181" s="1" t="n">
        <x:f>SUMIFS('Incoming POs'!$P$2:$P$305,'Incoming POs'!$A$2:$A$305,A181,'Incoming POs'!$B$2:$B$305,B181,'Incoming POs'!$C$2:$C$305,C181,'Incoming POs'!$G$2:$G$305,"&gt;="&amp;D181,'Incoming POs'!$G$2:$G$305,"&lt;"&amp;Dashboard!$I$5)</x:f>
        <x:v>0</x:v>
      </x:c>
      <x:c r="Q181" s="1" t="n">
        <x:f>F181*Dashboard!$L$5*MAX(0,Dashboard!$I$5-D181)/30.4375</x:f>
        <x:v>1241.8846817248461</x:v>
      </x:c>
      <x:c r="R181" s="1" t="n">
        <x:f>MAX(0,E181+P181-Q181)</x:f>
        <x:v>8558.115318275153</x:v>
      </x:c>
      <x:c r="S181" s="1" t="n">
        <x:f>MAX(0,Q181-E181-P181)</x:f>
        <x:v>0</x:v>
      </x:c>
      <x:c r="T181" s="1" t="n">
        <x:f>IF(L181=1,MAX(0,I181+AB181-MIN(Q181,E181+P181)),"n.a.")</x:f>
        <x:v>4558.115318275154</x:v>
      </x:c>
      <x:c r="U181" s="9" t="n">
        <x:f>IF(ISNUMBER(T181),T181*G181,"n.a.")</x:f>
        <x:v>164.09215145790557</x:v>
      </x:c>
      <x:c r="V181" s="25" t="n">
        <x:f>IF(Dashboard!$I$6="Flat %",1,IF(ISNUMBER(H181),1,0))</x:f>
        <x:v>1</x:v>
      </x:c>
      <x:c r="W181" s="9" t="n">
        <x:f>IF(Dashboard!$I$6="Flat %",G181*(1+Dashboard!$L$6),H181)</x:f>
        <x:v>0.042189</x:v>
      </x:c>
      <x:c r="X181" s="9" t="n">
        <x:f>IF(V181=1,R181*(W181-G181),"n.a.")</x:f>
        <x:v>52.96617570480486</x:v>
      </x:c>
      <x:c r="Y181" s="9" t="n">
        <x:f>IF(V181=1,R181*W181,"n.a.")</x:f>
        <x:v>361.05832716271044</x:v>
      </x:c>
      <x:c r="Z181" s="1" t="n">
        <x:f>IF(ISNUMBER(T181),R181-T181,"n.a.")</x:f>
        <x:v>3999.999999999999</x:v>
      </x:c>
      <x:c r="AA181" s="1" t="str">
        <x:f>'Inventory inputs'!R181</x:f>
        <x:v>Classified</x:v>
      </x:c>
      <x:c r="AB181" s="1" t="n">
        <x:f>IF(L181=1,SUMIFS('Incoming POs'!$P$2:$P$305,'Incoming POs'!$A$2:$A$305,A181,'Incoming POs'!$B$2:$B$305,B181,'Incoming POs'!$C$2:$C$305,C181,'Incoming POs'!$G$2:$G$305,"&gt;="&amp;D181,'Incoming POs'!$G$2:$G$305,"&lt;"&amp;Dashboard!$I$5,'Incoming POs'!$Q$2:$Q$305,"&lt;="&amp;('Inventory inputs'!P181/'Inventory inputs'!J181*1.01)),"n.a.")</x:f>
        <x:v>0</x:v>
      </x:c>
      <x:c r="AC181" s="9" t="n">
        <x:f>I181*G181</x:f>
        <x:v>208.8</x:v>
      </x:c>
      <x:c r="AD181" s="9" t="n">
        <x:f>J181*G181</x:f>
        <x:v>144.00000000000003</x:v>
      </x:c>
      <x:c r="AE181" s="9" t="n">
        <x:f>K181*G181</x:f>
        <x:v>0</x:v>
      </x:c>
      <x:c r="AF181" s="9" t="n">
        <x:f>R181*G181</x:f>
        <x:v>308.0921514579056</x:v>
      </x:c>
    </x:row>
    <x:row r="182" ht="21" customHeight="1">
      <x:c r="A182" s="1" t="str">
        <x:f>'Inventory inputs'!A182</x:f>
        <x:v>PLAS</x:v>
      </x:c>
      <x:c r="B182" s="1" t="str">
        <x:f>'Inventory inputs'!B182</x:f>
        <x:v>10</x:v>
      </x:c>
      <x:c r="C182" s="1" t="str">
        <x:f>'Inventory inputs'!C182</x:f>
        <x:v>01219RWBMAR</x:v>
      </x:c>
      <x:c r="D182" s="7" t="n">
        <x:f>'Inventory inputs'!E182</x:f>
        <x:v>46303</x:v>
      </x:c>
      <x:c r="E182" s="1" t="n">
        <x:f>'Inventory inputs'!F182</x:f>
        <x:v>0</x:v>
      </x:c>
      <x:c r="F182" s="1" t="n">
        <x:f>'Inventory inputs'!G182</x:f>
        <x:v>858.33</x:v>
      </x:c>
      <x:c r="G182" s="1" t="n">
        <x:f>'Inventory inputs'!H182/'Inventory inputs'!J182</x:f>
        <x:v>0.036000000000000004</x:v>
      </x:c>
      <x:c r="H182" s="1" t="n">
        <x:f>IF('Inventory inputs'!I182&gt;0,'Inventory inputs'!I182*'Inventory inputs'!K182/'Inventory inputs'!J182,"n.a.")</x:f>
        <x:v>0.042189</x:v>
      </x:c>
      <x:c r="I182" s="1" t="n">
        <x:f>'Inventory inputs'!L182</x:f>
        <x:v>0</x:v>
      </x:c>
      <x:c r="J182" s="1" t="n">
        <x:f>'Inventory inputs'!M182</x:f>
        <x:v>0</x:v>
      </x:c>
      <x:c r="K182" s="1" t="n">
        <x:f>'Inventory inputs'!N182</x:f>
        <x:v>0</x:v>
      </x:c>
      <x:c r="L182" s="1" t="n">
        <x:f>'Inventory inputs'!O182</x:f>
        <x:v>1</x:v>
      </x:c>
      <x:c r="M182" s="9" t="n">
        <x:f>E182*G182</x:f>
        <x:v>0</x:v>
      </x:c>
      <x:c r="N182" s="9" t="n">
        <x:f>'Inventory inputs'!Q182</x:f>
        <x:v>0</x:v>
      </x:c>
      <x:c r="O182" s="9" t="n">
        <x:f>N182-M182</x:f>
        <x:v>0</x:v>
      </x:c>
      <x:c r="P182" s="1" t="n">
        <x:f>SUMIFS('Incoming POs'!$P$2:$P$305,'Incoming POs'!$A$2:$A$305,A182,'Incoming POs'!$B$2:$B$305,B182,'Incoming POs'!$C$2:$C$305,C182,'Incoming POs'!$G$2:$G$305,"&gt;="&amp;D182,'Incoming POs'!$G$2:$G$305,"&lt;"&amp;Dashboard!$I$5)</x:f>
        <x:v>4000</x:v>
      </x:c>
      <x:c r="Q182" s="1" t="n">
        <x:f>F182*Dashboard!$L$5*MAX(0,Dashboard!$I$5-D182)/30.4375</x:f>
        <x:v>1142.090020533881</x:v>
      </x:c>
      <x:c r="R182" s="1" t="n">
        <x:f>MAX(0,E182+P182-Q182)</x:f>
        <x:v>2857.909979466119</x:v>
      </x:c>
      <x:c r="S182" s="1" t="n">
        <x:f>MAX(0,Q182-E182-P182)</x:f>
        <x:v>0</x:v>
      </x:c>
      <x:c r="T182" s="1" t="n">
        <x:f>IF(L182=1,MAX(0,I182+AB182-MIN(Q182,E182+P182)),"n.a.")</x:f>
        <x:v>0</x:v>
      </x:c>
      <x:c r="U182" s="9" t="n">
        <x:f>IF(ISNUMBER(T182),T182*G182,"n.a.")</x:f>
        <x:v>0</x:v>
      </x:c>
      <x:c r="V182" s="25" t="n">
        <x:f>IF(Dashboard!$I$6="Flat %",1,IF(ISNUMBER(H182),1,0))</x:f>
        <x:v>1</x:v>
      </x:c>
      <x:c r="W182" s="9" t="n">
        <x:f>IF(Dashboard!$I$6="Flat %",G182*(1+Dashboard!$L$6),H182)</x:f>
        <x:v>0.042189</x:v>
      </x:c>
      <x:c r="X182" s="9" t="n">
        <x:f>IF(V182=1,R182*(W182-G182),"n.a.")</x:f>
        <x:v>17.68760486291579</x:v>
      </x:c>
      <x:c r="Y182" s="9" t="n">
        <x:f>IF(V182=1,R182*W182,"n.a.")</x:f>
        <x:v>120.57236412369608</x:v>
      </x:c>
      <x:c r="Z182" s="1" t="n">
        <x:f>IF(ISNUMBER(T182),R182-T182,"n.a.")</x:f>
        <x:v>2857.909979466119</x:v>
      </x:c>
      <x:c r="AA182" s="1" t="str">
        <x:f>'Inventory inputs'!R182</x:f>
        <x:v>Classified</x:v>
      </x:c>
      <x:c r="AB182" s="1" t="n">
        <x:f>IF(L182=1,SUMIFS('Incoming POs'!$P$2:$P$305,'Incoming POs'!$A$2:$A$305,A182,'Incoming POs'!$B$2:$B$305,B182,'Incoming POs'!$C$2:$C$305,C182,'Incoming POs'!$G$2:$G$305,"&gt;="&amp;D182,'Incoming POs'!$G$2:$G$305,"&lt;"&amp;Dashboard!$I$5,'Incoming POs'!$Q$2:$Q$305,"&lt;="&amp;('Inventory inputs'!P182/'Inventory inputs'!J182*1.01)),"n.a.")</x:f>
        <x:v>0</x:v>
      </x:c>
      <x:c r="AC182" s="9" t="n">
        <x:f>I182*G182</x:f>
        <x:v>0</x:v>
      </x:c>
      <x:c r="AD182" s="9" t="n">
        <x:f>J182*G182</x:f>
        <x:v>0</x:v>
      </x:c>
      <x:c r="AE182" s="9" t="n">
        <x:f>K182*G182</x:f>
        <x:v>0</x:v>
      </x:c>
      <x:c r="AF182" s="9" t="n">
        <x:f>R182*G182</x:f>
        <x:v>102.88475926078029</x:v>
      </x:c>
    </x:row>
    <x:row r="183" ht="21" customHeight="1">
      <x:c r="A183" s="1" t="str">
        <x:f>'Inventory inputs'!A183</x:f>
        <x:v>PLAS</x:v>
      </x:c>
      <x:c r="B183" s="1" t="str">
        <x:f>'Inventory inputs'!B183</x:f>
        <x:v>10</x:v>
      </x:c>
      <x:c r="C183" s="1" t="str">
        <x:f>'Inventory inputs'!C183</x:f>
        <x:v>01219RWBRED</x:v>
      </x:c>
      <x:c r="D183" s="7" t="n">
        <x:f>'Inventory inputs'!E183</x:f>
        <x:v>46303</x:v>
      </x:c>
      <x:c r="E183" s="1" t="n">
        <x:f>'Inventory inputs'!F183</x:f>
        <x:v>0</x:v>
      </x:c>
      <x:c r="F183" s="1" t="n">
        <x:f>'Inventory inputs'!G183</x:f>
        <x:v>858.33</x:v>
      </x:c>
      <x:c r="G183" s="1" t="n">
        <x:f>'Inventory inputs'!H183/'Inventory inputs'!J183</x:f>
        <x:v>0.036000000000000004</x:v>
      </x:c>
      <x:c r="H183" s="1" t="n">
        <x:f>IF('Inventory inputs'!I183&gt;0,'Inventory inputs'!I183*'Inventory inputs'!K183/'Inventory inputs'!J183,"n.a.")</x:f>
        <x:v>0.042189</x:v>
      </x:c>
      <x:c r="I183" s="1" t="n">
        <x:f>'Inventory inputs'!L183</x:f>
        <x:v>0</x:v>
      </x:c>
      <x:c r="J183" s="1" t="n">
        <x:f>'Inventory inputs'!M183</x:f>
        <x:v>0</x:v>
      </x:c>
      <x:c r="K183" s="1" t="n">
        <x:f>'Inventory inputs'!N183</x:f>
        <x:v>0</x:v>
      </x:c>
      <x:c r="L183" s="1" t="n">
        <x:f>'Inventory inputs'!O183</x:f>
        <x:v>1</x:v>
      </x:c>
      <x:c r="M183" s="9" t="n">
        <x:f>E183*G183</x:f>
        <x:v>0</x:v>
      </x:c>
      <x:c r="N183" s="9" t="n">
        <x:f>'Inventory inputs'!Q183</x:f>
        <x:v>0</x:v>
      </x:c>
      <x:c r="O183" s="9" t="n">
        <x:f>N183-M183</x:f>
        <x:v>0</x:v>
      </x:c>
      <x:c r="P183" s="1" t="n">
        <x:f>SUMIFS('Incoming POs'!$P$2:$P$305,'Incoming POs'!$A$2:$A$305,A183,'Incoming POs'!$B$2:$B$305,B183,'Incoming POs'!$C$2:$C$305,C183,'Incoming POs'!$G$2:$G$305,"&gt;="&amp;D183,'Incoming POs'!$G$2:$G$305,"&lt;"&amp;Dashboard!$I$5)</x:f>
        <x:v>0</x:v>
      </x:c>
      <x:c r="Q183" s="1" t="n">
        <x:f>F183*Dashboard!$L$5*MAX(0,Dashboard!$I$5-D183)/30.4375</x:f>
        <x:v>1142.090020533881</x:v>
      </x:c>
      <x:c r="R183" s="1" t="n">
        <x:f>MAX(0,E183+P183-Q183)</x:f>
        <x:v>0</x:v>
      </x:c>
      <x:c r="S183" s="1" t="n">
        <x:f>MAX(0,Q183-E183-P183)</x:f>
        <x:v>1142.090020533881</x:v>
      </x:c>
      <x:c r="T183" s="1" t="n">
        <x:f>IF(L183=1,MAX(0,I183+AB183-MIN(Q183,E183+P183)),"n.a.")</x:f>
        <x:v>0</x:v>
      </x:c>
      <x:c r="U183" s="9" t="n">
        <x:f>IF(ISNUMBER(T183),T183*G183,"n.a.")</x:f>
        <x:v>0</x:v>
      </x:c>
      <x:c r="V183" s="25" t="n">
        <x:f>IF(Dashboard!$I$6="Flat %",1,IF(ISNUMBER(H183),1,0))</x:f>
        <x:v>1</x:v>
      </x:c>
      <x:c r="W183" s="9" t="n">
        <x:f>IF(Dashboard!$I$6="Flat %",G183*(1+Dashboard!$L$6),H183)</x:f>
        <x:v>0.042189</x:v>
      </x:c>
      <x:c r="X183" s="9" t="n">
        <x:f>IF(V183=1,R183*(W183-G183),"n.a.")</x:f>
        <x:v>0</x:v>
      </x:c>
      <x:c r="Y183" s="9" t="n">
        <x:f>IF(V183=1,R183*W183,"n.a.")</x:f>
        <x:v>0</x:v>
      </x:c>
      <x:c r="Z183" s="1" t="n">
        <x:f>IF(ISNUMBER(T183),R183-T183,"n.a.")</x:f>
        <x:v>0</x:v>
      </x:c>
      <x:c r="AA183" s="1" t="str">
        <x:f>'Inventory inputs'!R183</x:f>
        <x:v>Classified</x:v>
      </x:c>
      <x:c r="AB183" s="1" t="n">
        <x:f>IF(L183=1,SUMIFS('Incoming POs'!$P$2:$P$305,'Incoming POs'!$A$2:$A$305,A183,'Incoming POs'!$B$2:$B$305,B183,'Incoming POs'!$C$2:$C$305,C183,'Incoming POs'!$G$2:$G$305,"&gt;="&amp;D183,'Incoming POs'!$G$2:$G$305,"&lt;"&amp;Dashboard!$I$5,'Incoming POs'!$Q$2:$Q$305,"&lt;="&amp;('Inventory inputs'!P183/'Inventory inputs'!J183*1.01)),"n.a.")</x:f>
        <x:v>0</x:v>
      </x:c>
      <x:c r="AC183" s="9" t="n">
        <x:f>I183*G183</x:f>
        <x:v>0</x:v>
      </x:c>
      <x:c r="AD183" s="9" t="n">
        <x:f>J183*G183</x:f>
        <x:v>0</x:v>
      </x:c>
      <x:c r="AE183" s="9" t="n">
        <x:f>K183*G183</x:f>
        <x:v>0</x:v>
      </x:c>
      <x:c r="AF183" s="9" t="n">
        <x:f>R183*G183</x:f>
        <x:v>0</x:v>
      </x:c>
    </x:row>
    <x:row r="184" ht="21" customHeight="1">
      <x:c r="A184" s="1" t="str">
        <x:f>'Inventory inputs'!A184</x:f>
        <x:v>PLAS</x:v>
      </x:c>
      <x:c r="B184" s="1" t="str">
        <x:f>'Inventory inputs'!B184</x:f>
        <x:v>30</x:v>
      </x:c>
      <x:c r="C184" s="1" t="str">
        <x:f>'Inventory inputs'!C184</x:f>
        <x:v>11419RSLBLK</x:v>
      </x:c>
      <x:c r="D184" s="7" t="n">
        <x:f>'Inventory inputs'!E184</x:f>
        <x:v>46303</x:v>
      </x:c>
      <x:c r="E184" s="1" t="n">
        <x:f>'Inventory inputs'!F184</x:f>
        <x:v>6950</x:v>
      </x:c>
      <x:c r="F184" s="1" t="n">
        <x:f>'Inventory inputs'!G184</x:f>
        <x:v>858.33</x:v>
      </x:c>
      <x:c r="G184" s="1" t="n">
        <x:f>'Inventory inputs'!H184/'Inventory inputs'!J184</x:f>
        <x:v>0.111</x:v>
      </x:c>
      <x:c r="H184" s="1" t="n">
        <x:f>IF('Inventory inputs'!I184&gt;0,'Inventory inputs'!I184*'Inventory inputs'!K184/'Inventory inputs'!J184,"n.a.")</x:f>
        <x:v>0.129801</x:v>
      </x:c>
      <x:c r="I184" s="1" t="n">
        <x:f>'Inventory inputs'!L184</x:f>
        <x:v>0</x:v>
      </x:c>
      <x:c r="J184" s="1" t="n">
        <x:f>'Inventory inputs'!M184</x:f>
        <x:v>0</x:v>
      </x:c>
      <x:c r="K184" s="1" t="n">
        <x:f>'Inventory inputs'!N184</x:f>
        <x:v>6950</x:v>
      </x:c>
      <x:c r="L184" s="1" t="n">
        <x:f>'Inventory inputs'!O184</x:f>
        <x:v>0</x:v>
      </x:c>
      <x:c r="M184" s="9" t="n">
        <x:f>E184*G184</x:f>
        <x:v>771.45</x:v>
      </x:c>
      <x:c r="N184" s="9" t="n">
        <x:f>'Inventory inputs'!Q184</x:f>
        <x:v>771.45</x:v>
      </x:c>
      <x:c r="O184" s="9" t="n">
        <x:f>N184-M184</x:f>
        <x:v>0</x:v>
      </x:c>
      <x:c r="P184" s="1" t="n">
        <x:f>SUMIFS('Incoming POs'!$P$2:$P$305,'Incoming POs'!$A$2:$A$305,A184,'Incoming POs'!$B$2:$B$305,B184,'Incoming POs'!$C$2:$C$305,C184,'Incoming POs'!$G$2:$G$305,"&gt;="&amp;D184,'Incoming POs'!$G$2:$G$305,"&lt;"&amp;Dashboard!$I$5)</x:f>
        <x:v>0</x:v>
      </x:c>
      <x:c r="Q184" s="1" t="n">
        <x:f>F184*Dashboard!$L$5*MAX(0,Dashboard!$I$5-D184)/30.4375</x:f>
        <x:v>1142.090020533881</x:v>
      </x:c>
      <x:c r="R184" s="1" t="n">
        <x:f>MAX(0,E184+P184-Q184)</x:f>
        <x:v>5807.909979466119</x:v>
      </x:c>
      <x:c r="S184" s="1" t="n">
        <x:f>MAX(0,Q184-E184-P184)</x:f>
        <x:v>0</x:v>
      </x:c>
      <x:c r="T184" s="1" t="str">
        <x:f>IF(L184=1,MAX(0,I184+AB184-MIN(Q184,E184+P184)),"n.a.")</x:f>
        <x:v>n.a.</x:v>
      </x:c>
      <x:c r="U184" s="9" t="str">
        <x:f>IF(ISNUMBER(T184),T184*G184,"n.a.")</x:f>
        <x:v>n.a.</x:v>
      </x:c>
      <x:c r="V184" s="25" t="n">
        <x:f>IF(Dashboard!$I$6="Flat %",1,IF(ISNUMBER(H184),1,0))</x:f>
        <x:v>1</x:v>
      </x:c>
      <x:c r="W184" s="9" t="n">
        <x:f>IF(Dashboard!$I$6="Flat %",G184*(1+Dashboard!$L$6),H184)</x:f>
        <x:v>0.129801</x:v>
      </x:c>
      <x:c r="X184" s="9" t="n">
        <x:f>IF(V184=1,R184*(W184-G184),"n.a.")</x:f>
        <x:v>109.19451552394248</x:v>
      </x:c>
      <x:c r="Y184" s="9" t="n">
        <x:f>IF(V184=1,R184*W184,"n.a.")</x:f>
        <x:v>753.8725232446817</x:v>
      </x:c>
      <x:c r="Z184" s="1" t="str">
        <x:f>IF(ISNUMBER(T184),R184-T184,"n.a.")</x:f>
        <x:v>n.a.</x:v>
      </x:c>
      <x:c r="AA184" s="1" t="str">
        <x:f>'Inventory inputs'!R184</x:f>
        <x:v>Review receipt reconciliation or original PO baseline</x:v>
      </x:c>
      <x:c r="AB184" s="1" t="str">
        <x:f>IF(L184=1,SUMIFS('Incoming POs'!$P$2:$P$305,'Incoming POs'!$A$2:$A$305,A184,'Incoming POs'!$B$2:$B$305,B184,'Incoming POs'!$C$2:$C$305,C184,'Incoming POs'!$G$2:$G$305,"&gt;="&amp;D184,'Incoming POs'!$G$2:$G$305,"&lt;"&amp;Dashboard!$I$5,'Incoming POs'!$Q$2:$Q$305,"&lt;="&amp;('Inventory inputs'!P184/'Inventory inputs'!J184*1.01)),"n.a.")</x:f>
        <x:v>n.a.</x:v>
      </x:c>
      <x:c r="AC184" s="9" t="n">
        <x:f>I184*G184</x:f>
        <x:v>0</x:v>
      </x:c>
      <x:c r="AD184" s="9" t="n">
        <x:f>J184*G184</x:f>
        <x:v>0</x:v>
      </x:c>
      <x:c r="AE184" s="9" t="n">
        <x:f>K184*G184</x:f>
        <x:v>771.45</x:v>
      </x:c>
      <x:c r="AF184" s="9" t="n">
        <x:f>R184*G184</x:f>
        <x:v>644.6780077207392</x:v>
      </x:c>
    </x:row>
    <x:row r="185" ht="21" customHeight="1">
      <x:c r="A185" s="1" t="str">
        <x:f>'Inventory inputs'!A185</x:f>
        <x:v>PLAS</x:v>
      </x:c>
      <x:c r="B185" s="1" t="str">
        <x:f>'Inventory inputs'!B185</x:f>
        <x:v>10</x:v>
      </x:c>
      <x:c r="C185" s="1" t="str">
        <x:f>'Inventory inputs'!C185</x:f>
        <x:v>07815RWBBLK</x:v>
      </x:c>
      <x:c r="D185" s="7" t="n">
        <x:f>'Inventory inputs'!E185</x:f>
        <x:v>46303</x:v>
      </x:c>
      <x:c r="E185" s="1" t="n">
        <x:f>'Inventory inputs'!F185</x:f>
        <x:v>7225</x:v>
      </x:c>
      <x:c r="F185" s="1" t="n">
        <x:f>'Inventory inputs'!G185</x:f>
        <x:v>845</x:v>
      </x:c>
      <x:c r="G185" s="1" t="n">
        <x:f>'Inventory inputs'!H185/'Inventory inputs'!J185</x:f>
        <x:v>0.0538</x:v>
      </x:c>
      <x:c r="H185" s="1" t="n">
        <x:f>IF('Inventory inputs'!I185&gt;0,'Inventory inputs'!I185*'Inventory inputs'!K185/'Inventory inputs'!J185,"n.a.")</x:f>
        <x:v>0.062916</x:v>
      </x:c>
      <x:c r="I185" s="1" t="n">
        <x:f>'Inventory inputs'!L185</x:f>
        <x:v>3225</x:v>
      </x:c>
      <x:c r="J185" s="1" t="n">
        <x:f>'Inventory inputs'!M185</x:f>
        <x:v>4000</x:v>
      </x:c>
      <x:c r="K185" s="1" t="n">
        <x:f>'Inventory inputs'!N185</x:f>
        <x:v>0</x:v>
      </x:c>
      <x:c r="L185" s="1" t="n">
        <x:f>'Inventory inputs'!O185</x:f>
        <x:v>1</x:v>
      </x:c>
      <x:c r="M185" s="9" t="n">
        <x:f>E185*G185</x:f>
        <x:v>388.705</x:v>
      </x:c>
      <x:c r="N185" s="9" t="n">
        <x:f>'Inventory inputs'!Q185</x:f>
        <x:v>388.705</x:v>
      </x:c>
      <x:c r="O185" s="9" t="n">
        <x:f>N185-M185</x:f>
        <x:v>0</x:v>
      </x:c>
      <x:c r="P185" s="1" t="n">
        <x:f>SUMIFS('Incoming POs'!$P$2:$P$305,'Incoming POs'!$A$2:$A$305,A185,'Incoming POs'!$B$2:$B$305,B185,'Incoming POs'!$C$2:$C$305,C185,'Incoming POs'!$G$2:$G$305,"&gt;="&amp;D185,'Incoming POs'!$G$2:$G$305,"&lt;"&amp;Dashboard!$I$5)</x:f>
        <x:v>0</x:v>
      </x:c>
      <x:c r="Q185" s="1" t="n">
        <x:f>F185*Dashboard!$L$5*MAX(0,Dashboard!$I$5-D185)/30.4375</x:f>
        <x:v>1124.35318275154</x:v>
      </x:c>
      <x:c r="R185" s="1" t="n">
        <x:f>MAX(0,E185+P185-Q185)</x:f>
        <x:v>6100.64681724846</x:v>
      </x:c>
      <x:c r="S185" s="1" t="n">
        <x:f>MAX(0,Q185-E185-P185)</x:f>
        <x:v>0</x:v>
      </x:c>
      <x:c r="T185" s="1" t="n">
        <x:f>IF(L185=1,MAX(0,I185+AB185-MIN(Q185,E185+P185)),"n.a.")</x:f>
        <x:v>2100.64681724846</x:v>
      </x:c>
      <x:c r="U185" s="9" t="n">
        <x:f>IF(ISNUMBER(T185),T185*G185,"n.a.")</x:f>
        <x:v>113.01479876796715</x:v>
      </x:c>
      <x:c r="V185" s="25" t="n">
        <x:f>IF(Dashboard!$I$6="Flat %",1,IF(ISNUMBER(H185),1,0))</x:f>
        <x:v>1</x:v>
      </x:c>
      <x:c r="W185" s="9" t="n">
        <x:f>IF(Dashboard!$I$6="Flat %",G185*(1+Dashboard!$L$6),H185)</x:f>
        <x:v>0.062916</x:v>
      </x:c>
      <x:c r="X185" s="9" t="n">
        <x:f>IF(V185=1,R185*(W185-G185),"n.a.")</x:f>
        <x:v>55.61349638603696</x:v>
      </x:c>
      <x:c r="Y185" s="9" t="n">
        <x:f>IF(V185=1,R185*W185,"n.a.")</x:f>
        <x:v>383.82829515400414</x:v>
      </x:c>
      <x:c r="Z185" s="1" t="n">
        <x:f>IF(ISNUMBER(T185),R185-T185,"n.a.")</x:f>
        <x:v>4000</x:v>
      </x:c>
      <x:c r="AA185" s="1" t="str">
        <x:f>'Inventory inputs'!R185</x:f>
        <x:v>Classified</x:v>
      </x:c>
      <x:c r="AB185" s="1" t="n">
        <x:f>IF(L185=1,SUMIFS('Incoming POs'!$P$2:$P$305,'Incoming POs'!$A$2:$A$305,A185,'Incoming POs'!$B$2:$B$305,B185,'Incoming POs'!$C$2:$C$305,C185,'Incoming POs'!$G$2:$G$305,"&gt;="&amp;D185,'Incoming POs'!$G$2:$G$305,"&lt;"&amp;Dashboard!$I$5,'Incoming POs'!$Q$2:$Q$305,"&lt;="&amp;('Inventory inputs'!P185/'Inventory inputs'!J185*1.01)),"n.a.")</x:f>
        <x:v>0</x:v>
      </x:c>
      <x:c r="AC185" s="9" t="n">
        <x:f>I185*G185</x:f>
        <x:v>173.505</x:v>
      </x:c>
      <x:c r="AD185" s="9" t="n">
        <x:f>J185*G185</x:f>
        <x:v>215.2</x:v>
      </x:c>
      <x:c r="AE185" s="9" t="n">
        <x:f>K185*G185</x:f>
        <x:v>0</x:v>
      </x:c>
      <x:c r="AF185" s="9" t="n">
        <x:f>R185*G185</x:f>
        <x:v>328.2147987679672</x:v>
      </x:c>
    </x:row>
    <x:row r="186" ht="21" customHeight="1">
      <x:c r="A186" s="1" t="str">
        <x:f>'Inventory inputs'!A186</x:f>
        <x:v>PLAS</x:v>
      </x:c>
      <x:c r="B186" s="1" t="str">
        <x:f>'Inventory inputs'!B186</x:f>
        <x:v>10</x:v>
      </x:c>
      <x:c r="C186" s="1" t="str">
        <x:f>'Inventory inputs'!C186</x:f>
        <x:v>51619RWBCLR</x:v>
      </x:c>
      <x:c r="D186" s="7" t="n">
        <x:f>'Inventory inputs'!E186</x:f>
        <x:v>46303</x:v>
      </x:c>
      <x:c r="E186" s="1" t="n">
        <x:f>'Inventory inputs'!F186</x:f>
        <x:v>4600</x:v>
      </x:c>
      <x:c r="F186" s="1" t="n">
        <x:f>'Inventory inputs'!G186</x:f>
        <x:v>841.66</x:v>
      </x:c>
      <x:c r="G186" s="1" t="n">
        <x:f>'Inventory inputs'!H186/'Inventory inputs'!J186</x:f>
        <x:v>0.0216</x:v>
      </x:c>
      <x:c r="H186" s="1" t="n">
        <x:f>IF('Inventory inputs'!I186&gt;0,'Inventory inputs'!I186*'Inventory inputs'!K186/'Inventory inputs'!J186,"n.a.")</x:f>
        <x:v>0.025284</x:v>
      </x:c>
      <x:c r="I186" s="1" t="n">
        <x:f>'Inventory inputs'!L186</x:f>
        <x:v>3600</x:v>
      </x:c>
      <x:c r="J186" s="1" t="n">
        <x:f>'Inventory inputs'!M186</x:f>
        <x:v>1000</x:v>
      </x:c>
      <x:c r="K186" s="1" t="n">
        <x:f>'Inventory inputs'!N186</x:f>
        <x:v>0</x:v>
      </x:c>
      <x:c r="L186" s="1" t="n">
        <x:f>'Inventory inputs'!O186</x:f>
        <x:v>1</x:v>
      </x:c>
      <x:c r="M186" s="9" t="n">
        <x:f>E186*G186</x:f>
        <x:v>99.36</x:v>
      </x:c>
      <x:c r="N186" s="9" t="n">
        <x:f>'Inventory inputs'!Q186</x:f>
        <x:v>99.36</x:v>
      </x:c>
      <x:c r="O186" s="9" t="n">
        <x:f>N186-M186</x:f>
        <x:v>0</x:v>
      </x:c>
      <x:c r="P186" s="1" t="n">
        <x:f>SUMIFS('Incoming POs'!$P$2:$P$305,'Incoming POs'!$A$2:$A$305,A186,'Incoming POs'!$B$2:$B$305,B186,'Incoming POs'!$C$2:$C$305,C186,'Incoming POs'!$G$2:$G$305,"&gt;="&amp;D186,'Incoming POs'!$G$2:$G$305,"&lt;"&amp;Dashboard!$I$5)</x:f>
        <x:v>8000</x:v>
      </x:c>
      <x:c r="Q186" s="1" t="n">
        <x:f>F186*Dashboard!$L$5*MAX(0,Dashboard!$I$5-D186)/30.4375</x:f>
        <x:v>1119.9089938398358</x:v>
      </x:c>
      <x:c r="R186" s="1" t="n">
        <x:f>MAX(0,E186+P186-Q186)</x:f>
        <x:v>11480.091006160164</x:v>
      </x:c>
      <x:c r="S186" s="1" t="n">
        <x:f>MAX(0,Q186-E186-P186)</x:f>
        <x:v>0</x:v>
      </x:c>
      <x:c r="T186" s="1" t="n">
        <x:f>IF(L186=1,MAX(0,I186+AB186-MIN(Q186,E186+P186)),"n.a.")</x:f>
        <x:v>2480.0910061601644</x:v>
      </x:c>
      <x:c r="U186" s="9" t="n">
        <x:f>IF(ISNUMBER(T186),T186*G186,"n.a.")</x:f>
        <x:v>53.569965733059554</x:v>
      </x:c>
      <x:c r="V186" s="25" t="n">
        <x:f>IF(Dashboard!$I$6="Flat %",1,IF(ISNUMBER(H186),1,0))</x:f>
        <x:v>1</x:v>
      </x:c>
      <x:c r="W186" s="9" t="n">
        <x:f>IF(Dashboard!$I$6="Flat %",G186*(1+Dashboard!$L$6),H186)</x:f>
        <x:v>0.025284</x:v>
      </x:c>
      <x:c r="X186" s="9" t="n">
        <x:f>IF(V186=1,R186*(W186-G186),"n.a.")</x:f>
        <x:v>42.29265526669404</x:v>
      </x:c>
      <x:c r="Y186" s="9" t="n">
        <x:f>IF(V186=1,R186*W186,"n.a.")</x:f>
        <x:v>290.2626209997536</x:v>
      </x:c>
      <x:c r="Z186" s="1" t="n">
        <x:f>IF(ISNUMBER(T186),R186-T186,"n.a.")</x:f>
        <x:v>9000</x:v>
      </x:c>
      <x:c r="AA186" s="1" t="str">
        <x:f>'Inventory inputs'!R186</x:f>
        <x:v>Classified</x:v>
      </x:c>
      <x:c r="AB186" s="1" t="n">
        <x:f>IF(L186=1,SUMIFS('Incoming POs'!$P$2:$P$305,'Incoming POs'!$A$2:$A$305,A186,'Incoming POs'!$B$2:$B$305,B186,'Incoming POs'!$C$2:$C$305,C186,'Incoming POs'!$G$2:$G$305,"&gt;="&amp;D186,'Incoming POs'!$G$2:$G$305,"&lt;"&amp;Dashboard!$I$5,'Incoming POs'!$Q$2:$Q$305,"&lt;="&amp;('Inventory inputs'!P186/'Inventory inputs'!J186*1.01)),"n.a.")</x:f>
        <x:v>0</x:v>
      </x:c>
      <x:c r="AC186" s="9" t="n">
        <x:f>I186*G186</x:f>
        <x:v>77.76</x:v>
      </x:c>
      <x:c r="AD186" s="9" t="n">
        <x:f>J186*G186</x:f>
        <x:v>21.6</x:v>
      </x:c>
      <x:c r="AE186" s="9" t="n">
        <x:f>K186*G186</x:f>
        <x:v>0</x:v>
      </x:c>
      <x:c r="AF186" s="9" t="n">
        <x:f>R186*G186</x:f>
        <x:v>247.96996573305955</x:v>
      </x:c>
    </x:row>
    <x:row r="187" ht="21" customHeight="1">
      <x:c r="A187" s="1" t="str">
        <x:f>'Inventory inputs'!A187</x:f>
        <x:v>PLAS</x:v>
      </x:c>
      <x:c r="B187" s="1" t="str">
        <x:f>'Inventory inputs'!B187</x:f>
        <x:v>60</x:v>
      </x:c>
      <x:c r="C187" s="1" t="str">
        <x:f>'Inventory inputs'!C187</x:f>
        <x:v>11819RWBBLK</x:v>
      </x:c>
      <x:c r="D187" s="7" t="n">
        <x:f>'Inventory inputs'!E187</x:f>
        <x:v>46303</x:v>
      </x:c>
      <x:c r="E187" s="1" t="n">
        <x:f>'Inventory inputs'!F187</x:f>
        <x:v>2400</x:v>
      </x:c>
      <x:c r="F187" s="1" t="n">
        <x:f>'Inventory inputs'!G187</x:f>
        <x:v>825</x:v>
      </x:c>
      <x:c r="G187" s="1" t="n">
        <x:f>'Inventory inputs'!H187/'Inventory inputs'!J187</x:f>
        <x:v>0.1323</x:v>
      </x:c>
      <x:c r="H187" s="1" t="n">
        <x:f>IF('Inventory inputs'!I187&gt;0,'Inventory inputs'!I187*'Inventory inputs'!K187/'Inventory inputs'!J187,"n.a.")</x:f>
        <x:v>0.15479099999999998</x:v>
      </x:c>
      <x:c r="I187" s="1" t="n">
        <x:f>'Inventory inputs'!L187</x:f>
        <x:v>0</x:v>
      </x:c>
      <x:c r="J187" s="1" t="n">
        <x:f>'Inventory inputs'!M187</x:f>
        <x:v>0</x:v>
      </x:c>
      <x:c r="K187" s="1" t="n">
        <x:f>'Inventory inputs'!N187</x:f>
        <x:v>2400</x:v>
      </x:c>
      <x:c r="L187" s="1" t="n">
        <x:f>'Inventory inputs'!O187</x:f>
        <x:v>0</x:v>
      </x:c>
      <x:c r="M187" s="9" t="n">
        <x:f>E187*G187</x:f>
        <x:v>317.52</x:v>
      </x:c>
      <x:c r="N187" s="9" t="n">
        <x:f>'Inventory inputs'!Q187</x:f>
        <x:v>317.52</x:v>
      </x:c>
      <x:c r="O187" s="9" t="n">
        <x:f>N187-M187</x:f>
        <x:v>0</x:v>
      </x:c>
      <x:c r="P187" s="1" t="n">
        <x:f>SUMIFS('Incoming POs'!$P$2:$P$305,'Incoming POs'!$A$2:$A$305,A187,'Incoming POs'!$B$2:$B$305,B187,'Incoming POs'!$C$2:$C$305,C187,'Incoming POs'!$G$2:$G$305,"&gt;="&amp;D187,'Incoming POs'!$G$2:$G$305,"&lt;"&amp;Dashboard!$I$5)</x:f>
        <x:v>0</x:v>
      </x:c>
      <x:c r="Q187" s="1" t="n">
        <x:f>F187*Dashboard!$L$5*MAX(0,Dashboard!$I$5-D187)/30.4375</x:f>
        <x:v>1097.7412731006161</x:v>
      </x:c>
      <x:c r="R187" s="1" t="n">
        <x:f>MAX(0,E187+P187-Q187)</x:f>
        <x:v>1302.2587268993839</x:v>
      </x:c>
      <x:c r="S187" s="1" t="n">
        <x:f>MAX(0,Q187-E187-P187)</x:f>
        <x:v>0</x:v>
      </x:c>
      <x:c r="T187" s="1" t="str">
        <x:f>IF(L187=1,MAX(0,I187+AB187-MIN(Q187,E187+P187)),"n.a.")</x:f>
        <x:v>n.a.</x:v>
      </x:c>
      <x:c r="U187" s="9" t="str">
        <x:f>IF(ISNUMBER(T187),T187*G187,"n.a.")</x:f>
        <x:v>n.a.</x:v>
      </x:c>
      <x:c r="V187" s="25" t="n">
        <x:f>IF(Dashboard!$I$6="Flat %",1,IF(ISNUMBER(H187),1,0))</x:f>
        <x:v>1</x:v>
      </x:c>
      <x:c r="W187" s="9" t="n">
        <x:f>IF(Dashboard!$I$6="Flat %",G187*(1+Dashboard!$L$6),H187)</x:f>
        <x:v>0.15479099999999998</x:v>
      </x:c>
      <x:c r="X187" s="9" t="n">
        <x:f>IF(V187=1,R187*(W187-G187),"n.a.")</x:f>
        <x:v>29.28910102669402</x:v>
      </x:c>
      <x:c r="Y187" s="9" t="n">
        <x:f>IF(V187=1,R187*W187,"n.a.")</x:f>
        <x:v>201.5779305954825</x:v>
      </x:c>
      <x:c r="Z187" s="1" t="str">
        <x:f>IF(ISNUMBER(T187),R187-T187,"n.a.")</x:f>
        <x:v>n.a.</x:v>
      </x:c>
      <x:c r="AA187" s="1" t="str">
        <x:f>'Inventory inputs'!R187</x:f>
        <x:v>Review receipt reconciliation or original PO baseline</x:v>
      </x:c>
      <x:c r="AB187" s="1" t="str">
        <x:f>IF(L187=1,SUMIFS('Incoming POs'!$P$2:$P$305,'Incoming POs'!$A$2:$A$305,A187,'Incoming POs'!$B$2:$B$305,B187,'Incoming POs'!$C$2:$C$305,C187,'Incoming POs'!$G$2:$G$305,"&gt;="&amp;D187,'Incoming POs'!$G$2:$G$305,"&lt;"&amp;Dashboard!$I$5,'Incoming POs'!$Q$2:$Q$305,"&lt;="&amp;('Inventory inputs'!P187/'Inventory inputs'!J187*1.01)),"n.a.")</x:f>
        <x:v>n.a.</x:v>
      </x:c>
      <x:c r="AC187" s="9" t="n">
        <x:f>I187*G187</x:f>
        <x:v>0</x:v>
      </x:c>
      <x:c r="AD187" s="9" t="n">
        <x:f>J187*G187</x:f>
        <x:v>0</x:v>
      </x:c>
      <x:c r="AE187" s="9" t="n">
        <x:f>K187*G187</x:f>
        <x:v>317.52</x:v>
      </x:c>
      <x:c r="AF187" s="9" t="n">
        <x:f>R187*G187</x:f>
        <x:v>172.2888295687885</x:v>
      </x:c>
    </x:row>
    <x:row r="188" ht="21" customHeight="1">
      <x:c r="A188" s="1" t="str">
        <x:f>'Inventory inputs'!A188</x:f>
        <x:v>PLAS</x:v>
      </x:c>
      <x:c r="B188" s="1" t="str">
        <x:f>'Inventory inputs'!B188</x:f>
        <x:v>60</x:v>
      </x:c>
      <x:c r="C188" s="1" t="str">
        <x:f>'Inventory inputs'!C188</x:f>
        <x:v>01419RWBWHT</x:v>
      </x:c>
      <x:c r="D188" s="7" t="n">
        <x:f>'Inventory inputs'!E188</x:f>
        <x:v>46303</x:v>
      </x:c>
      <x:c r="E188" s="1" t="n">
        <x:f>'Inventory inputs'!F188</x:f>
        <x:v>200</x:v>
      </x:c>
      <x:c r="F188" s="1" t="n">
        <x:f>'Inventory inputs'!G188</x:f>
        <x:v>800</x:v>
      </x:c>
      <x:c r="G188" s="1" t="n">
        <x:f>'Inventory inputs'!H188/'Inventory inputs'!J188</x:f>
        <x:v>0.0181</x:v>
      </x:c>
      <x:c r="H188" s="1" t="n">
        <x:f>IF('Inventory inputs'!I188&gt;0,'Inventory inputs'!I188*'Inventory inputs'!K188/'Inventory inputs'!J188,"n.a.")</x:f>
        <x:v>0.021168</x:v>
      </x:c>
      <x:c r="I188" s="1" t="n">
        <x:f>'Inventory inputs'!L188</x:f>
        <x:v>0</x:v>
      </x:c>
      <x:c r="J188" s="1" t="n">
        <x:f>'Inventory inputs'!M188</x:f>
        <x:v>0</x:v>
      </x:c>
      <x:c r="K188" s="1" t="n">
        <x:f>'Inventory inputs'!N188</x:f>
        <x:v>200</x:v>
      </x:c>
      <x:c r="L188" s="1" t="n">
        <x:f>'Inventory inputs'!O188</x:f>
        <x:v>0</x:v>
      </x:c>
      <x:c r="M188" s="9" t="n">
        <x:f>E188*G188</x:f>
        <x:v>3.62</x:v>
      </x:c>
      <x:c r="N188" s="9" t="n">
        <x:f>'Inventory inputs'!Q188</x:f>
        <x:v>3.62</x:v>
      </x:c>
      <x:c r="O188" s="9" t="n">
        <x:f>N188-M188</x:f>
        <x:v>0</x:v>
      </x:c>
      <x:c r="P188" s="1" t="n">
        <x:f>SUMIFS('Incoming POs'!$P$2:$P$305,'Incoming POs'!$A$2:$A$305,A188,'Incoming POs'!$B$2:$B$305,B188,'Incoming POs'!$C$2:$C$305,C188,'Incoming POs'!$G$2:$G$305,"&gt;="&amp;D188,'Incoming POs'!$G$2:$G$305,"&lt;"&amp;Dashboard!$I$5)</x:f>
        <x:v>0</x:v>
      </x:c>
      <x:c r="Q188" s="1" t="n">
        <x:f>F188*Dashboard!$L$5*MAX(0,Dashboard!$I$5-D188)/30.4375</x:f>
        <x:v>1064.476386036961</x:v>
      </x:c>
      <x:c r="R188" s="1" t="n">
        <x:f>MAX(0,E188+P188-Q188)</x:f>
        <x:v>0</x:v>
      </x:c>
      <x:c r="S188" s="1" t="n">
        <x:f>MAX(0,Q188-E188-P188)</x:f>
        <x:v>864.476386036961</x:v>
      </x:c>
      <x:c r="T188" s="1" t="str">
        <x:f>IF(L188=1,MAX(0,I188+AB188-MIN(Q188,E188+P188)),"n.a.")</x:f>
        <x:v>n.a.</x:v>
      </x:c>
      <x:c r="U188" s="9" t="str">
        <x:f>IF(ISNUMBER(T188),T188*G188,"n.a.")</x:f>
        <x:v>n.a.</x:v>
      </x:c>
      <x:c r="V188" s="25" t="n">
        <x:f>IF(Dashboard!$I$6="Flat %",1,IF(ISNUMBER(H188),1,0))</x:f>
        <x:v>1</x:v>
      </x:c>
      <x:c r="W188" s="9" t="n">
        <x:f>IF(Dashboard!$I$6="Flat %",G188*(1+Dashboard!$L$6),H188)</x:f>
        <x:v>0.021168</x:v>
      </x:c>
      <x:c r="X188" s="9" t="n">
        <x:f>IF(V188=1,R188*(W188-G188),"n.a.")</x:f>
        <x:v>0</x:v>
      </x:c>
      <x:c r="Y188" s="9" t="n">
        <x:f>IF(V188=1,R188*W188,"n.a.")</x:f>
        <x:v>0</x:v>
      </x:c>
      <x:c r="Z188" s="1" t="str">
        <x:f>IF(ISNUMBER(T188),R188-T188,"n.a.")</x:f>
        <x:v>n.a.</x:v>
      </x:c>
      <x:c r="AA188" s="1" t="str">
        <x:f>'Inventory inputs'!R188</x:f>
        <x:v>Review receipt reconciliation or original PO baseline</x:v>
      </x:c>
      <x:c r="AB188" s="1" t="str">
        <x:f>IF(L188=1,SUMIFS('Incoming POs'!$P$2:$P$305,'Incoming POs'!$A$2:$A$305,A188,'Incoming POs'!$B$2:$B$305,B188,'Incoming POs'!$C$2:$C$305,C188,'Incoming POs'!$G$2:$G$305,"&gt;="&amp;D188,'Incoming POs'!$G$2:$G$305,"&lt;"&amp;Dashboard!$I$5,'Incoming POs'!$Q$2:$Q$305,"&lt;="&amp;('Inventory inputs'!P188/'Inventory inputs'!J188*1.01)),"n.a.")</x:f>
        <x:v>n.a.</x:v>
      </x:c>
      <x:c r="AC188" s="9" t="n">
        <x:f>I188*G188</x:f>
        <x:v>0</x:v>
      </x:c>
      <x:c r="AD188" s="9" t="n">
        <x:f>J188*G188</x:f>
        <x:v>0</x:v>
      </x:c>
      <x:c r="AE188" s="9" t="n">
        <x:f>K188*G188</x:f>
        <x:v>3.62</x:v>
      </x:c>
      <x:c r="AF188" s="9" t="n">
        <x:f>R188*G188</x:f>
        <x:v>0</x:v>
      </x:c>
    </x:row>
    <x:row r="189" ht="21" customHeight="1">
      <x:c r="A189" s="1" t="str">
        <x:f>'Inventory inputs'!A189</x:f>
        <x:v>PLAS</x:v>
      </x:c>
      <x:c r="B189" s="1" t="str">
        <x:f>'Inventory inputs'!B189</x:f>
        <x:v>10</x:v>
      </x:c>
      <x:c r="C189" s="1" t="str">
        <x:f>'Inventory inputs'!C189</x:f>
        <x:v>91615RWBBLK</x:v>
      </x:c>
      <x:c r="D189" s="7" t="n">
        <x:f>'Inventory inputs'!E189</x:f>
        <x:v>46303</x:v>
      </x:c>
      <x:c r="E189" s="1" t="n">
        <x:f>'Inventory inputs'!F189</x:f>
        <x:v>6682</x:v>
      </x:c>
      <x:c r="F189" s="1" t="n">
        <x:f>'Inventory inputs'!G189</x:f>
        <x:v>791.67</x:v>
      </x:c>
      <x:c r="G189" s="1" t="n">
        <x:f>'Inventory inputs'!H189/'Inventory inputs'!J189</x:f>
        <x:v>0.0291</x:v>
      </x:c>
      <x:c r="H189" s="1" t="n">
        <x:f>IF('Inventory inputs'!I189&gt;0,'Inventory inputs'!I189*'Inventory inputs'!K189/'Inventory inputs'!J189,"n.a.")</x:f>
        <x:v>0.034103999999999995</x:v>
      </x:c>
      <x:c r="I189" s="1" t="n">
        <x:f>'Inventory inputs'!L189</x:f>
        <x:v>6682</x:v>
      </x:c>
      <x:c r="J189" s="1" t="n">
        <x:f>'Inventory inputs'!M189</x:f>
        <x:v>0</x:v>
      </x:c>
      <x:c r="K189" s="1" t="n">
        <x:f>'Inventory inputs'!N189</x:f>
        <x:v>0</x:v>
      </x:c>
      <x:c r="L189" s="1" t="n">
        <x:f>'Inventory inputs'!O189</x:f>
        <x:v>1</x:v>
      </x:c>
      <x:c r="M189" s="9" t="n">
        <x:f>E189*G189</x:f>
        <x:v>194.4462</x:v>
      </x:c>
      <x:c r="N189" s="9" t="n">
        <x:f>'Inventory inputs'!Q189</x:f>
        <x:v>194.44620000000003</x:v>
      </x:c>
      <x:c r="O189" s="9" t="n">
        <x:f>N189-M189</x:f>
        <x:v>2.842170943040401e-14</x:v>
      </x:c>
      <x:c r="P189" s="1" t="n">
        <x:f>SUMIFS('Incoming POs'!$P$2:$P$305,'Incoming POs'!$A$2:$A$305,A189,'Incoming POs'!$B$2:$B$305,B189,'Incoming POs'!$C$2:$C$305,C189,'Incoming POs'!$G$2:$G$305,"&gt;="&amp;D189,'Incoming POs'!$G$2:$G$305,"&lt;"&amp;Dashboard!$I$5)</x:f>
        <x:v>0</x:v>
      </x:c>
      <x:c r="Q189" s="1" t="n">
        <x:f>F189*Dashboard!$L$5*MAX(0,Dashboard!$I$5-D189)/30.4375</x:f>
        <x:v>1053.392525667351</x:v>
      </x:c>
      <x:c r="R189" s="1" t="n">
        <x:f>MAX(0,E189+P189-Q189)</x:f>
        <x:v>5628.607474332649</x:v>
      </x:c>
      <x:c r="S189" s="1" t="n">
        <x:f>MAX(0,Q189-E189-P189)</x:f>
        <x:v>0</x:v>
      </x:c>
      <x:c r="T189" s="1" t="n">
        <x:f>IF(L189=1,MAX(0,I189+AB189-MIN(Q189,E189+P189)),"n.a.")</x:f>
        <x:v>5628.607474332649</x:v>
      </x:c>
      <x:c r="U189" s="9" t="n">
        <x:f>IF(ISNUMBER(T189),T189*G189,"n.a.")</x:f>
        <x:v>163.79247750308008</x:v>
      </x:c>
      <x:c r="V189" s="25" t="n">
        <x:f>IF(Dashboard!$I$6="Flat %",1,IF(ISNUMBER(H189),1,0))</x:f>
        <x:v>1</x:v>
      </x:c>
      <x:c r="W189" s="9" t="n">
        <x:f>IF(Dashboard!$I$6="Flat %",G189*(1+Dashboard!$L$6),H189)</x:f>
        <x:v>0.034103999999999995</x:v>
      </x:c>
      <x:c r="X189" s="9" t="n">
        <x:f>IF(V189=1,R189*(W189-G189),"n.a.")</x:f>
        <x:v>28.165551801560543</x:v>
      </x:c>
      <x:c r="Y189" s="9" t="n">
        <x:f>IF(V189=1,R189*W189,"n.a.")</x:f>
        <x:v>191.95802930464063</x:v>
      </x:c>
      <x:c r="Z189" s="1" t="n">
        <x:f>IF(ISNUMBER(T189),R189-T189,"n.a.")</x:f>
        <x:v>0</x:v>
      </x:c>
      <x:c r="AA189" s="1" t="str">
        <x:f>'Inventory inputs'!R189</x:f>
        <x:v>Classified</x:v>
      </x:c>
      <x:c r="AB189" s="1" t="n">
        <x:f>IF(L189=1,SUMIFS('Incoming POs'!$P$2:$P$305,'Incoming POs'!$A$2:$A$305,A189,'Incoming POs'!$B$2:$B$305,B189,'Incoming POs'!$C$2:$C$305,C189,'Incoming POs'!$G$2:$G$305,"&gt;="&amp;D189,'Incoming POs'!$G$2:$G$305,"&lt;"&amp;Dashboard!$I$5,'Incoming POs'!$Q$2:$Q$305,"&lt;="&amp;('Inventory inputs'!P189/'Inventory inputs'!J189*1.01)),"n.a.")</x:f>
        <x:v>0</x:v>
      </x:c>
      <x:c r="AC189" s="9" t="n">
        <x:f>I189*G189</x:f>
        <x:v>194.4462</x:v>
      </x:c>
      <x:c r="AD189" s="9" t="n">
        <x:f>J189*G189</x:f>
        <x:v>0</x:v>
      </x:c>
      <x:c r="AE189" s="9" t="n">
        <x:f>K189*G189</x:f>
        <x:v>0</x:v>
      </x:c>
      <x:c r="AF189" s="9" t="n">
        <x:f>R189*G189</x:f>
        <x:v>163.79247750308008</x:v>
      </x:c>
    </x:row>
    <x:row r="190" ht="21" customHeight="1">
      <x:c r="A190" s="1" t="str">
        <x:f>'Inventory inputs'!A190</x:f>
        <x:v>PLAS</x:v>
      </x:c>
      <x:c r="B190" s="1" t="str">
        <x:f>'Inventory inputs'!B190</x:f>
        <x:v>30</x:v>
      </x:c>
      <x:c r="C190" s="1" t="str">
        <x:f>'Inventory inputs'!C190</x:f>
        <x:v>03419RWBWHT</x:v>
      </x:c>
      <x:c r="D190" s="7" t="n">
        <x:f>'Inventory inputs'!E190</x:f>
        <x:v>46303</x:v>
      </x:c>
      <x:c r="E190" s="1" t="n">
        <x:f>'Inventory inputs'!F190</x:f>
        <x:v>2800</x:v>
      </x:c>
      <x:c r="F190" s="1" t="n">
        <x:f>'Inventory inputs'!G190</x:f>
        <x:v>716.67</x:v>
      </x:c>
      <x:c r="G190" s="1" t="n">
        <x:f>'Inventory inputs'!H190/'Inventory inputs'!J190</x:f>
        <x:v>0.0625</x:v>
      </x:c>
      <x:c r="H190" s="1" t="n">
        <x:f>IF('Inventory inputs'!I190&gt;0,'Inventory inputs'!I190*'Inventory inputs'!K190/'Inventory inputs'!J190,"n.a.")</x:f>
        <x:v>0.073059</x:v>
      </x:c>
      <x:c r="I190" s="1" t="n">
        <x:f>'Inventory inputs'!L190</x:f>
        <x:v>0</x:v>
      </x:c>
      <x:c r="J190" s="1" t="n">
        <x:f>'Inventory inputs'!M190</x:f>
        <x:v>0</x:v>
      </x:c>
      <x:c r="K190" s="1" t="n">
        <x:f>'Inventory inputs'!N190</x:f>
        <x:v>2800</x:v>
      </x:c>
      <x:c r="L190" s="1" t="n">
        <x:f>'Inventory inputs'!O190</x:f>
        <x:v>0</x:v>
      </x:c>
      <x:c r="M190" s="9" t="n">
        <x:f>E190*G190</x:f>
        <x:v>175</x:v>
      </x:c>
      <x:c r="N190" s="9" t="n">
        <x:f>'Inventory inputs'!Q190</x:f>
        <x:v>175</x:v>
      </x:c>
      <x:c r="O190" s="9" t="n">
        <x:f>N190-M190</x:f>
        <x:v>0</x:v>
      </x:c>
      <x:c r="P190" s="1" t="n">
        <x:f>SUMIFS('Incoming POs'!$P$2:$P$305,'Incoming POs'!$A$2:$A$305,A190,'Incoming POs'!$B$2:$B$305,B190,'Incoming POs'!$C$2:$C$305,C190,'Incoming POs'!$G$2:$G$305,"&gt;="&amp;D190,'Incoming POs'!$G$2:$G$305,"&lt;"&amp;Dashboard!$I$5)</x:f>
        <x:v>0</x:v>
      </x:c>
      <x:c r="Q190" s="1" t="n">
        <x:f>F190*Dashboard!$L$5*MAX(0,Dashboard!$I$5-D190)/30.4375</x:f>
        <x:v>953.597864476386</x:v>
      </x:c>
      <x:c r="R190" s="1" t="n">
        <x:f>MAX(0,E190+P190-Q190)</x:f>
        <x:v>1846.402135523614</x:v>
      </x:c>
      <x:c r="S190" s="1" t="n">
        <x:f>MAX(0,Q190-E190-P190)</x:f>
        <x:v>0</x:v>
      </x:c>
      <x:c r="T190" s="1" t="str">
        <x:f>IF(L190=1,MAX(0,I190+AB190-MIN(Q190,E190+P190)),"n.a.")</x:f>
        <x:v>n.a.</x:v>
      </x:c>
      <x:c r="U190" s="9" t="str">
        <x:f>IF(ISNUMBER(T190),T190*G190,"n.a.")</x:f>
        <x:v>n.a.</x:v>
      </x:c>
      <x:c r="V190" s="25" t="n">
        <x:f>IF(Dashboard!$I$6="Flat %",1,IF(ISNUMBER(H190),1,0))</x:f>
        <x:v>1</x:v>
      </x:c>
      <x:c r="W190" s="9" t="n">
        <x:f>IF(Dashboard!$I$6="Flat %",G190*(1+Dashboard!$L$6),H190)</x:f>
        <x:v>0.073059</x:v>
      </x:c>
      <x:c r="X190" s="9" t="n">
        <x:f>IF(V190=1,R190*(W190-G190),"n.a.")</x:f>
        <x:v>19.49616014899384</x:v>
      </x:c>
      <x:c r="Y190" s="9" t="n">
        <x:f>IF(V190=1,R190*W190,"n.a.")</x:f>
        <x:v>134.89629361921973</x:v>
      </x:c>
      <x:c r="Z190" s="1" t="str">
        <x:f>IF(ISNUMBER(T190),R190-T190,"n.a.")</x:f>
        <x:v>n.a.</x:v>
      </x:c>
      <x:c r="AA190" s="1" t="str">
        <x:f>'Inventory inputs'!R190</x:f>
        <x:v>Review receipt reconciliation or original PO baseline</x:v>
      </x:c>
      <x:c r="AB190" s="1" t="str">
        <x:f>IF(L190=1,SUMIFS('Incoming POs'!$P$2:$P$305,'Incoming POs'!$A$2:$A$305,A190,'Incoming POs'!$B$2:$B$305,B190,'Incoming POs'!$C$2:$C$305,C190,'Incoming POs'!$G$2:$G$305,"&gt;="&amp;D190,'Incoming POs'!$G$2:$G$305,"&lt;"&amp;Dashboard!$I$5,'Incoming POs'!$Q$2:$Q$305,"&lt;="&amp;('Inventory inputs'!P190/'Inventory inputs'!J190*1.01)),"n.a.")</x:f>
        <x:v>n.a.</x:v>
      </x:c>
      <x:c r="AC190" s="9" t="n">
        <x:f>I190*G190</x:f>
        <x:v>0</x:v>
      </x:c>
      <x:c r="AD190" s="9" t="n">
        <x:f>J190*G190</x:f>
        <x:v>0</x:v>
      </x:c>
      <x:c r="AE190" s="9" t="n">
        <x:f>K190*G190</x:f>
        <x:v>175</x:v>
      </x:c>
      <x:c r="AF190" s="9" t="n">
        <x:f>R190*G190</x:f>
        <x:v>115.40013347022588</x:v>
      </x:c>
    </x:row>
    <x:row r="191" ht="21" customHeight="1">
      <x:c r="A191" s="1" t="str">
        <x:f>'Inventory inputs'!A191</x:f>
        <x:v>PLAS</x:v>
      </x:c>
      <x:c r="B191" s="1" t="str">
        <x:f>'Inventory inputs'!B191</x:f>
        <x:v>10</x:v>
      </x:c>
      <x:c r="C191" s="1" t="str">
        <x:f>'Inventory inputs'!C191</x:f>
        <x:v>13419RSLWHT</x:v>
      </x:c>
      <x:c r="D191" s="7" t="n">
        <x:f>'Inventory inputs'!E191</x:f>
        <x:v>46303</x:v>
      </x:c>
      <x:c r="E191" s="1" t="n">
        <x:f>'Inventory inputs'!F191</x:f>
        <x:v>4650</x:v>
      </x:c>
      <x:c r="F191" s="1" t="n">
        <x:f>'Inventory inputs'!G191</x:f>
        <x:v>713.34</x:v>
      </x:c>
      <x:c r="G191" s="1" t="n">
        <x:f>'Inventory inputs'!H191/'Inventory inputs'!J191</x:f>
        <x:v>0.1457</x:v>
      </x:c>
      <x:c r="H191" s="1" t="n">
        <x:f>IF('Inventory inputs'!I191&gt;0,'Inventory inputs'!I191*'Inventory inputs'!K191/'Inventory inputs'!J191,"n.a.")</x:f>
        <x:v>0.170373</x:v>
      </x:c>
      <x:c r="I191" s="1" t="n">
        <x:f>'Inventory inputs'!L191</x:f>
        <x:v>2650</x:v>
      </x:c>
      <x:c r="J191" s="1" t="n">
        <x:f>'Inventory inputs'!M191</x:f>
        <x:v>2000</x:v>
      </x:c>
      <x:c r="K191" s="1" t="n">
        <x:f>'Inventory inputs'!N191</x:f>
        <x:v>0</x:v>
      </x:c>
      <x:c r="L191" s="1" t="n">
        <x:f>'Inventory inputs'!O191</x:f>
        <x:v>1</x:v>
      </x:c>
      <x:c r="M191" s="9" t="n">
        <x:f>E191*G191</x:f>
        <x:v>677.505</x:v>
      </x:c>
      <x:c r="N191" s="9" t="n">
        <x:f>'Inventory inputs'!Q191</x:f>
        <x:v>677.505</x:v>
      </x:c>
      <x:c r="O191" s="9" t="n">
        <x:f>N191-M191</x:f>
        <x:v>0</x:v>
      </x:c>
      <x:c r="P191" s="1" t="n">
        <x:f>SUMIFS('Incoming POs'!$P$2:$P$305,'Incoming POs'!$A$2:$A$305,A191,'Incoming POs'!$B$2:$B$305,B191,'Incoming POs'!$C$2:$C$305,C191,'Incoming POs'!$G$2:$G$305,"&gt;="&amp;D191,'Incoming POs'!$G$2:$G$305,"&lt;"&amp;Dashboard!$I$5)</x:f>
        <x:v>2000</x:v>
      </x:c>
      <x:c r="Q191" s="1" t="n">
        <x:f>F191*Dashboard!$L$5*MAX(0,Dashboard!$I$5-D191)/30.4375</x:f>
        <x:v>949.1669815195072</x:v>
      </x:c>
      <x:c r="R191" s="1" t="n">
        <x:f>MAX(0,E191+P191-Q191)</x:f>
        <x:v>5700.833018480493</x:v>
      </x:c>
      <x:c r="S191" s="1" t="n">
        <x:f>MAX(0,Q191-E191-P191)</x:f>
        <x:v>0</x:v>
      </x:c>
      <x:c r="T191" s="1" t="n">
        <x:f>IF(L191=1,MAX(0,I191+AB191-MIN(Q191,E191+P191)),"n.a.")</x:f>
        <x:v>1700.8330184804927</x:v>
      </x:c>
      <x:c r="U191" s="9" t="n">
        <x:f>IF(ISNUMBER(T191),T191*G191,"n.a.")</x:f>
        <x:v>247.8113707926078</x:v>
      </x:c>
      <x:c r="V191" s="25" t="n">
        <x:f>IF(Dashboard!$I$6="Flat %",1,IF(ISNUMBER(H191),1,0))</x:f>
        <x:v>1</x:v>
      </x:c>
      <x:c r="W191" s="9" t="n">
        <x:f>IF(Dashboard!$I$6="Flat %",G191*(1+Dashboard!$L$6),H191)</x:f>
        <x:v>0.170373</x:v>
      </x:c>
      <x:c r="X191" s="9" t="n">
        <x:f>IF(V191=1,R191*(W191-G191),"n.a.")</x:f>
        <x:v>140.6566530649692</x:v>
      </x:c>
      <x:c r="Y191" s="9" t="n">
        <x:f>IF(V191=1,R191*W191,"n.a.")</x:f>
        <x:v>971.268023857577</x:v>
      </x:c>
      <x:c r="Z191" s="1" t="n">
        <x:f>IF(ISNUMBER(T191),R191-T191,"n.a.")</x:f>
        <x:v>4000</x:v>
      </x:c>
      <x:c r="AA191" s="1" t="str">
        <x:f>'Inventory inputs'!R191</x:f>
        <x:v>Classified</x:v>
      </x:c>
      <x:c r="AB191" s="1" t="n">
        <x:f>IF(L191=1,SUMIFS('Incoming POs'!$P$2:$P$305,'Incoming POs'!$A$2:$A$305,A191,'Incoming POs'!$B$2:$B$305,B191,'Incoming POs'!$C$2:$C$305,C191,'Incoming POs'!$G$2:$G$305,"&gt;="&amp;D191,'Incoming POs'!$G$2:$G$305,"&lt;"&amp;Dashboard!$I$5,'Incoming POs'!$Q$2:$Q$305,"&lt;="&amp;('Inventory inputs'!P191/'Inventory inputs'!J191*1.01)),"n.a.")</x:f>
        <x:v>0</x:v>
      </x:c>
      <x:c r="AC191" s="9" t="n">
        <x:f>I191*G191</x:f>
        <x:v>386.105</x:v>
      </x:c>
      <x:c r="AD191" s="9" t="n">
        <x:f>J191*G191</x:f>
        <x:v>291.4</x:v>
      </x:c>
      <x:c r="AE191" s="9" t="n">
        <x:f>K191*G191</x:f>
        <x:v>0</x:v>
      </x:c>
      <x:c r="AF191" s="9" t="n">
        <x:f>R191*G191</x:f>
        <x:v>830.6113707926078</x:v>
      </x:c>
    </x:row>
    <x:row r="192" ht="21" customHeight="1">
      <x:c r="A192" s="1" t="str">
        <x:f>'Inventory inputs'!A192</x:f>
        <x:v>PLAS</x:v>
      </x:c>
      <x:c r="B192" s="1" t="str">
        <x:f>'Inventory inputs'!B192</x:f>
        <x:v>10</x:v>
      </x:c>
      <x:c r="C192" s="1" t="str">
        <x:f>'Inventory inputs'!C192</x:f>
        <x:v>11219RSLNAV</x:v>
      </x:c>
      <x:c r="D192" s="7" t="n">
        <x:f>'Inventory inputs'!E192</x:f>
        <x:v>46303</x:v>
      </x:c>
      <x:c r="E192" s="1" t="n">
        <x:f>'Inventory inputs'!F192</x:f>
        <x:v>600</x:v>
      </x:c>
      <x:c r="F192" s="1" t="n">
        <x:f>'Inventory inputs'!G192</x:f>
        <x:v>683.83</x:v>
      </x:c>
      <x:c r="G192" s="1" t="n">
        <x:f>'Inventory inputs'!H192/'Inventory inputs'!J192</x:f>
        <x:v>0.1298</x:v>
      </x:c>
      <x:c r="H192" s="1" t="n">
        <x:f>IF('Inventory inputs'!I192&gt;0,'Inventory inputs'!I192*'Inventory inputs'!K192/'Inventory inputs'!J192,"n.a.")</x:f>
        <x:v>0.151851</x:v>
      </x:c>
      <x:c r="I192" s="1" t="n">
        <x:f>'Inventory inputs'!L192</x:f>
        <x:v>0</x:v>
      </x:c>
      <x:c r="J192" s="1" t="n">
        <x:f>'Inventory inputs'!M192</x:f>
        <x:v>600</x:v>
      </x:c>
      <x:c r="K192" s="1" t="n">
        <x:f>'Inventory inputs'!N192</x:f>
        <x:v>0</x:v>
      </x:c>
      <x:c r="L192" s="1" t="n">
        <x:f>'Inventory inputs'!O192</x:f>
        <x:v>1</x:v>
      </x:c>
      <x:c r="M192" s="9" t="n">
        <x:f>E192*G192</x:f>
        <x:v>77.88</x:v>
      </x:c>
      <x:c r="N192" s="9" t="n">
        <x:f>'Inventory inputs'!Q192</x:f>
        <x:v>77.88</x:v>
      </x:c>
      <x:c r="O192" s="9" t="n">
        <x:f>N192-M192</x:f>
        <x:v>0</x:v>
      </x:c>
      <x:c r="P192" s="1" t="n">
        <x:f>SUMIFS('Incoming POs'!$P$2:$P$305,'Incoming POs'!$A$2:$A$305,A192,'Incoming POs'!$B$2:$B$305,B192,'Incoming POs'!$C$2:$C$305,C192,'Incoming POs'!$G$2:$G$305,"&gt;="&amp;D192,'Incoming POs'!$G$2:$G$305,"&lt;"&amp;Dashboard!$I$5)</x:f>
        <x:v>5000</x:v>
      </x:c>
      <x:c r="Q192" s="1" t="n">
        <x:f>F192*Dashboard!$L$5*MAX(0,Dashboard!$I$5-D192)/30.4375</x:f>
        <x:v>909.9011088295689</x:v>
      </x:c>
      <x:c r="R192" s="1" t="n">
        <x:f>MAX(0,E192+P192-Q192)</x:f>
        <x:v>4690.098891170431</x:v>
      </x:c>
      <x:c r="S192" s="1" t="n">
        <x:f>MAX(0,Q192-E192-P192)</x:f>
        <x:v>0</x:v>
      </x:c>
      <x:c r="T192" s="1" t="n">
        <x:f>IF(L192=1,MAX(0,I192+AB192-MIN(Q192,E192+P192)),"n.a.")</x:f>
        <x:v>0</x:v>
      </x:c>
      <x:c r="U192" s="9" t="n">
        <x:f>IF(ISNUMBER(T192),T192*G192,"n.a.")</x:f>
        <x:v>0</x:v>
      </x:c>
      <x:c r="V192" s="25" t="n">
        <x:f>IF(Dashboard!$I$6="Flat %",1,IF(ISNUMBER(H192),1,0))</x:f>
        <x:v>1</x:v>
      </x:c>
      <x:c r="W192" s="9" t="n">
        <x:f>IF(Dashboard!$I$6="Flat %",G192*(1+Dashboard!$L$6),H192)</x:f>
        <x:v>0.151851</x:v>
      </x:c>
      <x:c r="X192" s="9" t="n">
        <x:f>IF(V192=1,R192*(W192-G192),"n.a.")</x:f>
        <x:v>103.42137064919923</x:v>
      </x:c>
      <x:c r="Y192" s="9" t="n">
        <x:f>IF(V192=1,R192*W192,"n.a.")</x:f>
        <x:v>712.1962067231211</x:v>
      </x:c>
      <x:c r="Z192" s="1" t="n">
        <x:f>IF(ISNUMBER(T192),R192-T192,"n.a.")</x:f>
        <x:v>4690.098891170431</x:v>
      </x:c>
      <x:c r="AA192" s="1" t="str">
        <x:f>'Inventory inputs'!R192</x:f>
        <x:v>Classified</x:v>
      </x:c>
      <x:c r="AB192" s="1" t="n">
        <x:f>IF(L192=1,SUMIFS('Incoming POs'!$P$2:$P$305,'Incoming POs'!$A$2:$A$305,A192,'Incoming POs'!$B$2:$B$305,B192,'Incoming POs'!$C$2:$C$305,C192,'Incoming POs'!$G$2:$G$305,"&gt;="&amp;D192,'Incoming POs'!$G$2:$G$305,"&lt;"&amp;Dashboard!$I$5,'Incoming POs'!$Q$2:$Q$305,"&lt;="&amp;('Inventory inputs'!P192/'Inventory inputs'!J192*1.01)),"n.a.")</x:f>
        <x:v>0</x:v>
      </x:c>
      <x:c r="AC192" s="9" t="n">
        <x:f>I192*G192</x:f>
        <x:v>0</x:v>
      </x:c>
      <x:c r="AD192" s="9" t="n">
        <x:f>J192*G192</x:f>
        <x:v>77.88</x:v>
      </x:c>
      <x:c r="AE192" s="9" t="n">
        <x:f>K192*G192</x:f>
        <x:v>0</x:v>
      </x:c>
      <x:c r="AF192" s="9" t="n">
        <x:f>R192*G192</x:f>
        <x:v>608.774836073922</x:v>
      </x:c>
    </x:row>
    <x:row r="193" ht="21" customHeight="1">
      <x:c r="A193" s="1" t="str">
        <x:f>'Inventory inputs'!A193</x:f>
        <x:v>PLAS</x:v>
      </x:c>
      <x:c r="B193" s="1" t="str">
        <x:f>'Inventory inputs'!B193</x:f>
        <x:v>10</x:v>
      </x:c>
      <x:c r="C193" s="1" t="str">
        <x:f>'Inventory inputs'!C193</x:f>
        <x:v>05819RWBBLU</x:v>
      </x:c>
      <x:c r="D193" s="7" t="n">
        <x:f>'Inventory inputs'!E193</x:f>
        <x:v>46303</x:v>
      </x:c>
      <x:c r="E193" s="1" t="n">
        <x:f>'Inventory inputs'!F193</x:f>
        <x:v>800</x:v>
      </x:c>
      <x:c r="F193" s="1" t="n">
        <x:f>'Inventory inputs'!G193</x:f>
        <x:v>683.33</x:v>
      </x:c>
      <x:c r="G193" s="1" t="n">
        <x:f>'Inventory inputs'!H193/'Inventory inputs'!J193</x:f>
        <x:v>0.045599999999999995</x:v>
      </x:c>
      <x:c r="H193" s="1" t="n">
        <x:f>IF('Inventory inputs'!I193&gt;0,'Inventory inputs'!I193*'Inventory inputs'!K193/'Inventory inputs'!J193,"n.a.")</x:f>
        <x:v>0.053361</x:v>
      </x:c>
      <x:c r="I193" s="1" t="n">
        <x:f>'Inventory inputs'!L193</x:f>
        <x:v>0</x:v>
      </x:c>
      <x:c r="J193" s="1" t="n">
        <x:f>'Inventory inputs'!M193</x:f>
        <x:v>800</x:v>
      </x:c>
      <x:c r="K193" s="1" t="n">
        <x:f>'Inventory inputs'!N193</x:f>
        <x:v>0</x:v>
      </x:c>
      <x:c r="L193" s="1" t="n">
        <x:f>'Inventory inputs'!O193</x:f>
        <x:v>1</x:v>
      </x:c>
      <x:c r="M193" s="9" t="n">
        <x:f>E193*G193</x:f>
        <x:v>36.48</x:v>
      </x:c>
      <x:c r="N193" s="9" t="n">
        <x:f>'Inventory inputs'!Q193</x:f>
        <x:v>36.48</x:v>
      </x:c>
      <x:c r="O193" s="9" t="n">
        <x:f>N193-M193</x:f>
        <x:v>0</x:v>
      </x:c>
      <x:c r="P193" s="1" t="n">
        <x:f>SUMIFS('Incoming POs'!$P$2:$P$305,'Incoming POs'!$A$2:$A$305,A193,'Incoming POs'!$B$2:$B$305,B193,'Incoming POs'!$C$2:$C$305,C193,'Incoming POs'!$G$2:$G$305,"&gt;="&amp;D193,'Incoming POs'!$G$2:$G$305,"&lt;"&amp;Dashboard!$I$5)</x:f>
        <x:v>8000</x:v>
      </x:c>
      <x:c r="Q193" s="1" t="n">
        <x:f>F193*Dashboard!$L$5*MAX(0,Dashboard!$I$5-D193)/30.4375</x:f>
        <x:v>909.2358110882957</x:v>
      </x:c>
      <x:c r="R193" s="1" t="n">
        <x:f>MAX(0,E193+P193-Q193)</x:f>
        <x:v>7890.764188911704</x:v>
      </x:c>
      <x:c r="S193" s="1" t="n">
        <x:f>MAX(0,Q193-E193-P193)</x:f>
        <x:v>0</x:v>
      </x:c>
      <x:c r="T193" s="1" t="n">
        <x:f>IF(L193=1,MAX(0,I193+AB193-MIN(Q193,E193+P193)),"n.a.")</x:f>
        <x:v>0</x:v>
      </x:c>
      <x:c r="U193" s="9" t="n">
        <x:f>IF(ISNUMBER(T193),T193*G193,"n.a.")</x:f>
        <x:v>0</x:v>
      </x:c>
      <x:c r="V193" s="25" t="n">
        <x:f>IF(Dashboard!$I$6="Flat %",1,IF(ISNUMBER(H193),1,0))</x:f>
        <x:v>1</x:v>
      </x:c>
      <x:c r="W193" s="9" t="n">
        <x:f>IF(Dashboard!$I$6="Flat %",G193*(1+Dashboard!$L$6),H193)</x:f>
        <x:v>0.053361</x:v>
      </x:c>
      <x:c r="X193" s="9" t="n">
        <x:f>IF(V193=1,R193*(W193-G193),"n.a.")</x:f>
        <x:v>61.240220870143766</x:v>
      </x:c>
      <x:c r="Y193" s="9" t="n">
        <x:f>IF(V193=1,R193*W193,"n.a.")</x:f>
        <x:v>421.05906788451745</x:v>
      </x:c>
      <x:c r="Z193" s="1" t="n">
        <x:f>IF(ISNUMBER(T193),R193-T193,"n.a.")</x:f>
        <x:v>7890.764188911704</x:v>
      </x:c>
      <x:c r="AA193" s="1" t="str">
        <x:f>'Inventory inputs'!R193</x:f>
        <x:v>Classified</x:v>
      </x:c>
      <x:c r="AB193" s="1" t="n">
        <x:f>IF(L193=1,SUMIFS('Incoming POs'!$P$2:$P$305,'Incoming POs'!$A$2:$A$305,A193,'Incoming POs'!$B$2:$B$305,B193,'Incoming POs'!$C$2:$C$305,C193,'Incoming POs'!$G$2:$G$305,"&gt;="&amp;D193,'Incoming POs'!$G$2:$G$305,"&lt;"&amp;Dashboard!$I$5,'Incoming POs'!$Q$2:$Q$305,"&lt;="&amp;('Inventory inputs'!P193/'Inventory inputs'!J193*1.01)),"n.a.")</x:f>
        <x:v>0</x:v>
      </x:c>
      <x:c r="AC193" s="9" t="n">
        <x:f>I193*G193</x:f>
        <x:v>0</x:v>
      </x:c>
      <x:c r="AD193" s="9" t="n">
        <x:f>J193*G193</x:f>
        <x:v>36.48</x:v>
      </x:c>
      <x:c r="AE193" s="9" t="n">
        <x:f>K193*G193</x:f>
        <x:v>0</x:v>
      </x:c>
      <x:c r="AF193" s="9" t="n">
        <x:f>R193*G193</x:f>
        <x:v>359.81884701437366</x:v>
      </x:c>
    </x:row>
    <x:row r="194" ht="21" customHeight="1">
      <x:c r="A194" s="1" t="str">
        <x:f>'Inventory inputs'!A194</x:f>
        <x:v>PLAS</x:v>
      </x:c>
      <x:c r="B194" s="1" t="str">
        <x:f>'Inventory inputs'!B194</x:f>
        <x:v>10</x:v>
      </x:c>
      <x:c r="C194" s="1" t="str">
        <x:f>'Inventory inputs'!C194</x:f>
        <x:v>51619RWBBLU</x:v>
      </x:c>
      <x:c r="D194" s="7" t="n">
        <x:f>'Inventory inputs'!E194</x:f>
        <x:v>46303</x:v>
      </x:c>
      <x:c r="E194" s="1" t="n">
        <x:f>'Inventory inputs'!F194</x:f>
        <x:v>2700</x:v>
      </x:c>
      <x:c r="F194" s="1" t="n">
        <x:f>'Inventory inputs'!G194</x:f>
        <x:v>683.33</x:v>
      </x:c>
      <x:c r="G194" s="1" t="n">
        <x:f>'Inventory inputs'!H194/'Inventory inputs'!J194</x:f>
        <x:v>0.0216</x:v>
      </x:c>
      <x:c r="H194" s="1" t="n">
        <x:f>IF('Inventory inputs'!I194&gt;0,'Inventory inputs'!I194*'Inventory inputs'!K194/'Inventory inputs'!J194,"n.a.")</x:f>
        <x:v>0.025284</x:v>
      </x:c>
      <x:c r="I194" s="1" t="n">
        <x:f>'Inventory inputs'!L194</x:f>
        <x:v>0</x:v>
      </x:c>
      <x:c r="J194" s="1" t="n">
        <x:f>'Inventory inputs'!M194</x:f>
        <x:v>2700</x:v>
      </x:c>
      <x:c r="K194" s="1" t="n">
        <x:f>'Inventory inputs'!N194</x:f>
        <x:v>0</x:v>
      </x:c>
      <x:c r="L194" s="1" t="n">
        <x:f>'Inventory inputs'!O194</x:f>
        <x:v>1</x:v>
      </x:c>
      <x:c r="M194" s="9" t="n">
        <x:f>E194*G194</x:f>
        <x:v>58.32</x:v>
      </x:c>
      <x:c r="N194" s="9" t="n">
        <x:f>'Inventory inputs'!Q194</x:f>
        <x:v>58.32</x:v>
      </x:c>
      <x:c r="O194" s="9" t="n">
        <x:f>N194-M194</x:f>
        <x:v>0</x:v>
      </x:c>
      <x:c r="P194" s="1" t="n">
        <x:f>SUMIFS('Incoming POs'!$P$2:$P$305,'Incoming POs'!$A$2:$A$305,A194,'Incoming POs'!$B$2:$B$305,B194,'Incoming POs'!$C$2:$C$305,C194,'Incoming POs'!$G$2:$G$305,"&gt;="&amp;D194,'Incoming POs'!$G$2:$G$305,"&lt;"&amp;Dashboard!$I$5)</x:f>
        <x:v>2000</x:v>
      </x:c>
      <x:c r="Q194" s="1" t="n">
        <x:f>F194*Dashboard!$L$5*MAX(0,Dashboard!$I$5-D194)/30.4375</x:f>
        <x:v>909.2358110882957</x:v>
      </x:c>
      <x:c r="R194" s="1" t="n">
        <x:f>MAX(0,E194+P194-Q194)</x:f>
        <x:v>3790.7641889117044</x:v>
      </x:c>
      <x:c r="S194" s="1" t="n">
        <x:f>MAX(0,Q194-E194-P194)</x:f>
        <x:v>0</x:v>
      </x:c>
      <x:c r="T194" s="1" t="n">
        <x:f>IF(L194=1,MAX(0,I194+AB194-MIN(Q194,E194+P194)),"n.a.")</x:f>
        <x:v>0</x:v>
      </x:c>
      <x:c r="U194" s="9" t="n">
        <x:f>IF(ISNUMBER(T194),T194*G194,"n.a.")</x:f>
        <x:v>0</x:v>
      </x:c>
      <x:c r="V194" s="25" t="n">
        <x:f>IF(Dashboard!$I$6="Flat %",1,IF(ISNUMBER(H194),1,0))</x:f>
        <x:v>1</x:v>
      </x:c>
      <x:c r="W194" s="9" t="n">
        <x:f>IF(Dashboard!$I$6="Flat %",G194*(1+Dashboard!$L$6),H194)</x:f>
        <x:v>0.025284</x:v>
      </x:c>
      <x:c r="X194" s="9" t="n">
        <x:f>IF(V194=1,R194*(W194-G194),"n.a.")</x:f>
        <x:v>13.965175271950718</x:v>
      </x:c>
      <x:c r="Y194" s="9" t="n">
        <x:f>IF(V194=1,R194*W194,"n.a.")</x:f>
        <x:v>95.84568175244354</x:v>
      </x:c>
      <x:c r="Z194" s="1" t="n">
        <x:f>IF(ISNUMBER(T194),R194-T194,"n.a.")</x:f>
        <x:v>3790.7641889117044</x:v>
      </x:c>
      <x:c r="AA194" s="1" t="str">
        <x:f>'Inventory inputs'!R194</x:f>
        <x:v>Classified</x:v>
      </x:c>
      <x:c r="AB194" s="1" t="n">
        <x:f>IF(L194=1,SUMIFS('Incoming POs'!$P$2:$P$305,'Incoming POs'!$A$2:$A$305,A194,'Incoming POs'!$B$2:$B$305,B194,'Incoming POs'!$C$2:$C$305,C194,'Incoming POs'!$G$2:$G$305,"&gt;="&amp;D194,'Incoming POs'!$G$2:$G$305,"&lt;"&amp;Dashboard!$I$5,'Incoming POs'!$Q$2:$Q$305,"&lt;="&amp;('Inventory inputs'!P194/'Inventory inputs'!J194*1.01)),"n.a.")</x:f>
        <x:v>0</x:v>
      </x:c>
      <x:c r="AC194" s="9" t="n">
        <x:f>I194*G194</x:f>
        <x:v>0</x:v>
      </x:c>
      <x:c r="AD194" s="9" t="n">
        <x:f>J194*G194</x:f>
        <x:v>58.32</x:v>
      </x:c>
      <x:c r="AE194" s="9" t="n">
        <x:f>K194*G194</x:f>
        <x:v>0</x:v>
      </x:c>
      <x:c r="AF194" s="9" t="n">
        <x:f>R194*G194</x:f>
        <x:v>81.88050648049283</x:v>
      </x:c>
    </x:row>
    <x:row r="195" ht="21" customHeight="1">
      <x:c r="A195" s="1" t="str">
        <x:f>'Inventory inputs'!A195</x:f>
        <x:v>PLAS</x:v>
      </x:c>
      <x:c r="B195" s="1" t="str">
        <x:f>'Inventory inputs'!B195</x:f>
        <x:v>10</x:v>
      </x:c>
      <x:c r="C195" s="1" t="str">
        <x:f>'Inventory inputs'!C195</x:f>
        <x:v>71619RWBFG</x:v>
      </x:c>
      <x:c r="D195" s="7" t="n">
        <x:f>'Inventory inputs'!E195</x:f>
        <x:v>46303</x:v>
      </x:c>
      <x:c r="E195" s="1" t="n">
        <x:f>'Inventory inputs'!F195</x:f>
        <x:v>0</x:v>
      </x:c>
      <x:c r="F195" s="1" t="n">
        <x:f>'Inventory inputs'!G195</x:f>
        <x:v>675</x:v>
      </x:c>
      <x:c r="G195" s="1" t="n">
        <x:f>'Inventory inputs'!H195/'Inventory inputs'!J195</x:f>
        <x:v>0.0315</x:v>
      </x:c>
      <x:c r="H195" s="1" t="n">
        <x:f>IF('Inventory inputs'!I195&gt;0,'Inventory inputs'!I195*'Inventory inputs'!K195/'Inventory inputs'!J195,"n.a.")</x:f>
        <x:v>0.03675</x:v>
      </x:c>
      <x:c r="I195" s="1" t="n">
        <x:f>'Inventory inputs'!L195</x:f>
        <x:v>0</x:v>
      </x:c>
      <x:c r="J195" s="1" t="n">
        <x:f>'Inventory inputs'!M195</x:f>
        <x:v>0</x:v>
      </x:c>
      <x:c r="K195" s="1" t="n">
        <x:f>'Inventory inputs'!N195</x:f>
        <x:v>0</x:v>
      </x:c>
      <x:c r="L195" s="1" t="n">
        <x:f>'Inventory inputs'!O195</x:f>
        <x:v>1</x:v>
      </x:c>
      <x:c r="M195" s="9" t="n">
        <x:f>E195*G195</x:f>
        <x:v>0</x:v>
      </x:c>
      <x:c r="N195" s="9" t="n">
        <x:f>'Inventory inputs'!Q195</x:f>
        <x:v>0</x:v>
      </x:c>
      <x:c r="O195" s="9" t="n">
        <x:f>N195-M195</x:f>
        <x:v>0</x:v>
      </x:c>
      <x:c r="P195" s="1" t="n">
        <x:f>SUMIFS('Incoming POs'!$P$2:$P$305,'Incoming POs'!$A$2:$A$305,A195,'Incoming POs'!$B$2:$B$305,B195,'Incoming POs'!$C$2:$C$305,C195,'Incoming POs'!$G$2:$G$305,"&gt;="&amp;D195,'Incoming POs'!$G$2:$G$305,"&lt;"&amp;Dashboard!$I$5)</x:f>
        <x:v>3000</x:v>
      </x:c>
      <x:c r="Q195" s="1" t="n">
        <x:f>F195*Dashboard!$L$5*MAX(0,Dashboard!$I$5-D195)/30.4375</x:f>
        <x:v>898.1519507186858</x:v>
      </x:c>
      <x:c r="R195" s="1" t="n">
        <x:f>MAX(0,E195+P195-Q195)</x:f>
        <x:v>2101.848049281314</x:v>
      </x:c>
      <x:c r="S195" s="1" t="n">
        <x:f>MAX(0,Q195-E195-P195)</x:f>
        <x:v>0</x:v>
      </x:c>
      <x:c r="T195" s="1" t="n">
        <x:f>IF(L195=1,MAX(0,I195+AB195-MIN(Q195,E195+P195)),"n.a.")</x:f>
        <x:v>0</x:v>
      </x:c>
      <x:c r="U195" s="9" t="n">
        <x:f>IF(ISNUMBER(T195),T195*G195,"n.a.")</x:f>
        <x:v>0</x:v>
      </x:c>
      <x:c r="V195" s="25" t="n">
        <x:f>IF(Dashboard!$I$6="Flat %",1,IF(ISNUMBER(H195),1,0))</x:f>
        <x:v>1</x:v>
      </x:c>
      <x:c r="W195" s="9" t="n">
        <x:f>IF(Dashboard!$I$6="Flat %",G195*(1+Dashboard!$L$6),H195)</x:f>
        <x:v>0.03675</x:v>
      </x:c>
      <x:c r="X195" s="9" t="n">
        <x:f>IF(V195=1,R195*(W195-G195),"n.a.")</x:f>
        <x:v>11.034702258726895</x:v>
      </x:c>
      <x:c r="Y195" s="9" t="n">
        <x:f>IF(V195=1,R195*W195,"n.a.")</x:f>
        <x:v>77.2429158110883</x:v>
      </x:c>
      <x:c r="Z195" s="1" t="n">
        <x:f>IF(ISNUMBER(T195),R195-T195,"n.a.")</x:f>
        <x:v>2101.848049281314</x:v>
      </x:c>
      <x:c r="AA195" s="1" t="str">
        <x:f>'Inventory inputs'!R195</x:f>
        <x:v>Classified</x:v>
      </x:c>
      <x:c r="AB195" s="1" t="n">
        <x:f>IF(L195=1,SUMIFS('Incoming POs'!$P$2:$P$305,'Incoming POs'!$A$2:$A$305,A195,'Incoming POs'!$B$2:$B$305,B195,'Incoming POs'!$C$2:$C$305,C195,'Incoming POs'!$G$2:$G$305,"&gt;="&amp;D195,'Incoming POs'!$G$2:$G$305,"&lt;"&amp;Dashboard!$I$5,'Incoming POs'!$Q$2:$Q$305,"&lt;="&amp;('Inventory inputs'!P195/'Inventory inputs'!J195*1.01)),"n.a.")</x:f>
        <x:v>0</x:v>
      </x:c>
      <x:c r="AC195" s="9" t="n">
        <x:f>I195*G195</x:f>
        <x:v>0</x:v>
      </x:c>
      <x:c r="AD195" s="9" t="n">
        <x:f>J195*G195</x:f>
        <x:v>0</x:v>
      </x:c>
      <x:c r="AE195" s="9" t="n">
        <x:f>K195*G195</x:f>
        <x:v>0</x:v>
      </x:c>
      <x:c r="AF195" s="9" t="n">
        <x:f>R195*G195</x:f>
        <x:v>66.2082135523614</x:v>
      </x:c>
    </x:row>
    <x:row r="196" ht="21" customHeight="1">
      <x:c r="A196" s="1" t="str">
        <x:f>'Inventory inputs'!A196</x:f>
        <x:v>PLAS</x:v>
      </x:c>
      <x:c r="B196" s="1" t="str">
        <x:f>'Inventory inputs'!B196</x:f>
        <x:v>60</x:v>
      </x:c>
      <x:c r="C196" s="1" t="str">
        <x:f>'Inventory inputs'!C196</x:f>
        <x:v>11419RSLBLK</x:v>
      </x:c>
      <x:c r="D196" s="7" t="n">
        <x:f>'Inventory inputs'!E196</x:f>
        <x:v>46303</x:v>
      </x:c>
      <x:c r="E196" s="1" t="n">
        <x:f>'Inventory inputs'!F196</x:f>
        <x:v>4650</x:v>
      </x:c>
      <x:c r="F196" s="1" t="n">
        <x:f>'Inventory inputs'!G196</x:f>
        <x:v>675</x:v>
      </x:c>
      <x:c r="G196" s="1" t="n">
        <x:f>'Inventory inputs'!H196/'Inventory inputs'!J196</x:f>
        <x:v>0.111</x:v>
      </x:c>
      <x:c r="H196" s="1" t="n">
        <x:f>IF('Inventory inputs'!I196&gt;0,'Inventory inputs'!I196*'Inventory inputs'!K196/'Inventory inputs'!J196,"n.a.")</x:f>
        <x:v>0.129801</x:v>
      </x:c>
      <x:c r="I196" s="1" t="n">
        <x:f>'Inventory inputs'!L196</x:f>
        <x:v>0</x:v>
      </x:c>
      <x:c r="J196" s="1" t="n">
        <x:f>'Inventory inputs'!M196</x:f>
        <x:v>0</x:v>
      </x:c>
      <x:c r="K196" s="1" t="n">
        <x:f>'Inventory inputs'!N196</x:f>
        <x:v>4650</x:v>
      </x:c>
      <x:c r="L196" s="1" t="n">
        <x:f>'Inventory inputs'!O196</x:f>
        <x:v>0</x:v>
      </x:c>
      <x:c r="M196" s="9" t="n">
        <x:f>E196*G196</x:f>
        <x:v>516.15</x:v>
      </x:c>
      <x:c r="N196" s="9" t="n">
        <x:f>'Inventory inputs'!Q196</x:f>
        <x:v>516.15</x:v>
      </x:c>
      <x:c r="O196" s="9" t="n">
        <x:f>N196-M196</x:f>
        <x:v>0</x:v>
      </x:c>
      <x:c r="P196" s="1" t="n">
        <x:f>SUMIFS('Incoming POs'!$P$2:$P$305,'Incoming POs'!$A$2:$A$305,A196,'Incoming POs'!$B$2:$B$305,B196,'Incoming POs'!$C$2:$C$305,C196,'Incoming POs'!$G$2:$G$305,"&gt;="&amp;D196,'Incoming POs'!$G$2:$G$305,"&lt;"&amp;Dashboard!$I$5)</x:f>
        <x:v>0</x:v>
      </x:c>
      <x:c r="Q196" s="1" t="n">
        <x:f>F196*Dashboard!$L$5*MAX(0,Dashboard!$I$5-D196)/30.4375</x:f>
        <x:v>898.1519507186858</x:v>
      </x:c>
      <x:c r="R196" s="1" t="n">
        <x:f>MAX(0,E196+P196-Q196)</x:f>
        <x:v>3751.848049281314</x:v>
      </x:c>
      <x:c r="S196" s="1" t="n">
        <x:f>MAX(0,Q196-E196-P196)</x:f>
        <x:v>0</x:v>
      </x:c>
      <x:c r="T196" s="1" t="str">
        <x:f>IF(L196=1,MAX(0,I196+AB196-MIN(Q196,E196+P196)),"n.a.")</x:f>
        <x:v>n.a.</x:v>
      </x:c>
      <x:c r="U196" s="9" t="str">
        <x:f>IF(ISNUMBER(T196),T196*G196,"n.a.")</x:f>
        <x:v>n.a.</x:v>
      </x:c>
      <x:c r="V196" s="25" t="n">
        <x:f>IF(Dashboard!$I$6="Flat %",1,IF(ISNUMBER(H196),1,0))</x:f>
        <x:v>1</x:v>
      </x:c>
      <x:c r="W196" s="9" t="n">
        <x:f>IF(Dashboard!$I$6="Flat %",G196*(1+Dashboard!$L$6),H196)</x:f>
        <x:v>0.129801</x:v>
      </x:c>
      <x:c r="X196" s="9" t="n">
        <x:f>IF(V196=1,R196*(W196-G196),"n.a.")</x:f>
        <x:v>70.53849517453799</x:v>
      </x:c>
      <x:c r="Y196" s="9" t="n">
        <x:f>IF(V196=1,R196*W196,"n.a.")</x:f>
        <x:v>486.9936286447639</x:v>
      </x:c>
      <x:c r="Z196" s="1" t="str">
        <x:f>IF(ISNUMBER(T196),R196-T196,"n.a.")</x:f>
        <x:v>n.a.</x:v>
      </x:c>
      <x:c r="AA196" s="1" t="str">
        <x:f>'Inventory inputs'!R196</x:f>
        <x:v>Review receipt reconciliation or original PO baseline</x:v>
      </x:c>
      <x:c r="AB196" s="1" t="str">
        <x:f>IF(L196=1,SUMIFS('Incoming POs'!$P$2:$P$305,'Incoming POs'!$A$2:$A$305,A196,'Incoming POs'!$B$2:$B$305,B196,'Incoming POs'!$C$2:$C$305,C196,'Incoming POs'!$G$2:$G$305,"&gt;="&amp;D196,'Incoming POs'!$G$2:$G$305,"&lt;"&amp;Dashboard!$I$5,'Incoming POs'!$Q$2:$Q$305,"&lt;="&amp;('Inventory inputs'!P196/'Inventory inputs'!J196*1.01)),"n.a.")</x:f>
        <x:v>n.a.</x:v>
      </x:c>
      <x:c r="AC196" s="9" t="n">
        <x:f>I196*G196</x:f>
        <x:v>0</x:v>
      </x:c>
      <x:c r="AD196" s="9" t="n">
        <x:f>J196*G196</x:f>
        <x:v>0</x:v>
      </x:c>
      <x:c r="AE196" s="9" t="n">
        <x:f>K196*G196</x:f>
        <x:v>516.15</x:v>
      </x:c>
      <x:c r="AF196" s="9" t="n">
        <x:f>R196*G196</x:f>
        <x:v>416.45513347022586</x:v>
      </x:c>
    </x:row>
    <x:row r="197" ht="21" customHeight="1">
      <x:c r="A197" s="1" t="str">
        <x:f>'Inventory inputs'!A197</x:f>
        <x:v>PLAS</x:v>
      </x:c>
      <x:c r="B197" s="1" t="str">
        <x:f>'Inventory inputs'!B197</x:f>
        <x:v>30</x:v>
      </x:c>
      <x:c r="C197" s="1" t="str">
        <x:f>'Inventory inputs'!C197</x:f>
        <x:v>71615RWBBLK</x:v>
      </x:c>
      <x:c r="D197" s="7" t="n">
        <x:f>'Inventory inputs'!E197</x:f>
        <x:v>46303</x:v>
      </x:c>
      <x:c r="E197" s="1" t="n">
        <x:f>'Inventory inputs'!F197</x:f>
        <x:v>6100</x:v>
      </x:c>
      <x:c r="F197" s="1" t="n">
        <x:f>'Inventory inputs'!G197</x:f>
        <x:v>666.67</x:v>
      </x:c>
      <x:c r="G197" s="1" t="n">
        <x:f>'Inventory inputs'!H197/'Inventory inputs'!J197</x:f>
        <x:v>0.0219</x:v>
      </x:c>
      <x:c r="H197" s="1" t="n">
        <x:f>IF('Inventory inputs'!I197&gt;0,'Inventory inputs'!I197*'Inventory inputs'!K197/'Inventory inputs'!J197,"n.a.")</x:f>
        <x:v>0.025578</x:v>
      </x:c>
      <x:c r="I197" s="1" t="n">
        <x:f>'Inventory inputs'!L197</x:f>
        <x:v>0</x:v>
      </x:c>
      <x:c r="J197" s="1" t="n">
        <x:f>'Inventory inputs'!M197</x:f>
        <x:v>0</x:v>
      </x:c>
      <x:c r="K197" s="1" t="n">
        <x:f>'Inventory inputs'!N197</x:f>
        <x:v>6100</x:v>
      </x:c>
      <x:c r="L197" s="1" t="n">
        <x:f>'Inventory inputs'!O197</x:f>
        <x:v>0</x:v>
      </x:c>
      <x:c r="M197" s="9" t="n">
        <x:f>E197*G197</x:f>
        <x:v>133.59</x:v>
      </x:c>
      <x:c r="N197" s="9" t="n">
        <x:f>'Inventory inputs'!Q197</x:f>
        <x:v>133.59</x:v>
      </x:c>
      <x:c r="O197" s="9" t="n">
        <x:f>N197-M197</x:f>
        <x:v>0</x:v>
      </x:c>
      <x:c r="P197" s="1" t="n">
        <x:f>SUMIFS('Incoming POs'!$P$2:$P$305,'Incoming POs'!$A$2:$A$305,A197,'Incoming POs'!$B$2:$B$305,B197,'Incoming POs'!$C$2:$C$305,C197,'Incoming POs'!$G$2:$G$305,"&gt;="&amp;D197,'Incoming POs'!$G$2:$G$305,"&lt;"&amp;Dashboard!$I$5)</x:f>
        <x:v>0</x:v>
      </x:c>
      <x:c r="Q197" s="1" t="n">
        <x:f>F197*Dashboard!$L$5*MAX(0,Dashboard!$I$5-D197)/30.4375</x:f>
        <x:v>887.0680903490759</x:v>
      </x:c>
      <x:c r="R197" s="1" t="n">
        <x:f>MAX(0,E197+P197-Q197)</x:f>
        <x:v>5212.931909650924</x:v>
      </x:c>
      <x:c r="S197" s="1" t="n">
        <x:f>MAX(0,Q197-E197-P197)</x:f>
        <x:v>0</x:v>
      </x:c>
      <x:c r="T197" s="1" t="str">
        <x:f>IF(L197=1,MAX(0,I197+AB197-MIN(Q197,E197+P197)),"n.a.")</x:f>
        <x:v>n.a.</x:v>
      </x:c>
      <x:c r="U197" s="9" t="str">
        <x:f>IF(ISNUMBER(T197),T197*G197,"n.a.")</x:f>
        <x:v>n.a.</x:v>
      </x:c>
      <x:c r="V197" s="25" t="n">
        <x:f>IF(Dashboard!$I$6="Flat %",1,IF(ISNUMBER(H197),1,0))</x:f>
        <x:v>1</x:v>
      </x:c>
      <x:c r="W197" s="9" t="n">
        <x:f>IF(Dashboard!$I$6="Flat %",G197*(1+Dashboard!$L$6),H197)</x:f>
        <x:v>0.025578</x:v>
      </x:c>
      <x:c r="X197" s="9" t="n">
        <x:f>IF(V197=1,R197*(W197-G197),"n.a.")</x:f>
        <x:v>19.173163563696104</x:v>
      </x:c>
      <x:c r="Y197" s="9" t="n">
        <x:f>IF(V197=1,R197*W197,"n.a.")</x:f>
        <x:v>133.33637238505133</x:v>
      </x:c>
      <x:c r="Z197" s="1" t="str">
        <x:f>IF(ISNUMBER(T197),R197-T197,"n.a.")</x:f>
        <x:v>n.a.</x:v>
      </x:c>
      <x:c r="AA197" s="1" t="str">
        <x:f>'Inventory inputs'!R197</x:f>
        <x:v>Review receipt reconciliation or original PO baseline</x:v>
      </x:c>
      <x:c r="AB197" s="1" t="str">
        <x:f>IF(L197=1,SUMIFS('Incoming POs'!$P$2:$P$305,'Incoming POs'!$A$2:$A$305,A197,'Incoming POs'!$B$2:$B$305,B197,'Incoming POs'!$C$2:$C$305,C197,'Incoming POs'!$G$2:$G$305,"&gt;="&amp;D197,'Incoming POs'!$G$2:$G$305,"&lt;"&amp;Dashboard!$I$5,'Incoming POs'!$Q$2:$Q$305,"&lt;="&amp;('Inventory inputs'!P197/'Inventory inputs'!J197*1.01)),"n.a.")</x:f>
        <x:v>n.a.</x:v>
      </x:c>
      <x:c r="AC197" s="9" t="n">
        <x:f>I197*G197</x:f>
        <x:v>0</x:v>
      </x:c>
      <x:c r="AD197" s="9" t="n">
        <x:f>J197*G197</x:f>
        <x:v>0</x:v>
      </x:c>
      <x:c r="AE197" s="9" t="n">
        <x:f>K197*G197</x:f>
        <x:v>133.59</x:v>
      </x:c>
      <x:c r="AF197" s="9" t="n">
        <x:f>R197*G197</x:f>
        <x:v>114.16320882135524</x:v>
      </x:c>
    </x:row>
    <x:row r="198" ht="21" customHeight="1">
      <x:c r="A198" s="1" t="str">
        <x:f>'Inventory inputs'!A198</x:f>
        <x:v>PLAS</x:v>
      </x:c>
      <x:c r="B198" s="1" t="str">
        <x:f>'Inventory inputs'!B198</x:f>
        <x:v>60</x:v>
      </x:c>
      <x:c r="C198" s="1" t="str">
        <x:f>'Inventory inputs'!C198</x:f>
        <x:v>13419RSLBLK</x:v>
      </x:c>
      <x:c r="D198" s="7" t="n">
        <x:f>'Inventory inputs'!E198</x:f>
        <x:v>46303</x:v>
      </x:c>
      <x:c r="E198" s="1" t="n">
        <x:f>'Inventory inputs'!F198</x:f>
        <x:v>600</x:v>
      </x:c>
      <x:c r="F198" s="1" t="n">
        <x:f>'Inventory inputs'!G198</x:f>
        <x:v>650</x:v>
      </x:c>
      <x:c r="G198" s="1" t="n">
        <x:f>'Inventory inputs'!H198/'Inventory inputs'!J198</x:f>
        <x:v>0.1457</x:v>
      </x:c>
      <x:c r="H198" s="1" t="n">
        <x:f>IF('Inventory inputs'!I198&gt;0,'Inventory inputs'!I198*'Inventory inputs'!K198/'Inventory inputs'!J198,"n.a.")</x:f>
        <x:v>0.170373</x:v>
      </x:c>
      <x:c r="I198" s="1" t="n">
        <x:f>'Inventory inputs'!L198</x:f>
        <x:v>0</x:v>
      </x:c>
      <x:c r="J198" s="1" t="n">
        <x:f>'Inventory inputs'!M198</x:f>
        <x:v>0</x:v>
      </x:c>
      <x:c r="K198" s="1" t="n">
        <x:f>'Inventory inputs'!N198</x:f>
        <x:v>600</x:v>
      </x:c>
      <x:c r="L198" s="1" t="n">
        <x:f>'Inventory inputs'!O198</x:f>
        <x:v>0</x:v>
      </x:c>
      <x:c r="M198" s="9" t="n">
        <x:f>E198*G198</x:f>
        <x:v>87.42</x:v>
      </x:c>
      <x:c r="N198" s="9" t="n">
        <x:f>'Inventory inputs'!Q198</x:f>
        <x:v>87.42</x:v>
      </x:c>
      <x:c r="O198" s="9" t="n">
        <x:f>N198-M198</x:f>
        <x:v>0</x:v>
      </x:c>
      <x:c r="P198" s="1" t="n">
        <x:f>SUMIFS('Incoming POs'!$P$2:$P$305,'Incoming POs'!$A$2:$A$305,A198,'Incoming POs'!$B$2:$B$305,B198,'Incoming POs'!$C$2:$C$305,C198,'Incoming POs'!$G$2:$G$305,"&gt;="&amp;D198,'Incoming POs'!$G$2:$G$305,"&lt;"&amp;Dashboard!$I$5)</x:f>
        <x:v>0</x:v>
      </x:c>
      <x:c r="Q198" s="1" t="n">
        <x:f>F198*Dashboard!$L$5*MAX(0,Dashboard!$I$5-D198)/30.4375</x:f>
        <x:v>864.8870636550308</x:v>
      </x:c>
      <x:c r="R198" s="1" t="n">
        <x:f>MAX(0,E198+P198-Q198)</x:f>
        <x:v>0</x:v>
      </x:c>
      <x:c r="S198" s="1" t="n">
        <x:f>MAX(0,Q198-E198-P198)</x:f>
        <x:v>264.88706365503083</x:v>
      </x:c>
      <x:c r="T198" s="1" t="str">
        <x:f>IF(L198=1,MAX(0,I198+AB198-MIN(Q198,E198+P198)),"n.a.")</x:f>
        <x:v>n.a.</x:v>
      </x:c>
      <x:c r="U198" s="9" t="str">
        <x:f>IF(ISNUMBER(T198),T198*G198,"n.a.")</x:f>
        <x:v>n.a.</x:v>
      </x:c>
      <x:c r="V198" s="25" t="n">
        <x:f>IF(Dashboard!$I$6="Flat %",1,IF(ISNUMBER(H198),1,0))</x:f>
        <x:v>1</x:v>
      </x:c>
      <x:c r="W198" s="9" t="n">
        <x:f>IF(Dashboard!$I$6="Flat %",G198*(1+Dashboard!$L$6),H198)</x:f>
        <x:v>0.170373</x:v>
      </x:c>
      <x:c r="X198" s="9" t="n">
        <x:f>IF(V198=1,R198*(W198-G198),"n.a.")</x:f>
        <x:v>0</x:v>
      </x:c>
      <x:c r="Y198" s="9" t="n">
        <x:f>IF(V198=1,R198*W198,"n.a.")</x:f>
        <x:v>0</x:v>
      </x:c>
      <x:c r="Z198" s="1" t="str">
        <x:f>IF(ISNUMBER(T198),R198-T198,"n.a.")</x:f>
        <x:v>n.a.</x:v>
      </x:c>
      <x:c r="AA198" s="1" t="str">
        <x:f>'Inventory inputs'!R198</x:f>
        <x:v>Review receipt reconciliation or original PO baseline</x:v>
      </x:c>
      <x:c r="AB198" s="1" t="str">
        <x:f>IF(L198=1,SUMIFS('Incoming POs'!$P$2:$P$305,'Incoming POs'!$A$2:$A$305,A198,'Incoming POs'!$B$2:$B$305,B198,'Incoming POs'!$C$2:$C$305,C198,'Incoming POs'!$G$2:$G$305,"&gt;="&amp;D198,'Incoming POs'!$G$2:$G$305,"&lt;"&amp;Dashboard!$I$5,'Incoming POs'!$Q$2:$Q$305,"&lt;="&amp;('Inventory inputs'!P198/'Inventory inputs'!J198*1.01)),"n.a.")</x:f>
        <x:v>n.a.</x:v>
      </x:c>
      <x:c r="AC198" s="9" t="n">
        <x:f>I198*G198</x:f>
        <x:v>0</x:v>
      </x:c>
      <x:c r="AD198" s="9" t="n">
        <x:f>J198*G198</x:f>
        <x:v>0</x:v>
      </x:c>
      <x:c r="AE198" s="9" t="n">
        <x:f>K198*G198</x:f>
        <x:v>87.42</x:v>
      </x:c>
      <x:c r="AF198" s="9" t="n">
        <x:f>R198*G198</x:f>
        <x:v>0</x:v>
      </x:c>
    </x:row>
    <x:row r="199" ht="21" customHeight="1">
      <x:c r="A199" s="1" t="str">
        <x:f>'Inventory inputs'!A199</x:f>
        <x:v>PLAS</x:v>
      </x:c>
      <x:c r="B199" s="1" t="str">
        <x:f>'Inventory inputs'!B199</x:f>
        <x:v>10</x:v>
      </x:c>
      <x:c r="C199" s="1" t="str">
        <x:f>'Inventory inputs'!C199</x:f>
        <x:v>07821RWBBLK</x:v>
      </x:c>
      <x:c r="D199" s="7" t="n">
        <x:f>'Inventory inputs'!E199</x:f>
        <x:v>46303</x:v>
      </x:c>
      <x:c r="E199" s="1" t="n">
        <x:f>'Inventory inputs'!F199</x:f>
        <x:v>11184</x:v>
      </x:c>
      <x:c r="F199" s="1" t="n">
        <x:f>'Inventory inputs'!G199</x:f>
        <x:v>625.75</x:v>
      </x:c>
      <x:c r="G199" s="1" t="n">
        <x:f>'Inventory inputs'!H199/'Inventory inputs'!J199</x:f>
        <x:v>0.0759</x:v>
      </x:c>
      <x:c r="H199" s="1" t="n">
        <x:f>IF('Inventory inputs'!I199&gt;0,'Inventory inputs'!I199*'Inventory inputs'!K199/'Inventory inputs'!J199,"n.a.")</x:f>
        <x:v>0.088788</x:v>
      </x:c>
      <x:c r="I199" s="1" t="n">
        <x:f>'Inventory inputs'!L199</x:f>
        <x:v>8184</x:v>
      </x:c>
      <x:c r="J199" s="1" t="n">
        <x:f>'Inventory inputs'!M199</x:f>
        <x:v>3000</x:v>
      </x:c>
      <x:c r="K199" s="1" t="n">
        <x:f>'Inventory inputs'!N199</x:f>
        <x:v>0</x:v>
      </x:c>
      <x:c r="L199" s="1" t="n">
        <x:f>'Inventory inputs'!O199</x:f>
        <x:v>1</x:v>
      </x:c>
      <x:c r="M199" s="9" t="n">
        <x:f>E199*G199</x:f>
        <x:v>848.8656</x:v>
      </x:c>
      <x:c r="N199" s="9" t="n">
        <x:f>'Inventory inputs'!Q199</x:f>
        <x:v>848.8656</x:v>
      </x:c>
      <x:c r="O199" s="9" t="n">
        <x:f>N199-M199</x:f>
        <x:v>0</x:v>
      </x:c>
      <x:c r="P199" s="1" t="n">
        <x:f>SUMIFS('Incoming POs'!$P$2:$P$305,'Incoming POs'!$A$2:$A$305,A199,'Incoming POs'!$B$2:$B$305,B199,'Incoming POs'!$C$2:$C$305,C199,'Incoming POs'!$G$2:$G$305,"&gt;="&amp;D199,'Incoming POs'!$G$2:$G$305,"&lt;"&amp;Dashboard!$I$5)</x:f>
        <x:v>0</x:v>
      </x:c>
      <x:c r="Q199" s="1" t="n">
        <x:f>F199*Dashboard!$L$5*MAX(0,Dashboard!$I$5-D199)/30.4375</x:f>
        <x:v>832.6201232032854</x:v>
      </x:c>
      <x:c r="R199" s="1" t="n">
        <x:f>MAX(0,E199+P199-Q199)</x:f>
        <x:v>10351.379876796715</x:v>
      </x:c>
      <x:c r="S199" s="1" t="n">
        <x:f>MAX(0,Q199-E199-P199)</x:f>
        <x:v>0</x:v>
      </x:c>
      <x:c r="T199" s="1" t="n">
        <x:f>IF(L199=1,MAX(0,I199+AB199-MIN(Q199,E199+P199)),"n.a.")</x:f>
        <x:v>7351.379876796715</x:v>
      </x:c>
      <x:c r="U199" s="9" t="n">
        <x:f>IF(ISNUMBER(T199),T199*G199,"n.a.")</x:f>
        <x:v>557.9697326488706</x:v>
      </x:c>
      <x:c r="V199" s="25" t="n">
        <x:f>IF(Dashboard!$I$6="Flat %",1,IF(ISNUMBER(H199),1,0))</x:f>
        <x:v>1</x:v>
      </x:c>
      <x:c r="W199" s="9" t="n">
        <x:f>IF(Dashboard!$I$6="Flat %",G199*(1+Dashboard!$L$6),H199)</x:f>
        <x:v>0.088788</x:v>
      </x:c>
      <x:c r="X199" s="9" t="n">
        <x:f>IF(V199=1,R199*(W199-G199),"n.a.")</x:f>
        <x:v>133.40858385215617</x:v>
      </x:c>
      <x:c r="Y199" s="9" t="n">
        <x:f>IF(V199=1,R199*W199,"n.a.")</x:f>
        <x:v>919.0783165010267</x:v>
      </x:c>
      <x:c r="Z199" s="1" t="n">
        <x:f>IF(ISNUMBER(T199),R199-T199,"n.a.")</x:f>
        <x:v>3000</x:v>
      </x:c>
      <x:c r="AA199" s="1" t="str">
        <x:f>'Inventory inputs'!R199</x:f>
        <x:v>Classified</x:v>
      </x:c>
      <x:c r="AB199" s="1" t="n">
        <x:f>IF(L199=1,SUMIFS('Incoming POs'!$P$2:$P$305,'Incoming POs'!$A$2:$A$305,A199,'Incoming POs'!$B$2:$B$305,B199,'Incoming POs'!$C$2:$C$305,C199,'Incoming POs'!$G$2:$G$305,"&gt;="&amp;D199,'Incoming POs'!$G$2:$G$305,"&lt;"&amp;Dashboard!$I$5,'Incoming POs'!$Q$2:$Q$305,"&lt;="&amp;('Inventory inputs'!P199/'Inventory inputs'!J199*1.01)),"n.a.")</x:f>
        <x:v>0</x:v>
      </x:c>
      <x:c r="AC199" s="9" t="n">
        <x:f>I199*G199</x:f>
        <x:v>621.1655999999999</x:v>
      </x:c>
      <x:c r="AD199" s="9" t="n">
        <x:f>J199*G199</x:f>
        <x:v>227.7</x:v>
      </x:c>
      <x:c r="AE199" s="9" t="n">
        <x:f>K199*G199</x:f>
        <x:v>0</x:v>
      </x:c>
      <x:c r="AF199" s="9" t="n">
        <x:f>R199*G199</x:f>
        <x:v>785.6697326488705</x:v>
      </x:c>
    </x:row>
    <x:row r="200" ht="21" customHeight="1">
      <x:c r="A200" s="1" t="str">
        <x:f>'Inventory inputs'!A200</x:f>
        <x:v>PLAS</x:v>
      </x:c>
      <x:c r="B200" s="1" t="str">
        <x:f>'Inventory inputs'!B200</x:f>
        <x:v>60</x:v>
      </x:c>
      <x:c r="C200" s="1" t="str">
        <x:f>'Inventory inputs'!C200</x:f>
        <x:v>01219RWBNAV</x:v>
      </x:c>
      <x:c r="D200" s="7" t="n">
        <x:f>'Inventory inputs'!E200</x:f>
        <x:v>46303</x:v>
      </x:c>
      <x:c r="E200" s="1" t="n">
        <x:f>'Inventory inputs'!F200</x:f>
        <x:v>6000</x:v>
      </x:c>
      <x:c r="F200" s="1" t="n">
        <x:f>'Inventory inputs'!G200</x:f>
        <x:v>616.67</x:v>
      </x:c>
      <x:c r="G200" s="1" t="n">
        <x:f>'Inventory inputs'!H200/'Inventory inputs'!J200</x:f>
        <x:v>0.036000000000000004</x:v>
      </x:c>
      <x:c r="H200" s="1" t="n">
        <x:f>IF('Inventory inputs'!I200&gt;0,'Inventory inputs'!I200*'Inventory inputs'!K200/'Inventory inputs'!J200,"n.a.")</x:f>
        <x:v>0.042189</x:v>
      </x:c>
      <x:c r="I200" s="1" t="n">
        <x:f>'Inventory inputs'!L200</x:f>
        <x:v>0</x:v>
      </x:c>
      <x:c r="J200" s="1" t="n">
        <x:f>'Inventory inputs'!M200</x:f>
        <x:v>0</x:v>
      </x:c>
      <x:c r="K200" s="1" t="n">
        <x:f>'Inventory inputs'!N200</x:f>
        <x:v>6000</x:v>
      </x:c>
      <x:c r="L200" s="1" t="n">
        <x:f>'Inventory inputs'!O200</x:f>
        <x:v>0</x:v>
      </x:c>
      <x:c r="M200" s="9" t="n">
        <x:f>E200*G200</x:f>
        <x:v>216.00000000000003</x:v>
      </x:c>
      <x:c r="N200" s="9" t="n">
        <x:f>'Inventory inputs'!Q200</x:f>
        <x:v>216</x:v>
      </x:c>
      <x:c r="O200" s="9" t="n">
        <x:f>N200-M200</x:f>
        <x:v>-2.842170943040401e-14</x:v>
      </x:c>
      <x:c r="P200" s="1" t="n">
        <x:f>SUMIFS('Incoming POs'!$P$2:$P$305,'Incoming POs'!$A$2:$A$305,A200,'Incoming POs'!$B$2:$B$305,B200,'Incoming POs'!$C$2:$C$305,C200,'Incoming POs'!$G$2:$G$305,"&gt;="&amp;D200,'Incoming POs'!$G$2:$G$305,"&lt;"&amp;Dashboard!$I$5)</x:f>
        <x:v>0</x:v>
      </x:c>
      <x:c r="Q200" s="1" t="n">
        <x:f>F200*Dashboard!$L$5*MAX(0,Dashboard!$I$5-D200)/30.4375</x:f>
        <x:v>820.5383162217659</x:v>
      </x:c>
      <x:c r="R200" s="1" t="n">
        <x:f>MAX(0,E200+P200-Q200)</x:f>
        <x:v>5179.461683778234</x:v>
      </x:c>
      <x:c r="S200" s="1" t="n">
        <x:f>MAX(0,Q200-E200-P200)</x:f>
        <x:v>0</x:v>
      </x:c>
      <x:c r="T200" s="1" t="str">
        <x:f>IF(L200=1,MAX(0,I200+AB200-MIN(Q200,E200+P200)),"n.a.")</x:f>
        <x:v>n.a.</x:v>
      </x:c>
      <x:c r="U200" s="9" t="str">
        <x:f>IF(ISNUMBER(T200),T200*G200,"n.a.")</x:f>
        <x:v>n.a.</x:v>
      </x:c>
      <x:c r="V200" s="25" t="n">
        <x:f>IF(Dashboard!$I$6="Flat %",1,IF(ISNUMBER(H200),1,0))</x:f>
        <x:v>1</x:v>
      </x:c>
      <x:c r="W200" s="9" t="n">
        <x:f>IF(Dashboard!$I$6="Flat %",G200*(1+Dashboard!$L$6),H200)</x:f>
        <x:v>0.042189</x:v>
      </x:c>
      <x:c r="X200" s="9" t="n">
        <x:f>IF(V200=1,R200*(W200-G200),"n.a.")</x:f>
        <x:v>32.05568836090345</x:v>
      </x:c>
      <x:c r="Y200" s="9" t="n">
        <x:f>IF(V200=1,R200*W200,"n.a.")</x:f>
        <x:v>218.5163089769199</x:v>
      </x:c>
      <x:c r="Z200" s="1" t="str">
        <x:f>IF(ISNUMBER(T200),R200-T200,"n.a.")</x:f>
        <x:v>n.a.</x:v>
      </x:c>
      <x:c r="AA200" s="1" t="str">
        <x:f>'Inventory inputs'!R200</x:f>
        <x:v>Review receipt reconciliation or original PO baseline</x:v>
      </x:c>
      <x:c r="AB200" s="1" t="str">
        <x:f>IF(L200=1,SUMIFS('Incoming POs'!$P$2:$P$305,'Incoming POs'!$A$2:$A$305,A200,'Incoming POs'!$B$2:$B$305,B200,'Incoming POs'!$C$2:$C$305,C200,'Incoming POs'!$G$2:$G$305,"&gt;="&amp;D200,'Incoming POs'!$G$2:$G$305,"&lt;"&amp;Dashboard!$I$5,'Incoming POs'!$Q$2:$Q$305,"&lt;="&amp;('Inventory inputs'!P200/'Inventory inputs'!J200*1.01)),"n.a.")</x:f>
        <x:v>n.a.</x:v>
      </x:c>
      <x:c r="AC200" s="9" t="n">
        <x:f>I200*G200</x:f>
        <x:v>0</x:v>
      </x:c>
      <x:c r="AD200" s="9" t="n">
        <x:f>J200*G200</x:f>
        <x:v>0</x:v>
      </x:c>
      <x:c r="AE200" s="9" t="n">
        <x:f>K200*G200</x:f>
        <x:v>216.00000000000003</x:v>
      </x:c>
      <x:c r="AF200" s="9" t="n">
        <x:f>R200*G200</x:f>
        <x:v>186.46062061601646</x:v>
      </x:c>
    </x:row>
    <x:row r="201" ht="21" customHeight="1">
      <x:c r="A201" s="1" t="str">
        <x:f>'Inventory inputs'!A201</x:f>
        <x:v>PLAS</x:v>
      </x:c>
      <x:c r="B201" s="1" t="str">
        <x:f>'Inventory inputs'!B201</x:f>
        <x:v>10</x:v>
      </x:c>
      <x:c r="C201" s="1" t="str">
        <x:f>'Inventory inputs'!C201</x:f>
        <x:v>71619RWBRED</x:v>
      </x:c>
      <x:c r="D201" s="7" t="n">
        <x:f>'Inventory inputs'!E201</x:f>
        <x:v>46303</x:v>
      </x:c>
      <x:c r="E201" s="1" t="n">
        <x:f>'Inventory inputs'!F201</x:f>
        <x:v>0</x:v>
      </x:c>
      <x:c r="F201" s="1" t="n">
        <x:f>'Inventory inputs'!G201</x:f>
        <x:v>600</x:v>
      </x:c>
      <x:c r="G201" s="1" t="n">
        <x:f>'Inventory inputs'!H201/'Inventory inputs'!J201</x:f>
        <x:v>0.0315</x:v>
      </x:c>
      <x:c r="H201" s="1" t="n">
        <x:f>IF('Inventory inputs'!I201&gt;0,'Inventory inputs'!I201*'Inventory inputs'!K201/'Inventory inputs'!J201,"n.a.")</x:f>
        <x:v>0.03675</x:v>
      </x:c>
      <x:c r="I201" s="1" t="n">
        <x:f>'Inventory inputs'!L201</x:f>
        <x:v>0</x:v>
      </x:c>
      <x:c r="J201" s="1" t="n">
        <x:f>'Inventory inputs'!M201</x:f>
        <x:v>0</x:v>
      </x:c>
      <x:c r="K201" s="1" t="n">
        <x:f>'Inventory inputs'!N201</x:f>
        <x:v>0</x:v>
      </x:c>
      <x:c r="L201" s="1" t="n">
        <x:f>'Inventory inputs'!O201</x:f>
        <x:v>1</x:v>
      </x:c>
      <x:c r="M201" s="9" t="n">
        <x:f>E201*G201</x:f>
        <x:v>0</x:v>
      </x:c>
      <x:c r="N201" s="9" t="n">
        <x:f>'Inventory inputs'!Q201</x:f>
        <x:v>0</x:v>
      </x:c>
      <x:c r="O201" s="9" t="n">
        <x:f>N201-M201</x:f>
        <x:v>0</x:v>
      </x:c>
      <x:c r="P201" s="1" t="n">
        <x:f>SUMIFS('Incoming POs'!$P$2:$P$305,'Incoming POs'!$A$2:$A$305,A201,'Incoming POs'!$B$2:$B$305,B201,'Incoming POs'!$C$2:$C$305,C201,'Incoming POs'!$G$2:$G$305,"&gt;="&amp;D201,'Incoming POs'!$G$2:$G$305,"&lt;"&amp;Dashboard!$I$5)</x:f>
        <x:v>5000</x:v>
      </x:c>
      <x:c r="Q201" s="1" t="n">
        <x:f>F201*Dashboard!$L$5*MAX(0,Dashboard!$I$5-D201)/30.4375</x:f>
        <x:v>798.3572895277207</x:v>
      </x:c>
      <x:c r="R201" s="1" t="n">
        <x:f>MAX(0,E201+P201-Q201)</x:f>
        <x:v>4201.642710472279</x:v>
      </x:c>
      <x:c r="S201" s="1" t="n">
        <x:f>MAX(0,Q201-E201-P201)</x:f>
        <x:v>0</x:v>
      </x:c>
      <x:c r="T201" s="1" t="n">
        <x:f>IF(L201=1,MAX(0,I201+AB201-MIN(Q201,E201+P201)),"n.a.")</x:f>
        <x:v>0</x:v>
      </x:c>
      <x:c r="U201" s="9" t="n">
        <x:f>IF(ISNUMBER(T201),T201*G201,"n.a.")</x:f>
        <x:v>0</x:v>
      </x:c>
      <x:c r="V201" s="25" t="n">
        <x:f>IF(Dashboard!$I$6="Flat %",1,IF(ISNUMBER(H201),1,0))</x:f>
        <x:v>1</x:v>
      </x:c>
      <x:c r="W201" s="9" t="n">
        <x:f>IF(Dashboard!$I$6="Flat %",G201*(1+Dashboard!$L$6),H201)</x:f>
        <x:v>0.03675</x:v>
      </x:c>
      <x:c r="X201" s="9" t="n">
        <x:f>IF(V201=1,R201*(W201-G201),"n.a.")</x:f>
        <x:v>22.058624229979454</x:v>
      </x:c>
      <x:c r="Y201" s="9" t="n">
        <x:f>IF(V201=1,R201*W201,"n.a.")</x:f>
        <x:v>154.41036960985625</x:v>
      </x:c>
      <x:c r="Z201" s="1" t="n">
        <x:f>IF(ISNUMBER(T201),R201-T201,"n.a.")</x:f>
        <x:v>4201.642710472279</x:v>
      </x:c>
      <x:c r="AA201" s="1" t="str">
        <x:f>'Inventory inputs'!R201</x:f>
        <x:v>Classified</x:v>
      </x:c>
      <x:c r="AB201" s="1" t="n">
        <x:f>IF(L201=1,SUMIFS('Incoming POs'!$P$2:$P$305,'Incoming POs'!$A$2:$A$305,A201,'Incoming POs'!$B$2:$B$305,B201,'Incoming POs'!$C$2:$C$305,C201,'Incoming POs'!$G$2:$G$305,"&gt;="&amp;D201,'Incoming POs'!$G$2:$G$305,"&lt;"&amp;Dashboard!$I$5,'Incoming POs'!$Q$2:$Q$305,"&lt;="&amp;('Inventory inputs'!P201/'Inventory inputs'!J201*1.01)),"n.a.")</x:f>
        <x:v>0</x:v>
      </x:c>
      <x:c r="AC201" s="9" t="n">
        <x:f>I201*G201</x:f>
        <x:v>0</x:v>
      </x:c>
      <x:c r="AD201" s="9" t="n">
        <x:f>J201*G201</x:f>
        <x:v>0</x:v>
      </x:c>
      <x:c r="AE201" s="9" t="n">
        <x:f>K201*G201</x:f>
        <x:v>0</x:v>
      </x:c>
      <x:c r="AF201" s="9" t="n">
        <x:f>R201*G201</x:f>
        <x:v>132.35174537987677</x:v>
      </x:c>
    </x:row>
    <x:row r="202" ht="21" customHeight="1">
      <x:c r="A202" s="1" t="str">
        <x:f>'Inventory inputs'!A202</x:f>
        <x:v>PLAS</x:v>
      </x:c>
      <x:c r="B202" s="1" t="str">
        <x:f>'Inventory inputs'!B202</x:f>
        <x:v>30</x:v>
      </x:c>
      <x:c r="C202" s="1" t="str">
        <x:f>'Inventory inputs'!C202</x:f>
        <x:v>03819RWBFG</x:v>
      </x:c>
      <x:c r="D202" s="7" t="n">
        <x:f>'Inventory inputs'!E202</x:f>
        <x:v>46303</x:v>
      </x:c>
      <x:c r="E202" s="1" t="n">
        <x:f>'Inventory inputs'!F202</x:f>
        <x:v>5400</x:v>
      </x:c>
      <x:c r="F202" s="1" t="n">
        <x:f>'Inventory inputs'!G202</x:f>
        <x:v>600</x:v>
      </x:c>
      <x:c r="G202" s="1" t="n">
        <x:f>'Inventory inputs'!H202/'Inventory inputs'!J202</x:f>
        <x:v>0.0248</x:v>
      </x:c>
      <x:c r="H202" s="1" t="n">
        <x:f>IF('Inventory inputs'!I202&gt;0,'Inventory inputs'!I202*'Inventory inputs'!K202/'Inventory inputs'!J202,"n.a.")</x:f>
        <x:v>0.029106</x:v>
      </x:c>
      <x:c r="I202" s="1" t="n">
        <x:f>'Inventory inputs'!L202</x:f>
        <x:v>0</x:v>
      </x:c>
      <x:c r="J202" s="1" t="n">
        <x:f>'Inventory inputs'!M202</x:f>
        <x:v>0</x:v>
      </x:c>
      <x:c r="K202" s="1" t="n">
        <x:f>'Inventory inputs'!N202</x:f>
        <x:v>5400</x:v>
      </x:c>
      <x:c r="L202" s="1" t="n">
        <x:f>'Inventory inputs'!O202</x:f>
        <x:v>0</x:v>
      </x:c>
      <x:c r="M202" s="9" t="n">
        <x:f>E202*G202</x:f>
        <x:v>133.92</x:v>
      </x:c>
      <x:c r="N202" s="9" t="n">
        <x:f>'Inventory inputs'!Q202</x:f>
        <x:v>133.92000000000002</x:v>
      </x:c>
      <x:c r="O202" s="9" t="n">
        <x:f>N202-M202</x:f>
        <x:v>2.842170943040401e-14</x:v>
      </x:c>
      <x:c r="P202" s="1" t="n">
        <x:f>SUMIFS('Incoming POs'!$P$2:$P$305,'Incoming POs'!$A$2:$A$305,A202,'Incoming POs'!$B$2:$B$305,B202,'Incoming POs'!$C$2:$C$305,C202,'Incoming POs'!$G$2:$G$305,"&gt;="&amp;D202,'Incoming POs'!$G$2:$G$305,"&lt;"&amp;Dashboard!$I$5)</x:f>
        <x:v>0</x:v>
      </x:c>
      <x:c r="Q202" s="1" t="n">
        <x:f>F202*Dashboard!$L$5*MAX(0,Dashboard!$I$5-D202)/30.4375</x:f>
        <x:v>798.3572895277207</x:v>
      </x:c>
      <x:c r="R202" s="1" t="n">
        <x:f>MAX(0,E202+P202-Q202)</x:f>
        <x:v>4601.642710472279</x:v>
      </x:c>
      <x:c r="S202" s="1" t="n">
        <x:f>MAX(0,Q202-E202-P202)</x:f>
        <x:v>0</x:v>
      </x:c>
      <x:c r="T202" s="1" t="str">
        <x:f>IF(L202=1,MAX(0,I202+AB202-MIN(Q202,E202+P202)),"n.a.")</x:f>
        <x:v>n.a.</x:v>
      </x:c>
      <x:c r="U202" s="9" t="str">
        <x:f>IF(ISNUMBER(T202),T202*G202,"n.a.")</x:f>
        <x:v>n.a.</x:v>
      </x:c>
      <x:c r="V202" s="25" t="n">
        <x:f>IF(Dashboard!$I$6="Flat %",1,IF(ISNUMBER(H202),1,0))</x:f>
        <x:v>1</x:v>
      </x:c>
      <x:c r="W202" s="9" t="n">
        <x:f>IF(Dashboard!$I$6="Flat %",G202*(1+Dashboard!$L$6),H202)</x:f>
        <x:v>0.029106</x:v>
      </x:c>
      <x:c r="X202" s="9" t="n">
        <x:f>IF(V202=1,R202*(W202-G202),"n.a.")</x:f>
        <x:v>19.814673511293638</x:v>
      </x:c>
      <x:c r="Y202" s="9" t="n">
        <x:f>IF(V202=1,R202*W202,"n.a.")</x:f>
        <x:v>133.93541273100615</x:v>
      </x:c>
      <x:c r="Z202" s="1" t="str">
        <x:f>IF(ISNUMBER(T202),R202-T202,"n.a.")</x:f>
        <x:v>n.a.</x:v>
      </x:c>
      <x:c r="AA202" s="1" t="str">
        <x:f>'Inventory inputs'!R202</x:f>
        <x:v>Review receipt reconciliation or original PO baseline</x:v>
      </x:c>
      <x:c r="AB202" s="1" t="str">
        <x:f>IF(L202=1,SUMIFS('Incoming POs'!$P$2:$P$305,'Incoming POs'!$A$2:$A$305,A202,'Incoming POs'!$B$2:$B$305,B202,'Incoming POs'!$C$2:$C$305,C202,'Incoming POs'!$G$2:$G$305,"&gt;="&amp;D202,'Incoming POs'!$G$2:$G$305,"&lt;"&amp;Dashboard!$I$5,'Incoming POs'!$Q$2:$Q$305,"&lt;="&amp;('Inventory inputs'!P202/'Inventory inputs'!J202*1.01)),"n.a.")</x:f>
        <x:v>n.a.</x:v>
      </x:c>
      <x:c r="AC202" s="9" t="n">
        <x:f>I202*G202</x:f>
        <x:v>0</x:v>
      </x:c>
      <x:c r="AD202" s="9" t="n">
        <x:f>J202*G202</x:f>
        <x:v>0</x:v>
      </x:c>
      <x:c r="AE202" s="9" t="n">
        <x:f>K202*G202</x:f>
        <x:v>133.92</x:v>
      </x:c>
      <x:c r="AF202" s="9" t="n">
        <x:f>R202*G202</x:f>
        <x:v>114.1207392197125</x:v>
      </x:c>
    </x:row>
    <x:row r="203" ht="21" customHeight="1">
      <x:c r="A203" s="1" t="str">
        <x:f>'Inventory inputs'!A203</x:f>
        <x:v>PLAS</x:v>
      </x:c>
      <x:c r="B203" s="1" t="str">
        <x:f>'Inventory inputs'!B203</x:f>
        <x:v>10</x:v>
      </x:c>
      <x:c r="C203" s="1" t="str">
        <x:f>'Inventory inputs'!C203</x:f>
        <x:v>91619RWBWHT</x:v>
      </x:c>
      <x:c r="D203" s="7" t="n">
        <x:f>'Inventory inputs'!E203</x:f>
        <x:v>46303</x:v>
      </x:c>
      <x:c r="E203" s="1" t="n">
        <x:f>'Inventory inputs'!F203</x:f>
        <x:v>4496</x:v>
      </x:c>
      <x:c r="F203" s="1" t="n">
        <x:f>'Inventory inputs'!G203</x:f>
        <x:v>592.01</x:v>
      </x:c>
      <x:c r="G203" s="1" t="n">
        <x:f>'Inventory inputs'!H203/'Inventory inputs'!J203</x:f>
        <x:v>0.042800000000000005</x:v>
      </x:c>
      <x:c r="H203" s="1" t="n">
        <x:f>IF('Inventory inputs'!I203&gt;0,'Inventory inputs'!I203*'Inventory inputs'!K203/'Inventory inputs'!J203,"n.a.")</x:f>
        <x:v>0.049980000000000004</x:v>
      </x:c>
      <x:c r="I203" s="1" t="n">
        <x:f>'Inventory inputs'!L203</x:f>
        <x:v>3496</x:v>
      </x:c>
      <x:c r="J203" s="1" t="n">
        <x:f>'Inventory inputs'!M203</x:f>
        <x:v>1000</x:v>
      </x:c>
      <x:c r="K203" s="1" t="n">
        <x:f>'Inventory inputs'!N203</x:f>
        <x:v>0</x:v>
      </x:c>
      <x:c r="L203" s="1" t="n">
        <x:f>'Inventory inputs'!O203</x:f>
        <x:v>1</x:v>
      </x:c>
      <x:c r="M203" s="9" t="n">
        <x:f>E203*G203</x:f>
        <x:v>192.42880000000002</x:v>
      </x:c>
      <x:c r="N203" s="9" t="n">
        <x:f>'Inventory inputs'!Q203</x:f>
        <x:v>192.42880000000002</x:v>
      </x:c>
      <x:c r="O203" s="9" t="n">
        <x:f>N203-M203</x:f>
        <x:v>0</x:v>
      </x:c>
      <x:c r="P203" s="1" t="n">
        <x:f>SUMIFS('Incoming POs'!$P$2:$P$305,'Incoming POs'!$A$2:$A$305,A203,'Incoming POs'!$B$2:$B$305,B203,'Incoming POs'!$C$2:$C$305,C203,'Incoming POs'!$G$2:$G$305,"&gt;="&amp;D203,'Incoming POs'!$G$2:$G$305,"&lt;"&amp;Dashboard!$I$5)</x:f>
        <x:v>1000</x:v>
      </x:c>
      <x:c r="Q203" s="1" t="n">
        <x:f>F203*Dashboard!$L$5*MAX(0,Dashboard!$I$5-D203)/30.4375</x:f>
        <x:v>787.7258316221765</x:v>
      </x:c>
      <x:c r="R203" s="1" t="n">
        <x:f>MAX(0,E203+P203-Q203)</x:f>
        <x:v>4708.274168377823</x:v>
      </x:c>
      <x:c r="S203" s="1" t="n">
        <x:f>MAX(0,Q203-E203-P203)</x:f>
        <x:v>0</x:v>
      </x:c>
      <x:c r="T203" s="1" t="n">
        <x:f>IF(L203=1,MAX(0,I203+AB203-MIN(Q203,E203+P203)),"n.a.")</x:f>
        <x:v>2708.2741683778236</x:v>
      </x:c>
      <x:c r="U203" s="9" t="n">
        <x:f>IF(ISNUMBER(T203),T203*G203,"n.a.")</x:f>
        <x:v>115.91413440657087</x:v>
      </x:c>
      <x:c r="V203" s="25" t="n">
        <x:f>IF(Dashboard!$I$6="Flat %",1,IF(ISNUMBER(H203),1,0))</x:f>
        <x:v>1</x:v>
      </x:c>
      <x:c r="W203" s="9" t="n">
        <x:f>IF(Dashboard!$I$6="Flat %",G203*(1+Dashboard!$L$6),H203)</x:f>
        <x:v>0.049980000000000004</x:v>
      </x:c>
      <x:c r="X203" s="9" t="n">
        <x:f>IF(V203=1,R203*(W203-G203),"n.a.")</x:f>
        <x:v>33.80540852895277</x:v>
      </x:c>
      <x:c r="Y203" s="9" t="n">
        <x:f>IF(V203=1,R203*W203,"n.a.")</x:f>
        <x:v>235.31954293552363</x:v>
      </x:c>
      <x:c r="Z203" s="1" t="n">
        <x:f>IF(ISNUMBER(T203),R203-T203,"n.a.")</x:f>
        <x:v>1999.9999999999995</x:v>
      </x:c>
      <x:c r="AA203" s="1" t="str">
        <x:f>'Inventory inputs'!R203</x:f>
        <x:v>Classified</x:v>
      </x:c>
      <x:c r="AB203" s="1" t="n">
        <x:f>IF(L203=1,SUMIFS('Incoming POs'!$P$2:$P$305,'Incoming POs'!$A$2:$A$305,A203,'Incoming POs'!$B$2:$B$305,B203,'Incoming POs'!$C$2:$C$305,C203,'Incoming POs'!$G$2:$G$305,"&gt;="&amp;D203,'Incoming POs'!$G$2:$G$305,"&lt;"&amp;Dashboard!$I$5,'Incoming POs'!$Q$2:$Q$305,"&lt;="&amp;('Inventory inputs'!P203/'Inventory inputs'!J203*1.01)),"n.a.")</x:f>
        <x:v>0</x:v>
      </x:c>
      <x:c r="AC203" s="9" t="n">
        <x:f>I203*G203</x:f>
        <x:v>149.6288</x:v>
      </x:c>
      <x:c r="AD203" s="9" t="n">
        <x:f>J203*G203</x:f>
        <x:v>42.800000000000004</x:v>
      </x:c>
      <x:c r="AE203" s="9" t="n">
        <x:f>K203*G203</x:f>
        <x:v>0</x:v>
      </x:c>
      <x:c r="AF203" s="9" t="n">
        <x:f>R203*G203</x:f>
        <x:v>201.51413440657086</x:v>
      </x:c>
    </x:row>
    <x:row r="204" ht="21" customHeight="1">
      <x:c r="A204" s="1" t="str">
        <x:f>'Inventory inputs'!A204</x:f>
        <x:v>PLAS</x:v>
      </x:c>
      <x:c r="B204" s="1" t="str">
        <x:f>'Inventory inputs'!B204</x:f>
        <x:v>10</x:v>
      </x:c>
      <x:c r="C204" s="1" t="str">
        <x:f>'Inventory inputs'!C204</x:f>
        <x:v>51619RWBRED</x:v>
      </x:c>
      <x:c r="D204" s="7" t="n">
        <x:f>'Inventory inputs'!E204</x:f>
        <x:v>46303</x:v>
      </x:c>
      <x:c r="E204" s="1" t="n">
        <x:f>'Inventory inputs'!F204</x:f>
        <x:v>4100</x:v>
      </x:c>
      <x:c r="F204" s="1" t="n">
        <x:f>'Inventory inputs'!G204</x:f>
        <x:v>591.67</x:v>
      </x:c>
      <x:c r="G204" s="1" t="n">
        <x:f>'Inventory inputs'!H204/'Inventory inputs'!J204</x:f>
        <x:v>0.0216</x:v>
      </x:c>
      <x:c r="H204" s="1" t="n">
        <x:f>IF('Inventory inputs'!I204&gt;0,'Inventory inputs'!I204*'Inventory inputs'!K204/'Inventory inputs'!J204,"n.a.")</x:f>
        <x:v>0.025284</x:v>
      </x:c>
      <x:c r="I204" s="1" t="n">
        <x:f>'Inventory inputs'!L204</x:f>
        <x:v>3100</x:v>
      </x:c>
      <x:c r="J204" s="1" t="n">
        <x:f>'Inventory inputs'!M204</x:f>
        <x:v>1000</x:v>
      </x:c>
      <x:c r="K204" s="1" t="n">
        <x:f>'Inventory inputs'!N204</x:f>
        <x:v>0</x:v>
      </x:c>
      <x:c r="L204" s="1" t="n">
        <x:f>'Inventory inputs'!O204</x:f>
        <x:v>1</x:v>
      </x:c>
      <x:c r="M204" s="9" t="n">
        <x:f>E204*G204</x:f>
        <x:v>88.56</x:v>
      </x:c>
      <x:c r="N204" s="9" t="n">
        <x:f>'Inventory inputs'!Q204</x:f>
        <x:v>88.56</x:v>
      </x:c>
      <x:c r="O204" s="9" t="n">
        <x:f>N204-M204</x:f>
        <x:v>0</x:v>
      </x:c>
      <x:c r="P204" s="1" t="n">
        <x:f>SUMIFS('Incoming POs'!$P$2:$P$305,'Incoming POs'!$A$2:$A$305,A204,'Incoming POs'!$B$2:$B$305,B204,'Incoming POs'!$C$2:$C$305,C204,'Incoming POs'!$G$2:$G$305,"&gt;="&amp;D204,'Incoming POs'!$G$2:$G$305,"&lt;"&amp;Dashboard!$I$5)</x:f>
        <x:v>0</x:v>
      </x:c>
      <x:c r="Q204" s="1" t="n">
        <x:f>F204*Dashboard!$L$5*MAX(0,Dashboard!$I$5-D204)/30.4375</x:f>
        <x:v>787.2734291581108</x:v>
      </x:c>
      <x:c r="R204" s="1" t="n">
        <x:f>MAX(0,E204+P204-Q204)</x:f>
        <x:v>3312.726570841889</x:v>
      </x:c>
      <x:c r="S204" s="1" t="n">
        <x:f>MAX(0,Q204-E204-P204)</x:f>
        <x:v>0</x:v>
      </x:c>
      <x:c r="T204" s="1" t="n">
        <x:f>IF(L204=1,MAX(0,I204+AB204-MIN(Q204,E204+P204)),"n.a.")</x:f>
        <x:v>2312.726570841889</x:v>
      </x:c>
      <x:c r="U204" s="9" t="n">
        <x:f>IF(ISNUMBER(T204),T204*G204,"n.a.")</x:f>
        <x:v>49.95489393018481</x:v>
      </x:c>
      <x:c r="V204" s="25" t="n">
        <x:f>IF(Dashboard!$I$6="Flat %",1,IF(ISNUMBER(H204),1,0))</x:f>
        <x:v>1</x:v>
      </x:c>
      <x:c r="W204" s="9" t="n">
        <x:f>IF(Dashboard!$I$6="Flat %",G204*(1+Dashboard!$L$6),H204)</x:f>
        <x:v>0.025284</x:v>
      </x:c>
      <x:c r="X204" s="9" t="n">
        <x:f>IF(V204=1,R204*(W204-G204),"n.a.")</x:f>
        <x:v>12.204084686981519</x:v>
      </x:c>
      <x:c r="Y204" s="9" t="n">
        <x:f>IF(V204=1,R204*W204,"n.a.")</x:f>
        <x:v>83.75897861716632</x:v>
      </x:c>
      <x:c r="Z204" s="1" t="n">
        <x:f>IF(ISNUMBER(T204),R204-T204,"n.a.")</x:f>
        <x:v>1000</x:v>
      </x:c>
      <x:c r="AA204" s="1" t="str">
        <x:f>'Inventory inputs'!R204</x:f>
        <x:v>Classified</x:v>
      </x:c>
      <x:c r="AB204" s="1" t="n">
        <x:f>IF(L204=1,SUMIFS('Incoming POs'!$P$2:$P$305,'Incoming POs'!$A$2:$A$305,A204,'Incoming POs'!$B$2:$B$305,B204,'Incoming POs'!$C$2:$C$305,C204,'Incoming POs'!$G$2:$G$305,"&gt;="&amp;D204,'Incoming POs'!$G$2:$G$305,"&lt;"&amp;Dashboard!$I$5,'Incoming POs'!$Q$2:$Q$305,"&lt;="&amp;('Inventory inputs'!P204/'Inventory inputs'!J204*1.01)),"n.a.")</x:f>
        <x:v>0</x:v>
      </x:c>
      <x:c r="AC204" s="9" t="n">
        <x:f>I204*G204</x:f>
        <x:v>66.96000000000001</x:v>
      </x:c>
      <x:c r="AD204" s="9" t="n">
        <x:f>J204*G204</x:f>
        <x:v>21.6</x:v>
      </x:c>
      <x:c r="AE204" s="9" t="n">
        <x:f>K204*G204</x:f>
        <x:v>0</x:v>
      </x:c>
      <x:c r="AF204" s="9" t="n">
        <x:f>R204*G204</x:f>
        <x:v>71.5548939301848</x:v>
      </x:c>
    </x:row>
    <x:row r="205" ht="21" customHeight="1">
      <x:c r="A205" s="1" t="str">
        <x:f>'Inventory inputs'!A205</x:f>
        <x:v>PLAS</x:v>
      </x:c>
      <x:c r="B205" s="1" t="str">
        <x:f>'Inventory inputs'!B205</x:f>
        <x:v>10</x:v>
      </x:c>
      <x:c r="C205" s="1" t="str">
        <x:f>'Inventory inputs'!C205</x:f>
        <x:v>01419RWBFG</x:v>
      </x:c>
      <x:c r="D205" s="7" t="n">
        <x:f>'Inventory inputs'!E205</x:f>
        <x:v>46303</x:v>
      </x:c>
      <x:c r="E205" s="1" t="n">
        <x:f>'Inventory inputs'!F205</x:f>
        <x:v>5800</x:v>
      </x:c>
      <x:c r="F205" s="1" t="n">
        <x:f>'Inventory inputs'!G205</x:f>
        <x:v>591.66</x:v>
      </x:c>
      <x:c r="G205" s="1" t="n">
        <x:f>'Inventory inputs'!H205/'Inventory inputs'!J205</x:f>
        <x:v>0.0181</x:v>
      </x:c>
      <x:c r="H205" s="1" t="n">
        <x:f>IF('Inventory inputs'!I205&gt;0,'Inventory inputs'!I205*'Inventory inputs'!K205/'Inventory inputs'!J205,"n.a.")</x:f>
        <x:v>0.021168</x:v>
      </x:c>
      <x:c r="I205" s="1" t="n">
        <x:f>'Inventory inputs'!L205</x:f>
        <x:v>4800</x:v>
      </x:c>
      <x:c r="J205" s="1" t="n">
        <x:f>'Inventory inputs'!M205</x:f>
        <x:v>1000</x:v>
      </x:c>
      <x:c r="K205" s="1" t="n">
        <x:f>'Inventory inputs'!N205</x:f>
        <x:v>0</x:v>
      </x:c>
      <x:c r="L205" s="1" t="n">
        <x:f>'Inventory inputs'!O205</x:f>
        <x:v>1</x:v>
      </x:c>
      <x:c r="M205" s="9" t="n">
        <x:f>E205*G205</x:f>
        <x:v>104.98</x:v>
      </x:c>
      <x:c r="N205" s="9" t="n">
        <x:f>'Inventory inputs'!Q205</x:f>
        <x:v>104.98</x:v>
      </x:c>
      <x:c r="O205" s="9" t="n">
        <x:f>N205-M205</x:f>
        <x:v>0</x:v>
      </x:c>
      <x:c r="P205" s="1" t="n">
        <x:f>SUMIFS('Incoming POs'!$P$2:$P$305,'Incoming POs'!$A$2:$A$305,A205,'Incoming POs'!$B$2:$B$305,B205,'Incoming POs'!$C$2:$C$305,C205,'Incoming POs'!$G$2:$G$305,"&gt;="&amp;D205,'Incoming POs'!$G$2:$G$305,"&lt;"&amp;Dashboard!$I$5)</x:f>
        <x:v>5000</x:v>
      </x:c>
      <x:c r="Q205" s="1" t="n">
        <x:f>F205*Dashboard!$L$5*MAX(0,Dashboard!$I$5-D205)/30.4375</x:f>
        <x:v>787.2601232032854</x:v>
      </x:c>
      <x:c r="R205" s="1" t="n">
        <x:f>MAX(0,E205+P205-Q205)</x:f>
        <x:v>10012.739876796715</x:v>
      </x:c>
      <x:c r="S205" s="1" t="n">
        <x:f>MAX(0,Q205-E205-P205)</x:f>
        <x:v>0</x:v>
      </x:c>
      <x:c r="T205" s="1" t="n">
        <x:f>IF(L205=1,MAX(0,I205+AB205-MIN(Q205,E205+P205)),"n.a.")</x:f>
        <x:v>4012.7398767967147</x:v>
      </x:c>
      <x:c r="U205" s="9" t="n">
        <x:f>IF(ISNUMBER(T205),T205*G205,"n.a.")</x:f>
        <x:v>72.63059177002054</x:v>
      </x:c>
      <x:c r="V205" s="25" t="n">
        <x:f>IF(Dashboard!$I$6="Flat %",1,IF(ISNUMBER(H205),1,0))</x:f>
        <x:v>1</x:v>
      </x:c>
      <x:c r="W205" s="9" t="n">
        <x:f>IF(Dashboard!$I$6="Flat %",G205*(1+Dashboard!$L$6),H205)</x:f>
        <x:v>0.021168</x:v>
      </x:c>
      <x:c r="X205" s="9" t="n">
        <x:f>IF(V205=1,R205*(W205-G205),"n.a.")</x:f>
        <x:v>30.7190859420123</x:v>
      </x:c>
      <x:c r="Y205" s="9" t="n">
        <x:f>IF(V205=1,R205*W205,"n.a.")</x:f>
        <x:v>211.94967771203287</x:v>
      </x:c>
      <x:c r="Z205" s="1" t="n">
        <x:f>IF(ISNUMBER(T205),R205-T205,"n.a.")</x:f>
        <x:v>6000</x:v>
      </x:c>
      <x:c r="AA205" s="1" t="str">
        <x:f>'Inventory inputs'!R205</x:f>
        <x:v>Classified</x:v>
      </x:c>
      <x:c r="AB205" s="1" t="n">
        <x:f>IF(L205=1,SUMIFS('Incoming POs'!$P$2:$P$305,'Incoming POs'!$A$2:$A$305,A205,'Incoming POs'!$B$2:$B$305,B205,'Incoming POs'!$C$2:$C$305,C205,'Incoming POs'!$G$2:$G$305,"&gt;="&amp;D205,'Incoming POs'!$G$2:$G$305,"&lt;"&amp;Dashboard!$I$5,'Incoming POs'!$Q$2:$Q$305,"&lt;="&amp;('Inventory inputs'!P205/'Inventory inputs'!J205*1.01)),"n.a.")</x:f>
        <x:v>0</x:v>
      </x:c>
      <x:c r="AC205" s="9" t="n">
        <x:f>I205*G205</x:f>
        <x:v>86.88000000000001</x:v>
      </x:c>
      <x:c r="AD205" s="9" t="n">
        <x:f>J205*G205</x:f>
        <x:v>18.1</x:v>
      </x:c>
      <x:c r="AE205" s="9" t="n">
        <x:f>K205*G205</x:f>
        <x:v>0</x:v>
      </x:c>
      <x:c r="AF205" s="9" t="n">
        <x:f>R205*G205</x:f>
        <x:v>181.23059177002057</x:v>
      </x:c>
    </x:row>
    <x:row r="206" ht="21" customHeight="1">
      <x:c r="A206" s="1" t="str">
        <x:f>'Inventory inputs'!A206</x:f>
        <x:v>PLAS</x:v>
      </x:c>
      <x:c r="B206" s="1" t="str">
        <x:f>'Inventory inputs'!B206</x:f>
        <x:v>10</x:v>
      </x:c>
      <x:c r="C206" s="1" t="str">
        <x:f>'Inventory inputs'!C206</x:f>
        <x:v>01215RWBWHT</x:v>
      </x:c>
      <x:c r="D206" s="7" t="n">
        <x:f>'Inventory inputs'!E206</x:f>
        <x:v>46303</x:v>
      </x:c>
      <x:c r="E206" s="1" t="n">
        <x:f>'Inventory inputs'!F206</x:f>
        <x:v>21170</x:v>
      </x:c>
      <x:c r="F206" s="1" t="n">
        <x:f>'Inventory inputs'!G206</x:f>
        <x:v>583.33</x:v>
      </x:c>
      <x:c r="G206" s="1" t="n">
        <x:f>'Inventory inputs'!H206/'Inventory inputs'!J206</x:f>
        <x:v>0.025</x:v>
      </x:c>
      <x:c r="H206" s="1" t="n">
        <x:f>IF('Inventory inputs'!I206&gt;0,'Inventory inputs'!I206*'Inventory inputs'!K206/'Inventory inputs'!J206,"n.a.")</x:f>
        <x:v>0.029253</x:v>
      </x:c>
      <x:c r="I206" s="1" t="n">
        <x:f>'Inventory inputs'!L206</x:f>
        <x:v>0</x:v>
      </x:c>
      <x:c r="J206" s="1" t="n">
        <x:f>'Inventory inputs'!M206</x:f>
        <x:v>0</x:v>
      </x:c>
      <x:c r="K206" s="1" t="n">
        <x:f>'Inventory inputs'!N206</x:f>
        <x:v>21170</x:v>
      </x:c>
      <x:c r="L206" s="1" t="n">
        <x:f>'Inventory inputs'!O206</x:f>
        <x:v>0</x:v>
      </x:c>
      <x:c r="M206" s="9" t="n">
        <x:f>E206*G206</x:f>
        <x:v>529.25</x:v>
      </x:c>
      <x:c r="N206" s="9" t="n">
        <x:f>'Inventory inputs'!Q206</x:f>
        <x:v>529.25</x:v>
      </x:c>
      <x:c r="O206" s="9" t="n">
        <x:f>N206-M206</x:f>
        <x:v>0</x:v>
      </x:c>
      <x:c r="P206" s="1" t="n">
        <x:f>SUMIFS('Incoming POs'!$P$2:$P$305,'Incoming POs'!$A$2:$A$305,A206,'Incoming POs'!$B$2:$B$305,B206,'Incoming POs'!$C$2:$C$305,C206,'Incoming POs'!$G$2:$G$305,"&gt;="&amp;D206,'Incoming POs'!$G$2:$G$305,"&lt;"&amp;Dashboard!$I$5)</x:f>
        <x:v>0</x:v>
      </x:c>
      <x:c r="Q206" s="1" t="n">
        <x:f>F206*Dashboard!$L$5*MAX(0,Dashboard!$I$5-D206)/30.4375</x:f>
        <x:v>776.1762628336757</x:v>
      </x:c>
      <x:c r="R206" s="1" t="n">
        <x:f>MAX(0,E206+P206-Q206)</x:f>
        <x:v>20393.823737166324</x:v>
      </x:c>
      <x:c r="S206" s="1" t="n">
        <x:f>MAX(0,Q206-E206-P206)</x:f>
        <x:v>0</x:v>
      </x:c>
      <x:c r="T206" s="1" t="str">
        <x:f>IF(L206=1,MAX(0,I206+AB206-MIN(Q206,E206+P206)),"n.a.")</x:f>
        <x:v>n.a.</x:v>
      </x:c>
      <x:c r="U206" s="9" t="str">
        <x:f>IF(ISNUMBER(T206),T206*G206,"n.a.")</x:f>
        <x:v>n.a.</x:v>
      </x:c>
      <x:c r="V206" s="25" t="n">
        <x:f>IF(Dashboard!$I$6="Flat %",1,IF(ISNUMBER(H206),1,0))</x:f>
        <x:v>1</x:v>
      </x:c>
      <x:c r="W206" s="9" t="n">
        <x:f>IF(Dashboard!$I$6="Flat %",G206*(1+Dashboard!$L$6),H206)</x:f>
        <x:v>0.029253</x:v>
      </x:c>
      <x:c r="X206" s="9" t="n">
        <x:f>IF(V206=1,R206*(W206-G206),"n.a.")</x:f>
        <x:v>86.73493235416836</x:v>
      </x:c>
      <x:c r="Y206" s="9" t="n">
        <x:f>IF(V206=1,R206*W206,"n.a.")</x:f>
        <x:v>596.5805257833265</x:v>
      </x:c>
      <x:c r="Z206" s="1" t="str">
        <x:f>IF(ISNUMBER(T206),R206-T206,"n.a.")</x:f>
        <x:v>n.a.</x:v>
      </x:c>
      <x:c r="AA206" s="1" t="str">
        <x:f>'Inventory inputs'!R206</x:f>
        <x:v>Review receipt reconciliation or original PO baseline</x:v>
      </x:c>
      <x:c r="AB206" s="1" t="str">
        <x:f>IF(L206=1,SUMIFS('Incoming POs'!$P$2:$P$305,'Incoming POs'!$A$2:$A$305,A206,'Incoming POs'!$B$2:$B$305,B206,'Incoming POs'!$C$2:$C$305,C206,'Incoming POs'!$G$2:$G$305,"&gt;="&amp;D206,'Incoming POs'!$G$2:$G$305,"&lt;"&amp;Dashboard!$I$5,'Incoming POs'!$Q$2:$Q$305,"&lt;="&amp;('Inventory inputs'!P206/'Inventory inputs'!J206*1.01)),"n.a.")</x:f>
        <x:v>n.a.</x:v>
      </x:c>
      <x:c r="AC206" s="9" t="n">
        <x:f>I206*G206</x:f>
        <x:v>0</x:v>
      </x:c>
      <x:c r="AD206" s="9" t="n">
        <x:f>J206*G206</x:f>
        <x:v>0</x:v>
      </x:c>
      <x:c r="AE206" s="9" t="n">
        <x:f>K206*G206</x:f>
        <x:v>529.25</x:v>
      </x:c>
      <x:c r="AF206" s="9" t="n">
        <x:f>R206*G206</x:f>
        <x:v>509.8455934291581</x:v>
      </x:c>
    </x:row>
    <x:row r="207" ht="21" customHeight="1">
      <x:c r="A207" s="1" t="str">
        <x:f>'Inventory inputs'!A207</x:f>
        <x:v>PLAS</x:v>
      </x:c>
      <x:c r="B207" s="1" t="str">
        <x:f>'Inventory inputs'!B207</x:f>
        <x:v>10</x:v>
      </x:c>
      <x:c r="C207" s="1" t="str">
        <x:f>'Inventory inputs'!C207</x:f>
        <x:v>05815RWBBRN</x:v>
      </x:c>
      <x:c r="D207" s="7" t="n">
        <x:f>'Inventory inputs'!E207</x:f>
        <x:v>46303</x:v>
      </x:c>
      <x:c r="E207" s="1" t="n">
        <x:f>'Inventory inputs'!F207</x:f>
        <x:v>2130</x:v>
      </x:c>
      <x:c r="F207" s="1" t="n">
        <x:f>'Inventory inputs'!G207</x:f>
        <x:v>583.33</x:v>
      </x:c>
      <x:c r="G207" s="1" t="n">
        <x:f>'Inventory inputs'!H207/'Inventory inputs'!J207</x:f>
        <x:v>0.030899999999999997</x:v>
      </x:c>
      <x:c r="H207" s="1" t="n">
        <x:f>IF('Inventory inputs'!I207&gt;0,'Inventory inputs'!I207*'Inventory inputs'!K207/'Inventory inputs'!J207,"n.a.")</x:f>
        <x:v>0.036162</x:v>
      </x:c>
      <x:c r="I207" s="1" t="n">
        <x:f>'Inventory inputs'!L207</x:f>
        <x:v>2130</x:v>
      </x:c>
      <x:c r="J207" s="1" t="n">
        <x:f>'Inventory inputs'!M207</x:f>
        <x:v>0</x:v>
      </x:c>
      <x:c r="K207" s="1" t="n">
        <x:f>'Inventory inputs'!N207</x:f>
        <x:v>0</x:v>
      </x:c>
      <x:c r="L207" s="1" t="n">
        <x:f>'Inventory inputs'!O207</x:f>
        <x:v>1</x:v>
      </x:c>
      <x:c r="M207" s="9" t="n">
        <x:f>E207*G207</x:f>
        <x:v>65.817</x:v>
      </x:c>
      <x:c r="N207" s="9" t="n">
        <x:f>'Inventory inputs'!Q207</x:f>
        <x:v>65.817</x:v>
      </x:c>
      <x:c r="O207" s="9" t="n">
        <x:f>N207-M207</x:f>
        <x:v>0</x:v>
      </x:c>
      <x:c r="P207" s="1" t="n">
        <x:f>SUMIFS('Incoming POs'!$P$2:$P$305,'Incoming POs'!$A$2:$A$305,A207,'Incoming POs'!$B$2:$B$305,B207,'Incoming POs'!$C$2:$C$305,C207,'Incoming POs'!$G$2:$G$305,"&gt;="&amp;D207,'Incoming POs'!$G$2:$G$305,"&lt;"&amp;Dashboard!$I$5)</x:f>
        <x:v>0</x:v>
      </x:c>
      <x:c r="Q207" s="1" t="n">
        <x:f>F207*Dashboard!$L$5*MAX(0,Dashboard!$I$5-D207)/30.4375</x:f>
        <x:v>776.1762628336757</x:v>
      </x:c>
      <x:c r="R207" s="1" t="n">
        <x:f>MAX(0,E207+P207-Q207)</x:f>
        <x:v>1353.8237371663245</x:v>
      </x:c>
      <x:c r="S207" s="1" t="n">
        <x:f>MAX(0,Q207-E207-P207)</x:f>
        <x:v>0</x:v>
      </x:c>
      <x:c r="T207" s="1" t="n">
        <x:f>IF(L207=1,MAX(0,I207+AB207-MIN(Q207,E207+P207)),"n.a.")</x:f>
        <x:v>1353.8237371663245</x:v>
      </x:c>
      <x:c r="U207" s="9" t="n">
        <x:f>IF(ISNUMBER(T207),T207*G207,"n.a.")</x:f>
        <x:v>41.83315347843942</x:v>
      </x:c>
      <x:c r="V207" s="25" t="n">
        <x:f>IF(Dashboard!$I$6="Flat %",1,IF(ISNUMBER(H207),1,0))</x:f>
        <x:v>1</x:v>
      </x:c>
      <x:c r="W207" s="9" t="n">
        <x:f>IF(Dashboard!$I$6="Flat %",G207*(1+Dashboard!$L$6),H207)</x:f>
        <x:v>0.036162</x:v>
      </x:c>
      <x:c r="X207" s="9" t="n">
        <x:f>IF(V207=1,R207*(W207-G207),"n.a.")</x:f>
        <x:v>7.123820504969203</x:v>
      </x:c>
      <x:c r="Y207" s="9" t="n">
        <x:f>IF(V207=1,R207*W207,"n.a.")</x:f>
        <x:v>48.95697398340862</x:v>
      </x:c>
      <x:c r="Z207" s="1" t="n">
        <x:f>IF(ISNUMBER(T207),R207-T207,"n.a.")</x:f>
        <x:v>0</x:v>
      </x:c>
      <x:c r="AA207" s="1" t="str">
        <x:f>'Inventory inputs'!R207</x:f>
        <x:v>Classified</x:v>
      </x:c>
      <x:c r="AB207" s="1" t="n">
        <x:f>IF(L207=1,SUMIFS('Incoming POs'!$P$2:$P$305,'Incoming POs'!$A$2:$A$305,A207,'Incoming POs'!$B$2:$B$305,B207,'Incoming POs'!$C$2:$C$305,C207,'Incoming POs'!$G$2:$G$305,"&gt;="&amp;D207,'Incoming POs'!$G$2:$G$305,"&lt;"&amp;Dashboard!$I$5,'Incoming POs'!$Q$2:$Q$305,"&lt;="&amp;('Inventory inputs'!P207/'Inventory inputs'!J207*1.01)),"n.a.")</x:f>
        <x:v>0</x:v>
      </x:c>
      <x:c r="AC207" s="9" t="n">
        <x:f>I207*G207</x:f>
        <x:v>65.817</x:v>
      </x:c>
      <x:c r="AD207" s="9" t="n">
        <x:f>J207*G207</x:f>
        <x:v>0</x:v>
      </x:c>
      <x:c r="AE207" s="9" t="n">
        <x:f>K207*G207</x:f>
        <x:v>0</x:v>
      </x:c>
      <x:c r="AF207" s="9" t="n">
        <x:f>R207*G207</x:f>
        <x:v>41.83315347843942</x:v>
      </x:c>
    </x:row>
    <x:row r="208" ht="21" customHeight="1">
      <x:c r="A208" s="1" t="str">
        <x:f>'Inventory inputs'!A208</x:f>
        <x:v>PLAS</x:v>
      </x:c>
      <x:c r="B208" s="1" t="str">
        <x:f>'Inventory inputs'!B208</x:f>
        <x:v>10</x:v>
      </x:c>
      <x:c r="C208" s="1" t="str">
        <x:f>'Inventory inputs'!C208</x:f>
        <x:v>01419RWBMAR</x:v>
      </x:c>
      <x:c r="D208" s="7" t="n">
        <x:f>'Inventory inputs'!E208</x:f>
        <x:v>46303</x:v>
      </x:c>
      <x:c r="E208" s="1" t="n">
        <x:f>'Inventory inputs'!F208</x:f>
        <x:v>5800</x:v>
      </x:c>
      <x:c r="F208" s="1" t="n">
        <x:f>'Inventory inputs'!G208</x:f>
        <x:v>575</x:v>
      </x:c>
      <x:c r="G208" s="1" t="n">
        <x:f>'Inventory inputs'!H208/'Inventory inputs'!J208</x:f>
        <x:v>0.0181</x:v>
      </x:c>
      <x:c r="H208" s="1" t="n">
        <x:f>IF('Inventory inputs'!I208&gt;0,'Inventory inputs'!I208*'Inventory inputs'!K208/'Inventory inputs'!J208,"n.a.")</x:f>
        <x:v>0.021168</x:v>
      </x:c>
      <x:c r="I208" s="1" t="n">
        <x:f>'Inventory inputs'!L208</x:f>
        <x:v>1800</x:v>
      </x:c>
      <x:c r="J208" s="1" t="n">
        <x:f>'Inventory inputs'!M208</x:f>
        <x:v>4000</x:v>
      </x:c>
      <x:c r="K208" s="1" t="n">
        <x:f>'Inventory inputs'!N208</x:f>
        <x:v>0</x:v>
      </x:c>
      <x:c r="L208" s="1" t="n">
        <x:f>'Inventory inputs'!O208</x:f>
        <x:v>1</x:v>
      </x:c>
      <x:c r="M208" s="9" t="n">
        <x:f>E208*G208</x:f>
        <x:v>104.98</x:v>
      </x:c>
      <x:c r="N208" s="9" t="n">
        <x:f>'Inventory inputs'!Q208</x:f>
        <x:v>104.98</x:v>
      </x:c>
      <x:c r="O208" s="9" t="n">
        <x:f>N208-M208</x:f>
        <x:v>0</x:v>
      </x:c>
      <x:c r="P208" s="1" t="n">
        <x:f>SUMIFS('Incoming POs'!$P$2:$P$305,'Incoming POs'!$A$2:$A$305,A208,'Incoming POs'!$B$2:$B$305,B208,'Incoming POs'!$C$2:$C$305,C208,'Incoming POs'!$G$2:$G$305,"&gt;="&amp;D208,'Incoming POs'!$G$2:$G$305,"&lt;"&amp;Dashboard!$I$5)</x:f>
        <x:v>0</x:v>
      </x:c>
      <x:c r="Q208" s="1" t="n">
        <x:f>F208*Dashboard!$L$5*MAX(0,Dashboard!$I$5-D208)/30.4375</x:f>
        <x:v>765.0924024640657</x:v>
      </x:c>
      <x:c r="R208" s="1" t="n">
        <x:f>MAX(0,E208+P208-Q208)</x:f>
        <x:v>5034.907597535935</x:v>
      </x:c>
      <x:c r="S208" s="1" t="n">
        <x:f>MAX(0,Q208-E208-P208)</x:f>
        <x:v>0</x:v>
      </x:c>
      <x:c r="T208" s="1" t="n">
        <x:f>IF(L208=1,MAX(0,I208+AB208-MIN(Q208,E208+P208)),"n.a.")</x:f>
        <x:v>1034.9075975359342</x:v>
      </x:c>
      <x:c r="U208" s="9" t="n">
        <x:f>IF(ISNUMBER(T208),T208*G208,"n.a.")</x:f>
        <x:v>18.73182751540041</x:v>
      </x:c>
      <x:c r="V208" s="25" t="n">
        <x:f>IF(Dashboard!$I$6="Flat %",1,IF(ISNUMBER(H208),1,0))</x:f>
        <x:v>1</x:v>
      </x:c>
      <x:c r="W208" s="9" t="n">
        <x:f>IF(Dashboard!$I$6="Flat %",G208*(1+Dashboard!$L$6),H208)</x:f>
        <x:v>0.021168</x:v>
      </x:c>
      <x:c r="X208" s="9" t="n">
        <x:f>IF(V208=1,R208*(W208-G208),"n.a.")</x:f>
        <x:v>15.447096509240236</x:v>
      </x:c>
      <x:c r="Y208" s="9" t="n">
        <x:f>IF(V208=1,R208*W208,"n.a.")</x:f>
        <x:v>106.57892402464066</x:v>
      </x:c>
      <x:c r="Z208" s="1" t="n">
        <x:f>IF(ISNUMBER(T208),R208-T208,"n.a.")</x:f>
        <x:v>4000.0000000000005</x:v>
      </x:c>
      <x:c r="AA208" s="1" t="str">
        <x:f>'Inventory inputs'!R208</x:f>
        <x:v>Classified</x:v>
      </x:c>
      <x:c r="AB208" s="1" t="n">
        <x:f>IF(L208=1,SUMIFS('Incoming POs'!$P$2:$P$305,'Incoming POs'!$A$2:$A$305,A208,'Incoming POs'!$B$2:$B$305,B208,'Incoming POs'!$C$2:$C$305,C208,'Incoming POs'!$G$2:$G$305,"&gt;="&amp;D208,'Incoming POs'!$G$2:$G$305,"&lt;"&amp;Dashboard!$I$5,'Incoming POs'!$Q$2:$Q$305,"&lt;="&amp;('Inventory inputs'!P208/'Inventory inputs'!J208*1.01)),"n.a.")</x:f>
        <x:v>0</x:v>
      </x:c>
      <x:c r="AC208" s="9" t="n">
        <x:f>I208*G208</x:f>
        <x:v>32.580000000000005</x:v>
      </x:c>
      <x:c r="AD208" s="9" t="n">
        <x:f>J208*G208</x:f>
        <x:v>72.4</x:v>
      </x:c>
      <x:c r="AE208" s="9" t="n">
        <x:f>K208*G208</x:f>
        <x:v>0</x:v>
      </x:c>
      <x:c r="AF208" s="9" t="n">
        <x:f>R208*G208</x:f>
        <x:v>91.13182751540043</x:v>
      </x:c>
    </x:row>
    <x:row r="209" ht="21" customHeight="1">
      <x:c r="A209" s="1" t="str">
        <x:f>'Inventory inputs'!A209</x:f>
        <x:v>PLAS</x:v>
      </x:c>
      <x:c r="B209" s="1" t="str">
        <x:f>'Inventory inputs'!B209</x:f>
        <x:v>10</x:v>
      </x:c>
      <x:c r="C209" s="1" t="str">
        <x:f>'Inventory inputs'!C209</x:f>
        <x:v>00219RSLWHT</x:v>
      </x:c>
      <x:c r="D209" s="7" t="n">
        <x:f>'Inventory inputs'!E209</x:f>
        <x:v>46303</x:v>
      </x:c>
      <x:c r="E209" s="1" t="n">
        <x:f>'Inventory inputs'!F209</x:f>
        <x:v>2520</x:v>
      </x:c>
      <x:c r="F209" s="1" t="n">
        <x:f>'Inventory inputs'!G209</x:f>
        <x:v>574.59</x:v>
      </x:c>
      <x:c r="G209" s="1" t="n">
        <x:f>'Inventory inputs'!H209/'Inventory inputs'!J209</x:f>
        <x:v>0.1477</x:v>
      </x:c>
      <x:c r="H209" s="1" t="n">
        <x:f>IF('Inventory inputs'!I209&gt;0,'Inventory inputs'!I209*'Inventory inputs'!K209/'Inventory inputs'!J209,"n.a.")</x:f>
        <x:v>0.172872</x:v>
      </x:c>
      <x:c r="I209" s="1" t="n">
        <x:f>'Inventory inputs'!L209</x:f>
        <x:v>2520</x:v>
      </x:c>
      <x:c r="J209" s="1" t="n">
        <x:f>'Inventory inputs'!M209</x:f>
        <x:v>0</x:v>
      </x:c>
      <x:c r="K209" s="1" t="n">
        <x:f>'Inventory inputs'!N209</x:f>
        <x:v>0</x:v>
      </x:c>
      <x:c r="L209" s="1" t="n">
        <x:f>'Inventory inputs'!O209</x:f>
        <x:v>1</x:v>
      </x:c>
      <x:c r="M209" s="9" t="n">
        <x:f>E209*G209</x:f>
        <x:v>372.204</x:v>
      </x:c>
      <x:c r="N209" s="9" t="n">
        <x:f>'Inventory inputs'!Q209</x:f>
        <x:v>372.204</x:v>
      </x:c>
      <x:c r="O209" s="9" t="n">
        <x:f>N209-M209</x:f>
        <x:v>0</x:v>
      </x:c>
      <x:c r="P209" s="1" t="n">
        <x:f>SUMIFS('Incoming POs'!$P$2:$P$305,'Incoming POs'!$A$2:$A$305,A209,'Incoming POs'!$B$2:$B$305,B209,'Incoming POs'!$C$2:$C$305,C209,'Incoming POs'!$G$2:$G$305,"&gt;="&amp;D209,'Incoming POs'!$G$2:$G$305,"&lt;"&amp;Dashboard!$I$5)</x:f>
        <x:v>4800</x:v>
      </x:c>
      <x:c r="Q209" s="1" t="n">
        <x:f>F209*Dashboard!$L$5*MAX(0,Dashboard!$I$5-D209)/30.4375</x:f>
        <x:v>764.5468583162218</x:v>
      </x:c>
      <x:c r="R209" s="1" t="n">
        <x:f>MAX(0,E209+P209-Q209)</x:f>
        <x:v>6555.453141683778</x:v>
      </x:c>
      <x:c r="S209" s="1" t="n">
        <x:f>MAX(0,Q209-E209-P209)</x:f>
        <x:v>0</x:v>
      </x:c>
      <x:c r="T209" s="1" t="n">
        <x:f>IF(L209=1,MAX(0,I209+AB209-MIN(Q209,E209+P209)),"n.a.")</x:f>
        <x:v>1755.453141683778</x:v>
      </x:c>
      <x:c r="U209" s="9" t="n">
        <x:f>IF(ISNUMBER(T209),T209*G209,"n.a.")</x:f>
        <x:v>259.28042902669404</x:v>
      </x:c>
      <x:c r="V209" s="25" t="n">
        <x:f>IF(Dashboard!$I$6="Flat %",1,IF(ISNUMBER(H209),1,0))</x:f>
        <x:v>1</x:v>
      </x:c>
      <x:c r="W209" s="9" t="n">
        <x:f>IF(Dashboard!$I$6="Flat %",G209*(1+Dashboard!$L$6),H209)</x:f>
        <x:v>0.172872</x:v>
      </x:c>
      <x:c r="X209" s="9" t="n">
        <x:f>IF(V209=1,R209*(W209-G209),"n.a.")</x:f>
        <x:v>165.01386648246407</x:v>
      </x:c>
      <x:c r="Y209" s="9" t="n">
        <x:f>IF(V209=1,R209*W209,"n.a.")</x:f>
        <x:v>1133.254295509158</x:v>
      </x:c>
      <x:c r="Z209" s="1" t="n">
        <x:f>IF(ISNUMBER(T209),R209-T209,"n.a.")</x:f>
        <x:v>4800</x:v>
      </x:c>
      <x:c r="AA209" s="1" t="str">
        <x:f>'Inventory inputs'!R209</x:f>
        <x:v>Classified</x:v>
      </x:c>
      <x:c r="AB209" s="1" t="n">
        <x:f>IF(L209=1,SUMIFS('Incoming POs'!$P$2:$P$305,'Incoming POs'!$A$2:$A$305,A209,'Incoming POs'!$B$2:$B$305,B209,'Incoming POs'!$C$2:$C$305,C209,'Incoming POs'!$G$2:$G$305,"&gt;="&amp;D209,'Incoming POs'!$G$2:$G$305,"&lt;"&amp;Dashboard!$I$5,'Incoming POs'!$Q$2:$Q$305,"&lt;="&amp;('Inventory inputs'!P209/'Inventory inputs'!J209*1.01)),"n.a.")</x:f>
        <x:v>0</x:v>
      </x:c>
      <x:c r="AC209" s="9" t="n">
        <x:f>I209*G209</x:f>
        <x:v>372.204</x:v>
      </x:c>
      <x:c r="AD209" s="9" t="n">
        <x:f>J209*G209</x:f>
        <x:v>0</x:v>
      </x:c>
      <x:c r="AE209" s="9" t="n">
        <x:f>K209*G209</x:f>
        <x:v>0</x:v>
      </x:c>
      <x:c r="AF209" s="9" t="n">
        <x:f>R209*G209</x:f>
        <x:v>968.240429026694</x:v>
      </x:c>
    </x:row>
    <x:row r="210" ht="21" customHeight="1">
      <x:c r="A210" s="1" t="str">
        <x:f>'Inventory inputs'!A210</x:f>
        <x:v>PLAS</x:v>
      </x:c>
      <x:c r="B210" s="1" t="str">
        <x:f>'Inventory inputs'!B210</x:f>
        <x:v>30</x:v>
      </x:c>
      <x:c r="C210" s="1" t="str">
        <x:f>'Inventory inputs'!C210</x:f>
        <x:v>03819RWBWHT</x:v>
      </x:c>
      <x:c r="D210" s="7" t="n">
        <x:f>'Inventory inputs'!E210</x:f>
        <x:v>46303</x:v>
      </x:c>
      <x:c r="E210" s="1" t="n">
        <x:f>'Inventory inputs'!F210</x:f>
        <x:v>7300</x:v>
      </x:c>
      <x:c r="F210" s="1" t="n">
        <x:f>'Inventory inputs'!G210</x:f>
        <x:v>566.67</x:v>
      </x:c>
      <x:c r="G210" s="1" t="n">
        <x:f>'Inventory inputs'!H210/'Inventory inputs'!J210</x:f>
        <x:v>0.0248</x:v>
      </x:c>
      <x:c r="H210" s="1" t="n">
        <x:f>IF('Inventory inputs'!I210&gt;0,'Inventory inputs'!I210*'Inventory inputs'!K210/'Inventory inputs'!J210,"n.a.")</x:f>
        <x:v>0.029106</x:v>
      </x:c>
      <x:c r="I210" s="1" t="n">
        <x:f>'Inventory inputs'!L210</x:f>
        <x:v>0</x:v>
      </x:c>
      <x:c r="J210" s="1" t="n">
        <x:f>'Inventory inputs'!M210</x:f>
        <x:v>0</x:v>
      </x:c>
      <x:c r="K210" s="1" t="n">
        <x:f>'Inventory inputs'!N210</x:f>
        <x:v>7300</x:v>
      </x:c>
      <x:c r="L210" s="1" t="n">
        <x:f>'Inventory inputs'!O210</x:f>
        <x:v>0</x:v>
      </x:c>
      <x:c r="M210" s="9" t="n">
        <x:f>E210*G210</x:f>
        <x:v>181.04</x:v>
      </x:c>
      <x:c r="N210" s="9" t="n">
        <x:f>'Inventory inputs'!Q210</x:f>
        <x:v>181.04</x:v>
      </x:c>
      <x:c r="O210" s="9" t="n">
        <x:f>N210-M210</x:f>
        <x:v>0</x:v>
      </x:c>
      <x:c r="P210" s="1" t="n">
        <x:f>SUMIFS('Incoming POs'!$P$2:$P$305,'Incoming POs'!$A$2:$A$305,A210,'Incoming POs'!$B$2:$B$305,B210,'Incoming POs'!$C$2:$C$305,C210,'Incoming POs'!$G$2:$G$305,"&gt;="&amp;D210,'Incoming POs'!$G$2:$G$305,"&lt;"&amp;Dashboard!$I$5)</x:f>
        <x:v>0</x:v>
      </x:c>
      <x:c r="Q210" s="1" t="n">
        <x:f>F210*Dashboard!$L$5*MAX(0,Dashboard!$I$5-D210)/30.4375</x:f>
        <x:v>754.0085420944558</x:v>
      </x:c>
      <x:c r="R210" s="1" t="n">
        <x:f>MAX(0,E210+P210-Q210)</x:f>
        <x:v>6545.991457905544</x:v>
      </x:c>
      <x:c r="S210" s="1" t="n">
        <x:f>MAX(0,Q210-E210-P210)</x:f>
        <x:v>0</x:v>
      </x:c>
      <x:c r="T210" s="1" t="str">
        <x:f>IF(L210=1,MAX(0,I210+AB210-MIN(Q210,E210+P210)),"n.a.")</x:f>
        <x:v>n.a.</x:v>
      </x:c>
      <x:c r="U210" s="9" t="str">
        <x:f>IF(ISNUMBER(T210),T210*G210,"n.a.")</x:f>
        <x:v>n.a.</x:v>
      </x:c>
      <x:c r="V210" s="25" t="n">
        <x:f>IF(Dashboard!$I$6="Flat %",1,IF(ISNUMBER(H210),1,0))</x:f>
        <x:v>1</x:v>
      </x:c>
      <x:c r="W210" s="9" t="n">
        <x:f>IF(Dashboard!$I$6="Flat %",G210*(1+Dashboard!$L$6),H210)</x:f>
        <x:v>0.029106</x:v>
      </x:c>
      <x:c r="X210" s="9" t="n">
        <x:f>IF(V210=1,R210*(W210-G210),"n.a.")</x:f>
        <x:v>28.187039217741276</x:v>
      </x:c>
      <x:c r="Y210" s="9" t="n">
        <x:f>IF(V210=1,R210*W210,"n.a.")</x:f>
        <x:v>190.52762737379877</x:v>
      </x:c>
      <x:c r="Z210" s="1" t="str">
        <x:f>IF(ISNUMBER(T210),R210-T210,"n.a.")</x:f>
        <x:v>n.a.</x:v>
      </x:c>
      <x:c r="AA210" s="1" t="str">
        <x:f>'Inventory inputs'!R210</x:f>
        <x:v>Review receipt reconciliation or original PO baseline</x:v>
      </x:c>
      <x:c r="AB210" s="1" t="str">
        <x:f>IF(L210=1,SUMIFS('Incoming POs'!$P$2:$P$305,'Incoming POs'!$A$2:$A$305,A210,'Incoming POs'!$B$2:$B$305,B210,'Incoming POs'!$C$2:$C$305,C210,'Incoming POs'!$G$2:$G$305,"&gt;="&amp;D210,'Incoming POs'!$G$2:$G$305,"&lt;"&amp;Dashboard!$I$5,'Incoming POs'!$Q$2:$Q$305,"&lt;="&amp;('Inventory inputs'!P210/'Inventory inputs'!J210*1.01)),"n.a.")</x:f>
        <x:v>n.a.</x:v>
      </x:c>
      <x:c r="AC210" s="9" t="n">
        <x:f>I210*G210</x:f>
        <x:v>0</x:v>
      </x:c>
      <x:c r="AD210" s="9" t="n">
        <x:f>J210*G210</x:f>
        <x:v>0</x:v>
      </x:c>
      <x:c r="AE210" s="9" t="n">
        <x:f>K210*G210</x:f>
        <x:v>181.04</x:v>
      </x:c>
      <x:c r="AF210" s="9" t="n">
        <x:f>R210*G210</x:f>
        <x:v>162.3405881560575</x:v>
      </x:c>
    </x:row>
    <x:row r="211" ht="21" customHeight="1">
      <x:c r="A211" s="1" t="str">
        <x:f>'Inventory inputs'!A211</x:f>
        <x:v>PLAS</x:v>
      </x:c>
      <x:c r="B211" s="1" t="str">
        <x:f>'Inventory inputs'!B211</x:f>
        <x:v>10</x:v>
      </x:c>
      <x:c r="C211" s="1" t="str">
        <x:f>'Inventory inputs'!C211</x:f>
        <x:v>71619RWBBLU</x:v>
      </x:c>
      <x:c r="D211" s="7" t="n">
        <x:f>'Inventory inputs'!E211</x:f>
        <x:v>46303</x:v>
      </x:c>
      <x:c r="E211" s="1" t="n">
        <x:f>'Inventory inputs'!F211</x:f>
        <x:v>6500</x:v>
      </x:c>
      <x:c r="F211" s="1" t="n">
        <x:f>'Inventory inputs'!G211</x:f>
        <x:v>558.34</x:v>
      </x:c>
      <x:c r="G211" s="1" t="n">
        <x:f>'Inventory inputs'!H211/'Inventory inputs'!J211</x:f>
        <x:v>0.0315</x:v>
      </x:c>
      <x:c r="H211" s="1" t="n">
        <x:f>IF('Inventory inputs'!I211&gt;0,'Inventory inputs'!I211*'Inventory inputs'!K211/'Inventory inputs'!J211,"n.a.")</x:f>
        <x:v>0.03675</x:v>
      </x:c>
      <x:c r="I211" s="1" t="n">
        <x:f>'Inventory inputs'!L211</x:f>
        <x:v>3500</x:v>
      </x:c>
      <x:c r="J211" s="1" t="n">
        <x:f>'Inventory inputs'!M211</x:f>
        <x:v>3000</x:v>
      </x:c>
      <x:c r="K211" s="1" t="n">
        <x:f>'Inventory inputs'!N211</x:f>
        <x:v>0</x:v>
      </x:c>
      <x:c r="L211" s="1" t="n">
        <x:f>'Inventory inputs'!O211</x:f>
        <x:v>1</x:v>
      </x:c>
      <x:c r="M211" s="9" t="n">
        <x:f>E211*G211</x:f>
        <x:v>204.75</x:v>
      </x:c>
      <x:c r="N211" s="9" t="n">
        <x:f>'Inventory inputs'!Q211</x:f>
        <x:v>204.75</x:v>
      </x:c>
      <x:c r="O211" s="9" t="n">
        <x:f>N211-M211</x:f>
        <x:v>0</x:v>
      </x:c>
      <x:c r="P211" s="1" t="n">
        <x:f>SUMIFS('Incoming POs'!$P$2:$P$305,'Incoming POs'!$A$2:$A$305,A211,'Incoming POs'!$B$2:$B$305,B211,'Incoming POs'!$C$2:$C$305,C211,'Incoming POs'!$G$2:$G$305,"&gt;="&amp;D211,'Incoming POs'!$G$2:$G$305,"&lt;"&amp;Dashboard!$I$5)</x:f>
        <x:v>0</x:v>
      </x:c>
      <x:c r="Q211" s="1" t="n">
        <x:f>F211*Dashboard!$L$5*MAX(0,Dashboard!$I$5-D211)/30.4375</x:f>
        <x:v>742.924681724846</x:v>
      </x:c>
      <x:c r="R211" s="1" t="n">
        <x:f>MAX(0,E211+P211-Q211)</x:f>
        <x:v>5757.075318275154</x:v>
      </x:c>
      <x:c r="S211" s="1" t="n">
        <x:f>MAX(0,Q211-E211-P211)</x:f>
        <x:v>0</x:v>
      </x:c>
      <x:c r="T211" s="1" t="n">
        <x:f>IF(L211=1,MAX(0,I211+AB211-MIN(Q211,E211+P211)),"n.a.")</x:f>
        <x:v>2757.075318275154</x:v>
      </x:c>
      <x:c r="U211" s="9" t="n">
        <x:f>IF(ISNUMBER(T211),T211*G211,"n.a.")</x:f>
        <x:v>86.84787252566736</x:v>
      </x:c>
      <x:c r="V211" s="25" t="n">
        <x:f>IF(Dashboard!$I$6="Flat %",1,IF(ISNUMBER(H211),1,0))</x:f>
        <x:v>1</x:v>
      </x:c>
      <x:c r="W211" s="9" t="n">
        <x:f>IF(Dashboard!$I$6="Flat %",G211*(1+Dashboard!$L$6),H211)</x:f>
        <x:v>0.03675</x:v>
      </x:c>
      <x:c r="X211" s="9" t="n">
        <x:f>IF(V211=1,R211*(W211-G211),"n.a.")</x:f>
        <x:v>30.224645420944547</x:v>
      </x:c>
      <x:c r="Y211" s="9" t="n">
        <x:f>IF(V211=1,R211*W211,"n.a.")</x:f>
        <x:v>211.5725179466119</x:v>
      </x:c>
      <x:c r="Z211" s="1" t="n">
        <x:f>IF(ISNUMBER(T211),R211-T211,"n.a.")</x:f>
        <x:v>3000</x:v>
      </x:c>
      <x:c r="AA211" s="1" t="str">
        <x:f>'Inventory inputs'!R211</x:f>
        <x:v>Classified</x:v>
      </x:c>
      <x:c r="AB211" s="1" t="n">
        <x:f>IF(L211=1,SUMIFS('Incoming POs'!$P$2:$P$305,'Incoming POs'!$A$2:$A$305,A211,'Incoming POs'!$B$2:$B$305,B211,'Incoming POs'!$C$2:$C$305,C211,'Incoming POs'!$G$2:$G$305,"&gt;="&amp;D211,'Incoming POs'!$G$2:$G$305,"&lt;"&amp;Dashboard!$I$5,'Incoming POs'!$Q$2:$Q$305,"&lt;="&amp;('Inventory inputs'!P211/'Inventory inputs'!J211*1.01)),"n.a.")</x:f>
        <x:v>0</x:v>
      </x:c>
      <x:c r="AC211" s="9" t="n">
        <x:f>I211*G211</x:f>
        <x:v>110.25</x:v>
      </x:c>
      <x:c r="AD211" s="9" t="n">
        <x:f>J211*G211</x:f>
        <x:v>94.5</x:v>
      </x:c>
      <x:c r="AE211" s="9" t="n">
        <x:f>K211*G211</x:f>
        <x:v>0</x:v>
      </x:c>
      <x:c r="AF211" s="9" t="n">
        <x:f>R211*G211</x:f>
        <x:v>181.34787252566736</x:v>
      </x:c>
    </x:row>
    <x:row r="212" ht="21" customHeight="1">
      <x:c r="A212" s="1" t="str">
        <x:f>'Inventory inputs'!A212</x:f>
        <x:v>PLAS</x:v>
      </x:c>
      <x:c r="B212" s="1" t="str">
        <x:f>'Inventory inputs'!B212</x:f>
        <x:v>30</x:v>
      </x:c>
      <x:c r="C212" s="1" t="str">
        <x:f>'Inventory inputs'!C212</x:f>
        <x:v>11219RSLBLK</x:v>
      </x:c>
      <x:c r="D212" s="7" t="n">
        <x:f>'Inventory inputs'!E212</x:f>
        <x:v>46303</x:v>
      </x:c>
      <x:c r="E212" s="1" t="n">
        <x:f>'Inventory inputs'!F212</x:f>
        <x:v>2250</x:v>
      </x:c>
      <x:c r="F212" s="1" t="n">
        <x:f>'Inventory inputs'!G212</x:f>
        <x:v>558.33</x:v>
      </x:c>
      <x:c r="G212" s="1" t="n">
        <x:f>'Inventory inputs'!H212/'Inventory inputs'!J212</x:f>
        <x:v>0.1298</x:v>
      </x:c>
      <x:c r="H212" s="1" t="n">
        <x:f>IF('Inventory inputs'!I212&gt;0,'Inventory inputs'!I212*'Inventory inputs'!K212/'Inventory inputs'!J212,"n.a.")</x:f>
        <x:v>0.151851</x:v>
      </x:c>
      <x:c r="I212" s="1" t="n">
        <x:f>'Inventory inputs'!L212</x:f>
        <x:v>0</x:v>
      </x:c>
      <x:c r="J212" s="1" t="n">
        <x:f>'Inventory inputs'!M212</x:f>
        <x:v>0</x:v>
      </x:c>
      <x:c r="K212" s="1" t="n">
        <x:f>'Inventory inputs'!N212</x:f>
        <x:v>2250</x:v>
      </x:c>
      <x:c r="L212" s="1" t="n">
        <x:f>'Inventory inputs'!O212</x:f>
        <x:v>0</x:v>
      </x:c>
      <x:c r="M212" s="9" t="n">
        <x:f>E212*G212</x:f>
        <x:v>292.05</x:v>
      </x:c>
      <x:c r="N212" s="9" t="n">
        <x:f>'Inventory inputs'!Q212</x:f>
        <x:v>292.05</x:v>
      </x:c>
      <x:c r="O212" s="9" t="n">
        <x:f>N212-M212</x:f>
        <x:v>0</x:v>
      </x:c>
      <x:c r="P212" s="1" t="n">
        <x:f>SUMIFS('Incoming POs'!$P$2:$P$305,'Incoming POs'!$A$2:$A$305,A212,'Incoming POs'!$B$2:$B$305,B212,'Incoming POs'!$C$2:$C$305,C212,'Incoming POs'!$G$2:$G$305,"&gt;="&amp;D212,'Incoming POs'!$G$2:$G$305,"&lt;"&amp;Dashboard!$I$5)</x:f>
        <x:v>0</x:v>
      </x:c>
      <x:c r="Q212" s="1" t="n">
        <x:f>F212*Dashboard!$L$5*MAX(0,Dashboard!$I$5-D212)/30.4375</x:f>
        <x:v>742.9113757700206</x:v>
      </x:c>
      <x:c r="R212" s="1" t="n">
        <x:f>MAX(0,E212+P212-Q212)</x:f>
        <x:v>1507.0886242299794</x:v>
      </x:c>
      <x:c r="S212" s="1" t="n">
        <x:f>MAX(0,Q212-E212-P212)</x:f>
        <x:v>0</x:v>
      </x:c>
      <x:c r="T212" s="1" t="str">
        <x:f>IF(L212=1,MAX(0,I212+AB212-MIN(Q212,E212+P212)),"n.a.")</x:f>
        <x:v>n.a.</x:v>
      </x:c>
      <x:c r="U212" s="9" t="str">
        <x:f>IF(ISNUMBER(T212),T212*G212,"n.a.")</x:f>
        <x:v>n.a.</x:v>
      </x:c>
      <x:c r="V212" s="25" t="n">
        <x:f>IF(Dashboard!$I$6="Flat %",1,IF(ISNUMBER(H212),1,0))</x:f>
        <x:v>1</x:v>
      </x:c>
      <x:c r="W212" s="9" t="n">
        <x:f>IF(Dashboard!$I$6="Flat %",G212*(1+Dashboard!$L$6),H212)</x:f>
        <x:v>0.151851</x:v>
      </x:c>
      <x:c r="X212" s="9" t="n">
        <x:f>IF(V212=1,R212*(W212-G212),"n.a.")</x:f>
        <x:v>33.232811252895296</x:v>
      </x:c>
      <x:c r="Y212" s="9" t="n">
        <x:f>IF(V212=1,R212*W212,"n.a.")</x:f>
        <x:v>228.85291467794661</x:v>
      </x:c>
      <x:c r="Z212" s="1" t="str">
        <x:f>IF(ISNUMBER(T212),R212-T212,"n.a.")</x:f>
        <x:v>n.a.</x:v>
      </x:c>
      <x:c r="AA212" s="1" t="str">
        <x:f>'Inventory inputs'!R212</x:f>
        <x:v>Review receipt reconciliation or original PO baseline</x:v>
      </x:c>
      <x:c r="AB212" s="1" t="str">
        <x:f>IF(L212=1,SUMIFS('Incoming POs'!$P$2:$P$305,'Incoming POs'!$A$2:$A$305,A212,'Incoming POs'!$B$2:$B$305,B212,'Incoming POs'!$C$2:$C$305,C212,'Incoming POs'!$G$2:$G$305,"&gt;="&amp;D212,'Incoming POs'!$G$2:$G$305,"&lt;"&amp;Dashboard!$I$5,'Incoming POs'!$Q$2:$Q$305,"&lt;="&amp;('Inventory inputs'!P212/'Inventory inputs'!J212*1.01)),"n.a.")</x:f>
        <x:v>n.a.</x:v>
      </x:c>
      <x:c r="AC212" s="9" t="n">
        <x:f>I212*G212</x:f>
        <x:v>0</x:v>
      </x:c>
      <x:c r="AD212" s="9" t="n">
        <x:f>J212*G212</x:f>
        <x:v>0</x:v>
      </x:c>
      <x:c r="AE212" s="9" t="n">
        <x:f>K212*G212</x:f>
        <x:v>292.05</x:v>
      </x:c>
      <x:c r="AF212" s="9" t="n">
        <x:f>R212*G212</x:f>
        <x:v>195.62010342505133</x:v>
      </x:c>
    </x:row>
    <x:row r="213" ht="21" customHeight="1">
      <x:c r="A213" s="1" t="str">
        <x:f>'Inventory inputs'!A213</x:f>
        <x:v>PLAS</x:v>
      </x:c>
      <x:c r="B213" s="1" t="str">
        <x:f>'Inventory inputs'!B213</x:f>
        <x:v>10</x:v>
      </x:c>
      <x:c r="C213" s="1" t="str">
        <x:f>'Inventory inputs'!C213</x:f>
        <x:v>03415RWBWHT</x:v>
      </x:c>
      <x:c r="D213" s="7" t="n">
        <x:f>'Inventory inputs'!E213</x:f>
        <x:v>46303</x:v>
      </x:c>
      <x:c r="E213" s="1" t="n">
        <x:f>'Inventory inputs'!F213</x:f>
        <x:v>1800</x:v>
      </x:c>
      <x:c r="F213" s="1" t="n">
        <x:f>'Inventory inputs'!G213</x:f>
        <x:v>541.67</x:v>
      </x:c>
      <x:c r="G213" s="1" t="n">
        <x:f>'Inventory inputs'!H213/'Inventory inputs'!J213</x:f>
        <x:v>0.044000000000000004</x:v>
      </x:c>
      <x:c r="H213" s="1" t="n">
        <x:f>IF('Inventory inputs'!I213&gt;0,'Inventory inputs'!I213*'Inventory inputs'!K213/'Inventory inputs'!J213,"n.a.")</x:f>
        <x:v>0.051449999999999996</x:v>
      </x:c>
      <x:c r="I213" s="1" t="n">
        <x:f>'Inventory inputs'!L213</x:f>
        <x:v>0</x:v>
      </x:c>
      <x:c r="J213" s="1" t="n">
        <x:f>'Inventory inputs'!M213</x:f>
        <x:v>0</x:v>
      </x:c>
      <x:c r="K213" s="1" t="n">
        <x:f>'Inventory inputs'!N213</x:f>
        <x:v>1800</x:v>
      </x:c>
      <x:c r="L213" s="1" t="n">
        <x:f>'Inventory inputs'!O213</x:f>
        <x:v>0</x:v>
      </x:c>
      <x:c r="M213" s="9" t="n">
        <x:f>E213*G213</x:f>
        <x:v>79.2</x:v>
      </x:c>
      <x:c r="N213" s="9" t="n">
        <x:f>'Inventory inputs'!Q213</x:f>
        <x:v>79.20000000000002</x:v>
      </x:c>
      <x:c r="O213" s="9" t="n">
        <x:f>N213-M213</x:f>
        <x:v>1.4210854715202004e-14</x:v>
      </x:c>
      <x:c r="P213" s="1" t="n">
        <x:f>SUMIFS('Incoming POs'!$P$2:$P$305,'Incoming POs'!$A$2:$A$305,A213,'Incoming POs'!$B$2:$B$305,B213,'Incoming POs'!$C$2:$C$305,C213,'Incoming POs'!$G$2:$G$305,"&gt;="&amp;D213,'Incoming POs'!$G$2:$G$305,"&lt;"&amp;Dashboard!$I$5)</x:f>
        <x:v>0</x:v>
      </x:c>
      <x:c r="Q213" s="1" t="n">
        <x:f>F213*Dashboard!$L$5*MAX(0,Dashboard!$I$5-D213)/30.4375</x:f>
        <x:v>720.7436550308008</x:v>
      </x:c>
      <x:c r="R213" s="1" t="n">
        <x:f>MAX(0,E213+P213-Q213)</x:f>
        <x:v>1079.2563449691993</x:v>
      </x:c>
      <x:c r="S213" s="1" t="n">
        <x:f>MAX(0,Q213-E213-P213)</x:f>
        <x:v>0</x:v>
      </x:c>
      <x:c r="T213" s="1" t="str">
        <x:f>IF(L213=1,MAX(0,I213+AB213-MIN(Q213,E213+P213)),"n.a.")</x:f>
        <x:v>n.a.</x:v>
      </x:c>
      <x:c r="U213" s="9" t="str">
        <x:f>IF(ISNUMBER(T213),T213*G213,"n.a.")</x:f>
        <x:v>n.a.</x:v>
      </x:c>
      <x:c r="V213" s="25" t="n">
        <x:f>IF(Dashboard!$I$6="Flat %",1,IF(ISNUMBER(H213),1,0))</x:f>
        <x:v>1</x:v>
      </x:c>
      <x:c r="W213" s="9" t="n">
        <x:f>IF(Dashboard!$I$6="Flat %",G213*(1+Dashboard!$L$6),H213)</x:f>
        <x:v>0.051449999999999996</x:v>
      </x:c>
      <x:c r="X213" s="9" t="n">
        <x:f>IF(V213=1,R213*(W213-G213),"n.a.")</x:f>
        <x:v>8.040459770020526</x:v>
      </x:c>
      <x:c r="Y213" s="9" t="n">
        <x:f>IF(V213=1,R213*W213,"n.a.")</x:f>
        <x:v>55.5277389486653</x:v>
      </x:c>
      <x:c r="Z213" s="1" t="str">
        <x:f>IF(ISNUMBER(T213),R213-T213,"n.a.")</x:f>
        <x:v>n.a.</x:v>
      </x:c>
      <x:c r="AA213" s="1" t="str">
        <x:f>'Inventory inputs'!R213</x:f>
        <x:v>Review receipt reconciliation or original PO baseline</x:v>
      </x:c>
      <x:c r="AB213" s="1" t="str">
        <x:f>IF(L213=1,SUMIFS('Incoming POs'!$P$2:$P$305,'Incoming POs'!$A$2:$A$305,A213,'Incoming POs'!$B$2:$B$305,B213,'Incoming POs'!$C$2:$C$305,C213,'Incoming POs'!$G$2:$G$305,"&gt;="&amp;D213,'Incoming POs'!$G$2:$G$305,"&lt;"&amp;Dashboard!$I$5,'Incoming POs'!$Q$2:$Q$305,"&lt;="&amp;('Inventory inputs'!P213/'Inventory inputs'!J213*1.01)),"n.a.")</x:f>
        <x:v>n.a.</x:v>
      </x:c>
      <x:c r="AC213" s="9" t="n">
        <x:f>I213*G213</x:f>
        <x:v>0</x:v>
      </x:c>
      <x:c r="AD213" s="9" t="n">
        <x:f>J213*G213</x:f>
        <x:v>0</x:v>
      </x:c>
      <x:c r="AE213" s="9" t="n">
        <x:f>K213*G213</x:f>
        <x:v>79.2</x:v>
      </x:c>
      <x:c r="AF213" s="9" t="n">
        <x:f>R213*G213</x:f>
        <x:v>47.487279178644776</x:v>
      </x:c>
    </x:row>
    <x:row r="214" ht="21" customHeight="1">
      <x:c r="A214" s="1" t="str">
        <x:f>'Inventory inputs'!A214</x:f>
        <x:v>PLAS</x:v>
      </x:c>
      <x:c r="B214" s="1" t="str">
        <x:f>'Inventory inputs'!B214</x:f>
        <x:v>10</x:v>
      </x:c>
      <x:c r="C214" s="1" t="str">
        <x:f>'Inventory inputs'!C214</x:f>
        <x:v>00115RWBWHT</x:v>
      </x:c>
      <x:c r="D214" s="7" t="n">
        <x:f>'Inventory inputs'!E214</x:f>
        <x:v>46303</x:v>
      </x:c>
      <x:c r="E214" s="1" t="n">
        <x:f>'Inventory inputs'!F214</x:f>
        <x:v>2209</x:v>
      </x:c>
      <x:c r="F214" s="1" t="n">
        <x:f>'Inventory inputs'!G214</x:f>
        <x:v>533.92</x:v>
      </x:c>
      <x:c r="G214" s="1" t="n">
        <x:f>'Inventory inputs'!H214/'Inventory inputs'!J214</x:f>
        <x:v>0.0736</x:v>
      </x:c>
      <x:c r="H214" s="1" t="n">
        <x:f>IF('Inventory inputs'!I214&gt;0,'Inventory inputs'!I214*'Inventory inputs'!K214/'Inventory inputs'!J214,"n.a.")</x:f>
        <x:v>0.086142</x:v>
      </x:c>
      <x:c r="I214" s="1" t="n">
        <x:f>'Inventory inputs'!L214</x:f>
        <x:v>2209</x:v>
      </x:c>
      <x:c r="J214" s="1" t="n">
        <x:f>'Inventory inputs'!M214</x:f>
        <x:v>0</x:v>
      </x:c>
      <x:c r="K214" s="1" t="n">
        <x:f>'Inventory inputs'!N214</x:f>
        <x:v>0</x:v>
      </x:c>
      <x:c r="L214" s="1" t="n">
        <x:f>'Inventory inputs'!O214</x:f>
        <x:v>1</x:v>
      </x:c>
      <x:c r="M214" s="9" t="n">
        <x:f>E214*G214</x:f>
        <x:v>162.5824</x:v>
      </x:c>
      <x:c r="N214" s="9" t="n">
        <x:f>'Inventory inputs'!Q214</x:f>
        <x:v>162.5824</x:v>
      </x:c>
      <x:c r="O214" s="9" t="n">
        <x:f>N214-M214</x:f>
        <x:v>0</x:v>
      </x:c>
      <x:c r="P214" s="1" t="n">
        <x:f>SUMIFS('Incoming POs'!$P$2:$P$305,'Incoming POs'!$A$2:$A$305,A214,'Incoming POs'!$B$2:$B$305,B214,'Incoming POs'!$C$2:$C$305,C214,'Incoming POs'!$G$2:$G$305,"&gt;="&amp;D214,'Incoming POs'!$G$2:$G$305,"&lt;"&amp;Dashboard!$I$5)</x:f>
        <x:v>2000</x:v>
      </x:c>
      <x:c r="Q214" s="1" t="n">
        <x:f>F214*Dashboard!$L$5*MAX(0,Dashboard!$I$5-D214)/30.4375</x:f>
        <x:v>710.4315400410677</x:v>
      </x:c>
      <x:c r="R214" s="1" t="n">
        <x:f>MAX(0,E214+P214-Q214)</x:f>
        <x:v>3498.568459958932</x:v>
      </x:c>
      <x:c r="S214" s="1" t="n">
        <x:f>MAX(0,Q214-E214-P214)</x:f>
        <x:v>0</x:v>
      </x:c>
      <x:c r="T214" s="1" t="n">
        <x:f>IF(L214=1,MAX(0,I214+AB214-MIN(Q214,E214+P214)),"n.a.")</x:f>
        <x:v>1498.5684599589322</x:v>
      </x:c>
      <x:c r="U214" s="9" t="n">
        <x:f>IF(ISNUMBER(T214),T214*G214,"n.a.")</x:f>
        <x:v>110.29463865297741</x:v>
      </x:c>
      <x:c r="V214" s="25" t="n">
        <x:f>IF(Dashboard!$I$6="Flat %",1,IF(ISNUMBER(H214),1,0))</x:f>
        <x:v>1</x:v>
      </x:c>
      <x:c r="W214" s="9" t="n">
        <x:f>IF(Dashboard!$I$6="Flat %",G214*(1+Dashboard!$L$6),H214)</x:f>
        <x:v>0.086142</x:v>
      </x:c>
      <x:c r="X214" s="9" t="n">
        <x:f>IF(V214=1,R214*(W214-G214),"n.a.")</x:f>
        <x:v>43.87904562480492</x:v>
      </x:c>
      <x:c r="Y214" s="9" t="n">
        <x:f>IF(V214=1,R214*W214,"n.a.")</x:f>
        <x:v>301.37368427778233</x:v>
      </x:c>
      <x:c r="Z214" s="1" t="n">
        <x:f>IF(ISNUMBER(T214),R214-T214,"n.a.")</x:f>
        <x:v>2000</x:v>
      </x:c>
      <x:c r="AA214" s="1" t="str">
        <x:f>'Inventory inputs'!R214</x:f>
        <x:v>Classified</x:v>
      </x:c>
      <x:c r="AB214" s="1" t="n">
        <x:f>IF(L214=1,SUMIFS('Incoming POs'!$P$2:$P$305,'Incoming POs'!$A$2:$A$305,A214,'Incoming POs'!$B$2:$B$305,B214,'Incoming POs'!$C$2:$C$305,C214,'Incoming POs'!$G$2:$G$305,"&gt;="&amp;D214,'Incoming POs'!$G$2:$G$305,"&lt;"&amp;Dashboard!$I$5,'Incoming POs'!$Q$2:$Q$305,"&lt;="&amp;('Inventory inputs'!P214/'Inventory inputs'!J214*1.01)),"n.a.")</x:f>
        <x:v>0</x:v>
      </x:c>
      <x:c r="AC214" s="9" t="n">
        <x:f>I214*G214</x:f>
        <x:v>162.5824</x:v>
      </x:c>
      <x:c r="AD214" s="9" t="n">
        <x:f>J214*G214</x:f>
        <x:v>0</x:v>
      </x:c>
      <x:c r="AE214" s="9" t="n">
        <x:f>K214*G214</x:f>
        <x:v>0</x:v>
      </x:c>
      <x:c r="AF214" s="9" t="n">
        <x:f>R214*G214</x:f>
        <x:v>257.4946386529774</x:v>
      </x:c>
    </x:row>
    <x:row r="215" ht="21" customHeight="1">
      <x:c r="A215" s="1" t="str">
        <x:f>'Inventory inputs'!A215</x:f>
        <x:v>PLAS</x:v>
      </x:c>
      <x:c r="B215" s="1" t="str">
        <x:f>'Inventory inputs'!B215</x:f>
        <x:v>10</x:v>
      </x:c>
      <x:c r="C215" s="1" t="str">
        <x:f>'Inventory inputs'!C215</x:f>
        <x:v>05819RWBCLR</x:v>
      </x:c>
      <x:c r="D215" s="7" t="n">
        <x:f>'Inventory inputs'!E215</x:f>
        <x:v>46303</x:v>
      </x:c>
      <x:c r="E215" s="1" t="n">
        <x:f>'Inventory inputs'!F215</x:f>
        <x:v>2900</x:v>
      </x:c>
      <x:c r="F215" s="1" t="n">
        <x:f>'Inventory inputs'!G215</x:f>
        <x:v>533.33</x:v>
      </x:c>
      <x:c r="G215" s="1" t="n">
        <x:f>'Inventory inputs'!H215/'Inventory inputs'!J215</x:f>
        <x:v>0.045599999999999995</x:v>
      </x:c>
      <x:c r="H215" s="1" t="n">
        <x:f>IF('Inventory inputs'!I215&gt;0,'Inventory inputs'!I215*'Inventory inputs'!K215/'Inventory inputs'!J215,"n.a.")</x:f>
        <x:v>0.053361</x:v>
      </x:c>
      <x:c r="I215" s="1" t="n">
        <x:f>'Inventory inputs'!L215</x:f>
        <x:v>0</x:v>
      </x:c>
      <x:c r="J215" s="1" t="n">
        <x:f>'Inventory inputs'!M215</x:f>
        <x:v>0</x:v>
      </x:c>
      <x:c r="K215" s="1" t="n">
        <x:f>'Inventory inputs'!N215</x:f>
        <x:v>2900</x:v>
      </x:c>
      <x:c r="L215" s="1" t="n">
        <x:f>'Inventory inputs'!O215</x:f>
        <x:v>0</x:v>
      </x:c>
      <x:c r="M215" s="9" t="n">
        <x:f>E215*G215</x:f>
        <x:v>132.23999999999998</x:v>
      </x:c>
      <x:c r="N215" s="9" t="n">
        <x:f>'Inventory inputs'!Q215</x:f>
        <x:v>132.23999999999998</x:v>
      </x:c>
      <x:c r="O215" s="9" t="n">
        <x:f>N215-M215</x:f>
        <x:v>0</x:v>
      </x:c>
      <x:c r="P215" s="1" t="n">
        <x:f>SUMIFS('Incoming POs'!$P$2:$P$305,'Incoming POs'!$A$2:$A$305,A215,'Incoming POs'!$B$2:$B$305,B215,'Incoming POs'!$C$2:$C$305,C215,'Incoming POs'!$G$2:$G$305,"&gt;="&amp;D215,'Incoming POs'!$G$2:$G$305,"&lt;"&amp;Dashboard!$I$5)</x:f>
        <x:v>0</x:v>
      </x:c>
      <x:c r="Q215" s="1" t="n">
        <x:f>F215*Dashboard!$L$5*MAX(0,Dashboard!$I$5-D215)/30.4375</x:f>
        <x:v>709.6464887063655</x:v>
      </x:c>
      <x:c r="R215" s="1" t="n">
        <x:f>MAX(0,E215+P215-Q215)</x:f>
        <x:v>2190.3535112936343</x:v>
      </x:c>
      <x:c r="S215" s="1" t="n">
        <x:f>MAX(0,Q215-E215-P215)</x:f>
        <x:v>0</x:v>
      </x:c>
      <x:c r="T215" s="1" t="str">
        <x:f>IF(L215=1,MAX(0,I215+AB215-MIN(Q215,E215+P215)),"n.a.")</x:f>
        <x:v>n.a.</x:v>
      </x:c>
      <x:c r="U215" s="9" t="str">
        <x:f>IF(ISNUMBER(T215),T215*G215,"n.a.")</x:f>
        <x:v>n.a.</x:v>
      </x:c>
      <x:c r="V215" s="25" t="n">
        <x:f>IF(Dashboard!$I$6="Flat %",1,IF(ISNUMBER(H215),1,0))</x:f>
        <x:v>1</x:v>
      </x:c>
      <x:c r="W215" s="9" t="n">
        <x:f>IF(Dashboard!$I$6="Flat %",G215*(1+Dashboard!$L$6),H215)</x:f>
        <x:v>0.053361</x:v>
      </x:c>
      <x:c r="X215" s="9" t="n">
        <x:f>IF(V215=1,R215*(W215-G215),"n.a.")</x:f>
        <x:v>16.999333601149903</x:v>
      </x:c>
      <x:c r="Y215" s="9" t="n">
        <x:f>IF(V215=1,R215*W215,"n.a.")</x:f>
        <x:v>116.87945371613961</x:v>
      </x:c>
      <x:c r="Z215" s="1" t="str">
        <x:f>IF(ISNUMBER(T215),R215-T215,"n.a.")</x:f>
        <x:v>n.a.</x:v>
      </x:c>
      <x:c r="AA215" s="1" t="str">
        <x:f>'Inventory inputs'!R215</x:f>
        <x:v>Review receipt reconciliation or original PO baseline</x:v>
      </x:c>
      <x:c r="AB215" s="1" t="str">
        <x:f>IF(L215=1,SUMIFS('Incoming POs'!$P$2:$P$305,'Incoming POs'!$A$2:$A$305,A215,'Incoming POs'!$B$2:$B$305,B215,'Incoming POs'!$C$2:$C$305,C215,'Incoming POs'!$G$2:$G$305,"&gt;="&amp;D215,'Incoming POs'!$G$2:$G$305,"&lt;"&amp;Dashboard!$I$5,'Incoming POs'!$Q$2:$Q$305,"&lt;="&amp;('Inventory inputs'!P215/'Inventory inputs'!J215*1.01)),"n.a.")</x:f>
        <x:v>n.a.</x:v>
      </x:c>
      <x:c r="AC215" s="9" t="n">
        <x:f>I215*G215</x:f>
        <x:v>0</x:v>
      </x:c>
      <x:c r="AD215" s="9" t="n">
        <x:f>J215*G215</x:f>
        <x:v>0</x:v>
      </x:c>
      <x:c r="AE215" s="9" t="n">
        <x:f>K215*G215</x:f>
        <x:v>132.23999999999998</x:v>
      </x:c>
      <x:c r="AF215" s="9" t="n">
        <x:f>R215*G215</x:f>
        <x:v>99.88012011498971</x:v>
      </x:c>
    </x:row>
    <x:row r="216" ht="21" customHeight="1">
      <x:c r="A216" s="1" t="str">
        <x:f>'Inventory inputs'!A216</x:f>
        <x:v>PLAS</x:v>
      </x:c>
      <x:c r="B216" s="1" t="str">
        <x:f>'Inventory inputs'!B216</x:f>
        <x:v>30</x:v>
      </x:c>
      <x:c r="C216" s="1" t="str">
        <x:f>'Inventory inputs'!C216</x:f>
        <x:v>51619RWBNAV</x:v>
      </x:c>
      <x:c r="D216" s="7" t="n">
        <x:f>'Inventory inputs'!E216</x:f>
        <x:v>46303</x:v>
      </x:c>
      <x:c r="E216" s="1" t="n">
        <x:f>'Inventory inputs'!F216</x:f>
        <x:v>400</x:v>
      </x:c>
      <x:c r="F216" s="1" t="n">
        <x:f>'Inventory inputs'!G216</x:f>
        <x:v>533.33</x:v>
      </x:c>
      <x:c r="G216" s="1" t="n">
        <x:f>'Inventory inputs'!H216/'Inventory inputs'!J216</x:f>
        <x:v>0.0216</x:v>
      </x:c>
      <x:c r="H216" s="1" t="n">
        <x:f>IF('Inventory inputs'!I216&gt;0,'Inventory inputs'!I216*'Inventory inputs'!K216/'Inventory inputs'!J216,"n.a.")</x:f>
        <x:v>0.025284</x:v>
      </x:c>
      <x:c r="I216" s="1" t="n">
        <x:f>'Inventory inputs'!L216</x:f>
        <x:v>0</x:v>
      </x:c>
      <x:c r="J216" s="1" t="n">
        <x:f>'Inventory inputs'!M216</x:f>
        <x:v>0</x:v>
      </x:c>
      <x:c r="K216" s="1" t="n">
        <x:f>'Inventory inputs'!N216</x:f>
        <x:v>400</x:v>
      </x:c>
      <x:c r="L216" s="1" t="n">
        <x:f>'Inventory inputs'!O216</x:f>
        <x:v>0</x:v>
      </x:c>
      <x:c r="M216" s="9" t="n">
        <x:f>E216*G216</x:f>
        <x:v>8.64</x:v>
      </x:c>
      <x:c r="N216" s="9" t="n">
        <x:f>'Inventory inputs'!Q216</x:f>
        <x:v>8.64</x:v>
      </x:c>
      <x:c r="O216" s="9" t="n">
        <x:f>N216-M216</x:f>
        <x:v>0</x:v>
      </x:c>
      <x:c r="P216" s="1" t="n">
        <x:f>SUMIFS('Incoming POs'!$P$2:$P$305,'Incoming POs'!$A$2:$A$305,A216,'Incoming POs'!$B$2:$B$305,B216,'Incoming POs'!$C$2:$C$305,C216,'Incoming POs'!$G$2:$G$305,"&gt;="&amp;D216,'Incoming POs'!$G$2:$G$305,"&lt;"&amp;Dashboard!$I$5)</x:f>
        <x:v>0</x:v>
      </x:c>
      <x:c r="Q216" s="1" t="n">
        <x:f>F216*Dashboard!$L$5*MAX(0,Dashboard!$I$5-D216)/30.4375</x:f>
        <x:v>709.6464887063655</x:v>
      </x:c>
      <x:c r="R216" s="1" t="n">
        <x:f>MAX(0,E216+P216-Q216)</x:f>
        <x:v>0</x:v>
      </x:c>
      <x:c r="S216" s="1" t="n">
        <x:f>MAX(0,Q216-E216-P216)</x:f>
        <x:v>309.6464887063655</x:v>
      </x:c>
      <x:c r="T216" s="1" t="str">
        <x:f>IF(L216=1,MAX(0,I216+AB216-MIN(Q216,E216+P216)),"n.a.")</x:f>
        <x:v>n.a.</x:v>
      </x:c>
      <x:c r="U216" s="9" t="str">
        <x:f>IF(ISNUMBER(T216),T216*G216,"n.a.")</x:f>
        <x:v>n.a.</x:v>
      </x:c>
      <x:c r="V216" s="25" t="n">
        <x:f>IF(Dashboard!$I$6="Flat %",1,IF(ISNUMBER(H216),1,0))</x:f>
        <x:v>1</x:v>
      </x:c>
      <x:c r="W216" s="9" t="n">
        <x:f>IF(Dashboard!$I$6="Flat %",G216*(1+Dashboard!$L$6),H216)</x:f>
        <x:v>0.025284</x:v>
      </x:c>
      <x:c r="X216" s="9" t="n">
        <x:f>IF(V216=1,R216*(W216-G216),"n.a.")</x:f>
        <x:v>0</x:v>
      </x:c>
      <x:c r="Y216" s="9" t="n">
        <x:f>IF(V216=1,R216*W216,"n.a.")</x:f>
        <x:v>0</x:v>
      </x:c>
      <x:c r="Z216" s="1" t="str">
        <x:f>IF(ISNUMBER(T216),R216-T216,"n.a.")</x:f>
        <x:v>n.a.</x:v>
      </x:c>
      <x:c r="AA216" s="1" t="str">
        <x:f>'Inventory inputs'!R216</x:f>
        <x:v>Review receipt reconciliation or original PO baseline</x:v>
      </x:c>
      <x:c r="AB216" s="1" t="str">
        <x:f>IF(L216=1,SUMIFS('Incoming POs'!$P$2:$P$305,'Incoming POs'!$A$2:$A$305,A216,'Incoming POs'!$B$2:$B$305,B216,'Incoming POs'!$C$2:$C$305,C216,'Incoming POs'!$G$2:$G$305,"&gt;="&amp;D216,'Incoming POs'!$G$2:$G$305,"&lt;"&amp;Dashboard!$I$5,'Incoming POs'!$Q$2:$Q$305,"&lt;="&amp;('Inventory inputs'!P216/'Inventory inputs'!J216*1.01)),"n.a.")</x:f>
        <x:v>n.a.</x:v>
      </x:c>
      <x:c r="AC216" s="9" t="n">
        <x:f>I216*G216</x:f>
        <x:v>0</x:v>
      </x:c>
      <x:c r="AD216" s="9" t="n">
        <x:f>J216*G216</x:f>
        <x:v>0</x:v>
      </x:c>
      <x:c r="AE216" s="9" t="n">
        <x:f>K216*G216</x:f>
        <x:v>8.64</x:v>
      </x:c>
      <x:c r="AF216" s="9" t="n">
        <x:f>R216*G216</x:f>
        <x:v>0</x:v>
      </x:c>
    </x:row>
    <x:row r="217" ht="21" customHeight="1">
      <x:c r="A217" s="1" t="str">
        <x:f>'Inventory inputs'!A217</x:f>
        <x:v>PLAS</x:v>
      </x:c>
      <x:c r="B217" s="1" t="str">
        <x:f>'Inventory inputs'!B217</x:f>
        <x:v>10</x:v>
      </x:c>
      <x:c r="C217" s="1" t="str">
        <x:f>'Inventory inputs'!C217</x:f>
        <x:v>01419RWBBLU</x:v>
      </x:c>
      <x:c r="D217" s="7" t="n">
        <x:f>'Inventory inputs'!E217</x:f>
        <x:v>46303</x:v>
      </x:c>
      <x:c r="E217" s="1" t="n">
        <x:f>'Inventory inputs'!F217</x:f>
        <x:v>3700</x:v>
      </x:c>
      <x:c r="F217" s="1" t="n">
        <x:f>'Inventory inputs'!G217</x:f>
        <x:v>525</x:v>
      </x:c>
      <x:c r="G217" s="1" t="n">
        <x:f>'Inventory inputs'!H217/'Inventory inputs'!J217</x:f>
        <x:v>0.0181</x:v>
      </x:c>
      <x:c r="H217" s="1" t="n">
        <x:f>IF('Inventory inputs'!I217&gt;0,'Inventory inputs'!I217*'Inventory inputs'!K217/'Inventory inputs'!J217,"n.a.")</x:f>
        <x:v>0.021168</x:v>
      </x:c>
      <x:c r="I217" s="1" t="n">
        <x:f>'Inventory inputs'!L217</x:f>
        <x:v>700</x:v>
      </x:c>
      <x:c r="J217" s="1" t="n">
        <x:f>'Inventory inputs'!M217</x:f>
        <x:v>3000</x:v>
      </x:c>
      <x:c r="K217" s="1" t="n">
        <x:f>'Inventory inputs'!N217</x:f>
        <x:v>0</x:v>
      </x:c>
      <x:c r="L217" s="1" t="n">
        <x:f>'Inventory inputs'!O217</x:f>
        <x:v>1</x:v>
      </x:c>
      <x:c r="M217" s="9" t="n">
        <x:f>E217*G217</x:f>
        <x:v>66.97</x:v>
      </x:c>
      <x:c r="N217" s="9" t="n">
        <x:f>'Inventory inputs'!Q217</x:f>
        <x:v>66.97</x:v>
      </x:c>
      <x:c r="O217" s="9" t="n">
        <x:f>N217-M217</x:f>
        <x:v>0</x:v>
      </x:c>
      <x:c r="P217" s="1" t="n">
        <x:f>SUMIFS('Incoming POs'!$P$2:$P$305,'Incoming POs'!$A$2:$A$305,A217,'Incoming POs'!$B$2:$B$305,B217,'Incoming POs'!$C$2:$C$305,C217,'Incoming POs'!$G$2:$G$305,"&gt;="&amp;D217,'Incoming POs'!$G$2:$G$305,"&lt;"&amp;Dashboard!$I$5)</x:f>
        <x:v>3000</x:v>
      </x:c>
      <x:c r="Q217" s="1" t="n">
        <x:f>F217*Dashboard!$L$5*MAX(0,Dashboard!$I$5-D217)/30.4375</x:f>
        <x:v>698.5626283367557</x:v>
      </x:c>
      <x:c r="R217" s="1" t="n">
        <x:f>MAX(0,E217+P217-Q217)</x:f>
        <x:v>6001.437371663244</x:v>
      </x:c>
      <x:c r="S217" s="1" t="n">
        <x:f>MAX(0,Q217-E217-P217)</x:f>
        <x:v>0</x:v>
      </x:c>
      <x:c r="T217" s="1" t="n">
        <x:f>IF(L217=1,MAX(0,I217+AB217-MIN(Q217,E217+P217)),"n.a.")</x:f>
        <x:v>1.4373716632443347</x:v>
      </x:c>
      <x:c r="U217" s="9" t="n">
        <x:f>IF(ISNUMBER(T217),T217*G217,"n.a.")</x:f>
        <x:v>0.02601642710472246</x:v>
      </x:c>
      <x:c r="V217" s="25" t="n">
        <x:f>IF(Dashboard!$I$6="Flat %",1,IF(ISNUMBER(H217),1,0))</x:f>
        <x:v>1</x:v>
      </x:c>
      <x:c r="W217" s="9" t="n">
        <x:f>IF(Dashboard!$I$6="Flat %",G217*(1+Dashboard!$L$6),H217)</x:f>
        <x:v>0.021168</x:v>
      </x:c>
      <x:c r="X217" s="9" t="n">
        <x:f>IF(V217=1,R217*(W217-G217),"n.a.")</x:f>
        <x:v>18.41240985626282</x:v>
      </x:c>
      <x:c r="Y217" s="9" t="n">
        <x:f>IF(V217=1,R217*W217,"n.a.")</x:f>
        <x:v>127.03842628336756</x:v>
      </x:c>
      <x:c r="Z217" s="1" t="n">
        <x:f>IF(ISNUMBER(T217),R217-T217,"n.a.")</x:f>
        <x:v>6000</x:v>
      </x:c>
      <x:c r="AA217" s="1" t="str">
        <x:f>'Inventory inputs'!R217</x:f>
        <x:v>Classified</x:v>
      </x:c>
      <x:c r="AB217" s="1" t="n">
        <x:f>IF(L217=1,SUMIFS('Incoming POs'!$P$2:$P$305,'Incoming POs'!$A$2:$A$305,A217,'Incoming POs'!$B$2:$B$305,B217,'Incoming POs'!$C$2:$C$305,C217,'Incoming POs'!$G$2:$G$305,"&gt;="&amp;D217,'Incoming POs'!$G$2:$G$305,"&lt;"&amp;Dashboard!$I$5,'Incoming POs'!$Q$2:$Q$305,"&lt;="&amp;('Inventory inputs'!P217/'Inventory inputs'!J217*1.01)),"n.a.")</x:f>
        <x:v>0</x:v>
      </x:c>
      <x:c r="AC217" s="9" t="n">
        <x:f>I217*G217</x:f>
        <x:v>12.670000000000002</x:v>
      </x:c>
      <x:c r="AD217" s="9" t="n">
        <x:f>J217*G217</x:f>
        <x:v>54.300000000000004</x:v>
      </x:c>
      <x:c r="AE217" s="9" t="n">
        <x:f>K217*G217</x:f>
        <x:v>0</x:v>
      </x:c>
      <x:c r="AF217" s="9" t="n">
        <x:f>R217*G217</x:f>
        <x:v>108.62601642710473</x:v>
      </x:c>
    </x:row>
    <x:row r="218" ht="21" customHeight="1">
      <x:c r="A218" s="1" t="str">
        <x:f>'Inventory inputs'!A218</x:f>
        <x:v>PLAS</x:v>
      </x:c>
      <x:c r="B218" s="1" t="str">
        <x:f>'Inventory inputs'!B218</x:f>
        <x:v>10</x:v>
      </x:c>
      <x:c r="C218" s="1" t="str">
        <x:f>'Inventory inputs'!C218</x:f>
        <x:v>71619RWBCLR</x:v>
      </x:c>
      <x:c r="D218" s="7" t="n">
        <x:f>'Inventory inputs'!E218</x:f>
        <x:v>46303</x:v>
      </x:c>
      <x:c r="E218" s="1" t="n">
        <x:f>'Inventory inputs'!F218</x:f>
        <x:v>2600</x:v>
      </x:c>
      <x:c r="F218" s="1" t="n">
        <x:f>'Inventory inputs'!G218</x:f>
        <x:v>525</x:v>
      </x:c>
      <x:c r="G218" s="1" t="n">
        <x:f>'Inventory inputs'!H218/'Inventory inputs'!J218</x:f>
        <x:v>0.0315</x:v>
      </x:c>
      <x:c r="H218" s="1" t="n">
        <x:f>IF('Inventory inputs'!I218&gt;0,'Inventory inputs'!I218*'Inventory inputs'!K218/'Inventory inputs'!J218,"n.a.")</x:f>
        <x:v>0.03675</x:v>
      </x:c>
      <x:c r="I218" s="1" t="n">
        <x:f>'Inventory inputs'!L218</x:f>
        <x:v>0</x:v>
      </x:c>
      <x:c r="J218" s="1" t="n">
        <x:f>'Inventory inputs'!M218</x:f>
        <x:v>2600</x:v>
      </x:c>
      <x:c r="K218" s="1" t="n">
        <x:f>'Inventory inputs'!N218</x:f>
        <x:v>0</x:v>
      </x:c>
      <x:c r="L218" s="1" t="n">
        <x:f>'Inventory inputs'!O218</x:f>
        <x:v>1</x:v>
      </x:c>
      <x:c r="M218" s="9" t="n">
        <x:f>E218*G218</x:f>
        <x:v>81.9</x:v>
      </x:c>
      <x:c r="N218" s="9" t="n">
        <x:f>'Inventory inputs'!Q218</x:f>
        <x:v>81.9</x:v>
      </x:c>
      <x:c r="O218" s="9" t="n">
        <x:f>N218-M218</x:f>
        <x:v>0</x:v>
      </x:c>
      <x:c r="P218" s="1" t="n">
        <x:f>SUMIFS('Incoming POs'!$P$2:$P$305,'Incoming POs'!$A$2:$A$305,A218,'Incoming POs'!$B$2:$B$305,B218,'Incoming POs'!$C$2:$C$305,C218,'Incoming POs'!$G$2:$G$305,"&gt;="&amp;D218,'Incoming POs'!$G$2:$G$305,"&lt;"&amp;Dashboard!$I$5)</x:f>
        <x:v>5000</x:v>
      </x:c>
      <x:c r="Q218" s="1" t="n">
        <x:f>F218*Dashboard!$L$5*MAX(0,Dashboard!$I$5-D218)/30.4375</x:f>
        <x:v>698.5626283367557</x:v>
      </x:c>
      <x:c r="R218" s="1" t="n">
        <x:f>MAX(0,E218+P218-Q218)</x:f>
        <x:v>6901.437371663244</x:v>
      </x:c>
      <x:c r="S218" s="1" t="n">
        <x:f>MAX(0,Q218-E218-P218)</x:f>
        <x:v>0</x:v>
      </x:c>
      <x:c r="T218" s="1" t="n">
        <x:f>IF(L218=1,MAX(0,I218+AB218-MIN(Q218,E218+P218)),"n.a.")</x:f>
        <x:v>0</x:v>
      </x:c>
      <x:c r="U218" s="9" t="n">
        <x:f>IF(ISNUMBER(T218),T218*G218,"n.a.")</x:f>
        <x:v>0</x:v>
      </x:c>
      <x:c r="V218" s="25" t="n">
        <x:f>IF(Dashboard!$I$6="Flat %",1,IF(ISNUMBER(H218),1,0))</x:f>
        <x:v>1</x:v>
      </x:c>
      <x:c r="W218" s="9" t="n">
        <x:f>IF(Dashboard!$I$6="Flat %",G218*(1+Dashboard!$L$6),H218)</x:f>
        <x:v>0.03675</x:v>
      </x:c>
      <x:c r="X218" s="9" t="n">
        <x:f>IF(V218=1,R218*(W218-G218),"n.a.")</x:f>
        <x:v>36.23254620123202</x:v>
      </x:c>
      <x:c r="Y218" s="9" t="n">
        <x:f>IF(V218=1,R218*W218,"n.a.")</x:f>
        <x:v>253.6278234086242</x:v>
      </x:c>
      <x:c r="Z218" s="1" t="n">
        <x:f>IF(ISNUMBER(T218),R218-T218,"n.a.")</x:f>
        <x:v>6901.437371663244</x:v>
      </x:c>
      <x:c r="AA218" s="1" t="str">
        <x:f>'Inventory inputs'!R218</x:f>
        <x:v>Classified</x:v>
      </x:c>
      <x:c r="AB218" s="1" t="n">
        <x:f>IF(L218=1,SUMIFS('Incoming POs'!$P$2:$P$305,'Incoming POs'!$A$2:$A$305,A218,'Incoming POs'!$B$2:$B$305,B218,'Incoming POs'!$C$2:$C$305,C218,'Incoming POs'!$G$2:$G$305,"&gt;="&amp;D218,'Incoming POs'!$G$2:$G$305,"&lt;"&amp;Dashboard!$I$5,'Incoming POs'!$Q$2:$Q$305,"&lt;="&amp;('Inventory inputs'!P218/'Inventory inputs'!J218*1.01)),"n.a.")</x:f>
        <x:v>0</x:v>
      </x:c>
      <x:c r="AC218" s="9" t="n">
        <x:f>I218*G218</x:f>
        <x:v>0</x:v>
      </x:c>
      <x:c r="AD218" s="9" t="n">
        <x:f>J218*G218</x:f>
        <x:v>81.9</x:v>
      </x:c>
      <x:c r="AE218" s="9" t="n">
        <x:f>K218*G218</x:f>
        <x:v>0</x:v>
      </x:c>
      <x:c r="AF218" s="9" t="n">
        <x:f>R218*G218</x:f>
        <x:v>217.3952772073922</x:v>
      </x:c>
    </x:row>
    <x:row r="219" ht="21" customHeight="1">
      <x:c r="A219" s="1" t="str">
        <x:f>'Inventory inputs'!A219</x:f>
        <x:v>PLAS</x:v>
      </x:c>
      <x:c r="B219" s="1" t="str">
        <x:f>'Inventory inputs'!B219</x:f>
        <x:v>60</x:v>
      </x:c>
      <x:c r="C219" s="1" t="str">
        <x:f>'Inventory inputs'!C219</x:f>
        <x:v>07819RWBWHT</x:v>
      </x:c>
      <x:c r="D219" s="7" t="n">
        <x:f>'Inventory inputs'!E219</x:f>
        <x:v>46303</x:v>
      </x:c>
      <x:c r="E219" s="1" t="n">
        <x:f>'Inventory inputs'!F219</x:f>
        <x:v>100</x:v>
      </x:c>
      <x:c r="F219" s="1" t="n">
        <x:f>'Inventory inputs'!G219</x:f>
        <x:v>516.67</x:v>
      </x:c>
      <x:c r="G219" s="1" t="n">
        <x:f>'Inventory inputs'!H219/'Inventory inputs'!J219</x:f>
        <x:v>0.0797</x:v>
      </x:c>
      <x:c r="H219" s="1" t="n">
        <x:f>IF('Inventory inputs'!I219&gt;0,'Inventory inputs'!I219*'Inventory inputs'!K219/'Inventory inputs'!J219,"n.a.")</x:f>
        <x:v>0.09319799999999999</x:v>
      </x:c>
      <x:c r="I219" s="1" t="n">
        <x:f>'Inventory inputs'!L219</x:f>
        <x:v>0</x:v>
      </x:c>
      <x:c r="J219" s="1" t="n">
        <x:f>'Inventory inputs'!M219</x:f>
        <x:v>0</x:v>
      </x:c>
      <x:c r="K219" s="1" t="n">
        <x:f>'Inventory inputs'!N219</x:f>
        <x:v>100</x:v>
      </x:c>
      <x:c r="L219" s="1" t="n">
        <x:f>'Inventory inputs'!O219</x:f>
        <x:v>0</x:v>
      </x:c>
      <x:c r="M219" s="9" t="n">
        <x:f>E219*G219</x:f>
        <x:v>7.969999999999999</x:v>
      </x:c>
      <x:c r="N219" s="9" t="n">
        <x:f>'Inventory inputs'!Q219</x:f>
        <x:v>7.97</x:v>
      </x:c>
      <x:c r="O219" s="9" t="n">
        <x:f>N219-M219</x:f>
        <x:v>8.881784197001252e-16</x:v>
      </x:c>
      <x:c r="P219" s="1" t="n">
        <x:f>SUMIFS('Incoming POs'!$P$2:$P$305,'Incoming POs'!$A$2:$A$305,A219,'Incoming POs'!$B$2:$B$305,B219,'Incoming POs'!$C$2:$C$305,C219,'Incoming POs'!$G$2:$G$305,"&gt;="&amp;D219,'Incoming POs'!$G$2:$G$305,"&lt;"&amp;Dashboard!$I$5)</x:f>
        <x:v>0</x:v>
      </x:c>
      <x:c r="Q219" s="1" t="n">
        <x:f>F219*Dashboard!$L$5*MAX(0,Dashboard!$I$5-D219)/30.4375</x:f>
        <x:v>687.4787679671457</x:v>
      </x:c>
      <x:c r="R219" s="1" t="n">
        <x:f>MAX(0,E219+P219-Q219)</x:f>
        <x:v>0</x:v>
      </x:c>
      <x:c r="S219" s="1" t="n">
        <x:f>MAX(0,Q219-E219-P219)</x:f>
        <x:v>587.4787679671457</x:v>
      </x:c>
      <x:c r="T219" s="1" t="str">
        <x:f>IF(L219=1,MAX(0,I219+AB219-MIN(Q219,E219+P219)),"n.a.")</x:f>
        <x:v>n.a.</x:v>
      </x:c>
      <x:c r="U219" s="9" t="str">
        <x:f>IF(ISNUMBER(T219),T219*G219,"n.a.")</x:f>
        <x:v>n.a.</x:v>
      </x:c>
      <x:c r="V219" s="25" t="n">
        <x:f>IF(Dashboard!$I$6="Flat %",1,IF(ISNUMBER(H219),1,0))</x:f>
        <x:v>1</x:v>
      </x:c>
      <x:c r="W219" s="9" t="n">
        <x:f>IF(Dashboard!$I$6="Flat %",G219*(1+Dashboard!$L$6),H219)</x:f>
        <x:v>0.09319799999999999</x:v>
      </x:c>
      <x:c r="X219" s="9" t="n">
        <x:f>IF(V219=1,R219*(W219-G219),"n.a.")</x:f>
        <x:v>0</x:v>
      </x:c>
      <x:c r="Y219" s="9" t="n">
        <x:f>IF(V219=1,R219*W219,"n.a.")</x:f>
        <x:v>0</x:v>
      </x:c>
      <x:c r="Z219" s="1" t="str">
        <x:f>IF(ISNUMBER(T219),R219-T219,"n.a.")</x:f>
        <x:v>n.a.</x:v>
      </x:c>
      <x:c r="AA219" s="1" t="str">
        <x:f>'Inventory inputs'!R219</x:f>
        <x:v>Review receipt reconciliation or original PO baseline</x:v>
      </x:c>
      <x:c r="AB219" s="1" t="str">
        <x:f>IF(L219=1,SUMIFS('Incoming POs'!$P$2:$P$305,'Incoming POs'!$A$2:$A$305,A219,'Incoming POs'!$B$2:$B$305,B219,'Incoming POs'!$C$2:$C$305,C219,'Incoming POs'!$G$2:$G$305,"&gt;="&amp;D219,'Incoming POs'!$G$2:$G$305,"&lt;"&amp;Dashboard!$I$5,'Incoming POs'!$Q$2:$Q$305,"&lt;="&amp;('Inventory inputs'!P219/'Inventory inputs'!J219*1.01)),"n.a.")</x:f>
        <x:v>n.a.</x:v>
      </x:c>
      <x:c r="AC219" s="9" t="n">
        <x:f>I219*G219</x:f>
        <x:v>0</x:v>
      </x:c>
      <x:c r="AD219" s="9" t="n">
        <x:f>J219*G219</x:f>
        <x:v>0</x:v>
      </x:c>
      <x:c r="AE219" s="9" t="n">
        <x:f>K219*G219</x:f>
        <x:v>7.969999999999999</x:v>
      </x:c>
      <x:c r="AF219" s="9" t="n">
        <x:f>R219*G219</x:f>
        <x:v>0</x:v>
      </x:c>
    </x:row>
    <x:row r="220" ht="21" customHeight="1">
      <x:c r="A220" s="1" t="str">
        <x:f>'Inventory inputs'!A220</x:f>
        <x:v>PLAS</x:v>
      </x:c>
      <x:c r="B220" s="1" t="str">
        <x:f>'Inventory inputs'!B220</x:f>
        <x:v>10</x:v>
      </x:c>
      <x:c r="C220" s="1" t="str">
        <x:f>'Inventory inputs'!C220</x:f>
        <x:v>51619RWBFG</x:v>
      </x:c>
      <x:c r="D220" s="7" t="n">
        <x:f>'Inventory inputs'!E220</x:f>
        <x:v>46303</x:v>
      </x:c>
      <x:c r="E220" s="1" t="n">
        <x:f>'Inventory inputs'!F220</x:f>
        <x:v>4400</x:v>
      </x:c>
      <x:c r="F220" s="1" t="n">
        <x:f>'Inventory inputs'!G220</x:f>
        <x:v>510.41</x:v>
      </x:c>
      <x:c r="G220" s="1" t="n">
        <x:f>'Inventory inputs'!H220/'Inventory inputs'!J220</x:f>
        <x:v>0.0216</x:v>
      </x:c>
      <x:c r="H220" s="1" t="n">
        <x:f>IF('Inventory inputs'!I220&gt;0,'Inventory inputs'!I220*'Inventory inputs'!K220/'Inventory inputs'!J220,"n.a.")</x:f>
        <x:v>0.025284</x:v>
      </x:c>
      <x:c r="I220" s="1" t="n">
        <x:f>'Inventory inputs'!L220</x:f>
        <x:v>3400</x:v>
      </x:c>
      <x:c r="J220" s="1" t="n">
        <x:f>'Inventory inputs'!M220</x:f>
        <x:v>1000</x:v>
      </x:c>
      <x:c r="K220" s="1" t="n">
        <x:f>'Inventory inputs'!N220</x:f>
        <x:v>0</x:v>
      </x:c>
      <x:c r="L220" s="1" t="n">
        <x:f>'Inventory inputs'!O220</x:f>
        <x:v>1</x:v>
      </x:c>
      <x:c r="M220" s="9" t="n">
        <x:f>E220*G220</x:f>
        <x:v>95.04</x:v>
      </x:c>
      <x:c r="N220" s="9" t="n">
        <x:f>'Inventory inputs'!Q220</x:f>
        <x:v>95.04</x:v>
      </x:c>
      <x:c r="O220" s="9" t="n">
        <x:f>N220-M220</x:f>
        <x:v>0</x:v>
      </x:c>
      <x:c r="P220" s="1" t="n">
        <x:f>SUMIFS('Incoming POs'!$P$2:$P$305,'Incoming POs'!$A$2:$A$305,A220,'Incoming POs'!$B$2:$B$305,B220,'Incoming POs'!$C$2:$C$305,C220,'Incoming POs'!$G$2:$G$305,"&gt;="&amp;D220,'Incoming POs'!$G$2:$G$305,"&lt;"&amp;Dashboard!$I$5)</x:f>
        <x:v>5000</x:v>
      </x:c>
      <x:c r="Q220" s="1" t="n">
        <x:f>F220*Dashboard!$L$5*MAX(0,Dashboard!$I$5-D220)/30.4375</x:f>
        <x:v>679.1492402464065</x:v>
      </x:c>
      <x:c r="R220" s="1" t="n">
        <x:f>MAX(0,E220+P220-Q220)</x:f>
        <x:v>8720.850759753594</x:v>
      </x:c>
      <x:c r="S220" s="1" t="n">
        <x:f>MAX(0,Q220-E220-P220)</x:f>
        <x:v>0</x:v>
      </x:c>
      <x:c r="T220" s="1" t="n">
        <x:f>IF(L220=1,MAX(0,I220+AB220-MIN(Q220,E220+P220)),"n.a.")</x:f>
        <x:v>2720.8507597535936</x:v>
      </x:c>
      <x:c r="U220" s="9" t="n">
        <x:f>IF(ISNUMBER(T220),T220*G220,"n.a.")</x:f>
        <x:v>58.77037641067763</x:v>
      </x:c>
      <x:c r="V220" s="25" t="n">
        <x:f>IF(Dashboard!$I$6="Flat %",1,IF(ISNUMBER(H220),1,0))</x:f>
        <x:v>1</x:v>
      </x:c>
      <x:c r="W220" s="9" t="n">
        <x:f>IF(Dashboard!$I$6="Flat %",G220*(1+Dashboard!$L$6),H220)</x:f>
        <x:v>0.025284</x:v>
      </x:c>
      <x:c r="X220" s="9" t="n">
        <x:f>IF(V220=1,R220*(W220-G220),"n.a.")</x:f>
        <x:v>32.127614198932235</x:v>
      </x:c>
      <x:c r="Y220" s="9" t="n">
        <x:f>IF(V220=1,R220*W220,"n.a.")</x:f>
        <x:v>220.49799060960987</x:v>
      </x:c>
      <x:c r="Z220" s="1" t="n">
        <x:f>IF(ISNUMBER(T220),R220-T220,"n.a.")</x:f>
        <x:v>6000</x:v>
      </x:c>
      <x:c r="AA220" s="1" t="str">
        <x:f>'Inventory inputs'!R220</x:f>
        <x:v>Classified</x:v>
      </x:c>
      <x:c r="AB220" s="1" t="n">
        <x:f>IF(L220=1,SUMIFS('Incoming POs'!$P$2:$P$305,'Incoming POs'!$A$2:$A$305,A220,'Incoming POs'!$B$2:$B$305,B220,'Incoming POs'!$C$2:$C$305,C220,'Incoming POs'!$G$2:$G$305,"&gt;="&amp;D220,'Incoming POs'!$G$2:$G$305,"&lt;"&amp;Dashboard!$I$5,'Incoming POs'!$Q$2:$Q$305,"&lt;="&amp;('Inventory inputs'!P220/'Inventory inputs'!J220*1.01)),"n.a.")</x:f>
        <x:v>0</x:v>
      </x:c>
      <x:c r="AC220" s="9" t="n">
        <x:f>I220*G220</x:f>
        <x:v>73.44</x:v>
      </x:c>
      <x:c r="AD220" s="9" t="n">
        <x:f>J220*G220</x:f>
        <x:v>21.6</x:v>
      </x:c>
      <x:c r="AE220" s="9" t="n">
        <x:f>K220*G220</x:f>
        <x:v>0</x:v>
      </x:c>
      <x:c r="AF220" s="9" t="n">
        <x:f>R220*G220</x:f>
        <x:v>188.37037641067764</x:v>
      </x:c>
    </x:row>
    <x:row r="221" ht="21" customHeight="1">
      <x:c r="A221" s="1" t="str">
        <x:f>'Inventory inputs'!A221</x:f>
        <x:v>PLAS</x:v>
      </x:c>
      <x:c r="B221" s="1" t="str">
        <x:f>'Inventory inputs'!B221</x:f>
        <x:v>10</x:v>
      </x:c>
      <x:c r="C221" s="1" t="str">
        <x:f>'Inventory inputs'!C221</x:f>
        <x:v>05819RWBMAR</x:v>
      </x:c>
      <x:c r="D221" s="7" t="n">
        <x:f>'Inventory inputs'!E221</x:f>
        <x:v>46303</x:v>
      </x:c>
      <x:c r="E221" s="1" t="n">
        <x:f>'Inventory inputs'!F221</x:f>
        <x:v>800</x:v>
      </x:c>
      <x:c r="F221" s="1" t="n">
        <x:f>'Inventory inputs'!G221</x:f>
        <x:v>508.33</x:v>
      </x:c>
      <x:c r="G221" s="1" t="n">
        <x:f>'Inventory inputs'!H221/'Inventory inputs'!J221</x:f>
        <x:v>0.045599999999999995</x:v>
      </x:c>
      <x:c r="H221" s="1" t="n">
        <x:f>IF('Inventory inputs'!I221&gt;0,'Inventory inputs'!I221*'Inventory inputs'!K221/'Inventory inputs'!J221,"n.a.")</x:f>
        <x:v>0.053361</x:v>
      </x:c>
      <x:c r="I221" s="1" t="n">
        <x:f>'Inventory inputs'!L221</x:f>
        <x:v>800</x:v>
      </x:c>
      <x:c r="J221" s="1" t="n">
        <x:f>'Inventory inputs'!M221</x:f>
        <x:v>0</x:v>
      </x:c>
      <x:c r="K221" s="1" t="n">
        <x:f>'Inventory inputs'!N221</x:f>
        <x:v>0</x:v>
      </x:c>
      <x:c r="L221" s="1" t="n">
        <x:f>'Inventory inputs'!O221</x:f>
        <x:v>1</x:v>
      </x:c>
      <x:c r="M221" s="9" t="n">
        <x:f>E221*G221</x:f>
        <x:v>36.48</x:v>
      </x:c>
      <x:c r="N221" s="9" t="n">
        <x:f>'Inventory inputs'!Q221</x:f>
        <x:v>36.48</x:v>
      </x:c>
      <x:c r="O221" s="9" t="n">
        <x:f>N221-M221</x:f>
        <x:v>0</x:v>
      </x:c>
      <x:c r="P221" s="1" t="n">
        <x:f>SUMIFS('Incoming POs'!$P$2:$P$305,'Incoming POs'!$A$2:$A$305,A221,'Incoming POs'!$B$2:$B$305,B221,'Incoming POs'!$C$2:$C$305,C221,'Incoming POs'!$G$2:$G$305,"&gt;="&amp;D221,'Incoming POs'!$G$2:$G$305,"&lt;"&amp;Dashboard!$I$5)</x:f>
        <x:v>0</x:v>
      </x:c>
      <x:c r="Q221" s="1" t="n">
        <x:f>F221*Dashboard!$L$5*MAX(0,Dashboard!$I$5-D221)/30.4375</x:f>
        <x:v>676.3816016427105</x:v>
      </x:c>
      <x:c r="R221" s="1" t="n">
        <x:f>MAX(0,E221+P221-Q221)</x:f>
        <x:v>123.6183983572895</x:v>
      </x:c>
      <x:c r="S221" s="1" t="n">
        <x:f>MAX(0,Q221-E221-P221)</x:f>
        <x:v>0</x:v>
      </x:c>
      <x:c r="T221" s="1" t="n">
        <x:f>IF(L221=1,MAX(0,I221+AB221-MIN(Q221,E221+P221)),"n.a.")</x:f>
        <x:v>123.6183983572895</x:v>
      </x:c>
      <x:c r="U221" s="9" t="n">
        <x:f>IF(ISNUMBER(T221),T221*G221,"n.a.")</x:f>
        <x:v>5.6369989650924</x:v>
      </x:c>
      <x:c r="V221" s="25" t="n">
        <x:f>IF(Dashboard!$I$6="Flat %",1,IF(ISNUMBER(H221),1,0))</x:f>
        <x:v>1</x:v>
      </x:c>
      <x:c r="W221" s="9" t="n">
        <x:f>IF(Dashboard!$I$6="Flat %",G221*(1+Dashboard!$L$6),H221)</x:f>
        <x:v>0.053361</x:v>
      </x:c>
      <x:c r="X221" s="9" t="n">
        <x:f>IF(V221=1,R221*(W221-G221),"n.a.")</x:f>
        <x:v>0.9594023896509243</x:v>
      </x:c>
      <x:c r="Y221" s="9" t="n">
        <x:f>IF(V221=1,R221*W221,"n.a.")</x:f>
        <x:v>6.596401354743325</x:v>
      </x:c>
      <x:c r="Z221" s="1" t="n">
        <x:f>IF(ISNUMBER(T221),R221-T221,"n.a.")</x:f>
        <x:v>0</x:v>
      </x:c>
      <x:c r="AA221" s="1" t="str">
        <x:f>'Inventory inputs'!R221</x:f>
        <x:v>Classified</x:v>
      </x:c>
      <x:c r="AB221" s="1" t="n">
        <x:f>IF(L221=1,SUMIFS('Incoming POs'!$P$2:$P$305,'Incoming POs'!$A$2:$A$305,A221,'Incoming POs'!$B$2:$B$305,B221,'Incoming POs'!$C$2:$C$305,C221,'Incoming POs'!$G$2:$G$305,"&gt;="&amp;D221,'Incoming POs'!$G$2:$G$305,"&lt;"&amp;Dashboard!$I$5,'Incoming POs'!$Q$2:$Q$305,"&lt;="&amp;('Inventory inputs'!P221/'Inventory inputs'!J221*1.01)),"n.a.")</x:f>
        <x:v>0</x:v>
      </x:c>
      <x:c r="AC221" s="9" t="n">
        <x:f>I221*G221</x:f>
        <x:v>36.48</x:v>
      </x:c>
      <x:c r="AD221" s="9" t="n">
        <x:f>J221*G221</x:f>
        <x:v>0</x:v>
      </x:c>
      <x:c r="AE221" s="9" t="n">
        <x:f>K221*G221</x:f>
        <x:v>0</x:v>
      </x:c>
      <x:c r="AF221" s="9" t="n">
        <x:f>R221*G221</x:f>
        <x:v>5.6369989650924</x:v>
      </x:c>
    </x:row>
    <x:row r="222" ht="21" customHeight="1">
      <x:c r="A222" s="1" t="str">
        <x:f>'Inventory inputs'!A222</x:f>
        <x:v>PLAS</x:v>
      </x:c>
      <x:c r="B222" s="1" t="str">
        <x:f>'Inventory inputs'!B222</x:f>
        <x:v>10</x:v>
      </x:c>
      <x:c r="C222" s="1" t="str">
        <x:f>'Inventory inputs'!C222</x:f>
        <x:v>00221RSLBLK</x:v>
      </x:c>
      <x:c r="D222" s="7" t="n">
        <x:f>'Inventory inputs'!E222</x:f>
        <x:v>46303</x:v>
      </x:c>
      <x:c r="E222" s="1" t="n">
        <x:f>'Inventory inputs'!F222</x:f>
        <x:v>9730</x:v>
      </x:c>
      <x:c r="F222" s="1" t="n">
        <x:f>'Inventory inputs'!G222</x:f>
        <x:v>507.5</x:v>
      </x:c>
      <x:c r="G222" s="1" t="n">
        <x:f>'Inventory inputs'!H222/'Inventory inputs'!J222</x:f>
        <x:v>0.1433</x:v>
      </x:c>
      <x:c r="H222" s="1" t="n">
        <x:f>IF('Inventory inputs'!I222&gt;0,'Inventory inputs'!I222*'Inventory inputs'!K222/'Inventory inputs'!J222,"n.a.")</x:f>
        <x:v>0.16772700000000001</x:v>
      </x:c>
      <x:c r="I222" s="1" t="n">
        <x:f>'Inventory inputs'!L222</x:f>
        <x:v>8730</x:v>
      </x:c>
      <x:c r="J222" s="1" t="n">
        <x:f>'Inventory inputs'!M222</x:f>
        <x:v>1000</x:v>
      </x:c>
      <x:c r="K222" s="1" t="n">
        <x:f>'Inventory inputs'!N222</x:f>
        <x:v>0</x:v>
      </x:c>
      <x:c r="L222" s="1" t="n">
        <x:f>'Inventory inputs'!O222</x:f>
        <x:v>1</x:v>
      </x:c>
      <x:c r="M222" s="9" t="n">
        <x:f>E222*G222</x:f>
        <x:v>1394.3090000000002</x:v>
      </x:c>
      <x:c r="N222" s="9" t="n">
        <x:f>'Inventory inputs'!Q222</x:f>
        <x:v>1394.309</x:v>
      </x:c>
      <x:c r="O222" s="9" t="n">
        <x:f>N222-M222</x:f>
        <x:v>-2.2737367544323206e-13</x:v>
      </x:c>
      <x:c r="P222" s="1" t="n">
        <x:f>SUMIFS('Incoming POs'!$P$2:$P$305,'Incoming POs'!$A$2:$A$305,A222,'Incoming POs'!$B$2:$B$305,B222,'Incoming POs'!$C$2:$C$305,C222,'Incoming POs'!$G$2:$G$305,"&gt;="&amp;D222,'Incoming POs'!$G$2:$G$305,"&lt;"&amp;Dashboard!$I$5)</x:f>
        <x:v>0</x:v>
      </x:c>
      <x:c r="Q222" s="1" t="n">
        <x:f>F222*Dashboard!$L$5*MAX(0,Dashboard!$I$5-D222)/30.4375</x:f>
        <x:v>675.2772073921972</x:v>
      </x:c>
      <x:c r="R222" s="1" t="n">
        <x:f>MAX(0,E222+P222-Q222)</x:f>
        <x:v>9054.722792607803</x:v>
      </x:c>
      <x:c r="S222" s="1" t="n">
        <x:f>MAX(0,Q222-E222-P222)</x:f>
        <x:v>0</x:v>
      </x:c>
      <x:c r="T222" s="1" t="n">
        <x:f>IF(L222=1,MAX(0,I222+AB222-MIN(Q222,E222+P222)),"n.a.")</x:f>
        <x:v>8054.722792607803</x:v>
      </x:c>
      <x:c r="U222" s="9" t="n">
        <x:f>IF(ISNUMBER(T222),T222*G222,"n.a.")</x:f>
        <x:v>1154.2417761806983</x:v>
      </x:c>
      <x:c r="V222" s="25" t="n">
        <x:f>IF(Dashboard!$I$6="Flat %",1,IF(ISNUMBER(H222),1,0))</x:f>
        <x:v>1</x:v>
      </x:c>
      <x:c r="W222" s="9" t="n">
        <x:f>IF(Dashboard!$I$6="Flat %",G222*(1+Dashboard!$L$6),H222)</x:f>
        <x:v>0.16772700000000001</x:v>
      </x:c>
      <x:c r="X222" s="9" t="n">
        <x:f>IF(V222=1,R222*(W222-G222),"n.a.")</x:f>
        <x:v>221.17971365503084</x:v>
      </x:c>
      <x:c r="Y222" s="9" t="n">
        <x:f>IF(V222=1,R222*W222,"n.a.")</x:f>
        <x:v>1518.721489835729</x:v>
      </x:c>
      <x:c r="Z222" s="1" t="n">
        <x:f>IF(ISNUMBER(T222),R222-T222,"n.a.")</x:f>
        <x:v>1000</x:v>
      </x:c>
      <x:c r="AA222" s="1" t="str">
        <x:f>'Inventory inputs'!R222</x:f>
        <x:v>Classified</x:v>
      </x:c>
      <x:c r="AB222" s="1" t="n">
        <x:f>IF(L222=1,SUMIFS('Incoming POs'!$P$2:$P$305,'Incoming POs'!$A$2:$A$305,A222,'Incoming POs'!$B$2:$B$305,B222,'Incoming POs'!$C$2:$C$305,C222,'Incoming POs'!$G$2:$G$305,"&gt;="&amp;D222,'Incoming POs'!$G$2:$G$305,"&lt;"&amp;Dashboard!$I$5,'Incoming POs'!$Q$2:$Q$305,"&lt;="&amp;('Inventory inputs'!P222/'Inventory inputs'!J222*1.01)),"n.a.")</x:f>
        <x:v>0</x:v>
      </x:c>
      <x:c r="AC222" s="9" t="n">
        <x:f>I222*G222</x:f>
        <x:v>1251.009</x:v>
      </x:c>
      <x:c r="AD222" s="9" t="n">
        <x:f>J222*G222</x:f>
        <x:v>143.3</x:v>
      </x:c>
      <x:c r="AE222" s="9" t="n">
        <x:f>K222*G222</x:f>
        <x:v>0</x:v>
      </x:c>
      <x:c r="AF222" s="9" t="n">
        <x:f>R222*G222</x:f>
        <x:v>1297.5417761806982</x:v>
      </x:c>
    </x:row>
    <x:row r="223" ht="21" customHeight="1">
      <x:c r="A223" s="1" t="str">
        <x:f>'Inventory inputs'!A223</x:f>
        <x:v>PLAS</x:v>
      </x:c>
      <x:c r="B223" s="1" t="str">
        <x:f>'Inventory inputs'!B223</x:f>
        <x:v>10</x:v>
      </x:c>
      <x:c r="C223" s="1" t="str">
        <x:f>'Inventory inputs'!C223</x:f>
        <x:v>01221RWBBLK</x:v>
      </x:c>
      <x:c r="D223" s="7" t="n">
        <x:f>'Inventory inputs'!E223</x:f>
        <x:v>46303</x:v>
      </x:c>
      <x:c r="E223" s="1" t="n">
        <x:f>'Inventory inputs'!F223</x:f>
        <x:v>3250</x:v>
      </x:c>
      <x:c r="F223" s="1" t="n">
        <x:f>'Inventory inputs'!G223</x:f>
        <x:v>506.67</x:v>
      </x:c>
      <x:c r="G223" s="1" t="n">
        <x:f>'Inventory inputs'!H223/'Inventory inputs'!J223</x:f>
        <x:v>0.0354</x:v>
      </x:c>
      <x:c r="H223" s="1" t="n">
        <x:f>IF('Inventory inputs'!I223&gt;0,'Inventory inputs'!I223*'Inventory inputs'!K223/'Inventory inputs'!J223,"n.a.")</x:f>
        <x:v>0.041454</x:v>
      </x:c>
      <x:c r="I223" s="1" t="n">
        <x:f>'Inventory inputs'!L223</x:f>
        <x:v>3250</x:v>
      </x:c>
      <x:c r="J223" s="1" t="n">
        <x:f>'Inventory inputs'!M223</x:f>
        <x:v>0</x:v>
      </x:c>
      <x:c r="K223" s="1" t="n">
        <x:f>'Inventory inputs'!N223</x:f>
        <x:v>0</x:v>
      </x:c>
      <x:c r="L223" s="1" t="n">
        <x:f>'Inventory inputs'!O223</x:f>
        <x:v>1</x:v>
      </x:c>
      <x:c r="M223" s="9" t="n">
        <x:f>E223*G223</x:f>
        <x:v>115.05</x:v>
      </x:c>
      <x:c r="N223" s="9" t="n">
        <x:f>'Inventory inputs'!Q223</x:f>
        <x:v>115.05</x:v>
      </x:c>
      <x:c r="O223" s="9" t="n">
        <x:f>N223-M223</x:f>
        <x:v>0</x:v>
      </x:c>
      <x:c r="P223" s="1" t="n">
        <x:f>SUMIFS('Incoming POs'!$P$2:$P$305,'Incoming POs'!$A$2:$A$305,A223,'Incoming POs'!$B$2:$B$305,B223,'Incoming POs'!$C$2:$C$305,C223,'Incoming POs'!$G$2:$G$305,"&gt;="&amp;D223,'Incoming POs'!$G$2:$G$305,"&lt;"&amp;Dashboard!$I$5)</x:f>
        <x:v>2000</x:v>
      </x:c>
      <x:c r="Q223" s="1" t="n">
        <x:f>F223*Dashboard!$L$5*MAX(0,Dashboard!$I$5-D223)/30.4375</x:f>
        <x:v>674.1728131416837</x:v>
      </x:c>
      <x:c r="R223" s="1" t="n">
        <x:f>MAX(0,E223+P223-Q223)</x:f>
        <x:v>4575.827186858316</x:v>
      </x:c>
      <x:c r="S223" s="1" t="n">
        <x:f>MAX(0,Q223-E223-P223)</x:f>
        <x:v>0</x:v>
      </x:c>
      <x:c r="T223" s="1" t="n">
        <x:f>IF(L223=1,MAX(0,I223+AB223-MIN(Q223,E223+P223)),"n.a.")</x:f>
        <x:v>2575.827186858316</x:v>
      </x:c>
      <x:c r="U223" s="9" t="n">
        <x:f>IF(ISNUMBER(T223),T223*G223,"n.a.")</x:f>
        <x:v>91.18428241478439</x:v>
      </x:c>
      <x:c r="V223" s="25" t="n">
        <x:f>IF(Dashboard!$I$6="Flat %",1,IF(ISNUMBER(H223),1,0))</x:f>
        <x:v>1</x:v>
      </x:c>
      <x:c r="W223" s="9" t="n">
        <x:f>IF(Dashboard!$I$6="Flat %",G223*(1+Dashboard!$L$6),H223)</x:f>
        <x:v>0.041454</x:v>
      </x:c>
      <x:c r="X223" s="9" t="n">
        <x:f>IF(V223=1,R223*(W223-G223),"n.a.")</x:f>
        <x:v>27.702057789240232</x:v>
      </x:c>
      <x:c r="Y223" s="9" t="n">
        <x:f>IF(V223=1,R223*W223,"n.a.")</x:f>
        <x:v>189.68634020402462</x:v>
      </x:c>
      <x:c r="Z223" s="1" t="n">
        <x:f>IF(ISNUMBER(T223),R223-T223,"n.a.")</x:f>
        <x:v>2000</x:v>
      </x:c>
      <x:c r="AA223" s="1" t="str">
        <x:f>'Inventory inputs'!R223</x:f>
        <x:v>Classified</x:v>
      </x:c>
      <x:c r="AB223" s="1" t="n">
        <x:f>IF(L223=1,SUMIFS('Incoming POs'!$P$2:$P$305,'Incoming POs'!$A$2:$A$305,A223,'Incoming POs'!$B$2:$B$305,B223,'Incoming POs'!$C$2:$C$305,C223,'Incoming POs'!$G$2:$G$305,"&gt;="&amp;D223,'Incoming POs'!$G$2:$G$305,"&lt;"&amp;Dashboard!$I$5,'Incoming POs'!$Q$2:$Q$305,"&lt;="&amp;('Inventory inputs'!P223/'Inventory inputs'!J223*1.01)),"n.a.")</x:f>
        <x:v>0</x:v>
      </x:c>
      <x:c r="AC223" s="9" t="n">
        <x:f>I223*G223</x:f>
        <x:v>115.05</x:v>
      </x:c>
      <x:c r="AD223" s="9" t="n">
        <x:f>J223*G223</x:f>
        <x:v>0</x:v>
      </x:c>
      <x:c r="AE223" s="9" t="n">
        <x:f>K223*G223</x:f>
        <x:v>0</x:v>
      </x:c>
      <x:c r="AF223" s="9" t="n">
        <x:f>R223*G223</x:f>
        <x:v>161.9842824147844</x:v>
      </x:c>
    </x:row>
    <x:row r="224" ht="21" customHeight="1">
      <x:c r="A224" s="1" t="str">
        <x:f>'Inventory inputs'!A224</x:f>
        <x:v>PLAS</x:v>
      </x:c>
      <x:c r="B224" s="1" t="str">
        <x:f>'Inventory inputs'!B224</x:f>
        <x:v>10</x:v>
      </x:c>
      <x:c r="C224" s="1" t="str">
        <x:f>'Inventory inputs'!C224</x:f>
        <x:v>03415RWBBRN</x:v>
      </x:c>
      <x:c r="D224" s="7" t="n">
        <x:f>'Inventory inputs'!E224</x:f>
        <x:v>46303</x:v>
      </x:c>
      <x:c r="E224" s="1" t="n">
        <x:f>'Inventory inputs'!F224</x:f>
        <x:v>1231</x:v>
      </x:c>
      <x:c r="F224" s="1" t="n">
        <x:f>'Inventory inputs'!G224</x:f>
        <x:v>500</x:v>
      </x:c>
      <x:c r="G224" s="1" t="n">
        <x:f>'Inventory inputs'!H224/'Inventory inputs'!J224</x:f>
        <x:v>0.044000000000000004</x:v>
      </x:c>
      <x:c r="H224" s="1" t="n">
        <x:f>IF('Inventory inputs'!I224&gt;0,'Inventory inputs'!I224*'Inventory inputs'!K224/'Inventory inputs'!J224,"n.a.")</x:f>
        <x:v>0.051449999999999996</x:v>
      </x:c>
      <x:c r="I224" s="1" t="n">
        <x:f>'Inventory inputs'!L224</x:f>
        <x:v>1231</x:v>
      </x:c>
      <x:c r="J224" s="1" t="n">
        <x:f>'Inventory inputs'!M224</x:f>
        <x:v>0</x:v>
      </x:c>
      <x:c r="K224" s="1" t="n">
        <x:f>'Inventory inputs'!N224</x:f>
        <x:v>0</x:v>
      </x:c>
      <x:c r="L224" s="1" t="n">
        <x:f>'Inventory inputs'!O224</x:f>
        <x:v>1</x:v>
      </x:c>
      <x:c r="M224" s="9" t="n">
        <x:f>E224*G224</x:f>
        <x:v>54.16400000000001</x:v>
      </x:c>
      <x:c r="N224" s="9" t="n">
        <x:f>'Inventory inputs'!Q224</x:f>
        <x:v>54.16400000000001</x:v>
      </x:c>
      <x:c r="O224" s="9" t="n">
        <x:f>N224-M224</x:f>
        <x:v>0</x:v>
      </x:c>
      <x:c r="P224" s="1" t="n">
        <x:f>SUMIFS('Incoming POs'!$P$2:$P$305,'Incoming POs'!$A$2:$A$305,A224,'Incoming POs'!$B$2:$B$305,B224,'Incoming POs'!$C$2:$C$305,C224,'Incoming POs'!$G$2:$G$305,"&gt;="&amp;D224,'Incoming POs'!$G$2:$G$305,"&lt;"&amp;Dashboard!$I$5)</x:f>
        <x:v>0</x:v>
      </x:c>
      <x:c r="Q224" s="1" t="n">
        <x:f>F224*Dashboard!$L$5*MAX(0,Dashboard!$I$5-D224)/30.4375</x:f>
        <x:v>665.2977412731007</x:v>
      </x:c>
      <x:c r="R224" s="1" t="n">
        <x:f>MAX(0,E224+P224-Q224)</x:f>
        <x:v>565.7022587268993</x:v>
      </x:c>
      <x:c r="S224" s="1" t="n">
        <x:f>MAX(0,Q224-E224-P224)</x:f>
        <x:v>0</x:v>
      </x:c>
      <x:c r="T224" s="1" t="n">
        <x:f>IF(L224=1,MAX(0,I224+AB224-MIN(Q224,E224+P224)),"n.a.")</x:f>
        <x:v>565.7022587268993</x:v>
      </x:c>
      <x:c r="U224" s="9" t="n">
        <x:f>IF(ISNUMBER(T224),T224*G224,"n.a.")</x:f>
        <x:v>24.890899383983573</x:v>
      </x:c>
      <x:c r="V224" s="25" t="n">
        <x:f>IF(Dashboard!$I$6="Flat %",1,IF(ISNUMBER(H224),1,0))</x:f>
        <x:v>1</x:v>
      </x:c>
      <x:c r="W224" s="9" t="n">
        <x:f>IF(Dashboard!$I$6="Flat %",G224*(1+Dashboard!$L$6),H224)</x:f>
        <x:v>0.051449999999999996</x:v>
      </x:c>
      <x:c r="X224" s="9" t="n">
        <x:f>IF(V224=1,R224*(W224-G224),"n.a.")</x:f>
        <x:v>4.214481827515395</x:v>
      </x:c>
      <x:c r="Y224" s="9" t="n">
        <x:f>IF(V224=1,R224*W224,"n.a.")</x:f>
        <x:v>29.10538121149897</x:v>
      </x:c>
      <x:c r="Z224" s="1" t="n">
        <x:f>IF(ISNUMBER(T224),R224-T224,"n.a.")</x:f>
        <x:v>0</x:v>
      </x:c>
      <x:c r="AA224" s="1" t="str">
        <x:f>'Inventory inputs'!R224</x:f>
        <x:v>Classified</x:v>
      </x:c>
      <x:c r="AB224" s="1" t="n">
        <x:f>IF(L224=1,SUMIFS('Incoming POs'!$P$2:$P$305,'Incoming POs'!$A$2:$A$305,A224,'Incoming POs'!$B$2:$B$305,B224,'Incoming POs'!$C$2:$C$305,C224,'Incoming POs'!$G$2:$G$305,"&gt;="&amp;D224,'Incoming POs'!$G$2:$G$305,"&lt;"&amp;Dashboard!$I$5,'Incoming POs'!$Q$2:$Q$305,"&lt;="&amp;('Inventory inputs'!P224/'Inventory inputs'!J224*1.01)),"n.a.")</x:f>
        <x:v>0</x:v>
      </x:c>
      <x:c r="AC224" s="9" t="n">
        <x:f>I224*G224</x:f>
        <x:v>54.16400000000001</x:v>
      </x:c>
      <x:c r="AD224" s="9" t="n">
        <x:f>J224*G224</x:f>
        <x:v>0</x:v>
      </x:c>
      <x:c r="AE224" s="9" t="n">
        <x:f>K224*G224</x:f>
        <x:v>0</x:v>
      </x:c>
      <x:c r="AF224" s="9" t="n">
        <x:f>R224*G224</x:f>
        <x:v>24.890899383983573</x:v>
      </x:c>
    </x:row>
    <x:row r="225" ht="21" customHeight="1">
      <x:c r="A225" s="1" t="str">
        <x:f>'Inventory inputs'!A225</x:f>
        <x:v>PLAS</x:v>
      </x:c>
      <x:c r="B225" s="1" t="str">
        <x:f>'Inventory inputs'!B225</x:f>
        <x:v>10</x:v>
      </x:c>
      <x:c r="C225" s="1" t="str">
        <x:f>'Inventory inputs'!C225</x:f>
        <x:v>05815RWBBLU</x:v>
      </x:c>
      <x:c r="D225" s="7" t="n">
        <x:f>'Inventory inputs'!E225</x:f>
        <x:v>46303</x:v>
      </x:c>
      <x:c r="E225" s="1" t="n">
        <x:f>'Inventory inputs'!F225</x:f>
        <x:v>3000</x:v>
      </x:c>
      <x:c r="F225" s="1" t="n">
        <x:f>'Inventory inputs'!G225</x:f>
        <x:v>500</x:v>
      </x:c>
      <x:c r="G225" s="1" t="n">
        <x:f>'Inventory inputs'!H225/'Inventory inputs'!J225</x:f>
        <x:v>0.030899999999999997</x:v>
      </x:c>
      <x:c r="H225" s="1" t="n">
        <x:f>IF('Inventory inputs'!I225&gt;0,'Inventory inputs'!I225*'Inventory inputs'!K225/'Inventory inputs'!J225,"n.a.")</x:f>
        <x:v>0.036162</x:v>
      </x:c>
      <x:c r="I225" s="1" t="n">
        <x:f>'Inventory inputs'!L225</x:f>
        <x:v>3000</x:v>
      </x:c>
      <x:c r="J225" s="1" t="n">
        <x:f>'Inventory inputs'!M225</x:f>
        <x:v>0</x:v>
      </x:c>
      <x:c r="K225" s="1" t="n">
        <x:f>'Inventory inputs'!N225</x:f>
        <x:v>0</x:v>
      </x:c>
      <x:c r="L225" s="1" t="n">
        <x:f>'Inventory inputs'!O225</x:f>
        <x:v>1</x:v>
      </x:c>
      <x:c r="M225" s="9" t="n">
        <x:f>E225*G225</x:f>
        <x:v>92.69999999999999</x:v>
      </x:c>
      <x:c r="N225" s="9" t="n">
        <x:f>'Inventory inputs'!Q225</x:f>
        <x:v>92.7</x:v>
      </x:c>
      <x:c r="O225" s="9" t="n">
        <x:f>N225-M225</x:f>
        <x:v>1.4210854715202004e-14</x:v>
      </x:c>
      <x:c r="P225" s="1" t="n">
        <x:f>SUMIFS('Incoming POs'!$P$2:$P$305,'Incoming POs'!$A$2:$A$305,A225,'Incoming POs'!$B$2:$B$305,B225,'Incoming POs'!$C$2:$C$305,C225,'Incoming POs'!$G$2:$G$305,"&gt;="&amp;D225,'Incoming POs'!$G$2:$G$305,"&lt;"&amp;Dashboard!$I$5)</x:f>
        <x:v>0</x:v>
      </x:c>
      <x:c r="Q225" s="1" t="n">
        <x:f>F225*Dashboard!$L$5*MAX(0,Dashboard!$I$5-D225)/30.4375</x:f>
        <x:v>665.2977412731007</x:v>
      </x:c>
      <x:c r="R225" s="1" t="n">
        <x:f>MAX(0,E225+P225-Q225)</x:f>
        <x:v>2334.7022587268993</x:v>
      </x:c>
      <x:c r="S225" s="1" t="n">
        <x:f>MAX(0,Q225-E225-P225)</x:f>
        <x:v>0</x:v>
      </x:c>
      <x:c r="T225" s="1" t="n">
        <x:f>IF(L225=1,MAX(0,I225+AB225-MIN(Q225,E225+P225)),"n.a.")</x:f>
        <x:v>2334.7022587268993</x:v>
      </x:c>
      <x:c r="U225" s="9" t="n">
        <x:f>IF(ISNUMBER(T225),T225*G225,"n.a.")</x:f>
        <x:v>72.14229979466118</x:v>
      </x:c>
      <x:c r="V225" s="25" t="n">
        <x:f>IF(Dashboard!$I$6="Flat %",1,IF(ISNUMBER(H225),1,0))</x:f>
        <x:v>1</x:v>
      </x:c>
      <x:c r="W225" s="9" t="n">
        <x:f>IF(Dashboard!$I$6="Flat %",G225*(1+Dashboard!$L$6),H225)</x:f>
        <x:v>0.036162</x:v>
      </x:c>
      <x:c r="X225" s="9" t="n">
        <x:f>IF(V225=1,R225*(W225-G225),"n.a.")</x:f>
        <x:v>12.28520328542095</x:v>
      </x:c>
      <x:c r="Y225" s="9" t="n">
        <x:f>IF(V225=1,R225*W225,"n.a.")</x:f>
        <x:v>84.42750308008213</x:v>
      </x:c>
      <x:c r="Z225" s="1" t="n">
        <x:f>IF(ISNUMBER(T225),R225-T225,"n.a.")</x:f>
        <x:v>0</x:v>
      </x:c>
      <x:c r="AA225" s="1" t="str">
        <x:f>'Inventory inputs'!R225</x:f>
        <x:v>Classified</x:v>
      </x:c>
      <x:c r="AB225" s="1" t="n">
        <x:f>IF(L225=1,SUMIFS('Incoming POs'!$P$2:$P$305,'Incoming POs'!$A$2:$A$305,A225,'Incoming POs'!$B$2:$B$305,B225,'Incoming POs'!$C$2:$C$305,C225,'Incoming POs'!$G$2:$G$305,"&gt;="&amp;D225,'Incoming POs'!$G$2:$G$305,"&lt;"&amp;Dashboard!$I$5,'Incoming POs'!$Q$2:$Q$305,"&lt;="&amp;('Inventory inputs'!P225/'Inventory inputs'!J225*1.01)),"n.a.")</x:f>
        <x:v>0</x:v>
      </x:c>
      <x:c r="AC225" s="9" t="n">
        <x:f>I225*G225</x:f>
        <x:v>92.69999999999999</x:v>
      </x:c>
      <x:c r="AD225" s="9" t="n">
        <x:f>J225*G225</x:f>
        <x:v>0</x:v>
      </x:c>
      <x:c r="AE225" s="9" t="n">
        <x:f>K225*G225</x:f>
        <x:v>0</x:v>
      </x:c>
      <x:c r="AF225" s="9" t="n">
        <x:f>R225*G225</x:f>
        <x:v>72.14229979466118</x:v>
      </x:c>
    </x:row>
    <x:row r="226" ht="21" customHeight="1">
      <x:c r="A226" s="1" t="str">
        <x:f>'Inventory inputs'!A226</x:f>
        <x:v>PLAS</x:v>
      </x:c>
      <x:c r="B226" s="1" t="str">
        <x:f>'Inventory inputs'!B226</x:f>
        <x:v>10</x:v>
      </x:c>
      <x:c r="C226" s="1" t="str">
        <x:f>'Inventory inputs'!C226</x:f>
        <x:v>91615RWBBLU</x:v>
      </x:c>
      <x:c r="D226" s="7" t="n">
        <x:f>'Inventory inputs'!E226</x:f>
        <x:v>46303</x:v>
      </x:c>
      <x:c r="E226" s="1" t="n">
        <x:f>'Inventory inputs'!F226</x:f>
        <x:v>4500</x:v>
      </x:c>
      <x:c r="F226" s="1" t="n">
        <x:f>'Inventory inputs'!G226</x:f>
        <x:v>500</x:v>
      </x:c>
      <x:c r="G226" s="1" t="n">
        <x:f>'Inventory inputs'!H226/'Inventory inputs'!J226</x:f>
        <x:v>0.0291</x:v>
      </x:c>
      <x:c r="H226" s="1" t="n">
        <x:f>IF('Inventory inputs'!I226&gt;0,'Inventory inputs'!I226*'Inventory inputs'!K226/'Inventory inputs'!J226,"n.a.")</x:f>
        <x:v>0.034103999999999995</x:v>
      </x:c>
      <x:c r="I226" s="1" t="n">
        <x:f>'Inventory inputs'!L226</x:f>
        <x:v>4500</x:v>
      </x:c>
      <x:c r="J226" s="1" t="n">
        <x:f>'Inventory inputs'!M226</x:f>
        <x:v>0</x:v>
      </x:c>
      <x:c r="K226" s="1" t="n">
        <x:f>'Inventory inputs'!N226</x:f>
        <x:v>0</x:v>
      </x:c>
      <x:c r="L226" s="1" t="n">
        <x:f>'Inventory inputs'!O226</x:f>
        <x:v>1</x:v>
      </x:c>
      <x:c r="M226" s="9" t="n">
        <x:f>E226*G226</x:f>
        <x:v>130.95000000000002</x:v>
      </x:c>
      <x:c r="N226" s="9" t="n">
        <x:f>'Inventory inputs'!Q226</x:f>
        <x:v>130.95</x:v>
      </x:c>
      <x:c r="O226" s="9" t="n">
        <x:f>N226-M226</x:f>
        <x:v>-2.842170943040401e-14</x:v>
      </x:c>
      <x:c r="P226" s="1" t="n">
        <x:f>SUMIFS('Incoming POs'!$P$2:$P$305,'Incoming POs'!$A$2:$A$305,A226,'Incoming POs'!$B$2:$B$305,B226,'Incoming POs'!$C$2:$C$305,C226,'Incoming POs'!$G$2:$G$305,"&gt;="&amp;D226,'Incoming POs'!$G$2:$G$305,"&lt;"&amp;Dashboard!$I$5)</x:f>
        <x:v>0</x:v>
      </x:c>
      <x:c r="Q226" s="1" t="n">
        <x:f>F226*Dashboard!$L$5*MAX(0,Dashboard!$I$5-D226)/30.4375</x:f>
        <x:v>665.2977412731007</x:v>
      </x:c>
      <x:c r="R226" s="1" t="n">
        <x:f>MAX(0,E226+P226-Q226)</x:f>
        <x:v>3834.7022587268993</x:v>
      </x:c>
      <x:c r="S226" s="1" t="n">
        <x:f>MAX(0,Q226-E226-P226)</x:f>
        <x:v>0</x:v>
      </x:c>
      <x:c r="T226" s="1" t="n">
        <x:f>IF(L226=1,MAX(0,I226+AB226-MIN(Q226,E226+P226)),"n.a.")</x:f>
        <x:v>3834.7022587268993</x:v>
      </x:c>
      <x:c r="U226" s="9" t="n">
        <x:f>IF(ISNUMBER(T226),T226*G226,"n.a.")</x:f>
        <x:v>111.58983572895278</x:v>
      </x:c>
      <x:c r="V226" s="25" t="n">
        <x:f>IF(Dashboard!$I$6="Flat %",1,IF(ISNUMBER(H226),1,0))</x:f>
        <x:v>1</x:v>
      </x:c>
      <x:c r="W226" s="9" t="n">
        <x:f>IF(Dashboard!$I$6="Flat %",G226*(1+Dashboard!$L$6),H226)</x:f>
        <x:v>0.034103999999999995</x:v>
      </x:c>
      <x:c r="X226" s="9" t="n">
        <x:f>IF(V226=1,R226*(W226-G226),"n.a.")</x:f>
        <x:v>19.188850102669385</x:v>
      </x:c>
      <x:c r="Y226" s="9" t="n">
        <x:f>IF(V226=1,R226*W226,"n.a.")</x:f>
        <x:v>130.77868583162217</x:v>
      </x:c>
      <x:c r="Z226" s="1" t="n">
        <x:f>IF(ISNUMBER(T226),R226-T226,"n.a.")</x:f>
        <x:v>0</x:v>
      </x:c>
      <x:c r="AA226" s="1" t="str">
        <x:f>'Inventory inputs'!R226</x:f>
        <x:v>Classified</x:v>
      </x:c>
      <x:c r="AB226" s="1" t="n">
        <x:f>IF(L226=1,SUMIFS('Incoming POs'!$P$2:$P$305,'Incoming POs'!$A$2:$A$305,A226,'Incoming POs'!$B$2:$B$305,B226,'Incoming POs'!$C$2:$C$305,C226,'Incoming POs'!$G$2:$G$305,"&gt;="&amp;D226,'Incoming POs'!$G$2:$G$305,"&lt;"&amp;Dashboard!$I$5,'Incoming POs'!$Q$2:$Q$305,"&lt;="&amp;('Inventory inputs'!P226/'Inventory inputs'!J226*1.01)),"n.a.")</x:f>
        <x:v>0</x:v>
      </x:c>
      <x:c r="AC226" s="9" t="n">
        <x:f>I226*G226</x:f>
        <x:v>130.95000000000002</x:v>
      </x:c>
      <x:c r="AD226" s="9" t="n">
        <x:f>J226*G226</x:f>
        <x:v>0</x:v>
      </x:c>
      <x:c r="AE226" s="9" t="n">
        <x:f>K226*G226</x:f>
        <x:v>0</x:v>
      </x:c>
      <x:c r="AF226" s="9" t="n">
        <x:f>R226*G226</x:f>
        <x:v>111.58983572895278</x:v>
      </x:c>
    </x:row>
    <x:row r="227" ht="21" customHeight="1">
      <x:c r="A227" s="1" t="str">
        <x:f>'Inventory inputs'!A227</x:f>
        <x:v>PLAS</x:v>
      </x:c>
      <x:c r="B227" s="1" t="str">
        <x:f>'Inventory inputs'!B227</x:f>
        <x:v>30</x:v>
      </x:c>
      <x:c r="C227" s="1" t="str">
        <x:f>'Inventory inputs'!C227</x:f>
        <x:v>01419RWBNAV</x:v>
      </x:c>
      <x:c r="D227" s="7" t="n">
        <x:f>'Inventory inputs'!E227</x:f>
        <x:v>46303</x:v>
      </x:c>
      <x:c r="E227" s="1" t="n">
        <x:f>'Inventory inputs'!F227</x:f>
        <x:v>600</x:v>
      </x:c>
      <x:c r="F227" s="1" t="n">
        <x:f>'Inventory inputs'!G227</x:f>
        <x:v>500</x:v>
      </x:c>
      <x:c r="G227" s="1" t="n">
        <x:f>'Inventory inputs'!H227/'Inventory inputs'!J227</x:f>
        <x:v>0.0181</x:v>
      </x:c>
      <x:c r="H227" s="1" t="n">
        <x:f>IF('Inventory inputs'!I227&gt;0,'Inventory inputs'!I227*'Inventory inputs'!K227/'Inventory inputs'!J227,"n.a.")</x:f>
        <x:v>0.021168</x:v>
      </x:c>
      <x:c r="I227" s="1" t="n">
        <x:f>'Inventory inputs'!L227</x:f>
        <x:v>0</x:v>
      </x:c>
      <x:c r="J227" s="1" t="n">
        <x:f>'Inventory inputs'!M227</x:f>
        <x:v>0</x:v>
      </x:c>
      <x:c r="K227" s="1" t="n">
        <x:f>'Inventory inputs'!N227</x:f>
        <x:v>600</x:v>
      </x:c>
      <x:c r="L227" s="1" t="n">
        <x:f>'Inventory inputs'!O227</x:f>
        <x:v>0</x:v>
      </x:c>
      <x:c r="M227" s="9" t="n">
        <x:f>E227*G227</x:f>
        <x:v>10.860000000000001</x:v>
      </x:c>
      <x:c r="N227" s="9" t="n">
        <x:f>'Inventory inputs'!Q227</x:f>
        <x:v>10.86</x:v>
      </x:c>
      <x:c r="O227" s="9" t="n">
        <x:f>N227-M227</x:f>
        <x:v>-1.7763568394002505e-15</x:v>
      </x:c>
      <x:c r="P227" s="1" t="n">
        <x:f>SUMIFS('Incoming POs'!$P$2:$P$305,'Incoming POs'!$A$2:$A$305,A227,'Incoming POs'!$B$2:$B$305,B227,'Incoming POs'!$C$2:$C$305,C227,'Incoming POs'!$G$2:$G$305,"&gt;="&amp;D227,'Incoming POs'!$G$2:$G$305,"&lt;"&amp;Dashboard!$I$5)</x:f>
        <x:v>0</x:v>
      </x:c>
      <x:c r="Q227" s="1" t="n">
        <x:f>F227*Dashboard!$L$5*MAX(0,Dashboard!$I$5-D227)/30.4375</x:f>
        <x:v>665.2977412731007</x:v>
      </x:c>
      <x:c r="R227" s="1" t="n">
        <x:f>MAX(0,E227+P227-Q227)</x:f>
        <x:v>0</x:v>
      </x:c>
      <x:c r="S227" s="1" t="n">
        <x:f>MAX(0,Q227-E227-P227)</x:f>
        <x:v>65.29774127310066</x:v>
      </x:c>
      <x:c r="T227" s="1" t="str">
        <x:f>IF(L227=1,MAX(0,I227+AB227-MIN(Q227,E227+P227)),"n.a.")</x:f>
        <x:v>n.a.</x:v>
      </x:c>
      <x:c r="U227" s="9" t="str">
        <x:f>IF(ISNUMBER(T227),T227*G227,"n.a.")</x:f>
        <x:v>n.a.</x:v>
      </x:c>
      <x:c r="V227" s="25" t="n">
        <x:f>IF(Dashboard!$I$6="Flat %",1,IF(ISNUMBER(H227),1,0))</x:f>
        <x:v>1</x:v>
      </x:c>
      <x:c r="W227" s="9" t="n">
        <x:f>IF(Dashboard!$I$6="Flat %",G227*(1+Dashboard!$L$6),H227)</x:f>
        <x:v>0.021168</x:v>
      </x:c>
      <x:c r="X227" s="9" t="n">
        <x:f>IF(V227=1,R227*(W227-G227),"n.a.")</x:f>
        <x:v>0</x:v>
      </x:c>
      <x:c r="Y227" s="9" t="n">
        <x:f>IF(V227=1,R227*W227,"n.a.")</x:f>
        <x:v>0</x:v>
      </x:c>
      <x:c r="Z227" s="1" t="str">
        <x:f>IF(ISNUMBER(T227),R227-T227,"n.a.")</x:f>
        <x:v>n.a.</x:v>
      </x:c>
      <x:c r="AA227" s="1" t="str">
        <x:f>'Inventory inputs'!R227</x:f>
        <x:v>Review receipt reconciliation or original PO baseline</x:v>
      </x:c>
      <x:c r="AB227" s="1" t="str">
        <x:f>IF(L227=1,SUMIFS('Incoming POs'!$P$2:$P$305,'Incoming POs'!$A$2:$A$305,A227,'Incoming POs'!$B$2:$B$305,B227,'Incoming POs'!$C$2:$C$305,C227,'Incoming POs'!$G$2:$G$305,"&gt;="&amp;D227,'Incoming POs'!$G$2:$G$305,"&lt;"&amp;Dashboard!$I$5,'Incoming POs'!$Q$2:$Q$305,"&lt;="&amp;('Inventory inputs'!P227/'Inventory inputs'!J227*1.01)),"n.a.")</x:f>
        <x:v>n.a.</x:v>
      </x:c>
      <x:c r="AC227" s="9" t="n">
        <x:f>I227*G227</x:f>
        <x:v>0</x:v>
      </x:c>
      <x:c r="AD227" s="9" t="n">
        <x:f>J227*G227</x:f>
        <x:v>0</x:v>
      </x:c>
      <x:c r="AE227" s="9" t="n">
        <x:f>K227*G227</x:f>
        <x:v>10.860000000000001</x:v>
      </x:c>
      <x:c r="AF227" s="9" t="n">
        <x:f>R227*G227</x:f>
        <x:v>0</x:v>
      </x:c>
    </x:row>
    <x:row r="228" ht="21" customHeight="1">
      <x:c r="A228" s="1" t="str">
        <x:f>'Inventory inputs'!A228</x:f>
        <x:v>PLAS</x:v>
      </x:c>
      <x:c r="B228" s="1" t="str">
        <x:f>'Inventory inputs'!B228</x:f>
        <x:v>30</x:v>
      </x:c>
      <x:c r="C228" s="1" t="str">
        <x:f>'Inventory inputs'!C228</x:f>
        <x:v>03819RWBNAV</x:v>
      </x:c>
      <x:c r="D228" s="7" t="n">
        <x:f>'Inventory inputs'!E228</x:f>
        <x:v>46303</x:v>
      </x:c>
      <x:c r="E228" s="1" t="n">
        <x:f>'Inventory inputs'!F228</x:f>
        <x:v>200</x:v>
      </x:c>
      <x:c r="F228" s="1" t="n">
        <x:f>'Inventory inputs'!G228</x:f>
        <x:v>500</x:v>
      </x:c>
      <x:c r="G228" s="1" t="n">
        <x:f>'Inventory inputs'!H228/'Inventory inputs'!J228</x:f>
        <x:v>0.0248</x:v>
      </x:c>
      <x:c r="H228" s="1" t="n">
        <x:f>IF('Inventory inputs'!I228&gt;0,'Inventory inputs'!I228*'Inventory inputs'!K228/'Inventory inputs'!J228,"n.a.")</x:f>
        <x:v>0.029106</x:v>
      </x:c>
      <x:c r="I228" s="1" t="n">
        <x:f>'Inventory inputs'!L228</x:f>
        <x:v>0</x:v>
      </x:c>
      <x:c r="J228" s="1" t="n">
        <x:f>'Inventory inputs'!M228</x:f>
        <x:v>0</x:v>
      </x:c>
      <x:c r="K228" s="1" t="n">
        <x:f>'Inventory inputs'!N228</x:f>
        <x:v>200</x:v>
      </x:c>
      <x:c r="L228" s="1" t="n">
        <x:f>'Inventory inputs'!O228</x:f>
        <x:v>0</x:v>
      </x:c>
      <x:c r="M228" s="9" t="n">
        <x:f>E228*G228</x:f>
        <x:v>4.96</x:v>
      </x:c>
      <x:c r="N228" s="9" t="n">
        <x:f>'Inventory inputs'!Q228</x:f>
        <x:v>4.96</x:v>
      </x:c>
      <x:c r="O228" s="9" t="n">
        <x:f>N228-M228</x:f>
        <x:v>0</x:v>
      </x:c>
      <x:c r="P228" s="1" t="n">
        <x:f>SUMIFS('Incoming POs'!$P$2:$P$305,'Incoming POs'!$A$2:$A$305,A228,'Incoming POs'!$B$2:$B$305,B228,'Incoming POs'!$C$2:$C$305,C228,'Incoming POs'!$G$2:$G$305,"&gt;="&amp;D228,'Incoming POs'!$G$2:$G$305,"&lt;"&amp;Dashboard!$I$5)</x:f>
        <x:v>0</x:v>
      </x:c>
      <x:c r="Q228" s="1" t="n">
        <x:f>F228*Dashboard!$L$5*MAX(0,Dashboard!$I$5-D228)/30.4375</x:f>
        <x:v>665.2977412731007</x:v>
      </x:c>
      <x:c r="R228" s="1" t="n">
        <x:f>MAX(0,E228+P228-Q228)</x:f>
        <x:v>0</x:v>
      </x:c>
      <x:c r="S228" s="1" t="n">
        <x:f>MAX(0,Q228-E228-P228)</x:f>
        <x:v>465.29774127310066</x:v>
      </x:c>
      <x:c r="T228" s="1" t="str">
        <x:f>IF(L228=1,MAX(0,I228+AB228-MIN(Q228,E228+P228)),"n.a.")</x:f>
        <x:v>n.a.</x:v>
      </x:c>
      <x:c r="U228" s="9" t="str">
        <x:f>IF(ISNUMBER(T228),T228*G228,"n.a.")</x:f>
        <x:v>n.a.</x:v>
      </x:c>
      <x:c r="V228" s="25" t="n">
        <x:f>IF(Dashboard!$I$6="Flat %",1,IF(ISNUMBER(H228),1,0))</x:f>
        <x:v>1</x:v>
      </x:c>
      <x:c r="W228" s="9" t="n">
        <x:f>IF(Dashboard!$I$6="Flat %",G228*(1+Dashboard!$L$6),H228)</x:f>
        <x:v>0.029106</x:v>
      </x:c>
      <x:c r="X228" s="9" t="n">
        <x:f>IF(V228=1,R228*(W228-G228),"n.a.")</x:f>
        <x:v>0</x:v>
      </x:c>
      <x:c r="Y228" s="9" t="n">
        <x:f>IF(V228=1,R228*W228,"n.a.")</x:f>
        <x:v>0</x:v>
      </x:c>
      <x:c r="Z228" s="1" t="str">
        <x:f>IF(ISNUMBER(T228),R228-T228,"n.a.")</x:f>
        <x:v>n.a.</x:v>
      </x:c>
      <x:c r="AA228" s="1" t="str">
        <x:f>'Inventory inputs'!R228</x:f>
        <x:v>Review receipt reconciliation or original PO baseline</x:v>
      </x:c>
      <x:c r="AB228" s="1" t="str">
        <x:f>IF(L228=1,SUMIFS('Incoming POs'!$P$2:$P$305,'Incoming POs'!$A$2:$A$305,A228,'Incoming POs'!$B$2:$B$305,B228,'Incoming POs'!$C$2:$C$305,C228,'Incoming POs'!$G$2:$G$305,"&gt;="&amp;D228,'Incoming POs'!$G$2:$G$305,"&lt;"&amp;Dashboard!$I$5,'Incoming POs'!$Q$2:$Q$305,"&lt;="&amp;('Inventory inputs'!P228/'Inventory inputs'!J228*1.01)),"n.a.")</x:f>
        <x:v>n.a.</x:v>
      </x:c>
      <x:c r="AC228" s="9" t="n">
        <x:f>I228*G228</x:f>
        <x:v>0</x:v>
      </x:c>
      <x:c r="AD228" s="9" t="n">
        <x:f>J228*G228</x:f>
        <x:v>0</x:v>
      </x:c>
      <x:c r="AE228" s="9" t="n">
        <x:f>K228*G228</x:f>
        <x:v>4.96</x:v>
      </x:c>
      <x:c r="AF228" s="9" t="n">
        <x:f>R228*G228</x:f>
        <x:v>0</x:v>
      </x:c>
    </x:row>
    <x:row r="229" ht="21" customHeight="1">
      <x:c r="A229" s="1" t="str">
        <x:f>'Inventory inputs'!A229</x:f>
        <x:v>PLAS</x:v>
      </x:c>
      <x:c r="B229" s="1" t="str">
        <x:f>'Inventory inputs'!B229</x:f>
        <x:v>60</x:v>
      </x:c>
      <x:c r="C229" s="1" t="str">
        <x:f>'Inventory inputs'!C229</x:f>
        <x:v>00115RWBWHT</x:v>
      </x:c>
      <x:c r="D229" s="7" t="n">
        <x:f>'Inventory inputs'!E229</x:f>
        <x:v>46303</x:v>
      </x:c>
      <x:c r="E229" s="1" t="n">
        <x:f>'Inventory inputs'!F229</x:f>
        <x:v>3000</x:v>
      </x:c>
      <x:c r="F229" s="1" t="n">
        <x:f>'Inventory inputs'!G229</x:f>
        <x:v>500</x:v>
      </x:c>
      <x:c r="G229" s="1" t="n">
        <x:f>'Inventory inputs'!H229/'Inventory inputs'!J229</x:f>
        <x:v>0.0736</x:v>
      </x:c>
      <x:c r="H229" s="1" t="n">
        <x:f>IF('Inventory inputs'!I229&gt;0,'Inventory inputs'!I229*'Inventory inputs'!K229/'Inventory inputs'!J229,"n.a.")</x:f>
        <x:v>0.086142</x:v>
      </x:c>
      <x:c r="I229" s="1" t="n">
        <x:f>'Inventory inputs'!L229</x:f>
        <x:v>0</x:v>
      </x:c>
      <x:c r="J229" s="1" t="n">
        <x:f>'Inventory inputs'!M229</x:f>
        <x:v>0</x:v>
      </x:c>
      <x:c r="K229" s="1" t="n">
        <x:f>'Inventory inputs'!N229</x:f>
        <x:v>3000</x:v>
      </x:c>
      <x:c r="L229" s="1" t="n">
        <x:f>'Inventory inputs'!O229</x:f>
        <x:v>0</x:v>
      </x:c>
      <x:c r="M229" s="9" t="n">
        <x:f>E229*G229</x:f>
        <x:v>220.79999999999998</x:v>
      </x:c>
      <x:c r="N229" s="9" t="n">
        <x:f>'Inventory inputs'!Q229</x:f>
        <x:v>220.8</x:v>
      </x:c>
      <x:c r="O229" s="9" t="n">
        <x:f>N229-M229</x:f>
        <x:v>2.842170943040401e-14</x:v>
      </x:c>
      <x:c r="P229" s="1" t="n">
        <x:f>SUMIFS('Incoming POs'!$P$2:$P$305,'Incoming POs'!$A$2:$A$305,A229,'Incoming POs'!$B$2:$B$305,B229,'Incoming POs'!$C$2:$C$305,C229,'Incoming POs'!$G$2:$G$305,"&gt;="&amp;D229,'Incoming POs'!$G$2:$G$305,"&lt;"&amp;Dashboard!$I$5)</x:f>
        <x:v>0</x:v>
      </x:c>
      <x:c r="Q229" s="1" t="n">
        <x:f>F229*Dashboard!$L$5*MAX(0,Dashboard!$I$5-D229)/30.4375</x:f>
        <x:v>665.2977412731007</x:v>
      </x:c>
      <x:c r="R229" s="1" t="n">
        <x:f>MAX(0,E229+P229-Q229)</x:f>
        <x:v>2334.7022587268993</x:v>
      </x:c>
      <x:c r="S229" s="1" t="n">
        <x:f>MAX(0,Q229-E229-P229)</x:f>
        <x:v>0</x:v>
      </x:c>
      <x:c r="T229" s="1" t="str">
        <x:f>IF(L229=1,MAX(0,I229+AB229-MIN(Q229,E229+P229)),"n.a.")</x:f>
        <x:v>n.a.</x:v>
      </x:c>
      <x:c r="U229" s="9" t="str">
        <x:f>IF(ISNUMBER(T229),T229*G229,"n.a.")</x:f>
        <x:v>n.a.</x:v>
      </x:c>
      <x:c r="V229" s="25" t="n">
        <x:f>IF(Dashboard!$I$6="Flat %",1,IF(ISNUMBER(H229),1,0))</x:f>
        <x:v>1</x:v>
      </x:c>
      <x:c r="W229" s="9" t="n">
        <x:f>IF(Dashboard!$I$6="Flat %",G229*(1+Dashboard!$L$6),H229)</x:f>
        <x:v>0.086142</x:v>
      </x:c>
      <x:c r="X229" s="9" t="n">
        <x:f>IF(V229=1,R229*(W229-G229),"n.a.")</x:f>
        <x:v>29.281835728952768</x:v>
      </x:c>
      <x:c r="Y229" s="9" t="n">
        <x:f>IF(V229=1,R229*W229,"n.a.")</x:f>
        <x:v>201.11592197125256</x:v>
      </x:c>
      <x:c r="Z229" s="1" t="str">
        <x:f>IF(ISNUMBER(T229),R229-T229,"n.a.")</x:f>
        <x:v>n.a.</x:v>
      </x:c>
      <x:c r="AA229" s="1" t="str">
        <x:f>'Inventory inputs'!R229</x:f>
        <x:v>Review receipt reconciliation or original PO baseline</x:v>
      </x:c>
      <x:c r="AB229" s="1" t="str">
        <x:f>IF(L229=1,SUMIFS('Incoming POs'!$P$2:$P$305,'Incoming POs'!$A$2:$A$305,A229,'Incoming POs'!$B$2:$B$305,B229,'Incoming POs'!$C$2:$C$305,C229,'Incoming POs'!$G$2:$G$305,"&gt;="&amp;D229,'Incoming POs'!$G$2:$G$305,"&lt;"&amp;Dashboard!$I$5,'Incoming POs'!$Q$2:$Q$305,"&lt;="&amp;('Inventory inputs'!P229/'Inventory inputs'!J229*1.01)),"n.a.")</x:f>
        <x:v>n.a.</x:v>
      </x:c>
      <x:c r="AC229" s="9" t="n">
        <x:f>I229*G229</x:f>
        <x:v>0</x:v>
      </x:c>
      <x:c r="AD229" s="9" t="n">
        <x:f>J229*G229</x:f>
        <x:v>0</x:v>
      </x:c>
      <x:c r="AE229" s="9" t="n">
        <x:f>K229*G229</x:f>
        <x:v>220.79999999999998</x:v>
      </x:c>
      <x:c r="AF229" s="9" t="n">
        <x:f>R229*G229</x:f>
        <x:v>171.83408624229978</x:v>
      </x:c>
    </x:row>
    <x:row r="230" ht="21" customHeight="1">
      <x:c r="A230" s="1" t="str">
        <x:f>'Inventory inputs'!A230</x:f>
        <x:v>PLAS</x:v>
      </x:c>
      <x:c r="B230" s="1" t="str">
        <x:f>'Inventory inputs'!B230</x:f>
        <x:v>10</x:v>
      </x:c>
      <x:c r="C230" s="1" t="str">
        <x:f>'Inventory inputs'!C230</x:f>
        <x:v>11419RSLWHT</x:v>
      </x:c>
      <x:c r="D230" s="7" t="n">
        <x:f>'Inventory inputs'!E230</x:f>
        <x:v>46303</x:v>
      </x:c>
      <x:c r="E230" s="1" t="n">
        <x:f>'Inventory inputs'!F230</x:f>
        <x:v>2400</x:v>
      </x:c>
      <x:c r="F230" s="1" t="n">
        <x:f>'Inventory inputs'!G230</x:f>
        <x:v>496.08</x:v>
      </x:c>
      <x:c r="G230" s="1" t="n">
        <x:f>'Inventory inputs'!H230/'Inventory inputs'!J230</x:f>
        <x:v>0.111</x:v>
      </x:c>
      <x:c r="H230" s="1" t="n">
        <x:f>IF('Inventory inputs'!I230&gt;0,'Inventory inputs'!I230*'Inventory inputs'!K230/'Inventory inputs'!J230,"n.a.")</x:f>
        <x:v>0.129801</x:v>
      </x:c>
      <x:c r="I230" s="1" t="n">
        <x:f>'Inventory inputs'!L230</x:f>
        <x:v>0</x:v>
      </x:c>
      <x:c r="J230" s="1" t="n">
        <x:f>'Inventory inputs'!M230</x:f>
        <x:v>2400</x:v>
      </x:c>
      <x:c r="K230" s="1" t="n">
        <x:f>'Inventory inputs'!N230</x:f>
        <x:v>0</x:v>
      </x:c>
      <x:c r="L230" s="1" t="n">
        <x:f>'Inventory inputs'!O230</x:f>
        <x:v>1</x:v>
      </x:c>
      <x:c r="M230" s="9" t="n">
        <x:f>E230*G230</x:f>
        <x:v>266.4</x:v>
      </x:c>
      <x:c r="N230" s="9" t="n">
        <x:f>'Inventory inputs'!Q230</x:f>
        <x:v>266.4</x:v>
      </x:c>
      <x:c r="O230" s="9" t="n">
        <x:f>N230-M230</x:f>
        <x:v>0</x:v>
      </x:c>
      <x:c r="P230" s="1" t="n">
        <x:f>SUMIFS('Incoming POs'!$P$2:$P$305,'Incoming POs'!$A$2:$A$305,A230,'Incoming POs'!$B$2:$B$305,B230,'Incoming POs'!$C$2:$C$305,C230,'Incoming POs'!$G$2:$G$305,"&gt;="&amp;D230,'Incoming POs'!$G$2:$G$305,"&lt;"&amp;Dashboard!$I$5)</x:f>
        <x:v>2000</x:v>
      </x:c>
      <x:c r="Q230" s="1" t="n">
        <x:f>F230*Dashboard!$L$5*MAX(0,Dashboard!$I$5-D230)/30.4375</x:f>
        <x:v>660.0818069815195</x:v>
      </x:c>
      <x:c r="R230" s="1" t="n">
        <x:f>MAX(0,E230+P230-Q230)</x:f>
        <x:v>3739.9181930184805</x:v>
      </x:c>
      <x:c r="S230" s="1" t="n">
        <x:f>MAX(0,Q230-E230-P230)</x:f>
        <x:v>0</x:v>
      </x:c>
      <x:c r="T230" s="1" t="n">
        <x:f>IF(L230=1,MAX(0,I230+AB230-MIN(Q230,E230+P230)),"n.a.")</x:f>
        <x:v>0</x:v>
      </x:c>
      <x:c r="U230" s="9" t="n">
        <x:f>IF(ISNUMBER(T230),T230*G230,"n.a.")</x:f>
        <x:v>0</x:v>
      </x:c>
      <x:c r="V230" s="25" t="n">
        <x:f>IF(Dashboard!$I$6="Flat %",1,IF(ISNUMBER(H230),1,0))</x:f>
        <x:v>1</x:v>
      </x:c>
      <x:c r="W230" s="9" t="n">
        <x:f>IF(Dashboard!$I$6="Flat %",G230*(1+Dashboard!$L$6),H230)</x:f>
        <x:v>0.129801</x:v>
      </x:c>
      <x:c r="X230" s="9" t="n">
        <x:f>IF(V230=1,R230*(W230-G230),"n.a.")</x:f>
        <x:v>70.31420194694044</x:v>
      </x:c>
      <x:c r="Y230" s="9" t="n">
        <x:f>IF(V230=1,R230*W230,"n.a.")</x:f>
        <x:v>485.4451213719918</x:v>
      </x:c>
      <x:c r="Z230" s="1" t="n">
        <x:f>IF(ISNUMBER(T230),R230-T230,"n.a.")</x:f>
        <x:v>3739.9181930184805</x:v>
      </x:c>
      <x:c r="AA230" s="1" t="str">
        <x:f>'Inventory inputs'!R230</x:f>
        <x:v>Classified</x:v>
      </x:c>
      <x:c r="AB230" s="1" t="n">
        <x:f>IF(L230=1,SUMIFS('Incoming POs'!$P$2:$P$305,'Incoming POs'!$A$2:$A$305,A230,'Incoming POs'!$B$2:$B$305,B230,'Incoming POs'!$C$2:$C$305,C230,'Incoming POs'!$G$2:$G$305,"&gt;="&amp;D230,'Incoming POs'!$G$2:$G$305,"&lt;"&amp;Dashboard!$I$5,'Incoming POs'!$Q$2:$Q$305,"&lt;="&amp;('Inventory inputs'!P230/'Inventory inputs'!J230*1.01)),"n.a.")</x:f>
        <x:v>0</x:v>
      </x:c>
      <x:c r="AC230" s="9" t="n">
        <x:f>I230*G230</x:f>
        <x:v>0</x:v>
      </x:c>
      <x:c r="AD230" s="9" t="n">
        <x:f>J230*G230</x:f>
        <x:v>266.4</x:v>
      </x:c>
      <x:c r="AE230" s="9" t="n">
        <x:f>K230*G230</x:f>
        <x:v>0</x:v>
      </x:c>
      <x:c r="AF230" s="9" t="n">
        <x:f>R230*G230</x:f>
        <x:v>415.13091942505133</x:v>
      </x:c>
    </x:row>
    <x:row r="231" ht="21" customHeight="1">
      <x:c r="A231" s="1" t="str">
        <x:f>'Inventory inputs'!A231</x:f>
        <x:v>PLAS</x:v>
      </x:c>
      <x:c r="B231" s="1" t="str">
        <x:f>'Inventory inputs'!B231</x:f>
        <x:v>10</x:v>
      </x:c>
      <x:c r="C231" s="1" t="str">
        <x:f>'Inventory inputs'!C231</x:f>
        <x:v>01419RWBCLR</x:v>
      </x:c>
      <x:c r="D231" s="7" t="n">
        <x:f>'Inventory inputs'!E231</x:f>
        <x:v>46303</x:v>
      </x:c>
      <x:c r="E231" s="1" t="n">
        <x:f>'Inventory inputs'!F231</x:f>
        <x:v>2700</x:v>
      </x:c>
      <x:c r="F231" s="1" t="n">
        <x:f>'Inventory inputs'!G231</x:f>
        <x:v>483.33</x:v>
      </x:c>
      <x:c r="G231" s="1" t="n">
        <x:f>'Inventory inputs'!H231/'Inventory inputs'!J231</x:f>
        <x:v>0.0181</x:v>
      </x:c>
      <x:c r="H231" s="1" t="n">
        <x:f>IF('Inventory inputs'!I231&gt;0,'Inventory inputs'!I231*'Inventory inputs'!K231/'Inventory inputs'!J231,"n.a.")</x:f>
        <x:v>0.021168</x:v>
      </x:c>
      <x:c r="I231" s="1" t="n">
        <x:f>'Inventory inputs'!L231</x:f>
        <x:v>2700</x:v>
      </x:c>
      <x:c r="J231" s="1" t="n">
        <x:f>'Inventory inputs'!M231</x:f>
        <x:v>0</x:v>
      </x:c>
      <x:c r="K231" s="1" t="n">
        <x:f>'Inventory inputs'!N231</x:f>
        <x:v>0</x:v>
      </x:c>
      <x:c r="L231" s="1" t="n">
        <x:f>'Inventory inputs'!O231</x:f>
        <x:v>1</x:v>
      </x:c>
      <x:c r="M231" s="9" t="n">
        <x:f>E231*G231</x:f>
        <x:v>48.870000000000005</x:v>
      </x:c>
      <x:c r="N231" s="9" t="n">
        <x:f>'Inventory inputs'!Q231</x:f>
        <x:v>48.870000000000005</x:v>
      </x:c>
      <x:c r="O231" s="9" t="n">
        <x:f>N231-M231</x:f>
        <x:v>0</x:v>
      </x:c>
      <x:c r="P231" s="1" t="n">
        <x:f>SUMIFS('Incoming POs'!$P$2:$P$305,'Incoming POs'!$A$2:$A$305,A231,'Incoming POs'!$B$2:$B$305,B231,'Incoming POs'!$C$2:$C$305,C231,'Incoming POs'!$G$2:$G$305,"&gt;="&amp;D231,'Incoming POs'!$G$2:$G$305,"&lt;"&amp;Dashboard!$I$5)</x:f>
        <x:v>0</x:v>
      </x:c>
      <x:c r="Q231" s="1" t="n">
        <x:f>F231*Dashboard!$L$5*MAX(0,Dashboard!$I$5-D231)/30.4375</x:f>
        <x:v>643.1167145790555</x:v>
      </x:c>
      <x:c r="R231" s="1" t="n">
        <x:f>MAX(0,E231+P231-Q231)</x:f>
        <x:v>2056.8832854209445</x:v>
      </x:c>
      <x:c r="S231" s="1" t="n">
        <x:f>MAX(0,Q231-E231-P231)</x:f>
        <x:v>0</x:v>
      </x:c>
      <x:c r="T231" s="1" t="n">
        <x:f>IF(L231=1,MAX(0,I231+AB231-MIN(Q231,E231+P231)),"n.a.")</x:f>
        <x:v>2056.8832854209445</x:v>
      </x:c>
      <x:c r="U231" s="9" t="n">
        <x:f>IF(ISNUMBER(T231),T231*G231,"n.a.")</x:f>
        <x:v>37.2295874661191</x:v>
      </x:c>
      <x:c r="V231" s="25" t="n">
        <x:f>IF(Dashboard!$I$6="Flat %",1,IF(ISNUMBER(H231),1,0))</x:f>
        <x:v>1</x:v>
      </x:c>
      <x:c r="W231" s="9" t="n">
        <x:f>IF(Dashboard!$I$6="Flat %",G231*(1+Dashboard!$L$6),H231)</x:f>
        <x:v>0.021168</x:v>
      </x:c>
      <x:c r="X231" s="9" t="n">
        <x:f>IF(V231=1,R231*(W231-G231),"n.a.")</x:f>
        <x:v>6.310517919671454</x:v>
      </x:c>
      <x:c r="Y231" s="9" t="n">
        <x:f>IF(V231=1,R231*W231,"n.a.")</x:f>
        <x:v>43.540105385790554</x:v>
      </x:c>
      <x:c r="Z231" s="1" t="n">
        <x:f>IF(ISNUMBER(T231),R231-T231,"n.a.")</x:f>
        <x:v>0</x:v>
      </x:c>
      <x:c r="AA231" s="1" t="str">
        <x:f>'Inventory inputs'!R231</x:f>
        <x:v>Classified</x:v>
      </x:c>
      <x:c r="AB231" s="1" t="n">
        <x:f>IF(L231=1,SUMIFS('Incoming POs'!$P$2:$P$305,'Incoming POs'!$A$2:$A$305,A231,'Incoming POs'!$B$2:$B$305,B231,'Incoming POs'!$C$2:$C$305,C231,'Incoming POs'!$G$2:$G$305,"&gt;="&amp;D231,'Incoming POs'!$G$2:$G$305,"&lt;"&amp;Dashboard!$I$5,'Incoming POs'!$Q$2:$Q$305,"&lt;="&amp;('Inventory inputs'!P231/'Inventory inputs'!J231*1.01)),"n.a.")</x:f>
        <x:v>0</x:v>
      </x:c>
      <x:c r="AC231" s="9" t="n">
        <x:f>I231*G231</x:f>
        <x:v>48.870000000000005</x:v>
      </x:c>
      <x:c r="AD231" s="9" t="n">
        <x:f>J231*G231</x:f>
        <x:v>0</x:v>
      </x:c>
      <x:c r="AE231" s="9" t="n">
        <x:f>K231*G231</x:f>
        <x:v>0</x:v>
      </x:c>
      <x:c r="AF231" s="9" t="n">
        <x:f>R231*G231</x:f>
        <x:v>37.2295874661191</x:v>
      </x:c>
    </x:row>
    <x:row r="232" ht="21" customHeight="1">
      <x:c r="A232" s="1" t="str">
        <x:f>'Inventory inputs'!A232</x:f>
        <x:v>PLAS</x:v>
      </x:c>
      <x:c r="B232" s="1" t="str">
        <x:f>'Inventory inputs'!B232</x:f>
        <x:v>60</x:v>
      </x:c>
      <x:c r="C232" s="1" t="str">
        <x:f>'Inventory inputs'!C232</x:f>
        <x:v>03419RWBNAV</x:v>
      </x:c>
      <x:c r="D232" s="7" t="n">
        <x:f>'Inventory inputs'!E232</x:f>
        <x:v>46303</x:v>
      </x:c>
      <x:c r="E232" s="1" t="n">
        <x:f>'Inventory inputs'!F232</x:f>
        <x:v>2700</x:v>
      </x:c>
      <x:c r="F232" s="1" t="n">
        <x:f>'Inventory inputs'!G232</x:f>
        <x:v>483.33</x:v>
      </x:c>
      <x:c r="G232" s="1" t="n">
        <x:f>'Inventory inputs'!H232/'Inventory inputs'!J232</x:f>
        <x:v>0.0625</x:v>
      </x:c>
      <x:c r="H232" s="1" t="n">
        <x:f>IF('Inventory inputs'!I232&gt;0,'Inventory inputs'!I232*'Inventory inputs'!K232/'Inventory inputs'!J232,"n.a.")</x:f>
        <x:v>0.073059</x:v>
      </x:c>
      <x:c r="I232" s="1" t="n">
        <x:f>'Inventory inputs'!L232</x:f>
        <x:v>0</x:v>
      </x:c>
      <x:c r="J232" s="1" t="n">
        <x:f>'Inventory inputs'!M232</x:f>
        <x:v>0</x:v>
      </x:c>
      <x:c r="K232" s="1" t="n">
        <x:f>'Inventory inputs'!N232</x:f>
        <x:v>2700</x:v>
      </x:c>
      <x:c r="L232" s="1" t="n">
        <x:f>'Inventory inputs'!O232</x:f>
        <x:v>0</x:v>
      </x:c>
      <x:c r="M232" s="9" t="n">
        <x:f>E232*G232</x:f>
        <x:v>168.75</x:v>
      </x:c>
      <x:c r="N232" s="9" t="n">
        <x:f>'Inventory inputs'!Q232</x:f>
        <x:v>168.75</x:v>
      </x:c>
      <x:c r="O232" s="9" t="n">
        <x:f>N232-M232</x:f>
        <x:v>0</x:v>
      </x:c>
      <x:c r="P232" s="1" t="n">
        <x:f>SUMIFS('Incoming POs'!$P$2:$P$305,'Incoming POs'!$A$2:$A$305,A232,'Incoming POs'!$B$2:$B$305,B232,'Incoming POs'!$C$2:$C$305,C232,'Incoming POs'!$G$2:$G$305,"&gt;="&amp;D232,'Incoming POs'!$G$2:$G$305,"&lt;"&amp;Dashboard!$I$5)</x:f>
        <x:v>0</x:v>
      </x:c>
      <x:c r="Q232" s="1" t="n">
        <x:f>F232*Dashboard!$L$5*MAX(0,Dashboard!$I$5-D232)/30.4375</x:f>
        <x:v>643.1167145790555</x:v>
      </x:c>
      <x:c r="R232" s="1" t="n">
        <x:f>MAX(0,E232+P232-Q232)</x:f>
        <x:v>2056.8832854209445</x:v>
      </x:c>
      <x:c r="S232" s="1" t="n">
        <x:f>MAX(0,Q232-E232-P232)</x:f>
        <x:v>0</x:v>
      </x:c>
      <x:c r="T232" s="1" t="str">
        <x:f>IF(L232=1,MAX(0,I232+AB232-MIN(Q232,E232+P232)),"n.a.")</x:f>
        <x:v>n.a.</x:v>
      </x:c>
      <x:c r="U232" s="9" t="str">
        <x:f>IF(ISNUMBER(T232),T232*G232,"n.a.")</x:f>
        <x:v>n.a.</x:v>
      </x:c>
      <x:c r="V232" s="25" t="n">
        <x:f>IF(Dashboard!$I$6="Flat %",1,IF(ISNUMBER(H232),1,0))</x:f>
        <x:v>1</x:v>
      </x:c>
      <x:c r="W232" s="9" t="n">
        <x:f>IF(Dashboard!$I$6="Flat %",G232*(1+Dashboard!$L$6),H232)</x:f>
        <x:v>0.073059</x:v>
      </x:c>
      <x:c r="X232" s="9" t="n">
        <x:f>IF(V232=1,R232*(W232-G232),"n.a.")</x:f>
        <x:v>21.71863061075975</x:v>
      </x:c>
      <x:c r="Y232" s="9" t="n">
        <x:f>IF(V232=1,R232*W232,"n.a.")</x:f>
        <x:v>150.2738359495688</x:v>
      </x:c>
      <x:c r="Z232" s="1" t="str">
        <x:f>IF(ISNUMBER(T232),R232-T232,"n.a.")</x:f>
        <x:v>n.a.</x:v>
      </x:c>
      <x:c r="AA232" s="1" t="str">
        <x:f>'Inventory inputs'!R232</x:f>
        <x:v>Review receipt reconciliation or original PO baseline</x:v>
      </x:c>
      <x:c r="AB232" s="1" t="str">
        <x:f>IF(L232=1,SUMIFS('Incoming POs'!$P$2:$P$305,'Incoming POs'!$A$2:$A$305,A232,'Incoming POs'!$B$2:$B$305,B232,'Incoming POs'!$C$2:$C$305,C232,'Incoming POs'!$G$2:$G$305,"&gt;="&amp;D232,'Incoming POs'!$G$2:$G$305,"&lt;"&amp;Dashboard!$I$5,'Incoming POs'!$Q$2:$Q$305,"&lt;="&amp;('Inventory inputs'!P232/'Inventory inputs'!J232*1.01)),"n.a.")</x:f>
        <x:v>n.a.</x:v>
      </x:c>
      <x:c r="AC232" s="9" t="n">
        <x:f>I232*G232</x:f>
        <x:v>0</x:v>
      </x:c>
      <x:c r="AD232" s="9" t="n">
        <x:f>J232*G232</x:f>
        <x:v>0</x:v>
      </x:c>
      <x:c r="AE232" s="9" t="n">
        <x:f>K232*G232</x:f>
        <x:v>168.75</x:v>
      </x:c>
      <x:c r="AF232" s="9" t="n">
        <x:f>R232*G232</x:f>
        <x:v>128.55520533880903</x:v>
      </x:c>
    </x:row>
    <x:row r="233" ht="21" customHeight="1">
      <x:c r="A233" s="1" t="str">
        <x:f>'Inventory inputs'!A233</x:f>
        <x:v>PLAS</x:v>
      </x:c>
      <x:c r="B233" s="1" t="str">
        <x:f>'Inventory inputs'!B233</x:f>
        <x:v>30</x:v>
      </x:c>
      <x:c r="C233" s="1" t="str">
        <x:f>'Inventory inputs'!C233</x:f>
        <x:v>01219RWBWHT</x:v>
      </x:c>
      <x:c r="D233" s="7" t="n">
        <x:f>'Inventory inputs'!E233</x:f>
        <x:v>46303</x:v>
      </x:c>
      <x:c r="E233" s="1" t="n">
        <x:f>'Inventory inputs'!F233</x:f>
        <x:v>1500</x:v>
      </x:c>
      <x:c r="F233" s="1" t="n">
        <x:f>'Inventory inputs'!G233</x:f>
        <x:v>466.67</x:v>
      </x:c>
      <x:c r="G233" s="1" t="n">
        <x:f>'Inventory inputs'!H233/'Inventory inputs'!J233</x:f>
        <x:v>0.036000000000000004</x:v>
      </x:c>
      <x:c r="H233" s="1" t="n">
        <x:f>IF('Inventory inputs'!I233&gt;0,'Inventory inputs'!I233*'Inventory inputs'!K233/'Inventory inputs'!J233,"n.a.")</x:f>
        <x:v>0.042189</x:v>
      </x:c>
      <x:c r="I233" s="1" t="n">
        <x:f>'Inventory inputs'!L233</x:f>
        <x:v>0</x:v>
      </x:c>
      <x:c r="J233" s="1" t="n">
        <x:f>'Inventory inputs'!M233</x:f>
        <x:v>0</x:v>
      </x:c>
      <x:c r="K233" s="1" t="n">
        <x:f>'Inventory inputs'!N233</x:f>
        <x:v>1500</x:v>
      </x:c>
      <x:c r="L233" s="1" t="n">
        <x:f>'Inventory inputs'!O233</x:f>
        <x:v>0</x:v>
      </x:c>
      <x:c r="M233" s="9" t="n">
        <x:f>E233*G233</x:f>
        <x:v>54.00000000000001</x:v>
      </x:c>
      <x:c r="N233" s="9" t="n">
        <x:f>'Inventory inputs'!Q233</x:f>
        <x:v>54</x:v>
      </x:c>
      <x:c r="O233" s="9" t="n">
        <x:f>N233-M233</x:f>
        <x:v>-7.105427357601002e-15</x:v>
      </x:c>
      <x:c r="P233" s="1" t="n">
        <x:f>SUMIFS('Incoming POs'!$P$2:$P$305,'Incoming POs'!$A$2:$A$305,A233,'Incoming POs'!$B$2:$B$305,B233,'Incoming POs'!$C$2:$C$305,C233,'Incoming POs'!$G$2:$G$305,"&gt;="&amp;D233,'Incoming POs'!$G$2:$G$305,"&lt;"&amp;Dashboard!$I$5)</x:f>
        <x:v>0</x:v>
      </x:c>
      <x:c r="Q233" s="1" t="n">
        <x:f>F233*Dashboard!$L$5*MAX(0,Dashboard!$I$5-D233)/30.4375</x:f>
        <x:v>620.9489938398357</x:v>
      </x:c>
      <x:c r="R233" s="1" t="n">
        <x:f>MAX(0,E233+P233-Q233)</x:f>
        <x:v>879.0510061601643</x:v>
      </x:c>
      <x:c r="S233" s="1" t="n">
        <x:f>MAX(0,Q233-E233-P233)</x:f>
        <x:v>0</x:v>
      </x:c>
      <x:c r="T233" s="1" t="str">
        <x:f>IF(L233=1,MAX(0,I233+AB233-MIN(Q233,E233+P233)),"n.a.")</x:f>
        <x:v>n.a.</x:v>
      </x:c>
      <x:c r="U233" s="9" t="str">
        <x:f>IF(ISNUMBER(T233),T233*G233,"n.a.")</x:f>
        <x:v>n.a.</x:v>
      </x:c>
      <x:c r="V233" s="25" t="n">
        <x:f>IF(Dashboard!$I$6="Flat %",1,IF(ISNUMBER(H233),1,0))</x:f>
        <x:v>1</x:v>
      </x:c>
      <x:c r="W233" s="9" t="n">
        <x:f>IF(Dashboard!$I$6="Flat %",G233*(1+Dashboard!$L$6),H233)</x:f>
        <x:v>0.042189</x:v>
      </x:c>
      <x:c r="X233" s="9" t="n">
        <x:f>IF(V233=1,R233*(W233-G233),"n.a.")</x:f>
        <x:v>5.440446677125251</x:v>
      </x:c>
      <x:c r="Y233" s="9" t="n">
        <x:f>IF(V233=1,R233*W233,"n.a.")</x:f>
        <x:v>37.08628289889117</x:v>
      </x:c>
      <x:c r="Z233" s="1" t="str">
        <x:f>IF(ISNUMBER(T233),R233-T233,"n.a.")</x:f>
        <x:v>n.a.</x:v>
      </x:c>
      <x:c r="AA233" s="1" t="str">
        <x:f>'Inventory inputs'!R233</x:f>
        <x:v>Review receipt reconciliation or original PO baseline</x:v>
      </x:c>
      <x:c r="AB233" s="1" t="str">
        <x:f>IF(L233=1,SUMIFS('Incoming POs'!$P$2:$P$305,'Incoming POs'!$A$2:$A$305,A233,'Incoming POs'!$B$2:$B$305,B233,'Incoming POs'!$C$2:$C$305,C233,'Incoming POs'!$G$2:$G$305,"&gt;="&amp;D233,'Incoming POs'!$G$2:$G$305,"&lt;"&amp;Dashboard!$I$5,'Incoming POs'!$Q$2:$Q$305,"&lt;="&amp;('Inventory inputs'!P233/'Inventory inputs'!J233*1.01)),"n.a.")</x:f>
        <x:v>n.a.</x:v>
      </x:c>
      <x:c r="AC233" s="9" t="n">
        <x:f>I233*G233</x:f>
        <x:v>0</x:v>
      </x:c>
      <x:c r="AD233" s="9" t="n">
        <x:f>J233*G233</x:f>
        <x:v>0</x:v>
      </x:c>
      <x:c r="AE233" s="9" t="n">
        <x:f>K233*G233</x:f>
        <x:v>54.00000000000001</x:v>
      </x:c>
      <x:c r="AF233" s="9" t="n">
        <x:f>R233*G233</x:f>
        <x:v>31.64583622176592</x:v>
      </x:c>
    </x:row>
    <x:row r="234" ht="21" customHeight="1">
      <x:c r="A234" s="1" t="str">
        <x:f>'Inventory inputs'!A234</x:f>
        <x:v>PLAS</x:v>
      </x:c>
      <x:c r="B234" s="1" t="str">
        <x:f>'Inventory inputs'!B234</x:f>
        <x:v>60</x:v>
      </x:c>
      <x:c r="C234" s="1" t="str">
        <x:f>'Inventory inputs'!C234</x:f>
        <x:v>05819RWBNAV</x:v>
      </x:c>
      <x:c r="D234" s="7" t="n">
        <x:f>'Inventory inputs'!E234</x:f>
        <x:v>46303</x:v>
      </x:c>
      <x:c r="E234" s="1" t="n">
        <x:f>'Inventory inputs'!F234</x:f>
        <x:v>3400</x:v>
      </x:c>
      <x:c r="F234" s="1" t="n">
        <x:f>'Inventory inputs'!G234</x:f>
        <x:v>466.67</x:v>
      </x:c>
      <x:c r="G234" s="1" t="n">
        <x:f>'Inventory inputs'!H234/'Inventory inputs'!J234</x:f>
        <x:v>0.045599999999999995</x:v>
      </x:c>
      <x:c r="H234" s="1" t="n">
        <x:f>IF('Inventory inputs'!I234&gt;0,'Inventory inputs'!I234*'Inventory inputs'!K234/'Inventory inputs'!J234,"n.a.")</x:f>
        <x:v>0.053361</x:v>
      </x:c>
      <x:c r="I234" s="1" t="n">
        <x:f>'Inventory inputs'!L234</x:f>
        <x:v>0</x:v>
      </x:c>
      <x:c r="J234" s="1" t="n">
        <x:f>'Inventory inputs'!M234</x:f>
        <x:v>0</x:v>
      </x:c>
      <x:c r="K234" s="1" t="n">
        <x:f>'Inventory inputs'!N234</x:f>
        <x:v>3400</x:v>
      </x:c>
      <x:c r="L234" s="1" t="n">
        <x:f>'Inventory inputs'!O234</x:f>
        <x:v>0</x:v>
      </x:c>
      <x:c r="M234" s="9" t="n">
        <x:f>E234*G234</x:f>
        <x:v>155.04</x:v>
      </x:c>
      <x:c r="N234" s="9" t="n">
        <x:f>'Inventory inputs'!Q234</x:f>
        <x:v>155.04</x:v>
      </x:c>
      <x:c r="O234" s="9" t="n">
        <x:f>N234-M234</x:f>
        <x:v>0</x:v>
      </x:c>
      <x:c r="P234" s="1" t="n">
        <x:f>SUMIFS('Incoming POs'!$P$2:$P$305,'Incoming POs'!$A$2:$A$305,A234,'Incoming POs'!$B$2:$B$305,B234,'Incoming POs'!$C$2:$C$305,C234,'Incoming POs'!$G$2:$G$305,"&gt;="&amp;D234,'Incoming POs'!$G$2:$G$305,"&lt;"&amp;Dashboard!$I$5)</x:f>
        <x:v>0</x:v>
      </x:c>
      <x:c r="Q234" s="1" t="n">
        <x:f>F234*Dashboard!$L$5*MAX(0,Dashboard!$I$5-D234)/30.4375</x:f>
        <x:v>620.9489938398357</x:v>
      </x:c>
      <x:c r="R234" s="1" t="n">
        <x:f>MAX(0,E234+P234-Q234)</x:f>
        <x:v>2779.0510061601644</x:v>
      </x:c>
      <x:c r="S234" s="1" t="n">
        <x:f>MAX(0,Q234-E234-P234)</x:f>
        <x:v>0</x:v>
      </x:c>
      <x:c r="T234" s="1" t="str">
        <x:f>IF(L234=1,MAX(0,I234+AB234-MIN(Q234,E234+P234)),"n.a.")</x:f>
        <x:v>n.a.</x:v>
      </x:c>
      <x:c r="U234" s="9" t="str">
        <x:f>IF(ISNUMBER(T234),T234*G234,"n.a.")</x:f>
        <x:v>n.a.</x:v>
      </x:c>
      <x:c r="V234" s="25" t="n">
        <x:f>IF(Dashboard!$I$6="Flat %",1,IF(ISNUMBER(H234),1,0))</x:f>
        <x:v>1</x:v>
      </x:c>
      <x:c r="W234" s="9" t="n">
        <x:f>IF(Dashboard!$I$6="Flat %",G234*(1+Dashboard!$L$6),H234)</x:f>
        <x:v>0.053361</x:v>
      </x:c>
      <x:c r="X234" s="9" t="n">
        <x:f>IF(V234=1,R234*(W234-G234),"n.a.")</x:f>
        <x:v>21.568214858809046</x:v>
      </x:c>
      <x:c r="Y234" s="9" t="n">
        <x:f>IF(V234=1,R234*W234,"n.a.")</x:f>
        <x:v>148.29294073971252</x:v>
      </x:c>
      <x:c r="Z234" s="1" t="str">
        <x:f>IF(ISNUMBER(T234),R234-T234,"n.a.")</x:f>
        <x:v>n.a.</x:v>
      </x:c>
      <x:c r="AA234" s="1" t="str">
        <x:f>'Inventory inputs'!R234</x:f>
        <x:v>Review receipt reconciliation or original PO baseline</x:v>
      </x:c>
      <x:c r="AB234" s="1" t="str">
        <x:f>IF(L234=1,SUMIFS('Incoming POs'!$P$2:$P$305,'Incoming POs'!$A$2:$A$305,A234,'Incoming POs'!$B$2:$B$305,B234,'Incoming POs'!$C$2:$C$305,C234,'Incoming POs'!$G$2:$G$305,"&gt;="&amp;D234,'Incoming POs'!$G$2:$G$305,"&lt;"&amp;Dashboard!$I$5,'Incoming POs'!$Q$2:$Q$305,"&lt;="&amp;('Inventory inputs'!P234/'Inventory inputs'!J234*1.01)),"n.a.")</x:f>
        <x:v>n.a.</x:v>
      </x:c>
      <x:c r="AC234" s="9" t="n">
        <x:f>I234*G234</x:f>
        <x:v>0</x:v>
      </x:c>
      <x:c r="AD234" s="9" t="n">
        <x:f>J234*G234</x:f>
        <x:v>0</x:v>
      </x:c>
      <x:c r="AE234" s="9" t="n">
        <x:f>K234*G234</x:f>
        <x:v>155.04</x:v>
      </x:c>
      <x:c r="AF234" s="9" t="n">
        <x:f>R234*G234</x:f>
        <x:v>126.72472588090348</x:v>
      </x:c>
    </x:row>
    <x:row r="235" ht="21" customHeight="1">
      <x:c r="A235" s="1" t="str">
        <x:f>'Inventory inputs'!A235</x:f>
        <x:v>PLAS</x:v>
      </x:c>
      <x:c r="B235" s="1" t="str">
        <x:f>'Inventory inputs'!B235</x:f>
        <x:v>60</x:v>
      </x:c>
      <x:c r="C235" s="1" t="str">
        <x:f>'Inventory inputs'!C235</x:f>
        <x:v>11219RSLBLK</x:v>
      </x:c>
      <x:c r="D235" s="7" t="n">
        <x:f>'Inventory inputs'!E235</x:f>
        <x:v>46303</x:v>
      </x:c>
      <x:c r="E235" s="1" t="n">
        <x:f>'Inventory inputs'!F235</x:f>
        <x:v>3450</x:v>
      </x:c>
      <x:c r="F235" s="1" t="n">
        <x:f>'Inventory inputs'!G235</x:f>
        <x:v>466.67</x:v>
      </x:c>
      <x:c r="G235" s="1" t="n">
        <x:f>'Inventory inputs'!H235/'Inventory inputs'!J235</x:f>
        <x:v>0.1298</x:v>
      </x:c>
      <x:c r="H235" s="1" t="n">
        <x:f>IF('Inventory inputs'!I235&gt;0,'Inventory inputs'!I235*'Inventory inputs'!K235/'Inventory inputs'!J235,"n.a.")</x:f>
        <x:v>0.151851</x:v>
      </x:c>
      <x:c r="I235" s="1" t="n">
        <x:f>'Inventory inputs'!L235</x:f>
        <x:v>0</x:v>
      </x:c>
      <x:c r="J235" s="1" t="n">
        <x:f>'Inventory inputs'!M235</x:f>
        <x:v>0</x:v>
      </x:c>
      <x:c r="K235" s="1" t="n">
        <x:f>'Inventory inputs'!N235</x:f>
        <x:v>3450</x:v>
      </x:c>
      <x:c r="L235" s="1" t="n">
        <x:f>'Inventory inputs'!O235</x:f>
        <x:v>0</x:v>
      </x:c>
      <x:c r="M235" s="9" t="n">
        <x:f>E235*G235</x:f>
        <x:v>447.81</x:v>
      </x:c>
      <x:c r="N235" s="9" t="n">
        <x:f>'Inventory inputs'!Q235</x:f>
        <x:v>447.81</x:v>
      </x:c>
      <x:c r="O235" s="9" t="n">
        <x:f>N235-M235</x:f>
        <x:v>0</x:v>
      </x:c>
      <x:c r="P235" s="1" t="n">
        <x:f>SUMIFS('Incoming POs'!$P$2:$P$305,'Incoming POs'!$A$2:$A$305,A235,'Incoming POs'!$B$2:$B$305,B235,'Incoming POs'!$C$2:$C$305,C235,'Incoming POs'!$G$2:$G$305,"&gt;="&amp;D235,'Incoming POs'!$G$2:$G$305,"&lt;"&amp;Dashboard!$I$5)</x:f>
        <x:v>0</x:v>
      </x:c>
      <x:c r="Q235" s="1" t="n">
        <x:f>F235*Dashboard!$L$5*MAX(0,Dashboard!$I$5-D235)/30.4375</x:f>
        <x:v>620.9489938398357</x:v>
      </x:c>
      <x:c r="R235" s="1" t="n">
        <x:f>MAX(0,E235+P235-Q235)</x:f>
        <x:v>2829.0510061601644</x:v>
      </x:c>
      <x:c r="S235" s="1" t="n">
        <x:f>MAX(0,Q235-E235-P235)</x:f>
        <x:v>0</x:v>
      </x:c>
      <x:c r="T235" s="1" t="str">
        <x:f>IF(L235=1,MAX(0,I235+AB235-MIN(Q235,E235+P235)),"n.a.")</x:f>
        <x:v>n.a.</x:v>
      </x:c>
      <x:c r="U235" s="9" t="str">
        <x:f>IF(ISNUMBER(T235),T235*G235,"n.a.")</x:f>
        <x:v>n.a.</x:v>
      </x:c>
      <x:c r="V235" s="25" t="n">
        <x:f>IF(Dashboard!$I$6="Flat %",1,IF(ISNUMBER(H235),1,0))</x:f>
        <x:v>1</x:v>
      </x:c>
      <x:c r="W235" s="9" t="n">
        <x:f>IF(Dashboard!$I$6="Flat %",G235*(1+Dashboard!$L$6),H235)</x:f>
        <x:v>0.151851</x:v>
      </x:c>
      <x:c r="X235" s="9" t="n">
        <x:f>IF(V235=1,R235*(W235-G235),"n.a.")</x:f>
        <x:v>62.38340373683783</x:v>
      </x:c>
      <x:c r="Y235" s="9" t="n">
        <x:f>IF(V235=1,R235*W235,"n.a.")</x:f>
        <x:v>429.59422433642715</x:v>
      </x:c>
      <x:c r="Z235" s="1" t="str">
        <x:f>IF(ISNUMBER(T235),R235-T235,"n.a.")</x:f>
        <x:v>n.a.</x:v>
      </x:c>
      <x:c r="AA235" s="1" t="str">
        <x:f>'Inventory inputs'!R235</x:f>
        <x:v>Review receipt reconciliation or original PO baseline</x:v>
      </x:c>
      <x:c r="AB235" s="1" t="str">
        <x:f>IF(L235=1,SUMIFS('Incoming POs'!$P$2:$P$305,'Incoming POs'!$A$2:$A$305,A235,'Incoming POs'!$B$2:$B$305,B235,'Incoming POs'!$C$2:$C$305,C235,'Incoming POs'!$G$2:$G$305,"&gt;="&amp;D235,'Incoming POs'!$G$2:$G$305,"&lt;"&amp;Dashboard!$I$5,'Incoming POs'!$Q$2:$Q$305,"&lt;="&amp;('Inventory inputs'!P235/'Inventory inputs'!J235*1.01)),"n.a.")</x:f>
        <x:v>n.a.</x:v>
      </x:c>
      <x:c r="AC235" s="9" t="n">
        <x:f>I235*G235</x:f>
        <x:v>0</x:v>
      </x:c>
      <x:c r="AD235" s="9" t="n">
        <x:f>J235*G235</x:f>
        <x:v>0</x:v>
      </x:c>
      <x:c r="AE235" s="9" t="n">
        <x:f>K235*G235</x:f>
        <x:v>447.81</x:v>
      </x:c>
      <x:c r="AF235" s="9" t="n">
        <x:f>R235*G235</x:f>
        <x:v>367.21082059958934</x:v>
      </x:c>
    </x:row>
    <x:row r="236" ht="21" customHeight="1">
      <x:c r="A236" s="1" t="str">
        <x:f>'Inventory inputs'!A236</x:f>
        <x:v>PLAS</x:v>
      </x:c>
      <x:c r="B236" s="1" t="str">
        <x:f>'Inventory inputs'!B236</x:f>
        <x:v>10</x:v>
      </x:c>
      <x:c r="C236" s="1" t="str">
        <x:f>'Inventory inputs'!C236</x:f>
        <x:v>01419RWBRED</x:v>
      </x:c>
      <x:c r="D236" s="7" t="n">
        <x:f>'Inventory inputs'!E236</x:f>
        <x:v>46303</x:v>
      </x:c>
      <x:c r="E236" s="1" t="n">
        <x:f>'Inventory inputs'!F236</x:f>
        <x:v>700</x:v>
      </x:c>
      <x:c r="F236" s="1" t="n">
        <x:f>'Inventory inputs'!G236</x:f>
        <x:v>458.33</x:v>
      </x:c>
      <x:c r="G236" s="1" t="n">
        <x:f>'Inventory inputs'!H236/'Inventory inputs'!J236</x:f>
        <x:v>0.0181</x:v>
      </x:c>
      <x:c r="H236" s="1" t="n">
        <x:f>IF('Inventory inputs'!I236&gt;0,'Inventory inputs'!I236*'Inventory inputs'!K236/'Inventory inputs'!J236,"n.a.")</x:f>
        <x:v>0.021168</x:v>
      </x:c>
      <x:c r="I236" s="1" t="n">
        <x:f>'Inventory inputs'!L236</x:f>
        <x:v>0</x:v>
      </x:c>
      <x:c r="J236" s="1" t="n">
        <x:f>'Inventory inputs'!M236</x:f>
        <x:v>0</x:v>
      </x:c>
      <x:c r="K236" s="1" t="n">
        <x:f>'Inventory inputs'!N236</x:f>
        <x:v>700</x:v>
      </x:c>
      <x:c r="L236" s="1" t="n">
        <x:f>'Inventory inputs'!O236</x:f>
        <x:v>0</x:v>
      </x:c>
      <x:c r="M236" s="9" t="n">
        <x:f>E236*G236</x:f>
        <x:v>12.670000000000002</x:v>
      </x:c>
      <x:c r="N236" s="9" t="n">
        <x:f>'Inventory inputs'!Q236</x:f>
        <x:v>12.67</x:v>
      </x:c>
      <x:c r="O236" s="9" t="n">
        <x:f>N236-M236</x:f>
        <x:v>-1.7763568394002505e-15</x:v>
      </x:c>
      <x:c r="P236" s="1" t="n">
        <x:f>SUMIFS('Incoming POs'!$P$2:$P$305,'Incoming POs'!$A$2:$A$305,A236,'Incoming POs'!$B$2:$B$305,B236,'Incoming POs'!$C$2:$C$305,C236,'Incoming POs'!$G$2:$G$305,"&gt;="&amp;D236,'Incoming POs'!$G$2:$G$305,"&lt;"&amp;Dashboard!$I$5)</x:f>
        <x:v>0</x:v>
      </x:c>
      <x:c r="Q236" s="1" t="n">
        <x:f>F236*Dashboard!$L$5*MAX(0,Dashboard!$I$5-D236)/30.4375</x:f>
        <x:v>609.8518275154005</x:v>
      </x:c>
      <x:c r="R236" s="1" t="n">
        <x:f>MAX(0,E236+P236-Q236)</x:f>
        <x:v>90.14817248459951</x:v>
      </x:c>
      <x:c r="S236" s="1" t="n">
        <x:f>MAX(0,Q236-E236-P236)</x:f>
        <x:v>0</x:v>
      </x:c>
      <x:c r="T236" s="1" t="str">
        <x:f>IF(L236=1,MAX(0,I236+AB236-MIN(Q236,E236+P236)),"n.a.")</x:f>
        <x:v>n.a.</x:v>
      </x:c>
      <x:c r="U236" s="9" t="str">
        <x:f>IF(ISNUMBER(T236),T236*G236,"n.a.")</x:f>
        <x:v>n.a.</x:v>
      </x:c>
      <x:c r="V236" s="25" t="n">
        <x:f>IF(Dashboard!$I$6="Flat %",1,IF(ISNUMBER(H236),1,0))</x:f>
        <x:v>1</x:v>
      </x:c>
      <x:c r="W236" s="9" t="n">
        <x:f>IF(Dashboard!$I$6="Flat %",G236*(1+Dashboard!$L$6),H236)</x:f>
        <x:v>0.021168</x:v>
      </x:c>
      <x:c r="X236" s="9" t="n">
        <x:f>IF(V236=1,R236*(W236-G236),"n.a.")</x:f>
        <x:v>0.2765745931827511</x:v>
      </x:c>
      <x:c r="Y236" s="9" t="n">
        <x:f>IF(V236=1,R236*W236,"n.a.")</x:f>
        <x:v>1.9082565151540025</x:v>
      </x:c>
      <x:c r="Z236" s="1" t="str">
        <x:f>IF(ISNUMBER(T236),R236-T236,"n.a.")</x:f>
        <x:v>n.a.</x:v>
      </x:c>
      <x:c r="AA236" s="1" t="str">
        <x:f>'Inventory inputs'!R236</x:f>
        <x:v>Review receipt reconciliation or original PO baseline</x:v>
      </x:c>
      <x:c r="AB236" s="1" t="str">
        <x:f>IF(L236=1,SUMIFS('Incoming POs'!$P$2:$P$305,'Incoming POs'!$A$2:$A$305,A236,'Incoming POs'!$B$2:$B$305,B236,'Incoming POs'!$C$2:$C$305,C236,'Incoming POs'!$G$2:$G$305,"&gt;="&amp;D236,'Incoming POs'!$G$2:$G$305,"&lt;"&amp;Dashboard!$I$5,'Incoming POs'!$Q$2:$Q$305,"&lt;="&amp;('Inventory inputs'!P236/'Inventory inputs'!J236*1.01)),"n.a.")</x:f>
        <x:v>n.a.</x:v>
      </x:c>
      <x:c r="AC236" s="9" t="n">
        <x:f>I236*G236</x:f>
        <x:v>0</x:v>
      </x:c>
      <x:c r="AD236" s="9" t="n">
        <x:f>J236*G236</x:f>
        <x:v>0</x:v>
      </x:c>
      <x:c r="AE236" s="9" t="n">
        <x:f>K236*G236</x:f>
        <x:v>12.670000000000002</x:v>
      </x:c>
      <x:c r="AF236" s="9" t="n">
        <x:f>R236*G236</x:f>
        <x:v>1.6316819219712513</x:v>
      </x:c>
    </x:row>
    <x:row r="237" ht="21" customHeight="1">
      <x:c r="A237" s="1" t="str">
        <x:f>'Inventory inputs'!A237</x:f>
        <x:v>PLAS</x:v>
      </x:c>
      <x:c r="B237" s="1" t="str">
        <x:f>'Inventory inputs'!B237</x:f>
        <x:v>30</x:v>
      </x:c>
      <x:c r="C237" s="1" t="str">
        <x:f>'Inventory inputs'!C237</x:f>
        <x:v>13419RSLBLK</x:v>
      </x:c>
      <x:c r="D237" s="7" t="n">
        <x:f>'Inventory inputs'!E237</x:f>
        <x:v>46303</x:v>
      </x:c>
      <x:c r="E237" s="1" t="n">
        <x:f>'Inventory inputs'!F237</x:f>
        <x:v>1050</x:v>
      </x:c>
      <x:c r="F237" s="1" t="n">
        <x:f>'Inventory inputs'!G237</x:f>
        <x:v>433.33</x:v>
      </x:c>
      <x:c r="G237" s="1" t="n">
        <x:f>'Inventory inputs'!H237/'Inventory inputs'!J237</x:f>
        <x:v>0.1457</x:v>
      </x:c>
      <x:c r="H237" s="1" t="n">
        <x:f>IF('Inventory inputs'!I237&gt;0,'Inventory inputs'!I237*'Inventory inputs'!K237/'Inventory inputs'!J237,"n.a.")</x:f>
        <x:v>0.170373</x:v>
      </x:c>
      <x:c r="I237" s="1" t="n">
        <x:f>'Inventory inputs'!L237</x:f>
        <x:v>0</x:v>
      </x:c>
      <x:c r="J237" s="1" t="n">
        <x:f>'Inventory inputs'!M237</x:f>
        <x:v>0</x:v>
      </x:c>
      <x:c r="K237" s="1" t="n">
        <x:f>'Inventory inputs'!N237</x:f>
        <x:v>1050</x:v>
      </x:c>
      <x:c r="L237" s="1" t="n">
        <x:f>'Inventory inputs'!O237</x:f>
        <x:v>0</x:v>
      </x:c>
      <x:c r="M237" s="9" t="n">
        <x:f>E237*G237</x:f>
        <x:v>152.98499999999999</x:v>
      </x:c>
      <x:c r="N237" s="9" t="n">
        <x:f>'Inventory inputs'!Q237</x:f>
        <x:v>152.985</x:v>
      </x:c>
      <x:c r="O237" s="9" t="n">
        <x:f>N237-M237</x:f>
        <x:v>2.842170943040401e-14</x:v>
      </x:c>
      <x:c r="P237" s="1" t="n">
        <x:f>SUMIFS('Incoming POs'!$P$2:$P$305,'Incoming POs'!$A$2:$A$305,A237,'Incoming POs'!$B$2:$B$305,B237,'Incoming POs'!$C$2:$C$305,C237,'Incoming POs'!$G$2:$G$305,"&gt;="&amp;D237,'Incoming POs'!$G$2:$G$305,"&lt;"&amp;Dashboard!$I$5)</x:f>
        <x:v>0</x:v>
      </x:c>
      <x:c r="Q237" s="1" t="n">
        <x:f>F237*Dashboard!$L$5*MAX(0,Dashboard!$I$5-D237)/30.4375</x:f>
        <x:v>576.5869404517455</x:v>
      </x:c>
      <x:c r="R237" s="1" t="n">
        <x:f>MAX(0,E237+P237-Q237)</x:f>
        <x:v>473.4130595482545</x:v>
      </x:c>
      <x:c r="S237" s="1" t="n">
        <x:f>MAX(0,Q237-E237-P237)</x:f>
        <x:v>0</x:v>
      </x:c>
      <x:c r="T237" s="1" t="str">
        <x:f>IF(L237=1,MAX(0,I237+AB237-MIN(Q237,E237+P237)),"n.a.")</x:f>
        <x:v>n.a.</x:v>
      </x:c>
      <x:c r="U237" s="9" t="str">
        <x:f>IF(ISNUMBER(T237),T237*G237,"n.a.")</x:f>
        <x:v>n.a.</x:v>
      </x:c>
      <x:c r="V237" s="25" t="n">
        <x:f>IF(Dashboard!$I$6="Flat %",1,IF(ISNUMBER(H237),1,0))</x:f>
        <x:v>1</x:v>
      </x:c>
      <x:c r="W237" s="9" t="n">
        <x:f>IF(Dashboard!$I$6="Flat %",G237*(1+Dashboard!$L$6),H237)</x:f>
        <x:v>0.170373</x:v>
      </x:c>
      <x:c r="X237" s="9" t="n">
        <x:f>IF(V237=1,R237*(W237-G237),"n.a.")</x:f>
        <x:v>11.680520418234083</x:v>
      </x:c>
      <x:c r="Y237" s="9" t="n">
        <x:f>IF(V237=1,R237*W237,"n.a.")</x:f>
        <x:v>80.65680319441476</x:v>
      </x:c>
      <x:c r="Z237" s="1" t="str">
        <x:f>IF(ISNUMBER(T237),R237-T237,"n.a.")</x:f>
        <x:v>n.a.</x:v>
      </x:c>
      <x:c r="AA237" s="1" t="str">
        <x:f>'Inventory inputs'!R237</x:f>
        <x:v>Review receipt reconciliation or original PO baseline</x:v>
      </x:c>
      <x:c r="AB237" s="1" t="str">
        <x:f>IF(L237=1,SUMIFS('Incoming POs'!$P$2:$P$305,'Incoming POs'!$A$2:$A$305,A237,'Incoming POs'!$B$2:$B$305,B237,'Incoming POs'!$C$2:$C$305,C237,'Incoming POs'!$G$2:$G$305,"&gt;="&amp;D237,'Incoming POs'!$G$2:$G$305,"&lt;"&amp;Dashboard!$I$5,'Incoming POs'!$Q$2:$Q$305,"&lt;="&amp;('Inventory inputs'!P237/'Inventory inputs'!J237*1.01)),"n.a.")</x:f>
        <x:v>n.a.</x:v>
      </x:c>
      <x:c r="AC237" s="9" t="n">
        <x:f>I237*G237</x:f>
        <x:v>0</x:v>
      </x:c>
      <x:c r="AD237" s="9" t="n">
        <x:f>J237*G237</x:f>
        <x:v>0</x:v>
      </x:c>
      <x:c r="AE237" s="9" t="n">
        <x:f>K237*G237</x:f>
        <x:v>152.98499999999999</x:v>
      </x:c>
      <x:c r="AF237" s="9" t="n">
        <x:f>R237*G237</x:f>
        <x:v>68.97628277618068</x:v>
      </x:c>
    </x:row>
    <x:row r="238" ht="21" customHeight="1">
      <x:c r="A238" s="1" t="str">
        <x:f>'Inventory inputs'!A238</x:f>
        <x:v>PLAS</x:v>
      </x:c>
      <x:c r="B238" s="1" t="str">
        <x:f>'Inventory inputs'!B238</x:f>
        <x:v>10</x:v>
      </x:c>
      <x:c r="C238" s="1" t="str">
        <x:f>'Inventory inputs'!C238</x:f>
        <x:v>11415RSLBLK</x:v>
      </x:c>
      <x:c r="D238" s="7" t="n">
        <x:f>'Inventory inputs'!E238</x:f>
        <x:v>46303</x:v>
      </x:c>
      <x:c r="E238" s="1" t="n">
        <x:f>'Inventory inputs'!F238</x:f>
        <x:v>0</x:v>
      </x:c>
      <x:c r="F238" s="1" t="n">
        <x:f>'Inventory inputs'!G238</x:f>
        <x:v>431.75</x:v>
      </x:c>
      <x:c r="G238" s="1" t="n">
        <x:f>'Inventory inputs'!H238/'Inventory inputs'!J238</x:f>
        <x:v>0.0782</x:v>
      </x:c>
      <x:c r="H238" s="1" t="n">
        <x:f>IF('Inventory inputs'!I238&gt;0,'Inventory inputs'!I238*'Inventory inputs'!K238/'Inventory inputs'!J238,"n.a.")</x:f>
        <x:v>0.091434</x:v>
      </x:c>
      <x:c r="I238" s="1" t="n">
        <x:f>'Inventory inputs'!L238</x:f>
        <x:v>0</x:v>
      </x:c>
      <x:c r="J238" s="1" t="n">
        <x:f>'Inventory inputs'!M238</x:f>
        <x:v>0</x:v>
      </x:c>
      <x:c r="K238" s="1" t="n">
        <x:f>'Inventory inputs'!N238</x:f>
        <x:v>0</x:v>
      </x:c>
      <x:c r="L238" s="1" t="n">
        <x:f>'Inventory inputs'!O238</x:f>
        <x:v>1</x:v>
      </x:c>
      <x:c r="M238" s="9" t="n">
        <x:f>E238*G238</x:f>
        <x:v>0</x:v>
      </x:c>
      <x:c r="N238" s="9" t="n">
        <x:f>'Inventory inputs'!Q238</x:f>
        <x:v>0</x:v>
      </x:c>
      <x:c r="O238" s="9" t="n">
        <x:f>N238-M238</x:f>
        <x:v>0</x:v>
      </x:c>
      <x:c r="P238" s="1" t="n">
        <x:f>SUMIFS('Incoming POs'!$P$2:$P$305,'Incoming POs'!$A$2:$A$305,A238,'Incoming POs'!$B$2:$B$305,B238,'Incoming POs'!$C$2:$C$305,C238,'Incoming POs'!$G$2:$G$305,"&gt;="&amp;D238,'Incoming POs'!$G$2:$G$305,"&lt;"&amp;Dashboard!$I$5)</x:f>
        <x:v>4000</x:v>
      </x:c>
      <x:c r="Q238" s="1" t="n">
        <x:f>F238*Dashboard!$L$5*MAX(0,Dashboard!$I$5-D238)/30.4375</x:f>
        <x:v>574.4845995893223</x:v>
      </x:c>
      <x:c r="R238" s="1" t="n">
        <x:f>MAX(0,E238+P238-Q238)</x:f>
        <x:v>3425.5154004106776</x:v>
      </x:c>
      <x:c r="S238" s="1" t="n">
        <x:f>MAX(0,Q238-E238-P238)</x:f>
        <x:v>0</x:v>
      </x:c>
      <x:c r="T238" s="1" t="n">
        <x:f>IF(L238=1,MAX(0,I238+AB238-MIN(Q238,E238+P238)),"n.a.")</x:f>
        <x:v>0</x:v>
      </x:c>
      <x:c r="U238" s="9" t="n">
        <x:f>IF(ISNUMBER(T238),T238*G238,"n.a.")</x:f>
        <x:v>0</x:v>
      </x:c>
      <x:c r="V238" s="25" t="n">
        <x:f>IF(Dashboard!$I$6="Flat %",1,IF(ISNUMBER(H238),1,0))</x:f>
        <x:v>1</x:v>
      </x:c>
      <x:c r="W238" s="9" t="n">
        <x:f>IF(Dashboard!$I$6="Flat %",G238*(1+Dashboard!$L$6),H238)</x:f>
        <x:v>0.091434</x:v>
      </x:c>
      <x:c r="X238" s="9" t="n">
        <x:f>IF(V238=1,R238*(W238-G238),"n.a.")</x:f>
        <x:v>45.33327080903489</x:v>
      </x:c>
      <x:c r="Y238" s="9" t="n">
        <x:f>IF(V238=1,R238*W238,"n.a.")</x:f>
        <x:v>313.2085751211499</x:v>
      </x:c>
      <x:c r="Z238" s="1" t="n">
        <x:f>IF(ISNUMBER(T238),R238-T238,"n.a.")</x:f>
        <x:v>3425.5154004106776</x:v>
      </x:c>
      <x:c r="AA238" s="1" t="str">
        <x:f>'Inventory inputs'!R238</x:f>
        <x:v>Classified</x:v>
      </x:c>
      <x:c r="AB238" s="1" t="n">
        <x:f>IF(L238=1,SUMIFS('Incoming POs'!$P$2:$P$305,'Incoming POs'!$A$2:$A$305,A238,'Incoming POs'!$B$2:$B$305,B238,'Incoming POs'!$C$2:$C$305,C238,'Incoming POs'!$G$2:$G$305,"&gt;="&amp;D238,'Incoming POs'!$G$2:$G$305,"&lt;"&amp;Dashboard!$I$5,'Incoming POs'!$Q$2:$Q$305,"&lt;="&amp;('Inventory inputs'!P238/'Inventory inputs'!J238*1.01)),"n.a.")</x:f>
        <x:v>0</x:v>
      </x:c>
      <x:c r="AC238" s="9" t="n">
        <x:f>I238*G238</x:f>
        <x:v>0</x:v>
      </x:c>
      <x:c r="AD238" s="9" t="n">
        <x:f>J238*G238</x:f>
        <x:v>0</x:v>
      </x:c>
      <x:c r="AE238" s="9" t="n">
        <x:f>K238*G238</x:f>
        <x:v>0</x:v>
      </x:c>
      <x:c r="AF238" s="9" t="n">
        <x:f>R238*G238</x:f>
        <x:v>267.875304312115</x:v>
      </x:c>
    </x:row>
    <x:row r="239" ht="21" customHeight="1">
      <x:c r="A239" s="1" t="str">
        <x:f>'Inventory inputs'!A239</x:f>
        <x:v>PLAS</x:v>
      </x:c>
      <x:c r="B239" s="1" t="str">
        <x:f>'Inventory inputs'!B239</x:f>
        <x:v>30</x:v>
      </x:c>
      <x:c r="C239" s="1" t="str">
        <x:f>'Inventory inputs'!C239</x:f>
        <x:v>00219RSLBLK</x:v>
      </x:c>
      <x:c r="D239" s="7" t="n">
        <x:f>'Inventory inputs'!E239</x:f>
        <x:v>46303</x:v>
      </x:c>
      <x:c r="E239" s="1" t="n">
        <x:f>'Inventory inputs'!F239</x:f>
        <x:v>0</x:v>
      </x:c>
      <x:c r="F239" s="1" t="n">
        <x:f>'Inventory inputs'!G239</x:f>
        <x:v>420</x:v>
      </x:c>
      <x:c r="G239" s="1" t="n">
        <x:f>'Inventory inputs'!H239/'Inventory inputs'!J239</x:f>
        <x:v>0.1477</x:v>
      </x:c>
      <x:c r="H239" s="1" t="n">
        <x:f>IF('Inventory inputs'!I239&gt;0,'Inventory inputs'!I239*'Inventory inputs'!K239/'Inventory inputs'!J239,"n.a.")</x:f>
        <x:v>0.172872</x:v>
      </x:c>
      <x:c r="I239" s="1" t="n">
        <x:f>'Inventory inputs'!L239</x:f>
        <x:v>0</x:v>
      </x:c>
      <x:c r="J239" s="1" t="n">
        <x:f>'Inventory inputs'!M239</x:f>
        <x:v>0</x:v>
      </x:c>
      <x:c r="K239" s="1" t="n">
        <x:f>'Inventory inputs'!N239</x:f>
        <x:v>0</x:v>
      </x:c>
      <x:c r="L239" s="1" t="n">
        <x:f>'Inventory inputs'!O239</x:f>
        <x:v>1</x:v>
      </x:c>
      <x:c r="M239" s="9" t="n">
        <x:f>E239*G239</x:f>
        <x:v>0</x:v>
      </x:c>
      <x:c r="N239" s="9" t="n">
        <x:f>'Inventory inputs'!Q239</x:f>
        <x:v>17.724</x:v>
      </x:c>
      <x:c r="O239" s="9" t="n">
        <x:f>N239-M239</x:f>
        <x:v>17.724</x:v>
      </x:c>
      <x:c r="P239" s="1" t="n">
        <x:f>SUMIFS('Incoming POs'!$P$2:$P$305,'Incoming POs'!$A$2:$A$305,A239,'Incoming POs'!$B$2:$B$305,B239,'Incoming POs'!$C$2:$C$305,C239,'Incoming POs'!$G$2:$G$305,"&gt;="&amp;D239,'Incoming POs'!$G$2:$G$305,"&lt;"&amp;Dashboard!$I$5)</x:f>
        <x:v>0</x:v>
      </x:c>
      <x:c r="Q239" s="1" t="n">
        <x:f>F239*Dashboard!$L$5*MAX(0,Dashboard!$I$5-D239)/30.4375</x:f>
        <x:v>558.8501026694045</x:v>
      </x:c>
      <x:c r="R239" s="1" t="n">
        <x:f>MAX(0,E239+P239-Q239)</x:f>
        <x:v>0</x:v>
      </x:c>
      <x:c r="S239" s="1" t="n">
        <x:f>MAX(0,Q239-E239-P239)</x:f>
        <x:v>558.8501026694045</x:v>
      </x:c>
      <x:c r="T239" s="1" t="n">
        <x:f>IF(L239=1,MAX(0,I239+AB239-MIN(Q239,E239+P239)),"n.a.")</x:f>
        <x:v>0</x:v>
      </x:c>
      <x:c r="U239" s="9" t="n">
        <x:f>IF(ISNUMBER(T239),T239*G239,"n.a.")</x:f>
        <x:v>0</x:v>
      </x:c>
      <x:c r="V239" s="25" t="n">
        <x:f>IF(Dashboard!$I$6="Flat %",1,IF(ISNUMBER(H239),1,0))</x:f>
        <x:v>1</x:v>
      </x:c>
      <x:c r="W239" s="9" t="n">
        <x:f>IF(Dashboard!$I$6="Flat %",G239*(1+Dashboard!$L$6),H239)</x:f>
        <x:v>0.172872</x:v>
      </x:c>
      <x:c r="X239" s="9" t="n">
        <x:f>IF(V239=1,R239*(W239-G239),"n.a.")</x:f>
        <x:v>0</x:v>
      </x:c>
      <x:c r="Y239" s="9" t="n">
        <x:f>IF(V239=1,R239*W239,"n.a.")</x:f>
        <x:v>0</x:v>
      </x:c>
      <x:c r="Z239" s="1" t="n">
        <x:f>IF(ISNUMBER(T239),R239-T239,"n.a.")</x:f>
        <x:v>0</x:v>
      </x:c>
      <x:c r="AA239" s="1" t="str">
        <x:f>'Inventory inputs'!R239</x:f>
        <x:v>Classified</x:v>
      </x:c>
      <x:c r="AB239" s="1" t="n">
        <x:f>IF(L239=1,SUMIFS('Incoming POs'!$P$2:$P$305,'Incoming POs'!$A$2:$A$305,A239,'Incoming POs'!$B$2:$B$305,B239,'Incoming POs'!$C$2:$C$305,C239,'Incoming POs'!$G$2:$G$305,"&gt;="&amp;D239,'Incoming POs'!$G$2:$G$305,"&lt;"&amp;Dashboard!$I$5,'Incoming POs'!$Q$2:$Q$305,"&lt;="&amp;('Inventory inputs'!P239/'Inventory inputs'!J239*1.01)),"n.a.")</x:f>
        <x:v>0</x:v>
      </x:c>
      <x:c r="AC239" s="9" t="n">
        <x:f>I239*G239</x:f>
        <x:v>0</x:v>
      </x:c>
      <x:c r="AD239" s="9" t="n">
        <x:f>J239*G239</x:f>
        <x:v>0</x:v>
      </x:c>
      <x:c r="AE239" s="9" t="n">
        <x:f>K239*G239</x:f>
        <x:v>0</x:v>
      </x:c>
      <x:c r="AF239" s="9" t="n">
        <x:f>R239*G239</x:f>
        <x:v>0</x:v>
      </x:c>
    </x:row>
    <x:row r="240" ht="21" customHeight="1">
      <x:c r="A240" s="1" t="str">
        <x:f>'Inventory inputs'!A240</x:f>
        <x:v>PLAS</x:v>
      </x:c>
      <x:c r="B240" s="1" t="str">
        <x:f>'Inventory inputs'!B240</x:f>
        <x:v>10</x:v>
      </x:c>
      <x:c r="C240" s="1" t="str">
        <x:f>'Inventory inputs'!C240</x:f>
        <x:v>00115RWBBLK</x:v>
      </x:c>
      <x:c r="D240" s="7" t="n">
        <x:f>'Inventory inputs'!E240</x:f>
        <x:v>46303</x:v>
      </x:c>
      <x:c r="E240" s="1" t="n">
        <x:f>'Inventory inputs'!F240</x:f>
        <x:v>2625</x:v>
      </x:c>
      <x:c r="F240" s="1" t="n">
        <x:f>'Inventory inputs'!G240</x:f>
        <x:v>416.91</x:v>
      </x:c>
      <x:c r="G240" s="1" t="n">
        <x:f>'Inventory inputs'!H240/'Inventory inputs'!J240</x:f>
        <x:v>0.0736</x:v>
      </x:c>
      <x:c r="H240" s="1" t="n">
        <x:f>IF('Inventory inputs'!I240&gt;0,'Inventory inputs'!I240*'Inventory inputs'!K240/'Inventory inputs'!J240,"n.a.")</x:f>
        <x:v>0.086142</x:v>
      </x:c>
      <x:c r="I240" s="1" t="n">
        <x:f>'Inventory inputs'!L240</x:f>
        <x:v>2625</x:v>
      </x:c>
      <x:c r="J240" s="1" t="n">
        <x:f>'Inventory inputs'!M240</x:f>
        <x:v>0</x:v>
      </x:c>
      <x:c r="K240" s="1" t="n">
        <x:f>'Inventory inputs'!N240</x:f>
        <x:v>0</x:v>
      </x:c>
      <x:c r="L240" s="1" t="n">
        <x:f>'Inventory inputs'!O240</x:f>
        <x:v>1</x:v>
      </x:c>
      <x:c r="M240" s="9" t="n">
        <x:f>E240*G240</x:f>
        <x:v>193.2</x:v>
      </x:c>
      <x:c r="N240" s="9" t="n">
        <x:f>'Inventory inputs'!Q240</x:f>
        <x:v>193.20000000000002</x:v>
      </x:c>
      <x:c r="O240" s="9" t="n">
        <x:f>N240-M240</x:f>
        <x:v>2.842170943040401e-14</x:v>
      </x:c>
      <x:c r="P240" s="1" t="n">
        <x:f>SUMIFS('Incoming POs'!$P$2:$P$305,'Incoming POs'!$A$2:$A$305,A240,'Incoming POs'!$B$2:$B$305,B240,'Incoming POs'!$C$2:$C$305,C240,'Incoming POs'!$G$2:$G$305,"&gt;="&amp;D240,'Incoming POs'!$G$2:$G$305,"&lt;"&amp;Dashboard!$I$5)</x:f>
        <x:v>0</x:v>
      </x:c>
      <x:c r="Q240" s="1" t="n">
        <x:f>F240*Dashboard!$L$5*MAX(0,Dashboard!$I$5-D240)/30.4375</x:f>
        <x:v>554.7385626283367</x:v>
      </x:c>
      <x:c r="R240" s="1" t="n">
        <x:f>MAX(0,E240+P240-Q240)</x:f>
        <x:v>2070.2614373716633</x:v>
      </x:c>
      <x:c r="S240" s="1" t="n">
        <x:f>MAX(0,Q240-E240-P240)</x:f>
        <x:v>0</x:v>
      </x:c>
      <x:c r="T240" s="1" t="n">
        <x:f>IF(L240=1,MAX(0,I240+AB240-MIN(Q240,E240+P240)),"n.a.")</x:f>
        <x:v>2070.2614373716633</x:v>
      </x:c>
      <x:c r="U240" s="9" t="n">
        <x:f>IF(ISNUMBER(T240),T240*G240,"n.a.")</x:f>
        <x:v>152.37124179055442</x:v>
      </x:c>
      <x:c r="V240" s="25" t="n">
        <x:f>IF(Dashboard!$I$6="Flat %",1,IF(ISNUMBER(H240),1,0))</x:f>
        <x:v>1</x:v>
      </x:c>
      <x:c r="W240" s="9" t="n">
        <x:f>IF(Dashboard!$I$6="Flat %",G240*(1+Dashboard!$L$6),H240)</x:f>
        <x:v>0.086142</x:v>
      </x:c>
      <x:c r="X240" s="9" t="n">
        <x:f>IF(V240=1,R240*(W240-G240),"n.a.")</x:f>
        <x:v>25.965218947515396</x:v>
      </x:c>
      <x:c r="Y240" s="9" t="n">
        <x:f>IF(V240=1,R240*W240,"n.a.")</x:f>
        <x:v>178.3364607380698</x:v>
      </x:c>
      <x:c r="Z240" s="1" t="n">
        <x:f>IF(ISNUMBER(T240),R240-T240,"n.a.")</x:f>
        <x:v>0</x:v>
      </x:c>
      <x:c r="AA240" s="1" t="str">
        <x:f>'Inventory inputs'!R240</x:f>
        <x:v>Classified</x:v>
      </x:c>
      <x:c r="AB240" s="1" t="n">
        <x:f>IF(L240=1,SUMIFS('Incoming POs'!$P$2:$P$305,'Incoming POs'!$A$2:$A$305,A240,'Incoming POs'!$B$2:$B$305,B240,'Incoming POs'!$C$2:$C$305,C240,'Incoming POs'!$G$2:$G$305,"&gt;="&amp;D240,'Incoming POs'!$G$2:$G$305,"&lt;"&amp;Dashboard!$I$5,'Incoming POs'!$Q$2:$Q$305,"&lt;="&amp;('Inventory inputs'!P240/'Inventory inputs'!J240*1.01)),"n.a.")</x:f>
        <x:v>0</x:v>
      </x:c>
      <x:c r="AC240" s="9" t="n">
        <x:f>I240*G240</x:f>
        <x:v>193.2</x:v>
      </x:c>
      <x:c r="AD240" s="9" t="n">
        <x:f>J240*G240</x:f>
        <x:v>0</x:v>
      </x:c>
      <x:c r="AE240" s="9" t="n">
        <x:f>K240*G240</x:f>
        <x:v>0</x:v>
      </x:c>
      <x:c r="AF240" s="9" t="n">
        <x:f>R240*G240</x:f>
        <x:v>152.37124179055442</x:v>
      </x:c>
    </x:row>
    <x:row r="241" ht="21" customHeight="1">
      <x:c r="A241" s="1" t="str">
        <x:f>'Inventory inputs'!A241</x:f>
        <x:v>PLAS</x:v>
      </x:c>
      <x:c r="B241" s="1" t="str">
        <x:f>'Inventory inputs'!B241</x:f>
        <x:v>10</x:v>
      </x:c>
      <x:c r="C241" s="1" t="str">
        <x:f>'Inventory inputs'!C241</x:f>
        <x:v>05815RWBFG</x:v>
      </x:c>
      <x:c r="D241" s="7" t="n">
        <x:f>'Inventory inputs'!E241</x:f>
        <x:v>46303</x:v>
      </x:c>
      <x:c r="E241" s="1" t="n">
        <x:f>'Inventory inputs'!F241</x:f>
        <x:v>2000</x:v>
      </x:c>
      <x:c r="F241" s="1" t="n">
        <x:f>'Inventory inputs'!G241</x:f>
        <x:v>416.67</x:v>
      </x:c>
      <x:c r="G241" s="1" t="n">
        <x:f>'Inventory inputs'!H241/'Inventory inputs'!J241</x:f>
        <x:v>0.030899999999999997</x:v>
      </x:c>
      <x:c r="H241" s="1" t="n">
        <x:f>IF('Inventory inputs'!I241&gt;0,'Inventory inputs'!I241*'Inventory inputs'!K241/'Inventory inputs'!J241,"n.a.")</x:f>
        <x:v>0.036162</x:v>
      </x:c>
      <x:c r="I241" s="1" t="n">
        <x:f>'Inventory inputs'!L241</x:f>
        <x:v>2000</x:v>
      </x:c>
      <x:c r="J241" s="1" t="n">
        <x:f>'Inventory inputs'!M241</x:f>
        <x:v>0</x:v>
      </x:c>
      <x:c r="K241" s="1" t="n">
        <x:f>'Inventory inputs'!N241</x:f>
        <x:v>0</x:v>
      </x:c>
      <x:c r="L241" s="1" t="n">
        <x:f>'Inventory inputs'!O241</x:f>
        <x:v>1</x:v>
      </x:c>
      <x:c r="M241" s="9" t="n">
        <x:f>E241*G241</x:f>
        <x:v>61.8</x:v>
      </x:c>
      <x:c r="N241" s="9" t="n">
        <x:f>'Inventory inputs'!Q241</x:f>
        <x:v>61.800000000000004</x:v>
      </x:c>
      <x:c r="O241" s="9" t="n">
        <x:f>N241-M241</x:f>
        <x:v>7.105427357601002e-15</x:v>
      </x:c>
      <x:c r="P241" s="1" t="n">
        <x:f>SUMIFS('Incoming POs'!$P$2:$P$305,'Incoming POs'!$A$2:$A$305,A241,'Incoming POs'!$B$2:$B$305,B241,'Incoming POs'!$C$2:$C$305,C241,'Incoming POs'!$G$2:$G$305,"&gt;="&amp;D241,'Incoming POs'!$G$2:$G$305,"&lt;"&amp;Dashboard!$I$5)</x:f>
        <x:v>0</x:v>
      </x:c>
      <x:c r="Q241" s="1" t="n">
        <x:f>F241*Dashboard!$L$5*MAX(0,Dashboard!$I$5-D241)/30.4375</x:f>
        <x:v>554.4192197125257</x:v>
      </x:c>
      <x:c r="R241" s="1" t="n">
        <x:f>MAX(0,E241+P241-Q241)</x:f>
        <x:v>1445.5807802874742</x:v>
      </x:c>
      <x:c r="S241" s="1" t="n">
        <x:f>MAX(0,Q241-E241-P241)</x:f>
        <x:v>0</x:v>
      </x:c>
      <x:c r="T241" s="1" t="n">
        <x:f>IF(L241=1,MAX(0,I241+AB241-MIN(Q241,E241+P241)),"n.a.")</x:f>
        <x:v>1445.5807802874742</x:v>
      </x:c>
      <x:c r="U241" s="9" t="n">
        <x:f>IF(ISNUMBER(T241),T241*G241,"n.a.")</x:f>
        <x:v>44.66844611088295</x:v>
      </x:c>
      <x:c r="V241" s="25" t="n">
        <x:f>IF(Dashboard!$I$6="Flat %",1,IF(ISNUMBER(H241),1,0))</x:f>
        <x:v>1</x:v>
      </x:c>
      <x:c r="W241" s="9" t="n">
        <x:f>IF(Dashboard!$I$6="Flat %",G241*(1+Dashboard!$L$6),H241)</x:f>
        <x:v>0.036162</x:v>
      </x:c>
      <x:c r="X241" s="9" t="n">
        <x:f>IF(V241=1,R241*(W241-G241),"n.a.")</x:f>
        <x:v>7.6066460658726935</x:v>
      </x:c>
      <x:c r="Y241" s="9" t="n">
        <x:f>IF(V241=1,R241*W241,"n.a.")</x:f>
        <x:v>52.27509217675564</x:v>
      </x:c>
      <x:c r="Z241" s="1" t="n">
        <x:f>IF(ISNUMBER(T241),R241-T241,"n.a.")</x:f>
        <x:v>0</x:v>
      </x:c>
      <x:c r="AA241" s="1" t="str">
        <x:f>'Inventory inputs'!R241</x:f>
        <x:v>Classified</x:v>
      </x:c>
      <x:c r="AB241" s="1" t="n">
        <x:f>IF(L241=1,SUMIFS('Incoming POs'!$P$2:$P$305,'Incoming POs'!$A$2:$A$305,A241,'Incoming POs'!$B$2:$B$305,B241,'Incoming POs'!$C$2:$C$305,C241,'Incoming POs'!$G$2:$G$305,"&gt;="&amp;D241,'Incoming POs'!$G$2:$G$305,"&lt;"&amp;Dashboard!$I$5,'Incoming POs'!$Q$2:$Q$305,"&lt;="&amp;('Inventory inputs'!P241/'Inventory inputs'!J241*1.01)),"n.a.")</x:f>
        <x:v>0</x:v>
      </x:c>
      <x:c r="AC241" s="9" t="n">
        <x:f>I241*G241</x:f>
        <x:v>61.8</x:v>
      </x:c>
      <x:c r="AD241" s="9" t="n">
        <x:f>J241*G241</x:f>
        <x:v>0</x:v>
      </x:c>
      <x:c r="AE241" s="9" t="n">
        <x:f>K241*G241</x:f>
        <x:v>0</x:v>
      </x:c>
      <x:c r="AF241" s="9" t="n">
        <x:f>R241*G241</x:f>
        <x:v>44.66844611088295</x:v>
      </x:c>
    </x:row>
    <x:row r="242" ht="21" customHeight="1">
      <x:c r="A242" s="1" t="str">
        <x:f>'Inventory inputs'!A242</x:f>
        <x:v>PLAS</x:v>
      </x:c>
      <x:c r="B242" s="1" t="str">
        <x:f>'Inventory inputs'!B242</x:f>
        <x:v>10</x:v>
      </x:c>
      <x:c r="C242" s="1" t="str">
        <x:f>'Inventory inputs'!C242</x:f>
        <x:v>07819RWBNAV</x:v>
      </x:c>
      <x:c r="D242" s="7" t="n">
        <x:f>'Inventory inputs'!E242</x:f>
        <x:v>46303</x:v>
      </x:c>
      <x:c r="E242" s="1" t="n">
        <x:f>'Inventory inputs'!F242</x:f>
        <x:v>0</x:v>
      </x:c>
      <x:c r="F242" s="1" t="n">
        <x:f>'Inventory inputs'!G242</x:f>
        <x:v>416.67</x:v>
      </x:c>
      <x:c r="G242" s="1" t="n">
        <x:f>'Inventory inputs'!H242/'Inventory inputs'!J242</x:f>
        <x:v>0.0797</x:v>
      </x:c>
      <x:c r="H242" s="1" t="n">
        <x:f>IF('Inventory inputs'!I242&gt;0,'Inventory inputs'!I242*'Inventory inputs'!K242/'Inventory inputs'!J242,"n.a.")</x:f>
        <x:v>0.09319799999999999</x:v>
      </x:c>
      <x:c r="I242" s="1" t="n">
        <x:f>'Inventory inputs'!L242</x:f>
        <x:v>0</x:v>
      </x:c>
      <x:c r="J242" s="1" t="n">
        <x:f>'Inventory inputs'!M242</x:f>
        <x:v>0</x:v>
      </x:c>
      <x:c r="K242" s="1" t="n">
        <x:f>'Inventory inputs'!N242</x:f>
        <x:v>0</x:v>
      </x:c>
      <x:c r="L242" s="1" t="n">
        <x:f>'Inventory inputs'!O242</x:f>
        <x:v>1</x:v>
      </x:c>
      <x:c r="M242" s="9" t="n">
        <x:f>E242*G242</x:f>
        <x:v>0</x:v>
      </x:c>
      <x:c r="N242" s="9" t="n">
        <x:f>'Inventory inputs'!Q242</x:f>
        <x:v>0</x:v>
      </x:c>
      <x:c r="O242" s="9" t="n">
        <x:f>N242-M242</x:f>
        <x:v>0</x:v>
      </x:c>
      <x:c r="P242" s="1" t="n">
        <x:f>SUMIFS('Incoming POs'!$P$2:$P$305,'Incoming POs'!$A$2:$A$305,A242,'Incoming POs'!$B$2:$B$305,B242,'Incoming POs'!$C$2:$C$305,C242,'Incoming POs'!$G$2:$G$305,"&gt;="&amp;D242,'Incoming POs'!$G$2:$G$305,"&lt;"&amp;Dashboard!$I$5)</x:f>
        <x:v>3000</x:v>
      </x:c>
      <x:c r="Q242" s="1" t="n">
        <x:f>F242*Dashboard!$L$5*MAX(0,Dashboard!$I$5-D242)/30.4375</x:f>
        <x:v>554.4192197125257</x:v>
      </x:c>
      <x:c r="R242" s="1" t="n">
        <x:f>MAX(0,E242+P242-Q242)</x:f>
        <x:v>2445.580780287474</x:v>
      </x:c>
      <x:c r="S242" s="1" t="n">
        <x:f>MAX(0,Q242-E242-P242)</x:f>
        <x:v>0</x:v>
      </x:c>
      <x:c r="T242" s="1" t="n">
        <x:f>IF(L242=1,MAX(0,I242+AB242-MIN(Q242,E242+P242)),"n.a.")</x:f>
        <x:v>0</x:v>
      </x:c>
      <x:c r="U242" s="9" t="n">
        <x:f>IF(ISNUMBER(T242),T242*G242,"n.a.")</x:f>
        <x:v>0</x:v>
      </x:c>
      <x:c r="V242" s="25" t="n">
        <x:f>IF(Dashboard!$I$6="Flat %",1,IF(ISNUMBER(H242),1,0))</x:f>
        <x:v>1</x:v>
      </x:c>
      <x:c r="W242" s="9" t="n">
        <x:f>IF(Dashboard!$I$6="Flat %",G242*(1+Dashboard!$L$6),H242)</x:f>
        <x:v>0.09319799999999999</x:v>
      </x:c>
      <x:c r="X242" s="9" t="n">
        <x:f>IF(V242=1,R242*(W242-G242),"n.a.")</x:f>
        <x:v>33.010449372320316</x:v>
      </x:c>
      <x:c r="Y242" s="9" t="n">
        <x:f>IF(V242=1,R242*W242,"n.a.")</x:f>
        <x:v>227.92323756123199</x:v>
      </x:c>
      <x:c r="Z242" s="1" t="n">
        <x:f>IF(ISNUMBER(T242),R242-T242,"n.a.")</x:f>
        <x:v>2445.580780287474</x:v>
      </x:c>
      <x:c r="AA242" s="1" t="str">
        <x:f>'Inventory inputs'!R242</x:f>
        <x:v>Classified</x:v>
      </x:c>
      <x:c r="AB242" s="1" t="n">
        <x:f>IF(L242=1,SUMIFS('Incoming POs'!$P$2:$P$305,'Incoming POs'!$A$2:$A$305,A242,'Incoming POs'!$B$2:$B$305,B242,'Incoming POs'!$C$2:$C$305,C242,'Incoming POs'!$G$2:$G$305,"&gt;="&amp;D242,'Incoming POs'!$G$2:$G$305,"&lt;"&amp;Dashboard!$I$5,'Incoming POs'!$Q$2:$Q$305,"&lt;="&amp;('Inventory inputs'!P242/'Inventory inputs'!J242*1.01)),"n.a.")</x:f>
        <x:v>0</x:v>
      </x:c>
      <x:c r="AC242" s="9" t="n">
        <x:f>I242*G242</x:f>
        <x:v>0</x:v>
      </x:c>
      <x:c r="AD242" s="9" t="n">
        <x:f>J242*G242</x:f>
        <x:v>0</x:v>
      </x:c>
      <x:c r="AE242" s="9" t="n">
        <x:f>K242*G242</x:f>
        <x:v>0</x:v>
      </x:c>
      <x:c r="AF242" s="9" t="n">
        <x:f>R242*G242</x:f>
        <x:v>194.9127881889117</x:v>
      </x:c>
    </x:row>
    <x:row r="243" ht="21" customHeight="1">
      <x:c r="A243" s="1" t="str">
        <x:f>'Inventory inputs'!A243</x:f>
        <x:v>PLAS</x:v>
      </x:c>
      <x:c r="B243" s="1" t="str">
        <x:f>'Inventory inputs'!B243</x:f>
        <x:v>60</x:v>
      </x:c>
      <x:c r="C243" s="1" t="str">
        <x:f>'Inventory inputs'!C243</x:f>
        <x:v>11219RSLWHT</x:v>
      </x:c>
      <x:c r="D243" s="7" t="n">
        <x:f>'Inventory inputs'!E243</x:f>
        <x:v>46303</x:v>
      </x:c>
      <x:c r="E243" s="1" t="n">
        <x:f>'Inventory inputs'!F243</x:f>
        <x:v>1050</x:v>
      </x:c>
      <x:c r="F243" s="1" t="n">
        <x:f>'Inventory inputs'!G243</x:f>
        <x:v>391.67</x:v>
      </x:c>
      <x:c r="G243" s="1" t="n">
        <x:f>'Inventory inputs'!H243/'Inventory inputs'!J243</x:f>
        <x:v>0.1298</x:v>
      </x:c>
      <x:c r="H243" s="1" t="n">
        <x:f>IF('Inventory inputs'!I243&gt;0,'Inventory inputs'!I243*'Inventory inputs'!K243/'Inventory inputs'!J243,"n.a.")</x:f>
        <x:v>0.151851</x:v>
      </x:c>
      <x:c r="I243" s="1" t="n">
        <x:f>'Inventory inputs'!L243</x:f>
        <x:v>0</x:v>
      </x:c>
      <x:c r="J243" s="1" t="n">
        <x:f>'Inventory inputs'!M243</x:f>
        <x:v>0</x:v>
      </x:c>
      <x:c r="K243" s="1" t="n">
        <x:f>'Inventory inputs'!N243</x:f>
        <x:v>1050</x:v>
      </x:c>
      <x:c r="L243" s="1" t="n">
        <x:f>'Inventory inputs'!O243</x:f>
        <x:v>0</x:v>
      </x:c>
      <x:c r="M243" s="9" t="n">
        <x:f>E243*G243</x:f>
        <x:v>136.29</x:v>
      </x:c>
      <x:c r="N243" s="9" t="n">
        <x:f>'Inventory inputs'!Q243</x:f>
        <x:v>136.29</x:v>
      </x:c>
      <x:c r="O243" s="9" t="n">
        <x:f>N243-M243</x:f>
        <x:v>0</x:v>
      </x:c>
      <x:c r="P243" s="1" t="n">
        <x:f>SUMIFS('Incoming POs'!$P$2:$P$305,'Incoming POs'!$A$2:$A$305,A243,'Incoming POs'!$B$2:$B$305,B243,'Incoming POs'!$C$2:$C$305,C243,'Incoming POs'!$G$2:$G$305,"&gt;="&amp;D243,'Incoming POs'!$G$2:$G$305,"&lt;"&amp;Dashboard!$I$5)</x:f>
        <x:v>0</x:v>
      </x:c>
      <x:c r="Q243" s="1" t="n">
        <x:f>F243*Dashboard!$L$5*MAX(0,Dashboard!$I$5-D243)/30.4375</x:f>
        <x:v>521.1543326488706</x:v>
      </x:c>
      <x:c r="R243" s="1" t="n">
        <x:f>MAX(0,E243+P243-Q243)</x:f>
        <x:v>528.8456673511294</x:v>
      </x:c>
      <x:c r="S243" s="1" t="n">
        <x:f>MAX(0,Q243-E243-P243)</x:f>
        <x:v>0</x:v>
      </x:c>
      <x:c r="T243" s="1" t="str">
        <x:f>IF(L243=1,MAX(0,I243+AB243-MIN(Q243,E243+P243)),"n.a.")</x:f>
        <x:v>n.a.</x:v>
      </x:c>
      <x:c r="U243" s="9" t="str">
        <x:f>IF(ISNUMBER(T243),T243*G243,"n.a.")</x:f>
        <x:v>n.a.</x:v>
      </x:c>
      <x:c r="V243" s="25" t="n">
        <x:f>IF(Dashboard!$I$6="Flat %",1,IF(ISNUMBER(H243),1,0))</x:f>
        <x:v>1</x:v>
      </x:c>
      <x:c r="W243" s="9" t="n">
        <x:f>IF(Dashboard!$I$6="Flat %",G243*(1+Dashboard!$L$6),H243)</x:f>
        <x:v>0.151851</x:v>
      </x:c>
      <x:c r="X243" s="9" t="n">
        <x:f>IF(V243=1,R243*(W243-G243),"n.a.")</x:f>
        <x:v>11.66157581075976</x:v>
      </x:c>
      <x:c r="Y243" s="9" t="n">
        <x:f>IF(V243=1,R243*W243,"n.a.")</x:f>
        <x:v>80.30574343293635</x:v>
      </x:c>
      <x:c r="Z243" s="1" t="str">
        <x:f>IF(ISNUMBER(T243),R243-T243,"n.a.")</x:f>
        <x:v>n.a.</x:v>
      </x:c>
      <x:c r="AA243" s="1" t="str">
        <x:f>'Inventory inputs'!R243</x:f>
        <x:v>Review receipt reconciliation or original PO baseline</x:v>
      </x:c>
      <x:c r="AB243" s="1" t="str">
        <x:f>IF(L243=1,SUMIFS('Incoming POs'!$P$2:$P$305,'Incoming POs'!$A$2:$A$305,A243,'Incoming POs'!$B$2:$B$305,B243,'Incoming POs'!$C$2:$C$305,C243,'Incoming POs'!$G$2:$G$305,"&gt;="&amp;D243,'Incoming POs'!$G$2:$G$305,"&lt;"&amp;Dashboard!$I$5,'Incoming POs'!$Q$2:$Q$305,"&lt;="&amp;('Inventory inputs'!P243/'Inventory inputs'!J243*1.01)),"n.a.")</x:f>
        <x:v>n.a.</x:v>
      </x:c>
      <x:c r="AC243" s="9" t="n">
        <x:f>I243*G243</x:f>
        <x:v>0</x:v>
      </x:c>
      <x:c r="AD243" s="9" t="n">
        <x:f>J243*G243</x:f>
        <x:v>0</x:v>
      </x:c>
      <x:c r="AE243" s="9" t="n">
        <x:f>K243*G243</x:f>
        <x:v>136.29</x:v>
      </x:c>
      <x:c r="AF243" s="9" t="n">
        <x:f>R243*G243</x:f>
        <x:v>68.6441676221766</x:v>
      </x:c>
    </x:row>
    <x:row r="244" ht="21" customHeight="1">
      <x:c r="A244" s="1" t="str">
        <x:f>'Inventory inputs'!A244</x:f>
        <x:v>PLAS</x:v>
      </x:c>
      <x:c r="B244" s="1" t="str">
        <x:f>'Inventory inputs'!B244</x:f>
        <x:v>30</x:v>
      </x:c>
      <x:c r="C244" s="1" t="str">
        <x:f>'Inventory inputs'!C244</x:f>
        <x:v>07819RWBWHT</x:v>
      </x:c>
      <x:c r="D244" s="7" t="n">
        <x:f>'Inventory inputs'!E244</x:f>
        <x:v>46303</x:v>
      </x:c>
      <x:c r="E244" s="1" t="n">
        <x:f>'Inventory inputs'!F244</x:f>
        <x:v>1200</x:v>
      </x:c>
      <x:c r="F244" s="1" t="n">
        <x:f>'Inventory inputs'!G244</x:f>
        <x:v>383.33</x:v>
      </x:c>
      <x:c r="G244" s="1" t="n">
        <x:f>'Inventory inputs'!H244/'Inventory inputs'!J244</x:f>
        <x:v>0.0797</x:v>
      </x:c>
      <x:c r="H244" s="1" t="n">
        <x:f>IF('Inventory inputs'!I244&gt;0,'Inventory inputs'!I244*'Inventory inputs'!K244/'Inventory inputs'!J244,"n.a.")</x:f>
        <x:v>0.09319799999999999</x:v>
      </x:c>
      <x:c r="I244" s="1" t="n">
        <x:f>'Inventory inputs'!L244</x:f>
        <x:v>0</x:v>
      </x:c>
      <x:c r="J244" s="1" t="n">
        <x:f>'Inventory inputs'!M244</x:f>
        <x:v>0</x:v>
      </x:c>
      <x:c r="K244" s="1" t="n">
        <x:f>'Inventory inputs'!N244</x:f>
        <x:v>1200</x:v>
      </x:c>
      <x:c r="L244" s="1" t="n">
        <x:f>'Inventory inputs'!O244</x:f>
        <x:v>0</x:v>
      </x:c>
      <x:c r="M244" s="9" t="n">
        <x:f>E244*G244</x:f>
        <x:v>95.63999999999999</x:v>
      </x:c>
      <x:c r="N244" s="9" t="n">
        <x:f>'Inventory inputs'!Q244</x:f>
        <x:v>95.64</x:v>
      </x:c>
      <x:c r="O244" s="9" t="n">
        <x:f>N244-M244</x:f>
        <x:v>1.4210854715202004e-14</x:v>
      </x:c>
      <x:c r="P244" s="1" t="n">
        <x:f>SUMIFS('Incoming POs'!$P$2:$P$305,'Incoming POs'!$A$2:$A$305,A244,'Incoming POs'!$B$2:$B$305,B244,'Incoming POs'!$C$2:$C$305,C244,'Incoming POs'!$G$2:$G$305,"&gt;="&amp;D244,'Incoming POs'!$G$2:$G$305,"&lt;"&amp;Dashboard!$I$5)</x:f>
        <x:v>0</x:v>
      </x:c>
      <x:c r="Q244" s="1" t="n">
        <x:f>F244*Dashboard!$L$5*MAX(0,Dashboard!$I$5-D244)/30.4375</x:f>
        <x:v>510.0571663244353</x:v>
      </x:c>
      <x:c r="R244" s="1" t="n">
        <x:f>MAX(0,E244+P244-Q244)</x:f>
        <x:v>689.9428336755648</x:v>
      </x:c>
      <x:c r="S244" s="1" t="n">
        <x:f>MAX(0,Q244-E244-P244)</x:f>
        <x:v>0</x:v>
      </x:c>
      <x:c r="T244" s="1" t="str">
        <x:f>IF(L244=1,MAX(0,I244+AB244-MIN(Q244,E244+P244)),"n.a.")</x:f>
        <x:v>n.a.</x:v>
      </x:c>
      <x:c r="U244" s="9" t="str">
        <x:f>IF(ISNUMBER(T244),T244*G244,"n.a.")</x:f>
        <x:v>n.a.</x:v>
      </x:c>
      <x:c r="V244" s="25" t="n">
        <x:f>IF(Dashboard!$I$6="Flat %",1,IF(ISNUMBER(H244),1,0))</x:f>
        <x:v>1</x:v>
      </x:c>
      <x:c r="W244" s="9" t="n">
        <x:f>IF(Dashboard!$I$6="Flat %",G244*(1+Dashboard!$L$6),H244)</x:f>
        <x:v>0.09319799999999999</x:v>
      </x:c>
      <x:c r="X244" s="9" t="n">
        <x:f>IF(V244=1,R244*(W244-G244),"n.a.")</x:f>
        <x:v>9.312848368952771</x:v>
      </x:c>
      <x:c r="Y244" s="9" t="n">
        <x:f>IF(V244=1,R244*W244,"n.a.")</x:f>
        <x:v>64.30129221289528</x:v>
      </x:c>
      <x:c r="Z244" s="1" t="str">
        <x:f>IF(ISNUMBER(T244),R244-T244,"n.a.")</x:f>
        <x:v>n.a.</x:v>
      </x:c>
      <x:c r="AA244" s="1" t="str">
        <x:f>'Inventory inputs'!R244</x:f>
        <x:v>Review receipt reconciliation or original PO baseline</x:v>
      </x:c>
      <x:c r="AB244" s="1" t="str">
        <x:f>IF(L244=1,SUMIFS('Incoming POs'!$P$2:$P$305,'Incoming POs'!$A$2:$A$305,A244,'Incoming POs'!$B$2:$B$305,B244,'Incoming POs'!$C$2:$C$305,C244,'Incoming POs'!$G$2:$G$305,"&gt;="&amp;D244,'Incoming POs'!$G$2:$G$305,"&lt;"&amp;Dashboard!$I$5,'Incoming POs'!$Q$2:$Q$305,"&lt;="&amp;('Inventory inputs'!P244/'Inventory inputs'!J244*1.01)),"n.a.")</x:f>
        <x:v>n.a.</x:v>
      </x:c>
      <x:c r="AC244" s="9" t="n">
        <x:f>I244*G244</x:f>
        <x:v>0</x:v>
      </x:c>
      <x:c r="AD244" s="9" t="n">
        <x:f>J244*G244</x:f>
        <x:v>0</x:v>
      </x:c>
      <x:c r="AE244" s="9" t="n">
        <x:f>K244*G244</x:f>
        <x:v>95.63999999999999</x:v>
      </x:c>
      <x:c r="AF244" s="9" t="n">
        <x:f>R244*G244</x:f>
        <x:v>54.988443843942505</x:v>
      </x:c>
    </x:row>
    <x:row r="245" ht="21" customHeight="1">
      <x:c r="A245" s="1" t="str">
        <x:f>'Inventory inputs'!A245</x:f>
        <x:v>PLAS</x:v>
      </x:c>
      <x:c r="B245" s="1" t="str">
        <x:f>'Inventory inputs'!B245</x:f>
        <x:v>60</x:v>
      </x:c>
      <x:c r="C245" s="1" t="str">
        <x:f>'Inventory inputs'!C245</x:f>
        <x:v>01219RWBBLU</x:v>
      </x:c>
      <x:c r="D245" s="7" t="n">
        <x:f>'Inventory inputs'!E245</x:f>
        <x:v>46303</x:v>
      </x:c>
      <x:c r="E245" s="1" t="n">
        <x:f>'Inventory inputs'!F245</x:f>
        <x:v>800</x:v>
      </x:c>
      <x:c r="F245" s="1" t="n">
        <x:f>'Inventory inputs'!G245</x:f>
        <x:v>383.33</x:v>
      </x:c>
      <x:c r="G245" s="1" t="n">
        <x:f>'Inventory inputs'!H245/'Inventory inputs'!J245</x:f>
        <x:v>0.036000000000000004</x:v>
      </x:c>
      <x:c r="H245" s="1" t="n">
        <x:f>IF('Inventory inputs'!I245&gt;0,'Inventory inputs'!I245*'Inventory inputs'!K245/'Inventory inputs'!J245,"n.a.")</x:f>
        <x:v>0.042189</x:v>
      </x:c>
      <x:c r="I245" s="1" t="n">
        <x:f>'Inventory inputs'!L245</x:f>
        <x:v>0</x:v>
      </x:c>
      <x:c r="J245" s="1" t="n">
        <x:f>'Inventory inputs'!M245</x:f>
        <x:v>0</x:v>
      </x:c>
      <x:c r="K245" s="1" t="n">
        <x:f>'Inventory inputs'!N245</x:f>
        <x:v>800</x:v>
      </x:c>
      <x:c r="L245" s="1" t="n">
        <x:f>'Inventory inputs'!O245</x:f>
        <x:v>0</x:v>
      </x:c>
      <x:c r="M245" s="9" t="n">
        <x:f>E245*G245</x:f>
        <x:v>28.800000000000004</x:v>
      </x:c>
      <x:c r="N245" s="9" t="n">
        <x:f>'Inventory inputs'!Q245</x:f>
        <x:v>28.8</x:v>
      </x:c>
      <x:c r="O245" s="9" t="n">
        <x:f>N245-M245</x:f>
        <x:v>-3.552713678800501e-15</x:v>
      </x:c>
      <x:c r="P245" s="1" t="n">
        <x:f>SUMIFS('Incoming POs'!$P$2:$P$305,'Incoming POs'!$A$2:$A$305,A245,'Incoming POs'!$B$2:$B$305,B245,'Incoming POs'!$C$2:$C$305,C245,'Incoming POs'!$G$2:$G$305,"&gt;="&amp;D245,'Incoming POs'!$G$2:$G$305,"&lt;"&amp;Dashboard!$I$5)</x:f>
        <x:v>0</x:v>
      </x:c>
      <x:c r="Q245" s="1" t="n">
        <x:f>F245*Dashboard!$L$5*MAX(0,Dashboard!$I$5-D245)/30.4375</x:f>
        <x:v>510.0571663244353</x:v>
      </x:c>
      <x:c r="R245" s="1" t="n">
        <x:f>MAX(0,E245+P245-Q245)</x:f>
        <x:v>289.9428336755647</x:v>
      </x:c>
      <x:c r="S245" s="1" t="n">
        <x:f>MAX(0,Q245-E245-P245)</x:f>
        <x:v>0</x:v>
      </x:c>
      <x:c r="T245" s="1" t="str">
        <x:f>IF(L245=1,MAX(0,I245+AB245-MIN(Q245,E245+P245)),"n.a.")</x:f>
        <x:v>n.a.</x:v>
      </x:c>
      <x:c r="U245" s="9" t="str">
        <x:f>IF(ISNUMBER(T245),T245*G245,"n.a.")</x:f>
        <x:v>n.a.</x:v>
      </x:c>
      <x:c r="V245" s="25" t="n">
        <x:f>IF(Dashboard!$I$6="Flat %",1,IF(ISNUMBER(H245),1,0))</x:f>
        <x:v>1</x:v>
      </x:c>
      <x:c r="W245" s="9" t="n">
        <x:f>IF(Dashboard!$I$6="Flat %",G245*(1+Dashboard!$L$6),H245)</x:f>
        <x:v>0.042189</x:v>
      </x:c>
      <x:c r="X245" s="9" t="n">
        <x:f>IF(V245=1,R245*(W245-G245),"n.a.")</x:f>
        <x:v>1.794456197618068</x:v>
      </x:c>
      <x:c r="Y245" s="9" t="n">
        <x:f>IF(V245=1,R245*W245,"n.a.")</x:f>
        <x:v>12.232398209938399</x:v>
      </x:c>
      <x:c r="Z245" s="1" t="str">
        <x:f>IF(ISNUMBER(T245),R245-T245,"n.a.")</x:f>
        <x:v>n.a.</x:v>
      </x:c>
      <x:c r="AA245" s="1" t="str">
        <x:f>'Inventory inputs'!R245</x:f>
        <x:v>Review receipt reconciliation or original PO baseline</x:v>
      </x:c>
      <x:c r="AB245" s="1" t="str">
        <x:f>IF(L245=1,SUMIFS('Incoming POs'!$P$2:$P$305,'Incoming POs'!$A$2:$A$305,A245,'Incoming POs'!$B$2:$B$305,B245,'Incoming POs'!$C$2:$C$305,C245,'Incoming POs'!$G$2:$G$305,"&gt;="&amp;D245,'Incoming POs'!$G$2:$G$305,"&lt;"&amp;Dashboard!$I$5,'Incoming POs'!$Q$2:$Q$305,"&lt;="&amp;('Inventory inputs'!P245/'Inventory inputs'!J245*1.01)),"n.a.")</x:f>
        <x:v>n.a.</x:v>
      </x:c>
      <x:c r="AC245" s="9" t="n">
        <x:f>I245*G245</x:f>
        <x:v>0</x:v>
      </x:c>
      <x:c r="AD245" s="9" t="n">
        <x:f>J245*G245</x:f>
        <x:v>0</x:v>
      </x:c>
      <x:c r="AE245" s="9" t="n">
        <x:f>K245*G245</x:f>
        <x:v>28.800000000000004</x:v>
      </x:c>
      <x:c r="AF245" s="9" t="n">
        <x:f>R245*G245</x:f>
        <x:v>10.437942012320331</x:v>
      </x:c>
    </x:row>
    <x:row r="246" ht="21" customHeight="1">
      <x:c r="A246" s="1" t="str">
        <x:f>'Inventory inputs'!A246</x:f>
        <x:v>PLAS</x:v>
      </x:c>
      <x:c r="B246" s="1" t="str">
        <x:f>'Inventory inputs'!B246</x:f>
        <x:v>10</x:v>
      </x:c>
      <x:c r="C246" s="1" t="str">
        <x:f>'Inventory inputs'!C246</x:f>
        <x:v>03421RWBBLK</x:v>
      </x:c>
      <x:c r="D246" s="7" t="n">
        <x:f>'Inventory inputs'!E246</x:f>
        <x:v>46303</x:v>
      </x:c>
      <x:c r="E246" s="1" t="n">
        <x:f>'Inventory inputs'!F246</x:f>
        <x:v>3431</x:v>
      </x:c>
      <x:c r="F246" s="1" t="n">
        <x:f>'Inventory inputs'!G246</x:f>
        <x:v>382.92</x:v>
      </x:c>
      <x:c r="G246" s="1" t="n">
        <x:f>'Inventory inputs'!H246/'Inventory inputs'!J246</x:f>
        <x:v>0.0617</x:v>
      </x:c>
      <x:c r="H246" s="1" t="n">
        <x:f>IF('Inventory inputs'!I246&gt;0,'Inventory inputs'!I246*'Inventory inputs'!K246/'Inventory inputs'!J246,"n.a.")</x:f>
        <x:v>0.07217699999999999</x:v>
      </x:c>
      <x:c r="I246" s="1" t="n">
        <x:f>'Inventory inputs'!L246</x:f>
        <x:v>1431</x:v>
      </x:c>
      <x:c r="J246" s="1" t="n">
        <x:f>'Inventory inputs'!M246</x:f>
        <x:v>2000</x:v>
      </x:c>
      <x:c r="K246" s="1" t="n">
        <x:f>'Inventory inputs'!N246</x:f>
        <x:v>0</x:v>
      </x:c>
      <x:c r="L246" s="1" t="n">
        <x:f>'Inventory inputs'!O246</x:f>
        <x:v>1</x:v>
      </x:c>
      <x:c r="M246" s="9" t="n">
        <x:f>E246*G246</x:f>
        <x:v>211.6927</x:v>
      </x:c>
      <x:c r="N246" s="9" t="n">
        <x:f>'Inventory inputs'!Q246</x:f>
        <x:v>211.6927</x:v>
      </x:c>
      <x:c r="O246" s="9" t="n">
        <x:f>N246-M246</x:f>
        <x:v>0</x:v>
      </x:c>
      <x:c r="P246" s="1" t="n">
        <x:f>SUMIFS('Incoming POs'!$P$2:$P$305,'Incoming POs'!$A$2:$A$305,A246,'Incoming POs'!$B$2:$B$305,B246,'Incoming POs'!$C$2:$C$305,C246,'Incoming POs'!$G$2:$G$305,"&gt;="&amp;D246,'Incoming POs'!$G$2:$G$305,"&lt;"&amp;Dashboard!$I$5)</x:f>
        <x:v>1000</x:v>
      </x:c>
      <x:c r="Q246" s="1" t="n">
        <x:f>F246*Dashboard!$L$5*MAX(0,Dashboard!$I$5-D246)/30.4375</x:f>
        <x:v>509.5116221765914</x:v>
      </x:c>
      <x:c r="R246" s="1" t="n">
        <x:f>MAX(0,E246+P246-Q246)</x:f>
        <x:v>3921.4883778234084</x:v>
      </x:c>
      <x:c r="S246" s="1" t="n">
        <x:f>MAX(0,Q246-E246-P246)</x:f>
        <x:v>0</x:v>
      </x:c>
      <x:c r="T246" s="1" t="n">
        <x:f>IF(L246=1,MAX(0,I246+AB246-MIN(Q246,E246+P246)),"n.a.")</x:f>
        <x:v>921.4883778234087</x:v>
      </x:c>
      <x:c r="U246" s="9" t="n">
        <x:f>IF(ISNUMBER(T246),T246*G246,"n.a.")</x:f>
        <x:v>56.85583291170431</x:v>
      </x:c>
      <x:c r="V246" s="25" t="n">
        <x:f>IF(Dashboard!$I$6="Flat %",1,IF(ISNUMBER(H246),1,0))</x:f>
        <x:v>1</x:v>
      </x:c>
      <x:c r="W246" s="9" t="n">
        <x:f>IF(Dashboard!$I$6="Flat %",G246*(1+Dashboard!$L$6),H246)</x:f>
        <x:v>0.07217699999999999</x:v>
      </x:c>
      <x:c r="X246" s="9" t="n">
        <x:f>IF(V246=1,R246*(W246-G246),"n.a.")</x:f>
        <x:v>41.085433734455826</x:v>
      </x:c>
      <x:c r="Y246" s="9" t="n">
        <x:f>IF(V246=1,R246*W246,"n.a.")</x:f>
        <x:v>283.0412666461601</x:v>
      </x:c>
      <x:c r="Z246" s="1" t="n">
        <x:f>IF(ISNUMBER(T246),R246-T246,"n.a.")</x:f>
        <x:v>3000</x:v>
      </x:c>
      <x:c r="AA246" s="1" t="str">
        <x:f>'Inventory inputs'!R246</x:f>
        <x:v>Classified</x:v>
      </x:c>
      <x:c r="AB246" s="1" t="n">
        <x:f>IF(L246=1,SUMIFS('Incoming POs'!$P$2:$P$305,'Incoming POs'!$A$2:$A$305,A246,'Incoming POs'!$B$2:$B$305,B246,'Incoming POs'!$C$2:$C$305,C246,'Incoming POs'!$G$2:$G$305,"&gt;="&amp;D246,'Incoming POs'!$G$2:$G$305,"&lt;"&amp;Dashboard!$I$5,'Incoming POs'!$Q$2:$Q$305,"&lt;="&amp;('Inventory inputs'!P246/'Inventory inputs'!J246*1.01)),"n.a.")</x:f>
        <x:v>0</x:v>
      </x:c>
      <x:c r="AC246" s="9" t="n">
        <x:f>I246*G246</x:f>
        <x:v>88.2927</x:v>
      </x:c>
      <x:c r="AD246" s="9" t="n">
        <x:f>J246*G246</x:f>
        <x:v>123.39999999999999</x:v>
      </x:c>
      <x:c r="AE246" s="9" t="n">
        <x:f>K246*G246</x:f>
        <x:v>0</x:v>
      </x:c>
      <x:c r="AF246" s="9" t="n">
        <x:f>R246*G246</x:f>
        <x:v>241.9558329117043</x:v>
      </x:c>
    </x:row>
    <x:row r="247" ht="21" customHeight="1">
      <x:c r="A247" s="1" t="str">
        <x:f>'Inventory inputs'!A247</x:f>
        <x:v>PLAS</x:v>
      </x:c>
      <x:c r="B247" s="1" t="str">
        <x:f>'Inventory inputs'!B247</x:f>
        <x:v>10</x:v>
      </x:c>
      <x:c r="C247" s="1" t="str">
        <x:f>'Inventory inputs'!C247</x:f>
        <x:v>03419RWBFG</x:v>
      </x:c>
      <x:c r="D247" s="7" t="n">
        <x:f>'Inventory inputs'!E247</x:f>
        <x:v>46303</x:v>
      </x:c>
      <x:c r="E247" s="1" t="n">
        <x:f>'Inventory inputs'!F247</x:f>
        <x:v>2697</x:v>
      </x:c>
      <x:c r="F247" s="1" t="n">
        <x:f>'Inventory inputs'!G247</x:f>
        <x:v>375.58</x:v>
      </x:c>
      <x:c r="G247" s="1" t="n">
        <x:f>'Inventory inputs'!H247/'Inventory inputs'!J247</x:f>
        <x:v>0.0625</x:v>
      </x:c>
      <x:c r="H247" s="1" t="n">
        <x:f>IF('Inventory inputs'!I247&gt;0,'Inventory inputs'!I247*'Inventory inputs'!K247/'Inventory inputs'!J247,"n.a.")</x:f>
        <x:v>0.073059</x:v>
      </x:c>
      <x:c r="I247" s="1" t="n">
        <x:f>'Inventory inputs'!L247</x:f>
        <x:v>697</x:v>
      </x:c>
      <x:c r="J247" s="1" t="n">
        <x:f>'Inventory inputs'!M247</x:f>
        <x:v>2000</x:v>
      </x:c>
      <x:c r="K247" s="1" t="n">
        <x:f>'Inventory inputs'!N247</x:f>
        <x:v>0</x:v>
      </x:c>
      <x:c r="L247" s="1" t="n">
        <x:f>'Inventory inputs'!O247</x:f>
        <x:v>1</x:v>
      </x:c>
      <x:c r="M247" s="9" t="n">
        <x:f>E247*G247</x:f>
        <x:v>168.5625</x:v>
      </x:c>
      <x:c r="N247" s="9" t="n">
        <x:f>'Inventory inputs'!Q247</x:f>
        <x:v>168.5625</x:v>
      </x:c>
      <x:c r="O247" s="9" t="n">
        <x:f>N247-M247</x:f>
        <x:v>0</x:v>
      </x:c>
      <x:c r="P247" s="1" t="n">
        <x:f>SUMIFS('Incoming POs'!$P$2:$P$305,'Incoming POs'!$A$2:$A$305,A247,'Incoming POs'!$B$2:$B$305,B247,'Incoming POs'!$C$2:$C$305,C247,'Incoming POs'!$G$2:$G$305,"&gt;="&amp;D247,'Incoming POs'!$G$2:$G$305,"&lt;"&amp;Dashboard!$I$5)</x:f>
        <x:v>0</x:v>
      </x:c>
      <x:c r="Q247" s="1" t="n">
        <x:f>F247*Dashboard!$L$5*MAX(0,Dashboard!$I$5-D247)/30.4375</x:f>
        <x:v>499.7450513347022</x:v>
      </x:c>
      <x:c r="R247" s="1" t="n">
        <x:f>MAX(0,E247+P247-Q247)</x:f>
        <x:v>2197.254948665298</x:v>
      </x:c>
      <x:c r="S247" s="1" t="n">
        <x:f>MAX(0,Q247-E247-P247)</x:f>
        <x:v>0</x:v>
      </x:c>
      <x:c r="T247" s="1" t="n">
        <x:f>IF(L247=1,MAX(0,I247+AB247-MIN(Q247,E247+P247)),"n.a.")</x:f>
        <x:v>197.25494866529777</x:v>
      </x:c>
      <x:c r="U247" s="9" t="n">
        <x:f>IF(ISNUMBER(T247),T247*G247,"n.a.")</x:f>
        <x:v>12.328434291581111</x:v>
      </x:c>
      <x:c r="V247" s="25" t="n">
        <x:f>IF(Dashboard!$I$6="Flat %",1,IF(ISNUMBER(H247),1,0))</x:f>
        <x:v>1</x:v>
      </x:c>
      <x:c r="W247" s="9" t="n">
        <x:f>IF(Dashboard!$I$6="Flat %",G247*(1+Dashboard!$L$6),H247)</x:f>
        <x:v>0.073059</x:v>
      </x:c>
      <x:c r="X247" s="9" t="n">
        <x:f>IF(V247=1,R247*(W247-G247),"n.a.")</x:f>
        <x:v>23.20081500295688</x:v>
      </x:c>
      <x:c r="Y247" s="9" t="n">
        <x:f>IF(V247=1,R247*W247,"n.a.")</x:f>
        <x:v>160.529249294538</x:v>
      </x:c>
      <x:c r="Z247" s="1" t="n">
        <x:f>IF(ISNUMBER(T247),R247-T247,"n.a.")</x:f>
        <x:v>2000</x:v>
      </x:c>
      <x:c r="AA247" s="1" t="str">
        <x:f>'Inventory inputs'!R247</x:f>
        <x:v>Classified</x:v>
      </x:c>
      <x:c r="AB247" s="1" t="n">
        <x:f>IF(L247=1,SUMIFS('Incoming POs'!$P$2:$P$305,'Incoming POs'!$A$2:$A$305,A247,'Incoming POs'!$B$2:$B$305,B247,'Incoming POs'!$C$2:$C$305,C247,'Incoming POs'!$G$2:$G$305,"&gt;="&amp;D247,'Incoming POs'!$G$2:$G$305,"&lt;"&amp;Dashboard!$I$5,'Incoming POs'!$Q$2:$Q$305,"&lt;="&amp;('Inventory inputs'!P247/'Inventory inputs'!J247*1.01)),"n.a.")</x:f>
        <x:v>0</x:v>
      </x:c>
      <x:c r="AC247" s="9" t="n">
        <x:f>I247*G247</x:f>
        <x:v>43.5625</x:v>
      </x:c>
      <x:c r="AD247" s="9" t="n">
        <x:f>J247*G247</x:f>
        <x:v>125</x:v>
      </x:c>
      <x:c r="AE247" s="9" t="n">
        <x:f>K247*G247</x:f>
        <x:v>0</x:v>
      </x:c>
      <x:c r="AF247" s="9" t="n">
        <x:f>R247*G247</x:f>
        <x:v>137.32843429158112</x:v>
      </x:c>
    </x:row>
    <x:row r="248" ht="21" customHeight="1">
      <x:c r="A248" s="1" t="str">
        <x:f>'Inventory inputs'!A248</x:f>
        <x:v>PLAS</x:v>
      </x:c>
      <x:c r="B248" s="1" t="str">
        <x:f>'Inventory inputs'!B248</x:f>
        <x:v>30</x:v>
      </x:c>
      <x:c r="C248" s="1" t="str">
        <x:f>'Inventory inputs'!C248</x:f>
        <x:v>01419RWBWHT</x:v>
      </x:c>
      <x:c r="D248" s="7" t="n">
        <x:f>'Inventory inputs'!E248</x:f>
        <x:v>46303</x:v>
      </x:c>
      <x:c r="E248" s="1" t="n">
        <x:f>'Inventory inputs'!F248</x:f>
        <x:v>0</x:v>
      </x:c>
      <x:c r="F248" s="1" t="n">
        <x:f>'Inventory inputs'!G248</x:f>
        <x:v>366.67</x:v>
      </x:c>
      <x:c r="G248" s="1" t="n">
        <x:f>'Inventory inputs'!H248/'Inventory inputs'!J248</x:f>
        <x:v>0.0181</x:v>
      </x:c>
      <x:c r="H248" s="1" t="n">
        <x:f>IF('Inventory inputs'!I248&gt;0,'Inventory inputs'!I248*'Inventory inputs'!K248/'Inventory inputs'!J248,"n.a.")</x:f>
        <x:v>0.021168</x:v>
      </x:c>
      <x:c r="I248" s="1" t="n">
        <x:f>'Inventory inputs'!L248</x:f>
        <x:v>0</x:v>
      </x:c>
      <x:c r="J248" s="1" t="n">
        <x:f>'Inventory inputs'!M248</x:f>
        <x:v>0</x:v>
      </x:c>
      <x:c r="K248" s="1" t="n">
        <x:f>'Inventory inputs'!N248</x:f>
        <x:v>0</x:v>
      </x:c>
      <x:c r="L248" s="1" t="n">
        <x:f>'Inventory inputs'!O248</x:f>
        <x:v>1</x:v>
      </x:c>
      <x:c r="M248" s="9" t="n">
        <x:f>E248*G248</x:f>
        <x:v>0</x:v>
      </x:c>
      <x:c r="N248" s="9" t="n">
        <x:f>'Inventory inputs'!Q248</x:f>
        <x:v>0</x:v>
      </x:c>
      <x:c r="O248" s="9" t="n">
        <x:f>N248-M248</x:f>
        <x:v>0</x:v>
      </x:c>
      <x:c r="P248" s="1" t="n">
        <x:f>SUMIFS('Incoming POs'!$P$2:$P$305,'Incoming POs'!$A$2:$A$305,A248,'Incoming POs'!$B$2:$B$305,B248,'Incoming POs'!$C$2:$C$305,C248,'Incoming POs'!$G$2:$G$305,"&gt;="&amp;D248,'Incoming POs'!$G$2:$G$305,"&lt;"&amp;Dashboard!$I$5)</x:f>
        <x:v>0</x:v>
      </x:c>
      <x:c r="Q248" s="1" t="n">
        <x:f>F248*Dashboard!$L$5*MAX(0,Dashboard!$I$5-D248)/30.4375</x:f>
        <x:v>487.88944558521564</x:v>
      </x:c>
      <x:c r="R248" s="1" t="n">
        <x:f>MAX(0,E248+P248-Q248)</x:f>
        <x:v>0</x:v>
      </x:c>
      <x:c r="S248" s="1" t="n">
        <x:f>MAX(0,Q248-E248-P248)</x:f>
        <x:v>487.88944558521564</x:v>
      </x:c>
      <x:c r="T248" s="1" t="n">
        <x:f>IF(L248=1,MAX(0,I248+AB248-MIN(Q248,E248+P248)),"n.a.")</x:f>
        <x:v>0</x:v>
      </x:c>
      <x:c r="U248" s="9" t="n">
        <x:f>IF(ISNUMBER(T248),T248*G248,"n.a.")</x:f>
        <x:v>0</x:v>
      </x:c>
      <x:c r="V248" s="25" t="n">
        <x:f>IF(Dashboard!$I$6="Flat %",1,IF(ISNUMBER(H248),1,0))</x:f>
        <x:v>1</x:v>
      </x:c>
      <x:c r="W248" s="9" t="n">
        <x:f>IF(Dashboard!$I$6="Flat %",G248*(1+Dashboard!$L$6),H248)</x:f>
        <x:v>0.021168</x:v>
      </x:c>
      <x:c r="X248" s="9" t="n">
        <x:f>IF(V248=1,R248*(W248-G248),"n.a.")</x:f>
        <x:v>0</x:v>
      </x:c>
      <x:c r="Y248" s="9" t="n">
        <x:f>IF(V248=1,R248*W248,"n.a.")</x:f>
        <x:v>0</x:v>
      </x:c>
      <x:c r="Z248" s="1" t="n">
        <x:f>IF(ISNUMBER(T248),R248-T248,"n.a.")</x:f>
        <x:v>0</x:v>
      </x:c>
      <x:c r="AA248" s="1" t="str">
        <x:f>'Inventory inputs'!R248</x:f>
        <x:v>Classified</x:v>
      </x:c>
      <x:c r="AB248" s="1" t="n">
        <x:f>IF(L248=1,SUMIFS('Incoming POs'!$P$2:$P$305,'Incoming POs'!$A$2:$A$305,A248,'Incoming POs'!$B$2:$B$305,B248,'Incoming POs'!$C$2:$C$305,C248,'Incoming POs'!$G$2:$G$305,"&gt;="&amp;D248,'Incoming POs'!$G$2:$G$305,"&lt;"&amp;Dashboard!$I$5,'Incoming POs'!$Q$2:$Q$305,"&lt;="&amp;('Inventory inputs'!P248/'Inventory inputs'!J248*1.01)),"n.a.")</x:f>
        <x:v>0</x:v>
      </x:c>
      <x:c r="AC248" s="9" t="n">
        <x:f>I248*G248</x:f>
        <x:v>0</x:v>
      </x:c>
      <x:c r="AD248" s="9" t="n">
        <x:f>J248*G248</x:f>
        <x:v>0</x:v>
      </x:c>
      <x:c r="AE248" s="9" t="n">
        <x:f>K248*G248</x:f>
        <x:v>0</x:v>
      </x:c>
      <x:c r="AF248" s="9" t="n">
        <x:f>R248*G248</x:f>
        <x:v>0</x:v>
      </x:c>
    </x:row>
    <x:row r="249" ht="21" customHeight="1">
      <x:c r="A249" s="1" t="str">
        <x:f>'Inventory inputs'!A249</x:f>
        <x:v>PLAS</x:v>
      </x:c>
      <x:c r="B249" s="1" t="str">
        <x:f>'Inventory inputs'!B249</x:f>
        <x:v>60</x:v>
      </x:c>
      <x:c r="C249" s="1" t="str">
        <x:f>'Inventory inputs'!C249</x:f>
        <x:v>00119RWBWHT</x:v>
      </x:c>
      <x:c r="D249" s="7" t="n">
        <x:f>'Inventory inputs'!E249</x:f>
        <x:v>46303</x:v>
      </x:c>
      <x:c r="E249" s="1" t="n">
        <x:f>'Inventory inputs'!F249</x:f>
        <x:v>750</x:v>
      </x:c>
      <x:c r="F249" s="1" t="n">
        <x:f>'Inventory inputs'!G249</x:f>
        <x:v>366.67</x:v>
      </x:c>
      <x:c r="G249" s="1" t="n">
        <x:f>'Inventory inputs'!H249/'Inventory inputs'!J249</x:f>
        <x:v>0.1054</x:v>
      </x:c>
      <x:c r="H249" s="1" t="n">
        <x:f>IF('Inventory inputs'!I249&gt;0,'Inventory inputs'!I249*'Inventory inputs'!K249/'Inventory inputs'!J249,"n.a.")</x:f>
        <x:v>0.12333300000000001</x:v>
      </x:c>
      <x:c r="I249" s="1" t="n">
        <x:f>'Inventory inputs'!L249</x:f>
        <x:v>0</x:v>
      </x:c>
      <x:c r="J249" s="1" t="n">
        <x:f>'Inventory inputs'!M249</x:f>
        <x:v>0</x:v>
      </x:c>
      <x:c r="K249" s="1" t="n">
        <x:f>'Inventory inputs'!N249</x:f>
        <x:v>750</x:v>
      </x:c>
      <x:c r="L249" s="1" t="n">
        <x:f>'Inventory inputs'!O249</x:f>
        <x:v>0</x:v>
      </x:c>
      <x:c r="M249" s="9" t="n">
        <x:f>E249*G249</x:f>
        <x:v>79.05</x:v>
      </x:c>
      <x:c r="N249" s="9" t="n">
        <x:f>'Inventory inputs'!Q249</x:f>
        <x:v>79.05</x:v>
      </x:c>
      <x:c r="O249" s="9" t="n">
        <x:f>N249-M249</x:f>
        <x:v>0</x:v>
      </x:c>
      <x:c r="P249" s="1" t="n">
        <x:f>SUMIFS('Incoming POs'!$P$2:$P$305,'Incoming POs'!$A$2:$A$305,A249,'Incoming POs'!$B$2:$B$305,B249,'Incoming POs'!$C$2:$C$305,C249,'Incoming POs'!$G$2:$G$305,"&gt;="&amp;D249,'Incoming POs'!$G$2:$G$305,"&lt;"&amp;Dashboard!$I$5)</x:f>
        <x:v>0</x:v>
      </x:c>
      <x:c r="Q249" s="1" t="n">
        <x:f>F249*Dashboard!$L$5*MAX(0,Dashboard!$I$5-D249)/30.4375</x:f>
        <x:v>487.88944558521564</x:v>
      </x:c>
      <x:c r="R249" s="1" t="n">
        <x:f>MAX(0,E249+P249-Q249)</x:f>
        <x:v>262.11055441478436</x:v>
      </x:c>
      <x:c r="S249" s="1" t="n">
        <x:f>MAX(0,Q249-E249-P249)</x:f>
        <x:v>0</x:v>
      </x:c>
      <x:c r="T249" s="1" t="str">
        <x:f>IF(L249=1,MAX(0,I249+AB249-MIN(Q249,E249+P249)),"n.a.")</x:f>
        <x:v>n.a.</x:v>
      </x:c>
      <x:c r="U249" s="9" t="str">
        <x:f>IF(ISNUMBER(T249),T249*G249,"n.a.")</x:f>
        <x:v>n.a.</x:v>
      </x:c>
      <x:c r="V249" s="25" t="n">
        <x:f>IF(Dashboard!$I$6="Flat %",1,IF(ISNUMBER(H249),1,0))</x:f>
        <x:v>1</x:v>
      </x:c>
      <x:c r="W249" s="9" t="n">
        <x:f>IF(Dashboard!$I$6="Flat %",G249*(1+Dashboard!$L$6),H249)</x:f>
        <x:v>0.12333300000000001</x:v>
      </x:c>
      <x:c r="X249" s="9" t="n">
        <x:f>IF(V249=1,R249*(W249-G249),"n.a.")</x:f>
        <x:v>4.700428572320333</x:v>
      </x:c>
      <x:c r="Y249" s="9" t="n">
        <x:f>IF(V249=1,R249*W249,"n.a.")</x:f>
        <x:v>32.326881007638605</x:v>
      </x:c>
      <x:c r="Z249" s="1" t="str">
        <x:f>IF(ISNUMBER(T249),R249-T249,"n.a.")</x:f>
        <x:v>n.a.</x:v>
      </x:c>
      <x:c r="AA249" s="1" t="str">
        <x:f>'Inventory inputs'!R249</x:f>
        <x:v>Review receipt reconciliation or original PO baseline</x:v>
      </x:c>
      <x:c r="AB249" s="1" t="str">
        <x:f>IF(L249=1,SUMIFS('Incoming POs'!$P$2:$P$305,'Incoming POs'!$A$2:$A$305,A249,'Incoming POs'!$B$2:$B$305,B249,'Incoming POs'!$C$2:$C$305,C249,'Incoming POs'!$G$2:$G$305,"&gt;="&amp;D249,'Incoming POs'!$G$2:$G$305,"&lt;"&amp;Dashboard!$I$5,'Incoming POs'!$Q$2:$Q$305,"&lt;="&amp;('Inventory inputs'!P249/'Inventory inputs'!J249*1.01)),"n.a.")</x:f>
        <x:v>n.a.</x:v>
      </x:c>
      <x:c r="AC249" s="9" t="n">
        <x:f>I249*G249</x:f>
        <x:v>0</x:v>
      </x:c>
      <x:c r="AD249" s="9" t="n">
        <x:f>J249*G249</x:f>
        <x:v>0</x:v>
      </x:c>
      <x:c r="AE249" s="9" t="n">
        <x:f>K249*G249</x:f>
        <x:v>79.05</x:v>
      </x:c>
      <x:c r="AF249" s="9" t="n">
        <x:f>R249*G249</x:f>
        <x:v>27.62645243531827</x:v>
      </x:c>
    </x:row>
    <x:row r="250" ht="21" customHeight="1">
      <x:c r="A250" s="1" t="str">
        <x:f>'Inventory inputs'!A250</x:f>
        <x:v>PLAS</x:v>
      </x:c>
      <x:c r="B250" s="1" t="str">
        <x:f>'Inventory inputs'!B250</x:f>
        <x:v>60</x:v>
      </x:c>
      <x:c r="C250" s="1" t="str">
        <x:f>'Inventory inputs'!C250</x:f>
        <x:v>03819RWBBLU</x:v>
      </x:c>
      <x:c r="D250" s="7" t="n">
        <x:f>'Inventory inputs'!E250</x:f>
        <x:v>46303</x:v>
      </x:c>
      <x:c r="E250" s="1" t="n">
        <x:f>'Inventory inputs'!F250</x:f>
        <x:v>600</x:v>
      </x:c>
      <x:c r="F250" s="1" t="n">
        <x:f>'Inventory inputs'!G250</x:f>
        <x:v>366.67</x:v>
      </x:c>
      <x:c r="G250" s="1" t="n">
        <x:f>'Inventory inputs'!H250/'Inventory inputs'!J250</x:f>
        <x:v>0.0248</x:v>
      </x:c>
      <x:c r="H250" s="1" t="n">
        <x:f>IF('Inventory inputs'!I250&gt;0,'Inventory inputs'!I250*'Inventory inputs'!K250/'Inventory inputs'!J250,"n.a.")</x:f>
        <x:v>0.029106</x:v>
      </x:c>
      <x:c r="I250" s="1" t="n">
        <x:f>'Inventory inputs'!L250</x:f>
        <x:v>0</x:v>
      </x:c>
      <x:c r="J250" s="1" t="n">
        <x:f>'Inventory inputs'!M250</x:f>
        <x:v>0</x:v>
      </x:c>
      <x:c r="K250" s="1" t="n">
        <x:f>'Inventory inputs'!N250</x:f>
        <x:v>600</x:v>
      </x:c>
      <x:c r="L250" s="1" t="n">
        <x:f>'Inventory inputs'!O250</x:f>
        <x:v>0</x:v>
      </x:c>
      <x:c r="M250" s="9" t="n">
        <x:f>E250*G250</x:f>
        <x:v>14.879999999999999</x:v>
      </x:c>
      <x:c r="N250" s="9" t="n">
        <x:f>'Inventory inputs'!Q250</x:f>
        <x:v>14.88</x:v>
      </x:c>
      <x:c r="O250" s="9" t="n">
        <x:f>N250-M250</x:f>
        <x:v>1.7763568394002505e-15</x:v>
      </x:c>
      <x:c r="P250" s="1" t="n">
        <x:f>SUMIFS('Incoming POs'!$P$2:$P$305,'Incoming POs'!$A$2:$A$305,A250,'Incoming POs'!$B$2:$B$305,B250,'Incoming POs'!$C$2:$C$305,C250,'Incoming POs'!$G$2:$G$305,"&gt;="&amp;D250,'Incoming POs'!$G$2:$G$305,"&lt;"&amp;Dashboard!$I$5)</x:f>
        <x:v>0</x:v>
      </x:c>
      <x:c r="Q250" s="1" t="n">
        <x:f>F250*Dashboard!$L$5*MAX(0,Dashboard!$I$5-D250)/30.4375</x:f>
        <x:v>487.88944558521564</x:v>
      </x:c>
      <x:c r="R250" s="1" t="n">
        <x:f>MAX(0,E250+P250-Q250)</x:f>
        <x:v>112.11055441478436</x:v>
      </x:c>
      <x:c r="S250" s="1" t="n">
        <x:f>MAX(0,Q250-E250-P250)</x:f>
        <x:v>0</x:v>
      </x:c>
      <x:c r="T250" s="1" t="str">
        <x:f>IF(L250=1,MAX(0,I250+AB250-MIN(Q250,E250+P250)),"n.a.")</x:f>
        <x:v>n.a.</x:v>
      </x:c>
      <x:c r="U250" s="9" t="str">
        <x:f>IF(ISNUMBER(T250),T250*G250,"n.a.")</x:f>
        <x:v>n.a.</x:v>
      </x:c>
      <x:c r="V250" s="25" t="n">
        <x:f>IF(Dashboard!$I$6="Flat %",1,IF(ISNUMBER(H250),1,0))</x:f>
        <x:v>1</x:v>
      </x:c>
      <x:c r="W250" s="9" t="n">
        <x:f>IF(Dashboard!$I$6="Flat %",G250*(1+Dashboard!$L$6),H250)</x:f>
        <x:v>0.029106</x:v>
      </x:c>
      <x:c r="X250" s="9" t="n">
        <x:f>IF(V250=1,R250*(W250-G250),"n.a.")</x:f>
        <x:v>0.48274804731006155</x:v>
      </x:c>
      <x:c r="Y250" s="9" t="n">
        <x:f>IF(V250=1,R250*W250,"n.a.")</x:f>
        <x:v>3.2630897967967134</x:v>
      </x:c>
      <x:c r="Z250" s="1" t="str">
        <x:f>IF(ISNUMBER(T250),R250-T250,"n.a.")</x:f>
        <x:v>n.a.</x:v>
      </x:c>
      <x:c r="AA250" s="1" t="str">
        <x:f>'Inventory inputs'!R250</x:f>
        <x:v>Review receipt reconciliation or original PO baseline</x:v>
      </x:c>
      <x:c r="AB250" s="1" t="str">
        <x:f>IF(L250=1,SUMIFS('Incoming POs'!$P$2:$P$305,'Incoming POs'!$A$2:$A$305,A250,'Incoming POs'!$B$2:$B$305,B250,'Incoming POs'!$C$2:$C$305,C250,'Incoming POs'!$G$2:$G$305,"&gt;="&amp;D250,'Incoming POs'!$G$2:$G$305,"&lt;"&amp;Dashboard!$I$5,'Incoming POs'!$Q$2:$Q$305,"&lt;="&amp;('Inventory inputs'!P250/'Inventory inputs'!J250*1.01)),"n.a.")</x:f>
        <x:v>n.a.</x:v>
      </x:c>
      <x:c r="AC250" s="9" t="n">
        <x:f>I250*G250</x:f>
        <x:v>0</x:v>
      </x:c>
      <x:c r="AD250" s="9" t="n">
        <x:f>J250*G250</x:f>
        <x:v>0</x:v>
      </x:c>
      <x:c r="AE250" s="9" t="n">
        <x:f>K250*G250</x:f>
        <x:v>14.879999999999999</x:v>
      </x:c>
      <x:c r="AF250" s="9" t="n">
        <x:f>R250*G250</x:f>
        <x:v>2.7803417494866522</x:v>
      </x:c>
    </x:row>
    <x:row r="251" ht="21" customHeight="1">
      <x:c r="A251" s="1" t="str">
        <x:f>'Inventory inputs'!A251</x:f>
        <x:v>PLAS</x:v>
      </x:c>
      <x:c r="B251" s="1" t="str">
        <x:f>'Inventory inputs'!B251</x:f>
        <x:v>10</x:v>
      </x:c>
      <x:c r="C251" s="1" t="str">
        <x:f>'Inventory inputs'!C251</x:f>
        <x:v>03815RWBMAR</x:v>
      </x:c>
      <x:c r="D251" s="7" t="n">
        <x:f>'Inventory inputs'!E251</x:f>
        <x:v>46303</x:v>
      </x:c>
      <x:c r="E251" s="1" t="n">
        <x:f>'Inventory inputs'!F251</x:f>
        <x:v>13800</x:v>
      </x:c>
      <x:c r="F251" s="1" t="n">
        <x:f>'Inventory inputs'!G251</x:f>
        <x:v>350</x:v>
      </x:c>
      <x:c r="G251" s="1" t="n">
        <x:f>'Inventory inputs'!H251/'Inventory inputs'!J251</x:f>
        <x:v>0.016200000000000003</x:v>
      </x:c>
      <x:c r="H251" s="1" t="n">
        <x:f>IF('Inventory inputs'!I251&gt;0,'Inventory inputs'!I251*'Inventory inputs'!K251/'Inventory inputs'!J251,"n.a.")</x:f>
        <x:v>0.018963</x:v>
      </x:c>
      <x:c r="I251" s="1" t="n">
        <x:f>'Inventory inputs'!L251</x:f>
        <x:v>11800</x:v>
      </x:c>
      <x:c r="J251" s="1" t="n">
        <x:f>'Inventory inputs'!M251</x:f>
        <x:v>2000</x:v>
      </x:c>
      <x:c r="K251" s="1" t="n">
        <x:f>'Inventory inputs'!N251</x:f>
        <x:v>0</x:v>
      </x:c>
      <x:c r="L251" s="1" t="n">
        <x:f>'Inventory inputs'!O251</x:f>
        <x:v>1</x:v>
      </x:c>
      <x:c r="M251" s="9" t="n">
        <x:f>E251*G251</x:f>
        <x:v>223.56000000000003</x:v>
      </x:c>
      <x:c r="N251" s="9" t="n">
        <x:f>'Inventory inputs'!Q251</x:f>
        <x:v>223.56</x:v>
      </x:c>
      <x:c r="O251" s="9" t="n">
        <x:f>N251-M251</x:f>
        <x:v>-2.842170943040401e-14</x:v>
      </x:c>
      <x:c r="P251" s="1" t="n">
        <x:f>SUMIFS('Incoming POs'!$P$2:$P$305,'Incoming POs'!$A$2:$A$305,A251,'Incoming POs'!$B$2:$B$305,B251,'Incoming POs'!$C$2:$C$305,C251,'Incoming POs'!$G$2:$G$305,"&gt;="&amp;D251,'Incoming POs'!$G$2:$G$305,"&lt;"&amp;Dashboard!$I$5)</x:f>
        <x:v>0</x:v>
      </x:c>
      <x:c r="Q251" s="1" t="n">
        <x:f>F251*Dashboard!$L$5*MAX(0,Dashboard!$I$5-D251)/30.4375</x:f>
        <x:v>465.7084188911704</x:v>
      </x:c>
      <x:c r="R251" s="1" t="n">
        <x:f>MAX(0,E251+P251-Q251)</x:f>
        <x:v>13334.29158110883</x:v>
      </x:c>
      <x:c r="S251" s="1" t="n">
        <x:f>MAX(0,Q251-E251-P251)</x:f>
        <x:v>0</x:v>
      </x:c>
      <x:c r="T251" s="1" t="n">
        <x:f>IF(L251=1,MAX(0,I251+AB251-MIN(Q251,E251+P251)),"n.a.")</x:f>
        <x:v>11334.29158110883</x:v>
      </x:c>
      <x:c r="U251" s="9" t="n">
        <x:f>IF(ISNUMBER(T251),T251*G251,"n.a.")</x:f>
        <x:v>183.61552361396306</x:v>
      </x:c>
      <x:c r="V251" s="25" t="n">
        <x:f>IF(Dashboard!$I$6="Flat %",1,IF(ISNUMBER(H251),1,0))</x:f>
        <x:v>1</x:v>
      </x:c>
      <x:c r="W251" s="9" t="n">
        <x:f>IF(Dashboard!$I$6="Flat %",G251*(1+Dashboard!$L$6),H251)</x:f>
        <x:v>0.018963</x:v>
      </x:c>
      <x:c r="X251" s="9" t="n">
        <x:f>IF(V251=1,R251*(W251-G251),"n.a.")</x:f>
        <x:v>36.84264763860367</x:v>
      </x:c>
      <x:c r="Y251" s="9" t="n">
        <x:f>IF(V251=1,R251*W251,"n.a.")</x:f>
        <x:v>252.85817125256673</x:v>
      </x:c>
      <x:c r="Z251" s="1" t="n">
        <x:f>IF(ISNUMBER(T251),R251-T251,"n.a.")</x:f>
        <x:v>2000</x:v>
      </x:c>
      <x:c r="AA251" s="1" t="str">
        <x:f>'Inventory inputs'!R251</x:f>
        <x:v>Classified</x:v>
      </x:c>
      <x:c r="AB251" s="1" t="n">
        <x:f>IF(L251=1,SUMIFS('Incoming POs'!$P$2:$P$305,'Incoming POs'!$A$2:$A$305,A251,'Incoming POs'!$B$2:$B$305,B251,'Incoming POs'!$C$2:$C$305,C251,'Incoming POs'!$G$2:$G$305,"&gt;="&amp;D251,'Incoming POs'!$G$2:$G$305,"&lt;"&amp;Dashboard!$I$5,'Incoming POs'!$Q$2:$Q$305,"&lt;="&amp;('Inventory inputs'!P251/'Inventory inputs'!J251*1.01)),"n.a.")</x:f>
        <x:v>0</x:v>
      </x:c>
      <x:c r="AC251" s="9" t="n">
        <x:f>I251*G251</x:f>
        <x:v>191.16000000000003</x:v>
      </x:c>
      <x:c r="AD251" s="9" t="n">
        <x:f>J251*G251</x:f>
        <x:v>32.400000000000006</x:v>
      </x:c>
      <x:c r="AE251" s="9" t="n">
        <x:f>K251*G251</x:f>
        <x:v>0</x:v>
      </x:c>
      <x:c r="AF251" s="9" t="n">
        <x:f>R251*G251</x:f>
        <x:v>216.01552361396307</x:v>
      </x:c>
    </x:row>
    <x:row r="252" ht="21" customHeight="1">
      <x:c r="A252" s="1" t="str">
        <x:f>'Inventory inputs'!A252</x:f>
        <x:v>PLAS</x:v>
      </x:c>
      <x:c r="B252" s="1" t="str">
        <x:f>'Inventory inputs'!B252</x:f>
        <x:v>30</x:v>
      </x:c>
      <x:c r="C252" s="1" t="str">
        <x:f>'Inventory inputs'!C252</x:f>
        <x:v>00119RWBWHT</x:v>
      </x:c>
      <x:c r="D252" s="7" t="n">
        <x:f>'Inventory inputs'!E252</x:f>
        <x:v>46303</x:v>
      </x:c>
      <x:c r="E252" s="1" t="n">
        <x:f>'Inventory inputs'!F252</x:f>
        <x:v>0</x:v>
      </x:c>
      <x:c r="F252" s="1" t="n">
        <x:f>'Inventory inputs'!G252</x:f>
        <x:v>350</x:v>
      </x:c>
      <x:c r="G252" s="1" t="n">
        <x:f>'Inventory inputs'!H252/'Inventory inputs'!J252</x:f>
        <x:v>0.1054</x:v>
      </x:c>
      <x:c r="H252" s="1" t="n">
        <x:f>IF('Inventory inputs'!I252&gt;0,'Inventory inputs'!I252*'Inventory inputs'!K252/'Inventory inputs'!J252,"n.a.")</x:f>
        <x:v>0.12333300000000001</x:v>
      </x:c>
      <x:c r="I252" s="1" t="n">
        <x:f>'Inventory inputs'!L252</x:f>
        <x:v>0</x:v>
      </x:c>
      <x:c r="J252" s="1" t="n">
        <x:f>'Inventory inputs'!M252</x:f>
        <x:v>0</x:v>
      </x:c>
      <x:c r="K252" s="1" t="n">
        <x:f>'Inventory inputs'!N252</x:f>
        <x:v>0</x:v>
      </x:c>
      <x:c r="L252" s="1" t="n">
        <x:f>'Inventory inputs'!O252</x:f>
        <x:v>1</x:v>
      </x:c>
      <x:c r="M252" s="9" t="n">
        <x:f>E252*G252</x:f>
        <x:v>0</x:v>
      </x:c>
      <x:c r="N252" s="9" t="n">
        <x:f>'Inventory inputs'!Q252</x:f>
        <x:v>0</x:v>
      </x:c>
      <x:c r="O252" s="9" t="n">
        <x:f>N252-M252</x:f>
        <x:v>0</x:v>
      </x:c>
      <x:c r="P252" s="1" t="n">
        <x:f>SUMIFS('Incoming POs'!$P$2:$P$305,'Incoming POs'!$A$2:$A$305,A252,'Incoming POs'!$B$2:$B$305,B252,'Incoming POs'!$C$2:$C$305,C252,'Incoming POs'!$G$2:$G$305,"&gt;="&amp;D252,'Incoming POs'!$G$2:$G$305,"&lt;"&amp;Dashboard!$I$5)</x:f>
        <x:v>0</x:v>
      </x:c>
      <x:c r="Q252" s="1" t="n">
        <x:f>F252*Dashboard!$L$5*MAX(0,Dashboard!$I$5-D252)/30.4375</x:f>
        <x:v>465.7084188911704</x:v>
      </x:c>
      <x:c r="R252" s="1" t="n">
        <x:f>MAX(0,E252+P252-Q252)</x:f>
        <x:v>0</x:v>
      </x:c>
      <x:c r="S252" s="1" t="n">
        <x:f>MAX(0,Q252-E252-P252)</x:f>
        <x:v>465.7084188911704</x:v>
      </x:c>
      <x:c r="T252" s="1" t="n">
        <x:f>IF(L252=1,MAX(0,I252+AB252-MIN(Q252,E252+P252)),"n.a.")</x:f>
        <x:v>0</x:v>
      </x:c>
      <x:c r="U252" s="9" t="n">
        <x:f>IF(ISNUMBER(T252),T252*G252,"n.a.")</x:f>
        <x:v>0</x:v>
      </x:c>
      <x:c r="V252" s="25" t="n">
        <x:f>IF(Dashboard!$I$6="Flat %",1,IF(ISNUMBER(H252),1,0))</x:f>
        <x:v>1</x:v>
      </x:c>
      <x:c r="W252" s="9" t="n">
        <x:f>IF(Dashboard!$I$6="Flat %",G252*(1+Dashboard!$L$6),H252)</x:f>
        <x:v>0.12333300000000001</x:v>
      </x:c>
      <x:c r="X252" s="9" t="n">
        <x:f>IF(V252=1,R252*(W252-G252),"n.a.")</x:f>
        <x:v>0</x:v>
      </x:c>
      <x:c r="Y252" s="9" t="n">
        <x:f>IF(V252=1,R252*W252,"n.a.")</x:f>
        <x:v>0</x:v>
      </x:c>
      <x:c r="Z252" s="1" t="n">
        <x:f>IF(ISNUMBER(T252),R252-T252,"n.a.")</x:f>
        <x:v>0</x:v>
      </x:c>
      <x:c r="AA252" s="1" t="str">
        <x:f>'Inventory inputs'!R252</x:f>
        <x:v>Classified</x:v>
      </x:c>
      <x:c r="AB252" s="1" t="n">
        <x:f>IF(L252=1,SUMIFS('Incoming POs'!$P$2:$P$305,'Incoming POs'!$A$2:$A$305,A252,'Incoming POs'!$B$2:$B$305,B252,'Incoming POs'!$C$2:$C$305,C252,'Incoming POs'!$G$2:$G$305,"&gt;="&amp;D252,'Incoming POs'!$G$2:$G$305,"&lt;"&amp;Dashboard!$I$5,'Incoming POs'!$Q$2:$Q$305,"&lt;="&amp;('Inventory inputs'!P252/'Inventory inputs'!J252*1.01)),"n.a.")</x:f>
        <x:v>0</x:v>
      </x:c>
      <x:c r="AC252" s="9" t="n">
        <x:f>I252*G252</x:f>
        <x:v>0</x:v>
      </x:c>
      <x:c r="AD252" s="9" t="n">
        <x:f>J252*G252</x:f>
        <x:v>0</x:v>
      </x:c>
      <x:c r="AE252" s="9" t="n">
        <x:f>K252*G252</x:f>
        <x:v>0</x:v>
      </x:c>
      <x:c r="AF252" s="9" t="n">
        <x:f>R252*G252</x:f>
        <x:v>0</x:v>
      </x:c>
    </x:row>
    <x:row r="253" ht="21" customHeight="1">
      <x:c r="A253" s="1" t="str">
        <x:f>'Inventory inputs'!A253</x:f>
        <x:v>PLAS</x:v>
      </x:c>
      <x:c r="B253" s="1" t="str">
        <x:f>'Inventory inputs'!B253</x:f>
        <x:v>30</x:v>
      </x:c>
      <x:c r="C253" s="1" t="str">
        <x:f>'Inventory inputs'!C253</x:f>
        <x:v>01219RWBNAV</x:v>
      </x:c>
      <x:c r="D253" s="7" t="n">
        <x:f>'Inventory inputs'!E253</x:f>
        <x:v>46303</x:v>
      </x:c>
      <x:c r="E253" s="1" t="n">
        <x:f>'Inventory inputs'!F253</x:f>
        <x:v>0</x:v>
      </x:c>
      <x:c r="F253" s="1" t="n">
        <x:f>'Inventory inputs'!G253</x:f>
        <x:v>350</x:v>
      </x:c>
      <x:c r="G253" s="1" t="n">
        <x:f>'Inventory inputs'!H253/'Inventory inputs'!J253</x:f>
        <x:v>0.036000000000000004</x:v>
      </x:c>
      <x:c r="H253" s="1" t="n">
        <x:f>IF('Inventory inputs'!I253&gt;0,'Inventory inputs'!I253*'Inventory inputs'!K253/'Inventory inputs'!J253,"n.a.")</x:f>
        <x:v>0.042189</x:v>
      </x:c>
      <x:c r="I253" s="1" t="n">
        <x:f>'Inventory inputs'!L253</x:f>
        <x:v>0</x:v>
      </x:c>
      <x:c r="J253" s="1" t="n">
        <x:f>'Inventory inputs'!M253</x:f>
        <x:v>0</x:v>
      </x:c>
      <x:c r="K253" s="1" t="n">
        <x:f>'Inventory inputs'!N253</x:f>
        <x:v>0</x:v>
      </x:c>
      <x:c r="L253" s="1" t="n">
        <x:f>'Inventory inputs'!O253</x:f>
        <x:v>1</x:v>
      </x:c>
      <x:c r="M253" s="9" t="n">
        <x:f>E253*G253</x:f>
        <x:v>0</x:v>
      </x:c>
      <x:c r="N253" s="9" t="n">
        <x:f>'Inventory inputs'!Q253</x:f>
        <x:v>0</x:v>
      </x:c>
      <x:c r="O253" s="9" t="n">
        <x:f>N253-M253</x:f>
        <x:v>0</x:v>
      </x:c>
      <x:c r="P253" s="1" t="n">
        <x:f>SUMIFS('Incoming POs'!$P$2:$P$305,'Incoming POs'!$A$2:$A$305,A253,'Incoming POs'!$B$2:$B$305,B253,'Incoming POs'!$C$2:$C$305,C253,'Incoming POs'!$G$2:$G$305,"&gt;="&amp;D253,'Incoming POs'!$G$2:$G$305,"&lt;"&amp;Dashboard!$I$5)</x:f>
        <x:v>0</x:v>
      </x:c>
      <x:c r="Q253" s="1" t="n">
        <x:f>F253*Dashboard!$L$5*MAX(0,Dashboard!$I$5-D253)/30.4375</x:f>
        <x:v>465.7084188911704</x:v>
      </x:c>
      <x:c r="R253" s="1" t="n">
        <x:f>MAX(0,E253+P253-Q253)</x:f>
        <x:v>0</x:v>
      </x:c>
      <x:c r="S253" s="1" t="n">
        <x:f>MAX(0,Q253-E253-P253)</x:f>
        <x:v>465.7084188911704</x:v>
      </x:c>
      <x:c r="T253" s="1" t="n">
        <x:f>IF(L253=1,MAX(0,I253+AB253-MIN(Q253,E253+P253)),"n.a.")</x:f>
        <x:v>0</x:v>
      </x:c>
      <x:c r="U253" s="9" t="n">
        <x:f>IF(ISNUMBER(T253),T253*G253,"n.a.")</x:f>
        <x:v>0</x:v>
      </x:c>
      <x:c r="V253" s="25" t="n">
        <x:f>IF(Dashboard!$I$6="Flat %",1,IF(ISNUMBER(H253),1,0))</x:f>
        <x:v>1</x:v>
      </x:c>
      <x:c r="W253" s="9" t="n">
        <x:f>IF(Dashboard!$I$6="Flat %",G253*(1+Dashboard!$L$6),H253)</x:f>
        <x:v>0.042189</x:v>
      </x:c>
      <x:c r="X253" s="9" t="n">
        <x:f>IF(V253=1,R253*(W253-G253),"n.a.")</x:f>
        <x:v>0</x:v>
      </x:c>
      <x:c r="Y253" s="9" t="n">
        <x:f>IF(V253=1,R253*W253,"n.a.")</x:f>
        <x:v>0</x:v>
      </x:c>
      <x:c r="Z253" s="1" t="n">
        <x:f>IF(ISNUMBER(T253),R253-T253,"n.a.")</x:f>
        <x:v>0</x:v>
      </x:c>
      <x:c r="AA253" s="1" t="str">
        <x:f>'Inventory inputs'!R253</x:f>
        <x:v>Classified</x:v>
      </x:c>
      <x:c r="AB253" s="1" t="n">
        <x:f>IF(L253=1,SUMIFS('Incoming POs'!$P$2:$P$305,'Incoming POs'!$A$2:$A$305,A253,'Incoming POs'!$B$2:$B$305,B253,'Incoming POs'!$C$2:$C$305,C253,'Incoming POs'!$G$2:$G$305,"&gt;="&amp;D253,'Incoming POs'!$G$2:$G$305,"&lt;"&amp;Dashboard!$I$5,'Incoming POs'!$Q$2:$Q$305,"&lt;="&amp;('Inventory inputs'!P253/'Inventory inputs'!J253*1.01)),"n.a.")</x:f>
        <x:v>0</x:v>
      </x:c>
      <x:c r="AC253" s="9" t="n">
        <x:f>I253*G253</x:f>
        <x:v>0</x:v>
      </x:c>
      <x:c r="AD253" s="9" t="n">
        <x:f>J253*G253</x:f>
        <x:v>0</x:v>
      </x:c>
      <x:c r="AE253" s="9" t="n">
        <x:f>K253*G253</x:f>
        <x:v>0</x:v>
      </x:c>
      <x:c r="AF253" s="9" t="n">
        <x:f>R253*G253</x:f>
        <x:v>0</x:v>
      </x:c>
    </x:row>
    <x:row r="254" ht="21" customHeight="1">
      <x:c r="A254" s="1" t="str">
        <x:f>'Inventory inputs'!A254</x:f>
        <x:v>PLAS</x:v>
      </x:c>
      <x:c r="B254" s="1" t="str">
        <x:f>'Inventory inputs'!B254</x:f>
        <x:v>60</x:v>
      </x:c>
      <x:c r="C254" s="1" t="str">
        <x:f>'Inventory inputs'!C254</x:f>
        <x:v>71619RWBMAR</x:v>
      </x:c>
      <x:c r="D254" s="7" t="n">
        <x:f>'Inventory inputs'!E254</x:f>
        <x:v>46303</x:v>
      </x:c>
      <x:c r="E254" s="1" t="n">
        <x:f>'Inventory inputs'!F254</x:f>
        <x:v>1800</x:v>
      </x:c>
      <x:c r="F254" s="1" t="n">
        <x:f>'Inventory inputs'!G254</x:f>
        <x:v>350</x:v>
      </x:c>
      <x:c r="G254" s="1" t="n">
        <x:f>'Inventory inputs'!H254/'Inventory inputs'!J254</x:f>
        <x:v>0.0315</x:v>
      </x:c>
      <x:c r="H254" s="1" t="n">
        <x:f>IF('Inventory inputs'!I254&gt;0,'Inventory inputs'!I254*'Inventory inputs'!K254/'Inventory inputs'!J254,"n.a.")</x:f>
        <x:v>0.03675</x:v>
      </x:c>
      <x:c r="I254" s="1" t="n">
        <x:f>'Inventory inputs'!L254</x:f>
        <x:v>0</x:v>
      </x:c>
      <x:c r="J254" s="1" t="n">
        <x:f>'Inventory inputs'!M254</x:f>
        <x:v>0</x:v>
      </x:c>
      <x:c r="K254" s="1" t="n">
        <x:f>'Inventory inputs'!N254</x:f>
        <x:v>1800</x:v>
      </x:c>
      <x:c r="L254" s="1" t="n">
        <x:f>'Inventory inputs'!O254</x:f>
        <x:v>0</x:v>
      </x:c>
      <x:c r="M254" s="9" t="n">
        <x:f>E254*G254</x:f>
        <x:v>56.7</x:v>
      </x:c>
      <x:c r="N254" s="9" t="n">
        <x:f>'Inventory inputs'!Q254</x:f>
        <x:v>56.7</x:v>
      </x:c>
      <x:c r="O254" s="9" t="n">
        <x:f>N254-M254</x:f>
        <x:v>0</x:v>
      </x:c>
      <x:c r="P254" s="1" t="n">
        <x:f>SUMIFS('Incoming POs'!$P$2:$P$305,'Incoming POs'!$A$2:$A$305,A254,'Incoming POs'!$B$2:$B$305,B254,'Incoming POs'!$C$2:$C$305,C254,'Incoming POs'!$G$2:$G$305,"&gt;="&amp;D254,'Incoming POs'!$G$2:$G$305,"&lt;"&amp;Dashboard!$I$5)</x:f>
        <x:v>0</x:v>
      </x:c>
      <x:c r="Q254" s="1" t="n">
        <x:f>F254*Dashboard!$L$5*MAX(0,Dashboard!$I$5-D254)/30.4375</x:f>
        <x:v>465.7084188911704</x:v>
      </x:c>
      <x:c r="R254" s="1" t="n">
        <x:f>MAX(0,E254+P254-Q254)</x:f>
        <x:v>1334.2915811088296</x:v>
      </x:c>
      <x:c r="S254" s="1" t="n">
        <x:f>MAX(0,Q254-E254-P254)</x:f>
        <x:v>0</x:v>
      </x:c>
      <x:c r="T254" s="1" t="str">
        <x:f>IF(L254=1,MAX(0,I254+AB254-MIN(Q254,E254+P254)),"n.a.")</x:f>
        <x:v>n.a.</x:v>
      </x:c>
      <x:c r="U254" s="9" t="str">
        <x:f>IF(ISNUMBER(T254),T254*G254,"n.a.")</x:f>
        <x:v>n.a.</x:v>
      </x:c>
      <x:c r="V254" s="25" t="n">
        <x:f>IF(Dashboard!$I$6="Flat %",1,IF(ISNUMBER(H254),1,0))</x:f>
        <x:v>1</x:v>
      </x:c>
      <x:c r="W254" s="9" t="n">
        <x:f>IF(Dashboard!$I$6="Flat %",G254*(1+Dashboard!$L$6),H254)</x:f>
        <x:v>0.03675</x:v>
      </x:c>
      <x:c r="X254" s="9" t="n">
        <x:f>IF(V254=1,R254*(W254-G254),"n.a.")</x:f>
        <x:v>7.005030800821353</x:v>
      </x:c>
      <x:c r="Y254" s="9" t="n">
        <x:f>IF(V254=1,R254*W254,"n.a.")</x:f>
        <x:v>49.035215605749485</x:v>
      </x:c>
      <x:c r="Z254" s="1" t="str">
        <x:f>IF(ISNUMBER(T254),R254-T254,"n.a.")</x:f>
        <x:v>n.a.</x:v>
      </x:c>
      <x:c r="AA254" s="1" t="str">
        <x:f>'Inventory inputs'!R254</x:f>
        <x:v>Review receipt reconciliation or original PO baseline</x:v>
      </x:c>
      <x:c r="AB254" s="1" t="str">
        <x:f>IF(L254=1,SUMIFS('Incoming POs'!$P$2:$P$305,'Incoming POs'!$A$2:$A$305,A254,'Incoming POs'!$B$2:$B$305,B254,'Incoming POs'!$C$2:$C$305,C254,'Incoming POs'!$G$2:$G$305,"&gt;="&amp;D254,'Incoming POs'!$G$2:$G$305,"&lt;"&amp;Dashboard!$I$5,'Incoming POs'!$Q$2:$Q$305,"&lt;="&amp;('Inventory inputs'!P254/'Inventory inputs'!J254*1.01)),"n.a.")</x:f>
        <x:v>n.a.</x:v>
      </x:c>
      <x:c r="AC254" s="9" t="n">
        <x:f>I254*G254</x:f>
        <x:v>0</x:v>
      </x:c>
      <x:c r="AD254" s="9" t="n">
        <x:f>J254*G254</x:f>
        <x:v>0</x:v>
      </x:c>
      <x:c r="AE254" s="9" t="n">
        <x:f>K254*G254</x:f>
        <x:v>56.7</x:v>
      </x:c>
      <x:c r="AF254" s="9" t="n">
        <x:f>R254*G254</x:f>
        <x:v>42.03018480492813</x:v>
      </x:c>
    </x:row>
    <x:row r="255" ht="21" customHeight="1">
      <x:c r="A255" s="1" t="str">
        <x:f>'Inventory inputs'!A255</x:f>
        <x:v>PLAS</x:v>
      </x:c>
      <x:c r="B255" s="1" t="str">
        <x:f>'Inventory inputs'!B255</x:f>
        <x:v>10</x:v>
      </x:c>
      <x:c r="C255" s="1" t="str">
        <x:f>'Inventory inputs'!C255</x:f>
        <x:v>11815RWBWHT</x:v>
      </x:c>
      <x:c r="D255" s="7" t="n">
        <x:f>'Inventory inputs'!E255</x:f>
        <x:v>46303</x:v>
      </x:c>
      <x:c r="E255" s="1" t="n">
        <x:f>'Inventory inputs'!F255</x:f>
        <x:v>5000</x:v>
      </x:c>
      <x:c r="F255" s="1" t="n">
        <x:f>'Inventory inputs'!G255</x:f>
        <x:v>341.67</x:v>
      </x:c>
      <x:c r="G255" s="1" t="n">
        <x:f>'Inventory inputs'!H255/'Inventory inputs'!J255</x:f>
        <x:v>0.0882</x:v>
      </x:c>
      <x:c r="H255" s="1" t="n">
        <x:f>IF('Inventory inputs'!I255&gt;0,'Inventory inputs'!I255*'Inventory inputs'!K255/'Inventory inputs'!J255,"n.a.")</x:f>
        <x:v>0.103194</x:v>
      </x:c>
      <x:c r="I255" s="1" t="n">
        <x:f>'Inventory inputs'!L255</x:f>
        <x:v>2000</x:v>
      </x:c>
      <x:c r="J255" s="1" t="n">
        <x:f>'Inventory inputs'!M255</x:f>
        <x:v>3000</x:v>
      </x:c>
      <x:c r="K255" s="1" t="n">
        <x:f>'Inventory inputs'!N255</x:f>
        <x:v>0</x:v>
      </x:c>
      <x:c r="L255" s="1" t="n">
        <x:f>'Inventory inputs'!O255</x:f>
        <x:v>1</x:v>
      </x:c>
      <x:c r="M255" s="9" t="n">
        <x:f>E255*G255</x:f>
        <x:v>441</x:v>
      </x:c>
      <x:c r="N255" s="9" t="n">
        <x:f>'Inventory inputs'!Q255</x:f>
        <x:v>441</x:v>
      </x:c>
      <x:c r="O255" s="9" t="n">
        <x:f>N255-M255</x:f>
        <x:v>0</x:v>
      </x:c>
      <x:c r="P255" s="1" t="n">
        <x:f>SUMIFS('Incoming POs'!$P$2:$P$305,'Incoming POs'!$A$2:$A$305,A255,'Incoming POs'!$B$2:$B$305,B255,'Incoming POs'!$C$2:$C$305,C255,'Incoming POs'!$G$2:$G$305,"&gt;="&amp;D255,'Incoming POs'!$G$2:$G$305,"&lt;"&amp;Dashboard!$I$5)</x:f>
        <x:v>0</x:v>
      </x:c>
      <x:c r="Q255" s="1" t="n">
        <x:f>F255*Dashboard!$L$5*MAX(0,Dashboard!$I$5-D255)/30.4375</x:f>
        <x:v>454.6245585215606</x:v>
      </x:c>
      <x:c r="R255" s="1" t="n">
        <x:f>MAX(0,E255+P255-Q255)</x:f>
        <x:v>4545.37544147844</x:v>
      </x:c>
      <x:c r="S255" s="1" t="n">
        <x:f>MAX(0,Q255-E255-P255)</x:f>
        <x:v>0</x:v>
      </x:c>
      <x:c r="T255" s="1" t="n">
        <x:f>IF(L255=1,MAX(0,I255+AB255-MIN(Q255,E255+P255)),"n.a.")</x:f>
        <x:v>1545.3754414784394</x:v>
      </x:c>
      <x:c r="U255" s="9" t="n">
        <x:f>IF(ISNUMBER(T255),T255*G255,"n.a.")</x:f>
        <x:v>136.30211393839835</x:v>
      </x:c>
      <x:c r="V255" s="25" t="n">
        <x:f>IF(Dashboard!$I$6="Flat %",1,IF(ISNUMBER(H255),1,0))</x:f>
        <x:v>1</x:v>
      </x:c>
      <x:c r="W255" s="9" t="n">
        <x:f>IF(Dashboard!$I$6="Flat %",G255*(1+Dashboard!$L$6),H255)</x:f>
        <x:v>0.103194</x:v>
      </x:c>
      <x:c r="X255" s="9" t="n">
        <x:f>IF(V255=1,R255*(W255-G255),"n.a.")</x:f>
        <x:v>68.15335936952769</x:v>
      </x:c>
      <x:c r="Y255" s="9" t="n">
        <x:f>IF(V255=1,R255*W255,"n.a.")</x:f>
        <x:v>469.0554733079261</x:v>
      </x:c>
      <x:c r="Z255" s="1" t="n">
        <x:f>IF(ISNUMBER(T255),R255-T255,"n.a.")</x:f>
        <x:v>3000.0000000000005</x:v>
      </x:c>
      <x:c r="AA255" s="1" t="str">
        <x:f>'Inventory inputs'!R255</x:f>
        <x:v>Classified</x:v>
      </x:c>
      <x:c r="AB255" s="1" t="n">
        <x:f>IF(L255=1,SUMIFS('Incoming POs'!$P$2:$P$305,'Incoming POs'!$A$2:$A$305,A255,'Incoming POs'!$B$2:$B$305,B255,'Incoming POs'!$C$2:$C$305,C255,'Incoming POs'!$G$2:$G$305,"&gt;="&amp;D255,'Incoming POs'!$G$2:$G$305,"&lt;"&amp;Dashboard!$I$5,'Incoming POs'!$Q$2:$Q$305,"&lt;="&amp;('Inventory inputs'!P255/'Inventory inputs'!J255*1.01)),"n.a.")</x:f>
        <x:v>0</x:v>
      </x:c>
      <x:c r="AC255" s="9" t="n">
        <x:f>I255*G255</x:f>
        <x:v>176.4</x:v>
      </x:c>
      <x:c r="AD255" s="9" t="n">
        <x:f>J255*G255</x:f>
        <x:v>264.6</x:v>
      </x:c>
      <x:c r="AE255" s="9" t="n">
        <x:f>K255*G255</x:f>
        <x:v>0</x:v>
      </x:c>
      <x:c r="AF255" s="9" t="n">
        <x:f>R255*G255</x:f>
        <x:v>400.9021139383984</x:v>
      </x:c>
    </x:row>
    <x:row r="256" ht="21" customHeight="1">
      <x:c r="A256" s="1" t="str">
        <x:f>'Inventory inputs'!A256</x:f>
        <x:v>PLAS</x:v>
      </x:c>
      <x:c r="B256" s="1" t="str">
        <x:f>'Inventory inputs'!B256</x:f>
        <x:v>10</x:v>
      </x:c>
      <x:c r="C256" s="1" t="str">
        <x:f>'Inventory inputs'!C256</x:f>
        <x:v>05819RWBFG</x:v>
      </x:c>
      <x:c r="D256" s="7" t="n">
        <x:f>'Inventory inputs'!E256</x:f>
        <x:v>46303</x:v>
      </x:c>
      <x:c r="E256" s="1" t="n">
        <x:f>'Inventory inputs'!F256</x:f>
        <x:v>847</x:v>
      </x:c>
      <x:c r="F256" s="1" t="n">
        <x:f>'Inventory inputs'!G256</x:f>
        <x:v>333.33</x:v>
      </x:c>
      <x:c r="G256" s="1" t="n">
        <x:f>'Inventory inputs'!H256/'Inventory inputs'!J256</x:f>
        <x:v>0.045599999999999995</x:v>
      </x:c>
      <x:c r="H256" s="1" t="n">
        <x:f>IF('Inventory inputs'!I256&gt;0,'Inventory inputs'!I256*'Inventory inputs'!K256/'Inventory inputs'!J256,"n.a.")</x:f>
        <x:v>0.053361</x:v>
      </x:c>
      <x:c r="I256" s="1" t="n">
        <x:f>'Inventory inputs'!L256</x:f>
        <x:v>0</x:v>
      </x:c>
      <x:c r="J256" s="1" t="n">
        <x:f>'Inventory inputs'!M256</x:f>
        <x:v>847</x:v>
      </x:c>
      <x:c r="K256" s="1" t="n">
        <x:f>'Inventory inputs'!N256</x:f>
        <x:v>0</x:v>
      </x:c>
      <x:c r="L256" s="1" t="n">
        <x:f>'Inventory inputs'!O256</x:f>
        <x:v>1</x:v>
      </x:c>
      <x:c r="M256" s="9" t="n">
        <x:f>E256*G256</x:f>
        <x:v>38.6232</x:v>
      </x:c>
      <x:c r="N256" s="9" t="n">
        <x:f>'Inventory inputs'!Q256</x:f>
        <x:v>38.6232</x:v>
      </x:c>
      <x:c r="O256" s="9" t="n">
        <x:f>N256-M256</x:f>
        <x:v>0</x:v>
      </x:c>
      <x:c r="P256" s="1" t="n">
        <x:f>SUMIFS('Incoming POs'!$P$2:$P$305,'Incoming POs'!$A$2:$A$305,A256,'Incoming POs'!$B$2:$B$305,B256,'Incoming POs'!$C$2:$C$305,C256,'Incoming POs'!$G$2:$G$305,"&gt;="&amp;D256,'Incoming POs'!$G$2:$G$305,"&lt;"&amp;Dashboard!$I$5)</x:f>
        <x:v>4000</x:v>
      </x:c>
      <x:c r="Q256" s="1" t="n">
        <x:f>F256*Dashboard!$L$5*MAX(0,Dashboard!$I$5-D256)/30.4375</x:f>
        <x:v>443.52739219712527</x:v>
      </x:c>
      <x:c r="R256" s="1" t="n">
        <x:f>MAX(0,E256+P256-Q256)</x:f>
        <x:v>4403.472607802874</x:v>
      </x:c>
      <x:c r="S256" s="1" t="n">
        <x:f>MAX(0,Q256-E256-P256)</x:f>
        <x:v>0</x:v>
      </x:c>
      <x:c r="T256" s="1" t="n">
        <x:f>IF(L256=1,MAX(0,I256+AB256-MIN(Q256,E256+P256)),"n.a.")</x:f>
        <x:v>0</x:v>
      </x:c>
      <x:c r="U256" s="9" t="n">
        <x:f>IF(ISNUMBER(T256),T256*G256,"n.a.")</x:f>
        <x:v>0</x:v>
      </x:c>
      <x:c r="V256" s="25" t="n">
        <x:f>IF(Dashboard!$I$6="Flat %",1,IF(ISNUMBER(H256),1,0))</x:f>
        <x:v>1</x:v>
      </x:c>
      <x:c r="W256" s="9" t="n">
        <x:f>IF(Dashboard!$I$6="Flat %",G256*(1+Dashboard!$L$6),H256)</x:f>
        <x:v>0.053361</x:v>
      </x:c>
      <x:c r="X256" s="9" t="n">
        <x:f>IF(V256=1,R256*(W256-G256),"n.a.")</x:f>
        <x:v>34.17535090915813</x:v>
      </x:c>
      <x:c r="Y256" s="9" t="n">
        <x:f>IF(V256=1,R256*W256,"n.a.")</x:f>
        <x:v>234.97370182496917</x:v>
      </x:c>
      <x:c r="Z256" s="1" t="n">
        <x:f>IF(ISNUMBER(T256),R256-T256,"n.a.")</x:f>
        <x:v>4403.472607802874</x:v>
      </x:c>
      <x:c r="AA256" s="1" t="str">
        <x:f>'Inventory inputs'!R256</x:f>
        <x:v>Classified</x:v>
      </x:c>
      <x:c r="AB256" s="1" t="n">
        <x:f>IF(L256=1,SUMIFS('Incoming POs'!$P$2:$P$305,'Incoming POs'!$A$2:$A$305,A256,'Incoming POs'!$B$2:$B$305,B256,'Incoming POs'!$C$2:$C$305,C256,'Incoming POs'!$G$2:$G$305,"&gt;="&amp;D256,'Incoming POs'!$G$2:$G$305,"&lt;"&amp;Dashboard!$I$5,'Incoming POs'!$Q$2:$Q$305,"&lt;="&amp;('Inventory inputs'!P256/'Inventory inputs'!J256*1.01)),"n.a.")</x:f>
        <x:v>0</x:v>
      </x:c>
      <x:c r="AC256" s="9" t="n">
        <x:f>I256*G256</x:f>
        <x:v>0</x:v>
      </x:c>
      <x:c r="AD256" s="9" t="n">
        <x:f>J256*G256</x:f>
        <x:v>38.6232</x:v>
      </x:c>
      <x:c r="AE256" s="9" t="n">
        <x:f>K256*G256</x:f>
        <x:v>0</x:v>
      </x:c>
      <x:c r="AF256" s="9" t="n">
        <x:f>R256*G256</x:f>
        <x:v>200.79835091581106</x:v>
      </x:c>
    </x:row>
    <x:row r="257" ht="21" customHeight="1">
      <x:c r="A257" s="1" t="str">
        <x:f>'Inventory inputs'!A257</x:f>
        <x:v>PLAS</x:v>
      </x:c>
      <x:c r="B257" s="1" t="str">
        <x:f>'Inventory inputs'!B257</x:f>
        <x:v>10</x:v>
      </x:c>
      <x:c r="C257" s="1" t="str">
        <x:f>'Inventory inputs'!C257</x:f>
        <x:v>07815RWBBLU</x:v>
      </x:c>
      <x:c r="D257" s="7" t="n">
        <x:f>'Inventory inputs'!E257</x:f>
        <x:v>46303</x:v>
      </x:c>
      <x:c r="E257" s="1" t="n">
        <x:f>'Inventory inputs'!F257</x:f>
        <x:v>5664</x:v>
      </x:c>
      <x:c r="F257" s="1" t="n">
        <x:f>'Inventory inputs'!G257</x:f>
        <x:v>333.33</x:v>
      </x:c>
      <x:c r="G257" s="1" t="n">
        <x:f>'Inventory inputs'!H257/'Inventory inputs'!J257</x:f>
        <x:v>0.0538</x:v>
      </x:c>
      <x:c r="H257" s="1" t="n">
        <x:f>IF('Inventory inputs'!I257&gt;0,'Inventory inputs'!I257*'Inventory inputs'!K257/'Inventory inputs'!J257,"n.a.")</x:f>
        <x:v>0.062916</x:v>
      </x:c>
      <x:c r="I257" s="1" t="n">
        <x:f>'Inventory inputs'!L257</x:f>
        <x:v>3664</x:v>
      </x:c>
      <x:c r="J257" s="1" t="n">
        <x:f>'Inventory inputs'!M257</x:f>
        <x:v>2000</x:v>
      </x:c>
      <x:c r="K257" s="1" t="n">
        <x:f>'Inventory inputs'!N257</x:f>
        <x:v>0</x:v>
      </x:c>
      <x:c r="L257" s="1" t="n">
        <x:f>'Inventory inputs'!O257</x:f>
        <x:v>1</x:v>
      </x:c>
      <x:c r="M257" s="9" t="n">
        <x:f>E257*G257</x:f>
        <x:v>304.7232</x:v>
      </x:c>
      <x:c r="N257" s="9" t="n">
        <x:f>'Inventory inputs'!Q257</x:f>
        <x:v>304.7232</x:v>
      </x:c>
      <x:c r="O257" s="9" t="n">
        <x:f>N257-M257</x:f>
        <x:v>0</x:v>
      </x:c>
      <x:c r="P257" s="1" t="n">
        <x:f>SUMIFS('Incoming POs'!$P$2:$P$305,'Incoming POs'!$A$2:$A$305,A257,'Incoming POs'!$B$2:$B$305,B257,'Incoming POs'!$C$2:$C$305,C257,'Incoming POs'!$G$2:$G$305,"&gt;="&amp;D257,'Incoming POs'!$G$2:$G$305,"&lt;"&amp;Dashboard!$I$5)</x:f>
        <x:v>0</x:v>
      </x:c>
      <x:c r="Q257" s="1" t="n">
        <x:f>F257*Dashboard!$L$5*MAX(0,Dashboard!$I$5-D257)/30.4375</x:f>
        <x:v>443.52739219712527</x:v>
      </x:c>
      <x:c r="R257" s="1" t="n">
        <x:f>MAX(0,E257+P257-Q257)</x:f>
        <x:v>5220.472607802874</x:v>
      </x:c>
      <x:c r="S257" s="1" t="n">
        <x:f>MAX(0,Q257-E257-P257)</x:f>
        <x:v>0</x:v>
      </x:c>
      <x:c r="T257" s="1" t="n">
        <x:f>IF(L257=1,MAX(0,I257+AB257-MIN(Q257,E257+P257)),"n.a.")</x:f>
        <x:v>3220.472607802875</x:v>
      </x:c>
      <x:c r="U257" s="9" t="n">
        <x:f>IF(ISNUMBER(T257),T257*G257,"n.a.")</x:f>
        <x:v>173.26142629979466</x:v>
      </x:c>
      <x:c r="V257" s="25" t="n">
        <x:f>IF(Dashboard!$I$6="Flat %",1,IF(ISNUMBER(H257),1,0))</x:f>
        <x:v>1</x:v>
      </x:c>
      <x:c r="W257" s="9" t="n">
        <x:f>IF(Dashboard!$I$6="Flat %",G257*(1+Dashboard!$L$6),H257)</x:f>
        <x:v>0.062916</x:v>
      </x:c>
      <x:c r="X257" s="9" t="n">
        <x:f>IF(V257=1,R257*(W257-G257),"n.a.")</x:f>
        <x:v>47.589828292731</x:v>
      </x:c>
      <x:c r="Y257" s="9" t="n">
        <x:f>IF(V257=1,R257*W257,"n.a.")</x:f>
        <x:v>328.45125459252563</x:v>
      </x:c>
      <x:c r="Z257" s="1" t="n">
        <x:f>IF(ISNUMBER(T257),R257-T257,"n.a.")</x:f>
        <x:v>1999.9999999999995</x:v>
      </x:c>
      <x:c r="AA257" s="1" t="str">
        <x:f>'Inventory inputs'!R257</x:f>
        <x:v>Classified</x:v>
      </x:c>
      <x:c r="AB257" s="1" t="n">
        <x:f>IF(L257=1,SUMIFS('Incoming POs'!$P$2:$P$305,'Incoming POs'!$A$2:$A$305,A257,'Incoming POs'!$B$2:$B$305,B257,'Incoming POs'!$C$2:$C$305,C257,'Incoming POs'!$G$2:$G$305,"&gt;="&amp;D257,'Incoming POs'!$G$2:$G$305,"&lt;"&amp;Dashboard!$I$5,'Incoming POs'!$Q$2:$Q$305,"&lt;="&amp;('Inventory inputs'!P257/'Inventory inputs'!J257*1.01)),"n.a.")</x:f>
        <x:v>0</x:v>
      </x:c>
      <x:c r="AC257" s="9" t="n">
        <x:f>I257*G257</x:f>
        <x:v>197.1232</x:v>
      </x:c>
      <x:c r="AD257" s="9" t="n">
        <x:f>J257*G257</x:f>
        <x:v>107.6</x:v>
      </x:c>
      <x:c r="AE257" s="9" t="n">
        <x:f>K257*G257</x:f>
        <x:v>0</x:v>
      </x:c>
      <x:c r="AF257" s="9" t="n">
        <x:f>R257*G257</x:f>
        <x:v>280.86142629979463</x:v>
      </x:c>
    </x:row>
    <x:row r="258" ht="21" customHeight="1">
      <x:c r="A258" s="1" t="str">
        <x:f>'Inventory inputs'!A258</x:f>
        <x:v>PLAS</x:v>
      </x:c>
      <x:c r="B258" s="1" t="str">
        <x:f>'Inventory inputs'!B258</x:f>
        <x:v>10</x:v>
      </x:c>
      <x:c r="C258" s="1" t="str">
        <x:f>'Inventory inputs'!C258</x:f>
        <x:v>11215ROVWHT</x:v>
      </x:c>
      <x:c r="D258" s="7" t="n">
        <x:f>'Inventory inputs'!E258</x:f>
        <x:v>46303</x:v>
      </x:c>
      <x:c r="E258" s="1" t="n">
        <x:f>'Inventory inputs'!F258</x:f>
        <x:v>4802</x:v>
      </x:c>
      <x:c r="F258" s="1" t="n">
        <x:f>'Inventory inputs'!G258</x:f>
        <x:v>333.33</x:v>
      </x:c>
      <x:c r="G258" s="1" t="n">
        <x:f>'Inventory inputs'!H258/'Inventory inputs'!J258</x:f>
        <x:v>0.0928</x:v>
      </x:c>
      <x:c r="H258" s="1" t="n">
        <x:f>IF('Inventory inputs'!I258&gt;0,'Inventory inputs'!I258*'Inventory inputs'!K258/'Inventory inputs'!J258,"n.a.")</x:f>
        <x:v>0.108486</x:v>
      </x:c>
      <x:c r="I258" s="1" t="n">
        <x:f>'Inventory inputs'!L258</x:f>
        <x:v>0</x:v>
      </x:c>
      <x:c r="J258" s="1" t="n">
        <x:f>'Inventory inputs'!M258</x:f>
        <x:v>0</x:v>
      </x:c>
      <x:c r="K258" s="1" t="n">
        <x:f>'Inventory inputs'!N258</x:f>
        <x:v>4802</x:v>
      </x:c>
      <x:c r="L258" s="1" t="n">
        <x:f>'Inventory inputs'!O258</x:f>
        <x:v>0</x:v>
      </x:c>
      <x:c r="M258" s="9" t="n">
        <x:f>E258*G258</x:f>
        <x:v>445.62559999999996</x:v>
      </x:c>
      <x:c r="N258" s="9" t="n">
        <x:f>'Inventory inputs'!Q258</x:f>
        <x:v>445.62559999999996</x:v>
      </x:c>
      <x:c r="O258" s="9" t="n">
        <x:f>N258-M258</x:f>
        <x:v>0</x:v>
      </x:c>
      <x:c r="P258" s="1" t="n">
        <x:f>SUMIFS('Incoming POs'!$P$2:$P$305,'Incoming POs'!$A$2:$A$305,A258,'Incoming POs'!$B$2:$B$305,B258,'Incoming POs'!$C$2:$C$305,C258,'Incoming POs'!$G$2:$G$305,"&gt;="&amp;D258,'Incoming POs'!$G$2:$G$305,"&lt;"&amp;Dashboard!$I$5)</x:f>
        <x:v>0</x:v>
      </x:c>
      <x:c r="Q258" s="1" t="n">
        <x:f>F258*Dashboard!$L$5*MAX(0,Dashboard!$I$5-D258)/30.4375</x:f>
        <x:v>443.52739219712527</x:v>
      </x:c>
      <x:c r="R258" s="1" t="n">
        <x:f>MAX(0,E258+P258-Q258)</x:f>
        <x:v>4358.472607802874</x:v>
      </x:c>
      <x:c r="S258" s="1" t="n">
        <x:f>MAX(0,Q258-E258-P258)</x:f>
        <x:v>0</x:v>
      </x:c>
      <x:c r="T258" s="1" t="str">
        <x:f>IF(L258=1,MAX(0,I258+AB258-MIN(Q258,E258+P258)),"n.a.")</x:f>
        <x:v>n.a.</x:v>
      </x:c>
      <x:c r="U258" s="9" t="str">
        <x:f>IF(ISNUMBER(T258),T258*G258,"n.a.")</x:f>
        <x:v>n.a.</x:v>
      </x:c>
      <x:c r="V258" s="25" t="n">
        <x:f>IF(Dashboard!$I$6="Flat %",1,IF(ISNUMBER(H258),1,0))</x:f>
        <x:v>1</x:v>
      </x:c>
      <x:c r="W258" s="9" t="n">
        <x:f>IF(Dashboard!$I$6="Flat %",G258*(1+Dashboard!$L$6),H258)</x:f>
        <x:v>0.108486</x:v>
      </x:c>
      <x:c r="X258" s="9" t="n">
        <x:f>IF(V258=1,R258*(W258-G258),"n.a.")</x:f>
        <x:v>68.36700132599591</x:v>
      </x:c>
      <x:c r="Y258" s="9" t="n">
        <x:f>IF(V258=1,R258*W258,"n.a.")</x:f>
        <x:v>472.83325933010263</x:v>
      </x:c>
      <x:c r="Z258" s="1" t="str">
        <x:f>IF(ISNUMBER(T258),R258-T258,"n.a.")</x:f>
        <x:v>n.a.</x:v>
      </x:c>
      <x:c r="AA258" s="1" t="str">
        <x:f>'Inventory inputs'!R258</x:f>
        <x:v>Review receipt reconciliation or original PO baseline</x:v>
      </x:c>
      <x:c r="AB258" s="1" t="str">
        <x:f>IF(L258=1,SUMIFS('Incoming POs'!$P$2:$P$305,'Incoming POs'!$A$2:$A$305,A258,'Incoming POs'!$B$2:$B$305,B258,'Incoming POs'!$C$2:$C$305,C258,'Incoming POs'!$G$2:$G$305,"&gt;="&amp;D258,'Incoming POs'!$G$2:$G$305,"&lt;"&amp;Dashboard!$I$5,'Incoming POs'!$Q$2:$Q$305,"&lt;="&amp;('Inventory inputs'!P258/'Inventory inputs'!J258*1.01)),"n.a.")</x:f>
        <x:v>n.a.</x:v>
      </x:c>
      <x:c r="AC258" s="9" t="n">
        <x:f>I258*G258</x:f>
        <x:v>0</x:v>
      </x:c>
      <x:c r="AD258" s="9" t="n">
        <x:f>J258*G258</x:f>
        <x:v>0</x:v>
      </x:c>
      <x:c r="AE258" s="9" t="n">
        <x:f>K258*G258</x:f>
        <x:v>445.62559999999996</x:v>
      </x:c>
      <x:c r="AF258" s="9" t="n">
        <x:f>R258*G258</x:f>
        <x:v>404.4662580041067</x:v>
      </x:c>
    </x:row>
    <x:row r="259" ht="21" customHeight="1">
      <x:c r="A259" s="1" t="str">
        <x:f>'Inventory inputs'!A259</x:f>
        <x:v>PLAS</x:v>
      </x:c>
      <x:c r="B259" s="1" t="str">
        <x:f>'Inventory inputs'!B259</x:f>
        <x:v>10</x:v>
      </x:c>
      <x:c r="C259" s="1" t="str">
        <x:f>'Inventory inputs'!C259</x:f>
        <x:v>71615RWBWHT</x:v>
      </x:c>
      <x:c r="D259" s="7" t="n">
        <x:f>'Inventory inputs'!E259</x:f>
        <x:v>46303</x:v>
      </x:c>
      <x:c r="E259" s="1" t="n">
        <x:f>'Inventory inputs'!F259</x:f>
        <x:v>6073</x:v>
      </x:c>
      <x:c r="F259" s="1" t="n">
        <x:f>'Inventory inputs'!G259</x:f>
        <x:v>333.33</x:v>
      </x:c>
      <x:c r="G259" s="1" t="n">
        <x:f>'Inventory inputs'!H259/'Inventory inputs'!J259</x:f>
        <x:v>0.0219</x:v>
      </x:c>
      <x:c r="H259" s="1" t="n">
        <x:f>IF('Inventory inputs'!I259&gt;0,'Inventory inputs'!I259*'Inventory inputs'!K259/'Inventory inputs'!J259,"n.a.")</x:f>
        <x:v>0.025578</x:v>
      </x:c>
      <x:c r="I259" s="1" t="n">
        <x:f>'Inventory inputs'!L259</x:f>
        <x:v>6073</x:v>
      </x:c>
      <x:c r="J259" s="1" t="n">
        <x:f>'Inventory inputs'!M259</x:f>
        <x:v>0</x:v>
      </x:c>
      <x:c r="K259" s="1" t="n">
        <x:f>'Inventory inputs'!N259</x:f>
        <x:v>0</x:v>
      </x:c>
      <x:c r="L259" s="1" t="n">
        <x:f>'Inventory inputs'!O259</x:f>
        <x:v>1</x:v>
      </x:c>
      <x:c r="M259" s="9" t="n">
        <x:f>E259*G259</x:f>
        <x:v>132.99869999999999</x:v>
      </x:c>
      <x:c r="N259" s="9" t="n">
        <x:f>'Inventory inputs'!Q259</x:f>
        <x:v>132.99869999999999</x:v>
      </x:c>
      <x:c r="O259" s="9" t="n">
        <x:f>N259-M259</x:f>
        <x:v>0</x:v>
      </x:c>
      <x:c r="P259" s="1" t="n">
        <x:f>SUMIFS('Incoming POs'!$P$2:$P$305,'Incoming POs'!$A$2:$A$305,A259,'Incoming POs'!$B$2:$B$305,B259,'Incoming POs'!$C$2:$C$305,C259,'Incoming POs'!$G$2:$G$305,"&gt;="&amp;D259,'Incoming POs'!$G$2:$G$305,"&lt;"&amp;Dashboard!$I$5)</x:f>
        <x:v>0</x:v>
      </x:c>
      <x:c r="Q259" s="1" t="n">
        <x:f>F259*Dashboard!$L$5*MAX(0,Dashboard!$I$5-D259)/30.4375</x:f>
        <x:v>443.52739219712527</x:v>
      </x:c>
      <x:c r="R259" s="1" t="n">
        <x:f>MAX(0,E259+P259-Q259)</x:f>
        <x:v>5629.472607802874</x:v>
      </x:c>
      <x:c r="S259" s="1" t="n">
        <x:f>MAX(0,Q259-E259-P259)</x:f>
        <x:v>0</x:v>
      </x:c>
      <x:c r="T259" s="1" t="n">
        <x:f>IF(L259=1,MAX(0,I259+AB259-MIN(Q259,E259+P259)),"n.a.")</x:f>
        <x:v>5629.472607802874</x:v>
      </x:c>
      <x:c r="U259" s="9" t="n">
        <x:f>IF(ISNUMBER(T259),T259*G259,"n.a.")</x:f>
        <x:v>123.28545011088295</x:v>
      </x:c>
      <x:c r="V259" s="25" t="n">
        <x:f>IF(Dashboard!$I$6="Flat %",1,IF(ISNUMBER(H259),1,0))</x:f>
        <x:v>1</x:v>
      </x:c>
      <x:c r="W259" s="9" t="n">
        <x:f>IF(Dashboard!$I$6="Flat %",G259*(1+Dashboard!$L$6),H259)</x:f>
        <x:v>0.025578</x:v>
      </x:c>
      <x:c r="X259" s="9" t="n">
        <x:f>IF(V259=1,R259*(W259-G259),"n.a.")</x:f>
        <x:v>20.705200251498976</x:v>
      </x:c>
      <x:c r="Y259" s="9" t="n">
        <x:f>IF(V259=1,R259*W259,"n.a.")</x:f>
        <x:v>143.99065036238193</x:v>
      </x:c>
      <x:c r="Z259" s="1" t="n">
        <x:f>IF(ISNUMBER(T259),R259-T259,"n.a.")</x:f>
        <x:v>0</x:v>
      </x:c>
      <x:c r="AA259" s="1" t="str">
        <x:f>'Inventory inputs'!R259</x:f>
        <x:v>Classified</x:v>
      </x:c>
      <x:c r="AB259" s="1" t="n">
        <x:f>IF(L259=1,SUMIFS('Incoming POs'!$P$2:$P$305,'Incoming POs'!$A$2:$A$305,A259,'Incoming POs'!$B$2:$B$305,B259,'Incoming POs'!$C$2:$C$305,C259,'Incoming POs'!$G$2:$G$305,"&gt;="&amp;D259,'Incoming POs'!$G$2:$G$305,"&lt;"&amp;Dashboard!$I$5,'Incoming POs'!$Q$2:$Q$305,"&lt;="&amp;('Inventory inputs'!P259/'Inventory inputs'!J259*1.01)),"n.a.")</x:f>
        <x:v>0</x:v>
      </x:c>
      <x:c r="AC259" s="9" t="n">
        <x:f>I259*G259</x:f>
        <x:v>132.99869999999999</x:v>
      </x:c>
      <x:c r="AD259" s="9" t="n">
        <x:f>J259*G259</x:f>
        <x:v>0</x:v>
      </x:c>
      <x:c r="AE259" s="9" t="n">
        <x:f>K259*G259</x:f>
        <x:v>0</x:v>
      </x:c>
      <x:c r="AF259" s="9" t="n">
        <x:f>R259*G259</x:f>
        <x:v>123.28545011088295</x:v>
      </x:c>
    </x:row>
    <x:row r="260" ht="21" customHeight="1">
      <x:c r="A260" s="1" t="str">
        <x:f>'Inventory inputs'!A260</x:f>
        <x:v>PLAS</x:v>
      </x:c>
      <x:c r="B260" s="1" t="str">
        <x:f>'Inventory inputs'!B260</x:f>
        <x:v>30</x:v>
      </x:c>
      <x:c r="C260" s="1" t="str">
        <x:f>'Inventory inputs'!C260</x:f>
        <x:v>01215RWBBLK</x:v>
      </x:c>
      <x:c r="D260" s="7" t="n">
        <x:f>'Inventory inputs'!E260</x:f>
        <x:v>46303</x:v>
      </x:c>
      <x:c r="E260" s="1" t="n">
        <x:f>'Inventory inputs'!F260</x:f>
        <x:v>4000</x:v>
      </x:c>
      <x:c r="F260" s="1" t="n">
        <x:f>'Inventory inputs'!G260</x:f>
        <x:v>333.33</x:v>
      </x:c>
      <x:c r="G260" s="1" t="n">
        <x:f>'Inventory inputs'!H260/'Inventory inputs'!J260</x:f>
        <x:v>0.025</x:v>
      </x:c>
      <x:c r="H260" s="1" t="n">
        <x:f>IF('Inventory inputs'!I260&gt;0,'Inventory inputs'!I260*'Inventory inputs'!K260/'Inventory inputs'!J260,"n.a.")</x:f>
        <x:v>0.029253</x:v>
      </x:c>
      <x:c r="I260" s="1" t="n">
        <x:f>'Inventory inputs'!L260</x:f>
        <x:v>0</x:v>
      </x:c>
      <x:c r="J260" s="1" t="n">
        <x:f>'Inventory inputs'!M260</x:f>
        <x:v>0</x:v>
      </x:c>
      <x:c r="K260" s="1" t="n">
        <x:f>'Inventory inputs'!N260</x:f>
        <x:v>4000</x:v>
      </x:c>
      <x:c r="L260" s="1" t="n">
        <x:f>'Inventory inputs'!O260</x:f>
        <x:v>0</x:v>
      </x:c>
      <x:c r="M260" s="9" t="n">
        <x:f>E260*G260</x:f>
        <x:v>100</x:v>
      </x:c>
      <x:c r="N260" s="9" t="n">
        <x:f>'Inventory inputs'!Q260</x:f>
        <x:v>100</x:v>
      </x:c>
      <x:c r="O260" s="9" t="n">
        <x:f>N260-M260</x:f>
        <x:v>0</x:v>
      </x:c>
      <x:c r="P260" s="1" t="n">
        <x:f>SUMIFS('Incoming POs'!$P$2:$P$305,'Incoming POs'!$A$2:$A$305,A260,'Incoming POs'!$B$2:$B$305,B260,'Incoming POs'!$C$2:$C$305,C260,'Incoming POs'!$G$2:$G$305,"&gt;="&amp;D260,'Incoming POs'!$G$2:$G$305,"&lt;"&amp;Dashboard!$I$5)</x:f>
        <x:v>0</x:v>
      </x:c>
      <x:c r="Q260" s="1" t="n">
        <x:f>F260*Dashboard!$L$5*MAX(0,Dashboard!$I$5-D260)/30.4375</x:f>
        <x:v>443.52739219712527</x:v>
      </x:c>
      <x:c r="R260" s="1" t="n">
        <x:f>MAX(0,E260+P260-Q260)</x:f>
        <x:v>3556.472607802875</x:v>
      </x:c>
      <x:c r="S260" s="1" t="n">
        <x:f>MAX(0,Q260-E260-P260)</x:f>
        <x:v>0</x:v>
      </x:c>
      <x:c r="T260" s="1" t="str">
        <x:f>IF(L260=1,MAX(0,I260+AB260-MIN(Q260,E260+P260)),"n.a.")</x:f>
        <x:v>n.a.</x:v>
      </x:c>
      <x:c r="U260" s="9" t="str">
        <x:f>IF(ISNUMBER(T260),T260*G260,"n.a.")</x:f>
        <x:v>n.a.</x:v>
      </x:c>
      <x:c r="V260" s="25" t="n">
        <x:f>IF(Dashboard!$I$6="Flat %",1,IF(ISNUMBER(H260),1,0))</x:f>
        <x:v>1</x:v>
      </x:c>
      <x:c r="W260" s="9" t="n">
        <x:f>IF(Dashboard!$I$6="Flat %",G260*(1+Dashboard!$L$6),H260)</x:f>
        <x:v>0.029253</x:v>
      </x:c>
      <x:c r="X260" s="9" t="n">
        <x:f>IF(V260=1,R260*(W260-G260),"n.a.")</x:f>
        <x:v>15.125678000985626</x:v>
      </x:c>
      <x:c r="Y260" s="9" t="n">
        <x:f>IF(V260=1,R260*W260,"n.a.")</x:f>
        <x:v>104.0374931960575</x:v>
      </x:c>
      <x:c r="Z260" s="1" t="str">
        <x:f>IF(ISNUMBER(T260),R260-T260,"n.a.")</x:f>
        <x:v>n.a.</x:v>
      </x:c>
      <x:c r="AA260" s="1" t="str">
        <x:f>'Inventory inputs'!R260</x:f>
        <x:v>Review receipt reconciliation or original PO baseline</x:v>
      </x:c>
      <x:c r="AB260" s="1" t="str">
        <x:f>IF(L260=1,SUMIFS('Incoming POs'!$P$2:$P$305,'Incoming POs'!$A$2:$A$305,A260,'Incoming POs'!$B$2:$B$305,B260,'Incoming POs'!$C$2:$C$305,C260,'Incoming POs'!$G$2:$G$305,"&gt;="&amp;D260,'Incoming POs'!$G$2:$G$305,"&lt;"&amp;Dashboard!$I$5,'Incoming POs'!$Q$2:$Q$305,"&lt;="&amp;('Inventory inputs'!P260/'Inventory inputs'!J260*1.01)),"n.a.")</x:f>
        <x:v>n.a.</x:v>
      </x:c>
      <x:c r="AC260" s="9" t="n">
        <x:f>I260*G260</x:f>
        <x:v>0</x:v>
      </x:c>
      <x:c r="AD260" s="9" t="n">
        <x:f>J260*G260</x:f>
        <x:v>0</x:v>
      </x:c>
      <x:c r="AE260" s="9" t="n">
        <x:f>K260*G260</x:f>
        <x:v>100</x:v>
      </x:c>
      <x:c r="AF260" s="9" t="n">
        <x:f>R260*G260</x:f>
        <x:v>88.91181519507188</x:v>
      </x:c>
    </x:row>
    <x:row r="261" ht="21" customHeight="1">
      <x:c r="A261" s="1" t="str">
        <x:f>'Inventory inputs'!A261</x:f>
        <x:v>PLAS</x:v>
      </x:c>
      <x:c r="B261" s="1" t="str">
        <x:f>'Inventory inputs'!B261</x:f>
        <x:v>30</x:v>
      </x:c>
      <x:c r="C261" s="1" t="str">
        <x:f>'Inventory inputs'!C261</x:f>
        <x:v>03415RWBBLK</x:v>
      </x:c>
      <x:c r="D261" s="7" t="n">
        <x:f>'Inventory inputs'!E261</x:f>
        <x:v>46303</x:v>
      </x:c>
      <x:c r="E261" s="1" t="n">
        <x:f>'Inventory inputs'!F261</x:f>
        <x:v>4000</x:v>
      </x:c>
      <x:c r="F261" s="1" t="n">
        <x:f>'Inventory inputs'!G261</x:f>
        <x:v>333.33</x:v>
      </x:c>
      <x:c r="G261" s="1" t="n">
        <x:f>'Inventory inputs'!H261/'Inventory inputs'!J261</x:f>
        <x:v>0.044000000000000004</x:v>
      </x:c>
      <x:c r="H261" s="1" t="n">
        <x:f>IF('Inventory inputs'!I261&gt;0,'Inventory inputs'!I261*'Inventory inputs'!K261/'Inventory inputs'!J261,"n.a.")</x:f>
        <x:v>0.051449999999999996</x:v>
      </x:c>
      <x:c r="I261" s="1" t="n">
        <x:f>'Inventory inputs'!L261</x:f>
        <x:v>0</x:v>
      </x:c>
      <x:c r="J261" s="1" t="n">
        <x:f>'Inventory inputs'!M261</x:f>
        <x:v>0</x:v>
      </x:c>
      <x:c r="K261" s="1" t="n">
        <x:f>'Inventory inputs'!N261</x:f>
        <x:v>4000</x:v>
      </x:c>
      <x:c r="L261" s="1" t="n">
        <x:f>'Inventory inputs'!O261</x:f>
        <x:v>0</x:v>
      </x:c>
      <x:c r="M261" s="9" t="n">
        <x:f>E261*G261</x:f>
        <x:v>176.00000000000003</x:v>
      </x:c>
      <x:c r="N261" s="9" t="n">
        <x:f>'Inventory inputs'!Q261</x:f>
        <x:v>176</x:v>
      </x:c>
      <x:c r="O261" s="9" t="n">
        <x:f>N261-M261</x:f>
        <x:v>-2.842170943040401e-14</x:v>
      </x:c>
      <x:c r="P261" s="1" t="n">
        <x:f>SUMIFS('Incoming POs'!$P$2:$P$305,'Incoming POs'!$A$2:$A$305,A261,'Incoming POs'!$B$2:$B$305,B261,'Incoming POs'!$C$2:$C$305,C261,'Incoming POs'!$G$2:$G$305,"&gt;="&amp;D261,'Incoming POs'!$G$2:$G$305,"&lt;"&amp;Dashboard!$I$5)</x:f>
        <x:v>0</x:v>
      </x:c>
      <x:c r="Q261" s="1" t="n">
        <x:f>F261*Dashboard!$L$5*MAX(0,Dashboard!$I$5-D261)/30.4375</x:f>
        <x:v>443.52739219712527</x:v>
      </x:c>
      <x:c r="R261" s="1" t="n">
        <x:f>MAX(0,E261+P261-Q261)</x:f>
        <x:v>3556.472607802875</x:v>
      </x:c>
      <x:c r="S261" s="1" t="n">
        <x:f>MAX(0,Q261-E261-P261)</x:f>
        <x:v>0</x:v>
      </x:c>
      <x:c r="T261" s="1" t="str">
        <x:f>IF(L261=1,MAX(0,I261+AB261-MIN(Q261,E261+P261)),"n.a.")</x:f>
        <x:v>n.a.</x:v>
      </x:c>
      <x:c r="U261" s="9" t="str">
        <x:f>IF(ISNUMBER(T261),T261*G261,"n.a.")</x:f>
        <x:v>n.a.</x:v>
      </x:c>
      <x:c r="V261" s="25" t="n">
        <x:f>IF(Dashboard!$I$6="Flat %",1,IF(ISNUMBER(H261),1,0))</x:f>
        <x:v>1</x:v>
      </x:c>
      <x:c r="W261" s="9" t="n">
        <x:f>IF(Dashboard!$I$6="Flat %",G261*(1+Dashboard!$L$6),H261)</x:f>
        <x:v>0.051449999999999996</x:v>
      </x:c>
      <x:c r="X261" s="9" t="n">
        <x:f>IF(V261=1,R261*(W261-G261),"n.a.")</x:f>
        <x:v>26.495720928131387</x:v>
      </x:c>
      <x:c r="Y261" s="9" t="n">
        <x:f>IF(V261=1,R261*W261,"n.a.")</x:f>
        <x:v>182.98051567145788</x:v>
      </x:c>
      <x:c r="Z261" s="1" t="str">
        <x:f>IF(ISNUMBER(T261),R261-T261,"n.a.")</x:f>
        <x:v>n.a.</x:v>
      </x:c>
      <x:c r="AA261" s="1" t="str">
        <x:f>'Inventory inputs'!R261</x:f>
        <x:v>Review receipt reconciliation or original PO baseline</x:v>
      </x:c>
      <x:c r="AB261" s="1" t="str">
        <x:f>IF(L261=1,SUMIFS('Incoming POs'!$P$2:$P$305,'Incoming POs'!$A$2:$A$305,A261,'Incoming POs'!$B$2:$B$305,B261,'Incoming POs'!$C$2:$C$305,C261,'Incoming POs'!$G$2:$G$305,"&gt;="&amp;D261,'Incoming POs'!$G$2:$G$305,"&lt;"&amp;Dashboard!$I$5,'Incoming POs'!$Q$2:$Q$305,"&lt;="&amp;('Inventory inputs'!P261/'Inventory inputs'!J261*1.01)),"n.a.")</x:f>
        <x:v>n.a.</x:v>
      </x:c>
      <x:c r="AC261" s="9" t="n">
        <x:f>I261*G261</x:f>
        <x:v>0</x:v>
      </x:c>
      <x:c r="AD261" s="9" t="n">
        <x:f>J261*G261</x:f>
        <x:v>0</x:v>
      </x:c>
      <x:c r="AE261" s="9" t="n">
        <x:f>K261*G261</x:f>
        <x:v>176.00000000000003</x:v>
      </x:c>
      <x:c r="AF261" s="9" t="n">
        <x:f>R261*G261</x:f>
        <x:v>156.48479474332652</x:v>
      </x:c>
    </x:row>
    <x:row r="262" ht="21" customHeight="1">
      <x:c r="A262" s="1" t="str">
        <x:f>'Inventory inputs'!A262</x:f>
        <x:v>PLAS</x:v>
      </x:c>
      <x:c r="B262" s="1" t="str">
        <x:f>'Inventory inputs'!B262</x:f>
        <x:v>30</x:v>
      </x:c>
      <x:c r="C262" s="1" t="str">
        <x:f>'Inventory inputs'!C262</x:f>
        <x:v>05815RWBBLK</x:v>
      </x:c>
      <x:c r="D262" s="7" t="n">
        <x:f>'Inventory inputs'!E262</x:f>
        <x:v>46303</x:v>
      </x:c>
      <x:c r="E262" s="1" t="n">
        <x:f>'Inventory inputs'!F262</x:f>
        <x:v>3800</x:v>
      </x:c>
      <x:c r="F262" s="1" t="n">
        <x:f>'Inventory inputs'!G262</x:f>
        <x:v>333.33</x:v>
      </x:c>
      <x:c r="G262" s="1" t="n">
        <x:f>'Inventory inputs'!H262/'Inventory inputs'!J262</x:f>
        <x:v>0.030899999999999997</x:v>
      </x:c>
      <x:c r="H262" s="1" t="n">
        <x:f>IF('Inventory inputs'!I262&gt;0,'Inventory inputs'!I262*'Inventory inputs'!K262/'Inventory inputs'!J262,"n.a.")</x:f>
        <x:v>0.036162</x:v>
      </x:c>
      <x:c r="I262" s="1" t="n">
        <x:f>'Inventory inputs'!L262</x:f>
        <x:v>0</x:v>
      </x:c>
      <x:c r="J262" s="1" t="n">
        <x:f>'Inventory inputs'!M262</x:f>
        <x:v>0</x:v>
      </x:c>
      <x:c r="K262" s="1" t="n">
        <x:f>'Inventory inputs'!N262</x:f>
        <x:v>3800</x:v>
      </x:c>
      <x:c r="L262" s="1" t="n">
        <x:f>'Inventory inputs'!O262</x:f>
        <x:v>0</x:v>
      </x:c>
      <x:c r="M262" s="9" t="n">
        <x:f>E262*G262</x:f>
        <x:v>117.41999999999999</x:v>
      </x:c>
      <x:c r="N262" s="9" t="n">
        <x:f>'Inventory inputs'!Q262</x:f>
        <x:v>117.42</x:v>
      </x:c>
      <x:c r="O262" s="9" t="n">
        <x:f>N262-M262</x:f>
        <x:v>1.4210854715202004e-14</x:v>
      </x:c>
      <x:c r="P262" s="1" t="n">
        <x:f>SUMIFS('Incoming POs'!$P$2:$P$305,'Incoming POs'!$A$2:$A$305,A262,'Incoming POs'!$B$2:$B$305,B262,'Incoming POs'!$C$2:$C$305,C262,'Incoming POs'!$G$2:$G$305,"&gt;="&amp;D262,'Incoming POs'!$G$2:$G$305,"&lt;"&amp;Dashboard!$I$5)</x:f>
        <x:v>0</x:v>
      </x:c>
      <x:c r="Q262" s="1" t="n">
        <x:f>F262*Dashboard!$L$5*MAX(0,Dashboard!$I$5-D262)/30.4375</x:f>
        <x:v>443.52739219712527</x:v>
      </x:c>
      <x:c r="R262" s="1" t="n">
        <x:f>MAX(0,E262+P262-Q262)</x:f>
        <x:v>3356.472607802875</x:v>
      </x:c>
      <x:c r="S262" s="1" t="n">
        <x:f>MAX(0,Q262-E262-P262)</x:f>
        <x:v>0</x:v>
      </x:c>
      <x:c r="T262" s="1" t="str">
        <x:f>IF(L262=1,MAX(0,I262+AB262-MIN(Q262,E262+P262)),"n.a.")</x:f>
        <x:v>n.a.</x:v>
      </x:c>
      <x:c r="U262" s="9" t="str">
        <x:f>IF(ISNUMBER(T262),T262*G262,"n.a.")</x:f>
        <x:v>n.a.</x:v>
      </x:c>
      <x:c r="V262" s="25" t="n">
        <x:f>IF(Dashboard!$I$6="Flat %",1,IF(ISNUMBER(H262),1,0))</x:f>
        <x:v>1</x:v>
      </x:c>
      <x:c r="W262" s="9" t="n">
        <x:f>IF(Dashboard!$I$6="Flat %",G262*(1+Dashboard!$L$6),H262)</x:f>
        <x:v>0.036162</x:v>
      </x:c>
      <x:c r="X262" s="9" t="n">
        <x:f>IF(V262=1,R262*(W262-G262),"n.a.")</x:f>
        <x:v>17.661758862258736</x:v>
      </x:c>
      <x:c r="Y262" s="9" t="n">
        <x:f>IF(V262=1,R262*W262,"n.a.")</x:f>
        <x:v>121.37676244336755</x:v>
      </x:c>
      <x:c r="Z262" s="1" t="str">
        <x:f>IF(ISNUMBER(T262),R262-T262,"n.a.")</x:f>
        <x:v>n.a.</x:v>
      </x:c>
      <x:c r="AA262" s="1" t="str">
        <x:f>'Inventory inputs'!R262</x:f>
        <x:v>Review receipt reconciliation or original PO baseline</x:v>
      </x:c>
      <x:c r="AB262" s="1" t="str">
        <x:f>IF(L262=1,SUMIFS('Incoming POs'!$P$2:$P$305,'Incoming POs'!$A$2:$A$305,A262,'Incoming POs'!$B$2:$B$305,B262,'Incoming POs'!$C$2:$C$305,C262,'Incoming POs'!$G$2:$G$305,"&gt;="&amp;D262,'Incoming POs'!$G$2:$G$305,"&lt;"&amp;Dashboard!$I$5,'Incoming POs'!$Q$2:$Q$305,"&lt;="&amp;('Inventory inputs'!P262/'Inventory inputs'!J262*1.01)),"n.a.")</x:f>
        <x:v>n.a.</x:v>
      </x:c>
      <x:c r="AC262" s="9" t="n">
        <x:f>I262*G262</x:f>
        <x:v>0</x:v>
      </x:c>
      <x:c r="AD262" s="9" t="n">
        <x:f>J262*G262</x:f>
        <x:v>0</x:v>
      </x:c>
      <x:c r="AE262" s="9" t="n">
        <x:f>K262*G262</x:f>
        <x:v>117.41999999999999</x:v>
      </x:c>
      <x:c r="AF262" s="9" t="n">
        <x:f>R262*G262</x:f>
        <x:v>103.71500358110882</x:v>
      </x:c>
    </x:row>
    <x:row r="263" ht="21" customHeight="1">
      <x:c r="A263" s="1" t="str">
        <x:f>'Inventory inputs'!A263</x:f>
        <x:v>PLAS</x:v>
      </x:c>
      <x:c r="B263" s="1" t="str">
        <x:f>'Inventory inputs'!B263</x:f>
        <x:v>60</x:v>
      </x:c>
      <x:c r="C263" s="1" t="str">
        <x:f>'Inventory inputs'!C263</x:f>
        <x:v>01419RWBMAR</x:v>
      </x:c>
      <x:c r="D263" s="7" t="n">
        <x:f>'Inventory inputs'!E263</x:f>
        <x:v>46303</x:v>
      </x:c>
      <x:c r="E263" s="1" t="n">
        <x:f>'Inventory inputs'!F263</x:f>
        <x:v>1000</x:v>
      </x:c>
      <x:c r="F263" s="1" t="n">
        <x:f>'Inventory inputs'!G263</x:f>
        <x:v>333.33</x:v>
      </x:c>
      <x:c r="G263" s="1" t="n">
        <x:f>'Inventory inputs'!H263/'Inventory inputs'!J263</x:f>
        <x:v>0.0181</x:v>
      </x:c>
      <x:c r="H263" s="1" t="n">
        <x:f>IF('Inventory inputs'!I263&gt;0,'Inventory inputs'!I263*'Inventory inputs'!K263/'Inventory inputs'!J263,"n.a.")</x:f>
        <x:v>0.021168</x:v>
      </x:c>
      <x:c r="I263" s="1" t="n">
        <x:f>'Inventory inputs'!L263</x:f>
        <x:v>0</x:v>
      </x:c>
      <x:c r="J263" s="1" t="n">
        <x:f>'Inventory inputs'!M263</x:f>
        <x:v>0</x:v>
      </x:c>
      <x:c r="K263" s="1" t="n">
        <x:f>'Inventory inputs'!N263</x:f>
        <x:v>1000</x:v>
      </x:c>
      <x:c r="L263" s="1" t="n">
        <x:f>'Inventory inputs'!O263</x:f>
        <x:v>0</x:v>
      </x:c>
      <x:c r="M263" s="9" t="n">
        <x:f>E263*G263</x:f>
        <x:v>18.1</x:v>
      </x:c>
      <x:c r="N263" s="9" t="n">
        <x:f>'Inventory inputs'!Q263</x:f>
        <x:v>18.1</x:v>
      </x:c>
      <x:c r="O263" s="9" t="n">
        <x:f>N263-M263</x:f>
        <x:v>0</x:v>
      </x:c>
      <x:c r="P263" s="1" t="n">
        <x:f>SUMIFS('Incoming POs'!$P$2:$P$305,'Incoming POs'!$A$2:$A$305,A263,'Incoming POs'!$B$2:$B$305,B263,'Incoming POs'!$C$2:$C$305,C263,'Incoming POs'!$G$2:$G$305,"&gt;="&amp;D263,'Incoming POs'!$G$2:$G$305,"&lt;"&amp;Dashboard!$I$5)</x:f>
        <x:v>0</x:v>
      </x:c>
      <x:c r="Q263" s="1" t="n">
        <x:f>F263*Dashboard!$L$5*MAX(0,Dashboard!$I$5-D263)/30.4375</x:f>
        <x:v>443.52739219712527</x:v>
      </x:c>
      <x:c r="R263" s="1" t="n">
        <x:f>MAX(0,E263+P263-Q263)</x:f>
        <x:v>556.4726078028748</x:v>
      </x:c>
      <x:c r="S263" s="1" t="n">
        <x:f>MAX(0,Q263-E263-P263)</x:f>
        <x:v>0</x:v>
      </x:c>
      <x:c r="T263" s="1" t="str">
        <x:f>IF(L263=1,MAX(0,I263+AB263-MIN(Q263,E263+P263)),"n.a.")</x:f>
        <x:v>n.a.</x:v>
      </x:c>
      <x:c r="U263" s="9" t="str">
        <x:f>IF(ISNUMBER(T263),T263*G263,"n.a.")</x:f>
        <x:v>n.a.</x:v>
      </x:c>
      <x:c r="V263" s="25" t="n">
        <x:f>IF(Dashboard!$I$6="Flat %",1,IF(ISNUMBER(H263),1,0))</x:f>
        <x:v>1</x:v>
      </x:c>
      <x:c r="W263" s="9" t="n">
        <x:f>IF(Dashboard!$I$6="Flat %",G263*(1+Dashboard!$L$6),H263)</x:f>
        <x:v>0.021168</x:v>
      </x:c>
      <x:c r="X263" s="9" t="n">
        <x:f>IF(V263=1,R263*(W263-G263),"n.a.")</x:f>
        <x:v>1.7072579607392186</x:v>
      </x:c>
      <x:c r="Y263" s="9" t="n">
        <x:f>IF(V263=1,R263*W263,"n.a.")</x:f>
        <x:v>11.779412161971253</x:v>
      </x:c>
      <x:c r="Z263" s="1" t="str">
        <x:f>IF(ISNUMBER(T263),R263-T263,"n.a.")</x:f>
        <x:v>n.a.</x:v>
      </x:c>
      <x:c r="AA263" s="1" t="str">
        <x:f>'Inventory inputs'!R263</x:f>
        <x:v>Review receipt reconciliation or original PO baseline</x:v>
      </x:c>
      <x:c r="AB263" s="1" t="str">
        <x:f>IF(L263=1,SUMIFS('Incoming POs'!$P$2:$P$305,'Incoming POs'!$A$2:$A$305,A263,'Incoming POs'!$B$2:$B$305,B263,'Incoming POs'!$C$2:$C$305,C263,'Incoming POs'!$G$2:$G$305,"&gt;="&amp;D263,'Incoming POs'!$G$2:$G$305,"&lt;"&amp;Dashboard!$I$5,'Incoming POs'!$Q$2:$Q$305,"&lt;="&amp;('Inventory inputs'!P263/'Inventory inputs'!J263*1.01)),"n.a.")</x:f>
        <x:v>n.a.</x:v>
      </x:c>
      <x:c r="AC263" s="9" t="n">
        <x:f>I263*G263</x:f>
        <x:v>0</x:v>
      </x:c>
      <x:c r="AD263" s="9" t="n">
        <x:f>J263*G263</x:f>
        <x:v>0</x:v>
      </x:c>
      <x:c r="AE263" s="9" t="n">
        <x:f>K263*G263</x:f>
        <x:v>18.1</x:v>
      </x:c>
      <x:c r="AF263" s="9" t="n">
        <x:f>R263*G263</x:f>
        <x:v>10.072154201232035</x:v>
      </x:c>
    </x:row>
    <x:row r="264" ht="21" customHeight="1">
      <x:c r="A264" s="1" t="str">
        <x:f>'Inventory inputs'!A264</x:f>
        <x:v>PLAS</x:v>
      </x:c>
      <x:c r="B264" s="1" t="str">
        <x:f>'Inventory inputs'!B264</x:f>
        <x:v>60</x:v>
      </x:c>
      <x:c r="C264" s="1" t="str">
        <x:f>'Inventory inputs'!C264</x:f>
        <x:v>03819RWBCLR</x:v>
      </x:c>
      <x:c r="D264" s="7" t="n">
        <x:f>'Inventory inputs'!E264</x:f>
        <x:v>46303</x:v>
      </x:c>
      <x:c r="E264" s="1" t="n">
        <x:f>'Inventory inputs'!F264</x:f>
        <x:v>3000</x:v>
      </x:c>
      <x:c r="F264" s="1" t="n">
        <x:f>'Inventory inputs'!G264</x:f>
        <x:v>333.33</x:v>
      </x:c>
      <x:c r="G264" s="1" t="n">
        <x:f>'Inventory inputs'!H264/'Inventory inputs'!J264</x:f>
        <x:v>0.0248</x:v>
      </x:c>
      <x:c r="H264" s="1" t="n">
        <x:f>IF('Inventory inputs'!I264&gt;0,'Inventory inputs'!I264*'Inventory inputs'!K264/'Inventory inputs'!J264,"n.a.")</x:f>
        <x:v>0.029106</x:v>
      </x:c>
      <x:c r="I264" s="1" t="n">
        <x:f>'Inventory inputs'!L264</x:f>
        <x:v>0</x:v>
      </x:c>
      <x:c r="J264" s="1" t="n">
        <x:f>'Inventory inputs'!M264</x:f>
        <x:v>0</x:v>
      </x:c>
      <x:c r="K264" s="1" t="n">
        <x:f>'Inventory inputs'!N264</x:f>
        <x:v>3000</x:v>
      </x:c>
      <x:c r="L264" s="1" t="n">
        <x:f>'Inventory inputs'!O264</x:f>
        <x:v>0</x:v>
      </x:c>
      <x:c r="M264" s="9" t="n">
        <x:f>E264*G264</x:f>
        <x:v>74.39999999999999</x:v>
      </x:c>
      <x:c r="N264" s="9" t="n">
        <x:f>'Inventory inputs'!Q264</x:f>
        <x:v>74.4</x:v>
      </x:c>
      <x:c r="O264" s="9" t="n">
        <x:f>N264-M264</x:f>
        <x:v>1.4210854715202004e-14</x:v>
      </x:c>
      <x:c r="P264" s="1" t="n">
        <x:f>SUMIFS('Incoming POs'!$P$2:$P$305,'Incoming POs'!$A$2:$A$305,A264,'Incoming POs'!$B$2:$B$305,B264,'Incoming POs'!$C$2:$C$305,C264,'Incoming POs'!$G$2:$G$305,"&gt;="&amp;D264,'Incoming POs'!$G$2:$G$305,"&lt;"&amp;Dashboard!$I$5)</x:f>
        <x:v>0</x:v>
      </x:c>
      <x:c r="Q264" s="1" t="n">
        <x:f>F264*Dashboard!$L$5*MAX(0,Dashboard!$I$5-D264)/30.4375</x:f>
        <x:v>443.52739219712527</x:v>
      </x:c>
      <x:c r="R264" s="1" t="n">
        <x:f>MAX(0,E264+P264-Q264)</x:f>
        <x:v>2556.472607802875</x:v>
      </x:c>
      <x:c r="S264" s="1" t="n">
        <x:f>MAX(0,Q264-E264-P264)</x:f>
        <x:v>0</x:v>
      </x:c>
      <x:c r="T264" s="1" t="str">
        <x:f>IF(L264=1,MAX(0,I264+AB264-MIN(Q264,E264+P264)),"n.a.")</x:f>
        <x:v>n.a.</x:v>
      </x:c>
      <x:c r="U264" s="9" t="str">
        <x:f>IF(ISNUMBER(T264),T264*G264,"n.a.")</x:f>
        <x:v>n.a.</x:v>
      </x:c>
      <x:c r="V264" s="25" t="n">
        <x:f>IF(Dashboard!$I$6="Flat %",1,IF(ISNUMBER(H264),1,0))</x:f>
        <x:v>1</x:v>
      </x:c>
      <x:c r="W264" s="9" t="n">
        <x:f>IF(Dashboard!$I$6="Flat %",G264*(1+Dashboard!$L$6),H264)</x:f>
        <x:v>0.029106</x:v>
      </x:c>
      <x:c r="X264" s="9" t="n">
        <x:f>IF(V264=1,R264*(W264-G264),"n.a.")</x:f>
        <x:v>11.00817104919918</x:v>
      </x:c>
      <x:c r="Y264" s="9" t="n">
        <x:f>IF(V264=1,R264*W264,"n.a.")</x:f>
        <x:v>74.40869172271047</x:v>
      </x:c>
      <x:c r="Z264" s="1" t="str">
        <x:f>IF(ISNUMBER(T264),R264-T264,"n.a.")</x:f>
        <x:v>n.a.</x:v>
      </x:c>
      <x:c r="AA264" s="1" t="str">
        <x:f>'Inventory inputs'!R264</x:f>
        <x:v>Review receipt reconciliation or original PO baseline</x:v>
      </x:c>
      <x:c r="AB264" s="1" t="str">
        <x:f>IF(L264=1,SUMIFS('Incoming POs'!$P$2:$P$305,'Incoming POs'!$A$2:$A$305,A264,'Incoming POs'!$B$2:$B$305,B264,'Incoming POs'!$C$2:$C$305,C264,'Incoming POs'!$G$2:$G$305,"&gt;="&amp;D264,'Incoming POs'!$G$2:$G$305,"&lt;"&amp;Dashboard!$I$5,'Incoming POs'!$Q$2:$Q$305,"&lt;="&amp;('Inventory inputs'!P264/'Inventory inputs'!J264*1.01)),"n.a.")</x:f>
        <x:v>n.a.</x:v>
      </x:c>
      <x:c r="AC264" s="9" t="n">
        <x:f>I264*G264</x:f>
        <x:v>0</x:v>
      </x:c>
      <x:c r="AD264" s="9" t="n">
        <x:f>J264*G264</x:f>
        <x:v>0</x:v>
      </x:c>
      <x:c r="AE264" s="9" t="n">
        <x:f>K264*G264</x:f>
        <x:v>74.39999999999999</x:v>
      </x:c>
      <x:c r="AF264" s="9" t="n">
        <x:f>R264*G264</x:f>
        <x:v>63.400520673511295</x:v>
      </x:c>
    </x:row>
    <x:row r="265" ht="21" customHeight="1">
      <x:c r="A265" s="1" t="str">
        <x:f>'Inventory inputs'!A265</x:f>
        <x:v>PLAS</x:v>
      </x:c>
      <x:c r="B265" s="1" t="str">
        <x:f>'Inventory inputs'!B265</x:f>
        <x:v>10</x:v>
      </x:c>
      <x:c r="C265" s="1" t="str">
        <x:f>'Inventory inputs'!C265</x:f>
        <x:v>11421RSLWHT</x:v>
      </x:c>
      <x:c r="D265" s="7" t="n">
        <x:f>'Inventory inputs'!E265</x:f>
        <x:v>46303</x:v>
      </x:c>
      <x:c r="E265" s="1" t="n">
        <x:f>'Inventory inputs'!F265</x:f>
        <x:v>6357</x:v>
      </x:c>
      <x:c r="F265" s="1" t="n">
        <x:f>'Inventory inputs'!G265</x:f>
        <x:v>329.42</x:v>
      </x:c>
      <x:c r="G265" s="1" t="n">
        <x:f>'Inventory inputs'!H265/'Inventory inputs'!J265</x:f>
        <x:v>0.1105</x:v>
      </x:c>
      <x:c r="H265" s="1" t="n">
        <x:f>IF('Inventory inputs'!I265&gt;0,'Inventory inputs'!I265*'Inventory inputs'!K265/'Inventory inputs'!J265,"n.a.")</x:f>
        <x:v>0.12936</x:v>
      </x:c>
      <x:c r="I265" s="1" t="n">
        <x:f>'Inventory inputs'!L265</x:f>
        <x:v>6357</x:v>
      </x:c>
      <x:c r="J265" s="1" t="n">
        <x:f>'Inventory inputs'!M265</x:f>
        <x:v>0</x:v>
      </x:c>
      <x:c r="K265" s="1" t="n">
        <x:f>'Inventory inputs'!N265</x:f>
        <x:v>0</x:v>
      </x:c>
      <x:c r="L265" s="1" t="n">
        <x:f>'Inventory inputs'!O265</x:f>
        <x:v>1</x:v>
      </x:c>
      <x:c r="M265" s="9" t="n">
        <x:f>E265*G265</x:f>
        <x:v>702.4485</x:v>
      </x:c>
      <x:c r="N265" s="9" t="n">
        <x:f>'Inventory inputs'!Q265</x:f>
        <x:v>702.4485000000001</x:v>
      </x:c>
      <x:c r="O265" s="9" t="n">
        <x:f>N265-M265</x:f>
        <x:v>1.1368683772161603e-13</x:v>
      </x:c>
      <x:c r="P265" s="1" t="n">
        <x:f>SUMIFS('Incoming POs'!$P$2:$P$305,'Incoming POs'!$A$2:$A$305,A265,'Incoming POs'!$B$2:$B$305,B265,'Incoming POs'!$C$2:$C$305,C265,'Incoming POs'!$G$2:$G$305,"&gt;="&amp;D265,'Incoming POs'!$G$2:$G$305,"&lt;"&amp;Dashboard!$I$5)</x:f>
        <x:v>0</x:v>
      </x:c>
      <x:c r="Q265" s="1" t="n">
        <x:f>F265*Dashboard!$L$5*MAX(0,Dashboard!$I$5-D265)/30.4375</x:f>
        <x:v>438.3247638603696</x:v>
      </x:c>
      <x:c r="R265" s="1" t="n">
        <x:f>MAX(0,E265+P265-Q265)</x:f>
        <x:v>5918.67523613963</x:v>
      </x:c>
      <x:c r="S265" s="1" t="n">
        <x:f>MAX(0,Q265-E265-P265)</x:f>
        <x:v>0</x:v>
      </x:c>
      <x:c r="T265" s="1" t="n">
        <x:f>IF(L265=1,MAX(0,I265+AB265-MIN(Q265,E265+P265)),"n.a.")</x:f>
        <x:v>5918.67523613963</x:v>
      </x:c>
      <x:c r="U265" s="9" t="n">
        <x:f>IF(ISNUMBER(T265),T265*G265,"n.a.")</x:f>
        <x:v>654.0136135934291</x:v>
      </x:c>
      <x:c r="V265" s="25" t="n">
        <x:f>IF(Dashboard!$I$6="Flat %",1,IF(ISNUMBER(H265),1,0))</x:f>
        <x:v>1</x:v>
      </x:c>
      <x:c r="W265" s="9" t="n">
        <x:f>IF(Dashboard!$I$6="Flat %",G265*(1+Dashboard!$L$6),H265)</x:f>
        <x:v>0.12936</x:v>
      </x:c>
      <x:c r="X265" s="9" t="n">
        <x:f>IF(V265=1,R265*(W265-G265),"n.a.")</x:f>
        <x:v>111.62621495359343</x:v>
      </x:c>
      <x:c r="Y265" s="9" t="n">
        <x:f>IF(V265=1,R265*W265,"n.a.")</x:f>
        <x:v>765.6398285470226</x:v>
      </x:c>
      <x:c r="Z265" s="1" t="n">
        <x:f>IF(ISNUMBER(T265),R265-T265,"n.a.")</x:f>
        <x:v>0</x:v>
      </x:c>
      <x:c r="AA265" s="1" t="str">
        <x:f>'Inventory inputs'!R265</x:f>
        <x:v>Classified</x:v>
      </x:c>
      <x:c r="AB265" s="1" t="n">
        <x:f>IF(L265=1,SUMIFS('Incoming POs'!$P$2:$P$305,'Incoming POs'!$A$2:$A$305,A265,'Incoming POs'!$B$2:$B$305,B265,'Incoming POs'!$C$2:$C$305,C265,'Incoming POs'!$G$2:$G$305,"&gt;="&amp;D265,'Incoming POs'!$G$2:$G$305,"&lt;"&amp;Dashboard!$I$5,'Incoming POs'!$Q$2:$Q$305,"&lt;="&amp;('Inventory inputs'!P265/'Inventory inputs'!J265*1.01)),"n.a.")</x:f>
        <x:v>0</x:v>
      </x:c>
      <x:c r="AC265" s="9" t="n">
        <x:f>I265*G265</x:f>
        <x:v>702.4485</x:v>
      </x:c>
      <x:c r="AD265" s="9" t="n">
        <x:f>J265*G265</x:f>
        <x:v>0</x:v>
      </x:c>
      <x:c r="AE265" s="9" t="n">
        <x:f>K265*G265</x:f>
        <x:v>0</x:v>
      </x:c>
      <x:c r="AF265" s="9" t="n">
        <x:f>R265*G265</x:f>
        <x:v>654.0136135934291</x:v>
      </x:c>
    </x:row>
    <x:row r="266" ht="21" customHeight="1">
      <x:c r="A266" s="1" t="str">
        <x:f>'Inventory inputs'!A266</x:f>
        <x:v>PLAS</x:v>
      </x:c>
      <x:c r="B266" s="1" t="str">
        <x:f>'Inventory inputs'!B266</x:f>
        <x:v>10</x:v>
      </x:c>
      <x:c r="C266" s="1" t="str">
        <x:f>'Inventory inputs'!C266</x:f>
        <x:v>03421RWBWHT</x:v>
      </x:c>
      <x:c r="D266" s="7" t="n">
        <x:f>'Inventory inputs'!E266</x:f>
        <x:v>46303</x:v>
      </x:c>
      <x:c r="E266" s="1" t="n">
        <x:f>'Inventory inputs'!F266</x:f>
        <x:v>7000</x:v>
      </x:c>
      <x:c r="F266" s="1" t="n">
        <x:f>'Inventory inputs'!G266</x:f>
        <x:v>325</x:v>
      </x:c>
      <x:c r="G266" s="1" t="n">
        <x:f>'Inventory inputs'!H266/'Inventory inputs'!J266</x:f>
        <x:v>0.0617</x:v>
      </x:c>
      <x:c r="H266" s="1" t="n">
        <x:f>IF('Inventory inputs'!I266&gt;0,'Inventory inputs'!I266*'Inventory inputs'!K266/'Inventory inputs'!J266,"n.a.")</x:f>
        <x:v>0.07217699999999999</x:v>
      </x:c>
      <x:c r="I266" s="1" t="n">
        <x:f>'Inventory inputs'!L266</x:f>
        <x:v>7000</x:v>
      </x:c>
      <x:c r="J266" s="1" t="n">
        <x:f>'Inventory inputs'!M266</x:f>
        <x:v>0</x:v>
      </x:c>
      <x:c r="K266" s="1" t="n">
        <x:f>'Inventory inputs'!N266</x:f>
        <x:v>0</x:v>
      </x:c>
      <x:c r="L266" s="1" t="n">
        <x:f>'Inventory inputs'!O266</x:f>
        <x:v>1</x:v>
      </x:c>
      <x:c r="M266" s="9" t="n">
        <x:f>E266*G266</x:f>
        <x:v>431.9</x:v>
      </x:c>
      <x:c r="N266" s="9" t="n">
        <x:f>'Inventory inputs'!Q266</x:f>
        <x:v>431.90000000000003</x:v>
      </x:c>
      <x:c r="O266" s="9" t="n">
        <x:f>N266-M266</x:f>
        <x:v>5.684341886080802e-14</x:v>
      </x:c>
      <x:c r="P266" s="1" t="n">
        <x:f>SUMIFS('Incoming POs'!$P$2:$P$305,'Incoming POs'!$A$2:$A$305,A266,'Incoming POs'!$B$2:$B$305,B266,'Incoming POs'!$C$2:$C$305,C266,'Incoming POs'!$G$2:$G$305,"&gt;="&amp;D266,'Incoming POs'!$G$2:$G$305,"&lt;"&amp;Dashboard!$I$5)</x:f>
        <x:v>0</x:v>
      </x:c>
      <x:c r="Q266" s="1" t="n">
        <x:f>F266*Dashboard!$L$5*MAX(0,Dashboard!$I$5-D266)/30.4375</x:f>
        <x:v>432.4435318275154</x:v>
      </x:c>
      <x:c r="R266" s="1" t="n">
        <x:f>MAX(0,E266+P266-Q266)</x:f>
        <x:v>6567.5564681724845</x:v>
      </x:c>
      <x:c r="S266" s="1" t="n">
        <x:f>MAX(0,Q266-E266-P266)</x:f>
        <x:v>0</x:v>
      </x:c>
      <x:c r="T266" s="1" t="n">
        <x:f>IF(L266=1,MAX(0,I266+AB266-MIN(Q266,E266+P266)),"n.a.")</x:f>
        <x:v>6567.5564681724845</x:v>
      </x:c>
      <x:c r="U266" s="9" t="n">
        <x:f>IF(ISNUMBER(T266),T266*G266,"n.a.")</x:f>
        <x:v>405.21823408624226</x:v>
      </x:c>
      <x:c r="V266" s="25" t="n">
        <x:f>IF(Dashboard!$I$6="Flat %",1,IF(ISNUMBER(H266),1,0))</x:f>
        <x:v>1</x:v>
      </x:c>
      <x:c r="W266" s="9" t="n">
        <x:f>IF(Dashboard!$I$6="Flat %",G266*(1+Dashboard!$L$6),H266)</x:f>
        <x:v>0.07217699999999999</x:v>
      </x:c>
      <x:c r="X266" s="9" t="n">
        <x:f>IF(V266=1,R266*(W266-G266),"n.a.")</x:f>
        <x:v>68.80828911704307</x:v>
      </x:c>
      <x:c r="Y266" s="9" t="n">
        <x:f>IF(V266=1,R266*W266,"n.a.")</x:f>
        <x:v>474.02652320328536</x:v>
      </x:c>
      <x:c r="Z266" s="1" t="n">
        <x:f>IF(ISNUMBER(T266),R266-T266,"n.a.")</x:f>
        <x:v>0</x:v>
      </x:c>
      <x:c r="AA266" s="1" t="str">
        <x:f>'Inventory inputs'!R266</x:f>
        <x:v>Classified</x:v>
      </x:c>
      <x:c r="AB266" s="1" t="n">
        <x:f>IF(L266=1,SUMIFS('Incoming POs'!$P$2:$P$305,'Incoming POs'!$A$2:$A$305,A266,'Incoming POs'!$B$2:$B$305,B266,'Incoming POs'!$C$2:$C$305,C266,'Incoming POs'!$G$2:$G$305,"&gt;="&amp;D266,'Incoming POs'!$G$2:$G$305,"&lt;"&amp;Dashboard!$I$5,'Incoming POs'!$Q$2:$Q$305,"&lt;="&amp;('Inventory inputs'!P266/'Inventory inputs'!J266*1.01)),"n.a.")</x:f>
        <x:v>0</x:v>
      </x:c>
      <x:c r="AC266" s="9" t="n">
        <x:f>I266*G266</x:f>
        <x:v>431.9</x:v>
      </x:c>
      <x:c r="AD266" s="9" t="n">
        <x:f>J266*G266</x:f>
        <x:v>0</x:v>
      </x:c>
      <x:c r="AE266" s="9" t="n">
        <x:f>K266*G266</x:f>
        <x:v>0</x:v>
      </x:c>
      <x:c r="AF266" s="9" t="n">
        <x:f>R266*G266</x:f>
        <x:v>405.21823408624226</x:v>
      </x:c>
    </x:row>
    <x:row r="267" ht="21" customHeight="1">
      <x:c r="A267" s="1" t="str">
        <x:f>'Inventory inputs'!A267</x:f>
        <x:v>PLAS</x:v>
      </x:c>
      <x:c r="B267" s="1" t="str">
        <x:f>'Inventory inputs'!B267</x:f>
        <x:v>60</x:v>
      </x:c>
      <x:c r="C267" s="1" t="str">
        <x:f>'Inventory inputs'!C267</x:f>
        <x:v>00119RWBNAV</x:v>
      </x:c>
      <x:c r="D267" s="7" t="n">
        <x:f>'Inventory inputs'!E267</x:f>
        <x:v>46303</x:v>
      </x:c>
      <x:c r="E267" s="1" t="n">
        <x:f>'Inventory inputs'!F267</x:f>
        <x:v>1700</x:v>
      </x:c>
      <x:c r="F267" s="1" t="n">
        <x:f>'Inventory inputs'!G267</x:f>
        <x:v>325</x:v>
      </x:c>
      <x:c r="G267" s="1" t="n">
        <x:f>'Inventory inputs'!H267/'Inventory inputs'!J267</x:f>
        <x:v>0.1054</x:v>
      </x:c>
      <x:c r="H267" s="1" t="n">
        <x:f>IF('Inventory inputs'!I267&gt;0,'Inventory inputs'!I267*'Inventory inputs'!K267/'Inventory inputs'!J267,"n.a.")</x:f>
        <x:v>0.12333300000000001</x:v>
      </x:c>
      <x:c r="I267" s="1" t="n">
        <x:f>'Inventory inputs'!L267</x:f>
        <x:v>0</x:v>
      </x:c>
      <x:c r="J267" s="1" t="n">
        <x:f>'Inventory inputs'!M267</x:f>
        <x:v>0</x:v>
      </x:c>
      <x:c r="K267" s="1" t="n">
        <x:f>'Inventory inputs'!N267</x:f>
        <x:v>1700</x:v>
      </x:c>
      <x:c r="L267" s="1" t="n">
        <x:f>'Inventory inputs'!O267</x:f>
        <x:v>0</x:v>
      </x:c>
      <x:c r="M267" s="9" t="n">
        <x:f>E267*G267</x:f>
        <x:v>179.17999999999998</x:v>
      </x:c>
      <x:c r="N267" s="9" t="n">
        <x:f>'Inventory inputs'!Q267</x:f>
        <x:v>179.18</x:v>
      </x:c>
      <x:c r="O267" s="9" t="n">
        <x:f>N267-M267</x:f>
        <x:v>2.842170943040401e-14</x:v>
      </x:c>
      <x:c r="P267" s="1" t="n">
        <x:f>SUMIFS('Incoming POs'!$P$2:$P$305,'Incoming POs'!$A$2:$A$305,A267,'Incoming POs'!$B$2:$B$305,B267,'Incoming POs'!$C$2:$C$305,C267,'Incoming POs'!$G$2:$G$305,"&gt;="&amp;D267,'Incoming POs'!$G$2:$G$305,"&lt;"&amp;Dashboard!$I$5)</x:f>
        <x:v>0</x:v>
      </x:c>
      <x:c r="Q267" s="1" t="n">
        <x:f>F267*Dashboard!$L$5*MAX(0,Dashboard!$I$5-D267)/30.4375</x:f>
        <x:v>432.4435318275154</x:v>
      </x:c>
      <x:c r="R267" s="1" t="n">
        <x:f>MAX(0,E267+P267-Q267)</x:f>
        <x:v>1267.5564681724845</x:v>
      </x:c>
      <x:c r="S267" s="1" t="n">
        <x:f>MAX(0,Q267-E267-P267)</x:f>
        <x:v>0</x:v>
      </x:c>
      <x:c r="T267" s="1" t="str">
        <x:f>IF(L267=1,MAX(0,I267+AB267-MIN(Q267,E267+P267)),"n.a.")</x:f>
        <x:v>n.a.</x:v>
      </x:c>
      <x:c r="U267" s="9" t="str">
        <x:f>IF(ISNUMBER(T267),T267*G267,"n.a.")</x:f>
        <x:v>n.a.</x:v>
      </x:c>
      <x:c r="V267" s="25" t="n">
        <x:f>IF(Dashboard!$I$6="Flat %",1,IF(ISNUMBER(H267),1,0))</x:f>
        <x:v>1</x:v>
      </x:c>
      <x:c r="W267" s="9" t="n">
        <x:f>IF(Dashboard!$I$6="Flat %",G267*(1+Dashboard!$L$6),H267)</x:f>
        <x:v>0.12333300000000001</x:v>
      </x:c>
      <x:c r="X267" s="9" t="n">
        <x:f>IF(V267=1,R267*(W267-G267),"n.a.")</x:f>
        <x:v>22.731090143737188</x:v>
      </x:c>
      <x:c r="Y267" s="9" t="n">
        <x:f>IF(V267=1,R267*W267,"n.a.")</x:f>
        <x:v>156.33154188911706</x:v>
      </x:c>
      <x:c r="Z267" s="1" t="str">
        <x:f>IF(ISNUMBER(T267),R267-T267,"n.a.")</x:f>
        <x:v>n.a.</x:v>
      </x:c>
      <x:c r="AA267" s="1" t="str">
        <x:f>'Inventory inputs'!R267</x:f>
        <x:v>Review receipt reconciliation or original PO baseline</x:v>
      </x:c>
      <x:c r="AB267" s="1" t="str">
        <x:f>IF(L267=1,SUMIFS('Incoming POs'!$P$2:$P$305,'Incoming POs'!$A$2:$A$305,A267,'Incoming POs'!$B$2:$B$305,B267,'Incoming POs'!$C$2:$C$305,C267,'Incoming POs'!$G$2:$G$305,"&gt;="&amp;D267,'Incoming POs'!$G$2:$G$305,"&lt;"&amp;Dashboard!$I$5,'Incoming POs'!$Q$2:$Q$305,"&lt;="&amp;('Inventory inputs'!P267/'Inventory inputs'!J267*1.01)),"n.a.")</x:f>
        <x:v>n.a.</x:v>
      </x:c>
      <x:c r="AC267" s="9" t="n">
        <x:f>I267*G267</x:f>
        <x:v>0</x:v>
      </x:c>
      <x:c r="AD267" s="9" t="n">
        <x:f>J267*G267</x:f>
        <x:v>0</x:v>
      </x:c>
      <x:c r="AE267" s="9" t="n">
        <x:f>K267*G267</x:f>
        <x:v>179.17999999999998</x:v>
      </x:c>
      <x:c r="AF267" s="9" t="n">
        <x:f>R267*G267</x:f>
        <x:v>133.60045174537987</x:v>
      </x:c>
    </x:row>
    <x:row r="268" ht="21" customHeight="1">
      <x:c r="A268" s="1" t="str">
        <x:f>'Inventory inputs'!A268</x:f>
        <x:v>PLAS</x:v>
      </x:c>
      <x:c r="B268" s="1" t="str">
        <x:f>'Inventory inputs'!B268</x:f>
        <x:v>30</x:v>
      </x:c>
      <x:c r="C268" s="1" t="str">
        <x:f>'Inventory inputs'!C268</x:f>
        <x:v>11219RSLWHT</x:v>
      </x:c>
      <x:c r="D268" s="7" t="n">
        <x:f>'Inventory inputs'!E268</x:f>
        <x:v>46303</x:v>
      </x:c>
      <x:c r="E268" s="1" t="n">
        <x:f>'Inventory inputs'!F268</x:f>
        <x:v>2000</x:v>
      </x:c>
      <x:c r="F268" s="1" t="n">
        <x:f>'Inventory inputs'!G268</x:f>
        <x:v>316.67</x:v>
      </x:c>
      <x:c r="G268" s="1" t="n">
        <x:f>'Inventory inputs'!H268/'Inventory inputs'!J268</x:f>
        <x:v>0.1298</x:v>
      </x:c>
      <x:c r="H268" s="1" t="n">
        <x:f>IF('Inventory inputs'!I268&gt;0,'Inventory inputs'!I268*'Inventory inputs'!K268/'Inventory inputs'!J268,"n.a.")</x:f>
        <x:v>0.151851</x:v>
      </x:c>
      <x:c r="I268" s="1" t="n">
        <x:f>'Inventory inputs'!L268</x:f>
        <x:v>0</x:v>
      </x:c>
      <x:c r="J268" s="1" t="n">
        <x:f>'Inventory inputs'!M268</x:f>
        <x:v>0</x:v>
      </x:c>
      <x:c r="K268" s="1" t="n">
        <x:f>'Inventory inputs'!N268</x:f>
        <x:v>2000</x:v>
      </x:c>
      <x:c r="L268" s="1" t="n">
        <x:f>'Inventory inputs'!O268</x:f>
        <x:v>0</x:v>
      </x:c>
      <x:c r="M268" s="9" t="n">
        <x:f>E268*G268</x:f>
        <x:v>259.6</x:v>
      </x:c>
      <x:c r="N268" s="9" t="n">
        <x:f>'Inventory inputs'!Q268</x:f>
        <x:v>259.6</x:v>
      </x:c>
      <x:c r="O268" s="9" t="n">
        <x:f>N268-M268</x:f>
        <x:v>0</x:v>
      </x:c>
      <x:c r="P268" s="1" t="n">
        <x:f>SUMIFS('Incoming POs'!$P$2:$P$305,'Incoming POs'!$A$2:$A$305,A268,'Incoming POs'!$B$2:$B$305,B268,'Incoming POs'!$C$2:$C$305,C268,'Incoming POs'!$G$2:$G$305,"&gt;="&amp;D268,'Incoming POs'!$G$2:$G$305,"&lt;"&amp;Dashboard!$I$5)</x:f>
        <x:v>0</x:v>
      </x:c>
      <x:c r="Q268" s="1" t="n">
        <x:f>F268*Dashboard!$L$5*MAX(0,Dashboard!$I$5-D268)/30.4375</x:f>
        <x:v>421.35967145790556</x:v>
      </x:c>
      <x:c r="R268" s="1" t="n">
        <x:f>MAX(0,E268+P268-Q268)</x:f>
        <x:v>1578.6403285420945</x:v>
      </x:c>
      <x:c r="S268" s="1" t="n">
        <x:f>MAX(0,Q268-E268-P268)</x:f>
        <x:v>0</x:v>
      </x:c>
      <x:c r="T268" s="1" t="str">
        <x:f>IF(L268=1,MAX(0,I268+AB268-MIN(Q268,E268+P268)),"n.a.")</x:f>
        <x:v>n.a.</x:v>
      </x:c>
      <x:c r="U268" s="9" t="str">
        <x:f>IF(ISNUMBER(T268),T268*G268,"n.a.")</x:f>
        <x:v>n.a.</x:v>
      </x:c>
      <x:c r="V268" s="25" t="n">
        <x:f>IF(Dashboard!$I$6="Flat %",1,IF(ISNUMBER(H268),1,0))</x:f>
        <x:v>1</x:v>
      </x:c>
      <x:c r="W268" s="9" t="n">
        <x:f>IF(Dashboard!$I$6="Flat %",G268*(1+Dashboard!$L$6),H268)</x:f>
        <x:v>0.151851</x:v>
      </x:c>
      <x:c r="X268" s="9" t="n">
        <x:f>IF(V268=1,R268*(W268-G268),"n.a.")</x:f>
        <x:v>34.81059788468175</x:v>
      </x:c>
      <x:c r="Y268" s="9" t="n">
        <x:f>IF(V268=1,R268*W268,"n.a.")</x:f>
        <x:v>239.71811252944562</x:v>
      </x:c>
      <x:c r="Z268" s="1" t="str">
        <x:f>IF(ISNUMBER(T268),R268-T268,"n.a.")</x:f>
        <x:v>n.a.</x:v>
      </x:c>
      <x:c r="AA268" s="1" t="str">
        <x:f>'Inventory inputs'!R268</x:f>
        <x:v>Review receipt reconciliation or original PO baseline</x:v>
      </x:c>
      <x:c r="AB268" s="1" t="str">
        <x:f>IF(L268=1,SUMIFS('Incoming POs'!$P$2:$P$305,'Incoming POs'!$A$2:$A$305,A268,'Incoming POs'!$B$2:$B$305,B268,'Incoming POs'!$C$2:$C$305,C268,'Incoming POs'!$G$2:$G$305,"&gt;="&amp;D268,'Incoming POs'!$G$2:$G$305,"&lt;"&amp;Dashboard!$I$5,'Incoming POs'!$Q$2:$Q$305,"&lt;="&amp;('Inventory inputs'!P268/'Inventory inputs'!J268*1.01)),"n.a.")</x:f>
        <x:v>n.a.</x:v>
      </x:c>
      <x:c r="AC268" s="9" t="n">
        <x:f>I268*G268</x:f>
        <x:v>0</x:v>
      </x:c>
      <x:c r="AD268" s="9" t="n">
        <x:f>J268*G268</x:f>
        <x:v>0</x:v>
      </x:c>
      <x:c r="AE268" s="9" t="n">
        <x:f>K268*G268</x:f>
        <x:v>259.6</x:v>
      </x:c>
      <x:c r="AF268" s="9" t="n">
        <x:f>R268*G268</x:f>
        <x:v>204.90751464476386</x:v>
      </x:c>
    </x:row>
    <x:row r="269" ht="21" customHeight="1">
      <x:c r="A269" s="1" t="str">
        <x:f>'Inventory inputs'!A269</x:f>
        <x:v>PLAS</x:v>
      </x:c>
      <x:c r="B269" s="1" t="str">
        <x:f>'Inventory inputs'!B269</x:f>
        <x:v>60</x:v>
      </x:c>
      <x:c r="C269" s="1" t="str">
        <x:f>'Inventory inputs'!C269</x:f>
        <x:v>51619RWBMAR</x:v>
      </x:c>
      <x:c r="D269" s="7" t="n">
        <x:f>'Inventory inputs'!E269</x:f>
        <x:v>46303</x:v>
      </x:c>
      <x:c r="E269" s="1" t="n">
        <x:f>'Inventory inputs'!F269</x:f>
        <x:v>900</x:v>
      </x:c>
      <x:c r="F269" s="1" t="n">
        <x:f>'Inventory inputs'!G269</x:f>
        <x:v>316.67</x:v>
      </x:c>
      <x:c r="G269" s="1" t="n">
        <x:f>'Inventory inputs'!H269/'Inventory inputs'!J269</x:f>
        <x:v>0.0216</x:v>
      </x:c>
      <x:c r="H269" s="1" t="n">
        <x:f>IF('Inventory inputs'!I269&gt;0,'Inventory inputs'!I269*'Inventory inputs'!K269/'Inventory inputs'!J269,"n.a.")</x:f>
        <x:v>0.025284</x:v>
      </x:c>
      <x:c r="I269" s="1" t="n">
        <x:f>'Inventory inputs'!L269</x:f>
        <x:v>0</x:v>
      </x:c>
      <x:c r="J269" s="1" t="n">
        <x:f>'Inventory inputs'!M269</x:f>
        <x:v>0</x:v>
      </x:c>
      <x:c r="K269" s="1" t="n">
        <x:f>'Inventory inputs'!N269</x:f>
        <x:v>900</x:v>
      </x:c>
      <x:c r="L269" s="1" t="n">
        <x:f>'Inventory inputs'!O269</x:f>
        <x:v>0</x:v>
      </x:c>
      <x:c r="M269" s="9" t="n">
        <x:f>E269*G269</x:f>
        <x:v>19.44</x:v>
      </x:c>
      <x:c r="N269" s="9" t="n">
        <x:f>'Inventory inputs'!Q269</x:f>
        <x:v>19.44</x:v>
      </x:c>
      <x:c r="O269" s="9" t="n">
        <x:f>N269-M269</x:f>
        <x:v>0</x:v>
      </x:c>
      <x:c r="P269" s="1" t="n">
        <x:f>SUMIFS('Incoming POs'!$P$2:$P$305,'Incoming POs'!$A$2:$A$305,A269,'Incoming POs'!$B$2:$B$305,B269,'Incoming POs'!$C$2:$C$305,C269,'Incoming POs'!$G$2:$G$305,"&gt;="&amp;D269,'Incoming POs'!$G$2:$G$305,"&lt;"&amp;Dashboard!$I$5)</x:f>
        <x:v>0</x:v>
      </x:c>
      <x:c r="Q269" s="1" t="n">
        <x:f>F269*Dashboard!$L$5*MAX(0,Dashboard!$I$5-D269)/30.4375</x:f>
        <x:v>421.35967145790556</x:v>
      </x:c>
      <x:c r="R269" s="1" t="n">
        <x:f>MAX(0,E269+P269-Q269)</x:f>
        <x:v>478.64032854209444</x:v>
      </x:c>
      <x:c r="S269" s="1" t="n">
        <x:f>MAX(0,Q269-E269-P269)</x:f>
        <x:v>0</x:v>
      </x:c>
      <x:c r="T269" s="1" t="str">
        <x:f>IF(L269=1,MAX(0,I269+AB269-MIN(Q269,E269+P269)),"n.a.")</x:f>
        <x:v>n.a.</x:v>
      </x:c>
      <x:c r="U269" s="9" t="str">
        <x:f>IF(ISNUMBER(T269),T269*G269,"n.a.")</x:f>
        <x:v>n.a.</x:v>
      </x:c>
      <x:c r="V269" s="25" t="n">
        <x:f>IF(Dashboard!$I$6="Flat %",1,IF(ISNUMBER(H269),1,0))</x:f>
        <x:v>1</x:v>
      </x:c>
      <x:c r="W269" s="9" t="n">
        <x:f>IF(Dashboard!$I$6="Flat %",G269*(1+Dashboard!$L$6),H269)</x:f>
        <x:v>0.025284</x:v>
      </x:c>
      <x:c r="X269" s="9" t="n">
        <x:f>IF(V269=1,R269*(W269-G269),"n.a.")</x:f>
        <x:v>1.7633109703490757</x:v>
      </x:c>
      <x:c r="Y269" s="9" t="n">
        <x:f>IF(V269=1,R269*W269,"n.a.")</x:f>
        <x:v>12.101942066858316</x:v>
      </x:c>
      <x:c r="Z269" s="1" t="str">
        <x:f>IF(ISNUMBER(T269),R269-T269,"n.a.")</x:f>
        <x:v>n.a.</x:v>
      </x:c>
      <x:c r="AA269" s="1" t="str">
        <x:f>'Inventory inputs'!R269</x:f>
        <x:v>Review receipt reconciliation or original PO baseline</x:v>
      </x:c>
      <x:c r="AB269" s="1" t="str">
        <x:f>IF(L269=1,SUMIFS('Incoming POs'!$P$2:$P$305,'Incoming POs'!$A$2:$A$305,A269,'Incoming POs'!$B$2:$B$305,B269,'Incoming POs'!$C$2:$C$305,C269,'Incoming POs'!$G$2:$G$305,"&gt;="&amp;D269,'Incoming POs'!$G$2:$G$305,"&lt;"&amp;Dashboard!$I$5,'Incoming POs'!$Q$2:$Q$305,"&lt;="&amp;('Inventory inputs'!P269/'Inventory inputs'!J269*1.01)),"n.a.")</x:f>
        <x:v>n.a.</x:v>
      </x:c>
      <x:c r="AC269" s="9" t="n">
        <x:f>I269*G269</x:f>
        <x:v>0</x:v>
      </x:c>
      <x:c r="AD269" s="9" t="n">
        <x:f>J269*G269</x:f>
        <x:v>0</x:v>
      </x:c>
      <x:c r="AE269" s="9" t="n">
        <x:f>K269*G269</x:f>
        <x:v>19.44</x:v>
      </x:c>
      <x:c r="AF269" s="9" t="n">
        <x:f>R269*G269</x:f>
        <x:v>10.338631096509241</x:v>
      </x:c>
    </x:row>
    <x:row r="270" ht="21" customHeight="1">
      <x:c r="A270" s="1" t="str">
        <x:f>'Inventory inputs'!A270</x:f>
        <x:v>PLAS</x:v>
      </x:c>
      <x:c r="B270" s="1" t="str">
        <x:f>'Inventory inputs'!B270</x:f>
        <x:v>10</x:v>
      </x:c>
      <x:c r="C270" s="1" t="str">
        <x:f>'Inventory inputs'!C270</x:f>
        <x:v>00219RSLNAV</x:v>
      </x:c>
      <x:c r="D270" s="7" t="n">
        <x:f>'Inventory inputs'!E270</x:f>
        <x:v>46303</x:v>
      </x:c>
      <x:c r="E270" s="1" t="n">
        <x:f>'Inventory inputs'!F270</x:f>
        <x:v>280</x:v>
      </x:c>
      <x:c r="F270" s="1" t="n">
        <x:f>'Inventory inputs'!G270</x:f>
        <x:v>310</x:v>
      </x:c>
      <x:c r="G270" s="1" t="n">
        <x:f>'Inventory inputs'!H270/'Inventory inputs'!J270</x:f>
        <x:v>0.1477</x:v>
      </x:c>
      <x:c r="H270" s="1" t="n">
        <x:f>IF('Inventory inputs'!I270&gt;0,'Inventory inputs'!I270*'Inventory inputs'!K270/'Inventory inputs'!J270,"n.a.")</x:f>
        <x:v>0.172872</x:v>
      </x:c>
      <x:c r="I270" s="1" t="n">
        <x:f>'Inventory inputs'!L270</x:f>
        <x:v>0</x:v>
      </x:c>
      <x:c r="J270" s="1" t="n">
        <x:f>'Inventory inputs'!M270</x:f>
        <x:v>280</x:v>
      </x:c>
      <x:c r="K270" s="1" t="n">
        <x:f>'Inventory inputs'!N270</x:f>
        <x:v>0</x:v>
      </x:c>
      <x:c r="L270" s="1" t="n">
        <x:f>'Inventory inputs'!O270</x:f>
        <x:v>1</x:v>
      </x:c>
      <x:c r="M270" s="9" t="n">
        <x:f>E270*G270</x:f>
        <x:v>41.356</x:v>
      </x:c>
      <x:c r="N270" s="9" t="n">
        <x:f>'Inventory inputs'!Q270</x:f>
        <x:v>41.355999999999995</x:v>
      </x:c>
      <x:c r="O270" s="9" t="n">
        <x:f>N270-M270</x:f>
        <x:v>-7.105427357601002e-15</x:v>
      </x:c>
      <x:c r="P270" s="1" t="n">
        <x:f>SUMIFS('Incoming POs'!$P$2:$P$305,'Incoming POs'!$A$2:$A$305,A270,'Incoming POs'!$B$2:$B$305,B270,'Incoming POs'!$C$2:$C$305,C270,'Incoming POs'!$G$2:$G$305,"&gt;="&amp;D270,'Incoming POs'!$G$2:$G$305,"&lt;"&amp;Dashboard!$I$5)</x:f>
        <x:v>1200</x:v>
      </x:c>
      <x:c r="Q270" s="1" t="n">
        <x:f>F270*Dashboard!$L$5*MAX(0,Dashboard!$I$5-D270)/30.4375</x:f>
        <x:v>412.4845995893224</x:v>
      </x:c>
      <x:c r="R270" s="1" t="n">
        <x:f>MAX(0,E270+P270-Q270)</x:f>
        <x:v>1067.5154004106776</x:v>
      </x:c>
      <x:c r="S270" s="1" t="n">
        <x:f>MAX(0,Q270-E270-P270)</x:f>
        <x:v>0</x:v>
      </x:c>
      <x:c r="T270" s="1" t="n">
        <x:f>IF(L270=1,MAX(0,I270+AB270-MIN(Q270,E270+P270)),"n.a.")</x:f>
        <x:v>0</x:v>
      </x:c>
      <x:c r="U270" s="9" t="n">
        <x:f>IF(ISNUMBER(T270),T270*G270,"n.a.")</x:f>
        <x:v>0</x:v>
      </x:c>
      <x:c r="V270" s="25" t="n">
        <x:f>IF(Dashboard!$I$6="Flat %",1,IF(ISNUMBER(H270),1,0))</x:f>
        <x:v>1</x:v>
      </x:c>
      <x:c r="W270" s="9" t="n">
        <x:f>IF(Dashboard!$I$6="Flat %",G270*(1+Dashboard!$L$6),H270)</x:f>
        <x:v>0.172872</x:v>
      </x:c>
      <x:c r="X270" s="9" t="n">
        <x:f>IF(V270=1,R270*(W270-G270),"n.a.")</x:f>
        <x:v>26.871497659137574</x:v>
      </x:c>
      <x:c r="Y270" s="9" t="n">
        <x:f>IF(V270=1,R270*W270,"n.a.")</x:f>
        <x:v>184.54352229979466</x:v>
      </x:c>
      <x:c r="Z270" s="1" t="n">
        <x:f>IF(ISNUMBER(T270),R270-T270,"n.a.")</x:f>
        <x:v>1067.5154004106776</x:v>
      </x:c>
      <x:c r="AA270" s="1" t="str">
        <x:f>'Inventory inputs'!R270</x:f>
        <x:v>Classified</x:v>
      </x:c>
      <x:c r="AB270" s="1" t="n">
        <x:f>IF(L270=1,SUMIFS('Incoming POs'!$P$2:$P$305,'Incoming POs'!$A$2:$A$305,A270,'Incoming POs'!$B$2:$B$305,B270,'Incoming POs'!$C$2:$C$305,C270,'Incoming POs'!$G$2:$G$305,"&gt;="&amp;D270,'Incoming POs'!$G$2:$G$305,"&lt;"&amp;Dashboard!$I$5,'Incoming POs'!$Q$2:$Q$305,"&lt;="&amp;('Inventory inputs'!P270/'Inventory inputs'!J270*1.01)),"n.a.")</x:f>
        <x:v>0</x:v>
      </x:c>
      <x:c r="AC270" s="9" t="n">
        <x:f>I270*G270</x:f>
        <x:v>0</x:v>
      </x:c>
      <x:c r="AD270" s="9" t="n">
        <x:f>J270*G270</x:f>
        <x:v>41.356</x:v>
      </x:c>
      <x:c r="AE270" s="9" t="n">
        <x:f>K270*G270</x:f>
        <x:v>0</x:v>
      </x:c>
      <x:c r="AF270" s="9" t="n">
        <x:f>R270*G270</x:f>
        <x:v>157.67202464065707</x:v>
      </x:c>
    </x:row>
    <x:row r="271" ht="21" customHeight="1">
      <x:c r="A271" s="1" t="str">
        <x:f>'Inventory inputs'!A271</x:f>
        <x:v>PLAS</x:v>
      </x:c>
      <x:c r="B271" s="1" t="str">
        <x:f>'Inventory inputs'!B271</x:f>
        <x:v>30</x:v>
      </x:c>
      <x:c r="C271" s="1" t="str">
        <x:f>'Inventory inputs'!C271</x:f>
        <x:v>05819RWBMAR</x:v>
      </x:c>
      <x:c r="D271" s="7" t="n">
        <x:f>'Inventory inputs'!E271</x:f>
        <x:v>46303</x:v>
      </x:c>
      <x:c r="E271" s="1" t="n">
        <x:f>'Inventory inputs'!F271</x:f>
        <x:v>200</x:v>
      </x:c>
      <x:c r="F271" s="1" t="n">
        <x:f>'Inventory inputs'!G271</x:f>
        <x:v>300</x:v>
      </x:c>
      <x:c r="G271" s="1" t="n">
        <x:f>'Inventory inputs'!H271/'Inventory inputs'!J271</x:f>
        <x:v>0.045599999999999995</x:v>
      </x:c>
      <x:c r="H271" s="1" t="n">
        <x:f>IF('Inventory inputs'!I271&gt;0,'Inventory inputs'!I271*'Inventory inputs'!K271/'Inventory inputs'!J271,"n.a.")</x:f>
        <x:v>0.053361</x:v>
      </x:c>
      <x:c r="I271" s="1" t="n">
        <x:f>'Inventory inputs'!L271</x:f>
        <x:v>0</x:v>
      </x:c>
      <x:c r="J271" s="1" t="n">
        <x:f>'Inventory inputs'!M271</x:f>
        <x:v>0</x:v>
      </x:c>
      <x:c r="K271" s="1" t="n">
        <x:f>'Inventory inputs'!N271</x:f>
        <x:v>200</x:v>
      </x:c>
      <x:c r="L271" s="1" t="n">
        <x:f>'Inventory inputs'!O271</x:f>
        <x:v>0</x:v>
      </x:c>
      <x:c r="M271" s="9" t="n">
        <x:f>E271*G271</x:f>
        <x:v>9.12</x:v>
      </x:c>
      <x:c r="N271" s="9" t="n">
        <x:f>'Inventory inputs'!Q271</x:f>
        <x:v>9.12</x:v>
      </x:c>
      <x:c r="O271" s="9" t="n">
        <x:f>N271-M271</x:f>
        <x:v>0</x:v>
      </x:c>
      <x:c r="P271" s="1" t="n">
        <x:f>SUMIFS('Incoming POs'!$P$2:$P$305,'Incoming POs'!$A$2:$A$305,A271,'Incoming POs'!$B$2:$B$305,B271,'Incoming POs'!$C$2:$C$305,C271,'Incoming POs'!$G$2:$G$305,"&gt;="&amp;D271,'Incoming POs'!$G$2:$G$305,"&lt;"&amp;Dashboard!$I$5)</x:f>
        <x:v>0</x:v>
      </x:c>
      <x:c r="Q271" s="1" t="n">
        <x:f>F271*Dashboard!$L$5*MAX(0,Dashboard!$I$5-D271)/30.4375</x:f>
        <x:v>399.17864476386035</x:v>
      </x:c>
      <x:c r="R271" s="1" t="n">
        <x:f>MAX(0,E271+P271-Q271)</x:f>
        <x:v>0</x:v>
      </x:c>
      <x:c r="S271" s="1" t="n">
        <x:f>MAX(0,Q271-E271-P271)</x:f>
        <x:v>199.17864476386035</x:v>
      </x:c>
      <x:c r="T271" s="1" t="str">
        <x:f>IF(L271=1,MAX(0,I271+AB271-MIN(Q271,E271+P271)),"n.a.")</x:f>
        <x:v>n.a.</x:v>
      </x:c>
      <x:c r="U271" s="9" t="str">
        <x:f>IF(ISNUMBER(T271),T271*G271,"n.a.")</x:f>
        <x:v>n.a.</x:v>
      </x:c>
      <x:c r="V271" s="25" t="n">
        <x:f>IF(Dashboard!$I$6="Flat %",1,IF(ISNUMBER(H271),1,0))</x:f>
        <x:v>1</x:v>
      </x:c>
      <x:c r="W271" s="9" t="n">
        <x:f>IF(Dashboard!$I$6="Flat %",G271*(1+Dashboard!$L$6),H271)</x:f>
        <x:v>0.053361</x:v>
      </x:c>
      <x:c r="X271" s="9" t="n">
        <x:f>IF(V271=1,R271*(W271-G271),"n.a.")</x:f>
        <x:v>0</x:v>
      </x:c>
      <x:c r="Y271" s="9" t="n">
        <x:f>IF(V271=1,R271*W271,"n.a.")</x:f>
        <x:v>0</x:v>
      </x:c>
      <x:c r="Z271" s="1" t="str">
        <x:f>IF(ISNUMBER(T271),R271-T271,"n.a.")</x:f>
        <x:v>n.a.</x:v>
      </x:c>
      <x:c r="AA271" s="1" t="str">
        <x:f>'Inventory inputs'!R271</x:f>
        <x:v>Review receipt reconciliation or original PO baseline</x:v>
      </x:c>
      <x:c r="AB271" s="1" t="str">
        <x:f>IF(L271=1,SUMIFS('Incoming POs'!$P$2:$P$305,'Incoming POs'!$A$2:$A$305,A271,'Incoming POs'!$B$2:$B$305,B271,'Incoming POs'!$C$2:$C$305,C271,'Incoming POs'!$G$2:$G$305,"&gt;="&amp;D271,'Incoming POs'!$G$2:$G$305,"&lt;"&amp;Dashboard!$I$5,'Incoming POs'!$Q$2:$Q$305,"&lt;="&amp;('Inventory inputs'!P271/'Inventory inputs'!J271*1.01)),"n.a.")</x:f>
        <x:v>n.a.</x:v>
      </x:c>
      <x:c r="AC271" s="9" t="n">
        <x:f>I271*G271</x:f>
        <x:v>0</x:v>
      </x:c>
      <x:c r="AD271" s="9" t="n">
        <x:f>J271*G271</x:f>
        <x:v>0</x:v>
      </x:c>
      <x:c r="AE271" s="9" t="n">
        <x:f>K271*G271</x:f>
        <x:v>9.12</x:v>
      </x:c>
      <x:c r="AF271" s="9" t="n">
        <x:f>R271*G271</x:f>
        <x:v>0</x:v>
      </x:c>
    </x:row>
    <x:row r="272" ht="21" customHeight="1">
      <x:c r="A272" s="1" t="str">
        <x:f>'Inventory inputs'!A272</x:f>
        <x:v>PLAS</x:v>
      </x:c>
      <x:c r="B272" s="1" t="str">
        <x:f>'Inventory inputs'!B272</x:f>
        <x:v>30</x:v>
      </x:c>
      <x:c r="C272" s="1" t="str">
        <x:f>'Inventory inputs'!C272</x:f>
        <x:v>91619RWBNAV</x:v>
      </x:c>
      <x:c r="D272" s="7" t="n">
        <x:f>'Inventory inputs'!E272</x:f>
        <x:v>46303</x:v>
      </x:c>
      <x:c r="E272" s="1" t="n">
        <x:f>'Inventory inputs'!F272</x:f>
        <x:v>400</x:v>
      </x:c>
      <x:c r="F272" s="1" t="n">
        <x:f>'Inventory inputs'!G272</x:f>
        <x:v>300</x:v>
      </x:c>
      <x:c r="G272" s="1" t="n">
        <x:f>'Inventory inputs'!H272/'Inventory inputs'!J272</x:f>
        <x:v>0.042800000000000005</x:v>
      </x:c>
      <x:c r="H272" s="1" t="n">
        <x:f>IF('Inventory inputs'!I272&gt;0,'Inventory inputs'!I272*'Inventory inputs'!K272/'Inventory inputs'!J272,"n.a.")</x:f>
        <x:v>0.049980000000000004</x:v>
      </x:c>
      <x:c r="I272" s="1" t="n">
        <x:f>'Inventory inputs'!L272</x:f>
        <x:v>0</x:v>
      </x:c>
      <x:c r="J272" s="1" t="n">
        <x:f>'Inventory inputs'!M272</x:f>
        <x:v>0</x:v>
      </x:c>
      <x:c r="K272" s="1" t="n">
        <x:f>'Inventory inputs'!N272</x:f>
        <x:v>400</x:v>
      </x:c>
      <x:c r="L272" s="1" t="n">
        <x:f>'Inventory inputs'!O272</x:f>
        <x:v>0</x:v>
      </x:c>
      <x:c r="M272" s="9" t="n">
        <x:f>E272*G272</x:f>
        <x:v>17.12</x:v>
      </x:c>
      <x:c r="N272" s="9" t="n">
        <x:f>'Inventory inputs'!Q272</x:f>
        <x:v>17.12</x:v>
      </x:c>
      <x:c r="O272" s="9" t="n">
        <x:f>N272-M272</x:f>
        <x:v>0</x:v>
      </x:c>
      <x:c r="P272" s="1" t="n">
        <x:f>SUMIFS('Incoming POs'!$P$2:$P$305,'Incoming POs'!$A$2:$A$305,A272,'Incoming POs'!$B$2:$B$305,B272,'Incoming POs'!$C$2:$C$305,C272,'Incoming POs'!$G$2:$G$305,"&gt;="&amp;D272,'Incoming POs'!$G$2:$G$305,"&lt;"&amp;Dashboard!$I$5)</x:f>
        <x:v>0</x:v>
      </x:c>
      <x:c r="Q272" s="1" t="n">
        <x:f>F272*Dashboard!$L$5*MAX(0,Dashboard!$I$5-D272)/30.4375</x:f>
        <x:v>399.17864476386035</x:v>
      </x:c>
      <x:c r="R272" s="1" t="n">
        <x:f>MAX(0,E272+P272-Q272)</x:f>
        <x:v>0.8213552361396523</x:v>
      </x:c>
      <x:c r="S272" s="1" t="n">
        <x:f>MAX(0,Q272-E272-P272)</x:f>
        <x:v>0</x:v>
      </x:c>
      <x:c r="T272" s="1" t="str">
        <x:f>IF(L272=1,MAX(0,I272+AB272-MIN(Q272,E272+P272)),"n.a.")</x:f>
        <x:v>n.a.</x:v>
      </x:c>
      <x:c r="U272" s="9" t="str">
        <x:f>IF(ISNUMBER(T272),T272*G272,"n.a.")</x:f>
        <x:v>n.a.</x:v>
      </x:c>
      <x:c r="V272" s="25" t="n">
        <x:f>IF(Dashboard!$I$6="Flat %",1,IF(ISNUMBER(H272),1,0))</x:f>
        <x:v>1</x:v>
      </x:c>
      <x:c r="W272" s="9" t="n">
        <x:f>IF(Dashboard!$I$6="Flat %",G272*(1+Dashboard!$L$6),H272)</x:f>
        <x:v>0.049980000000000004</x:v>
      </x:c>
      <x:c r="X272" s="9" t="n">
        <x:f>IF(V272=1,R272*(W272-G272),"n.a.")</x:f>
        <x:v>0.005897330595482703</x:v>
      </x:c>
      <x:c r="Y272" s="9" t="n">
        <x:f>IF(V272=1,R272*W272,"n.a.")</x:f>
        <x:v>0.04105133470225983</x:v>
      </x:c>
      <x:c r="Z272" s="1" t="str">
        <x:f>IF(ISNUMBER(T272),R272-T272,"n.a.")</x:f>
        <x:v>n.a.</x:v>
      </x:c>
      <x:c r="AA272" s="1" t="str">
        <x:f>'Inventory inputs'!R272</x:f>
        <x:v>Review receipt reconciliation or original PO baseline</x:v>
      </x:c>
      <x:c r="AB272" s="1" t="str">
        <x:f>IF(L272=1,SUMIFS('Incoming POs'!$P$2:$P$305,'Incoming POs'!$A$2:$A$305,A272,'Incoming POs'!$B$2:$B$305,B272,'Incoming POs'!$C$2:$C$305,C272,'Incoming POs'!$G$2:$G$305,"&gt;="&amp;D272,'Incoming POs'!$G$2:$G$305,"&lt;"&amp;Dashboard!$I$5,'Incoming POs'!$Q$2:$Q$305,"&lt;="&amp;('Inventory inputs'!P272/'Inventory inputs'!J272*1.01)),"n.a.")</x:f>
        <x:v>n.a.</x:v>
      </x:c>
      <x:c r="AC272" s="9" t="n">
        <x:f>I272*G272</x:f>
        <x:v>0</x:v>
      </x:c>
      <x:c r="AD272" s="9" t="n">
        <x:f>J272*G272</x:f>
        <x:v>0</x:v>
      </x:c>
      <x:c r="AE272" s="9" t="n">
        <x:f>K272*G272</x:f>
        <x:v>17.12</x:v>
      </x:c>
      <x:c r="AF272" s="9" t="n">
        <x:f>R272*G272</x:f>
        <x:v>0.035154004106777124</x:v>
      </x:c>
    </x:row>
    <x:row r="273" ht="21" customHeight="1">
      <x:c r="A273" s="1" t="str">
        <x:f>'Inventory inputs'!A273</x:f>
        <x:v>PLAS</x:v>
      </x:c>
      <x:c r="B273" s="1" t="str">
        <x:f>'Inventory inputs'!B273</x:f>
        <x:v>10</x:v>
      </x:c>
      <x:c r="C273" s="1" t="str">
        <x:f>'Inventory inputs'!C273</x:f>
        <x:v>11819RWBWHT</x:v>
      </x:c>
      <x:c r="D273" s="7" t="n">
        <x:f>'Inventory inputs'!E273</x:f>
        <x:v>46303</x:v>
      </x:c>
      <x:c r="E273" s="1" t="n">
        <x:f>'Inventory inputs'!F273</x:f>
        <x:v>2000</x:v>
      </x:c>
      <x:c r="F273" s="1" t="n">
        <x:f>'Inventory inputs'!G273</x:f>
        <x:v>295.84</x:v>
      </x:c>
      <x:c r="G273" s="1" t="n">
        <x:f>'Inventory inputs'!H273/'Inventory inputs'!J273</x:f>
        <x:v>0.1323</x:v>
      </x:c>
      <x:c r="H273" s="1" t="n">
        <x:f>IF('Inventory inputs'!I273&gt;0,'Inventory inputs'!I273*'Inventory inputs'!K273/'Inventory inputs'!J273,"n.a.")</x:f>
        <x:v>0.15479099999999998</x:v>
      </x:c>
      <x:c r="I273" s="1" t="n">
        <x:f>'Inventory inputs'!L273</x:f>
        <x:v>1000</x:v>
      </x:c>
      <x:c r="J273" s="1" t="n">
        <x:f>'Inventory inputs'!M273</x:f>
        <x:v>1000</x:v>
      </x:c>
      <x:c r="K273" s="1" t="n">
        <x:f>'Inventory inputs'!N273</x:f>
        <x:v>0</x:v>
      </x:c>
      <x:c r="L273" s="1" t="n">
        <x:f>'Inventory inputs'!O273</x:f>
        <x:v>1</x:v>
      </x:c>
      <x:c r="M273" s="9" t="n">
        <x:f>E273*G273</x:f>
        <x:v>264.6</x:v>
      </x:c>
      <x:c r="N273" s="9" t="n">
        <x:f>'Inventory inputs'!Q273</x:f>
        <x:v>264.6</x:v>
      </x:c>
      <x:c r="O273" s="9" t="n">
        <x:f>N273-M273</x:f>
        <x:v>0</x:v>
      </x:c>
      <x:c r="P273" s="1" t="n">
        <x:f>SUMIFS('Incoming POs'!$P$2:$P$305,'Incoming POs'!$A$2:$A$305,A273,'Incoming POs'!$B$2:$B$305,B273,'Incoming POs'!$C$2:$C$305,C273,'Incoming POs'!$G$2:$G$305,"&gt;="&amp;D273,'Incoming POs'!$G$2:$G$305,"&lt;"&amp;Dashboard!$I$5)</x:f>
        <x:v>1000</x:v>
      </x:c>
      <x:c r="Q273" s="1" t="n">
        <x:f>F273*Dashboard!$L$5*MAX(0,Dashboard!$I$5-D273)/30.4375</x:f>
        <x:v>393.6433675564682</x:v>
      </x:c>
      <x:c r="R273" s="1" t="n">
        <x:f>MAX(0,E273+P273-Q273)</x:f>
        <x:v>2606.356632443532</x:v>
      </x:c>
      <x:c r="S273" s="1" t="n">
        <x:f>MAX(0,Q273-E273-P273)</x:f>
        <x:v>0</x:v>
      </x:c>
      <x:c r="T273" s="1" t="n">
        <x:f>IF(L273=1,MAX(0,I273+AB273-MIN(Q273,E273+P273)),"n.a.")</x:f>
        <x:v>606.3566324435318</x:v>
      </x:c>
      <x:c r="U273" s="9" t="n">
        <x:f>IF(ISNUMBER(T273),T273*G273,"n.a.")</x:f>
        <x:v>80.22098247227926</x:v>
      </x:c>
      <x:c r="V273" s="25" t="n">
        <x:f>IF(Dashboard!$I$6="Flat %",1,IF(ISNUMBER(H273),1,0))</x:f>
        <x:v>1</x:v>
      </x:c>
      <x:c r="W273" s="9" t="n">
        <x:f>IF(Dashboard!$I$6="Flat %",G273*(1+Dashboard!$L$6),H273)</x:f>
        <x:v>0.15479099999999998</x:v>
      </x:c>
      <x:c r="X273" s="9" t="n">
        <x:f>IF(V273=1,R273*(W273-G273),"n.a.")</x:f>
        <x:v>58.619567020287434</x:v>
      </x:c>
      <x:c r="Y273" s="9" t="n">
        <x:f>IF(V273=1,R273*W273,"n.a.")</x:f>
        <x:v>403.44054949256673</x:v>
      </x:c>
      <x:c r="Z273" s="1" t="n">
        <x:f>IF(ISNUMBER(T273),R273-T273,"n.a.")</x:f>
        <x:v>2000</x:v>
      </x:c>
      <x:c r="AA273" s="1" t="str">
        <x:f>'Inventory inputs'!R273</x:f>
        <x:v>Classified</x:v>
      </x:c>
      <x:c r="AB273" s="1" t="n">
        <x:f>IF(L273=1,SUMIFS('Incoming POs'!$P$2:$P$305,'Incoming POs'!$A$2:$A$305,A273,'Incoming POs'!$B$2:$B$305,B273,'Incoming POs'!$C$2:$C$305,C273,'Incoming POs'!$G$2:$G$305,"&gt;="&amp;D273,'Incoming POs'!$G$2:$G$305,"&lt;"&amp;Dashboard!$I$5,'Incoming POs'!$Q$2:$Q$305,"&lt;="&amp;('Inventory inputs'!P273/'Inventory inputs'!J273*1.01)),"n.a.")</x:f>
        <x:v>0</x:v>
      </x:c>
      <x:c r="AC273" s="9" t="n">
        <x:f>I273*G273</x:f>
        <x:v>132.3</x:v>
      </x:c>
      <x:c r="AD273" s="9" t="n">
        <x:f>J273*G273</x:f>
        <x:v>132.3</x:v>
      </x:c>
      <x:c r="AE273" s="9" t="n">
        <x:f>K273*G273</x:f>
        <x:v>0</x:v>
      </x:c>
      <x:c r="AF273" s="9" t="n">
        <x:f>R273*G273</x:f>
        <x:v>344.8209824722793</x:v>
      </x:c>
    </x:row>
    <x:row r="274" ht="21" customHeight="1">
      <x:c r="A274" s="1" t="str">
        <x:f>'Inventory inputs'!A274</x:f>
        <x:v>PLAS</x:v>
      </x:c>
      <x:c r="B274" s="1" t="str">
        <x:f>'Inventory inputs'!B274</x:f>
        <x:v>10</x:v>
      </x:c>
      <x:c r="C274" s="1" t="str">
        <x:f>'Inventory inputs'!C274</x:f>
        <x:v>03419RWBMAR</x:v>
      </x:c>
      <x:c r="D274" s="7" t="n">
        <x:f>'Inventory inputs'!E274</x:f>
        <x:v>46303</x:v>
      </x:c>
      <x:c r="E274" s="1" t="n">
        <x:f>'Inventory inputs'!F274</x:f>
        <x:v>300</x:v>
      </x:c>
      <x:c r="F274" s="1" t="n">
        <x:f>'Inventory inputs'!G274</x:f>
        <x:v>291.67</x:v>
      </x:c>
      <x:c r="G274" s="1" t="n">
        <x:f>'Inventory inputs'!H274/'Inventory inputs'!J274</x:f>
        <x:v>0.0625</x:v>
      </x:c>
      <x:c r="H274" s="1" t="n">
        <x:f>IF('Inventory inputs'!I274&gt;0,'Inventory inputs'!I274*'Inventory inputs'!K274/'Inventory inputs'!J274,"n.a.")</x:f>
        <x:v>0.073059</x:v>
      </x:c>
      <x:c r="I274" s="1" t="n">
        <x:f>'Inventory inputs'!L274</x:f>
        <x:v>300</x:v>
      </x:c>
      <x:c r="J274" s="1" t="n">
        <x:f>'Inventory inputs'!M274</x:f>
        <x:v>0</x:v>
      </x:c>
      <x:c r="K274" s="1" t="n">
        <x:f>'Inventory inputs'!N274</x:f>
        <x:v>0</x:v>
      </x:c>
      <x:c r="L274" s="1" t="n">
        <x:f>'Inventory inputs'!O274</x:f>
        <x:v>1</x:v>
      </x:c>
      <x:c r="M274" s="9" t="n">
        <x:f>E274*G274</x:f>
        <x:v>18.75</x:v>
      </x:c>
      <x:c r="N274" s="9" t="n">
        <x:f>'Inventory inputs'!Q274</x:f>
        <x:v>18.75</x:v>
      </x:c>
      <x:c r="O274" s="9" t="n">
        <x:f>N274-M274</x:f>
        <x:v>0</x:v>
      </x:c>
      <x:c r="P274" s="1" t="n">
        <x:f>SUMIFS('Incoming POs'!$P$2:$P$305,'Incoming POs'!$A$2:$A$305,A274,'Incoming POs'!$B$2:$B$305,B274,'Incoming POs'!$C$2:$C$305,C274,'Incoming POs'!$G$2:$G$305,"&gt;="&amp;D274,'Incoming POs'!$G$2:$G$305,"&lt;"&amp;Dashboard!$I$5)</x:f>
        <x:v>4000</x:v>
      </x:c>
      <x:c r="Q274" s="1" t="n">
        <x:f>F274*Dashboard!$L$5*MAX(0,Dashboard!$I$5-D274)/30.4375</x:f>
        <x:v>388.0947843942505</x:v>
      </x:c>
      <x:c r="R274" s="1" t="n">
        <x:f>MAX(0,E274+P274-Q274)</x:f>
        <x:v>3911.9052156057496</x:v>
      </x:c>
      <x:c r="S274" s="1" t="n">
        <x:f>MAX(0,Q274-E274-P274)</x:f>
        <x:v>0</x:v>
      </x:c>
      <x:c r="T274" s="1" t="n">
        <x:f>IF(L274=1,MAX(0,I274+AB274-MIN(Q274,E274+P274)),"n.a.")</x:f>
        <x:v>0</x:v>
      </x:c>
      <x:c r="U274" s="9" t="n">
        <x:f>IF(ISNUMBER(T274),T274*G274,"n.a.")</x:f>
        <x:v>0</x:v>
      </x:c>
      <x:c r="V274" s="25" t="n">
        <x:f>IF(Dashboard!$I$6="Flat %",1,IF(ISNUMBER(H274),1,0))</x:f>
        <x:v>1</x:v>
      </x:c>
      <x:c r="W274" s="9" t="n">
        <x:f>IF(Dashboard!$I$6="Flat %",G274*(1+Dashboard!$L$6),H274)</x:f>
        <x:v>0.073059</x:v>
      </x:c>
      <x:c r="X274" s="9" t="n">
        <x:f>IF(V274=1,R274*(W274-G274),"n.a.")</x:f>
        <x:v>41.30580717158111</x:v>
      </x:c>
      <x:c r="Y274" s="9" t="n">
        <x:f>IF(V274=1,R274*W274,"n.a.")</x:f>
        <x:v>285.79988314694043</x:v>
      </x:c>
      <x:c r="Z274" s="1" t="n">
        <x:f>IF(ISNUMBER(T274),R274-T274,"n.a.")</x:f>
        <x:v>3911.9052156057496</x:v>
      </x:c>
      <x:c r="AA274" s="1" t="str">
        <x:f>'Inventory inputs'!R274</x:f>
        <x:v>Classified</x:v>
      </x:c>
      <x:c r="AB274" s="1" t="n">
        <x:f>IF(L274=1,SUMIFS('Incoming POs'!$P$2:$P$305,'Incoming POs'!$A$2:$A$305,A274,'Incoming POs'!$B$2:$B$305,B274,'Incoming POs'!$C$2:$C$305,C274,'Incoming POs'!$G$2:$G$305,"&gt;="&amp;D274,'Incoming POs'!$G$2:$G$305,"&lt;"&amp;Dashboard!$I$5,'Incoming POs'!$Q$2:$Q$305,"&lt;="&amp;('Inventory inputs'!P274/'Inventory inputs'!J274*1.01)),"n.a.")</x:f>
        <x:v>0</x:v>
      </x:c>
      <x:c r="AC274" s="9" t="n">
        <x:f>I274*G274</x:f>
        <x:v>18.75</x:v>
      </x:c>
      <x:c r="AD274" s="9" t="n">
        <x:f>J274*G274</x:f>
        <x:v>0</x:v>
      </x:c>
      <x:c r="AE274" s="9" t="n">
        <x:f>K274*G274</x:f>
        <x:v>0</x:v>
      </x:c>
      <x:c r="AF274" s="9" t="n">
        <x:f>R274*G274</x:f>
        <x:v>244.49407597535935</x:v>
      </x:c>
    </x:row>
    <x:row r="275" ht="21" customHeight="1">
      <x:c r="A275" s="1" t="str">
        <x:f>'Inventory inputs'!A275</x:f>
        <x:v>PLAS</x:v>
      </x:c>
      <x:c r="B275" s="1" t="str">
        <x:f>'Inventory inputs'!B275</x:f>
        <x:v>10</x:v>
      </x:c>
      <x:c r="C275" s="1" t="str">
        <x:f>'Inventory inputs'!C275</x:f>
        <x:v>91619RWBFG</x:v>
      </x:c>
      <x:c r="D275" s="7" t="n">
        <x:f>'Inventory inputs'!E275</x:f>
        <x:v>46303</x:v>
      </x:c>
      <x:c r="E275" s="1" t="n">
        <x:f>'Inventory inputs'!F275</x:f>
        <x:v>2000</x:v>
      </x:c>
      <x:c r="F275" s="1" t="n">
        <x:f>'Inventory inputs'!G275</x:f>
        <x:v>285</x:v>
      </x:c>
      <x:c r="G275" s="1" t="n">
        <x:f>'Inventory inputs'!H275/'Inventory inputs'!J275</x:f>
        <x:v>0.042800000000000005</x:v>
      </x:c>
      <x:c r="H275" s="1" t="n">
        <x:f>IF('Inventory inputs'!I275&gt;0,'Inventory inputs'!I275*'Inventory inputs'!K275/'Inventory inputs'!J275,"n.a.")</x:f>
        <x:v>0.049980000000000004</x:v>
      </x:c>
      <x:c r="I275" s="1" t="n">
        <x:f>'Inventory inputs'!L275</x:f>
        <x:v>1000</x:v>
      </x:c>
      <x:c r="J275" s="1" t="n">
        <x:f>'Inventory inputs'!M275</x:f>
        <x:v>1000</x:v>
      </x:c>
      <x:c r="K275" s="1" t="n">
        <x:f>'Inventory inputs'!N275</x:f>
        <x:v>0</x:v>
      </x:c>
      <x:c r="L275" s="1" t="n">
        <x:f>'Inventory inputs'!O275</x:f>
        <x:v>1</x:v>
      </x:c>
      <x:c r="M275" s="9" t="n">
        <x:f>E275*G275</x:f>
        <x:v>85.60000000000001</x:v>
      </x:c>
      <x:c r="N275" s="9" t="n">
        <x:f>'Inventory inputs'!Q275</x:f>
        <x:v>85.60000000000001</x:v>
      </x:c>
      <x:c r="O275" s="9" t="n">
        <x:f>N275-M275</x:f>
        <x:v>0</x:v>
      </x:c>
      <x:c r="P275" s="1" t="n">
        <x:f>SUMIFS('Incoming POs'!$P$2:$P$305,'Incoming POs'!$A$2:$A$305,A275,'Incoming POs'!$B$2:$B$305,B275,'Incoming POs'!$C$2:$C$305,C275,'Incoming POs'!$G$2:$G$305,"&gt;="&amp;D275,'Incoming POs'!$G$2:$G$305,"&lt;"&amp;Dashboard!$I$5)</x:f>
        <x:v>0</x:v>
      </x:c>
      <x:c r="Q275" s="1" t="n">
        <x:f>F275*Dashboard!$L$5*MAX(0,Dashboard!$I$5-D275)/30.4375</x:f>
        <x:v>379.2197125256674</x:v>
      </x:c>
      <x:c r="R275" s="1" t="n">
        <x:f>MAX(0,E275+P275-Q275)</x:f>
        <x:v>1620.7802874743327</x:v>
      </x:c>
      <x:c r="S275" s="1" t="n">
        <x:f>MAX(0,Q275-E275-P275)</x:f>
        <x:v>0</x:v>
      </x:c>
      <x:c r="T275" s="1" t="n">
        <x:f>IF(L275=1,MAX(0,I275+AB275-MIN(Q275,E275+P275)),"n.a.")</x:f>
        <x:v>620.7802874743327</x:v>
      </x:c>
      <x:c r="U275" s="9" t="n">
        <x:f>IF(ISNUMBER(T275),T275*G275,"n.a.")</x:f>
        <x:v>26.569396303901442</x:v>
      </x:c>
      <x:c r="V275" s="25" t="n">
        <x:f>IF(Dashboard!$I$6="Flat %",1,IF(ISNUMBER(H275),1,0))</x:f>
        <x:v>1</x:v>
      </x:c>
      <x:c r="W275" s="9" t="n">
        <x:f>IF(Dashboard!$I$6="Flat %",G275*(1+Dashboard!$L$6),H275)</x:f>
        <x:v>0.049980000000000004</x:v>
      </x:c>
      <x:c r="X275" s="9" t="n">
        <x:f>IF(V275=1,R275*(W275-G275),"n.a.")</x:f>
        <x:v>11.637202464065707</x:v>
      </x:c>
      <x:c r="Y275" s="9" t="n">
        <x:f>IF(V275=1,R275*W275,"n.a.")</x:f>
        <x:v>81.00659876796715</x:v>
      </x:c>
      <x:c r="Z275" s="1" t="n">
        <x:f>IF(ISNUMBER(T275),R275-T275,"n.a.")</x:f>
        <x:v>1000</x:v>
      </x:c>
      <x:c r="AA275" s="1" t="str">
        <x:f>'Inventory inputs'!R275</x:f>
        <x:v>Classified</x:v>
      </x:c>
      <x:c r="AB275" s="1" t="n">
        <x:f>IF(L275=1,SUMIFS('Incoming POs'!$P$2:$P$305,'Incoming POs'!$A$2:$A$305,A275,'Incoming POs'!$B$2:$B$305,B275,'Incoming POs'!$C$2:$C$305,C275,'Incoming POs'!$G$2:$G$305,"&gt;="&amp;D275,'Incoming POs'!$G$2:$G$305,"&lt;"&amp;Dashboard!$I$5,'Incoming POs'!$Q$2:$Q$305,"&lt;="&amp;('Inventory inputs'!P275/'Inventory inputs'!J275*1.01)),"n.a.")</x:f>
        <x:v>0</x:v>
      </x:c>
      <x:c r="AC275" s="9" t="n">
        <x:f>I275*G275</x:f>
        <x:v>42.800000000000004</x:v>
      </x:c>
      <x:c r="AD275" s="9" t="n">
        <x:f>J275*G275</x:f>
        <x:v>42.800000000000004</x:v>
      </x:c>
      <x:c r="AE275" s="9" t="n">
        <x:f>K275*G275</x:f>
        <x:v>0</x:v>
      </x:c>
      <x:c r="AF275" s="9" t="n">
        <x:f>R275*G275</x:f>
        <x:v>69.36939630390145</x:v>
      </x:c>
    </x:row>
    <x:row r="276" ht="21" customHeight="1">
      <x:c r="A276" s="1" t="str">
        <x:f>'Inventory inputs'!A276</x:f>
        <x:v>PLAS</x:v>
      </x:c>
      <x:c r="B276" s="1" t="str">
        <x:f>'Inventory inputs'!B276</x:f>
        <x:v>60</x:v>
      </x:c>
      <x:c r="C276" s="1" t="str">
        <x:f>'Inventory inputs'!C276</x:f>
        <x:v>01219RWBMAR</x:v>
      </x:c>
      <x:c r="D276" s="7" t="n">
        <x:f>'Inventory inputs'!E276</x:f>
        <x:v>46303</x:v>
      </x:c>
      <x:c r="E276" s="1" t="n">
        <x:f>'Inventory inputs'!F276</x:f>
        <x:v>0</x:v>
      </x:c>
      <x:c r="F276" s="1" t="n">
        <x:f>'Inventory inputs'!G276</x:f>
        <x:v>283.33</x:v>
      </x:c>
      <x:c r="G276" s="1" t="n">
        <x:f>'Inventory inputs'!H276/'Inventory inputs'!J276</x:f>
        <x:v>0.036000000000000004</x:v>
      </x:c>
      <x:c r="H276" s="1" t="n">
        <x:f>IF('Inventory inputs'!I276&gt;0,'Inventory inputs'!I276*'Inventory inputs'!K276/'Inventory inputs'!J276,"n.a.")</x:f>
        <x:v>0.042189</x:v>
      </x:c>
      <x:c r="I276" s="1" t="n">
        <x:f>'Inventory inputs'!L276</x:f>
        <x:v>0</x:v>
      </x:c>
      <x:c r="J276" s="1" t="n">
        <x:f>'Inventory inputs'!M276</x:f>
        <x:v>0</x:v>
      </x:c>
      <x:c r="K276" s="1" t="n">
        <x:f>'Inventory inputs'!N276</x:f>
        <x:v>0</x:v>
      </x:c>
      <x:c r="L276" s="1" t="n">
        <x:f>'Inventory inputs'!O276</x:f>
        <x:v>1</x:v>
      </x:c>
      <x:c r="M276" s="9" t="n">
        <x:f>E276*G276</x:f>
        <x:v>0</x:v>
      </x:c>
      <x:c r="N276" s="9" t="n">
        <x:f>'Inventory inputs'!Q276</x:f>
        <x:v>0</x:v>
      </x:c>
      <x:c r="O276" s="9" t="n">
        <x:f>N276-M276</x:f>
        <x:v>0</x:v>
      </x:c>
      <x:c r="P276" s="1" t="n">
        <x:f>SUMIFS('Incoming POs'!$P$2:$P$305,'Incoming POs'!$A$2:$A$305,A276,'Incoming POs'!$B$2:$B$305,B276,'Incoming POs'!$C$2:$C$305,C276,'Incoming POs'!$G$2:$G$305,"&gt;="&amp;D276,'Incoming POs'!$G$2:$G$305,"&lt;"&amp;Dashboard!$I$5)</x:f>
        <x:v>0</x:v>
      </x:c>
      <x:c r="Q276" s="1" t="n">
        <x:f>F276*Dashboard!$L$5*MAX(0,Dashboard!$I$5-D276)/30.4375</x:f>
        <x:v>376.9976180698152</x:v>
      </x:c>
      <x:c r="R276" s="1" t="n">
        <x:f>MAX(0,E276+P276-Q276)</x:f>
        <x:v>0</x:v>
      </x:c>
      <x:c r="S276" s="1" t="n">
        <x:f>MAX(0,Q276-E276-P276)</x:f>
        <x:v>376.9976180698152</x:v>
      </x:c>
      <x:c r="T276" s="1" t="n">
        <x:f>IF(L276=1,MAX(0,I276+AB276-MIN(Q276,E276+P276)),"n.a.")</x:f>
        <x:v>0</x:v>
      </x:c>
      <x:c r="U276" s="9" t="n">
        <x:f>IF(ISNUMBER(T276),T276*G276,"n.a.")</x:f>
        <x:v>0</x:v>
      </x:c>
      <x:c r="V276" s="25" t="n">
        <x:f>IF(Dashboard!$I$6="Flat %",1,IF(ISNUMBER(H276),1,0))</x:f>
        <x:v>1</x:v>
      </x:c>
      <x:c r="W276" s="9" t="n">
        <x:f>IF(Dashboard!$I$6="Flat %",G276*(1+Dashboard!$L$6),H276)</x:f>
        <x:v>0.042189</x:v>
      </x:c>
      <x:c r="X276" s="9" t="n">
        <x:f>IF(V276=1,R276*(W276-G276),"n.a.")</x:f>
        <x:v>0</x:v>
      </x:c>
      <x:c r="Y276" s="9" t="n">
        <x:f>IF(V276=1,R276*W276,"n.a.")</x:f>
        <x:v>0</x:v>
      </x:c>
      <x:c r="Z276" s="1" t="n">
        <x:f>IF(ISNUMBER(T276),R276-T276,"n.a.")</x:f>
        <x:v>0</x:v>
      </x:c>
      <x:c r="AA276" s="1" t="str">
        <x:f>'Inventory inputs'!R276</x:f>
        <x:v>Classified</x:v>
      </x:c>
      <x:c r="AB276" s="1" t="n">
        <x:f>IF(L276=1,SUMIFS('Incoming POs'!$P$2:$P$305,'Incoming POs'!$A$2:$A$305,A276,'Incoming POs'!$B$2:$B$305,B276,'Incoming POs'!$C$2:$C$305,C276,'Incoming POs'!$G$2:$G$305,"&gt;="&amp;D276,'Incoming POs'!$G$2:$G$305,"&lt;"&amp;Dashboard!$I$5,'Incoming POs'!$Q$2:$Q$305,"&lt;="&amp;('Inventory inputs'!P276/'Inventory inputs'!J276*1.01)),"n.a.")</x:f>
        <x:v>0</x:v>
      </x:c>
      <x:c r="AC276" s="9" t="n">
        <x:f>I276*G276</x:f>
        <x:v>0</x:v>
      </x:c>
      <x:c r="AD276" s="9" t="n">
        <x:f>J276*G276</x:f>
        <x:v>0</x:v>
      </x:c>
      <x:c r="AE276" s="9" t="n">
        <x:f>K276*G276</x:f>
        <x:v>0</x:v>
      </x:c>
      <x:c r="AF276" s="9" t="n">
        <x:f>R276*G276</x:f>
        <x:v>0</x:v>
      </x:c>
    </x:row>
    <x:row r="277" ht="21" customHeight="1">
      <x:c r="A277" s="1" t="str">
        <x:f>'Inventory inputs'!A277</x:f>
        <x:v>PLAS</x:v>
      </x:c>
      <x:c r="B277" s="1" t="str">
        <x:f>'Inventory inputs'!B277</x:f>
        <x:v>10</x:v>
      </x:c>
      <x:c r="C277" s="1" t="str">
        <x:f>'Inventory inputs'!C277</x:f>
        <x:v>91619RWBCLR</x:v>
      </x:c>
      <x:c r="D277" s="7" t="n">
        <x:f>'Inventory inputs'!E277</x:f>
        <x:v>46303</x:v>
      </x:c>
      <x:c r="E277" s="1" t="n">
        <x:f>'Inventory inputs'!F277</x:f>
        <x:v>2600</x:v>
      </x:c>
      <x:c r="F277" s="1" t="n">
        <x:f>'Inventory inputs'!G277</x:f>
        <x:v>275</x:v>
      </x:c>
      <x:c r="G277" s="1" t="n">
        <x:f>'Inventory inputs'!H277/'Inventory inputs'!J277</x:f>
        <x:v>0.042800000000000005</x:v>
      </x:c>
      <x:c r="H277" s="1" t="n">
        <x:f>IF('Inventory inputs'!I277&gt;0,'Inventory inputs'!I277*'Inventory inputs'!K277/'Inventory inputs'!J277,"n.a.")</x:f>
        <x:v>0.049980000000000004</x:v>
      </x:c>
      <x:c r="I277" s="1" t="n">
        <x:f>'Inventory inputs'!L277</x:f>
        <x:v>0</x:v>
      </x:c>
      <x:c r="J277" s="1" t="n">
        <x:f>'Inventory inputs'!M277</x:f>
        <x:v>2600</x:v>
      </x:c>
      <x:c r="K277" s="1" t="n">
        <x:f>'Inventory inputs'!N277</x:f>
        <x:v>0</x:v>
      </x:c>
      <x:c r="L277" s="1" t="n">
        <x:f>'Inventory inputs'!O277</x:f>
        <x:v>1</x:v>
      </x:c>
      <x:c r="M277" s="9" t="n">
        <x:f>E277*G277</x:f>
        <x:v>111.28000000000002</x:v>
      </x:c>
      <x:c r="N277" s="9" t="n">
        <x:f>'Inventory inputs'!Q277</x:f>
        <x:v>111.28</x:v>
      </x:c>
      <x:c r="O277" s="9" t="n">
        <x:f>N277-M277</x:f>
        <x:v>-1.4210854715202004e-14</x:v>
      </x:c>
      <x:c r="P277" s="1" t="n">
        <x:f>SUMIFS('Incoming POs'!$P$2:$P$305,'Incoming POs'!$A$2:$A$305,A277,'Incoming POs'!$B$2:$B$305,B277,'Incoming POs'!$C$2:$C$305,C277,'Incoming POs'!$G$2:$G$305,"&gt;="&amp;D277,'Incoming POs'!$G$2:$G$305,"&lt;"&amp;Dashboard!$I$5)</x:f>
        <x:v>0</x:v>
      </x:c>
      <x:c r="Q277" s="1" t="n">
        <x:f>F277*Dashboard!$L$5*MAX(0,Dashboard!$I$5-D277)/30.4375</x:f>
        <x:v>365.91375770020534</x:v>
      </x:c>
      <x:c r="R277" s="1" t="n">
        <x:f>MAX(0,E277+P277-Q277)</x:f>
        <x:v>2234.086242299795</x:v>
      </x:c>
      <x:c r="S277" s="1" t="n">
        <x:f>MAX(0,Q277-E277-P277)</x:f>
        <x:v>0</x:v>
      </x:c>
      <x:c r="T277" s="1" t="n">
        <x:f>IF(L277=1,MAX(0,I277+AB277-MIN(Q277,E277+P277)),"n.a.")</x:f>
        <x:v>0</x:v>
      </x:c>
      <x:c r="U277" s="9" t="n">
        <x:f>IF(ISNUMBER(T277),T277*G277,"n.a.")</x:f>
        <x:v>0</x:v>
      </x:c>
      <x:c r="V277" s="25" t="n">
        <x:f>IF(Dashboard!$I$6="Flat %",1,IF(ISNUMBER(H277),1,0))</x:f>
        <x:v>1</x:v>
      </x:c>
      <x:c r="W277" s="9" t="n">
        <x:f>IF(Dashboard!$I$6="Flat %",G277*(1+Dashboard!$L$6),H277)</x:f>
        <x:v>0.049980000000000004</x:v>
      </x:c>
      <x:c r="X277" s="9" t="n">
        <x:f>IF(V277=1,R277*(W277-G277),"n.a.")</x:f>
        <x:v>16.040739219712524</x:v>
      </x:c>
      <x:c r="Y277" s="9" t="n">
        <x:f>IF(V277=1,R277*W277,"n.a.")</x:f>
        <x:v>111.65963039014375</x:v>
      </x:c>
      <x:c r="Z277" s="1" t="n">
        <x:f>IF(ISNUMBER(T277),R277-T277,"n.a.")</x:f>
        <x:v>2234.086242299795</x:v>
      </x:c>
      <x:c r="AA277" s="1" t="str">
        <x:f>'Inventory inputs'!R277</x:f>
        <x:v>Classified</x:v>
      </x:c>
      <x:c r="AB277" s="1" t="n">
        <x:f>IF(L277=1,SUMIFS('Incoming POs'!$P$2:$P$305,'Incoming POs'!$A$2:$A$305,A277,'Incoming POs'!$B$2:$B$305,B277,'Incoming POs'!$C$2:$C$305,C277,'Incoming POs'!$G$2:$G$305,"&gt;="&amp;D277,'Incoming POs'!$G$2:$G$305,"&lt;"&amp;Dashboard!$I$5,'Incoming POs'!$Q$2:$Q$305,"&lt;="&amp;('Inventory inputs'!P277/'Inventory inputs'!J277*1.01)),"n.a.")</x:f>
        <x:v>0</x:v>
      </x:c>
      <x:c r="AC277" s="9" t="n">
        <x:f>I277*G277</x:f>
        <x:v>0</x:v>
      </x:c>
      <x:c r="AD277" s="9" t="n">
        <x:f>J277*G277</x:f>
        <x:v>111.28000000000002</x:v>
      </x:c>
      <x:c r="AE277" s="9" t="n">
        <x:f>K277*G277</x:f>
        <x:v>0</x:v>
      </x:c>
      <x:c r="AF277" s="9" t="n">
        <x:f>R277*G277</x:f>
        <x:v>95.61889117043123</x:v>
      </x:c>
    </x:row>
    <x:row r="278" ht="21" customHeight="1">
      <x:c r="A278" s="1" t="str">
        <x:f>'Inventory inputs'!A278</x:f>
        <x:v>PLAS</x:v>
      </x:c>
      <x:c r="B278" s="1" t="str">
        <x:f>'Inventory inputs'!B278</x:f>
        <x:v>10</x:v>
      </x:c>
      <x:c r="C278" s="1" t="str">
        <x:f>'Inventory inputs'!C278</x:f>
        <x:v>03419RWBCLR</x:v>
      </x:c>
      <x:c r="D278" s="7" t="n">
        <x:f>'Inventory inputs'!E278</x:f>
        <x:v>46303</x:v>
      </x:c>
      <x:c r="E278" s="1" t="n">
        <x:f>'Inventory inputs'!F278</x:f>
        <x:v>5100</x:v>
      </x:c>
      <x:c r="F278" s="1" t="n">
        <x:f>'Inventory inputs'!G278</x:f>
        <x:v>270.83</x:v>
      </x:c>
      <x:c r="G278" s="1" t="n">
        <x:f>'Inventory inputs'!H278/'Inventory inputs'!J278</x:f>
        <x:v>0.0625</x:v>
      </x:c>
      <x:c r="H278" s="1" t="n">
        <x:f>IF('Inventory inputs'!I278&gt;0,'Inventory inputs'!I278*'Inventory inputs'!K278/'Inventory inputs'!J278,"n.a.")</x:f>
        <x:v>0.073059</x:v>
      </x:c>
      <x:c r="I278" s="1" t="n">
        <x:f>'Inventory inputs'!L278</x:f>
        <x:v>0</x:v>
      </x:c>
      <x:c r="J278" s="1" t="n">
        <x:f>'Inventory inputs'!M278</x:f>
        <x:v>0</x:v>
      </x:c>
      <x:c r="K278" s="1" t="n">
        <x:f>'Inventory inputs'!N278</x:f>
        <x:v>5100</x:v>
      </x:c>
      <x:c r="L278" s="1" t="n">
        <x:f>'Inventory inputs'!O278</x:f>
        <x:v>0</x:v>
      </x:c>
      <x:c r="M278" s="9" t="n">
        <x:f>E278*G278</x:f>
        <x:v>318.75</x:v>
      </x:c>
      <x:c r="N278" s="9" t="n">
        <x:f>'Inventory inputs'!Q278</x:f>
        <x:v>318.75</x:v>
      </x:c>
      <x:c r="O278" s="9" t="n">
        <x:f>N278-M278</x:f>
        <x:v>0</x:v>
      </x:c>
      <x:c r="P278" s="1" t="n">
        <x:f>SUMIFS('Incoming POs'!$P$2:$P$305,'Incoming POs'!$A$2:$A$305,A278,'Incoming POs'!$B$2:$B$305,B278,'Incoming POs'!$C$2:$C$305,C278,'Incoming POs'!$G$2:$G$305,"&gt;="&amp;D278,'Incoming POs'!$G$2:$G$305,"&lt;"&amp;Dashboard!$I$5)</x:f>
        <x:v>0</x:v>
      </x:c>
      <x:c r="Q278" s="1" t="n">
        <x:f>F278*Dashboard!$L$5*MAX(0,Dashboard!$I$5-D278)/30.4375</x:f>
        <x:v>360.3651745379877</x:v>
      </x:c>
      <x:c r="R278" s="1" t="n">
        <x:f>MAX(0,E278+P278-Q278)</x:f>
        <x:v>4739.6348254620125</x:v>
      </x:c>
      <x:c r="S278" s="1" t="n">
        <x:f>MAX(0,Q278-E278-P278)</x:f>
        <x:v>0</x:v>
      </x:c>
      <x:c r="T278" s="1" t="str">
        <x:f>IF(L278=1,MAX(0,I278+AB278-MIN(Q278,E278+P278)),"n.a.")</x:f>
        <x:v>n.a.</x:v>
      </x:c>
      <x:c r="U278" s="9" t="str">
        <x:f>IF(ISNUMBER(T278),T278*G278,"n.a.")</x:f>
        <x:v>n.a.</x:v>
      </x:c>
      <x:c r="V278" s="25" t="n">
        <x:f>IF(Dashboard!$I$6="Flat %",1,IF(ISNUMBER(H278),1,0))</x:f>
        <x:v>1</x:v>
      </x:c>
      <x:c r="W278" s="9" t="n">
        <x:f>IF(Dashboard!$I$6="Flat %",G278*(1+Dashboard!$L$6),H278)</x:f>
        <x:v>0.073059</x:v>
      </x:c>
      <x:c r="X278" s="9" t="n">
        <x:f>IF(V278=1,R278*(W278-G278),"n.a.")</x:f>
        <x:v>50.04580412205338</x:v>
      </x:c>
      <x:c r="Y278" s="9" t="n">
        <x:f>IF(V278=1,R278*W278,"n.a.")</x:f>
        <x:v>346.27298071342915</x:v>
      </x:c>
      <x:c r="Z278" s="1" t="str">
        <x:f>IF(ISNUMBER(T278),R278-T278,"n.a.")</x:f>
        <x:v>n.a.</x:v>
      </x:c>
      <x:c r="AA278" s="1" t="str">
        <x:f>'Inventory inputs'!R278</x:f>
        <x:v>Review receipt reconciliation or original PO baseline</x:v>
      </x:c>
      <x:c r="AB278" s="1" t="str">
        <x:f>IF(L278=1,SUMIFS('Incoming POs'!$P$2:$P$305,'Incoming POs'!$A$2:$A$305,A278,'Incoming POs'!$B$2:$B$305,B278,'Incoming POs'!$C$2:$C$305,C278,'Incoming POs'!$G$2:$G$305,"&gt;="&amp;D278,'Incoming POs'!$G$2:$G$305,"&lt;"&amp;Dashboard!$I$5,'Incoming POs'!$Q$2:$Q$305,"&lt;="&amp;('Inventory inputs'!P278/'Inventory inputs'!J278*1.01)),"n.a.")</x:f>
        <x:v>n.a.</x:v>
      </x:c>
      <x:c r="AC278" s="9" t="n">
        <x:f>I278*G278</x:f>
        <x:v>0</x:v>
      </x:c>
      <x:c r="AD278" s="9" t="n">
        <x:f>J278*G278</x:f>
        <x:v>0</x:v>
      </x:c>
      <x:c r="AE278" s="9" t="n">
        <x:f>K278*G278</x:f>
        <x:v>318.75</x:v>
      </x:c>
      <x:c r="AF278" s="9" t="n">
        <x:f>R278*G278</x:f>
        <x:v>296.2271765913758</x:v>
      </x:c>
    </x:row>
    <x:row r="279" ht="21" customHeight="1">
      <x:c r="A279" s="1" t="str">
        <x:f>'Inventory inputs'!A279</x:f>
        <x:v>PLAS</x:v>
      </x:c>
      <x:c r="B279" s="1" t="str">
        <x:f>'Inventory inputs'!B279</x:f>
        <x:v>30</x:v>
      </x:c>
      <x:c r="C279" s="1" t="str">
        <x:f>'Inventory inputs'!C279</x:f>
        <x:v>03819RWBMAR</x:v>
      </x:c>
      <x:c r="D279" s="7" t="n">
        <x:f>'Inventory inputs'!E279</x:f>
        <x:v>46303</x:v>
      </x:c>
      <x:c r="E279" s="1" t="n">
        <x:f>'Inventory inputs'!F279</x:f>
        <x:v>0</x:v>
      </x:c>
      <x:c r="F279" s="1" t="n">
        <x:f>'Inventory inputs'!G279</x:f>
        <x:v>266.67</x:v>
      </x:c>
      <x:c r="G279" s="1" t="n">
        <x:f>'Inventory inputs'!H279/'Inventory inputs'!J279</x:f>
        <x:v>0.0248</x:v>
      </x:c>
      <x:c r="H279" s="1" t="n">
        <x:f>IF('Inventory inputs'!I279&gt;0,'Inventory inputs'!I279*'Inventory inputs'!K279/'Inventory inputs'!J279,"n.a.")</x:f>
        <x:v>0.029106</x:v>
      </x:c>
      <x:c r="I279" s="1" t="n">
        <x:f>'Inventory inputs'!L279</x:f>
        <x:v>0</x:v>
      </x:c>
      <x:c r="J279" s="1" t="n">
        <x:f>'Inventory inputs'!M279</x:f>
        <x:v>0</x:v>
      </x:c>
      <x:c r="K279" s="1" t="n">
        <x:f>'Inventory inputs'!N279</x:f>
        <x:v>0</x:v>
      </x:c>
      <x:c r="L279" s="1" t="n">
        <x:f>'Inventory inputs'!O279</x:f>
        <x:v>1</x:v>
      </x:c>
      <x:c r="M279" s="9" t="n">
        <x:f>E279*G279</x:f>
        <x:v>0</x:v>
      </x:c>
      <x:c r="N279" s="9" t="n">
        <x:f>'Inventory inputs'!Q279</x:f>
        <x:v>0</x:v>
      </x:c>
      <x:c r="O279" s="9" t="n">
        <x:f>N279-M279</x:f>
        <x:v>0</x:v>
      </x:c>
      <x:c r="P279" s="1" t="n">
        <x:f>SUMIFS('Incoming POs'!$P$2:$P$305,'Incoming POs'!$A$2:$A$305,A279,'Incoming POs'!$B$2:$B$305,B279,'Incoming POs'!$C$2:$C$305,C279,'Incoming POs'!$G$2:$G$305,"&gt;="&amp;D279,'Incoming POs'!$G$2:$G$305,"&lt;"&amp;Dashboard!$I$5)</x:f>
        <x:v>0</x:v>
      </x:c>
      <x:c r="Q279" s="1" t="n">
        <x:f>F279*Dashboard!$L$5*MAX(0,Dashboard!$I$5-D279)/30.4375</x:f>
        <x:v>354.8298973305955</x:v>
      </x:c>
      <x:c r="R279" s="1" t="n">
        <x:f>MAX(0,E279+P279-Q279)</x:f>
        <x:v>0</x:v>
      </x:c>
      <x:c r="S279" s="1" t="n">
        <x:f>MAX(0,Q279-E279-P279)</x:f>
        <x:v>354.8298973305955</x:v>
      </x:c>
      <x:c r="T279" s="1" t="n">
        <x:f>IF(L279=1,MAX(0,I279+AB279-MIN(Q279,E279+P279)),"n.a.")</x:f>
        <x:v>0</x:v>
      </x:c>
      <x:c r="U279" s="9" t="n">
        <x:f>IF(ISNUMBER(T279),T279*G279,"n.a.")</x:f>
        <x:v>0</x:v>
      </x:c>
      <x:c r="V279" s="25" t="n">
        <x:f>IF(Dashboard!$I$6="Flat %",1,IF(ISNUMBER(H279),1,0))</x:f>
        <x:v>1</x:v>
      </x:c>
      <x:c r="W279" s="9" t="n">
        <x:f>IF(Dashboard!$I$6="Flat %",G279*(1+Dashboard!$L$6),H279)</x:f>
        <x:v>0.029106</x:v>
      </x:c>
      <x:c r="X279" s="9" t="n">
        <x:f>IF(V279=1,R279*(W279-G279),"n.a.")</x:f>
        <x:v>0</x:v>
      </x:c>
      <x:c r="Y279" s="9" t="n">
        <x:f>IF(V279=1,R279*W279,"n.a.")</x:f>
        <x:v>0</x:v>
      </x:c>
      <x:c r="Z279" s="1" t="n">
        <x:f>IF(ISNUMBER(T279),R279-T279,"n.a.")</x:f>
        <x:v>0</x:v>
      </x:c>
      <x:c r="AA279" s="1" t="str">
        <x:f>'Inventory inputs'!R279</x:f>
        <x:v>Classified</x:v>
      </x:c>
      <x:c r="AB279" s="1" t="n">
        <x:f>IF(L279=1,SUMIFS('Incoming POs'!$P$2:$P$305,'Incoming POs'!$A$2:$A$305,A279,'Incoming POs'!$B$2:$B$305,B279,'Incoming POs'!$C$2:$C$305,C279,'Incoming POs'!$G$2:$G$305,"&gt;="&amp;D279,'Incoming POs'!$G$2:$G$305,"&lt;"&amp;Dashboard!$I$5,'Incoming POs'!$Q$2:$Q$305,"&lt;="&amp;('Inventory inputs'!P279/'Inventory inputs'!J279*1.01)),"n.a.")</x:f>
        <x:v>0</x:v>
      </x:c>
      <x:c r="AC279" s="9" t="n">
        <x:f>I279*G279</x:f>
        <x:v>0</x:v>
      </x:c>
      <x:c r="AD279" s="9" t="n">
        <x:f>J279*G279</x:f>
        <x:v>0</x:v>
      </x:c>
      <x:c r="AE279" s="9" t="n">
        <x:f>K279*G279</x:f>
        <x:v>0</x:v>
      </x:c>
      <x:c r="AF279" s="9" t="n">
        <x:f>R279*G279</x:f>
        <x:v>0</x:v>
      </x:c>
    </x:row>
    <x:row r="280" ht="21" customHeight="1">
      <x:c r="A280" s="1" t="str">
        <x:f>'Inventory inputs'!A280</x:f>
        <x:v>PLAS</x:v>
      </x:c>
      <x:c r="B280" s="1" t="str">
        <x:f>'Inventory inputs'!B280</x:f>
        <x:v>10</x:v>
      </x:c>
      <x:c r="C280" s="1" t="str">
        <x:f>'Inventory inputs'!C280</x:f>
        <x:v>11216RSLBLK</x:v>
      </x:c>
      <x:c r="D280" s="7" t="n">
        <x:f>'Inventory inputs'!E280</x:f>
        <x:v>46303</x:v>
      </x:c>
      <x:c r="E280" s="1" t="n">
        <x:f>'Inventory inputs'!F280</x:f>
        <x:v>2158</x:v>
      </x:c>
      <x:c r="F280" s="1" t="n">
        <x:f>'Inventory inputs'!G280</x:f>
        <x:v>266</x:v>
      </x:c>
      <x:c r="G280" s="1" t="n">
        <x:f>'Inventory inputs'!H280/'Inventory inputs'!J280</x:f>
        <x:v>0.0947</x:v>
      </x:c>
      <x:c r="H280" s="1" t="n">
        <x:f>IF('Inventory inputs'!I280&gt;0,'Inventory inputs'!I280*'Inventory inputs'!K280/'Inventory inputs'!J280,"n.a.")</x:f>
        <x:v>0.11069100000000001</x:v>
      </x:c>
      <x:c r="I280" s="1" t="n">
        <x:f>'Inventory inputs'!L280</x:f>
        <x:v>2158</x:v>
      </x:c>
      <x:c r="J280" s="1" t="n">
        <x:f>'Inventory inputs'!M280</x:f>
        <x:v>0</x:v>
      </x:c>
      <x:c r="K280" s="1" t="n">
        <x:f>'Inventory inputs'!N280</x:f>
        <x:v>0</x:v>
      </x:c>
      <x:c r="L280" s="1" t="n">
        <x:f>'Inventory inputs'!O280</x:f>
        <x:v>1</x:v>
      </x:c>
      <x:c r="M280" s="9" t="n">
        <x:f>E280*G280</x:f>
        <x:v>204.36260000000001</x:v>
      </x:c>
      <x:c r="N280" s="9" t="n">
        <x:f>'Inventory inputs'!Q280</x:f>
        <x:v>204.36260000000001</x:v>
      </x:c>
      <x:c r="O280" s="9" t="n">
        <x:f>N280-M280</x:f>
        <x:v>0</x:v>
      </x:c>
      <x:c r="P280" s="1" t="n">
        <x:f>SUMIFS('Incoming POs'!$P$2:$P$305,'Incoming POs'!$A$2:$A$305,A280,'Incoming POs'!$B$2:$B$305,B280,'Incoming POs'!$C$2:$C$305,C280,'Incoming POs'!$G$2:$G$305,"&gt;="&amp;D280,'Incoming POs'!$G$2:$G$305,"&lt;"&amp;Dashboard!$I$5)</x:f>
        <x:v>0</x:v>
      </x:c>
      <x:c r="Q280" s="1" t="n">
        <x:f>F280*Dashboard!$L$5*MAX(0,Dashboard!$I$5-D280)/30.4375</x:f>
        <x:v>353.93839835728954</x:v>
      </x:c>
      <x:c r="R280" s="1" t="n">
        <x:f>MAX(0,E280+P280-Q280)</x:f>
        <x:v>1804.0616016427105</x:v>
      </x:c>
      <x:c r="S280" s="1" t="n">
        <x:f>MAX(0,Q280-E280-P280)</x:f>
        <x:v>0</x:v>
      </x:c>
      <x:c r="T280" s="1" t="n">
        <x:f>IF(L280=1,MAX(0,I280+AB280-MIN(Q280,E280+P280)),"n.a.")</x:f>
        <x:v>1804.0616016427105</x:v>
      </x:c>
      <x:c r="U280" s="9" t="n">
        <x:f>IF(ISNUMBER(T280),T280*G280,"n.a.")</x:f>
        <x:v>170.8446336755647</x:v>
      </x:c>
      <x:c r="V280" s="25" t="n">
        <x:f>IF(Dashboard!$I$6="Flat %",1,IF(ISNUMBER(H280),1,0))</x:f>
        <x:v>1</x:v>
      </x:c>
      <x:c r="W280" s="9" t="n">
        <x:f>IF(Dashboard!$I$6="Flat %",G280*(1+Dashboard!$L$6),H280)</x:f>
        <x:v>0.11069100000000001</x:v>
      </x:c>
      <x:c r="X280" s="9" t="n">
        <x:f>IF(V280=1,R280*(W280-G280),"n.a.")</x:f>
        <x:v>28.848749071868593</x:v>
      </x:c>
      <x:c r="Y280" s="9" t="n">
        <x:f>IF(V280=1,R280*W280,"n.a.")</x:f>
        <x:v>199.69338274743328</x:v>
      </x:c>
      <x:c r="Z280" s="1" t="n">
        <x:f>IF(ISNUMBER(T280),R280-T280,"n.a.")</x:f>
        <x:v>0</x:v>
      </x:c>
      <x:c r="AA280" s="1" t="str">
        <x:f>'Inventory inputs'!R280</x:f>
        <x:v>Classified</x:v>
      </x:c>
      <x:c r="AB280" s="1" t="n">
        <x:f>IF(L280=1,SUMIFS('Incoming POs'!$P$2:$P$305,'Incoming POs'!$A$2:$A$305,A280,'Incoming POs'!$B$2:$B$305,B280,'Incoming POs'!$C$2:$C$305,C280,'Incoming POs'!$G$2:$G$305,"&gt;="&amp;D280,'Incoming POs'!$G$2:$G$305,"&lt;"&amp;Dashboard!$I$5,'Incoming POs'!$Q$2:$Q$305,"&lt;="&amp;('Inventory inputs'!P280/'Inventory inputs'!J280*1.01)),"n.a.")</x:f>
        <x:v>0</x:v>
      </x:c>
      <x:c r="AC280" s="9" t="n">
        <x:f>I280*G280</x:f>
        <x:v>204.36260000000001</x:v>
      </x:c>
      <x:c r="AD280" s="9" t="n">
        <x:f>J280*G280</x:f>
        <x:v>0</x:v>
      </x:c>
      <x:c r="AE280" s="9" t="n">
        <x:f>K280*G280</x:f>
        <x:v>0</x:v>
      </x:c>
      <x:c r="AF280" s="9" t="n">
        <x:f>R280*G280</x:f>
        <x:v>170.8446336755647</x:v>
      </x:c>
    </x:row>
    <x:row r="281" ht="21" customHeight="1">
      <x:c r="A281" s="1" t="str">
        <x:f>'Inventory inputs'!A281</x:f>
        <x:v>PLAS</x:v>
      </x:c>
      <x:c r="B281" s="1" t="str">
        <x:f>'Inventory inputs'!B281</x:f>
        <x:v>10</x:v>
      </x:c>
      <x:c r="C281" s="1" t="str">
        <x:f>'Inventory inputs'!C281</x:f>
        <x:v>00121RWBBLK</x:v>
      </x:c>
      <x:c r="D281" s="7" t="n">
        <x:f>'Inventory inputs'!E281</x:f>
        <x:v>46303</x:v>
      </x:c>
      <x:c r="E281" s="1" t="n">
        <x:f>'Inventory inputs'!F281</x:f>
        <x:v>9953</x:v>
      </x:c>
      <x:c r="F281" s="1" t="n">
        <x:f>'Inventory inputs'!G281</x:f>
        <x:v>259.42</x:v>
      </x:c>
      <x:c r="G281" s="1" t="n">
        <x:f>'Inventory inputs'!H281/'Inventory inputs'!J281</x:f>
        <x:v>0.1038</x:v>
      </x:c>
      <x:c r="H281" s="1" t="n">
        <x:f>IF('Inventory inputs'!I281&gt;0,'Inventory inputs'!I281*'Inventory inputs'!K281/'Inventory inputs'!J281,"n.a.")</x:f>
        <x:v>0.12142199999999999</x:v>
      </x:c>
      <x:c r="I281" s="1" t="n">
        <x:f>'Inventory inputs'!L281</x:f>
        <x:v>9953</x:v>
      </x:c>
      <x:c r="J281" s="1" t="n">
        <x:f>'Inventory inputs'!M281</x:f>
        <x:v>0</x:v>
      </x:c>
      <x:c r="K281" s="1" t="n">
        <x:f>'Inventory inputs'!N281</x:f>
        <x:v>0</x:v>
      </x:c>
      <x:c r="L281" s="1" t="n">
        <x:f>'Inventory inputs'!O281</x:f>
        <x:v>1</x:v>
      </x:c>
      <x:c r="M281" s="9" t="n">
        <x:f>E281*G281</x:f>
        <x:v>1033.1214</x:v>
      </x:c>
      <x:c r="N281" s="9" t="n">
        <x:f>'Inventory inputs'!Q281</x:f>
        <x:v>1033.1214000000002</x:v>
      </x:c>
      <x:c r="O281" s="9" t="n">
        <x:f>N281-M281</x:f>
        <x:v>2.2737367544323206e-13</x:v>
      </x:c>
      <x:c r="P281" s="1" t="n">
        <x:f>SUMIFS('Incoming POs'!$P$2:$P$305,'Incoming POs'!$A$2:$A$305,A281,'Incoming POs'!$B$2:$B$305,B281,'Incoming POs'!$C$2:$C$305,C281,'Incoming POs'!$G$2:$G$305,"&gt;="&amp;D281,'Incoming POs'!$G$2:$G$305,"&lt;"&amp;Dashboard!$I$5)</x:f>
        <x:v>0</x:v>
      </x:c>
      <x:c r="Q281" s="1" t="n">
        <x:f>F281*Dashboard!$L$5*MAX(0,Dashboard!$I$5-D281)/30.4375</x:f>
        <x:v>345.1830800821355</x:v>
      </x:c>
      <x:c r="R281" s="1" t="n">
        <x:f>MAX(0,E281+P281-Q281)</x:f>
        <x:v>9607.816919917865</x:v>
      </x:c>
      <x:c r="S281" s="1" t="n">
        <x:f>MAX(0,Q281-E281-P281)</x:f>
        <x:v>0</x:v>
      </x:c>
      <x:c r="T281" s="1" t="n">
        <x:f>IF(L281=1,MAX(0,I281+AB281-MIN(Q281,E281+P281)),"n.a.")</x:f>
        <x:v>9607.816919917865</x:v>
      </x:c>
      <x:c r="U281" s="9" t="n">
        <x:f>IF(ISNUMBER(T281),T281*G281,"n.a.")</x:f>
        <x:v>997.2913962874744</x:v>
      </x:c>
      <x:c r="V281" s="25" t="n">
        <x:f>IF(Dashboard!$I$6="Flat %",1,IF(ISNUMBER(H281),1,0))</x:f>
        <x:v>1</x:v>
      </x:c>
      <x:c r="W281" s="9" t="n">
        <x:f>IF(Dashboard!$I$6="Flat %",G281*(1+Dashboard!$L$6),H281)</x:f>
        <x:v>0.12142199999999999</x:v>
      </x:c>
      <x:c r="X281" s="9" t="n">
        <x:f>IF(V281=1,R281*(W281-G281),"n.a.")</x:f>
        <x:v>169.30894976279248</x:v>
      </x:c>
      <x:c r="Y281" s="9" t="n">
        <x:f>IF(V281=1,R281*W281,"n.a.")</x:f>
        <x:v>1166.6003460502668</x:v>
      </x:c>
      <x:c r="Z281" s="1" t="n">
        <x:f>IF(ISNUMBER(T281),R281-T281,"n.a.")</x:f>
        <x:v>0</x:v>
      </x:c>
      <x:c r="AA281" s="1" t="str">
        <x:f>'Inventory inputs'!R281</x:f>
        <x:v>Classified</x:v>
      </x:c>
      <x:c r="AB281" s="1" t="n">
        <x:f>IF(L281=1,SUMIFS('Incoming POs'!$P$2:$P$305,'Incoming POs'!$A$2:$A$305,A281,'Incoming POs'!$B$2:$B$305,B281,'Incoming POs'!$C$2:$C$305,C281,'Incoming POs'!$G$2:$G$305,"&gt;="&amp;D281,'Incoming POs'!$G$2:$G$305,"&lt;"&amp;Dashboard!$I$5,'Incoming POs'!$Q$2:$Q$305,"&lt;="&amp;('Inventory inputs'!P281/'Inventory inputs'!J281*1.01)),"n.a.")</x:f>
        <x:v>0</x:v>
      </x:c>
      <x:c r="AC281" s="9" t="n">
        <x:f>I281*G281</x:f>
        <x:v>1033.1214</x:v>
      </x:c>
      <x:c r="AD281" s="9" t="n">
        <x:f>J281*G281</x:f>
        <x:v>0</x:v>
      </x:c>
      <x:c r="AE281" s="9" t="n">
        <x:f>K281*G281</x:f>
        <x:v>0</x:v>
      </x:c>
      <x:c r="AF281" s="9" t="n">
        <x:f>R281*G281</x:f>
        <x:v>997.2913962874744</x:v>
      </x:c>
    </x:row>
    <x:row r="282" ht="21" customHeight="1">
      <x:c r="A282" s="1" t="str">
        <x:f>'Inventory inputs'!A282</x:f>
        <x:v>PLAS</x:v>
      </x:c>
      <x:c r="B282" s="1" t="str">
        <x:f>'Inventory inputs'!B282</x:f>
        <x:v>60</x:v>
      </x:c>
      <x:c r="C282" s="1" t="str">
        <x:f>'Inventory inputs'!C282</x:f>
        <x:v>11219RSLNAV</x:v>
      </x:c>
      <x:c r="D282" s="7" t="n">
        <x:f>'Inventory inputs'!E282</x:f>
        <x:v>46303</x:v>
      </x:c>
      <x:c r="E282" s="1" t="n">
        <x:f>'Inventory inputs'!F282</x:f>
        <x:v>1300</x:v>
      </x:c>
      <x:c r="F282" s="1" t="n">
        <x:f>'Inventory inputs'!G282</x:f>
        <x:v>258.33</x:v>
      </x:c>
      <x:c r="G282" s="1" t="n">
        <x:f>'Inventory inputs'!H282/'Inventory inputs'!J282</x:f>
        <x:v>0.1298</x:v>
      </x:c>
      <x:c r="H282" s="1" t="n">
        <x:f>IF('Inventory inputs'!I282&gt;0,'Inventory inputs'!I282*'Inventory inputs'!K282/'Inventory inputs'!J282,"n.a.")</x:f>
        <x:v>0.151851</x:v>
      </x:c>
      <x:c r="I282" s="1" t="n">
        <x:f>'Inventory inputs'!L282</x:f>
        <x:v>0</x:v>
      </x:c>
      <x:c r="J282" s="1" t="n">
        <x:f>'Inventory inputs'!M282</x:f>
        <x:v>0</x:v>
      </x:c>
      <x:c r="K282" s="1" t="n">
        <x:f>'Inventory inputs'!N282</x:f>
        <x:v>1300</x:v>
      </x:c>
      <x:c r="L282" s="1" t="n">
        <x:f>'Inventory inputs'!O282</x:f>
        <x:v>0</x:v>
      </x:c>
      <x:c r="M282" s="9" t="n">
        <x:f>E282*G282</x:f>
        <x:v>168.74</x:v>
      </x:c>
      <x:c r="N282" s="9" t="n">
        <x:f>'Inventory inputs'!Q282</x:f>
        <x:v>168.74</x:v>
      </x:c>
      <x:c r="O282" s="9" t="n">
        <x:f>N282-M282</x:f>
        <x:v>0</x:v>
      </x:c>
      <x:c r="P282" s="1" t="n">
        <x:f>SUMIFS('Incoming POs'!$P$2:$P$305,'Incoming POs'!$A$2:$A$305,A282,'Incoming POs'!$B$2:$B$305,B282,'Incoming POs'!$C$2:$C$305,C282,'Incoming POs'!$G$2:$G$305,"&gt;="&amp;D282,'Incoming POs'!$G$2:$G$305,"&lt;"&amp;Dashboard!$I$5)</x:f>
        <x:v>0</x:v>
      </x:c>
      <x:c r="Q282" s="1" t="n">
        <x:f>F282*Dashboard!$L$5*MAX(0,Dashboard!$I$5-D282)/30.4375</x:f>
        <x:v>343.7327310061602</x:v>
      </x:c>
      <x:c r="R282" s="1" t="n">
        <x:f>MAX(0,E282+P282-Q282)</x:f>
        <x:v>956.2672689938398</x:v>
      </x:c>
      <x:c r="S282" s="1" t="n">
        <x:f>MAX(0,Q282-E282-P282)</x:f>
        <x:v>0</x:v>
      </x:c>
      <x:c r="T282" s="1" t="str">
        <x:f>IF(L282=1,MAX(0,I282+AB282-MIN(Q282,E282+P282)),"n.a.")</x:f>
        <x:v>n.a.</x:v>
      </x:c>
      <x:c r="U282" s="9" t="str">
        <x:f>IF(ISNUMBER(T282),T282*G282,"n.a.")</x:f>
        <x:v>n.a.</x:v>
      </x:c>
      <x:c r="V282" s="25" t="n">
        <x:f>IF(Dashboard!$I$6="Flat %",1,IF(ISNUMBER(H282),1,0))</x:f>
        <x:v>1</x:v>
      </x:c>
      <x:c r="W282" s="9" t="n">
        <x:f>IF(Dashboard!$I$6="Flat %",G282*(1+Dashboard!$L$6),H282)</x:f>
        <x:v>0.151851</x:v>
      </x:c>
      <x:c r="X282" s="9" t="n">
        <x:f>IF(V282=1,R282*(W282-G282),"n.a.")</x:f>
        <x:v>21.086649548583175</x:v>
      </x:c>
      <x:c r="Y282" s="9" t="n">
        <x:f>IF(V282=1,R282*W282,"n.a.")</x:f>
        <x:v>145.21014106398357</x:v>
      </x:c>
      <x:c r="Z282" s="1" t="str">
        <x:f>IF(ISNUMBER(T282),R282-T282,"n.a.")</x:f>
        <x:v>n.a.</x:v>
      </x:c>
      <x:c r="AA282" s="1" t="str">
        <x:f>'Inventory inputs'!R282</x:f>
        <x:v>Review receipt reconciliation or original PO baseline</x:v>
      </x:c>
      <x:c r="AB282" s="1" t="str">
        <x:f>IF(L282=1,SUMIFS('Incoming POs'!$P$2:$P$305,'Incoming POs'!$A$2:$A$305,A282,'Incoming POs'!$B$2:$B$305,B282,'Incoming POs'!$C$2:$C$305,C282,'Incoming POs'!$G$2:$G$305,"&gt;="&amp;D282,'Incoming POs'!$G$2:$G$305,"&lt;"&amp;Dashboard!$I$5,'Incoming POs'!$Q$2:$Q$305,"&lt;="&amp;('Inventory inputs'!P282/'Inventory inputs'!J282*1.01)),"n.a.")</x:f>
        <x:v>n.a.</x:v>
      </x:c>
      <x:c r="AC282" s="9" t="n">
        <x:f>I282*G282</x:f>
        <x:v>0</x:v>
      </x:c>
      <x:c r="AD282" s="9" t="n">
        <x:f>J282*G282</x:f>
        <x:v>0</x:v>
      </x:c>
      <x:c r="AE282" s="9" t="n">
        <x:f>K282*G282</x:f>
        <x:v>168.74</x:v>
      </x:c>
      <x:c r="AF282" s="9" t="n">
        <x:f>R282*G282</x:f>
        <x:v>124.1234915154004</x:v>
      </x:c>
    </x:row>
    <x:row r="283" ht="21" customHeight="1">
      <x:c r="A283" s="1" t="str">
        <x:f>'Inventory inputs'!A283</x:f>
        <x:v>PLAS</x:v>
      </x:c>
      <x:c r="B283" s="1" t="str">
        <x:f>'Inventory inputs'!B283</x:f>
        <x:v>10</x:v>
      </x:c>
      <x:c r="C283" s="1" t="str">
        <x:f>'Inventory inputs'!C283</x:f>
        <x:v>00115RWBBLU</x:v>
      </x:c>
      <x:c r="D283" s="7" t="n">
        <x:f>'Inventory inputs'!E283</x:f>
        <x:v>46303</x:v>
      </x:c>
      <x:c r="E283" s="1" t="n">
        <x:f>'Inventory inputs'!F283</x:f>
        <x:v>4000</x:v>
      </x:c>
      <x:c r="F283" s="1" t="n">
        <x:f>'Inventory inputs'!G283</x:f>
        <x:v>250</x:v>
      </x:c>
      <x:c r="G283" s="1" t="n">
        <x:f>'Inventory inputs'!H283/'Inventory inputs'!J283</x:f>
        <x:v>0.0678</x:v>
      </x:c>
      <x:c r="H283" s="1" t="n">
        <x:f>IF('Inventory inputs'!I283&gt;0,'Inventory inputs'!I283*'Inventory inputs'!K283/'Inventory inputs'!J283,"n.a.")</x:f>
        <x:v>0.086142</x:v>
      </x:c>
      <x:c r="I283" s="1" t="n">
        <x:f>'Inventory inputs'!L283</x:f>
        <x:v>0</x:v>
      </x:c>
      <x:c r="J283" s="1" t="n">
        <x:f>'Inventory inputs'!M283</x:f>
        <x:v>0</x:v>
      </x:c>
      <x:c r="K283" s="1" t="n">
        <x:f>'Inventory inputs'!N283</x:f>
        <x:v>4000</x:v>
      </x:c>
      <x:c r="L283" s="1" t="n">
        <x:f>'Inventory inputs'!O283</x:f>
        <x:v>0</x:v>
      </x:c>
      <x:c r="M283" s="9" t="n">
        <x:f>E283*G283</x:f>
        <x:v>271.2</x:v>
      </x:c>
      <x:c r="N283" s="9" t="n">
        <x:f>'Inventory inputs'!Q283</x:f>
        <x:v>271.2</x:v>
      </x:c>
      <x:c r="O283" s="9" t="n">
        <x:f>N283-M283</x:f>
        <x:v>0</x:v>
      </x:c>
      <x:c r="P283" s="1" t="n">
        <x:f>SUMIFS('Incoming POs'!$P$2:$P$305,'Incoming POs'!$A$2:$A$305,A283,'Incoming POs'!$B$2:$B$305,B283,'Incoming POs'!$C$2:$C$305,C283,'Incoming POs'!$G$2:$G$305,"&gt;="&amp;D283,'Incoming POs'!$G$2:$G$305,"&lt;"&amp;Dashboard!$I$5)</x:f>
        <x:v>0</x:v>
      </x:c>
      <x:c r="Q283" s="1" t="n">
        <x:f>F283*Dashboard!$L$5*MAX(0,Dashboard!$I$5-D283)/30.4375</x:f>
        <x:v>332.6488706365503</x:v>
      </x:c>
      <x:c r="R283" s="1" t="n">
        <x:f>MAX(0,E283+P283-Q283)</x:f>
        <x:v>3667.3511293634497</x:v>
      </x:c>
      <x:c r="S283" s="1" t="n">
        <x:f>MAX(0,Q283-E283-P283)</x:f>
        <x:v>0</x:v>
      </x:c>
      <x:c r="T283" s="1" t="str">
        <x:f>IF(L283=1,MAX(0,I283+AB283-MIN(Q283,E283+P283)),"n.a.")</x:f>
        <x:v>n.a.</x:v>
      </x:c>
      <x:c r="U283" s="9" t="str">
        <x:f>IF(ISNUMBER(T283),T283*G283,"n.a.")</x:f>
        <x:v>n.a.</x:v>
      </x:c>
      <x:c r="V283" s="25" t="n">
        <x:f>IF(Dashboard!$I$6="Flat %",1,IF(ISNUMBER(H283),1,0))</x:f>
        <x:v>1</x:v>
      </x:c>
      <x:c r="W283" s="9" t="n">
        <x:f>IF(Dashboard!$I$6="Flat %",G283*(1+Dashboard!$L$6),H283)</x:f>
        <x:v>0.086142</x:v>
      </x:c>
      <x:c r="X283" s="9" t="n">
        <x:f>IF(V283=1,R283*(W283-G283),"n.a.")</x:f>
        <x:v>67.26655441478438</x:v>
      </x:c>
      <x:c r="Y283" s="9" t="n">
        <x:f>IF(V283=1,R283*W283,"n.a.")</x:f>
        <x:v>315.9129609856263</x:v>
      </x:c>
      <x:c r="Z283" s="1" t="str">
        <x:f>IF(ISNUMBER(T283),R283-T283,"n.a.")</x:f>
        <x:v>n.a.</x:v>
      </x:c>
      <x:c r="AA283" s="1" t="str">
        <x:f>'Inventory inputs'!R283</x:f>
        <x:v>Review receipt reconciliation or original PO baseline</x:v>
      </x:c>
      <x:c r="AB283" s="1" t="str">
        <x:f>IF(L283=1,SUMIFS('Incoming POs'!$P$2:$P$305,'Incoming POs'!$A$2:$A$305,A283,'Incoming POs'!$B$2:$B$305,B283,'Incoming POs'!$C$2:$C$305,C283,'Incoming POs'!$G$2:$G$305,"&gt;="&amp;D283,'Incoming POs'!$G$2:$G$305,"&lt;"&amp;Dashboard!$I$5,'Incoming POs'!$Q$2:$Q$305,"&lt;="&amp;('Inventory inputs'!P283/'Inventory inputs'!J283*1.01)),"n.a.")</x:f>
        <x:v>n.a.</x:v>
      </x:c>
      <x:c r="AC283" s="9" t="n">
        <x:f>I283*G283</x:f>
        <x:v>0</x:v>
      </x:c>
      <x:c r="AD283" s="9" t="n">
        <x:f>J283*G283</x:f>
        <x:v>0</x:v>
      </x:c>
      <x:c r="AE283" s="9" t="n">
        <x:f>K283*G283</x:f>
        <x:v>271.2</x:v>
      </x:c>
      <x:c r="AF283" s="9" t="n">
        <x:f>R283*G283</x:f>
        <x:v>248.6464065708419</x:v>
      </x:c>
    </x:row>
    <x:row r="284" ht="21" customHeight="1">
      <x:c r="A284" s="1" t="str">
        <x:f>'Inventory inputs'!A284</x:f>
        <x:v>PLAS</x:v>
      </x:c>
      <x:c r="B284" s="1" t="str">
        <x:f>'Inventory inputs'!B284</x:f>
        <x:v>10</x:v>
      </x:c>
      <x:c r="C284" s="1" t="str">
        <x:f>'Inventory inputs'!C284</x:f>
        <x:v>05815RWBWHT</x:v>
      </x:c>
      <x:c r="D284" s="7" t="n">
        <x:f>'Inventory inputs'!E284</x:f>
        <x:v>46303</x:v>
      </x:c>
      <x:c r="E284" s="1" t="n">
        <x:f>'Inventory inputs'!F284</x:f>
        <x:v>0</x:v>
      </x:c>
      <x:c r="F284" s="1" t="n">
        <x:f>'Inventory inputs'!G284</x:f>
        <x:v>250</x:v>
      </x:c>
      <x:c r="G284" s="1" t="n">
        <x:f>'Inventory inputs'!H284/'Inventory inputs'!J284</x:f>
        <x:v>0.030899999999999997</x:v>
      </x:c>
      <x:c r="H284" s="1" t="n">
        <x:f>IF('Inventory inputs'!I284&gt;0,'Inventory inputs'!I284*'Inventory inputs'!K284/'Inventory inputs'!J284,"n.a.")</x:f>
        <x:v>0.036162</x:v>
      </x:c>
      <x:c r="I284" s="1" t="n">
        <x:f>'Inventory inputs'!L284</x:f>
        <x:v>0</x:v>
      </x:c>
      <x:c r="J284" s="1" t="n">
        <x:f>'Inventory inputs'!M284</x:f>
        <x:v>0</x:v>
      </x:c>
      <x:c r="K284" s="1" t="n">
        <x:f>'Inventory inputs'!N284</x:f>
        <x:v>0</x:v>
      </x:c>
      <x:c r="L284" s="1" t="n">
        <x:f>'Inventory inputs'!O284</x:f>
        <x:v>1</x:v>
      </x:c>
      <x:c r="M284" s="9" t="n">
        <x:f>E284*G284</x:f>
        <x:v>0</x:v>
      </x:c>
      <x:c r="N284" s="9" t="n">
        <x:f>'Inventory inputs'!Q284</x:f>
        <x:v>0</x:v>
      </x:c>
      <x:c r="O284" s="9" t="n">
        <x:f>N284-M284</x:f>
        <x:v>0</x:v>
      </x:c>
      <x:c r="P284" s="1" t="n">
        <x:f>SUMIFS('Incoming POs'!$P$2:$P$305,'Incoming POs'!$A$2:$A$305,A284,'Incoming POs'!$B$2:$B$305,B284,'Incoming POs'!$C$2:$C$305,C284,'Incoming POs'!$G$2:$G$305,"&gt;="&amp;D284,'Incoming POs'!$G$2:$G$305,"&lt;"&amp;Dashboard!$I$5)</x:f>
        <x:v>4000</x:v>
      </x:c>
      <x:c r="Q284" s="1" t="n">
        <x:f>F284*Dashboard!$L$5*MAX(0,Dashboard!$I$5-D284)/30.4375</x:f>
        <x:v>332.6488706365503</x:v>
      </x:c>
      <x:c r="R284" s="1" t="n">
        <x:f>MAX(0,E284+P284-Q284)</x:f>
        <x:v>3667.3511293634497</x:v>
      </x:c>
      <x:c r="S284" s="1" t="n">
        <x:f>MAX(0,Q284-E284-P284)</x:f>
        <x:v>0</x:v>
      </x:c>
      <x:c r="T284" s="1" t="n">
        <x:f>IF(L284=1,MAX(0,I284+AB284-MIN(Q284,E284+P284)),"n.a.")</x:f>
        <x:v>0</x:v>
      </x:c>
      <x:c r="U284" s="9" t="n">
        <x:f>IF(ISNUMBER(T284),T284*G284,"n.a.")</x:f>
        <x:v>0</x:v>
      </x:c>
      <x:c r="V284" s="25" t="n">
        <x:f>IF(Dashboard!$I$6="Flat %",1,IF(ISNUMBER(H284),1,0))</x:f>
        <x:v>1</x:v>
      </x:c>
      <x:c r="W284" s="9" t="n">
        <x:f>IF(Dashboard!$I$6="Flat %",G284*(1+Dashboard!$L$6),H284)</x:f>
        <x:v>0.036162</x:v>
      </x:c>
      <x:c r="X284" s="9" t="n">
        <x:f>IF(V284=1,R284*(W284-G284),"n.a.")</x:f>
        <x:v>19.297601642710482</x:v>
      </x:c>
      <x:c r="Y284" s="9" t="n">
        <x:f>IF(V284=1,R284*W284,"n.a.")</x:f>
        <x:v>132.61875154004107</x:v>
      </x:c>
      <x:c r="Z284" s="1" t="n">
        <x:f>IF(ISNUMBER(T284),R284-T284,"n.a.")</x:f>
        <x:v>3667.3511293634497</x:v>
      </x:c>
      <x:c r="AA284" s="1" t="str">
        <x:f>'Inventory inputs'!R284</x:f>
        <x:v>Classified</x:v>
      </x:c>
      <x:c r="AB284" s="1" t="n">
        <x:f>IF(L284=1,SUMIFS('Incoming POs'!$P$2:$P$305,'Incoming POs'!$A$2:$A$305,A284,'Incoming POs'!$B$2:$B$305,B284,'Incoming POs'!$C$2:$C$305,C284,'Incoming POs'!$G$2:$G$305,"&gt;="&amp;D284,'Incoming POs'!$G$2:$G$305,"&lt;"&amp;Dashboard!$I$5,'Incoming POs'!$Q$2:$Q$305,"&lt;="&amp;('Inventory inputs'!P284/'Inventory inputs'!J284*1.01)),"n.a.")</x:f>
        <x:v>0</x:v>
      </x:c>
      <x:c r="AC284" s="9" t="n">
        <x:f>I284*G284</x:f>
        <x:v>0</x:v>
      </x:c>
      <x:c r="AD284" s="9" t="n">
        <x:f>J284*G284</x:f>
        <x:v>0</x:v>
      </x:c>
      <x:c r="AE284" s="9" t="n">
        <x:f>K284*G284</x:f>
        <x:v>0</x:v>
      </x:c>
      <x:c r="AF284" s="9" t="n">
        <x:f>R284*G284</x:f>
        <x:v>113.32114989733059</x:v>
      </x:c>
    </x:row>
    <x:row r="285" ht="21" customHeight="1">
      <x:c r="A285" s="1" t="str">
        <x:f>'Inventory inputs'!A285</x:f>
        <x:v>PLAS</x:v>
      </x:c>
      <x:c r="B285" s="1" t="str">
        <x:f>'Inventory inputs'!B285</x:f>
        <x:v>10</x:v>
      </x:c>
      <x:c r="C285" s="1" t="str">
        <x:f>'Inventory inputs'!C285</x:f>
        <x:v>07819RWBMAR</x:v>
      </x:c>
      <x:c r="D285" s="7" t="n">
        <x:f>'Inventory inputs'!E285</x:f>
        <x:v>46303</x:v>
      </x:c>
      <x:c r="E285" s="1" t="n">
        <x:f>'Inventory inputs'!F285</x:f>
        <x:v>1400</x:v>
      </x:c>
      <x:c r="F285" s="1" t="n">
        <x:f>'Inventory inputs'!G285</x:f>
        <x:v>250</x:v>
      </x:c>
      <x:c r="G285" s="1" t="n">
        <x:f>'Inventory inputs'!H285/'Inventory inputs'!J285</x:f>
        <x:v>0.0797</x:v>
      </x:c>
      <x:c r="H285" s="1" t="n">
        <x:f>IF('Inventory inputs'!I285&gt;0,'Inventory inputs'!I285*'Inventory inputs'!K285/'Inventory inputs'!J285,"n.a.")</x:f>
        <x:v>0.09319799999999999</x:v>
      </x:c>
      <x:c r="I285" s="1" t="n">
        <x:f>'Inventory inputs'!L285</x:f>
        <x:v>1400</x:v>
      </x:c>
      <x:c r="J285" s="1" t="n">
        <x:f>'Inventory inputs'!M285</x:f>
        <x:v>0</x:v>
      </x:c>
      <x:c r="K285" s="1" t="n">
        <x:f>'Inventory inputs'!N285</x:f>
        <x:v>0</x:v>
      </x:c>
      <x:c r="L285" s="1" t="n">
        <x:f>'Inventory inputs'!O285</x:f>
        <x:v>1</x:v>
      </x:c>
      <x:c r="M285" s="9" t="n">
        <x:f>E285*G285</x:f>
        <x:v>111.57999999999998</x:v>
      </x:c>
      <x:c r="N285" s="9" t="n">
        <x:f>'Inventory inputs'!Q285</x:f>
        <x:v>111.58</x:v>
      </x:c>
      <x:c r="O285" s="9" t="n">
        <x:f>N285-M285</x:f>
        <x:v>1.4210854715202004e-14</x:v>
      </x:c>
      <x:c r="P285" s="1" t="n">
        <x:f>SUMIFS('Incoming POs'!$P$2:$P$305,'Incoming POs'!$A$2:$A$305,A285,'Incoming POs'!$B$2:$B$305,B285,'Incoming POs'!$C$2:$C$305,C285,'Incoming POs'!$G$2:$G$305,"&gt;="&amp;D285,'Incoming POs'!$G$2:$G$305,"&lt;"&amp;Dashboard!$I$5)</x:f>
        <x:v>0</x:v>
      </x:c>
      <x:c r="Q285" s="1" t="n">
        <x:f>F285*Dashboard!$L$5*MAX(0,Dashboard!$I$5-D285)/30.4375</x:f>
        <x:v>332.6488706365503</x:v>
      </x:c>
      <x:c r="R285" s="1" t="n">
        <x:f>MAX(0,E285+P285-Q285)</x:f>
        <x:v>1067.3511293634497</x:v>
      </x:c>
      <x:c r="S285" s="1" t="n">
        <x:f>MAX(0,Q285-E285-P285)</x:f>
        <x:v>0</x:v>
      </x:c>
      <x:c r="T285" s="1" t="n">
        <x:f>IF(L285=1,MAX(0,I285+AB285-MIN(Q285,E285+P285)),"n.a.")</x:f>
        <x:v>1067.3511293634497</x:v>
      </x:c>
      <x:c r="U285" s="9" t="n">
        <x:f>IF(ISNUMBER(T285),T285*G285,"n.a.")</x:f>
        <x:v>85.06788501026693</x:v>
      </x:c>
      <x:c r="V285" s="25" t="n">
        <x:f>IF(Dashboard!$I$6="Flat %",1,IF(ISNUMBER(H285),1,0))</x:f>
        <x:v>1</x:v>
      </x:c>
      <x:c r="W285" s="9" t="n">
        <x:f>IF(Dashboard!$I$6="Flat %",G285*(1+Dashboard!$L$6),H285)</x:f>
        <x:v>0.09319799999999999</x:v>
      </x:c>
      <x:c r="X285" s="9" t="n">
        <x:f>IF(V285=1,R285*(W285-G285),"n.a.")</x:f>
        <x:v>14.40710554414784</x:v>
      </x:c>
      <x:c r="Y285" s="9" t="n">
        <x:f>IF(V285=1,R285*W285,"n.a.")</x:f>
        <x:v>99.47499055441477</x:v>
      </x:c>
      <x:c r="Z285" s="1" t="n">
        <x:f>IF(ISNUMBER(T285),R285-T285,"n.a.")</x:f>
        <x:v>0</x:v>
      </x:c>
      <x:c r="AA285" s="1" t="str">
        <x:f>'Inventory inputs'!R285</x:f>
        <x:v>Classified</x:v>
      </x:c>
      <x:c r="AB285" s="1" t="n">
        <x:f>IF(L285=1,SUMIFS('Incoming POs'!$P$2:$P$305,'Incoming POs'!$A$2:$A$305,A285,'Incoming POs'!$B$2:$B$305,B285,'Incoming POs'!$C$2:$C$305,C285,'Incoming POs'!$G$2:$G$305,"&gt;="&amp;D285,'Incoming POs'!$G$2:$G$305,"&lt;"&amp;Dashboard!$I$5,'Incoming POs'!$Q$2:$Q$305,"&lt;="&amp;('Inventory inputs'!P285/'Inventory inputs'!J285*1.01)),"n.a.")</x:f>
        <x:v>0</x:v>
      </x:c>
      <x:c r="AC285" s="9" t="n">
        <x:f>I285*G285</x:f>
        <x:v>111.57999999999998</x:v>
      </x:c>
      <x:c r="AD285" s="9" t="n">
        <x:f>J285*G285</x:f>
        <x:v>0</x:v>
      </x:c>
      <x:c r="AE285" s="9" t="n">
        <x:f>K285*G285</x:f>
        <x:v>0</x:v>
      </x:c>
      <x:c r="AF285" s="9" t="n">
        <x:f>R285*G285</x:f>
        <x:v>85.06788501026693</x:v>
      </x:c>
    </x:row>
    <x:row r="286" ht="21" customHeight="1">
      <x:c r="A286" s="1" t="str">
        <x:f>'Inventory inputs'!A286</x:f>
        <x:v>PLAS</x:v>
      </x:c>
      <x:c r="B286" s="1" t="str">
        <x:f>'Inventory inputs'!B286</x:f>
        <x:v>10</x:v>
      </x:c>
      <x:c r="C286" s="1" t="str">
        <x:f>'Inventory inputs'!C286</x:f>
        <x:v>71615RWBBLU</x:v>
      </x:c>
      <x:c r="D286" s="7" t="n">
        <x:f>'Inventory inputs'!E286</x:f>
        <x:v>46303</x:v>
      </x:c>
      <x:c r="E286" s="1" t="n">
        <x:f>'Inventory inputs'!F286</x:f>
        <x:v>3000</x:v>
      </x:c>
      <x:c r="F286" s="1" t="n">
        <x:f>'Inventory inputs'!G286</x:f>
        <x:v>250</x:v>
      </x:c>
      <x:c r="G286" s="1" t="n">
        <x:f>'Inventory inputs'!H286/'Inventory inputs'!J286</x:f>
        <x:v>0.0219</x:v>
      </x:c>
      <x:c r="H286" s="1" t="n">
        <x:f>IF('Inventory inputs'!I286&gt;0,'Inventory inputs'!I286*'Inventory inputs'!K286/'Inventory inputs'!J286,"n.a.")</x:f>
        <x:v>0.025578</x:v>
      </x:c>
      <x:c r="I286" s="1" t="n">
        <x:f>'Inventory inputs'!L286</x:f>
        <x:v>0</x:v>
      </x:c>
      <x:c r="J286" s="1" t="n">
        <x:f>'Inventory inputs'!M286</x:f>
        <x:v>0</x:v>
      </x:c>
      <x:c r="K286" s="1" t="n">
        <x:f>'Inventory inputs'!N286</x:f>
        <x:v>3000</x:v>
      </x:c>
      <x:c r="L286" s="1" t="n">
        <x:f>'Inventory inputs'!O286</x:f>
        <x:v>0</x:v>
      </x:c>
      <x:c r="M286" s="9" t="n">
        <x:f>E286*G286</x:f>
        <x:v>65.7</x:v>
      </x:c>
      <x:c r="N286" s="9" t="n">
        <x:f>'Inventory inputs'!Q286</x:f>
        <x:v>65.7</x:v>
      </x:c>
      <x:c r="O286" s="9" t="n">
        <x:f>N286-M286</x:f>
        <x:v>0</x:v>
      </x:c>
      <x:c r="P286" s="1" t="n">
        <x:f>SUMIFS('Incoming POs'!$P$2:$P$305,'Incoming POs'!$A$2:$A$305,A286,'Incoming POs'!$B$2:$B$305,B286,'Incoming POs'!$C$2:$C$305,C286,'Incoming POs'!$G$2:$G$305,"&gt;="&amp;D286,'Incoming POs'!$G$2:$G$305,"&lt;"&amp;Dashboard!$I$5)</x:f>
        <x:v>0</x:v>
      </x:c>
      <x:c r="Q286" s="1" t="n">
        <x:f>F286*Dashboard!$L$5*MAX(0,Dashboard!$I$5-D286)/30.4375</x:f>
        <x:v>332.6488706365503</x:v>
      </x:c>
      <x:c r="R286" s="1" t="n">
        <x:f>MAX(0,E286+P286-Q286)</x:f>
        <x:v>2667.3511293634497</x:v>
      </x:c>
      <x:c r="S286" s="1" t="n">
        <x:f>MAX(0,Q286-E286-P286)</x:f>
        <x:v>0</x:v>
      </x:c>
      <x:c r="T286" s="1" t="str">
        <x:f>IF(L286=1,MAX(0,I286+AB286-MIN(Q286,E286+P286)),"n.a.")</x:f>
        <x:v>n.a.</x:v>
      </x:c>
      <x:c r="U286" s="9" t="str">
        <x:f>IF(ISNUMBER(T286),T286*G286,"n.a.")</x:f>
        <x:v>n.a.</x:v>
      </x:c>
      <x:c r="V286" s="25" t="n">
        <x:f>IF(Dashboard!$I$6="Flat %",1,IF(ISNUMBER(H286),1,0))</x:f>
        <x:v>1</x:v>
      </x:c>
      <x:c r="W286" s="9" t="n">
        <x:f>IF(Dashboard!$I$6="Flat %",G286*(1+Dashboard!$L$6),H286)</x:f>
        <x:v>0.025578</x:v>
      </x:c>
      <x:c r="X286" s="9" t="n">
        <x:f>IF(V286=1,R286*(W286-G286),"n.a.")</x:f>
        <x:v>9.81051745379877</x:v>
      </x:c>
      <x:c r="Y286" s="9" t="n">
        <x:f>IF(V286=1,R286*W286,"n.a.")</x:f>
        <x:v>68.22550718685831</x:v>
      </x:c>
      <x:c r="Z286" s="1" t="str">
        <x:f>IF(ISNUMBER(T286),R286-T286,"n.a.")</x:f>
        <x:v>n.a.</x:v>
      </x:c>
      <x:c r="AA286" s="1" t="str">
        <x:f>'Inventory inputs'!R286</x:f>
        <x:v>Review receipt reconciliation or original PO baseline</x:v>
      </x:c>
      <x:c r="AB286" s="1" t="str">
        <x:f>IF(L286=1,SUMIFS('Incoming POs'!$P$2:$P$305,'Incoming POs'!$A$2:$A$305,A286,'Incoming POs'!$B$2:$B$305,B286,'Incoming POs'!$C$2:$C$305,C286,'Incoming POs'!$G$2:$G$305,"&gt;="&amp;D286,'Incoming POs'!$G$2:$G$305,"&lt;"&amp;Dashboard!$I$5,'Incoming POs'!$Q$2:$Q$305,"&lt;="&amp;('Inventory inputs'!P286/'Inventory inputs'!J286*1.01)),"n.a.")</x:f>
        <x:v>n.a.</x:v>
      </x:c>
      <x:c r="AC286" s="9" t="n">
        <x:f>I286*G286</x:f>
        <x:v>0</x:v>
      </x:c>
      <x:c r="AD286" s="9" t="n">
        <x:f>J286*G286</x:f>
        <x:v>0</x:v>
      </x:c>
      <x:c r="AE286" s="9" t="n">
        <x:f>K286*G286</x:f>
        <x:v>65.7</x:v>
      </x:c>
      <x:c r="AF286" s="9" t="n">
        <x:f>R286*G286</x:f>
        <x:v>58.41498973305955</x:v>
      </x:c>
    </x:row>
    <x:row r="287" ht="21" customHeight="1">
      <x:c r="A287" s="1" t="str">
        <x:f>'Inventory inputs'!A287</x:f>
        <x:v>PLAS</x:v>
      </x:c>
      <x:c r="B287" s="1" t="str">
        <x:f>'Inventory inputs'!B287</x:f>
        <x:v>10</x:v>
      </x:c>
      <x:c r="C287" s="1" t="str">
        <x:f>'Inventory inputs'!C287</x:f>
        <x:v>91615RWBNAV</x:v>
      </x:c>
      <x:c r="D287" s="7" t="n">
        <x:f>'Inventory inputs'!E287</x:f>
        <x:v>46303</x:v>
      </x:c>
      <x:c r="E287" s="1" t="n">
        <x:f>'Inventory inputs'!F287</x:f>
        <x:v>4390</x:v>
      </x:c>
      <x:c r="F287" s="1" t="n">
        <x:f>'Inventory inputs'!G287</x:f>
        <x:v>250</x:v>
      </x:c>
      <x:c r="G287" s="1" t="n">
        <x:f>'Inventory inputs'!H287/'Inventory inputs'!J287</x:f>
        <x:v>0.0291</x:v>
      </x:c>
      <x:c r="H287" s="1" t="n">
        <x:f>IF('Inventory inputs'!I287&gt;0,'Inventory inputs'!I287*'Inventory inputs'!K287/'Inventory inputs'!J287,"n.a.")</x:f>
        <x:v>0.034103999999999995</x:v>
      </x:c>
      <x:c r="I287" s="1" t="n">
        <x:f>'Inventory inputs'!L287</x:f>
        <x:v>4390</x:v>
      </x:c>
      <x:c r="J287" s="1" t="n">
        <x:f>'Inventory inputs'!M287</x:f>
        <x:v>0</x:v>
      </x:c>
      <x:c r="K287" s="1" t="n">
        <x:f>'Inventory inputs'!N287</x:f>
        <x:v>0</x:v>
      </x:c>
      <x:c r="L287" s="1" t="n">
        <x:f>'Inventory inputs'!O287</x:f>
        <x:v>1</x:v>
      </x:c>
      <x:c r="M287" s="9" t="n">
        <x:f>E287*G287</x:f>
        <x:v>127.74900000000001</x:v>
      </x:c>
      <x:c r="N287" s="9" t="n">
        <x:f>'Inventory inputs'!Q287</x:f>
        <x:v>127.74900000000002</x:v>
      </x:c>
      <x:c r="O287" s="9" t="n">
        <x:f>N287-M287</x:f>
        <x:v>1.4210854715202004e-14</x:v>
      </x:c>
      <x:c r="P287" s="1" t="n">
        <x:f>SUMIFS('Incoming POs'!$P$2:$P$305,'Incoming POs'!$A$2:$A$305,A287,'Incoming POs'!$B$2:$B$305,B287,'Incoming POs'!$C$2:$C$305,C287,'Incoming POs'!$G$2:$G$305,"&gt;="&amp;D287,'Incoming POs'!$G$2:$G$305,"&lt;"&amp;Dashboard!$I$5)</x:f>
        <x:v>0</x:v>
      </x:c>
      <x:c r="Q287" s="1" t="n">
        <x:f>F287*Dashboard!$L$5*MAX(0,Dashboard!$I$5-D287)/30.4375</x:f>
        <x:v>332.6488706365503</x:v>
      </x:c>
      <x:c r="R287" s="1" t="n">
        <x:f>MAX(0,E287+P287-Q287)</x:f>
        <x:v>4057.3511293634497</x:v>
      </x:c>
      <x:c r="S287" s="1" t="n">
        <x:f>MAX(0,Q287-E287-P287)</x:f>
        <x:v>0</x:v>
      </x:c>
      <x:c r="T287" s="1" t="n">
        <x:f>IF(L287=1,MAX(0,I287+AB287-MIN(Q287,E287+P287)),"n.a.")</x:f>
        <x:v>4057.3511293634497</x:v>
      </x:c>
      <x:c r="U287" s="9" t="n">
        <x:f>IF(ISNUMBER(T287),T287*G287,"n.a.")</x:f>
        <x:v>118.06891786447639</x:v>
      </x:c>
      <x:c r="V287" s="25" t="n">
        <x:f>IF(Dashboard!$I$6="Flat %",1,IF(ISNUMBER(H287),1,0))</x:f>
        <x:v>1</x:v>
      </x:c>
      <x:c r="W287" s="9" t="n">
        <x:f>IF(Dashboard!$I$6="Flat %",G287*(1+Dashboard!$L$6),H287)</x:f>
        <x:v>0.034103999999999995</x:v>
      </x:c>
      <x:c r="X287" s="9" t="n">
        <x:f>IF(V287=1,R287*(W287-G287),"n.a.")</x:f>
        <x:v>20.30298505133468</x:v>
      </x:c>
      <x:c r="Y287" s="9" t="n">
        <x:f>IF(V287=1,R287*W287,"n.a.")</x:f>
        <x:v>138.37190291581106</x:v>
      </x:c>
      <x:c r="Z287" s="1" t="n">
        <x:f>IF(ISNUMBER(T287),R287-T287,"n.a.")</x:f>
        <x:v>0</x:v>
      </x:c>
      <x:c r="AA287" s="1" t="str">
        <x:f>'Inventory inputs'!R287</x:f>
        <x:v>Classified</x:v>
      </x:c>
      <x:c r="AB287" s="1" t="n">
        <x:f>IF(L287=1,SUMIFS('Incoming POs'!$P$2:$P$305,'Incoming POs'!$A$2:$A$305,A287,'Incoming POs'!$B$2:$B$305,B287,'Incoming POs'!$C$2:$C$305,C287,'Incoming POs'!$G$2:$G$305,"&gt;="&amp;D287,'Incoming POs'!$G$2:$G$305,"&lt;"&amp;Dashboard!$I$5,'Incoming POs'!$Q$2:$Q$305,"&lt;="&amp;('Inventory inputs'!P287/'Inventory inputs'!J287*1.01)),"n.a.")</x:f>
        <x:v>0</x:v>
      </x:c>
      <x:c r="AC287" s="9" t="n">
        <x:f>I287*G287</x:f>
        <x:v>127.74900000000001</x:v>
      </x:c>
      <x:c r="AD287" s="9" t="n">
        <x:f>J287*G287</x:f>
        <x:v>0</x:v>
      </x:c>
      <x:c r="AE287" s="9" t="n">
        <x:f>K287*G287</x:f>
        <x:v>0</x:v>
      </x:c>
      <x:c r="AF287" s="9" t="n">
        <x:f>R287*G287</x:f>
        <x:v>118.06891786447639</x:v>
      </x:c>
    </x:row>
    <x:row r="288" ht="21" customHeight="1">
      <x:c r="A288" s="1" t="str">
        <x:f>'Inventory inputs'!A288</x:f>
        <x:v>PLAS</x:v>
      </x:c>
      <x:c r="B288" s="1" t="str">
        <x:f>'Inventory inputs'!B288</x:f>
        <x:v>60</x:v>
      </x:c>
      <x:c r="C288" s="1" t="str">
        <x:f>'Inventory inputs'!C288</x:f>
        <x:v>01215RWBWHT</x:v>
      </x:c>
      <x:c r="D288" s="7" t="n">
        <x:f>'Inventory inputs'!E288</x:f>
        <x:v>46303</x:v>
      </x:c>
      <x:c r="E288" s="1" t="n">
        <x:f>'Inventory inputs'!F288</x:f>
        <x:v>3800</x:v>
      </x:c>
      <x:c r="F288" s="1" t="n">
        <x:f>'Inventory inputs'!G288</x:f>
        <x:v>250</x:v>
      </x:c>
      <x:c r="G288" s="1" t="n">
        <x:f>'Inventory inputs'!H288/'Inventory inputs'!J288</x:f>
        <x:v>0.025</x:v>
      </x:c>
      <x:c r="H288" s="1" t="n">
        <x:f>IF('Inventory inputs'!I288&gt;0,'Inventory inputs'!I288*'Inventory inputs'!K288/'Inventory inputs'!J288,"n.a.")</x:f>
        <x:v>0.029253</x:v>
      </x:c>
      <x:c r="I288" s="1" t="n">
        <x:f>'Inventory inputs'!L288</x:f>
        <x:v>0</x:v>
      </x:c>
      <x:c r="J288" s="1" t="n">
        <x:f>'Inventory inputs'!M288</x:f>
        <x:v>0</x:v>
      </x:c>
      <x:c r="K288" s="1" t="n">
        <x:f>'Inventory inputs'!N288</x:f>
        <x:v>3800</x:v>
      </x:c>
      <x:c r="L288" s="1" t="n">
        <x:f>'Inventory inputs'!O288</x:f>
        <x:v>0</x:v>
      </x:c>
      <x:c r="M288" s="9" t="n">
        <x:f>E288*G288</x:f>
        <x:v>95</x:v>
      </x:c>
      <x:c r="N288" s="9" t="n">
        <x:f>'Inventory inputs'!Q288</x:f>
        <x:v>95</x:v>
      </x:c>
      <x:c r="O288" s="9" t="n">
        <x:f>N288-M288</x:f>
        <x:v>0</x:v>
      </x:c>
      <x:c r="P288" s="1" t="n">
        <x:f>SUMIFS('Incoming POs'!$P$2:$P$305,'Incoming POs'!$A$2:$A$305,A288,'Incoming POs'!$B$2:$B$305,B288,'Incoming POs'!$C$2:$C$305,C288,'Incoming POs'!$G$2:$G$305,"&gt;="&amp;D288,'Incoming POs'!$G$2:$G$305,"&lt;"&amp;Dashboard!$I$5)</x:f>
        <x:v>0</x:v>
      </x:c>
      <x:c r="Q288" s="1" t="n">
        <x:f>F288*Dashboard!$L$5*MAX(0,Dashboard!$I$5-D288)/30.4375</x:f>
        <x:v>332.6488706365503</x:v>
      </x:c>
      <x:c r="R288" s="1" t="n">
        <x:f>MAX(0,E288+P288-Q288)</x:f>
        <x:v>3467.3511293634497</x:v>
      </x:c>
      <x:c r="S288" s="1" t="n">
        <x:f>MAX(0,Q288-E288-P288)</x:f>
        <x:v>0</x:v>
      </x:c>
      <x:c r="T288" s="1" t="str">
        <x:f>IF(L288=1,MAX(0,I288+AB288-MIN(Q288,E288+P288)),"n.a.")</x:f>
        <x:v>n.a.</x:v>
      </x:c>
      <x:c r="U288" s="9" t="str">
        <x:f>IF(ISNUMBER(T288),T288*G288,"n.a.")</x:f>
        <x:v>n.a.</x:v>
      </x:c>
      <x:c r="V288" s="25" t="n">
        <x:f>IF(Dashboard!$I$6="Flat %",1,IF(ISNUMBER(H288),1,0))</x:f>
        <x:v>1</x:v>
      </x:c>
      <x:c r="W288" s="9" t="n">
        <x:f>IF(Dashboard!$I$6="Flat %",G288*(1+Dashboard!$L$6),H288)</x:f>
        <x:v>0.029253</x:v>
      </x:c>
      <x:c r="X288" s="9" t="n">
        <x:f>IF(V288=1,R288*(W288-G288),"n.a.")</x:f>
        <x:v>14.74664435318275</x:v>
      </x:c>
      <x:c r="Y288" s="9" t="n">
        <x:f>IF(V288=1,R288*W288,"n.a.")</x:f>
        <x:v>101.43042258726899</x:v>
      </x:c>
      <x:c r="Z288" s="1" t="str">
        <x:f>IF(ISNUMBER(T288),R288-T288,"n.a.")</x:f>
        <x:v>n.a.</x:v>
      </x:c>
      <x:c r="AA288" s="1" t="str">
        <x:f>'Inventory inputs'!R288</x:f>
        <x:v>Review receipt reconciliation or original PO baseline</x:v>
      </x:c>
      <x:c r="AB288" s="1" t="str">
        <x:f>IF(L288=1,SUMIFS('Incoming POs'!$P$2:$P$305,'Incoming POs'!$A$2:$A$305,A288,'Incoming POs'!$B$2:$B$305,B288,'Incoming POs'!$C$2:$C$305,C288,'Incoming POs'!$G$2:$G$305,"&gt;="&amp;D288,'Incoming POs'!$G$2:$G$305,"&lt;"&amp;Dashboard!$I$5,'Incoming POs'!$Q$2:$Q$305,"&lt;="&amp;('Inventory inputs'!P288/'Inventory inputs'!J288*1.01)),"n.a.")</x:f>
        <x:v>n.a.</x:v>
      </x:c>
      <x:c r="AC288" s="9" t="n">
        <x:f>I288*G288</x:f>
        <x:v>0</x:v>
      </x:c>
      <x:c r="AD288" s="9" t="n">
        <x:f>J288*G288</x:f>
        <x:v>0</x:v>
      </x:c>
      <x:c r="AE288" s="9" t="n">
        <x:f>K288*G288</x:f>
        <x:v>95</x:v>
      </x:c>
      <x:c r="AF288" s="9" t="n">
        <x:f>R288*G288</x:f>
        <x:v>86.68377823408625</x:v>
      </x:c>
    </x:row>
    <x:row r="289" ht="21" customHeight="1">
      <x:c r="A289" s="1" t="str">
        <x:f>'Inventory inputs'!A289</x:f>
        <x:v>PLAS</x:v>
      </x:c>
      <x:c r="B289" s="1" t="str">
        <x:f>'Inventory inputs'!B289</x:f>
        <x:v>60</x:v>
      </x:c>
      <x:c r="C289" s="1" t="str">
        <x:f>'Inventory inputs'!C289</x:f>
        <x:v>01419RWBRED</x:v>
      </x:c>
      <x:c r="D289" s="7" t="n">
        <x:f>'Inventory inputs'!E289</x:f>
        <x:v>46303</x:v>
      </x:c>
      <x:c r="E289" s="1" t="n">
        <x:f>'Inventory inputs'!F289</x:f>
        <x:v>300</x:v>
      </x:c>
      <x:c r="F289" s="1" t="n">
        <x:f>'Inventory inputs'!G289</x:f>
        <x:v>250</x:v>
      </x:c>
      <x:c r="G289" s="1" t="n">
        <x:f>'Inventory inputs'!H289/'Inventory inputs'!J289</x:f>
        <x:v>0.0181</x:v>
      </x:c>
      <x:c r="H289" s="1" t="n">
        <x:f>IF('Inventory inputs'!I289&gt;0,'Inventory inputs'!I289*'Inventory inputs'!K289/'Inventory inputs'!J289,"n.a.")</x:f>
        <x:v>0.021168</x:v>
      </x:c>
      <x:c r="I289" s="1" t="n">
        <x:f>'Inventory inputs'!L289</x:f>
        <x:v>0</x:v>
      </x:c>
      <x:c r="J289" s="1" t="n">
        <x:f>'Inventory inputs'!M289</x:f>
        <x:v>0</x:v>
      </x:c>
      <x:c r="K289" s="1" t="n">
        <x:f>'Inventory inputs'!N289</x:f>
        <x:v>300</x:v>
      </x:c>
      <x:c r="L289" s="1" t="n">
        <x:f>'Inventory inputs'!O289</x:f>
        <x:v>0</x:v>
      </x:c>
      <x:c r="M289" s="9" t="n">
        <x:f>E289*G289</x:f>
        <x:v>5.430000000000001</x:v>
      </x:c>
      <x:c r="N289" s="9" t="n">
        <x:f>'Inventory inputs'!Q289</x:f>
        <x:v>5.43</x:v>
      </x:c>
      <x:c r="O289" s="9" t="n">
        <x:f>N289-M289</x:f>
        <x:v>-8.881784197001252e-16</x:v>
      </x:c>
      <x:c r="P289" s="1" t="n">
        <x:f>SUMIFS('Incoming POs'!$P$2:$P$305,'Incoming POs'!$A$2:$A$305,A289,'Incoming POs'!$B$2:$B$305,B289,'Incoming POs'!$C$2:$C$305,C289,'Incoming POs'!$G$2:$G$305,"&gt;="&amp;D289,'Incoming POs'!$G$2:$G$305,"&lt;"&amp;Dashboard!$I$5)</x:f>
        <x:v>0</x:v>
      </x:c>
      <x:c r="Q289" s="1" t="n">
        <x:f>F289*Dashboard!$L$5*MAX(0,Dashboard!$I$5-D289)/30.4375</x:f>
        <x:v>332.6488706365503</x:v>
      </x:c>
      <x:c r="R289" s="1" t="n">
        <x:f>MAX(0,E289+P289-Q289)</x:f>
        <x:v>0</x:v>
      </x:c>
      <x:c r="S289" s="1" t="n">
        <x:f>MAX(0,Q289-E289-P289)</x:f>
        <x:v>32.64887063655033</x:v>
      </x:c>
      <x:c r="T289" s="1" t="str">
        <x:f>IF(L289=1,MAX(0,I289+AB289-MIN(Q289,E289+P289)),"n.a.")</x:f>
        <x:v>n.a.</x:v>
      </x:c>
      <x:c r="U289" s="9" t="str">
        <x:f>IF(ISNUMBER(T289),T289*G289,"n.a.")</x:f>
        <x:v>n.a.</x:v>
      </x:c>
      <x:c r="V289" s="25" t="n">
        <x:f>IF(Dashboard!$I$6="Flat %",1,IF(ISNUMBER(H289),1,0))</x:f>
        <x:v>1</x:v>
      </x:c>
      <x:c r="W289" s="9" t="n">
        <x:f>IF(Dashboard!$I$6="Flat %",G289*(1+Dashboard!$L$6),H289)</x:f>
        <x:v>0.021168</x:v>
      </x:c>
      <x:c r="X289" s="9" t="n">
        <x:f>IF(V289=1,R289*(W289-G289),"n.a.")</x:f>
        <x:v>0</x:v>
      </x:c>
      <x:c r="Y289" s="9" t="n">
        <x:f>IF(V289=1,R289*W289,"n.a.")</x:f>
        <x:v>0</x:v>
      </x:c>
      <x:c r="Z289" s="1" t="str">
        <x:f>IF(ISNUMBER(T289),R289-T289,"n.a.")</x:f>
        <x:v>n.a.</x:v>
      </x:c>
      <x:c r="AA289" s="1" t="str">
        <x:f>'Inventory inputs'!R289</x:f>
        <x:v>Review receipt reconciliation or original PO baseline</x:v>
      </x:c>
      <x:c r="AB289" s="1" t="str">
        <x:f>IF(L289=1,SUMIFS('Incoming POs'!$P$2:$P$305,'Incoming POs'!$A$2:$A$305,A289,'Incoming POs'!$B$2:$B$305,B289,'Incoming POs'!$C$2:$C$305,C289,'Incoming POs'!$G$2:$G$305,"&gt;="&amp;D289,'Incoming POs'!$G$2:$G$305,"&lt;"&amp;Dashboard!$I$5,'Incoming POs'!$Q$2:$Q$305,"&lt;="&amp;('Inventory inputs'!P289/'Inventory inputs'!J289*1.01)),"n.a.")</x:f>
        <x:v>n.a.</x:v>
      </x:c>
      <x:c r="AC289" s="9" t="n">
        <x:f>I289*G289</x:f>
        <x:v>0</x:v>
      </x:c>
      <x:c r="AD289" s="9" t="n">
        <x:f>J289*G289</x:f>
        <x:v>0</x:v>
      </x:c>
      <x:c r="AE289" s="9" t="n">
        <x:f>K289*G289</x:f>
        <x:v>5.430000000000001</x:v>
      </x:c>
      <x:c r="AF289" s="9" t="n">
        <x:f>R289*G289</x:f>
        <x:v>0</x:v>
      </x:c>
    </x:row>
    <x:row r="290" ht="21" customHeight="1">
      <x:c r="A290" s="1" t="str">
        <x:f>'Inventory inputs'!A290</x:f>
        <x:v>PLAS</x:v>
      </x:c>
      <x:c r="B290" s="1" t="str">
        <x:f>'Inventory inputs'!B290</x:f>
        <x:v>60</x:v>
      </x:c>
      <x:c r="C290" s="1" t="str">
        <x:f>'Inventory inputs'!C290</x:f>
        <x:v>03415RWBWHT</x:v>
      </x:c>
      <x:c r="D290" s="7" t="n">
        <x:f>'Inventory inputs'!E290</x:f>
        <x:v>46303</x:v>
      </x:c>
      <x:c r="E290" s="1" t="n">
        <x:f>'Inventory inputs'!F290</x:f>
        <x:v>3000</x:v>
      </x:c>
      <x:c r="F290" s="1" t="n">
        <x:f>'Inventory inputs'!G290</x:f>
        <x:v>250</x:v>
      </x:c>
      <x:c r="G290" s="1" t="n">
        <x:f>'Inventory inputs'!H290/'Inventory inputs'!J290</x:f>
        <x:v>0.044000000000000004</x:v>
      </x:c>
      <x:c r="H290" s="1" t="n">
        <x:f>IF('Inventory inputs'!I290&gt;0,'Inventory inputs'!I290*'Inventory inputs'!K290/'Inventory inputs'!J290,"n.a.")</x:f>
        <x:v>0.051449999999999996</x:v>
      </x:c>
      <x:c r="I290" s="1" t="n">
        <x:f>'Inventory inputs'!L290</x:f>
        <x:v>0</x:v>
      </x:c>
      <x:c r="J290" s="1" t="n">
        <x:f>'Inventory inputs'!M290</x:f>
        <x:v>0</x:v>
      </x:c>
      <x:c r="K290" s="1" t="n">
        <x:f>'Inventory inputs'!N290</x:f>
        <x:v>3000</x:v>
      </x:c>
      <x:c r="L290" s="1" t="n">
        <x:f>'Inventory inputs'!O290</x:f>
        <x:v>0</x:v>
      </x:c>
      <x:c r="M290" s="9" t="n">
        <x:f>E290*G290</x:f>
        <x:v>132</x:v>
      </x:c>
      <x:c r="N290" s="9" t="n">
        <x:f>'Inventory inputs'!Q290</x:f>
        <x:v>132.00000000000003</x:v>
      </x:c>
      <x:c r="O290" s="9" t="n">
        <x:f>N290-M290</x:f>
        <x:v>2.842170943040401e-14</x:v>
      </x:c>
      <x:c r="P290" s="1" t="n">
        <x:f>SUMIFS('Incoming POs'!$P$2:$P$305,'Incoming POs'!$A$2:$A$305,A290,'Incoming POs'!$B$2:$B$305,B290,'Incoming POs'!$C$2:$C$305,C290,'Incoming POs'!$G$2:$G$305,"&gt;="&amp;D290,'Incoming POs'!$G$2:$G$305,"&lt;"&amp;Dashboard!$I$5)</x:f>
        <x:v>0</x:v>
      </x:c>
      <x:c r="Q290" s="1" t="n">
        <x:f>F290*Dashboard!$L$5*MAX(0,Dashboard!$I$5-D290)/30.4375</x:f>
        <x:v>332.6488706365503</x:v>
      </x:c>
      <x:c r="R290" s="1" t="n">
        <x:f>MAX(0,E290+P290-Q290)</x:f>
        <x:v>2667.3511293634497</x:v>
      </x:c>
      <x:c r="S290" s="1" t="n">
        <x:f>MAX(0,Q290-E290-P290)</x:f>
        <x:v>0</x:v>
      </x:c>
      <x:c r="T290" s="1" t="str">
        <x:f>IF(L290=1,MAX(0,I290+AB290-MIN(Q290,E290+P290)),"n.a.")</x:f>
        <x:v>n.a.</x:v>
      </x:c>
      <x:c r="U290" s="9" t="str">
        <x:f>IF(ISNUMBER(T290),T290*G290,"n.a.")</x:f>
        <x:v>n.a.</x:v>
      </x:c>
      <x:c r="V290" s="25" t="n">
        <x:f>IF(Dashboard!$I$6="Flat %",1,IF(ISNUMBER(H290),1,0))</x:f>
        <x:v>1</x:v>
      </x:c>
      <x:c r="W290" s="9" t="n">
        <x:f>IF(Dashboard!$I$6="Flat %",G290*(1+Dashboard!$L$6),H290)</x:f>
        <x:v>0.051449999999999996</x:v>
      </x:c>
      <x:c r="X290" s="9" t="n">
        <x:f>IF(V290=1,R290*(W290-G290),"n.a.")</x:f>
        <x:v>19.871765913757677</x:v>
      </x:c>
      <x:c r="Y290" s="9" t="n">
        <x:f>IF(V290=1,R290*W290,"n.a.")</x:f>
        <x:v>137.2352156057495</x:v>
      </x:c>
      <x:c r="Z290" s="1" t="str">
        <x:f>IF(ISNUMBER(T290),R290-T290,"n.a.")</x:f>
        <x:v>n.a.</x:v>
      </x:c>
      <x:c r="AA290" s="1" t="str">
        <x:f>'Inventory inputs'!R290</x:f>
        <x:v>Review receipt reconciliation or original PO baseline</x:v>
      </x:c>
      <x:c r="AB290" s="1" t="str">
        <x:f>IF(L290=1,SUMIFS('Incoming POs'!$P$2:$P$305,'Incoming POs'!$A$2:$A$305,A290,'Incoming POs'!$B$2:$B$305,B290,'Incoming POs'!$C$2:$C$305,C290,'Incoming POs'!$G$2:$G$305,"&gt;="&amp;D290,'Incoming POs'!$G$2:$G$305,"&lt;"&amp;Dashboard!$I$5,'Incoming POs'!$Q$2:$Q$305,"&lt;="&amp;('Inventory inputs'!P290/'Inventory inputs'!J290*1.01)),"n.a.")</x:f>
        <x:v>n.a.</x:v>
      </x:c>
      <x:c r="AC290" s="9" t="n">
        <x:f>I290*G290</x:f>
        <x:v>0</x:v>
      </x:c>
      <x:c r="AD290" s="9" t="n">
        <x:f>J290*G290</x:f>
        <x:v>0</x:v>
      </x:c>
      <x:c r="AE290" s="9" t="n">
        <x:f>K290*G290</x:f>
        <x:v>132</x:v>
      </x:c>
      <x:c r="AF290" s="9" t="n">
        <x:f>R290*G290</x:f>
        <x:v>117.3634496919918</x:v>
      </x:c>
    </x:row>
    <x:row r="291" ht="21" customHeight="1">
      <x:c r="A291" s="1" t="str">
        <x:f>'Inventory inputs'!A291</x:f>
        <x:v>PLAS</x:v>
      </x:c>
      <x:c r="B291" s="1" t="str">
        <x:f>'Inventory inputs'!B291</x:f>
        <x:v>10</x:v>
      </x:c>
      <x:c r="C291" s="1" t="str">
        <x:f>'Inventory inputs'!C291</x:f>
        <x:v>91619RWBBLU</x:v>
      </x:c>
      <x:c r="D291" s="7" t="n">
        <x:f>'Inventory inputs'!E291</x:f>
        <x:v>46303</x:v>
      </x:c>
      <x:c r="E291" s="1" t="n">
        <x:f>'Inventory inputs'!F291</x:f>
        <x:v>4000</x:v>
      </x:c>
      <x:c r="F291" s="1" t="n">
        <x:f>'Inventory inputs'!G291</x:f>
        <x:v>233.33</x:v>
      </x:c>
      <x:c r="G291" s="1" t="n">
        <x:f>'Inventory inputs'!H291/'Inventory inputs'!J291</x:f>
        <x:v>0.042800000000000005</x:v>
      </x:c>
      <x:c r="H291" s="1" t="n">
        <x:f>IF('Inventory inputs'!I291&gt;0,'Inventory inputs'!I291*'Inventory inputs'!K291/'Inventory inputs'!J291,"n.a.")</x:f>
        <x:v>0.049980000000000004</x:v>
      </x:c>
      <x:c r="I291" s="1" t="n">
        <x:f>'Inventory inputs'!L291</x:f>
        <x:v>1000</x:v>
      </x:c>
      <x:c r="J291" s="1" t="n">
        <x:f>'Inventory inputs'!M291</x:f>
        <x:v>3000</x:v>
      </x:c>
      <x:c r="K291" s="1" t="n">
        <x:f>'Inventory inputs'!N291</x:f>
        <x:v>0</x:v>
      </x:c>
      <x:c r="L291" s="1" t="n">
        <x:f>'Inventory inputs'!O291</x:f>
        <x:v>1</x:v>
      </x:c>
      <x:c r="M291" s="9" t="n">
        <x:f>E291*G291</x:f>
        <x:v>171.20000000000002</x:v>
      </x:c>
      <x:c r="N291" s="9" t="n">
        <x:f>'Inventory inputs'!Q291</x:f>
        <x:v>171.20000000000002</x:v>
      </x:c>
      <x:c r="O291" s="9" t="n">
        <x:f>N291-M291</x:f>
        <x:v>0</x:v>
      </x:c>
      <x:c r="P291" s="1" t="n">
        <x:f>SUMIFS('Incoming POs'!$P$2:$P$305,'Incoming POs'!$A$2:$A$305,A291,'Incoming POs'!$B$2:$B$305,B291,'Incoming POs'!$C$2:$C$305,C291,'Incoming POs'!$G$2:$G$305,"&gt;="&amp;D291,'Incoming POs'!$G$2:$G$305,"&lt;"&amp;Dashboard!$I$5)</x:f>
        <x:v>1000</x:v>
      </x:c>
      <x:c r="Q291" s="1" t="n">
        <x:f>F291*Dashboard!$L$5*MAX(0,Dashboard!$I$5-D291)/30.4375</x:f>
        <x:v>310.4678439425051</x:v>
      </x:c>
      <x:c r="R291" s="1" t="n">
        <x:f>MAX(0,E291+P291-Q291)</x:f>
        <x:v>4689.532156057495</x:v>
      </x:c>
      <x:c r="S291" s="1" t="n">
        <x:f>MAX(0,Q291-E291-P291)</x:f>
        <x:v>0</x:v>
      </x:c>
      <x:c r="T291" s="1" t="n">
        <x:f>IF(L291=1,MAX(0,I291+AB291-MIN(Q291,E291+P291)),"n.a.")</x:f>
        <x:v>689.5321560574948</x:v>
      </x:c>
      <x:c r="U291" s="9" t="n">
        <x:f>IF(ISNUMBER(T291),T291*G291,"n.a.")</x:f>
        <x:v>29.511976279260782</x:v>
      </x:c>
      <x:c r="V291" s="25" t="n">
        <x:f>IF(Dashboard!$I$6="Flat %",1,IF(ISNUMBER(H291),1,0))</x:f>
        <x:v>1</x:v>
      </x:c>
      <x:c r="W291" s="9" t="n">
        <x:f>IF(Dashboard!$I$6="Flat %",G291*(1+Dashboard!$L$6),H291)</x:f>
        <x:v>0.049980000000000004</x:v>
      </x:c>
      <x:c r="X291" s="9" t="n">
        <x:f>IF(V291=1,R291*(W291-G291),"n.a.")</x:f>
        <x:v>33.670840880492804</x:v>
      </x:c>
      <x:c r="Y291" s="9" t="n">
        <x:f>IF(V291=1,R291*W291,"n.a.")</x:f>
        <x:v>234.3828171597536</x:v>
      </x:c>
      <x:c r="Z291" s="1" t="n">
        <x:f>IF(ISNUMBER(T291),R291-T291,"n.a.")</x:f>
        <x:v>4000</x:v>
      </x:c>
      <x:c r="AA291" s="1" t="str">
        <x:f>'Inventory inputs'!R291</x:f>
        <x:v>Classified</x:v>
      </x:c>
      <x:c r="AB291" s="1" t="n">
        <x:f>IF(L291=1,SUMIFS('Incoming POs'!$P$2:$P$305,'Incoming POs'!$A$2:$A$305,A291,'Incoming POs'!$B$2:$B$305,B291,'Incoming POs'!$C$2:$C$305,C291,'Incoming POs'!$G$2:$G$305,"&gt;="&amp;D291,'Incoming POs'!$G$2:$G$305,"&lt;"&amp;Dashboard!$I$5,'Incoming POs'!$Q$2:$Q$305,"&lt;="&amp;('Inventory inputs'!P291/'Inventory inputs'!J291*1.01)),"n.a.")</x:f>
        <x:v>0</x:v>
      </x:c>
      <x:c r="AC291" s="9" t="n">
        <x:f>I291*G291</x:f>
        <x:v>42.800000000000004</x:v>
      </x:c>
      <x:c r="AD291" s="9" t="n">
        <x:f>J291*G291</x:f>
        <x:v>128.4</x:v>
      </x:c>
      <x:c r="AE291" s="9" t="n">
        <x:f>K291*G291</x:f>
        <x:v>0</x:v>
      </x:c>
      <x:c r="AF291" s="9" t="n">
        <x:f>R291*G291</x:f>
        <x:v>200.7119762792608</x:v>
      </x:c>
    </x:row>
    <x:row r="292" ht="21" customHeight="1">
      <x:c r="A292" s="1" t="str">
        <x:f>'Inventory inputs'!A292</x:f>
        <x:v>PLAS</x:v>
      </x:c>
      <x:c r="B292" s="1" t="str">
        <x:f>'Inventory inputs'!B292</x:f>
        <x:v>10</x:v>
      </x:c>
      <x:c r="C292" s="1" t="str">
        <x:f>'Inventory inputs'!C292</x:f>
        <x:v>91619RWBMAR</x:v>
      </x:c>
      <x:c r="D292" s="7" t="n">
        <x:f>'Inventory inputs'!E292</x:f>
        <x:v>46303</x:v>
      </x:c>
      <x:c r="E292" s="1" t="n">
        <x:f>'Inventory inputs'!F292</x:f>
        <x:v>500</x:v>
      </x:c>
      <x:c r="F292" s="1" t="n">
        <x:f>'Inventory inputs'!G292</x:f>
        <x:v>233.33</x:v>
      </x:c>
      <x:c r="G292" s="1" t="n">
        <x:f>'Inventory inputs'!H292/'Inventory inputs'!J292</x:f>
        <x:v>0.042800000000000005</x:v>
      </x:c>
      <x:c r="H292" s="1" t="n">
        <x:f>IF('Inventory inputs'!I292&gt;0,'Inventory inputs'!I292*'Inventory inputs'!K292/'Inventory inputs'!J292,"n.a.")</x:f>
        <x:v>0.049980000000000004</x:v>
      </x:c>
      <x:c r="I292" s="1" t="n">
        <x:f>'Inventory inputs'!L292</x:f>
        <x:v>0</x:v>
      </x:c>
      <x:c r="J292" s="1" t="n">
        <x:f>'Inventory inputs'!M292</x:f>
        <x:v>500</x:v>
      </x:c>
      <x:c r="K292" s="1" t="n">
        <x:f>'Inventory inputs'!N292</x:f>
        <x:v>0</x:v>
      </x:c>
      <x:c r="L292" s="1" t="n">
        <x:f>'Inventory inputs'!O292</x:f>
        <x:v>1</x:v>
      </x:c>
      <x:c r="M292" s="9" t="n">
        <x:f>E292*G292</x:f>
        <x:v>21.400000000000002</x:v>
      </x:c>
      <x:c r="N292" s="9" t="n">
        <x:f>'Inventory inputs'!Q292</x:f>
        <x:v>21.400000000000002</x:v>
      </x:c>
      <x:c r="O292" s="9" t="n">
        <x:f>N292-M292</x:f>
        <x:v>0</x:v>
      </x:c>
      <x:c r="P292" s="1" t="n">
        <x:f>SUMIFS('Incoming POs'!$P$2:$P$305,'Incoming POs'!$A$2:$A$305,A292,'Incoming POs'!$B$2:$B$305,B292,'Incoming POs'!$C$2:$C$305,C292,'Incoming POs'!$G$2:$G$305,"&gt;="&amp;D292,'Incoming POs'!$G$2:$G$305,"&lt;"&amp;Dashboard!$I$5)</x:f>
        <x:v>3000</x:v>
      </x:c>
      <x:c r="Q292" s="1" t="n">
        <x:f>F292*Dashboard!$L$5*MAX(0,Dashboard!$I$5-D292)/30.4375</x:f>
        <x:v>310.4678439425051</x:v>
      </x:c>
      <x:c r="R292" s="1" t="n">
        <x:f>MAX(0,E292+P292-Q292)</x:f>
        <x:v>3189.532156057495</x:v>
      </x:c>
      <x:c r="S292" s="1" t="n">
        <x:f>MAX(0,Q292-E292-P292)</x:f>
        <x:v>0</x:v>
      </x:c>
      <x:c r="T292" s="1" t="n">
        <x:f>IF(L292=1,MAX(0,I292+AB292-MIN(Q292,E292+P292)),"n.a.")</x:f>
        <x:v>0</x:v>
      </x:c>
      <x:c r="U292" s="9" t="n">
        <x:f>IF(ISNUMBER(T292),T292*G292,"n.a.")</x:f>
        <x:v>0</x:v>
      </x:c>
      <x:c r="V292" s="25" t="n">
        <x:f>IF(Dashboard!$I$6="Flat %",1,IF(ISNUMBER(H292),1,0))</x:f>
        <x:v>1</x:v>
      </x:c>
      <x:c r="W292" s="9" t="n">
        <x:f>IF(Dashboard!$I$6="Flat %",G292*(1+Dashboard!$L$6),H292)</x:f>
        <x:v>0.049980000000000004</x:v>
      </x:c>
      <x:c r="X292" s="9" t="n">
        <x:f>IF(V292=1,R292*(W292-G292),"n.a.")</x:f>
        <x:v>22.900840880492808</x:v>
      </x:c>
      <x:c r="Y292" s="9" t="n">
        <x:f>IF(V292=1,R292*W292,"n.a.")</x:f>
        <x:v>159.41281715975362</x:v>
      </x:c>
      <x:c r="Z292" s="1" t="n">
        <x:f>IF(ISNUMBER(T292),R292-T292,"n.a.")</x:f>
        <x:v>3189.532156057495</x:v>
      </x:c>
      <x:c r="AA292" s="1" t="str">
        <x:f>'Inventory inputs'!R292</x:f>
        <x:v>Classified</x:v>
      </x:c>
      <x:c r="AB292" s="1" t="n">
        <x:f>IF(L292=1,SUMIFS('Incoming POs'!$P$2:$P$305,'Incoming POs'!$A$2:$A$305,A292,'Incoming POs'!$B$2:$B$305,B292,'Incoming POs'!$C$2:$C$305,C292,'Incoming POs'!$G$2:$G$305,"&gt;="&amp;D292,'Incoming POs'!$G$2:$G$305,"&lt;"&amp;Dashboard!$I$5,'Incoming POs'!$Q$2:$Q$305,"&lt;="&amp;('Inventory inputs'!P292/'Inventory inputs'!J292*1.01)),"n.a.")</x:f>
        <x:v>0</x:v>
      </x:c>
      <x:c r="AC292" s="9" t="n">
        <x:f>I292*G292</x:f>
        <x:v>0</x:v>
      </x:c>
      <x:c r="AD292" s="9" t="n">
        <x:f>J292*G292</x:f>
        <x:v>21.400000000000002</x:v>
      </x:c>
      <x:c r="AE292" s="9" t="n">
        <x:f>K292*G292</x:f>
        <x:v>0</x:v>
      </x:c>
      <x:c r="AF292" s="9" t="n">
        <x:f>R292*G292</x:f>
        <x:v>136.5119762792608</x:v>
      </x:c>
    </x:row>
    <x:row r="293" ht="21" customHeight="1">
      <x:c r="A293" s="1" t="str">
        <x:f>'Inventory inputs'!A293</x:f>
        <x:v>PLAS</x:v>
      </x:c>
      <x:c r="B293" s="1" t="str">
        <x:f>'Inventory inputs'!B293</x:f>
        <x:v>30</x:v>
      </x:c>
      <x:c r="C293" s="1" t="str">
        <x:f>'Inventory inputs'!C293</x:f>
        <x:v>01219RWBBLU</x:v>
      </x:c>
      <x:c r="D293" s="7" t="n">
        <x:f>'Inventory inputs'!E293</x:f>
        <x:v>46303</x:v>
      </x:c>
      <x:c r="E293" s="1" t="n">
        <x:f>'Inventory inputs'!F293</x:f>
        <x:v>800</x:v>
      </x:c>
      <x:c r="F293" s="1" t="n">
        <x:f>'Inventory inputs'!G293</x:f>
        <x:v>233.33</x:v>
      </x:c>
      <x:c r="G293" s="1" t="n">
        <x:f>'Inventory inputs'!H293/'Inventory inputs'!J293</x:f>
        <x:v>0.036000000000000004</x:v>
      </x:c>
      <x:c r="H293" s="1" t="n">
        <x:f>IF('Inventory inputs'!I293&gt;0,'Inventory inputs'!I293*'Inventory inputs'!K293/'Inventory inputs'!J293,"n.a.")</x:f>
        <x:v>0.042189</x:v>
      </x:c>
      <x:c r="I293" s="1" t="n">
        <x:f>'Inventory inputs'!L293</x:f>
        <x:v>0</x:v>
      </x:c>
      <x:c r="J293" s="1" t="n">
        <x:f>'Inventory inputs'!M293</x:f>
        <x:v>0</x:v>
      </x:c>
      <x:c r="K293" s="1" t="n">
        <x:f>'Inventory inputs'!N293</x:f>
        <x:v>800</x:v>
      </x:c>
      <x:c r="L293" s="1" t="n">
        <x:f>'Inventory inputs'!O293</x:f>
        <x:v>0</x:v>
      </x:c>
      <x:c r="M293" s="9" t="n">
        <x:f>E293*G293</x:f>
        <x:v>28.800000000000004</x:v>
      </x:c>
      <x:c r="N293" s="9" t="n">
        <x:f>'Inventory inputs'!Q293</x:f>
        <x:v>28.8</x:v>
      </x:c>
      <x:c r="O293" s="9" t="n">
        <x:f>N293-M293</x:f>
        <x:v>-3.552713678800501e-15</x:v>
      </x:c>
      <x:c r="P293" s="1" t="n">
        <x:f>SUMIFS('Incoming POs'!$P$2:$P$305,'Incoming POs'!$A$2:$A$305,A293,'Incoming POs'!$B$2:$B$305,B293,'Incoming POs'!$C$2:$C$305,C293,'Incoming POs'!$G$2:$G$305,"&gt;="&amp;D293,'Incoming POs'!$G$2:$G$305,"&lt;"&amp;Dashboard!$I$5)</x:f>
        <x:v>0</x:v>
      </x:c>
      <x:c r="Q293" s="1" t="n">
        <x:f>F293*Dashboard!$L$5*MAX(0,Dashboard!$I$5-D293)/30.4375</x:f>
        <x:v>310.4678439425051</x:v>
      </x:c>
      <x:c r="R293" s="1" t="n">
        <x:f>MAX(0,E293+P293-Q293)</x:f>
        <x:v>489.5321560574949</x:v>
      </x:c>
      <x:c r="S293" s="1" t="n">
        <x:f>MAX(0,Q293-E293-P293)</x:f>
        <x:v>0</x:v>
      </x:c>
      <x:c r="T293" s="1" t="str">
        <x:f>IF(L293=1,MAX(0,I293+AB293-MIN(Q293,E293+P293)),"n.a.")</x:f>
        <x:v>n.a.</x:v>
      </x:c>
      <x:c r="U293" s="9" t="str">
        <x:f>IF(ISNUMBER(T293),T293*G293,"n.a.")</x:f>
        <x:v>n.a.</x:v>
      </x:c>
      <x:c r="V293" s="25" t="n">
        <x:f>IF(Dashboard!$I$6="Flat %",1,IF(ISNUMBER(H293),1,0))</x:f>
        <x:v>1</x:v>
      </x:c>
      <x:c r="W293" s="9" t="n">
        <x:f>IF(Dashboard!$I$6="Flat %",G293*(1+Dashboard!$L$6),H293)</x:f>
        <x:v>0.042189</x:v>
      </x:c>
      <x:c r="X293" s="9" t="n">
        <x:f>IF(V293=1,R293*(W293-G293),"n.a.")</x:f>
        <x:v>3.0297145138398327</x:v>
      </x:c>
      <x:c r="Y293" s="9" t="n">
        <x:f>IF(V293=1,R293*W293,"n.a.")</x:f>
        <x:v>20.65287213190965</x:v>
      </x:c>
      <x:c r="Z293" s="1" t="str">
        <x:f>IF(ISNUMBER(T293),R293-T293,"n.a.")</x:f>
        <x:v>n.a.</x:v>
      </x:c>
      <x:c r="AA293" s="1" t="str">
        <x:f>'Inventory inputs'!R293</x:f>
        <x:v>Review receipt reconciliation or original PO baseline</x:v>
      </x:c>
      <x:c r="AB293" s="1" t="str">
        <x:f>IF(L293=1,SUMIFS('Incoming POs'!$P$2:$P$305,'Incoming POs'!$A$2:$A$305,A293,'Incoming POs'!$B$2:$B$305,B293,'Incoming POs'!$C$2:$C$305,C293,'Incoming POs'!$G$2:$G$305,"&gt;="&amp;D293,'Incoming POs'!$G$2:$G$305,"&lt;"&amp;Dashboard!$I$5,'Incoming POs'!$Q$2:$Q$305,"&lt;="&amp;('Inventory inputs'!P293/'Inventory inputs'!J293*1.01)),"n.a.")</x:f>
        <x:v>n.a.</x:v>
      </x:c>
      <x:c r="AC293" s="9" t="n">
        <x:f>I293*G293</x:f>
        <x:v>0</x:v>
      </x:c>
      <x:c r="AD293" s="9" t="n">
        <x:f>J293*G293</x:f>
        <x:v>0</x:v>
      </x:c>
      <x:c r="AE293" s="9" t="n">
        <x:f>K293*G293</x:f>
        <x:v>28.800000000000004</x:v>
      </x:c>
      <x:c r="AF293" s="9" t="n">
        <x:f>R293*G293</x:f>
        <x:v>17.62315761806982</x:v>
      </x:c>
    </x:row>
    <x:row r="294" ht="21" customHeight="1">
      <x:c r="A294" s="1" t="str">
        <x:f>'Inventory inputs'!A294</x:f>
        <x:v>PLAS</x:v>
      </x:c>
      <x:c r="B294" s="1" t="str">
        <x:f>'Inventory inputs'!B294</x:f>
        <x:v>30</x:v>
      </x:c>
      <x:c r="C294" s="1" t="str">
        <x:f>'Inventory inputs'!C294</x:f>
        <x:v>05819RWBNAV</x:v>
      </x:c>
      <x:c r="D294" s="7" t="n">
        <x:f>'Inventory inputs'!E294</x:f>
        <x:v>46303</x:v>
      </x:c>
      <x:c r="E294" s="1" t="n">
        <x:f>'Inventory inputs'!F294</x:f>
        <x:v>1900</x:v>
      </x:c>
      <x:c r="F294" s="1" t="n">
        <x:f>'Inventory inputs'!G294</x:f>
        <x:v>233.33</x:v>
      </x:c>
      <x:c r="G294" s="1" t="n">
        <x:f>'Inventory inputs'!H294/'Inventory inputs'!J294</x:f>
        <x:v>0.045599999999999995</x:v>
      </x:c>
      <x:c r="H294" s="1" t="n">
        <x:f>IF('Inventory inputs'!I294&gt;0,'Inventory inputs'!I294*'Inventory inputs'!K294/'Inventory inputs'!J294,"n.a.")</x:f>
        <x:v>0.053361</x:v>
      </x:c>
      <x:c r="I294" s="1" t="n">
        <x:f>'Inventory inputs'!L294</x:f>
        <x:v>0</x:v>
      </x:c>
      <x:c r="J294" s="1" t="n">
        <x:f>'Inventory inputs'!M294</x:f>
        <x:v>0</x:v>
      </x:c>
      <x:c r="K294" s="1" t="n">
        <x:f>'Inventory inputs'!N294</x:f>
        <x:v>1900</x:v>
      </x:c>
      <x:c r="L294" s="1" t="n">
        <x:f>'Inventory inputs'!O294</x:f>
        <x:v>0</x:v>
      </x:c>
      <x:c r="M294" s="9" t="n">
        <x:f>E294*G294</x:f>
        <x:v>86.63999999999999</x:v>
      </x:c>
      <x:c r="N294" s="9" t="n">
        <x:f>'Inventory inputs'!Q294</x:f>
        <x:v>86.64</x:v>
      </x:c>
      <x:c r="O294" s="9" t="n">
        <x:f>N294-M294</x:f>
        <x:v>1.4210854715202004e-14</x:v>
      </x:c>
      <x:c r="P294" s="1" t="n">
        <x:f>SUMIFS('Incoming POs'!$P$2:$P$305,'Incoming POs'!$A$2:$A$305,A294,'Incoming POs'!$B$2:$B$305,B294,'Incoming POs'!$C$2:$C$305,C294,'Incoming POs'!$G$2:$G$305,"&gt;="&amp;D294,'Incoming POs'!$G$2:$G$305,"&lt;"&amp;Dashboard!$I$5)</x:f>
        <x:v>0</x:v>
      </x:c>
      <x:c r="Q294" s="1" t="n">
        <x:f>F294*Dashboard!$L$5*MAX(0,Dashboard!$I$5-D294)/30.4375</x:f>
        <x:v>310.4678439425051</x:v>
      </x:c>
      <x:c r="R294" s="1" t="n">
        <x:f>MAX(0,E294+P294-Q294)</x:f>
        <x:v>1589.5321560574948</x:v>
      </x:c>
      <x:c r="S294" s="1" t="n">
        <x:f>MAX(0,Q294-E294-P294)</x:f>
        <x:v>0</x:v>
      </x:c>
      <x:c r="T294" s="1" t="str">
        <x:f>IF(L294=1,MAX(0,I294+AB294-MIN(Q294,E294+P294)),"n.a.")</x:f>
        <x:v>n.a.</x:v>
      </x:c>
      <x:c r="U294" s="9" t="str">
        <x:f>IF(ISNUMBER(T294),T294*G294,"n.a.")</x:f>
        <x:v>n.a.</x:v>
      </x:c>
      <x:c r="V294" s="25" t="n">
        <x:f>IF(Dashboard!$I$6="Flat %",1,IF(ISNUMBER(H294),1,0))</x:f>
        <x:v>1</x:v>
      </x:c>
      <x:c r="W294" s="9" t="n">
        <x:f>IF(Dashboard!$I$6="Flat %",G294*(1+Dashboard!$L$6),H294)</x:f>
        <x:v>0.053361</x:v>
      </x:c>
      <x:c r="X294" s="9" t="n">
        <x:f>IF(V294=1,R294*(W294-G294),"n.a.")</x:f>
        <x:v>12.336359063162224</x:v>
      </x:c>
      <x:c r="Y294" s="9" t="n">
        <x:f>IF(V294=1,R294*W294,"n.a.")</x:f>
        <x:v>84.81902537938397</x:v>
      </x:c>
      <x:c r="Z294" s="1" t="str">
        <x:f>IF(ISNUMBER(T294),R294-T294,"n.a.")</x:f>
        <x:v>n.a.</x:v>
      </x:c>
      <x:c r="AA294" s="1" t="str">
        <x:f>'Inventory inputs'!R294</x:f>
        <x:v>Review receipt reconciliation or original PO baseline</x:v>
      </x:c>
      <x:c r="AB294" s="1" t="str">
        <x:f>IF(L294=1,SUMIFS('Incoming POs'!$P$2:$P$305,'Incoming POs'!$A$2:$A$305,A294,'Incoming POs'!$B$2:$B$305,B294,'Incoming POs'!$C$2:$C$305,C294,'Incoming POs'!$G$2:$G$305,"&gt;="&amp;D294,'Incoming POs'!$G$2:$G$305,"&lt;"&amp;Dashboard!$I$5,'Incoming POs'!$Q$2:$Q$305,"&lt;="&amp;('Inventory inputs'!P294/'Inventory inputs'!J294*1.01)),"n.a.")</x:f>
        <x:v>n.a.</x:v>
      </x:c>
      <x:c r="AC294" s="9" t="n">
        <x:f>I294*G294</x:f>
        <x:v>0</x:v>
      </x:c>
      <x:c r="AD294" s="9" t="n">
        <x:f>J294*G294</x:f>
        <x:v>0</x:v>
      </x:c>
      <x:c r="AE294" s="9" t="n">
        <x:f>K294*G294</x:f>
        <x:v>86.63999999999999</x:v>
      </x:c>
      <x:c r="AF294" s="9" t="n">
        <x:f>R294*G294</x:f>
        <x:v>72.48266631622175</x:v>
      </x:c>
    </x:row>
    <x:row r="295" ht="21" customHeight="1">
      <x:c r="A295" s="1" t="str">
        <x:f>'Inventory inputs'!A295</x:f>
        <x:v>PLAS</x:v>
      </x:c>
      <x:c r="B295" s="1" t="str">
        <x:f>'Inventory inputs'!B295</x:f>
        <x:v>60</x:v>
      </x:c>
      <x:c r="C295" s="1" t="str">
        <x:f>'Inventory inputs'!C295</x:f>
        <x:v>51619RWBBLU</x:v>
      </x:c>
      <x:c r="D295" s="7" t="n">
        <x:f>'Inventory inputs'!E295</x:f>
        <x:v>46303</x:v>
      </x:c>
      <x:c r="E295" s="1" t="n">
        <x:f>'Inventory inputs'!F295</x:f>
        <x:v>1000</x:v>
      </x:c>
      <x:c r="F295" s="1" t="n">
        <x:f>'Inventory inputs'!G295</x:f>
        <x:v>233.33</x:v>
      </x:c>
      <x:c r="G295" s="1" t="n">
        <x:f>'Inventory inputs'!H295/'Inventory inputs'!J295</x:f>
        <x:v>0.0216</x:v>
      </x:c>
      <x:c r="H295" s="1" t="n">
        <x:f>IF('Inventory inputs'!I295&gt;0,'Inventory inputs'!I295*'Inventory inputs'!K295/'Inventory inputs'!J295,"n.a.")</x:f>
        <x:v>0.025284</x:v>
      </x:c>
      <x:c r="I295" s="1" t="n">
        <x:f>'Inventory inputs'!L295</x:f>
        <x:v>0</x:v>
      </x:c>
      <x:c r="J295" s="1" t="n">
        <x:f>'Inventory inputs'!M295</x:f>
        <x:v>0</x:v>
      </x:c>
      <x:c r="K295" s="1" t="n">
        <x:f>'Inventory inputs'!N295</x:f>
        <x:v>1000</x:v>
      </x:c>
      <x:c r="L295" s="1" t="n">
        <x:f>'Inventory inputs'!O295</x:f>
        <x:v>0</x:v>
      </x:c>
      <x:c r="M295" s="9" t="n">
        <x:f>E295*G295</x:f>
        <x:v>21.6</x:v>
      </x:c>
      <x:c r="N295" s="9" t="n">
        <x:f>'Inventory inputs'!Q295</x:f>
        <x:v>21.6</x:v>
      </x:c>
      <x:c r="O295" s="9" t="n">
        <x:f>N295-M295</x:f>
        <x:v>0</x:v>
      </x:c>
      <x:c r="P295" s="1" t="n">
        <x:f>SUMIFS('Incoming POs'!$P$2:$P$305,'Incoming POs'!$A$2:$A$305,A295,'Incoming POs'!$B$2:$B$305,B295,'Incoming POs'!$C$2:$C$305,C295,'Incoming POs'!$G$2:$G$305,"&gt;="&amp;D295,'Incoming POs'!$G$2:$G$305,"&lt;"&amp;Dashboard!$I$5)</x:f>
        <x:v>0</x:v>
      </x:c>
      <x:c r="Q295" s="1" t="n">
        <x:f>F295*Dashboard!$L$5*MAX(0,Dashboard!$I$5-D295)/30.4375</x:f>
        <x:v>310.4678439425051</x:v>
      </x:c>
      <x:c r="R295" s="1" t="n">
        <x:f>MAX(0,E295+P295-Q295)</x:f>
        <x:v>689.5321560574948</x:v>
      </x:c>
      <x:c r="S295" s="1" t="n">
        <x:f>MAX(0,Q295-E295-P295)</x:f>
        <x:v>0</x:v>
      </x:c>
      <x:c r="T295" s="1" t="str">
        <x:f>IF(L295=1,MAX(0,I295+AB295-MIN(Q295,E295+P295)),"n.a.")</x:f>
        <x:v>n.a.</x:v>
      </x:c>
      <x:c r="U295" s="9" t="str">
        <x:f>IF(ISNUMBER(T295),T295*G295,"n.a.")</x:f>
        <x:v>n.a.</x:v>
      </x:c>
      <x:c r="V295" s="25" t="n">
        <x:f>IF(Dashboard!$I$6="Flat %",1,IF(ISNUMBER(H295),1,0))</x:f>
        <x:v>1</x:v>
      </x:c>
      <x:c r="W295" s="9" t="n">
        <x:f>IF(Dashboard!$I$6="Flat %",G295*(1+Dashboard!$L$6),H295)</x:f>
        <x:v>0.025284</x:v>
      </x:c>
      <x:c r="X295" s="9" t="n">
        <x:f>IF(V295=1,R295*(W295-G295),"n.a.")</x:f>
        <x:v>2.5402364629158107</x:v>
      </x:c>
      <x:c r="Y295" s="9" t="n">
        <x:f>IF(V295=1,R295*W295,"n.a.")</x:f>
        <x:v>17.4341310337577</x:v>
      </x:c>
      <x:c r="Z295" s="1" t="str">
        <x:f>IF(ISNUMBER(T295),R295-T295,"n.a.")</x:f>
        <x:v>n.a.</x:v>
      </x:c>
      <x:c r="AA295" s="1" t="str">
        <x:f>'Inventory inputs'!R295</x:f>
        <x:v>Review receipt reconciliation or original PO baseline</x:v>
      </x:c>
      <x:c r="AB295" s="1" t="str">
        <x:f>IF(L295=1,SUMIFS('Incoming POs'!$P$2:$P$305,'Incoming POs'!$A$2:$A$305,A295,'Incoming POs'!$B$2:$B$305,B295,'Incoming POs'!$C$2:$C$305,C295,'Incoming POs'!$G$2:$G$305,"&gt;="&amp;D295,'Incoming POs'!$G$2:$G$305,"&lt;"&amp;Dashboard!$I$5,'Incoming POs'!$Q$2:$Q$305,"&lt;="&amp;('Inventory inputs'!P295/'Inventory inputs'!J295*1.01)),"n.a.")</x:f>
        <x:v>n.a.</x:v>
      </x:c>
      <x:c r="AC295" s="9" t="n">
        <x:f>I295*G295</x:f>
        <x:v>0</x:v>
      </x:c>
      <x:c r="AD295" s="9" t="n">
        <x:f>J295*G295</x:f>
        <x:v>0</x:v>
      </x:c>
      <x:c r="AE295" s="9" t="n">
        <x:f>K295*G295</x:f>
        <x:v>21.6</x:v>
      </x:c>
      <x:c r="AF295" s="9" t="n">
        <x:f>R295*G295</x:f>
        <x:v>14.893894570841889</x:v>
      </x:c>
    </x:row>
    <x:row r="296" ht="21" customHeight="1">
      <x:c r="A296" s="1" t="str">
        <x:f>'Inventory inputs'!A296</x:f>
        <x:v>PLAS</x:v>
      </x:c>
      <x:c r="B296" s="1" t="str">
        <x:f>'Inventory inputs'!B296</x:f>
        <x:v>60</x:v>
      </x:c>
      <x:c r="C296" s="1" t="str">
        <x:f>'Inventory inputs'!C296</x:f>
        <x:v>71619RWBFG</x:v>
      </x:c>
      <x:c r="D296" s="7" t="n">
        <x:f>'Inventory inputs'!E296</x:f>
        <x:v>46303</x:v>
      </x:c>
      <x:c r="E296" s="1" t="n">
        <x:f>'Inventory inputs'!F296</x:f>
        <x:v>0</x:v>
      </x:c>
      <x:c r="F296" s="1" t="n">
        <x:f>'Inventory inputs'!G296</x:f>
        <x:v>233.33</x:v>
      </x:c>
      <x:c r="G296" s="1" t="n">
        <x:f>'Inventory inputs'!H296/'Inventory inputs'!J296</x:f>
        <x:v>0.0315</x:v>
      </x:c>
      <x:c r="H296" s="1" t="n">
        <x:f>IF('Inventory inputs'!I296&gt;0,'Inventory inputs'!I296*'Inventory inputs'!K296/'Inventory inputs'!J296,"n.a.")</x:f>
        <x:v>0.03675</x:v>
      </x:c>
      <x:c r="I296" s="1" t="n">
        <x:f>'Inventory inputs'!L296</x:f>
        <x:v>0</x:v>
      </x:c>
      <x:c r="J296" s="1" t="n">
        <x:f>'Inventory inputs'!M296</x:f>
        <x:v>0</x:v>
      </x:c>
      <x:c r="K296" s="1" t="n">
        <x:f>'Inventory inputs'!N296</x:f>
        <x:v>0</x:v>
      </x:c>
      <x:c r="L296" s="1" t="n">
        <x:f>'Inventory inputs'!O296</x:f>
        <x:v>1</x:v>
      </x:c>
      <x:c r="M296" s="9" t="n">
        <x:f>E296*G296</x:f>
        <x:v>0</x:v>
      </x:c>
      <x:c r="N296" s="9" t="n">
        <x:f>'Inventory inputs'!Q296</x:f>
        <x:v>0</x:v>
      </x:c>
      <x:c r="O296" s="9" t="n">
        <x:f>N296-M296</x:f>
        <x:v>0</x:v>
      </x:c>
      <x:c r="P296" s="1" t="n">
        <x:f>SUMIFS('Incoming POs'!$P$2:$P$305,'Incoming POs'!$A$2:$A$305,A296,'Incoming POs'!$B$2:$B$305,B296,'Incoming POs'!$C$2:$C$305,C296,'Incoming POs'!$G$2:$G$305,"&gt;="&amp;D296,'Incoming POs'!$G$2:$G$305,"&lt;"&amp;Dashboard!$I$5)</x:f>
        <x:v>0</x:v>
      </x:c>
      <x:c r="Q296" s="1" t="n">
        <x:f>F296*Dashboard!$L$5*MAX(0,Dashboard!$I$5-D296)/30.4375</x:f>
        <x:v>310.4678439425051</x:v>
      </x:c>
      <x:c r="R296" s="1" t="n">
        <x:f>MAX(0,E296+P296-Q296)</x:f>
        <x:v>0</x:v>
      </x:c>
      <x:c r="S296" s="1" t="n">
        <x:f>MAX(0,Q296-E296-P296)</x:f>
        <x:v>310.4678439425051</x:v>
      </x:c>
      <x:c r="T296" s="1" t="n">
        <x:f>IF(L296=1,MAX(0,I296+AB296-MIN(Q296,E296+P296)),"n.a.")</x:f>
        <x:v>0</x:v>
      </x:c>
      <x:c r="U296" s="9" t="n">
        <x:f>IF(ISNUMBER(T296),T296*G296,"n.a.")</x:f>
        <x:v>0</x:v>
      </x:c>
      <x:c r="V296" s="25" t="n">
        <x:f>IF(Dashboard!$I$6="Flat %",1,IF(ISNUMBER(H296),1,0))</x:f>
        <x:v>1</x:v>
      </x:c>
      <x:c r="W296" s="9" t="n">
        <x:f>IF(Dashboard!$I$6="Flat %",G296*(1+Dashboard!$L$6),H296)</x:f>
        <x:v>0.03675</x:v>
      </x:c>
      <x:c r="X296" s="9" t="n">
        <x:f>IF(V296=1,R296*(W296-G296),"n.a.")</x:f>
        <x:v>0</x:v>
      </x:c>
      <x:c r="Y296" s="9" t="n">
        <x:f>IF(V296=1,R296*W296,"n.a.")</x:f>
        <x:v>0</x:v>
      </x:c>
      <x:c r="Z296" s="1" t="n">
        <x:f>IF(ISNUMBER(T296),R296-T296,"n.a.")</x:f>
        <x:v>0</x:v>
      </x:c>
      <x:c r="AA296" s="1" t="str">
        <x:f>'Inventory inputs'!R296</x:f>
        <x:v>Classified</x:v>
      </x:c>
      <x:c r="AB296" s="1" t="n">
        <x:f>IF(L296=1,SUMIFS('Incoming POs'!$P$2:$P$305,'Incoming POs'!$A$2:$A$305,A296,'Incoming POs'!$B$2:$B$305,B296,'Incoming POs'!$C$2:$C$305,C296,'Incoming POs'!$G$2:$G$305,"&gt;="&amp;D296,'Incoming POs'!$G$2:$G$305,"&lt;"&amp;Dashboard!$I$5,'Incoming POs'!$Q$2:$Q$305,"&lt;="&amp;('Inventory inputs'!P296/'Inventory inputs'!J296*1.01)),"n.a.")</x:f>
        <x:v>0</x:v>
      </x:c>
      <x:c r="AC296" s="9" t="n">
        <x:f>I296*G296</x:f>
        <x:v>0</x:v>
      </x:c>
      <x:c r="AD296" s="9" t="n">
        <x:f>J296*G296</x:f>
        <x:v>0</x:v>
      </x:c>
      <x:c r="AE296" s="9" t="n">
        <x:f>K296*G296</x:f>
        <x:v>0</x:v>
      </x:c>
      <x:c r="AF296" s="9" t="n">
        <x:f>R296*G296</x:f>
        <x:v>0</x:v>
      </x:c>
    </x:row>
    <x:row r="297" ht="21" customHeight="1">
      <x:c r="A297" s="1" t="str">
        <x:f>'Inventory inputs'!A297</x:f>
        <x:v>PLAS</x:v>
      </x:c>
      <x:c r="B297" s="1" t="str">
        <x:f>'Inventory inputs'!B297</x:f>
        <x:v>10</x:v>
      </x:c>
      <x:c r="C297" s="1" t="str">
        <x:f>'Inventory inputs'!C297</x:f>
        <x:v>11219RSLBLU</x:v>
      </x:c>
      <x:c r="D297" s="7" t="n">
        <x:f>'Inventory inputs'!E297</x:f>
        <x:v>46303</x:v>
      </x:c>
      <x:c r="E297" s="1" t="n">
        <x:f>'Inventory inputs'!F297</x:f>
        <x:v>1000</x:v>
      </x:c>
      <x:c r="F297" s="1" t="n">
        <x:f>'Inventory inputs'!G297</x:f>
        <x:v>229.17</x:v>
      </x:c>
      <x:c r="G297" s="1" t="n">
        <x:f>'Inventory inputs'!H297/'Inventory inputs'!J297</x:f>
        <x:v>0.1298</x:v>
      </x:c>
      <x:c r="H297" s="1" t="n">
        <x:f>IF('Inventory inputs'!I297&gt;0,'Inventory inputs'!I297*'Inventory inputs'!K297/'Inventory inputs'!J297,"n.a.")</x:f>
        <x:v>0.151851</x:v>
      </x:c>
      <x:c r="I297" s="1" t="n">
        <x:f>'Inventory inputs'!L297</x:f>
        <x:v>0</x:v>
      </x:c>
      <x:c r="J297" s="1" t="n">
        <x:f>'Inventory inputs'!M297</x:f>
        <x:v>1000</x:v>
      </x:c>
      <x:c r="K297" s="1" t="n">
        <x:f>'Inventory inputs'!N297</x:f>
        <x:v>0</x:v>
      </x:c>
      <x:c r="L297" s="1" t="n">
        <x:f>'Inventory inputs'!O297</x:f>
        <x:v>1</x:v>
      </x:c>
      <x:c r="M297" s="9" t="n">
        <x:f>E297*G297</x:f>
        <x:v>129.8</x:v>
      </x:c>
      <x:c r="N297" s="9" t="n">
        <x:f>'Inventory inputs'!Q297</x:f>
        <x:v>129.8</x:v>
      </x:c>
      <x:c r="O297" s="9" t="n">
        <x:f>N297-M297</x:f>
        <x:v>0</x:v>
      </x:c>
      <x:c r="P297" s="1" t="n">
        <x:f>SUMIFS('Incoming POs'!$P$2:$P$305,'Incoming POs'!$A$2:$A$305,A297,'Incoming POs'!$B$2:$B$305,B297,'Incoming POs'!$C$2:$C$305,C297,'Incoming POs'!$G$2:$G$305,"&gt;="&amp;D297,'Incoming POs'!$G$2:$G$305,"&lt;"&amp;Dashboard!$I$5)</x:f>
        <x:v>2000</x:v>
      </x:c>
      <x:c r="Q297" s="1" t="n">
        <x:f>F297*Dashboard!$L$5*MAX(0,Dashboard!$I$5-D297)/30.4375</x:f>
        <x:v>304.93256673511297</x:v>
      </x:c>
      <x:c r="R297" s="1" t="n">
        <x:f>MAX(0,E297+P297-Q297)</x:f>
        <x:v>2695.067433264887</x:v>
      </x:c>
      <x:c r="S297" s="1" t="n">
        <x:f>MAX(0,Q297-E297-P297)</x:f>
        <x:v>0</x:v>
      </x:c>
      <x:c r="T297" s="1" t="n">
        <x:f>IF(L297=1,MAX(0,I297+AB297-MIN(Q297,E297+P297)),"n.a.")</x:f>
        <x:v>0</x:v>
      </x:c>
      <x:c r="U297" s="9" t="n">
        <x:f>IF(ISNUMBER(T297),T297*G297,"n.a.")</x:f>
        <x:v>0</x:v>
      </x:c>
      <x:c r="V297" s="25" t="n">
        <x:f>IF(Dashboard!$I$6="Flat %",1,IF(ISNUMBER(H297),1,0))</x:f>
        <x:v>1</x:v>
      </x:c>
      <x:c r="W297" s="9" t="n">
        <x:f>IF(Dashboard!$I$6="Flat %",G297*(1+Dashboard!$L$6),H297)</x:f>
        <x:v>0.151851</x:v>
      </x:c>
      <x:c r="X297" s="9" t="n">
        <x:f>IF(V297=1,R297*(W297-G297),"n.a.")</x:f>
        <x:v>59.42893197092406</x:v>
      </x:c>
      <x:c r="Y297" s="9" t="n">
        <x:f>IF(V297=1,R297*W297,"n.a.")</x:f>
        <x:v>409.24868480870634</x:v>
      </x:c>
      <x:c r="Z297" s="1" t="n">
        <x:f>IF(ISNUMBER(T297),R297-T297,"n.a.")</x:f>
        <x:v>2695.067433264887</x:v>
      </x:c>
      <x:c r="AA297" s="1" t="str">
        <x:f>'Inventory inputs'!R297</x:f>
        <x:v>Classified</x:v>
      </x:c>
      <x:c r="AB297" s="1" t="n">
        <x:f>IF(L297=1,SUMIFS('Incoming POs'!$P$2:$P$305,'Incoming POs'!$A$2:$A$305,A297,'Incoming POs'!$B$2:$B$305,B297,'Incoming POs'!$C$2:$C$305,C297,'Incoming POs'!$G$2:$G$305,"&gt;="&amp;D297,'Incoming POs'!$G$2:$G$305,"&lt;"&amp;Dashboard!$I$5,'Incoming POs'!$Q$2:$Q$305,"&lt;="&amp;('Inventory inputs'!P297/'Inventory inputs'!J297*1.01)),"n.a.")</x:f>
        <x:v>0</x:v>
      </x:c>
      <x:c r="AC297" s="9" t="n">
        <x:f>I297*G297</x:f>
        <x:v>0</x:v>
      </x:c>
      <x:c r="AD297" s="9" t="n">
        <x:f>J297*G297</x:f>
        <x:v>129.8</x:v>
      </x:c>
      <x:c r="AE297" s="9" t="n">
        <x:f>K297*G297</x:f>
        <x:v>0</x:v>
      </x:c>
      <x:c r="AF297" s="9" t="n">
        <x:f>R297*G297</x:f>
        <x:v>349.8197528377823</x:v>
      </x:c>
    </x:row>
    <x:row r="298" ht="21" customHeight="1">
      <x:c r="A298" s="1" t="str">
        <x:f>'Inventory inputs'!A298</x:f>
        <x:v>PLAS</x:v>
      </x:c>
      <x:c r="B298" s="1" t="str">
        <x:f>'Inventory inputs'!B298</x:f>
        <x:v>30</x:v>
      </x:c>
      <x:c r="C298" s="1" t="str">
        <x:f>'Inventory inputs'!C298</x:f>
        <x:v>03819RWBBLU</x:v>
      </x:c>
      <x:c r="D298" s="7" t="n">
        <x:f>'Inventory inputs'!E298</x:f>
        <x:v>46303</x:v>
      </x:c>
      <x:c r="E298" s="1" t="n">
        <x:f>'Inventory inputs'!F298</x:f>
        <x:v>5300</x:v>
      </x:c>
      <x:c r="F298" s="1" t="n">
        <x:f>'Inventory inputs'!G298</x:f>
        <x:v>216.67</x:v>
      </x:c>
      <x:c r="G298" s="1" t="n">
        <x:f>'Inventory inputs'!H298/'Inventory inputs'!J298</x:f>
        <x:v>0.0248</x:v>
      </x:c>
      <x:c r="H298" s="1" t="n">
        <x:f>IF('Inventory inputs'!I298&gt;0,'Inventory inputs'!I298*'Inventory inputs'!K298/'Inventory inputs'!J298,"n.a.")</x:f>
        <x:v>0.029106</x:v>
      </x:c>
      <x:c r="I298" s="1" t="n">
        <x:f>'Inventory inputs'!L298</x:f>
        <x:v>0</x:v>
      </x:c>
      <x:c r="J298" s="1" t="n">
        <x:f>'Inventory inputs'!M298</x:f>
        <x:v>0</x:v>
      </x:c>
      <x:c r="K298" s="1" t="n">
        <x:f>'Inventory inputs'!N298</x:f>
        <x:v>5300</x:v>
      </x:c>
      <x:c r="L298" s="1" t="n">
        <x:f>'Inventory inputs'!O298</x:f>
        <x:v>0</x:v>
      </x:c>
      <x:c r="M298" s="9" t="n">
        <x:f>E298*G298</x:f>
        <x:v>131.44</x:v>
      </x:c>
      <x:c r="N298" s="9" t="n">
        <x:f>'Inventory inputs'!Q298</x:f>
        <x:v>131.44</x:v>
      </x:c>
      <x:c r="O298" s="9" t="n">
        <x:f>N298-M298</x:f>
        <x:v>0</x:v>
      </x:c>
      <x:c r="P298" s="1" t="n">
        <x:f>SUMIFS('Incoming POs'!$P$2:$P$305,'Incoming POs'!$A$2:$A$305,A298,'Incoming POs'!$B$2:$B$305,B298,'Incoming POs'!$C$2:$C$305,C298,'Incoming POs'!$G$2:$G$305,"&gt;="&amp;D298,'Incoming POs'!$G$2:$G$305,"&lt;"&amp;Dashboard!$I$5)</x:f>
        <x:v>0</x:v>
      </x:c>
      <x:c r="Q298" s="1" t="n">
        <x:f>F298*Dashboard!$L$5*MAX(0,Dashboard!$I$5-D298)/30.4375</x:f>
        <x:v>288.3001232032854</x:v>
      </x:c>
      <x:c r="R298" s="1" t="n">
        <x:f>MAX(0,E298+P298-Q298)</x:f>
        <x:v>5011.699876796714</x:v>
      </x:c>
      <x:c r="S298" s="1" t="n">
        <x:f>MAX(0,Q298-E298-P298)</x:f>
        <x:v>0</x:v>
      </x:c>
      <x:c r="T298" s="1" t="str">
        <x:f>IF(L298=1,MAX(0,I298+AB298-MIN(Q298,E298+P298)),"n.a.")</x:f>
        <x:v>n.a.</x:v>
      </x:c>
      <x:c r="U298" s="9" t="str">
        <x:f>IF(ISNUMBER(T298),T298*G298,"n.a.")</x:f>
        <x:v>n.a.</x:v>
      </x:c>
      <x:c r="V298" s="25" t="n">
        <x:f>IF(Dashboard!$I$6="Flat %",1,IF(ISNUMBER(H298),1,0))</x:f>
        <x:v>1</x:v>
      </x:c>
      <x:c r="W298" s="9" t="n">
        <x:f>IF(Dashboard!$I$6="Flat %",G298*(1+Dashboard!$L$6),H298)</x:f>
        <x:v>0.029106</x:v>
      </x:c>
      <x:c r="X298" s="9" t="n">
        <x:f>IF(V298=1,R298*(W298-G298),"n.a.")</x:f>
        <x:v>21.580379669486657</x:v>
      </x:c>
      <x:c r="Y298" s="9" t="n">
        <x:f>IF(V298=1,R298*W298,"n.a.")</x:f>
        <x:v>145.87053661404516</x:v>
      </x:c>
      <x:c r="Z298" s="1" t="str">
        <x:f>IF(ISNUMBER(T298),R298-T298,"n.a.")</x:f>
        <x:v>n.a.</x:v>
      </x:c>
      <x:c r="AA298" s="1" t="str">
        <x:f>'Inventory inputs'!R298</x:f>
        <x:v>Review receipt reconciliation or original PO baseline</x:v>
      </x:c>
      <x:c r="AB298" s="1" t="str">
        <x:f>IF(L298=1,SUMIFS('Incoming POs'!$P$2:$P$305,'Incoming POs'!$A$2:$A$305,A298,'Incoming POs'!$B$2:$B$305,B298,'Incoming POs'!$C$2:$C$305,C298,'Incoming POs'!$G$2:$G$305,"&gt;="&amp;D298,'Incoming POs'!$G$2:$G$305,"&lt;"&amp;Dashboard!$I$5,'Incoming POs'!$Q$2:$Q$305,"&lt;="&amp;('Inventory inputs'!P298/'Inventory inputs'!J298*1.01)),"n.a.")</x:f>
        <x:v>n.a.</x:v>
      </x:c>
      <x:c r="AC298" s="9" t="n">
        <x:f>I298*G298</x:f>
        <x:v>0</x:v>
      </x:c>
      <x:c r="AD298" s="9" t="n">
        <x:f>J298*G298</x:f>
        <x:v>0</x:v>
      </x:c>
      <x:c r="AE298" s="9" t="n">
        <x:f>K298*G298</x:f>
        <x:v>131.44</x:v>
      </x:c>
      <x:c r="AF298" s="9" t="n">
        <x:f>R298*G298</x:f>
        <x:v>124.2901569445585</x:v>
      </x:c>
    </x:row>
    <x:row r="299" ht="21" customHeight="1">
      <x:c r="A299" s="1" t="str">
        <x:f>'Inventory inputs'!A299</x:f>
        <x:v>PLAS</x:v>
      </x:c>
      <x:c r="B299" s="1" t="str">
        <x:f>'Inventory inputs'!B299</x:f>
        <x:v>30</x:v>
      </x:c>
      <x:c r="C299" s="1" t="str">
        <x:f>'Inventory inputs'!C299</x:f>
        <x:v>03819RWBRED</x:v>
      </x:c>
      <x:c r="D299" s="7" t="n">
        <x:f>'Inventory inputs'!E299</x:f>
        <x:v>46303</x:v>
      </x:c>
      <x:c r="E299" s="1" t="n">
        <x:f>'Inventory inputs'!F299</x:f>
        <x:v>900</x:v>
      </x:c>
      <x:c r="F299" s="1" t="n">
        <x:f>'Inventory inputs'!G299</x:f>
        <x:v>216.67</x:v>
      </x:c>
      <x:c r="G299" s="1" t="n">
        <x:f>'Inventory inputs'!H299/'Inventory inputs'!J299</x:f>
        <x:v>0.0248</x:v>
      </x:c>
      <x:c r="H299" s="1" t="n">
        <x:f>IF('Inventory inputs'!I299&gt;0,'Inventory inputs'!I299*'Inventory inputs'!K299/'Inventory inputs'!J299,"n.a.")</x:f>
        <x:v>0.029106</x:v>
      </x:c>
      <x:c r="I299" s="1" t="n">
        <x:f>'Inventory inputs'!L299</x:f>
        <x:v>0</x:v>
      </x:c>
      <x:c r="J299" s="1" t="n">
        <x:f>'Inventory inputs'!M299</x:f>
        <x:v>0</x:v>
      </x:c>
      <x:c r="K299" s="1" t="n">
        <x:f>'Inventory inputs'!N299</x:f>
        <x:v>900</x:v>
      </x:c>
      <x:c r="L299" s="1" t="n">
        <x:f>'Inventory inputs'!O299</x:f>
        <x:v>0</x:v>
      </x:c>
      <x:c r="M299" s="9" t="n">
        <x:f>E299*G299</x:f>
        <x:v>22.32</x:v>
      </x:c>
      <x:c r="N299" s="9" t="n">
        <x:f>'Inventory inputs'!Q299</x:f>
        <x:v>22.32</x:v>
      </x:c>
      <x:c r="O299" s="9" t="n">
        <x:f>N299-M299</x:f>
        <x:v>0</x:v>
      </x:c>
      <x:c r="P299" s="1" t="n">
        <x:f>SUMIFS('Incoming POs'!$P$2:$P$305,'Incoming POs'!$A$2:$A$305,A299,'Incoming POs'!$B$2:$B$305,B299,'Incoming POs'!$C$2:$C$305,C299,'Incoming POs'!$G$2:$G$305,"&gt;="&amp;D299,'Incoming POs'!$G$2:$G$305,"&lt;"&amp;Dashboard!$I$5)</x:f>
        <x:v>0</x:v>
      </x:c>
      <x:c r="Q299" s="1" t="n">
        <x:f>F299*Dashboard!$L$5*MAX(0,Dashboard!$I$5-D299)/30.4375</x:f>
        <x:v>288.3001232032854</x:v>
      </x:c>
      <x:c r="R299" s="1" t="n">
        <x:f>MAX(0,E299+P299-Q299)</x:f>
        <x:v>611.6998767967145</x:v>
      </x:c>
      <x:c r="S299" s="1" t="n">
        <x:f>MAX(0,Q299-E299-P299)</x:f>
        <x:v>0</x:v>
      </x:c>
      <x:c r="T299" s="1" t="str">
        <x:f>IF(L299=1,MAX(0,I299+AB299-MIN(Q299,E299+P299)),"n.a.")</x:f>
        <x:v>n.a.</x:v>
      </x:c>
      <x:c r="U299" s="9" t="str">
        <x:f>IF(ISNUMBER(T299),T299*G299,"n.a.")</x:f>
        <x:v>n.a.</x:v>
      </x:c>
      <x:c r="V299" s="25" t="n">
        <x:f>IF(Dashboard!$I$6="Flat %",1,IF(ISNUMBER(H299),1,0))</x:f>
        <x:v>1</x:v>
      </x:c>
      <x:c r="W299" s="9" t="n">
        <x:f>IF(Dashboard!$I$6="Flat %",G299*(1+Dashboard!$L$6),H299)</x:f>
        <x:v>0.029106</x:v>
      </x:c>
      <x:c r="X299" s="9" t="n">
        <x:f>IF(V299=1,R299*(W299-G299),"n.a.")</x:f>
        <x:v>2.6339796694866533</x:v>
      </x:c>
      <x:c r="Y299" s="9" t="n">
        <x:f>IF(V299=1,R299*W299,"n.a.")</x:f>
        <x:v>17.804136614045174</x:v>
      </x:c>
      <x:c r="Z299" s="1" t="str">
        <x:f>IF(ISNUMBER(T299),R299-T299,"n.a.")</x:f>
        <x:v>n.a.</x:v>
      </x:c>
      <x:c r="AA299" s="1" t="str">
        <x:f>'Inventory inputs'!R299</x:f>
        <x:v>Review receipt reconciliation or original PO baseline</x:v>
      </x:c>
      <x:c r="AB299" s="1" t="str">
        <x:f>IF(L299=1,SUMIFS('Incoming POs'!$P$2:$P$305,'Incoming POs'!$A$2:$A$305,A299,'Incoming POs'!$B$2:$B$305,B299,'Incoming POs'!$C$2:$C$305,C299,'Incoming POs'!$G$2:$G$305,"&gt;="&amp;D299,'Incoming POs'!$G$2:$G$305,"&lt;"&amp;Dashboard!$I$5,'Incoming POs'!$Q$2:$Q$305,"&lt;="&amp;('Inventory inputs'!P299/'Inventory inputs'!J299*1.01)),"n.a.")</x:f>
        <x:v>n.a.</x:v>
      </x:c>
      <x:c r="AC299" s="9" t="n">
        <x:f>I299*G299</x:f>
        <x:v>0</x:v>
      </x:c>
      <x:c r="AD299" s="9" t="n">
        <x:f>J299*G299</x:f>
        <x:v>0</x:v>
      </x:c>
      <x:c r="AE299" s="9" t="n">
        <x:f>K299*G299</x:f>
        <x:v>22.32</x:v>
      </x:c>
      <x:c r="AF299" s="9" t="n">
        <x:f>R299*G299</x:f>
        <x:v>15.17015694455852</x:v>
      </x:c>
    </x:row>
    <x:row r="300" ht="21" customHeight="1">
      <x:c r="A300" s="1" t="str">
        <x:f>'Inventory inputs'!A300</x:f>
        <x:v>PLAS</x:v>
      </x:c>
      <x:c r="B300" s="1" t="str">
        <x:f>'Inventory inputs'!B300</x:f>
        <x:v>10</x:v>
      </x:c>
      <x:c r="C300" s="1" t="str">
        <x:f>'Inventory inputs'!C300</x:f>
        <x:v>11815ROVBLK</x:v>
      </x:c>
      <x:c r="D300" s="7" t="n">
        <x:f>'Inventory inputs'!E300</x:f>
        <x:v>46303</x:v>
      </x:c>
      <x:c r="E300" s="1" t="n">
        <x:f>'Inventory inputs'!F300</x:f>
        <x:v>4790</x:v>
      </x:c>
      <x:c r="F300" s="1" t="n">
        <x:f>'Inventory inputs'!G300</x:f>
        <x:v>208.33</x:v>
      </x:c>
      <x:c r="G300" s="1" t="n">
        <x:f>'Inventory inputs'!H300/'Inventory inputs'!J300</x:f>
        <x:v>0.08410000000000001</x:v>
      </x:c>
      <x:c r="H300" s="1" t="n">
        <x:f>IF('Inventory inputs'!I300&gt;0,'Inventory inputs'!I300*'Inventory inputs'!K300/'Inventory inputs'!J300,"n.a.")</x:f>
        <x:v>0.09834300000000001</x:v>
      </x:c>
      <x:c r="I300" s="1" t="n">
        <x:f>'Inventory inputs'!L300</x:f>
        <x:v>3790</x:v>
      </x:c>
      <x:c r="J300" s="1" t="n">
        <x:f>'Inventory inputs'!M300</x:f>
        <x:v>1000</x:v>
      </x:c>
      <x:c r="K300" s="1" t="n">
        <x:f>'Inventory inputs'!N300</x:f>
        <x:v>0</x:v>
      </x:c>
      <x:c r="L300" s="1" t="n">
        <x:f>'Inventory inputs'!O300</x:f>
        <x:v>1</x:v>
      </x:c>
      <x:c r="M300" s="9" t="n">
        <x:f>E300*G300</x:f>
        <x:v>402.83900000000006</x:v>
      </x:c>
      <x:c r="N300" s="9" t="n">
        <x:f>'Inventory inputs'!Q300</x:f>
        <x:v>402.839</x:v>
      </x:c>
      <x:c r="O300" s="9" t="n">
        <x:f>N300-M300</x:f>
        <x:v>-5.684341886080802e-14</x:v>
      </x:c>
      <x:c r="P300" s="1" t="n">
        <x:f>SUMIFS('Incoming POs'!$P$2:$P$305,'Incoming POs'!$A$2:$A$305,A300,'Incoming POs'!$B$2:$B$305,B300,'Incoming POs'!$C$2:$C$305,C300,'Incoming POs'!$G$2:$G$305,"&gt;="&amp;D300,'Incoming POs'!$G$2:$G$305,"&lt;"&amp;Dashboard!$I$5)</x:f>
        <x:v>0</x:v>
      </x:c>
      <x:c r="Q300" s="1" t="n">
        <x:f>F300*Dashboard!$L$5*MAX(0,Dashboard!$I$5-D300)/30.4375</x:f>
        <x:v>277.2029568788501</x:v>
      </x:c>
      <x:c r="R300" s="1" t="n">
        <x:f>MAX(0,E300+P300-Q300)</x:f>
        <x:v>4512.79704312115</x:v>
      </x:c>
      <x:c r="S300" s="1" t="n">
        <x:f>MAX(0,Q300-E300-P300)</x:f>
        <x:v>0</x:v>
      </x:c>
      <x:c r="T300" s="1" t="n">
        <x:f>IF(L300=1,MAX(0,I300+AB300-MIN(Q300,E300+P300)),"n.a.")</x:f>
        <x:v>3512.7970431211497</x:v>
      </x:c>
      <x:c r="U300" s="9" t="n">
        <x:f>IF(ISNUMBER(T300),T300*G300,"n.a.")</x:f>
        <x:v>295.42623132648873</x:v>
      </x:c>
      <x:c r="V300" s="25" t="n">
        <x:f>IF(Dashboard!$I$6="Flat %",1,IF(ISNUMBER(H300),1,0))</x:f>
        <x:v>1</x:v>
      </x:c>
      <x:c r="W300" s="9" t="n">
        <x:f>IF(Dashboard!$I$6="Flat %",G300*(1+Dashboard!$L$6),H300)</x:f>
        <x:v>0.09834300000000001</x:v>
      </x:c>
      <x:c r="X300" s="9" t="n">
        <x:f>IF(V300=1,R300*(W300-G300),"n.a.")</x:f>
        <x:v>64.27576828517456</x:v>
      </x:c>
      <x:c r="Y300" s="9" t="n">
        <x:f>IF(V300=1,R300*W300,"n.a.")</x:f>
        <x:v>443.8019996116633</x:v>
      </x:c>
      <x:c r="Z300" s="1" t="n">
        <x:f>IF(ISNUMBER(T300),R300-T300,"n.a.")</x:f>
        <x:v>1000</x:v>
      </x:c>
      <x:c r="AA300" s="1" t="str">
        <x:f>'Inventory inputs'!R300</x:f>
        <x:v>Classified</x:v>
      </x:c>
      <x:c r="AB300" s="1" t="n">
        <x:f>IF(L300=1,SUMIFS('Incoming POs'!$P$2:$P$305,'Incoming POs'!$A$2:$A$305,A300,'Incoming POs'!$B$2:$B$305,B300,'Incoming POs'!$C$2:$C$305,C300,'Incoming POs'!$G$2:$G$305,"&gt;="&amp;D300,'Incoming POs'!$G$2:$G$305,"&lt;"&amp;Dashboard!$I$5,'Incoming POs'!$Q$2:$Q$305,"&lt;="&amp;('Inventory inputs'!P300/'Inventory inputs'!J300*1.01)),"n.a.")</x:f>
        <x:v>0</x:v>
      </x:c>
      <x:c r="AC300" s="9" t="n">
        <x:f>I300*G300</x:f>
        <x:v>318.73900000000003</x:v>
      </x:c>
      <x:c r="AD300" s="9" t="n">
        <x:f>J300*G300</x:f>
        <x:v>84.10000000000001</x:v>
      </x:c>
      <x:c r="AE300" s="9" t="n">
        <x:f>K300*G300</x:f>
        <x:v>0</x:v>
      </x:c>
      <x:c r="AF300" s="9" t="n">
        <x:f>R300*G300</x:f>
        <x:v>379.52623132648876</x:v>
      </x:c>
    </x:row>
    <x:row r="301" ht="21" customHeight="1">
      <x:c r="A301" s="1" t="str">
        <x:f>'Inventory inputs'!A301</x:f>
        <x:v>PLAS</x:v>
      </x:c>
      <x:c r="B301" s="1" t="str">
        <x:f>'Inventory inputs'!B301</x:f>
        <x:v>10</x:v>
      </x:c>
      <x:c r="C301" s="1" t="str">
        <x:f>'Inventory inputs'!C301</x:f>
        <x:v>03415RWBFG</x:v>
      </x:c>
      <x:c r="D301" s="7" t="n">
        <x:f>'Inventory inputs'!E301</x:f>
        <x:v>46303</x:v>
      </x:c>
      <x:c r="E301" s="1" t="n">
        <x:f>'Inventory inputs'!F301</x:f>
        <x:v>4718</x:v>
      </x:c>
      <x:c r="F301" s="1" t="n">
        <x:f>'Inventory inputs'!G301</x:f>
        <x:v>203.08</x:v>
      </x:c>
      <x:c r="G301" s="1" t="n">
        <x:f>'Inventory inputs'!H301/'Inventory inputs'!J301</x:f>
        <x:v>0.044000000000000004</x:v>
      </x:c>
      <x:c r="H301" s="1" t="n">
        <x:f>IF('Inventory inputs'!I301&gt;0,'Inventory inputs'!I301*'Inventory inputs'!K301/'Inventory inputs'!J301,"n.a.")</x:f>
        <x:v>0.051449999999999996</x:v>
      </x:c>
      <x:c r="I301" s="1" t="n">
        <x:f>'Inventory inputs'!L301</x:f>
        <x:v>4718</x:v>
      </x:c>
      <x:c r="J301" s="1" t="n">
        <x:f>'Inventory inputs'!M301</x:f>
        <x:v>0</x:v>
      </x:c>
      <x:c r="K301" s="1" t="n">
        <x:f>'Inventory inputs'!N301</x:f>
        <x:v>0</x:v>
      </x:c>
      <x:c r="L301" s="1" t="n">
        <x:f>'Inventory inputs'!O301</x:f>
        <x:v>1</x:v>
      </x:c>
      <x:c r="M301" s="9" t="n">
        <x:f>E301*G301</x:f>
        <x:v>207.592</x:v>
      </x:c>
      <x:c r="N301" s="9" t="n">
        <x:f>'Inventory inputs'!Q301</x:f>
        <x:v>207.592</x:v>
      </x:c>
      <x:c r="O301" s="9" t="n">
        <x:f>N301-M301</x:f>
        <x:v>0</x:v>
      </x:c>
      <x:c r="P301" s="1" t="n">
        <x:f>SUMIFS('Incoming POs'!$P$2:$P$305,'Incoming POs'!$A$2:$A$305,A301,'Incoming POs'!$B$2:$B$305,B301,'Incoming POs'!$C$2:$C$305,C301,'Incoming POs'!$G$2:$G$305,"&gt;="&amp;D301,'Incoming POs'!$G$2:$G$305,"&lt;"&amp;Dashboard!$I$5)</x:f>
        <x:v>0</x:v>
      </x:c>
      <x:c r="Q301" s="1" t="n">
        <x:f>F301*Dashboard!$L$5*MAX(0,Dashboard!$I$5-D301)/30.4375</x:f>
        <x:v>270.21733059548257</x:v>
      </x:c>
      <x:c r="R301" s="1" t="n">
        <x:f>MAX(0,E301+P301-Q301)</x:f>
        <x:v>4447.782669404517</x:v>
      </x:c>
      <x:c r="S301" s="1" t="n">
        <x:f>MAX(0,Q301-E301-P301)</x:f>
        <x:v>0</x:v>
      </x:c>
      <x:c r="T301" s="1" t="n">
        <x:f>IF(L301=1,MAX(0,I301+AB301-MIN(Q301,E301+P301)),"n.a.")</x:f>
        <x:v>4447.782669404517</x:v>
      </x:c>
      <x:c r="U301" s="9" t="n">
        <x:f>IF(ISNUMBER(T301),T301*G301,"n.a.")</x:f>
        <x:v>195.70243745379878</x:v>
      </x:c>
      <x:c r="V301" s="25" t="n">
        <x:f>IF(Dashboard!$I$6="Flat %",1,IF(ISNUMBER(H301),1,0))</x:f>
        <x:v>1</x:v>
      </x:c>
      <x:c r="W301" s="9" t="n">
        <x:f>IF(Dashboard!$I$6="Flat %",G301*(1+Dashboard!$L$6),H301)</x:f>
        <x:v>0.051449999999999996</x:v>
      </x:c>
      <x:c r="X301" s="9" t="n">
        <x:f>IF(V301=1,R301*(W301-G301),"n.a.")</x:f>
        <x:v>33.13598088706361</x:v>
      </x:c>
      <x:c r="Y301" s="9" t="n">
        <x:f>IF(V301=1,R301*W301,"n.a.")</x:f>
        <x:v>228.83841834086238</x:v>
      </x:c>
      <x:c r="Z301" s="1" t="n">
        <x:f>IF(ISNUMBER(T301),R301-T301,"n.a.")</x:f>
        <x:v>0</x:v>
      </x:c>
      <x:c r="AA301" s="1" t="str">
        <x:f>'Inventory inputs'!R301</x:f>
        <x:v>Classified</x:v>
      </x:c>
      <x:c r="AB301" s="1" t="n">
        <x:f>IF(L301=1,SUMIFS('Incoming POs'!$P$2:$P$305,'Incoming POs'!$A$2:$A$305,A301,'Incoming POs'!$B$2:$B$305,B301,'Incoming POs'!$C$2:$C$305,C301,'Incoming POs'!$G$2:$G$305,"&gt;="&amp;D301,'Incoming POs'!$G$2:$G$305,"&lt;"&amp;Dashboard!$I$5,'Incoming POs'!$Q$2:$Q$305,"&lt;="&amp;('Inventory inputs'!P301/'Inventory inputs'!J301*1.01)),"n.a.")</x:f>
        <x:v>0</x:v>
      </x:c>
      <x:c r="AC301" s="9" t="n">
        <x:f>I301*G301</x:f>
        <x:v>207.592</x:v>
      </x:c>
      <x:c r="AD301" s="9" t="n">
        <x:f>J301*G301</x:f>
        <x:v>0</x:v>
      </x:c>
      <x:c r="AE301" s="9" t="n">
        <x:f>K301*G301</x:f>
        <x:v>0</x:v>
      </x:c>
      <x:c r="AF301" s="9" t="n">
        <x:f>R301*G301</x:f>
        <x:v>195.70243745379878</x:v>
      </x:c>
    </x:row>
    <x:row r="302" ht="21" customHeight="1">
      <x:c r="A302" s="1" t="str">
        <x:f>'Inventory inputs'!A302</x:f>
        <x:v>PLAS</x:v>
      </x:c>
      <x:c r="B302" s="1" t="str">
        <x:f>'Inventory inputs'!B302</x:f>
        <x:v>10</x:v>
      </x:c>
      <x:c r="C302" s="1" t="str">
        <x:f>'Inventory inputs'!C302</x:f>
        <x:v>05815RWBNAV</x:v>
      </x:c>
      <x:c r="D302" s="7" t="n">
        <x:f>'Inventory inputs'!E302</x:f>
        <x:v>46303</x:v>
      </x:c>
      <x:c r="E302" s="1" t="n">
        <x:f>'Inventory inputs'!F302</x:f>
        <x:v>778</x:v>
      </x:c>
      <x:c r="F302" s="1" t="n">
        <x:f>'Inventory inputs'!G302</x:f>
        <x:v>200</x:v>
      </x:c>
      <x:c r="G302" s="1" t="n">
        <x:f>'Inventory inputs'!H302/'Inventory inputs'!J302</x:f>
        <x:v>0.030899999999999997</x:v>
      </x:c>
      <x:c r="H302" s="1" t="n">
        <x:f>IF('Inventory inputs'!I302&gt;0,'Inventory inputs'!I302*'Inventory inputs'!K302/'Inventory inputs'!J302,"n.a.")</x:f>
        <x:v>0.036162</x:v>
      </x:c>
      <x:c r="I302" s="1" t="n">
        <x:f>'Inventory inputs'!L302</x:f>
        <x:v>778</x:v>
      </x:c>
      <x:c r="J302" s="1" t="n">
        <x:f>'Inventory inputs'!M302</x:f>
        <x:v>0</x:v>
      </x:c>
      <x:c r="K302" s="1" t="n">
        <x:f>'Inventory inputs'!N302</x:f>
        <x:v>0</x:v>
      </x:c>
      <x:c r="L302" s="1" t="n">
        <x:f>'Inventory inputs'!O302</x:f>
        <x:v>1</x:v>
      </x:c>
      <x:c r="M302" s="9" t="n">
        <x:f>E302*G302</x:f>
        <x:v>24.0402</x:v>
      </x:c>
      <x:c r="N302" s="9" t="n">
        <x:f>'Inventory inputs'!Q302</x:f>
        <x:v>24.0402</x:v>
      </x:c>
      <x:c r="O302" s="9" t="n">
        <x:f>N302-M302</x:f>
        <x:v>0</x:v>
      </x:c>
      <x:c r="P302" s="1" t="n">
        <x:f>SUMIFS('Incoming POs'!$P$2:$P$305,'Incoming POs'!$A$2:$A$305,A302,'Incoming POs'!$B$2:$B$305,B302,'Incoming POs'!$C$2:$C$305,C302,'Incoming POs'!$G$2:$G$305,"&gt;="&amp;D302,'Incoming POs'!$G$2:$G$305,"&lt;"&amp;Dashboard!$I$5)</x:f>
        <x:v>0</x:v>
      </x:c>
      <x:c r="Q302" s="1" t="n">
        <x:f>F302*Dashboard!$L$5*MAX(0,Dashboard!$I$5-D302)/30.4375</x:f>
        <x:v>266.11909650924025</x:v>
      </x:c>
      <x:c r="R302" s="1" t="n">
        <x:f>MAX(0,E302+P302-Q302)</x:f>
        <x:v>511.88090349075975</x:v>
      </x:c>
      <x:c r="S302" s="1" t="n">
        <x:f>MAX(0,Q302-E302-P302)</x:f>
        <x:v>0</x:v>
      </x:c>
      <x:c r="T302" s="1" t="n">
        <x:f>IF(L302=1,MAX(0,I302+AB302-MIN(Q302,E302+P302)),"n.a.")</x:f>
        <x:v>511.88090349075975</x:v>
      </x:c>
      <x:c r="U302" s="9" t="n">
        <x:f>IF(ISNUMBER(T302),T302*G302,"n.a.")</x:f>
        <x:v>15.817119917864474</x:v>
      </x:c>
      <x:c r="V302" s="25" t="n">
        <x:f>IF(Dashboard!$I$6="Flat %",1,IF(ISNUMBER(H302),1,0))</x:f>
        <x:v>1</x:v>
      </x:c>
      <x:c r="W302" s="9" t="n">
        <x:f>IF(Dashboard!$I$6="Flat %",G302*(1+Dashboard!$L$6),H302)</x:f>
        <x:v>0.036162</x:v>
      </x:c>
      <x:c r="X302" s="9" t="n">
        <x:f>IF(V302=1,R302*(W302-G302),"n.a.")</x:f>
        <x:v>2.6935173141683793</x:v>
      </x:c>
      <x:c r="Y302" s="9" t="n">
        <x:f>IF(V302=1,R302*W302,"n.a.")</x:f>
        <x:v>18.510637232032852</x:v>
      </x:c>
      <x:c r="Z302" s="1" t="n">
        <x:f>IF(ISNUMBER(T302),R302-T302,"n.a.")</x:f>
        <x:v>0</x:v>
      </x:c>
      <x:c r="AA302" s="1" t="str">
        <x:f>'Inventory inputs'!R302</x:f>
        <x:v>Classified</x:v>
      </x:c>
      <x:c r="AB302" s="1" t="n">
        <x:f>IF(L302=1,SUMIFS('Incoming POs'!$P$2:$P$305,'Incoming POs'!$A$2:$A$305,A302,'Incoming POs'!$B$2:$B$305,B302,'Incoming POs'!$C$2:$C$305,C302,'Incoming POs'!$G$2:$G$305,"&gt;="&amp;D302,'Incoming POs'!$G$2:$G$305,"&lt;"&amp;Dashboard!$I$5,'Incoming POs'!$Q$2:$Q$305,"&lt;="&amp;('Inventory inputs'!P302/'Inventory inputs'!J302*1.01)),"n.a.")</x:f>
        <x:v>0</x:v>
      </x:c>
      <x:c r="AC302" s="9" t="n">
        <x:f>I302*G302</x:f>
        <x:v>24.0402</x:v>
      </x:c>
      <x:c r="AD302" s="9" t="n">
        <x:f>J302*G302</x:f>
        <x:v>0</x:v>
      </x:c>
      <x:c r="AE302" s="9" t="n">
        <x:f>K302*G302</x:f>
        <x:v>0</x:v>
      </x:c>
      <x:c r="AF302" s="9" t="n">
        <x:f>R302*G302</x:f>
        <x:v>15.817119917864474</x:v>
      </x:c>
    </x:row>
    <x:row r="303" ht="21" customHeight="1">
      <x:c r="A303" s="1" t="str">
        <x:f>'Inventory inputs'!A303</x:f>
        <x:v>PLAS</x:v>
      </x:c>
      <x:c r="B303" s="1" t="str">
        <x:f>'Inventory inputs'!B303</x:f>
        <x:v>30</x:v>
      </x:c>
      <x:c r="C303" s="1" t="str">
        <x:f>'Inventory inputs'!C303</x:f>
        <x:v>71619RWBMAR</x:v>
      </x:c>
      <x:c r="D303" s="7" t="n">
        <x:f>'Inventory inputs'!E303</x:f>
        <x:v>46303</x:v>
      </x:c>
      <x:c r="E303" s="1" t="n">
        <x:f>'Inventory inputs'!F303</x:f>
        <x:v>800</x:v>
      </x:c>
      <x:c r="F303" s="1" t="n">
        <x:f>'Inventory inputs'!G303</x:f>
        <x:v>200</x:v>
      </x:c>
      <x:c r="G303" s="1" t="n">
        <x:f>'Inventory inputs'!H303/'Inventory inputs'!J303</x:f>
        <x:v>0.0315</x:v>
      </x:c>
      <x:c r="H303" s="1" t="n">
        <x:f>IF('Inventory inputs'!I303&gt;0,'Inventory inputs'!I303*'Inventory inputs'!K303/'Inventory inputs'!J303,"n.a.")</x:f>
        <x:v>0.03675</x:v>
      </x:c>
      <x:c r="I303" s="1" t="n">
        <x:f>'Inventory inputs'!L303</x:f>
        <x:v>0</x:v>
      </x:c>
      <x:c r="J303" s="1" t="n">
        <x:f>'Inventory inputs'!M303</x:f>
        <x:v>0</x:v>
      </x:c>
      <x:c r="K303" s="1" t="n">
        <x:f>'Inventory inputs'!N303</x:f>
        <x:v>800</x:v>
      </x:c>
      <x:c r="L303" s="1" t="n">
        <x:f>'Inventory inputs'!O303</x:f>
        <x:v>0</x:v>
      </x:c>
      <x:c r="M303" s="9" t="n">
        <x:f>E303*G303</x:f>
        <x:v>25.2</x:v>
      </x:c>
      <x:c r="N303" s="9" t="n">
        <x:f>'Inventory inputs'!Q303</x:f>
        <x:v>25.2</x:v>
      </x:c>
      <x:c r="O303" s="9" t="n">
        <x:f>N303-M303</x:f>
        <x:v>0</x:v>
      </x:c>
      <x:c r="P303" s="1" t="n">
        <x:f>SUMIFS('Incoming POs'!$P$2:$P$305,'Incoming POs'!$A$2:$A$305,A303,'Incoming POs'!$B$2:$B$305,B303,'Incoming POs'!$C$2:$C$305,C303,'Incoming POs'!$G$2:$G$305,"&gt;="&amp;D303,'Incoming POs'!$G$2:$G$305,"&lt;"&amp;Dashboard!$I$5)</x:f>
        <x:v>0</x:v>
      </x:c>
      <x:c r="Q303" s="1" t="n">
        <x:f>F303*Dashboard!$L$5*MAX(0,Dashboard!$I$5-D303)/30.4375</x:f>
        <x:v>266.11909650924025</x:v>
      </x:c>
      <x:c r="R303" s="1" t="n">
        <x:f>MAX(0,E303+P303-Q303)</x:f>
        <x:v>533.8809034907597</x:v>
      </x:c>
      <x:c r="S303" s="1" t="n">
        <x:f>MAX(0,Q303-E303-P303)</x:f>
        <x:v>0</x:v>
      </x:c>
      <x:c r="T303" s="1" t="str">
        <x:f>IF(L303=1,MAX(0,I303+AB303-MIN(Q303,E303+P303)),"n.a.")</x:f>
        <x:v>n.a.</x:v>
      </x:c>
      <x:c r="U303" s="9" t="str">
        <x:f>IF(ISNUMBER(T303),T303*G303,"n.a.")</x:f>
        <x:v>n.a.</x:v>
      </x:c>
      <x:c r="V303" s="25" t="n">
        <x:f>IF(Dashboard!$I$6="Flat %",1,IF(ISNUMBER(H303),1,0))</x:f>
        <x:v>1</x:v>
      </x:c>
      <x:c r="W303" s="9" t="n">
        <x:f>IF(Dashboard!$I$6="Flat %",G303*(1+Dashboard!$L$6),H303)</x:f>
        <x:v>0.03675</x:v>
      </x:c>
      <x:c r="X303" s="9" t="n">
        <x:f>IF(V303=1,R303*(W303-G303),"n.a.")</x:f>
        <x:v>2.802874743326487</x:v>
      </x:c>
      <x:c r="Y303" s="9" t="n">
        <x:f>IF(V303=1,R303*W303,"n.a.")</x:f>
        <x:v>19.620123203285416</x:v>
      </x:c>
      <x:c r="Z303" s="1" t="str">
        <x:f>IF(ISNUMBER(T303),R303-T303,"n.a.")</x:f>
        <x:v>n.a.</x:v>
      </x:c>
      <x:c r="AA303" s="1" t="str">
        <x:f>'Inventory inputs'!R303</x:f>
        <x:v>Review receipt reconciliation or original PO baseline</x:v>
      </x:c>
      <x:c r="AB303" s="1" t="str">
        <x:f>IF(L303=1,SUMIFS('Incoming POs'!$P$2:$P$305,'Incoming POs'!$A$2:$A$305,A303,'Incoming POs'!$B$2:$B$305,B303,'Incoming POs'!$C$2:$C$305,C303,'Incoming POs'!$G$2:$G$305,"&gt;="&amp;D303,'Incoming POs'!$G$2:$G$305,"&lt;"&amp;Dashboard!$I$5,'Incoming POs'!$Q$2:$Q$305,"&lt;="&amp;('Inventory inputs'!P303/'Inventory inputs'!J303*1.01)),"n.a.")</x:f>
        <x:v>n.a.</x:v>
      </x:c>
      <x:c r="AC303" s="9" t="n">
        <x:f>I303*G303</x:f>
        <x:v>0</x:v>
      </x:c>
      <x:c r="AD303" s="9" t="n">
        <x:f>J303*G303</x:f>
        <x:v>0</x:v>
      </x:c>
      <x:c r="AE303" s="9" t="n">
        <x:f>K303*G303</x:f>
        <x:v>25.2</x:v>
      </x:c>
      <x:c r="AF303" s="9" t="n">
        <x:f>R303*G303</x:f>
        <x:v>16.81724845995893</x:v>
      </x:c>
    </x:row>
    <x:row r="304" ht="21" customHeight="1">
      <x:c r="A304" s="1" t="str">
        <x:f>'Inventory inputs'!A304</x:f>
        <x:v>PLAS</x:v>
      </x:c>
      <x:c r="B304" s="1" t="str">
        <x:f>'Inventory inputs'!B304</x:f>
        <x:v>30</x:v>
      </x:c>
      <x:c r="C304" s="1" t="str">
        <x:f>'Inventory inputs'!C304</x:f>
        <x:v>71619RWBNAV</x:v>
      </x:c>
      <x:c r="D304" s="7" t="n">
        <x:f>'Inventory inputs'!E304</x:f>
        <x:v>46303</x:v>
      </x:c>
      <x:c r="E304" s="1" t="n">
        <x:f>'Inventory inputs'!F304</x:f>
        <x:v>0</x:v>
      </x:c>
      <x:c r="F304" s="1" t="n">
        <x:f>'Inventory inputs'!G304</x:f>
        <x:v>200</x:v>
      </x:c>
      <x:c r="G304" s="1" t="n">
        <x:f>'Inventory inputs'!H304/'Inventory inputs'!J304</x:f>
        <x:v>0.0315</x:v>
      </x:c>
      <x:c r="H304" s="1" t="n">
        <x:f>IF('Inventory inputs'!I304&gt;0,'Inventory inputs'!I304*'Inventory inputs'!K304/'Inventory inputs'!J304,"n.a.")</x:f>
        <x:v>0.03675</x:v>
      </x:c>
      <x:c r="I304" s="1" t="n">
        <x:f>'Inventory inputs'!L304</x:f>
        <x:v>0</x:v>
      </x:c>
      <x:c r="J304" s="1" t="n">
        <x:f>'Inventory inputs'!M304</x:f>
        <x:v>0</x:v>
      </x:c>
      <x:c r="K304" s="1" t="n">
        <x:f>'Inventory inputs'!N304</x:f>
        <x:v>0</x:v>
      </x:c>
      <x:c r="L304" s="1" t="n">
        <x:f>'Inventory inputs'!O304</x:f>
        <x:v>1</x:v>
      </x:c>
      <x:c r="M304" s="9" t="n">
        <x:f>E304*G304</x:f>
        <x:v>0</x:v>
      </x:c>
      <x:c r="N304" s="9" t="n">
        <x:f>'Inventory inputs'!Q304</x:f>
        <x:v>0</x:v>
      </x:c>
      <x:c r="O304" s="9" t="n">
        <x:f>N304-M304</x:f>
        <x:v>0</x:v>
      </x:c>
      <x:c r="P304" s="1" t="n">
        <x:f>SUMIFS('Incoming POs'!$P$2:$P$305,'Incoming POs'!$A$2:$A$305,A304,'Incoming POs'!$B$2:$B$305,B304,'Incoming POs'!$C$2:$C$305,C304,'Incoming POs'!$G$2:$G$305,"&gt;="&amp;D304,'Incoming POs'!$G$2:$G$305,"&lt;"&amp;Dashboard!$I$5)</x:f>
        <x:v>0</x:v>
      </x:c>
      <x:c r="Q304" s="1" t="n">
        <x:f>F304*Dashboard!$L$5*MAX(0,Dashboard!$I$5-D304)/30.4375</x:f>
        <x:v>266.11909650924025</x:v>
      </x:c>
      <x:c r="R304" s="1" t="n">
        <x:f>MAX(0,E304+P304-Q304)</x:f>
        <x:v>0</x:v>
      </x:c>
      <x:c r="S304" s="1" t="n">
        <x:f>MAX(0,Q304-E304-P304)</x:f>
        <x:v>266.11909650924025</x:v>
      </x:c>
      <x:c r="T304" s="1" t="n">
        <x:f>IF(L304=1,MAX(0,I304+AB304-MIN(Q304,E304+P304)),"n.a.")</x:f>
        <x:v>0</x:v>
      </x:c>
      <x:c r="U304" s="9" t="n">
        <x:f>IF(ISNUMBER(T304),T304*G304,"n.a.")</x:f>
        <x:v>0</x:v>
      </x:c>
      <x:c r="V304" s="25" t="n">
        <x:f>IF(Dashboard!$I$6="Flat %",1,IF(ISNUMBER(H304),1,0))</x:f>
        <x:v>1</x:v>
      </x:c>
      <x:c r="W304" s="9" t="n">
        <x:f>IF(Dashboard!$I$6="Flat %",G304*(1+Dashboard!$L$6),H304)</x:f>
        <x:v>0.03675</x:v>
      </x:c>
      <x:c r="X304" s="9" t="n">
        <x:f>IF(V304=1,R304*(W304-G304),"n.a.")</x:f>
        <x:v>0</x:v>
      </x:c>
      <x:c r="Y304" s="9" t="n">
        <x:f>IF(V304=1,R304*W304,"n.a.")</x:f>
        <x:v>0</x:v>
      </x:c>
      <x:c r="Z304" s="1" t="n">
        <x:f>IF(ISNUMBER(T304),R304-T304,"n.a.")</x:f>
        <x:v>0</x:v>
      </x:c>
      <x:c r="AA304" s="1" t="str">
        <x:f>'Inventory inputs'!R304</x:f>
        <x:v>Classified</x:v>
      </x:c>
      <x:c r="AB304" s="1" t="n">
        <x:f>IF(L304=1,SUMIFS('Incoming POs'!$P$2:$P$305,'Incoming POs'!$A$2:$A$305,A304,'Incoming POs'!$B$2:$B$305,B304,'Incoming POs'!$C$2:$C$305,C304,'Incoming POs'!$G$2:$G$305,"&gt;="&amp;D304,'Incoming POs'!$G$2:$G$305,"&lt;"&amp;Dashboard!$I$5,'Incoming POs'!$Q$2:$Q$305,"&lt;="&amp;('Inventory inputs'!P304/'Inventory inputs'!J304*1.01)),"n.a.")</x:f>
        <x:v>0</x:v>
      </x:c>
      <x:c r="AC304" s="9" t="n">
        <x:f>I304*G304</x:f>
        <x:v>0</x:v>
      </x:c>
      <x:c r="AD304" s="9" t="n">
        <x:f>J304*G304</x:f>
        <x:v>0</x:v>
      </x:c>
      <x:c r="AE304" s="9" t="n">
        <x:f>K304*G304</x:f>
        <x:v>0</x:v>
      </x:c>
      <x:c r="AF304" s="9" t="n">
        <x:f>R304*G304</x:f>
        <x:v>0</x:v>
      </x:c>
    </x:row>
    <x:row r="305" ht="21" customHeight="1">
      <x:c r="A305" s="1" t="str">
        <x:f>'Inventory inputs'!A305</x:f>
        <x:v>PLAS</x:v>
      </x:c>
      <x:c r="B305" s="1" t="str">
        <x:f>'Inventory inputs'!B305</x:f>
        <x:v>60</x:v>
      </x:c>
      <x:c r="C305" s="1" t="str">
        <x:f>'Inventory inputs'!C305</x:f>
        <x:v>03819RWBNAV</x:v>
      </x:c>
      <x:c r="D305" s="7" t="n">
        <x:f>'Inventory inputs'!E305</x:f>
        <x:v>46303</x:v>
      </x:c>
      <x:c r="E305" s="1" t="n">
        <x:f>'Inventory inputs'!F305</x:f>
        <x:v>500</x:v>
      </x:c>
      <x:c r="F305" s="1" t="n">
        <x:f>'Inventory inputs'!G305</x:f>
        <x:v>200</x:v>
      </x:c>
      <x:c r="G305" s="1" t="n">
        <x:f>'Inventory inputs'!H305/'Inventory inputs'!J305</x:f>
        <x:v>0.0248</x:v>
      </x:c>
      <x:c r="H305" s="1" t="n">
        <x:f>IF('Inventory inputs'!I305&gt;0,'Inventory inputs'!I305*'Inventory inputs'!K305/'Inventory inputs'!J305,"n.a.")</x:f>
        <x:v>0.029106</x:v>
      </x:c>
      <x:c r="I305" s="1" t="n">
        <x:f>'Inventory inputs'!L305</x:f>
        <x:v>0</x:v>
      </x:c>
      <x:c r="J305" s="1" t="n">
        <x:f>'Inventory inputs'!M305</x:f>
        <x:v>0</x:v>
      </x:c>
      <x:c r="K305" s="1" t="n">
        <x:f>'Inventory inputs'!N305</x:f>
        <x:v>500</x:v>
      </x:c>
      <x:c r="L305" s="1" t="n">
        <x:f>'Inventory inputs'!O305</x:f>
        <x:v>0</x:v>
      </x:c>
      <x:c r="M305" s="9" t="n">
        <x:f>E305*G305</x:f>
        <x:v>12.4</x:v>
      </x:c>
      <x:c r="N305" s="9" t="n">
        <x:f>'Inventory inputs'!Q305</x:f>
        <x:v>12.4</x:v>
      </x:c>
      <x:c r="O305" s="9" t="n">
        <x:f>N305-M305</x:f>
        <x:v>0</x:v>
      </x:c>
      <x:c r="P305" s="1" t="n">
        <x:f>SUMIFS('Incoming POs'!$P$2:$P$305,'Incoming POs'!$A$2:$A$305,A305,'Incoming POs'!$B$2:$B$305,B305,'Incoming POs'!$C$2:$C$305,C305,'Incoming POs'!$G$2:$G$305,"&gt;="&amp;D305,'Incoming POs'!$G$2:$G$305,"&lt;"&amp;Dashboard!$I$5)</x:f>
        <x:v>0</x:v>
      </x:c>
      <x:c r="Q305" s="1" t="n">
        <x:f>F305*Dashboard!$L$5*MAX(0,Dashboard!$I$5-D305)/30.4375</x:f>
        <x:v>266.11909650924025</x:v>
      </x:c>
      <x:c r="R305" s="1" t="n">
        <x:f>MAX(0,E305+P305-Q305)</x:f>
        <x:v>233.88090349075975</x:v>
      </x:c>
      <x:c r="S305" s="1" t="n">
        <x:f>MAX(0,Q305-E305-P305)</x:f>
        <x:v>0</x:v>
      </x:c>
      <x:c r="T305" s="1" t="str">
        <x:f>IF(L305=1,MAX(0,I305+AB305-MIN(Q305,E305+P305)),"n.a.")</x:f>
        <x:v>n.a.</x:v>
      </x:c>
      <x:c r="U305" s="9" t="str">
        <x:f>IF(ISNUMBER(T305),T305*G305,"n.a.")</x:f>
        <x:v>n.a.</x:v>
      </x:c>
      <x:c r="V305" s="25" t="n">
        <x:f>IF(Dashboard!$I$6="Flat %",1,IF(ISNUMBER(H305),1,0))</x:f>
        <x:v>1</x:v>
      </x:c>
      <x:c r="W305" s="9" t="n">
        <x:f>IF(Dashboard!$I$6="Flat %",G305*(1+Dashboard!$L$6),H305)</x:f>
        <x:v>0.029106</x:v>
      </x:c>
      <x:c r="X305" s="9" t="n">
        <x:f>IF(V305=1,R305*(W305-G305),"n.a.")</x:f>
        <x:v>1.0070911704312118</x:v>
      </x:c>
      <x:c r="Y305" s="9" t="n">
        <x:f>IF(V305=1,R305*W305,"n.a.")</x:f>
        <x:v>6.807337577002054</x:v>
      </x:c>
      <x:c r="Z305" s="1" t="str">
        <x:f>IF(ISNUMBER(T305),R305-T305,"n.a.")</x:f>
        <x:v>n.a.</x:v>
      </x:c>
      <x:c r="AA305" s="1" t="str">
        <x:f>'Inventory inputs'!R305</x:f>
        <x:v>Review receipt reconciliation or original PO baseline</x:v>
      </x:c>
      <x:c r="AB305" s="1" t="str">
        <x:f>IF(L305=1,SUMIFS('Incoming POs'!$P$2:$P$305,'Incoming POs'!$A$2:$A$305,A305,'Incoming POs'!$B$2:$B$305,B305,'Incoming POs'!$C$2:$C$305,C305,'Incoming POs'!$G$2:$G$305,"&gt;="&amp;D305,'Incoming POs'!$G$2:$G$305,"&lt;"&amp;Dashboard!$I$5,'Incoming POs'!$Q$2:$Q$305,"&lt;="&amp;('Inventory inputs'!P305/'Inventory inputs'!J305*1.01)),"n.a.")</x:f>
        <x:v>n.a.</x:v>
      </x:c>
      <x:c r="AC305" s="9" t="n">
        <x:f>I305*G305</x:f>
        <x:v>0</x:v>
      </x:c>
      <x:c r="AD305" s="9" t="n">
        <x:f>J305*G305</x:f>
        <x:v>0</x:v>
      </x:c>
      <x:c r="AE305" s="9" t="n">
        <x:f>K305*G305</x:f>
        <x:v>12.4</x:v>
      </x:c>
      <x:c r="AF305" s="9" t="n">
        <x:f>R305*G305</x:f>
        <x:v>5.8002464065708415</x:v>
      </x:c>
    </x:row>
    <x:row r="306" ht="21" customHeight="1">
      <x:c r="A306" s="1" t="str">
        <x:f>'Inventory inputs'!A306</x:f>
        <x:v>PLAS</x:v>
      </x:c>
      <x:c r="B306" s="1" t="str">
        <x:f>'Inventory inputs'!B306</x:f>
        <x:v>10</x:v>
      </x:c>
      <x:c r="C306" s="1" t="str">
        <x:f>'Inventory inputs'!C306</x:f>
        <x:v>00119RWBBLU</x:v>
      </x:c>
      <x:c r="D306" s="7" t="n">
        <x:f>'Inventory inputs'!E306</x:f>
        <x:v>46303</x:v>
      </x:c>
      <x:c r="E306" s="1" t="n">
        <x:f>'Inventory inputs'!F306</x:f>
        <x:v>1900</x:v>
      </x:c>
      <x:c r="F306" s="1" t="n">
        <x:f>'Inventory inputs'!G306</x:f>
        <x:v>195.83</x:v>
      </x:c>
      <x:c r="G306" s="1" t="n">
        <x:f>'Inventory inputs'!H306/'Inventory inputs'!J306</x:f>
        <x:v>0.1054</x:v>
      </x:c>
      <x:c r="H306" s="1" t="n">
        <x:f>IF('Inventory inputs'!I306&gt;0,'Inventory inputs'!I306*'Inventory inputs'!K306/'Inventory inputs'!J306,"n.a.")</x:f>
        <x:v>0.12333300000000001</x:v>
      </x:c>
      <x:c r="I306" s="1" t="n">
        <x:f>'Inventory inputs'!L306</x:f>
        <x:v>0</x:v>
      </x:c>
      <x:c r="J306" s="1" t="n">
        <x:f>'Inventory inputs'!M306</x:f>
        <x:v>0</x:v>
      </x:c>
      <x:c r="K306" s="1" t="n">
        <x:f>'Inventory inputs'!N306</x:f>
        <x:v>1900</x:v>
      </x:c>
      <x:c r="L306" s="1" t="n">
        <x:f>'Inventory inputs'!O306</x:f>
        <x:v>0</x:v>
      </x:c>
      <x:c r="M306" s="9" t="n">
        <x:f>E306*G306</x:f>
        <x:v>200.26</x:v>
      </x:c>
      <x:c r="N306" s="9" t="n">
        <x:f>'Inventory inputs'!Q306</x:f>
        <x:v>200.26</x:v>
      </x:c>
      <x:c r="O306" s="9" t="n">
        <x:f>N306-M306</x:f>
        <x:v>0</x:v>
      </x:c>
      <x:c r="P306" s="1" t="n">
        <x:f>SUMIFS('Incoming POs'!$P$2:$P$305,'Incoming POs'!$A$2:$A$305,A306,'Incoming POs'!$B$2:$B$305,B306,'Incoming POs'!$C$2:$C$305,C306,'Incoming POs'!$G$2:$G$305,"&gt;="&amp;D306,'Incoming POs'!$G$2:$G$305,"&lt;"&amp;Dashboard!$I$5)</x:f>
        <x:v>1000</x:v>
      </x:c>
      <x:c r="Q306" s="1" t="n">
        <x:f>F306*Dashboard!$L$5*MAX(0,Dashboard!$I$5-D306)/30.4375</x:f>
        <x:v>260.5705133470226</x:v>
      </x:c>
      <x:c r="R306" s="1" t="n">
        <x:f>MAX(0,E306+P306-Q306)</x:f>
        <x:v>2639.429486652977</x:v>
      </x:c>
      <x:c r="S306" s="1" t="n">
        <x:f>MAX(0,Q306-E306-P306)</x:f>
        <x:v>0</x:v>
      </x:c>
      <x:c r="T306" s="1" t="str">
        <x:f>IF(L306=1,MAX(0,I306+AB306-MIN(Q306,E306+P306)),"n.a.")</x:f>
        <x:v>n.a.</x:v>
      </x:c>
      <x:c r="U306" s="9" t="str">
        <x:f>IF(ISNUMBER(T306),T306*G306,"n.a.")</x:f>
        <x:v>n.a.</x:v>
      </x:c>
      <x:c r="V306" s="25" t="n">
        <x:f>IF(Dashboard!$I$6="Flat %",1,IF(ISNUMBER(H306),1,0))</x:f>
        <x:v>1</x:v>
      </x:c>
      <x:c r="W306" s="9" t="n">
        <x:f>IF(Dashboard!$I$6="Flat %",G306*(1+Dashboard!$L$6),H306)</x:f>
        <x:v>0.12333300000000001</x:v>
      </x:c>
      <x:c r="X306" s="9" t="n">
        <x:f>IF(V306=1,R306*(W306-G306),"n.a.")</x:f>
        <x:v>47.332888984147885</x:v>
      </x:c>
      <x:c r="Y306" s="9" t="n">
        <x:f>IF(V306=1,R306*W306,"n.a.")</x:f>
        <x:v>325.5287568773717</x:v>
      </x:c>
      <x:c r="Z306" s="1" t="str">
        <x:f>IF(ISNUMBER(T306),R306-T306,"n.a.")</x:f>
        <x:v>n.a.</x:v>
      </x:c>
      <x:c r="AA306" s="1" t="str">
        <x:f>'Inventory inputs'!R306</x:f>
        <x:v>Review receipt reconciliation or original PO baseline</x:v>
      </x:c>
      <x:c r="AB306" s="1" t="str">
        <x:f>IF(L306=1,SUMIFS('Incoming POs'!$P$2:$P$305,'Incoming POs'!$A$2:$A$305,A306,'Incoming POs'!$B$2:$B$305,B306,'Incoming POs'!$C$2:$C$305,C306,'Incoming POs'!$G$2:$G$305,"&gt;="&amp;D306,'Incoming POs'!$G$2:$G$305,"&lt;"&amp;Dashboard!$I$5,'Incoming POs'!$Q$2:$Q$305,"&lt;="&amp;('Inventory inputs'!P306/'Inventory inputs'!J306*1.01)),"n.a.")</x:f>
        <x:v>n.a.</x:v>
      </x:c>
      <x:c r="AC306" s="9" t="n">
        <x:f>I306*G306</x:f>
        <x:v>0</x:v>
      </x:c>
      <x:c r="AD306" s="9" t="n">
        <x:f>J306*G306</x:f>
        <x:v>0</x:v>
      </x:c>
      <x:c r="AE306" s="9" t="n">
        <x:f>K306*G306</x:f>
        <x:v>200.26</x:v>
      </x:c>
      <x:c r="AF306" s="9" t="n">
        <x:f>R306*G306</x:f>
        <x:v>278.1958678932238</x:v>
      </x:c>
    </x:row>
    <x:row r="307" ht="21" customHeight="1">
      <x:c r="A307" s="1" t="str">
        <x:f>'Inventory inputs'!A307</x:f>
        <x:v>PLAS</x:v>
      </x:c>
      <x:c r="B307" s="1" t="str">
        <x:f>'Inventory inputs'!B307</x:f>
        <x:v>10</x:v>
      </x:c>
      <x:c r="C307" s="1" t="str">
        <x:f>'Inventory inputs'!C307</x:f>
        <x:v>00119RWBMAR</x:v>
      </x:c>
      <x:c r="D307" s="7" t="n">
        <x:f>'Inventory inputs'!E307</x:f>
        <x:v>46303</x:v>
      </x:c>
      <x:c r="E307" s="1" t="n">
        <x:f>'Inventory inputs'!F307</x:f>
        <x:v>900</x:v>
      </x:c>
      <x:c r="F307" s="1" t="n">
        <x:f>'Inventory inputs'!G307</x:f>
        <x:v>195.83</x:v>
      </x:c>
      <x:c r="G307" s="1" t="n">
        <x:f>'Inventory inputs'!H307/'Inventory inputs'!J307</x:f>
        <x:v>0.1054</x:v>
      </x:c>
      <x:c r="H307" s="1" t="n">
        <x:f>IF('Inventory inputs'!I307&gt;0,'Inventory inputs'!I307*'Inventory inputs'!K307/'Inventory inputs'!J307,"n.a.")</x:f>
        <x:v>0.12333300000000001</x:v>
      </x:c>
      <x:c r="I307" s="1" t="n">
        <x:f>'Inventory inputs'!L307</x:f>
        <x:v>900</x:v>
      </x:c>
      <x:c r="J307" s="1" t="n">
        <x:f>'Inventory inputs'!M307</x:f>
        <x:v>0</x:v>
      </x:c>
      <x:c r="K307" s="1" t="n">
        <x:f>'Inventory inputs'!N307</x:f>
        <x:v>0</x:v>
      </x:c>
      <x:c r="L307" s="1" t="n">
        <x:f>'Inventory inputs'!O307</x:f>
        <x:v>1</x:v>
      </x:c>
      <x:c r="M307" s="9" t="n">
        <x:f>E307*G307</x:f>
        <x:v>94.86</x:v>
      </x:c>
      <x:c r="N307" s="9" t="n">
        <x:f>'Inventory inputs'!Q307</x:f>
        <x:v>94.86</x:v>
      </x:c>
      <x:c r="O307" s="9" t="n">
        <x:f>N307-M307</x:f>
        <x:v>0</x:v>
      </x:c>
      <x:c r="P307" s="1" t="n">
        <x:f>SUMIFS('Incoming POs'!$P$2:$P$305,'Incoming POs'!$A$2:$A$305,A307,'Incoming POs'!$B$2:$B$305,B307,'Incoming POs'!$C$2:$C$305,C307,'Incoming POs'!$G$2:$G$305,"&gt;="&amp;D307,'Incoming POs'!$G$2:$G$305,"&lt;"&amp;Dashboard!$I$5)</x:f>
        <x:v>2000</x:v>
      </x:c>
      <x:c r="Q307" s="1" t="n">
        <x:f>F307*Dashboard!$L$5*MAX(0,Dashboard!$I$5-D307)/30.4375</x:f>
        <x:v>260.5705133470226</x:v>
      </x:c>
      <x:c r="R307" s="1" t="n">
        <x:f>MAX(0,E307+P307-Q307)</x:f>
        <x:v>2639.429486652977</x:v>
      </x:c>
      <x:c r="S307" s="1" t="n">
        <x:f>MAX(0,Q307-E307-P307)</x:f>
        <x:v>0</x:v>
      </x:c>
      <x:c r="T307" s="1" t="n">
        <x:f>IF(L307=1,MAX(0,I307+AB307-MIN(Q307,E307+P307)),"n.a.")</x:f>
        <x:v>639.4294866529774</x:v>
      </x:c>
      <x:c r="U307" s="9" t="n">
        <x:f>IF(ISNUMBER(T307),T307*G307,"n.a.")</x:f>
        <x:v>67.39586789322381</x:v>
      </x:c>
      <x:c r="V307" s="25" t="n">
        <x:f>IF(Dashboard!$I$6="Flat %",1,IF(ISNUMBER(H307),1,0))</x:f>
        <x:v>1</x:v>
      </x:c>
      <x:c r="W307" s="9" t="n">
        <x:f>IF(Dashboard!$I$6="Flat %",G307*(1+Dashboard!$L$6),H307)</x:f>
        <x:v>0.12333300000000001</x:v>
      </x:c>
      <x:c r="X307" s="9" t="n">
        <x:f>IF(V307=1,R307*(W307-G307),"n.a.")</x:f>
        <x:v>47.332888984147885</x:v>
      </x:c>
      <x:c r="Y307" s="9" t="n">
        <x:f>IF(V307=1,R307*W307,"n.a.")</x:f>
        <x:v>325.5287568773717</x:v>
      </x:c>
      <x:c r="Z307" s="1" t="n">
        <x:f>IF(ISNUMBER(T307),R307-T307,"n.a.")</x:f>
        <x:v>1999.9999999999998</x:v>
      </x:c>
      <x:c r="AA307" s="1" t="str">
        <x:f>'Inventory inputs'!R307</x:f>
        <x:v>Classified</x:v>
      </x:c>
      <x:c r="AB307" s="1" t="n">
        <x:f>IF(L307=1,SUMIFS('Incoming POs'!$P$2:$P$305,'Incoming POs'!$A$2:$A$305,A307,'Incoming POs'!$B$2:$B$305,B307,'Incoming POs'!$C$2:$C$305,C307,'Incoming POs'!$G$2:$G$305,"&gt;="&amp;D307,'Incoming POs'!$G$2:$G$305,"&lt;"&amp;Dashboard!$I$5,'Incoming POs'!$Q$2:$Q$305,"&lt;="&amp;('Inventory inputs'!P307/'Inventory inputs'!J307*1.01)),"n.a.")</x:f>
        <x:v>0</x:v>
      </x:c>
      <x:c r="AC307" s="9" t="n">
        <x:f>I307*G307</x:f>
        <x:v>94.86</x:v>
      </x:c>
      <x:c r="AD307" s="9" t="n">
        <x:f>J307*G307</x:f>
        <x:v>0</x:v>
      </x:c>
      <x:c r="AE307" s="9" t="n">
        <x:f>K307*G307</x:f>
        <x:v>0</x:v>
      </x:c>
      <x:c r="AF307" s="9" t="n">
        <x:f>R307*G307</x:f>
        <x:v>278.1958678932238</x:v>
      </x:c>
    </x:row>
    <x:row r="308" ht="21" customHeight="1">
      <x:c r="A308" s="1" t="str">
        <x:f>'Inventory inputs'!A308</x:f>
        <x:v>PLAS</x:v>
      </x:c>
      <x:c r="B308" s="1" t="str">
        <x:f>'Inventory inputs'!B308</x:f>
        <x:v>10</x:v>
      </x:c>
      <x:c r="C308" s="1" t="str">
        <x:f>'Inventory inputs'!C308</x:f>
        <x:v>03415RWBRED</x:v>
      </x:c>
      <x:c r="D308" s="7" t="n">
        <x:f>'Inventory inputs'!E308</x:f>
        <x:v>46303</x:v>
      </x:c>
      <x:c r="E308" s="1" t="n">
        <x:f>'Inventory inputs'!F308</x:f>
        <x:v>3525</x:v>
      </x:c>
      <x:c r="F308" s="1" t="n">
        <x:f>'Inventory inputs'!G308</x:f>
        <x:v>191.67</x:v>
      </x:c>
      <x:c r="G308" s="1" t="n">
        <x:f>'Inventory inputs'!H308/'Inventory inputs'!J308</x:f>
        <x:v>0.044000000000000004</x:v>
      </x:c>
      <x:c r="H308" s="1" t="n">
        <x:f>IF('Inventory inputs'!I308&gt;0,'Inventory inputs'!I308*'Inventory inputs'!K308/'Inventory inputs'!J308,"n.a.")</x:f>
        <x:v>0.051449999999999996</x:v>
      </x:c>
      <x:c r="I308" s="1" t="n">
        <x:f>'Inventory inputs'!L308</x:f>
        <x:v>0</x:v>
      </x:c>
      <x:c r="J308" s="1" t="n">
        <x:f>'Inventory inputs'!M308</x:f>
        <x:v>0</x:v>
      </x:c>
      <x:c r="K308" s="1" t="n">
        <x:f>'Inventory inputs'!N308</x:f>
        <x:v>3525</x:v>
      </x:c>
      <x:c r="L308" s="1" t="n">
        <x:f>'Inventory inputs'!O308</x:f>
        <x:v>0</x:v>
      </x:c>
      <x:c r="M308" s="9" t="n">
        <x:f>E308*G308</x:f>
        <x:v>155.10000000000002</x:v>
      </x:c>
      <x:c r="N308" s="9" t="n">
        <x:f>'Inventory inputs'!Q308</x:f>
        <x:v>155.10000000000002</x:v>
      </x:c>
      <x:c r="O308" s="9" t="n">
        <x:f>N308-M308</x:f>
        <x:v>0</x:v>
      </x:c>
      <x:c r="P308" s="1" t="n">
        <x:f>SUMIFS('Incoming POs'!$P$2:$P$305,'Incoming POs'!$A$2:$A$305,A308,'Incoming POs'!$B$2:$B$305,B308,'Incoming POs'!$C$2:$C$305,C308,'Incoming POs'!$G$2:$G$305,"&gt;="&amp;D308,'Incoming POs'!$G$2:$G$305,"&lt;"&amp;Dashboard!$I$5)</x:f>
        <x:v>0</x:v>
      </x:c>
      <x:c r="Q308" s="1" t="n">
        <x:f>F308*Dashboard!$L$5*MAX(0,Dashboard!$I$5-D308)/30.4375</x:f>
        <x:v>255.0352361396304</x:v>
      </x:c>
      <x:c r="R308" s="1" t="n">
        <x:f>MAX(0,E308+P308-Q308)</x:f>
        <x:v>3269.9647638603697</x:v>
      </x:c>
      <x:c r="S308" s="1" t="n">
        <x:f>MAX(0,Q308-E308-P308)</x:f>
        <x:v>0</x:v>
      </x:c>
      <x:c r="T308" s="1" t="str">
        <x:f>IF(L308=1,MAX(0,I308+AB308-MIN(Q308,E308+P308)),"n.a.")</x:f>
        <x:v>n.a.</x:v>
      </x:c>
      <x:c r="U308" s="9" t="str">
        <x:f>IF(ISNUMBER(T308),T308*G308,"n.a.")</x:f>
        <x:v>n.a.</x:v>
      </x:c>
      <x:c r="V308" s="25" t="n">
        <x:f>IF(Dashboard!$I$6="Flat %",1,IF(ISNUMBER(H308),1,0))</x:f>
        <x:v>1</x:v>
      </x:c>
      <x:c r="W308" s="9" t="n">
        <x:f>IF(Dashboard!$I$6="Flat %",G308*(1+Dashboard!$L$6),H308)</x:f>
        <x:v>0.051449999999999996</x:v>
      </x:c>
      <x:c r="X308" s="9" t="n">
        <x:f>IF(V308=1,R308*(W308-G308),"n.a.")</x:f>
        <x:v>24.361237490759727</x:v>
      </x:c>
      <x:c r="Y308" s="9" t="n">
        <x:f>IF(V308=1,R308*W308,"n.a.")</x:f>
        <x:v>168.239687100616</x:v>
      </x:c>
      <x:c r="Z308" s="1" t="str">
        <x:f>IF(ISNUMBER(T308),R308-T308,"n.a.")</x:f>
        <x:v>n.a.</x:v>
      </x:c>
      <x:c r="AA308" s="1" t="str">
        <x:f>'Inventory inputs'!R308</x:f>
        <x:v>Review receipt reconciliation or original PO baseline</x:v>
      </x:c>
      <x:c r="AB308" s="1" t="str">
        <x:f>IF(L308=1,SUMIFS('Incoming POs'!$P$2:$P$305,'Incoming POs'!$A$2:$A$305,A308,'Incoming POs'!$B$2:$B$305,B308,'Incoming POs'!$C$2:$C$305,C308,'Incoming POs'!$G$2:$G$305,"&gt;="&amp;D308,'Incoming POs'!$G$2:$G$305,"&lt;"&amp;Dashboard!$I$5,'Incoming POs'!$Q$2:$Q$305,"&lt;="&amp;('Inventory inputs'!P308/'Inventory inputs'!J308*1.01)),"n.a.")</x:f>
        <x:v>n.a.</x:v>
      </x:c>
      <x:c r="AC308" s="9" t="n">
        <x:f>I308*G308</x:f>
        <x:v>0</x:v>
      </x:c>
      <x:c r="AD308" s="9" t="n">
        <x:f>J308*G308</x:f>
        <x:v>0</x:v>
      </x:c>
      <x:c r="AE308" s="9" t="n">
        <x:f>K308*G308</x:f>
        <x:v>155.10000000000002</x:v>
      </x:c>
      <x:c r="AF308" s="9" t="n">
        <x:f>R308*G308</x:f>
        <x:v>143.8784496098563</x:v>
      </x:c>
    </x:row>
    <x:row r="309" ht="21" customHeight="1">
      <x:c r="A309" s="1" t="str">
        <x:f>'Inventory inputs'!A309</x:f>
        <x:v>PLAS</x:v>
      </x:c>
      <x:c r="B309" s="1" t="str">
        <x:f>'Inventory inputs'!B309</x:f>
        <x:v>10</x:v>
      </x:c>
      <x:c r="C309" s="1" t="str">
        <x:f>'Inventory inputs'!C309</x:f>
        <x:v>03419RWBRED</x:v>
      </x:c>
      <x:c r="D309" s="7" t="n">
        <x:f>'Inventory inputs'!E309</x:f>
        <x:v>46303</x:v>
      </x:c>
      <x:c r="E309" s="1" t="n">
        <x:f>'Inventory inputs'!F309</x:f>
        <x:v>800</x:v>
      </x:c>
      <x:c r="F309" s="1" t="n">
        <x:f>'Inventory inputs'!G309</x:f>
        <x:v>191.66</x:v>
      </x:c>
      <x:c r="G309" s="1" t="n">
        <x:f>'Inventory inputs'!H309/'Inventory inputs'!J309</x:f>
        <x:v>0.0625</x:v>
      </x:c>
      <x:c r="H309" s="1" t="n">
        <x:f>IF('Inventory inputs'!I309&gt;0,'Inventory inputs'!I309*'Inventory inputs'!K309/'Inventory inputs'!J309,"n.a.")</x:f>
        <x:v>0.073059</x:v>
      </x:c>
      <x:c r="I309" s="1" t="n">
        <x:f>'Inventory inputs'!L309</x:f>
        <x:v>0</x:v>
      </x:c>
      <x:c r="J309" s="1" t="n">
        <x:f>'Inventory inputs'!M309</x:f>
        <x:v>0</x:v>
      </x:c>
      <x:c r="K309" s="1" t="n">
        <x:f>'Inventory inputs'!N309</x:f>
        <x:v>800</x:v>
      </x:c>
      <x:c r="L309" s="1" t="n">
        <x:f>'Inventory inputs'!O309</x:f>
        <x:v>0</x:v>
      </x:c>
      <x:c r="M309" s="9" t="n">
        <x:f>E309*G309</x:f>
        <x:v>50</x:v>
      </x:c>
      <x:c r="N309" s="9" t="n">
        <x:f>'Inventory inputs'!Q309</x:f>
        <x:v>50</x:v>
      </x:c>
      <x:c r="O309" s="9" t="n">
        <x:f>N309-M309</x:f>
        <x:v>0</x:v>
      </x:c>
      <x:c r="P309" s="1" t="n">
        <x:f>SUMIFS('Incoming POs'!$P$2:$P$305,'Incoming POs'!$A$2:$A$305,A309,'Incoming POs'!$B$2:$B$305,B309,'Incoming POs'!$C$2:$C$305,C309,'Incoming POs'!$G$2:$G$305,"&gt;="&amp;D309,'Incoming POs'!$G$2:$G$305,"&lt;"&amp;Dashboard!$I$5)</x:f>
        <x:v>3000</x:v>
      </x:c>
      <x:c r="Q309" s="1" t="n">
        <x:f>F309*Dashboard!$L$5*MAX(0,Dashboard!$I$5-D309)/30.4375</x:f>
        <x:v>255.02193018480494</x:v>
      </x:c>
      <x:c r="R309" s="1" t="n">
        <x:f>MAX(0,E309+P309-Q309)</x:f>
        <x:v>3544.978069815195</x:v>
      </x:c>
      <x:c r="S309" s="1" t="n">
        <x:f>MAX(0,Q309-E309-P309)</x:f>
        <x:v>0</x:v>
      </x:c>
      <x:c r="T309" s="1" t="str">
        <x:f>IF(L309=1,MAX(0,I309+AB309-MIN(Q309,E309+P309)),"n.a.")</x:f>
        <x:v>n.a.</x:v>
      </x:c>
      <x:c r="U309" s="9" t="str">
        <x:f>IF(ISNUMBER(T309),T309*G309,"n.a.")</x:f>
        <x:v>n.a.</x:v>
      </x:c>
      <x:c r="V309" s="25" t="n">
        <x:f>IF(Dashboard!$I$6="Flat %",1,IF(ISNUMBER(H309),1,0))</x:f>
        <x:v>1</x:v>
      </x:c>
      <x:c r="W309" s="9" t="n">
        <x:f>IF(Dashboard!$I$6="Flat %",G309*(1+Dashboard!$L$6),H309)</x:f>
        <x:v>0.073059</x:v>
      </x:c>
      <x:c r="X309" s="9" t="n">
        <x:f>IF(V309=1,R309*(W309-G309),"n.a.")</x:f>
        <x:v>37.43142343917864</x:v>
      </x:c>
      <x:c r="Y309" s="9" t="n">
        <x:f>IF(V309=1,R309*W309,"n.a.")</x:f>
        <x:v>258.9925528026283</x:v>
      </x:c>
      <x:c r="Z309" s="1" t="str">
        <x:f>IF(ISNUMBER(T309),R309-T309,"n.a.")</x:f>
        <x:v>n.a.</x:v>
      </x:c>
      <x:c r="AA309" s="1" t="str">
        <x:f>'Inventory inputs'!R309</x:f>
        <x:v>Review receipt reconciliation or original PO baseline</x:v>
      </x:c>
      <x:c r="AB309" s="1" t="str">
        <x:f>IF(L309=1,SUMIFS('Incoming POs'!$P$2:$P$305,'Incoming POs'!$A$2:$A$305,A309,'Incoming POs'!$B$2:$B$305,B309,'Incoming POs'!$C$2:$C$305,C309,'Incoming POs'!$G$2:$G$305,"&gt;="&amp;D309,'Incoming POs'!$G$2:$G$305,"&lt;"&amp;Dashboard!$I$5,'Incoming POs'!$Q$2:$Q$305,"&lt;="&amp;('Inventory inputs'!P309/'Inventory inputs'!J309*1.01)),"n.a.")</x:f>
        <x:v>n.a.</x:v>
      </x:c>
      <x:c r="AC309" s="9" t="n">
        <x:f>I309*G309</x:f>
        <x:v>0</x:v>
      </x:c>
      <x:c r="AD309" s="9" t="n">
        <x:f>J309*G309</x:f>
        <x:v>0</x:v>
      </x:c>
      <x:c r="AE309" s="9" t="n">
        <x:f>K309*G309</x:f>
        <x:v>50</x:v>
      </x:c>
      <x:c r="AF309" s="9" t="n">
        <x:f>R309*G309</x:f>
        <x:v>221.56112936344968</x:v>
      </x:c>
    </x:row>
    <x:row r="310" ht="21" customHeight="1">
      <x:c r="A310" s="1" t="str">
        <x:f>'Inventory inputs'!A310</x:f>
        <x:v>PLAS</x:v>
      </x:c>
      <x:c r="B310" s="1" t="str">
        <x:f>'Inventory inputs'!B310</x:f>
        <x:v>10</x:v>
      </x:c>
      <x:c r="C310" s="1" t="str">
        <x:f>'Inventory inputs'!C310</x:f>
        <x:v>05821RWBWHT</x:v>
      </x:c>
      <x:c r="D310" s="7" t="n">
        <x:f>'Inventory inputs'!E310</x:f>
        <x:v>46303</x:v>
      </x:c>
      <x:c r="E310" s="1" t="n">
        <x:f>'Inventory inputs'!F310</x:f>
        <x:v>40050</x:v>
      </x:c>
      <x:c r="F310" s="1" t="n">
        <x:f>'Inventory inputs'!G310</x:f>
        <x:v>188.42</x:v>
      </x:c>
      <x:c r="G310" s="1" t="n">
        <x:f>'Inventory inputs'!H310/'Inventory inputs'!J310</x:f>
        <x:v>0.0441</x:v>
      </x:c>
      <x:c r="H310" s="1" t="n">
        <x:f>IF('Inventory inputs'!I310&gt;0,'Inventory inputs'!I310*'Inventory inputs'!K310/'Inventory inputs'!J310,"n.a.")</x:f>
        <x:v>0.051597</x:v>
      </x:c>
      <x:c r="I310" s="1" t="n">
        <x:f>'Inventory inputs'!L310</x:f>
        <x:v>0</x:v>
      </x:c>
      <x:c r="J310" s="1" t="n">
        <x:f>'Inventory inputs'!M310</x:f>
        <x:v>0</x:v>
      </x:c>
      <x:c r="K310" s="1" t="n">
        <x:f>'Inventory inputs'!N310</x:f>
        <x:v>40050</x:v>
      </x:c>
      <x:c r="L310" s="1" t="n">
        <x:f>'Inventory inputs'!O310</x:f>
        <x:v>0</x:v>
      </x:c>
      <x:c r="M310" s="9" t="n">
        <x:f>E310*G310</x:f>
        <x:v>1766.205</x:v>
      </x:c>
      <x:c r="N310" s="9" t="n">
        <x:f>'Inventory inputs'!Q310</x:f>
        <x:v>1766.205</x:v>
      </x:c>
      <x:c r="O310" s="9" t="n">
        <x:f>N310-M310</x:f>
        <x:v>0</x:v>
      </x:c>
      <x:c r="P310" s="1" t="n">
        <x:f>SUMIFS('Incoming POs'!$P$2:$P$305,'Incoming POs'!$A$2:$A$305,A310,'Incoming POs'!$B$2:$B$305,B310,'Incoming POs'!$C$2:$C$305,C310,'Incoming POs'!$G$2:$G$305,"&gt;="&amp;D310,'Incoming POs'!$G$2:$G$305,"&lt;"&amp;Dashboard!$I$5)</x:f>
        <x:v>0</x:v>
      </x:c>
      <x:c r="Q310" s="1" t="n">
        <x:f>F310*Dashboard!$L$5*MAX(0,Dashboard!$I$5-D310)/30.4375</x:f>
        <x:v>250.71080082135524</x:v>
      </x:c>
      <x:c r="R310" s="1" t="n">
        <x:f>MAX(0,E310+P310-Q310)</x:f>
        <x:v>39799.289199178646</x:v>
      </x:c>
      <x:c r="S310" s="1" t="n">
        <x:f>MAX(0,Q310-E310-P310)</x:f>
        <x:v>0</x:v>
      </x:c>
      <x:c r="T310" s="1" t="str">
        <x:f>IF(L310=1,MAX(0,I310+AB310-MIN(Q310,E310+P310)),"n.a.")</x:f>
        <x:v>n.a.</x:v>
      </x:c>
      <x:c r="U310" s="9" t="str">
        <x:f>IF(ISNUMBER(T310),T310*G310,"n.a.")</x:f>
        <x:v>n.a.</x:v>
      </x:c>
      <x:c r="V310" s="25" t="n">
        <x:f>IF(Dashboard!$I$6="Flat %",1,IF(ISNUMBER(H310),1,0))</x:f>
        <x:v>1</x:v>
      </x:c>
      <x:c r="W310" s="9" t="n">
        <x:f>IF(Dashboard!$I$6="Flat %",G310*(1+Dashboard!$L$6),H310)</x:f>
        <x:v>0.051597</x:v>
      </x:c>
      <x:c r="X310" s="9" t="n">
        <x:f>IF(V310=1,R310*(W310-G310),"n.a.")</x:f>
        <x:v>298.3752711262422</x:v>
      </x:c>
      <x:c r="Y310" s="9" t="n">
        <x:f>IF(V310=1,R310*W310,"n.a.")</x:f>
        <x:v>2053.5239248100206</x:v>
      </x:c>
      <x:c r="Z310" s="1" t="str">
        <x:f>IF(ISNUMBER(T310),R310-T310,"n.a.")</x:f>
        <x:v>n.a.</x:v>
      </x:c>
      <x:c r="AA310" s="1" t="str">
        <x:f>'Inventory inputs'!R310</x:f>
        <x:v>Review receipt reconciliation or original PO baseline</x:v>
      </x:c>
      <x:c r="AB310" s="1" t="str">
        <x:f>IF(L310=1,SUMIFS('Incoming POs'!$P$2:$P$305,'Incoming POs'!$A$2:$A$305,A310,'Incoming POs'!$B$2:$B$305,B310,'Incoming POs'!$C$2:$C$305,C310,'Incoming POs'!$G$2:$G$305,"&gt;="&amp;D310,'Incoming POs'!$G$2:$G$305,"&lt;"&amp;Dashboard!$I$5,'Incoming POs'!$Q$2:$Q$305,"&lt;="&amp;('Inventory inputs'!P310/'Inventory inputs'!J310*1.01)),"n.a.")</x:f>
        <x:v>n.a.</x:v>
      </x:c>
      <x:c r="AC310" s="9" t="n">
        <x:f>I310*G310</x:f>
        <x:v>0</x:v>
      </x:c>
      <x:c r="AD310" s="9" t="n">
        <x:f>J310*G310</x:f>
        <x:v>0</x:v>
      </x:c>
      <x:c r="AE310" s="9" t="n">
        <x:f>K310*G310</x:f>
        <x:v>1766.205</x:v>
      </x:c>
      <x:c r="AF310" s="9" t="n">
        <x:f>R310*G310</x:f>
        <x:v>1755.1486536837783</x:v>
      </x:c>
    </x:row>
    <x:row r="311" ht="21" customHeight="1">
      <x:c r="A311" s="1" t="str">
        <x:f>'Inventory inputs'!A311</x:f>
        <x:v>PLAS</x:v>
      </x:c>
      <x:c r="B311" s="1" t="str">
        <x:f>'Inventory inputs'!B311</x:f>
        <x:v>10</x:v>
      </x:c>
      <x:c r="C311" s="1" t="str">
        <x:f>'Inventory inputs'!C311</x:f>
        <x:v>71615RWBRED</x:v>
      </x:c>
      <x:c r="D311" s="7" t="n">
        <x:f>'Inventory inputs'!E311</x:f>
        <x:v>46303</x:v>
      </x:c>
      <x:c r="E311" s="1" t="n">
        <x:f>'Inventory inputs'!F311</x:f>
        <x:v>3000</x:v>
      </x:c>
      <x:c r="F311" s="1" t="n">
        <x:f>'Inventory inputs'!G311</x:f>
        <x:v>183.33</x:v>
      </x:c>
      <x:c r="G311" s="1" t="n">
        <x:f>'Inventory inputs'!H311/'Inventory inputs'!J311</x:f>
        <x:v>0.018000000000000002</x:v>
      </x:c>
      <x:c r="H311" s="1" t="n">
        <x:f>IF('Inventory inputs'!I311&gt;0,'Inventory inputs'!I311*'Inventory inputs'!K311/'Inventory inputs'!J311,"n.a.")</x:f>
        <x:v>0.025578</x:v>
      </x:c>
      <x:c r="I311" s="1" t="n">
        <x:f>'Inventory inputs'!L311</x:f>
        <x:v>0</x:v>
      </x:c>
      <x:c r="J311" s="1" t="n">
        <x:f>'Inventory inputs'!M311</x:f>
        <x:v>0</x:v>
      </x:c>
      <x:c r="K311" s="1" t="n">
        <x:f>'Inventory inputs'!N311</x:f>
        <x:v>3000</x:v>
      </x:c>
      <x:c r="L311" s="1" t="n">
        <x:f>'Inventory inputs'!O311</x:f>
        <x:v>0</x:v>
      </x:c>
      <x:c r="M311" s="9" t="n">
        <x:f>E311*G311</x:f>
        <x:v>54.00000000000001</x:v>
      </x:c>
      <x:c r="N311" s="9" t="n">
        <x:f>'Inventory inputs'!Q311</x:f>
        <x:v>54</x:v>
      </x:c>
      <x:c r="O311" s="9" t="n">
        <x:f>N311-M311</x:f>
        <x:v>-7.105427357601002e-15</x:v>
      </x:c>
      <x:c r="P311" s="1" t="n">
        <x:f>SUMIFS('Incoming POs'!$P$2:$P$305,'Incoming POs'!$A$2:$A$305,A311,'Incoming POs'!$B$2:$B$305,B311,'Incoming POs'!$C$2:$C$305,C311,'Incoming POs'!$G$2:$G$305,"&gt;="&amp;D311,'Incoming POs'!$G$2:$G$305,"&lt;"&amp;Dashboard!$I$5)</x:f>
        <x:v>0</x:v>
      </x:c>
      <x:c r="Q311" s="1" t="n">
        <x:f>F311*Dashboard!$L$5*MAX(0,Dashboard!$I$5-D311)/30.4375</x:f>
        <x:v>243.93806981519506</x:v>
      </x:c>
      <x:c r="R311" s="1" t="n">
        <x:f>MAX(0,E311+P311-Q311)</x:f>
        <x:v>2756.061930184805</x:v>
      </x:c>
      <x:c r="S311" s="1" t="n">
        <x:f>MAX(0,Q311-E311-P311)</x:f>
        <x:v>0</x:v>
      </x:c>
      <x:c r="T311" s="1" t="str">
        <x:f>IF(L311=1,MAX(0,I311+AB311-MIN(Q311,E311+P311)),"n.a.")</x:f>
        <x:v>n.a.</x:v>
      </x:c>
      <x:c r="U311" s="9" t="str">
        <x:f>IF(ISNUMBER(T311),T311*G311,"n.a.")</x:f>
        <x:v>n.a.</x:v>
      </x:c>
      <x:c r="V311" s="25" t="n">
        <x:f>IF(Dashboard!$I$6="Flat %",1,IF(ISNUMBER(H311),1,0))</x:f>
        <x:v>1</x:v>
      </x:c>
      <x:c r="W311" s="9" t="n">
        <x:f>IF(Dashboard!$I$6="Flat %",G311*(1+Dashboard!$L$6),H311)</x:f>
        <x:v>0.025578</x:v>
      </x:c>
      <x:c r="X311" s="9" t="n">
        <x:f>IF(V311=1,R311*(W311-G311),"n.a.")</x:f>
        <x:v>20.885437306940446</x:v>
      </x:c>
      <x:c r="Y311" s="9" t="n">
        <x:f>IF(V311=1,R311*W311,"n.a.")</x:f>
        <x:v>70.49455205026695</x:v>
      </x:c>
      <x:c r="Z311" s="1" t="str">
        <x:f>IF(ISNUMBER(T311),R311-T311,"n.a.")</x:f>
        <x:v>n.a.</x:v>
      </x:c>
      <x:c r="AA311" s="1" t="str">
        <x:f>'Inventory inputs'!R311</x:f>
        <x:v>Review receipt reconciliation or original PO baseline</x:v>
      </x:c>
      <x:c r="AB311" s="1" t="str">
        <x:f>IF(L311=1,SUMIFS('Incoming POs'!$P$2:$P$305,'Incoming POs'!$A$2:$A$305,A311,'Incoming POs'!$B$2:$B$305,B311,'Incoming POs'!$C$2:$C$305,C311,'Incoming POs'!$G$2:$G$305,"&gt;="&amp;D311,'Incoming POs'!$G$2:$G$305,"&lt;"&amp;Dashboard!$I$5,'Incoming POs'!$Q$2:$Q$305,"&lt;="&amp;('Inventory inputs'!P311/'Inventory inputs'!J311*1.01)),"n.a.")</x:f>
        <x:v>n.a.</x:v>
      </x:c>
      <x:c r="AC311" s="9" t="n">
        <x:f>I311*G311</x:f>
        <x:v>0</x:v>
      </x:c>
      <x:c r="AD311" s="9" t="n">
        <x:f>J311*G311</x:f>
        <x:v>0</x:v>
      </x:c>
      <x:c r="AE311" s="9" t="n">
        <x:f>K311*G311</x:f>
        <x:v>54.00000000000001</x:v>
      </x:c>
      <x:c r="AF311" s="9" t="n">
        <x:f>R311*G311</x:f>
        <x:v>49.6091147433265</x:v>
      </x:c>
    </x:row>
    <x:row r="312" ht="21" customHeight="1">
      <x:c r="A312" s="1" t="str">
        <x:f>'Inventory inputs'!A312</x:f>
        <x:v>PLAS</x:v>
      </x:c>
      <x:c r="B312" s="1" t="str">
        <x:f>'Inventory inputs'!B312</x:f>
        <x:v>30</x:v>
      </x:c>
      <x:c r="C312" s="1" t="str">
        <x:f>'Inventory inputs'!C312</x:f>
        <x:v>03419RWBCLR</x:v>
      </x:c>
      <x:c r="D312" s="7" t="n">
        <x:f>'Inventory inputs'!E312</x:f>
        <x:v>46303</x:v>
      </x:c>
      <x:c r="E312" s="1" t="n">
        <x:f>'Inventory inputs'!F312</x:f>
        <x:v>100</x:v>
      </x:c>
      <x:c r="F312" s="1" t="n">
        <x:f>'Inventory inputs'!G312</x:f>
        <x:v>183.33</x:v>
      </x:c>
      <x:c r="G312" s="1" t="n">
        <x:f>'Inventory inputs'!H312/'Inventory inputs'!J312</x:f>
        <x:v>0.0625</x:v>
      </x:c>
      <x:c r="H312" s="1" t="n">
        <x:f>IF('Inventory inputs'!I312&gt;0,'Inventory inputs'!I312*'Inventory inputs'!K312/'Inventory inputs'!J312,"n.a.")</x:f>
        <x:v>0.073059</x:v>
      </x:c>
      <x:c r="I312" s="1" t="n">
        <x:f>'Inventory inputs'!L312</x:f>
        <x:v>0</x:v>
      </x:c>
      <x:c r="J312" s="1" t="n">
        <x:f>'Inventory inputs'!M312</x:f>
        <x:v>0</x:v>
      </x:c>
      <x:c r="K312" s="1" t="n">
        <x:f>'Inventory inputs'!N312</x:f>
        <x:v>100</x:v>
      </x:c>
      <x:c r="L312" s="1" t="n">
        <x:f>'Inventory inputs'!O312</x:f>
        <x:v>0</x:v>
      </x:c>
      <x:c r="M312" s="9" t="n">
        <x:f>E312*G312</x:f>
        <x:v>6.25</x:v>
      </x:c>
      <x:c r="N312" s="9" t="n">
        <x:f>'Inventory inputs'!Q312</x:f>
        <x:v>6.25</x:v>
      </x:c>
      <x:c r="O312" s="9" t="n">
        <x:f>N312-M312</x:f>
        <x:v>0</x:v>
      </x:c>
      <x:c r="P312" s="1" t="n">
        <x:f>SUMIFS('Incoming POs'!$P$2:$P$305,'Incoming POs'!$A$2:$A$305,A312,'Incoming POs'!$B$2:$B$305,B312,'Incoming POs'!$C$2:$C$305,C312,'Incoming POs'!$G$2:$G$305,"&gt;="&amp;D312,'Incoming POs'!$G$2:$G$305,"&lt;"&amp;Dashboard!$I$5)</x:f>
        <x:v>0</x:v>
      </x:c>
      <x:c r="Q312" s="1" t="n">
        <x:f>F312*Dashboard!$L$5*MAX(0,Dashboard!$I$5-D312)/30.4375</x:f>
        <x:v>243.93806981519506</x:v>
      </x:c>
      <x:c r="R312" s="1" t="n">
        <x:f>MAX(0,E312+P312-Q312)</x:f>
        <x:v>0</x:v>
      </x:c>
      <x:c r="S312" s="1" t="n">
        <x:f>MAX(0,Q312-E312-P312)</x:f>
        <x:v>143.93806981519506</x:v>
      </x:c>
      <x:c r="T312" s="1" t="str">
        <x:f>IF(L312=1,MAX(0,I312+AB312-MIN(Q312,E312+P312)),"n.a.")</x:f>
        <x:v>n.a.</x:v>
      </x:c>
      <x:c r="U312" s="9" t="str">
        <x:f>IF(ISNUMBER(T312),T312*G312,"n.a.")</x:f>
        <x:v>n.a.</x:v>
      </x:c>
      <x:c r="V312" s="25" t="n">
        <x:f>IF(Dashboard!$I$6="Flat %",1,IF(ISNUMBER(H312),1,0))</x:f>
        <x:v>1</x:v>
      </x:c>
      <x:c r="W312" s="9" t="n">
        <x:f>IF(Dashboard!$I$6="Flat %",G312*(1+Dashboard!$L$6),H312)</x:f>
        <x:v>0.073059</x:v>
      </x:c>
      <x:c r="X312" s="9" t="n">
        <x:f>IF(V312=1,R312*(W312-G312),"n.a.")</x:f>
        <x:v>0</x:v>
      </x:c>
      <x:c r="Y312" s="9" t="n">
        <x:f>IF(V312=1,R312*W312,"n.a.")</x:f>
        <x:v>0</x:v>
      </x:c>
      <x:c r="Z312" s="1" t="str">
        <x:f>IF(ISNUMBER(T312),R312-T312,"n.a.")</x:f>
        <x:v>n.a.</x:v>
      </x:c>
      <x:c r="AA312" s="1" t="str">
        <x:f>'Inventory inputs'!R312</x:f>
        <x:v>Review receipt reconciliation or original PO baseline</x:v>
      </x:c>
      <x:c r="AB312" s="1" t="str">
        <x:f>IF(L312=1,SUMIFS('Incoming POs'!$P$2:$P$305,'Incoming POs'!$A$2:$A$305,A312,'Incoming POs'!$B$2:$B$305,B312,'Incoming POs'!$C$2:$C$305,C312,'Incoming POs'!$G$2:$G$305,"&gt;="&amp;D312,'Incoming POs'!$G$2:$G$305,"&lt;"&amp;Dashboard!$I$5,'Incoming POs'!$Q$2:$Q$305,"&lt;="&amp;('Inventory inputs'!P312/'Inventory inputs'!J312*1.01)),"n.a.")</x:f>
        <x:v>n.a.</x:v>
      </x:c>
      <x:c r="AC312" s="9" t="n">
        <x:f>I312*G312</x:f>
        <x:v>0</x:v>
      </x:c>
      <x:c r="AD312" s="9" t="n">
        <x:f>J312*G312</x:f>
        <x:v>0</x:v>
      </x:c>
      <x:c r="AE312" s="9" t="n">
        <x:f>K312*G312</x:f>
        <x:v>6.25</x:v>
      </x:c>
      <x:c r="AF312" s="9" t="n">
        <x:f>R312*G312</x:f>
        <x:v>0</x:v>
      </x:c>
    </x:row>
    <x:row r="313" ht="21" customHeight="1">
      <x:c r="A313" s="1" t="str">
        <x:f>'Inventory inputs'!A313</x:f>
        <x:v>PLAS</x:v>
      </x:c>
      <x:c r="B313" s="1" t="str">
        <x:f>'Inventory inputs'!B313</x:f>
        <x:v>60</x:v>
      </x:c>
      <x:c r="C313" s="1" t="str">
        <x:f>'Inventory inputs'!C313</x:f>
        <x:v>05819RWBWHT</x:v>
      </x:c>
      <x:c r="D313" s="7" t="n">
        <x:f>'Inventory inputs'!E313</x:f>
        <x:v>46303</x:v>
      </x:c>
      <x:c r="E313" s="1" t="n">
        <x:f>'Inventory inputs'!F313</x:f>
        <x:v>14700</x:v>
      </x:c>
      <x:c r="F313" s="1" t="n">
        <x:f>'Inventory inputs'!G313</x:f>
        <x:v>183.33</x:v>
      </x:c>
      <x:c r="G313" s="1" t="n">
        <x:f>'Inventory inputs'!H313/'Inventory inputs'!J313</x:f>
        <x:v>0.045599999999999995</x:v>
      </x:c>
      <x:c r="H313" s="1" t="n">
        <x:f>IF('Inventory inputs'!I313&gt;0,'Inventory inputs'!I313*'Inventory inputs'!K313/'Inventory inputs'!J313,"n.a.")</x:f>
        <x:v>0.053361</x:v>
      </x:c>
      <x:c r="I313" s="1" t="n">
        <x:f>'Inventory inputs'!L313</x:f>
        <x:v>0</x:v>
      </x:c>
      <x:c r="J313" s="1" t="n">
        <x:f>'Inventory inputs'!M313</x:f>
        <x:v>0</x:v>
      </x:c>
      <x:c r="K313" s="1" t="n">
        <x:f>'Inventory inputs'!N313</x:f>
        <x:v>14700</x:v>
      </x:c>
      <x:c r="L313" s="1" t="n">
        <x:f>'Inventory inputs'!O313</x:f>
        <x:v>0</x:v>
      </x:c>
      <x:c r="M313" s="9" t="n">
        <x:f>E313*G313</x:f>
        <x:v>670.3199999999999</x:v>
      </x:c>
      <x:c r="N313" s="9" t="n">
        <x:f>'Inventory inputs'!Q313</x:f>
        <x:v>670.32</x:v>
      </x:c>
      <x:c r="O313" s="9" t="n">
        <x:f>N313-M313</x:f>
        <x:v>1.1368683772161603e-13</x:v>
      </x:c>
      <x:c r="P313" s="1" t="n">
        <x:f>SUMIFS('Incoming POs'!$P$2:$P$305,'Incoming POs'!$A$2:$A$305,A313,'Incoming POs'!$B$2:$B$305,B313,'Incoming POs'!$C$2:$C$305,C313,'Incoming POs'!$G$2:$G$305,"&gt;="&amp;D313,'Incoming POs'!$G$2:$G$305,"&lt;"&amp;Dashboard!$I$5)</x:f>
        <x:v>0</x:v>
      </x:c>
      <x:c r="Q313" s="1" t="n">
        <x:f>F313*Dashboard!$L$5*MAX(0,Dashboard!$I$5-D313)/30.4375</x:f>
        <x:v>243.93806981519506</x:v>
      </x:c>
      <x:c r="R313" s="1" t="n">
        <x:f>MAX(0,E313+P313-Q313)</x:f>
        <x:v>14456.061930184806</x:v>
      </x:c>
      <x:c r="S313" s="1" t="n">
        <x:f>MAX(0,Q313-E313-P313)</x:f>
        <x:v>0</x:v>
      </x:c>
      <x:c r="T313" s="1" t="str">
        <x:f>IF(L313=1,MAX(0,I313+AB313-MIN(Q313,E313+P313)),"n.a.")</x:f>
        <x:v>n.a.</x:v>
      </x:c>
      <x:c r="U313" s="9" t="str">
        <x:f>IF(ISNUMBER(T313),T313*G313,"n.a.")</x:f>
        <x:v>n.a.</x:v>
      </x:c>
      <x:c r="V313" s="25" t="n">
        <x:f>IF(Dashboard!$I$6="Flat %",1,IF(ISNUMBER(H313),1,0))</x:f>
        <x:v>1</x:v>
      </x:c>
      <x:c r="W313" s="9" t="n">
        <x:f>IF(Dashboard!$I$6="Flat %",G313*(1+Dashboard!$L$6),H313)</x:f>
        <x:v>0.053361</x:v>
      </x:c>
      <x:c r="X313" s="9" t="n">
        <x:f>IF(V313=1,R313*(W313-G313),"n.a.")</x:f>
        <x:v>112.19349664016434</x:v>
      </x:c>
      <x:c r="Y313" s="9" t="n">
        <x:f>IF(V313=1,R313*W313,"n.a.")</x:f>
        <x:v>771.3899206565914</x:v>
      </x:c>
      <x:c r="Z313" s="1" t="str">
        <x:f>IF(ISNUMBER(T313),R313-T313,"n.a.")</x:f>
        <x:v>n.a.</x:v>
      </x:c>
      <x:c r="AA313" s="1" t="str">
        <x:f>'Inventory inputs'!R313</x:f>
        <x:v>Review receipt reconciliation or original PO baseline</x:v>
      </x:c>
      <x:c r="AB313" s="1" t="str">
        <x:f>IF(L313=1,SUMIFS('Incoming POs'!$P$2:$P$305,'Incoming POs'!$A$2:$A$305,A313,'Incoming POs'!$B$2:$B$305,B313,'Incoming POs'!$C$2:$C$305,C313,'Incoming POs'!$G$2:$G$305,"&gt;="&amp;D313,'Incoming POs'!$G$2:$G$305,"&lt;"&amp;Dashboard!$I$5,'Incoming POs'!$Q$2:$Q$305,"&lt;="&amp;('Inventory inputs'!P313/'Inventory inputs'!J313*1.01)),"n.a.")</x:f>
        <x:v>n.a.</x:v>
      </x:c>
      <x:c r="AC313" s="9" t="n">
        <x:f>I313*G313</x:f>
        <x:v>0</x:v>
      </x:c>
      <x:c r="AD313" s="9" t="n">
        <x:f>J313*G313</x:f>
        <x:v>0</x:v>
      </x:c>
      <x:c r="AE313" s="9" t="n">
        <x:f>K313*G313</x:f>
        <x:v>670.3199999999999</x:v>
      </x:c>
      <x:c r="AF313" s="9" t="n">
        <x:f>R313*G313</x:f>
        <x:v>659.196424016427</x:v>
      </x:c>
    </x:row>
    <x:row r="314" ht="21" customHeight="1">
      <x:c r="A314" s="1" t="str">
        <x:f>'Inventory inputs'!A314</x:f>
        <x:v>PLAS</x:v>
      </x:c>
      <x:c r="B314" s="1" t="str">
        <x:f>'Inventory inputs'!B314</x:f>
        <x:v>10</x:v>
      </x:c>
      <x:c r="C314" s="1" t="str">
        <x:f>'Inventory inputs'!C314</x:f>
        <x:v>01215RWBBLU</x:v>
      </x:c>
      <x:c r="D314" s="7" t="n">
        <x:f>'Inventory inputs'!E314</x:f>
        <x:v>46303</x:v>
      </x:c>
      <x:c r="E314" s="1" t="n">
        <x:f>'Inventory inputs'!F314</x:f>
        <x:v>8350</x:v>
      </x:c>
      <x:c r="F314" s="1" t="n">
        <x:f>'Inventory inputs'!G314</x:f>
        <x:v>175</x:v>
      </x:c>
      <x:c r="G314" s="1" t="n">
        <x:f>'Inventory inputs'!H314/'Inventory inputs'!J314</x:f>
        <x:v>0.0209</x:v>
      </x:c>
      <x:c r="H314" s="1" t="n">
        <x:f>IF('Inventory inputs'!I314&gt;0,'Inventory inputs'!I314*'Inventory inputs'!K314/'Inventory inputs'!J314,"n.a.")</x:f>
        <x:v>0.029253</x:v>
      </x:c>
      <x:c r="I314" s="1" t="n">
        <x:f>'Inventory inputs'!L314</x:f>
        <x:v>0</x:v>
      </x:c>
      <x:c r="J314" s="1" t="n">
        <x:f>'Inventory inputs'!M314</x:f>
        <x:v>0</x:v>
      </x:c>
      <x:c r="K314" s="1" t="n">
        <x:f>'Inventory inputs'!N314</x:f>
        <x:v>8350</x:v>
      </x:c>
      <x:c r="L314" s="1" t="n">
        <x:f>'Inventory inputs'!O314</x:f>
        <x:v>0</x:v>
      </x:c>
      <x:c r="M314" s="9" t="n">
        <x:f>E314*G314</x:f>
        <x:v>174.515</x:v>
      </x:c>
      <x:c r="N314" s="9" t="n">
        <x:f>'Inventory inputs'!Q314</x:f>
        <x:v>174.51500000000001</x:v>
      </x:c>
      <x:c r="O314" s="9" t="n">
        <x:f>N314-M314</x:f>
        <x:v>2.842170943040401e-14</x:v>
      </x:c>
      <x:c r="P314" s="1" t="n">
        <x:f>SUMIFS('Incoming POs'!$P$2:$P$305,'Incoming POs'!$A$2:$A$305,A314,'Incoming POs'!$B$2:$B$305,B314,'Incoming POs'!$C$2:$C$305,C314,'Incoming POs'!$G$2:$G$305,"&gt;="&amp;D314,'Incoming POs'!$G$2:$G$305,"&lt;"&amp;Dashboard!$I$5)</x:f>
        <x:v>0</x:v>
      </x:c>
      <x:c r="Q314" s="1" t="n">
        <x:f>F314*Dashboard!$L$5*MAX(0,Dashboard!$I$5-D314)/30.4375</x:f>
        <x:v>232.8542094455852</x:v>
      </x:c>
      <x:c r="R314" s="1" t="n">
        <x:f>MAX(0,E314+P314-Q314)</x:f>
        <x:v>8117.145790554415</x:v>
      </x:c>
      <x:c r="S314" s="1" t="n">
        <x:f>MAX(0,Q314-E314-P314)</x:f>
        <x:v>0</x:v>
      </x:c>
      <x:c r="T314" s="1" t="str">
        <x:f>IF(L314=1,MAX(0,I314+AB314-MIN(Q314,E314+P314)),"n.a.")</x:f>
        <x:v>n.a.</x:v>
      </x:c>
      <x:c r="U314" s="9" t="str">
        <x:f>IF(ISNUMBER(T314),T314*G314,"n.a.")</x:f>
        <x:v>n.a.</x:v>
      </x:c>
      <x:c r="V314" s="25" t="n">
        <x:f>IF(Dashboard!$I$6="Flat %",1,IF(ISNUMBER(H314),1,0))</x:f>
        <x:v>1</x:v>
      </x:c>
      <x:c r="W314" s="9" t="n">
        <x:f>IF(Dashboard!$I$6="Flat %",G314*(1+Dashboard!$L$6),H314)</x:f>
        <x:v>0.029253</x:v>
      </x:c>
      <x:c r="X314" s="9" t="n">
        <x:f>IF(V314=1,R314*(W314-G314),"n.a.")</x:f>
        <x:v>67.80251878850105</x:v>
      </x:c>
      <x:c r="Y314" s="9" t="n">
        <x:f>IF(V314=1,R314*W314,"n.a.")</x:f>
        <x:v>237.4508658110883</x:v>
      </x:c>
      <x:c r="Z314" s="1" t="str">
        <x:f>IF(ISNUMBER(T314),R314-T314,"n.a.")</x:f>
        <x:v>n.a.</x:v>
      </x:c>
      <x:c r="AA314" s="1" t="str">
        <x:f>'Inventory inputs'!R314</x:f>
        <x:v>Review receipt reconciliation or original PO baseline</x:v>
      </x:c>
      <x:c r="AB314" s="1" t="str">
        <x:f>IF(L314=1,SUMIFS('Incoming POs'!$P$2:$P$305,'Incoming POs'!$A$2:$A$305,A314,'Incoming POs'!$B$2:$B$305,B314,'Incoming POs'!$C$2:$C$305,C314,'Incoming POs'!$G$2:$G$305,"&gt;="&amp;D314,'Incoming POs'!$G$2:$G$305,"&lt;"&amp;Dashboard!$I$5,'Incoming POs'!$Q$2:$Q$305,"&lt;="&amp;('Inventory inputs'!P314/'Inventory inputs'!J314*1.01)),"n.a.")</x:f>
        <x:v>n.a.</x:v>
      </x:c>
      <x:c r="AC314" s="9" t="n">
        <x:f>I314*G314</x:f>
        <x:v>0</x:v>
      </x:c>
      <x:c r="AD314" s="9" t="n">
        <x:f>J314*G314</x:f>
        <x:v>0</x:v>
      </x:c>
      <x:c r="AE314" s="9" t="n">
        <x:f>K314*G314</x:f>
        <x:v>174.515</x:v>
      </x:c>
      <x:c r="AF314" s="9" t="n">
        <x:f>R314*G314</x:f>
        <x:v>169.64834702258725</x:v>
      </x:c>
    </x:row>
    <x:row r="315" ht="21" customHeight="1">
      <x:c r="A315" s="1" t="str">
        <x:f>'Inventory inputs'!A315</x:f>
        <x:v>PLAS</x:v>
      </x:c>
      <x:c r="B315" s="1" t="str">
        <x:f>'Inventory inputs'!B315</x:f>
        <x:v>10</x:v>
      </x:c>
      <x:c r="C315" s="1" t="str">
        <x:f>'Inventory inputs'!C315</x:f>
        <x:v>00115ROVBLU</x:v>
      </x:c>
      <x:c r="D315" s="7" t="n">
        <x:f>'Inventory inputs'!E315</x:f>
        <x:v>46303</x:v>
      </x:c>
      <x:c r="E315" s="1" t="n">
        <x:f>'Inventory inputs'!F315</x:f>
        <x:v>270</x:v>
      </x:c>
      <x:c r="F315" s="1" t="n">
        <x:f>'Inventory inputs'!G315</x:f>
        <x:v>166.67</x:v>
      </x:c>
      <x:c r="G315" s="1" t="n">
        <x:f>'Inventory inputs'!H315/'Inventory inputs'!J315</x:f>
        <x:v>0.08449999999999999</x:v>
      </x:c>
      <x:c r="H315" s="1" t="n">
        <x:f>IF('Inventory inputs'!I315&gt;0,'Inventory inputs'!I315*'Inventory inputs'!K315/'Inventory inputs'!J315,"n.a.")</x:f>
        <x:v>0.098931</x:v>
      </x:c>
      <x:c r="I315" s="1" t="n">
        <x:f>'Inventory inputs'!L315</x:f>
        <x:v>270</x:v>
      </x:c>
      <x:c r="J315" s="1" t="n">
        <x:f>'Inventory inputs'!M315</x:f>
        <x:v>0</x:v>
      </x:c>
      <x:c r="K315" s="1" t="n">
        <x:f>'Inventory inputs'!N315</x:f>
        <x:v>0</x:v>
      </x:c>
      <x:c r="L315" s="1" t="n">
        <x:f>'Inventory inputs'!O315</x:f>
        <x:v>1</x:v>
      </x:c>
      <x:c r="M315" s="9" t="n">
        <x:f>E315*G315</x:f>
        <x:v>22.814999999999998</x:v>
      </x:c>
      <x:c r="N315" s="9" t="n">
        <x:f>'Inventory inputs'!Q315</x:f>
        <x:v>22.815</x:v>
      </x:c>
      <x:c r="O315" s="9" t="n">
        <x:f>N315-M315</x:f>
        <x:v>3.552713678800501e-15</x:v>
      </x:c>
      <x:c r="P315" s="1" t="n">
        <x:f>SUMIFS('Incoming POs'!$P$2:$P$305,'Incoming POs'!$A$2:$A$305,A315,'Incoming POs'!$B$2:$B$305,B315,'Incoming POs'!$C$2:$C$305,C315,'Incoming POs'!$G$2:$G$305,"&gt;="&amp;D315,'Incoming POs'!$G$2:$G$305,"&lt;"&amp;Dashboard!$I$5)</x:f>
        <x:v>0</x:v>
      </x:c>
      <x:c r="Q315" s="1" t="n">
        <x:f>F315*Dashboard!$L$5*MAX(0,Dashboard!$I$5-D315)/30.4375</x:f>
        <x:v>221.77034907597536</x:v>
      </x:c>
      <x:c r="R315" s="1" t="n">
        <x:f>MAX(0,E315+P315-Q315)</x:f>
        <x:v>48.22965092402464</x:v>
      </x:c>
      <x:c r="S315" s="1" t="n">
        <x:f>MAX(0,Q315-E315-P315)</x:f>
        <x:v>0</x:v>
      </x:c>
      <x:c r="T315" s="1" t="n">
        <x:f>IF(L315=1,MAX(0,I315+AB315-MIN(Q315,E315+P315)),"n.a.")</x:f>
        <x:v>48.22965092402464</x:v>
      </x:c>
      <x:c r="U315" s="9" t="n">
        <x:f>IF(ISNUMBER(T315),T315*G315,"n.a.")</x:f>
        <x:v>4.0754055030800815</x:v>
      </x:c>
      <x:c r="V315" s="25" t="n">
        <x:f>IF(Dashboard!$I$6="Flat %",1,IF(ISNUMBER(H315),1,0))</x:f>
        <x:v>1</x:v>
      </x:c>
      <x:c r="W315" s="9" t="n">
        <x:f>IF(Dashboard!$I$6="Flat %",G315*(1+Dashboard!$L$6),H315)</x:f>
        <x:v>0.098931</x:v>
      </x:c>
      <x:c r="X315" s="9" t="n">
        <x:f>IF(V315=1,R315*(W315-G315),"n.a.")</x:f>
        <x:v>0.6960020924846002</x:v>
      </x:c>
      <x:c r="Y315" s="9" t="n">
        <x:f>IF(V315=1,R315*W315,"n.a.")</x:f>
        <x:v>4.771407595564682</x:v>
      </x:c>
      <x:c r="Z315" s="1" t="n">
        <x:f>IF(ISNUMBER(T315),R315-T315,"n.a.")</x:f>
        <x:v>0</x:v>
      </x:c>
      <x:c r="AA315" s="1" t="str">
        <x:f>'Inventory inputs'!R315</x:f>
        <x:v>Classified</x:v>
      </x:c>
      <x:c r="AB315" s="1" t="n">
        <x:f>IF(L315=1,SUMIFS('Incoming POs'!$P$2:$P$305,'Incoming POs'!$A$2:$A$305,A315,'Incoming POs'!$B$2:$B$305,B315,'Incoming POs'!$C$2:$C$305,C315,'Incoming POs'!$G$2:$G$305,"&gt;="&amp;D315,'Incoming POs'!$G$2:$G$305,"&lt;"&amp;Dashboard!$I$5,'Incoming POs'!$Q$2:$Q$305,"&lt;="&amp;('Inventory inputs'!P315/'Inventory inputs'!J315*1.01)),"n.a.")</x:f>
        <x:v>0</x:v>
      </x:c>
      <x:c r="AC315" s="9" t="n">
        <x:f>I315*G315</x:f>
        <x:v>22.814999999999998</x:v>
      </x:c>
      <x:c r="AD315" s="9" t="n">
        <x:f>J315*G315</x:f>
        <x:v>0</x:v>
      </x:c>
      <x:c r="AE315" s="9" t="n">
        <x:f>K315*G315</x:f>
        <x:v>0</x:v>
      </x:c>
      <x:c r="AF315" s="9" t="n">
        <x:f>R315*G315</x:f>
        <x:v>4.0754055030800815</x:v>
      </x:c>
    </x:row>
    <x:row r="316" ht="21" customHeight="1">
      <x:c r="A316" s="1" t="str">
        <x:f>'Inventory inputs'!A316</x:f>
        <x:v>PLAS</x:v>
      </x:c>
      <x:c r="B316" s="1" t="str">
        <x:f>'Inventory inputs'!B316</x:f>
        <x:v>10</x:v>
      </x:c>
      <x:c r="C316" s="1" t="str">
        <x:f>'Inventory inputs'!C316</x:f>
        <x:v>01215RWBFG</x:v>
      </x:c>
      <x:c r="D316" s="7" t="n">
        <x:f>'Inventory inputs'!E316</x:f>
        <x:v>46303</x:v>
      </x:c>
      <x:c r="E316" s="1" t="n">
        <x:f>'Inventory inputs'!F316</x:f>
        <x:v>4000</x:v>
      </x:c>
      <x:c r="F316" s="1" t="n">
        <x:f>'Inventory inputs'!G316</x:f>
        <x:v>166.67</x:v>
      </x:c>
      <x:c r="G316" s="1" t="n">
        <x:f>'Inventory inputs'!H316/'Inventory inputs'!J316</x:f>
        <x:v>0.025</x:v>
      </x:c>
      <x:c r="H316" s="1" t="n">
        <x:f>IF('Inventory inputs'!I316&gt;0,'Inventory inputs'!I316*'Inventory inputs'!K316/'Inventory inputs'!J316,"n.a.")</x:f>
        <x:v>0.029253</x:v>
      </x:c>
      <x:c r="I316" s="1" t="n">
        <x:f>'Inventory inputs'!L316</x:f>
        <x:v>4000</x:v>
      </x:c>
      <x:c r="J316" s="1" t="n">
        <x:f>'Inventory inputs'!M316</x:f>
        <x:v>0</x:v>
      </x:c>
      <x:c r="K316" s="1" t="n">
        <x:f>'Inventory inputs'!N316</x:f>
        <x:v>0</x:v>
      </x:c>
      <x:c r="L316" s="1" t="n">
        <x:f>'Inventory inputs'!O316</x:f>
        <x:v>1</x:v>
      </x:c>
      <x:c r="M316" s="9" t="n">
        <x:f>E316*G316</x:f>
        <x:v>100</x:v>
      </x:c>
      <x:c r="N316" s="9" t="n">
        <x:f>'Inventory inputs'!Q316</x:f>
        <x:v>100</x:v>
      </x:c>
      <x:c r="O316" s="9" t="n">
        <x:f>N316-M316</x:f>
        <x:v>0</x:v>
      </x:c>
      <x:c r="P316" s="1" t="n">
        <x:f>SUMIFS('Incoming POs'!$P$2:$P$305,'Incoming POs'!$A$2:$A$305,A316,'Incoming POs'!$B$2:$B$305,B316,'Incoming POs'!$C$2:$C$305,C316,'Incoming POs'!$G$2:$G$305,"&gt;="&amp;D316,'Incoming POs'!$G$2:$G$305,"&lt;"&amp;Dashboard!$I$5)</x:f>
        <x:v>0</x:v>
      </x:c>
      <x:c r="Q316" s="1" t="n">
        <x:f>F316*Dashboard!$L$5*MAX(0,Dashboard!$I$5-D316)/30.4375</x:f>
        <x:v>221.77034907597536</x:v>
      </x:c>
      <x:c r="R316" s="1" t="n">
        <x:f>MAX(0,E316+P316-Q316)</x:f>
        <x:v>3778.2296509240246</x:v>
      </x:c>
      <x:c r="S316" s="1" t="n">
        <x:f>MAX(0,Q316-E316-P316)</x:f>
        <x:v>0</x:v>
      </x:c>
      <x:c r="T316" s="1" t="n">
        <x:f>IF(L316=1,MAX(0,I316+AB316-MIN(Q316,E316+P316)),"n.a.")</x:f>
        <x:v>3778.2296509240246</x:v>
      </x:c>
      <x:c r="U316" s="9" t="n">
        <x:f>IF(ISNUMBER(T316),T316*G316,"n.a.")</x:f>
        <x:v>94.45574127310061</x:v>
      </x:c>
      <x:c r="V316" s="25" t="n">
        <x:f>IF(Dashboard!$I$6="Flat %",1,IF(ISNUMBER(H316),1,0))</x:f>
        <x:v>1</x:v>
      </x:c>
      <x:c r="W316" s="9" t="n">
        <x:f>IF(Dashboard!$I$6="Flat %",G316*(1+Dashboard!$L$6),H316)</x:f>
        <x:v>0.029253</x:v>
      </x:c>
      <x:c r="X316" s="9" t="n">
        <x:f>IF(V316=1,R316*(W316-G316),"n.a.")</x:f>
        <x:v>16.068810705379875</x:v>
      </x:c>
      <x:c r="Y316" s="9" t="n">
        <x:f>IF(V316=1,R316*W316,"n.a.")</x:f>
        <x:v>110.52455197848049</x:v>
      </x:c>
      <x:c r="Z316" s="1" t="n">
        <x:f>IF(ISNUMBER(T316),R316-T316,"n.a.")</x:f>
        <x:v>0</x:v>
      </x:c>
      <x:c r="AA316" s="1" t="str">
        <x:f>'Inventory inputs'!R316</x:f>
        <x:v>Classified</x:v>
      </x:c>
      <x:c r="AB316" s="1" t="n">
        <x:f>IF(L316=1,SUMIFS('Incoming POs'!$P$2:$P$305,'Incoming POs'!$A$2:$A$305,A316,'Incoming POs'!$B$2:$B$305,B316,'Incoming POs'!$C$2:$C$305,C316,'Incoming POs'!$G$2:$G$305,"&gt;="&amp;D316,'Incoming POs'!$G$2:$G$305,"&lt;"&amp;Dashboard!$I$5,'Incoming POs'!$Q$2:$Q$305,"&lt;="&amp;('Inventory inputs'!P316/'Inventory inputs'!J316*1.01)),"n.a.")</x:f>
        <x:v>0</x:v>
      </x:c>
      <x:c r="AC316" s="9" t="n">
        <x:f>I316*G316</x:f>
        <x:v>100</x:v>
      </x:c>
      <x:c r="AD316" s="9" t="n">
        <x:f>J316*G316</x:f>
        <x:v>0</x:v>
      </x:c>
      <x:c r="AE316" s="9" t="n">
        <x:f>K316*G316</x:f>
        <x:v>0</x:v>
      </x:c>
      <x:c r="AF316" s="9" t="n">
        <x:f>R316*G316</x:f>
        <x:v>94.45574127310061</x:v>
      </x:c>
    </x:row>
    <x:row r="317" ht="21" customHeight="1">
      <x:c r="A317" s="1" t="str">
        <x:f>'Inventory inputs'!A317</x:f>
        <x:v>PLAS</x:v>
      </x:c>
      <x:c r="B317" s="1" t="str">
        <x:f>'Inventory inputs'!B317</x:f>
        <x:v>10</x:v>
      </x:c>
      <x:c r="C317" s="1" t="str">
        <x:f>'Inventory inputs'!C317</x:f>
        <x:v>01215RWBMAR</x:v>
      </x:c>
      <x:c r="D317" s="7" t="n">
        <x:f>'Inventory inputs'!E317</x:f>
        <x:v>46303</x:v>
      </x:c>
      <x:c r="E317" s="1" t="n">
        <x:f>'Inventory inputs'!F317</x:f>
        <x:v>4160</x:v>
      </x:c>
      <x:c r="F317" s="1" t="n">
        <x:f>'Inventory inputs'!G317</x:f>
        <x:v>166.67</x:v>
      </x:c>
      <x:c r="G317" s="1" t="n">
        <x:f>'Inventory inputs'!H317/'Inventory inputs'!J317</x:f>
        <x:v>0.0209</x:v>
      </x:c>
      <x:c r="H317" s="1" t="n">
        <x:f>IF('Inventory inputs'!I317&gt;0,'Inventory inputs'!I317*'Inventory inputs'!K317/'Inventory inputs'!J317,"n.a.")</x:f>
        <x:v>0.029253</x:v>
      </x:c>
      <x:c r="I317" s="1" t="n">
        <x:f>'Inventory inputs'!L317</x:f>
        <x:v>0</x:v>
      </x:c>
      <x:c r="J317" s="1" t="n">
        <x:f>'Inventory inputs'!M317</x:f>
        <x:v>0</x:v>
      </x:c>
      <x:c r="K317" s="1" t="n">
        <x:f>'Inventory inputs'!N317</x:f>
        <x:v>4160</x:v>
      </x:c>
      <x:c r="L317" s="1" t="n">
        <x:f>'Inventory inputs'!O317</x:f>
        <x:v>0</x:v>
      </x:c>
      <x:c r="M317" s="9" t="n">
        <x:f>E317*G317</x:f>
        <x:v>86.94399999999999</x:v>
      </x:c>
      <x:c r="N317" s="9" t="n">
        <x:f>'Inventory inputs'!Q317</x:f>
        <x:v>86.944</x:v>
      </x:c>
      <x:c r="O317" s="9" t="n">
        <x:f>N317-M317</x:f>
        <x:v>1.4210854715202004e-14</x:v>
      </x:c>
      <x:c r="P317" s="1" t="n">
        <x:f>SUMIFS('Incoming POs'!$P$2:$P$305,'Incoming POs'!$A$2:$A$305,A317,'Incoming POs'!$B$2:$B$305,B317,'Incoming POs'!$C$2:$C$305,C317,'Incoming POs'!$G$2:$G$305,"&gt;="&amp;D317,'Incoming POs'!$G$2:$G$305,"&lt;"&amp;Dashboard!$I$5)</x:f>
        <x:v>0</x:v>
      </x:c>
      <x:c r="Q317" s="1" t="n">
        <x:f>F317*Dashboard!$L$5*MAX(0,Dashboard!$I$5-D317)/30.4375</x:f>
        <x:v>221.77034907597536</x:v>
      </x:c>
      <x:c r="R317" s="1" t="n">
        <x:f>MAX(0,E317+P317-Q317)</x:f>
        <x:v>3938.2296509240246</x:v>
      </x:c>
      <x:c r="S317" s="1" t="n">
        <x:f>MAX(0,Q317-E317-P317)</x:f>
        <x:v>0</x:v>
      </x:c>
      <x:c r="T317" s="1" t="str">
        <x:f>IF(L317=1,MAX(0,I317+AB317-MIN(Q317,E317+P317)),"n.a.")</x:f>
        <x:v>n.a.</x:v>
      </x:c>
      <x:c r="U317" s="9" t="str">
        <x:f>IF(ISNUMBER(T317),T317*G317,"n.a.")</x:f>
        <x:v>n.a.</x:v>
      </x:c>
      <x:c r="V317" s="25" t="n">
        <x:f>IF(Dashboard!$I$6="Flat %",1,IF(ISNUMBER(H317),1,0))</x:f>
        <x:v>1</x:v>
      </x:c>
      <x:c r="W317" s="9" t="n">
        <x:f>IF(Dashboard!$I$6="Flat %",G317*(1+Dashboard!$L$6),H317)</x:f>
        <x:v>0.029253</x:v>
      </x:c>
      <x:c r="X317" s="9" t="n">
        <x:f>IF(V317=1,R317*(W317-G317),"n.a.")</x:f>
        <x:v>32.89603227416839</x:v>
      </x:c>
      <x:c r="Y317" s="9" t="n">
        <x:f>IF(V317=1,R317*W317,"n.a.")</x:f>
        <x:v>115.20503197848049</x:v>
      </x:c>
      <x:c r="Z317" s="1" t="str">
        <x:f>IF(ISNUMBER(T317),R317-T317,"n.a.")</x:f>
        <x:v>n.a.</x:v>
      </x:c>
      <x:c r="AA317" s="1" t="str">
        <x:f>'Inventory inputs'!R317</x:f>
        <x:v>Review receipt reconciliation or original PO baseline</x:v>
      </x:c>
      <x:c r="AB317" s="1" t="str">
        <x:f>IF(L317=1,SUMIFS('Incoming POs'!$P$2:$P$305,'Incoming POs'!$A$2:$A$305,A317,'Incoming POs'!$B$2:$B$305,B317,'Incoming POs'!$C$2:$C$305,C317,'Incoming POs'!$G$2:$G$305,"&gt;="&amp;D317,'Incoming POs'!$G$2:$G$305,"&lt;"&amp;Dashboard!$I$5,'Incoming POs'!$Q$2:$Q$305,"&lt;="&amp;('Inventory inputs'!P317/'Inventory inputs'!J317*1.01)),"n.a.")</x:f>
        <x:v>n.a.</x:v>
      </x:c>
      <x:c r="AC317" s="9" t="n">
        <x:f>I317*G317</x:f>
        <x:v>0</x:v>
      </x:c>
      <x:c r="AD317" s="9" t="n">
        <x:f>J317*G317</x:f>
        <x:v>0</x:v>
      </x:c>
      <x:c r="AE317" s="9" t="n">
        <x:f>K317*G317</x:f>
        <x:v>86.94399999999999</x:v>
      </x:c>
      <x:c r="AF317" s="9" t="n">
        <x:f>R317*G317</x:f>
        <x:v>82.3089997043121</x:v>
      </x:c>
    </x:row>
    <x:row r="318" ht="21" customHeight="1">
      <x:c r="A318" s="1" t="str">
        <x:f>'Inventory inputs'!A318</x:f>
        <x:v>PLAS</x:v>
      </x:c>
      <x:c r="B318" s="1" t="str">
        <x:f>'Inventory inputs'!B318</x:f>
        <x:v>10</x:v>
      </x:c>
      <x:c r="C318" s="1" t="str">
        <x:f>'Inventory inputs'!C318</x:f>
        <x:v>03415RWBBLU</x:v>
      </x:c>
      <x:c r="D318" s="7" t="n">
        <x:f>'Inventory inputs'!E318</x:f>
        <x:v>46303</x:v>
      </x:c>
      <x:c r="E318" s="1" t="n">
        <x:f>'Inventory inputs'!F318</x:f>
        <x:v>7000</x:v>
      </x:c>
      <x:c r="F318" s="1" t="n">
        <x:f>'Inventory inputs'!G318</x:f>
        <x:v>166.67</x:v>
      </x:c>
      <x:c r="G318" s="1" t="n">
        <x:f>'Inventory inputs'!H318/'Inventory inputs'!J318</x:f>
        <x:v>0.044000000000000004</x:v>
      </x:c>
      <x:c r="H318" s="1" t="n">
        <x:f>IF('Inventory inputs'!I318&gt;0,'Inventory inputs'!I318*'Inventory inputs'!K318/'Inventory inputs'!J318,"n.a.")</x:f>
        <x:v>0.051449999999999996</x:v>
      </x:c>
      <x:c r="I318" s="1" t="n">
        <x:f>'Inventory inputs'!L318</x:f>
        <x:v>7000</x:v>
      </x:c>
      <x:c r="J318" s="1" t="n">
        <x:f>'Inventory inputs'!M318</x:f>
        <x:v>0</x:v>
      </x:c>
      <x:c r="K318" s="1" t="n">
        <x:f>'Inventory inputs'!N318</x:f>
        <x:v>0</x:v>
      </x:c>
      <x:c r="L318" s="1" t="n">
        <x:f>'Inventory inputs'!O318</x:f>
        <x:v>1</x:v>
      </x:c>
      <x:c r="M318" s="9" t="n">
        <x:f>E318*G318</x:f>
        <x:v>308.00000000000006</x:v>
      </x:c>
      <x:c r="N318" s="9" t="n">
        <x:f>'Inventory inputs'!Q318</x:f>
        <x:v>308.00000000000006</x:v>
      </x:c>
      <x:c r="O318" s="9" t="n">
        <x:f>N318-M318</x:f>
        <x:v>0</x:v>
      </x:c>
      <x:c r="P318" s="1" t="n">
        <x:f>SUMIFS('Incoming POs'!$P$2:$P$305,'Incoming POs'!$A$2:$A$305,A318,'Incoming POs'!$B$2:$B$305,B318,'Incoming POs'!$C$2:$C$305,C318,'Incoming POs'!$G$2:$G$305,"&gt;="&amp;D318,'Incoming POs'!$G$2:$G$305,"&lt;"&amp;Dashboard!$I$5)</x:f>
        <x:v>0</x:v>
      </x:c>
      <x:c r="Q318" s="1" t="n">
        <x:f>F318*Dashboard!$L$5*MAX(0,Dashboard!$I$5-D318)/30.4375</x:f>
        <x:v>221.77034907597536</x:v>
      </x:c>
      <x:c r="R318" s="1" t="n">
        <x:f>MAX(0,E318+P318-Q318)</x:f>
        <x:v>6778.229650924025</x:v>
      </x:c>
      <x:c r="S318" s="1" t="n">
        <x:f>MAX(0,Q318-E318-P318)</x:f>
        <x:v>0</x:v>
      </x:c>
      <x:c r="T318" s="1" t="n">
        <x:f>IF(L318=1,MAX(0,I318+AB318-MIN(Q318,E318+P318)),"n.a.")</x:f>
        <x:v>6778.229650924025</x:v>
      </x:c>
      <x:c r="U318" s="9" t="n">
        <x:f>IF(ISNUMBER(T318),T318*G318,"n.a.")</x:f>
        <x:v>298.24210464065715</x:v>
      </x:c>
      <x:c r="V318" s="25" t="n">
        <x:f>IF(Dashboard!$I$6="Flat %",1,IF(ISNUMBER(H318),1,0))</x:f>
        <x:v>1</x:v>
      </x:c>
      <x:c r="W318" s="9" t="n">
        <x:f>IF(Dashboard!$I$6="Flat %",G318*(1+Dashboard!$L$6),H318)</x:f>
        <x:v>0.051449999999999996</x:v>
      </x:c>
      <x:c r="X318" s="9" t="n">
        <x:f>IF(V318=1,R318*(W318-G318),"n.a.")</x:f>
        <x:v>50.49781089938393</x:v>
      </x:c>
      <x:c r="Y318" s="9" t="n">
        <x:f>IF(V318=1,R318*W318,"n.a.")</x:f>
        <x:v>348.73991554004107</x:v>
      </x:c>
      <x:c r="Z318" s="1" t="n">
        <x:f>IF(ISNUMBER(T318),R318-T318,"n.a.")</x:f>
        <x:v>0</x:v>
      </x:c>
      <x:c r="AA318" s="1" t="str">
        <x:f>'Inventory inputs'!R318</x:f>
        <x:v>Classified</x:v>
      </x:c>
      <x:c r="AB318" s="1" t="n">
        <x:f>IF(L318=1,SUMIFS('Incoming POs'!$P$2:$P$305,'Incoming POs'!$A$2:$A$305,A318,'Incoming POs'!$B$2:$B$305,B318,'Incoming POs'!$C$2:$C$305,C318,'Incoming POs'!$G$2:$G$305,"&gt;="&amp;D318,'Incoming POs'!$G$2:$G$305,"&lt;"&amp;Dashboard!$I$5,'Incoming POs'!$Q$2:$Q$305,"&lt;="&amp;('Inventory inputs'!P318/'Inventory inputs'!J318*1.01)),"n.a.")</x:f>
        <x:v>0</x:v>
      </x:c>
      <x:c r="AC318" s="9" t="n">
        <x:f>I318*G318</x:f>
        <x:v>308.00000000000006</x:v>
      </x:c>
      <x:c r="AD318" s="9" t="n">
        <x:f>J318*G318</x:f>
        <x:v>0</x:v>
      </x:c>
      <x:c r="AE318" s="9" t="n">
        <x:f>K318*G318</x:f>
        <x:v>0</x:v>
      </x:c>
      <x:c r="AF318" s="9" t="n">
        <x:f>R318*G318</x:f>
        <x:v>298.24210464065715</x:v>
      </x:c>
    </x:row>
    <x:row r="319" ht="21" customHeight="1">
      <x:c r="A319" s="1" t="str">
        <x:f>'Inventory inputs'!A319</x:f>
        <x:v>PLAS</x:v>
      </x:c>
      <x:c r="B319" s="1" t="str">
        <x:f>'Inventory inputs'!B319</x:f>
        <x:v>10</x:v>
      </x:c>
      <x:c r="C319" s="1" t="str">
        <x:f>'Inventory inputs'!C319</x:f>
        <x:v>03415RWBNAV</x:v>
      </x:c>
      <x:c r="D319" s="7" t="n">
        <x:f>'Inventory inputs'!E319</x:f>
        <x:v>46303</x:v>
      </x:c>
      <x:c r="E319" s="1" t="n">
        <x:f>'Inventory inputs'!F319</x:f>
        <x:v>7400</x:v>
      </x:c>
      <x:c r="F319" s="1" t="n">
        <x:f>'Inventory inputs'!G319</x:f>
        <x:v>166.67</x:v>
      </x:c>
      <x:c r="G319" s="1" t="n">
        <x:f>'Inventory inputs'!H319/'Inventory inputs'!J319</x:f>
        <x:v>0.044000000000000004</x:v>
      </x:c>
      <x:c r="H319" s="1" t="n">
        <x:f>IF('Inventory inputs'!I319&gt;0,'Inventory inputs'!I319*'Inventory inputs'!K319/'Inventory inputs'!J319,"n.a.")</x:f>
        <x:v>0.051449999999999996</x:v>
      </x:c>
      <x:c r="I319" s="1" t="n">
        <x:f>'Inventory inputs'!L319</x:f>
        <x:v>0</x:v>
      </x:c>
      <x:c r="J319" s="1" t="n">
        <x:f>'Inventory inputs'!M319</x:f>
        <x:v>0</x:v>
      </x:c>
      <x:c r="K319" s="1" t="n">
        <x:f>'Inventory inputs'!N319</x:f>
        <x:v>7400</x:v>
      </x:c>
      <x:c r="L319" s="1" t="n">
        <x:f>'Inventory inputs'!O319</x:f>
        <x:v>0</x:v>
      </x:c>
      <x:c r="M319" s="9" t="n">
        <x:f>E319*G319</x:f>
        <x:v>325.6</x:v>
      </x:c>
      <x:c r="N319" s="9" t="n">
        <x:f>'Inventory inputs'!Q319</x:f>
        <x:v>325.6</x:v>
      </x:c>
      <x:c r="O319" s="9" t="n">
        <x:f>N319-M319</x:f>
        <x:v>0</x:v>
      </x:c>
      <x:c r="P319" s="1" t="n">
        <x:f>SUMIFS('Incoming POs'!$P$2:$P$305,'Incoming POs'!$A$2:$A$305,A319,'Incoming POs'!$B$2:$B$305,B319,'Incoming POs'!$C$2:$C$305,C319,'Incoming POs'!$G$2:$G$305,"&gt;="&amp;D319,'Incoming POs'!$G$2:$G$305,"&lt;"&amp;Dashboard!$I$5)</x:f>
        <x:v>0</x:v>
      </x:c>
      <x:c r="Q319" s="1" t="n">
        <x:f>F319*Dashboard!$L$5*MAX(0,Dashboard!$I$5-D319)/30.4375</x:f>
        <x:v>221.77034907597536</x:v>
      </x:c>
      <x:c r="R319" s="1" t="n">
        <x:f>MAX(0,E319+P319-Q319)</x:f>
        <x:v>7178.229650924025</x:v>
      </x:c>
      <x:c r="S319" s="1" t="n">
        <x:f>MAX(0,Q319-E319-P319)</x:f>
        <x:v>0</x:v>
      </x:c>
      <x:c r="T319" s="1" t="str">
        <x:f>IF(L319=1,MAX(0,I319+AB319-MIN(Q319,E319+P319)),"n.a.")</x:f>
        <x:v>n.a.</x:v>
      </x:c>
      <x:c r="U319" s="9" t="str">
        <x:f>IF(ISNUMBER(T319),T319*G319,"n.a.")</x:f>
        <x:v>n.a.</x:v>
      </x:c>
      <x:c r="V319" s="25" t="n">
        <x:f>IF(Dashboard!$I$6="Flat %",1,IF(ISNUMBER(H319),1,0))</x:f>
        <x:v>1</x:v>
      </x:c>
      <x:c r="W319" s="9" t="n">
        <x:f>IF(Dashboard!$I$6="Flat %",G319*(1+Dashboard!$L$6),H319)</x:f>
        <x:v>0.051449999999999996</x:v>
      </x:c>
      <x:c r="X319" s="9" t="n">
        <x:f>IF(V319=1,R319*(W319-G319),"n.a.")</x:f>
        <x:v>53.477810899383925</x:v>
      </x:c>
      <x:c r="Y319" s="9" t="n">
        <x:f>IF(V319=1,R319*W319,"n.a.")</x:f>
        <x:v>369.31991554004105</x:v>
      </x:c>
      <x:c r="Z319" s="1" t="str">
        <x:f>IF(ISNUMBER(T319),R319-T319,"n.a.")</x:f>
        <x:v>n.a.</x:v>
      </x:c>
      <x:c r="AA319" s="1" t="str">
        <x:f>'Inventory inputs'!R319</x:f>
        <x:v>Review receipt reconciliation or original PO baseline</x:v>
      </x:c>
      <x:c r="AB319" s="1" t="str">
        <x:f>IF(L319=1,SUMIFS('Incoming POs'!$P$2:$P$305,'Incoming POs'!$A$2:$A$305,A319,'Incoming POs'!$B$2:$B$305,B319,'Incoming POs'!$C$2:$C$305,C319,'Incoming POs'!$G$2:$G$305,"&gt;="&amp;D319,'Incoming POs'!$G$2:$G$305,"&lt;"&amp;Dashboard!$I$5,'Incoming POs'!$Q$2:$Q$305,"&lt;="&amp;('Inventory inputs'!P319/'Inventory inputs'!J319*1.01)),"n.a.")</x:f>
        <x:v>n.a.</x:v>
      </x:c>
      <x:c r="AC319" s="9" t="n">
        <x:f>I319*G319</x:f>
        <x:v>0</x:v>
      </x:c>
      <x:c r="AD319" s="9" t="n">
        <x:f>J319*G319</x:f>
        <x:v>0</x:v>
      </x:c>
      <x:c r="AE319" s="9" t="n">
        <x:f>K319*G319</x:f>
        <x:v>325.6</x:v>
      </x:c>
      <x:c r="AF319" s="9" t="n">
        <x:f>R319*G319</x:f>
        <x:v>315.8421046406571</x:v>
      </x:c>
    </x:row>
    <x:row r="320" ht="21" customHeight="1">
      <x:c r="A320" s="1" t="str">
        <x:f>'Inventory inputs'!A320</x:f>
        <x:v>PLAS</x:v>
      </x:c>
      <x:c r="B320" s="1" t="str">
        <x:f>'Inventory inputs'!B320</x:f>
        <x:v>10</x:v>
      </x:c>
      <x:c r="C320" s="1" t="str">
        <x:f>'Inventory inputs'!C320</x:f>
        <x:v>07815ROVBLK</x:v>
      </x:c>
      <x:c r="D320" s="7" t="n">
        <x:f>'Inventory inputs'!E320</x:f>
        <x:v>46303</x:v>
      </x:c>
      <x:c r="E320" s="1" t="n">
        <x:f>'Inventory inputs'!F320</x:f>
        <x:v>3000</x:v>
      </x:c>
      <x:c r="F320" s="1" t="n">
        <x:f>'Inventory inputs'!G320</x:f>
        <x:v>166.67</x:v>
      </x:c>
      <x:c r="G320" s="1" t="n">
        <x:f>'Inventory inputs'!H320/'Inventory inputs'!J320</x:f>
        <x:v>0.0664</x:v>
      </x:c>
      <x:c r="H320" s="1" t="n">
        <x:f>IF('Inventory inputs'!I320&gt;0,'Inventory inputs'!I320*'Inventory inputs'!K320/'Inventory inputs'!J320,"n.a.")</x:f>
        <x:v>0.077763</x:v>
      </x:c>
      <x:c r="I320" s="1" t="n">
        <x:f>'Inventory inputs'!L320</x:f>
        <x:v>3000</x:v>
      </x:c>
      <x:c r="J320" s="1" t="n">
        <x:f>'Inventory inputs'!M320</x:f>
        <x:v>0</x:v>
      </x:c>
      <x:c r="K320" s="1" t="n">
        <x:f>'Inventory inputs'!N320</x:f>
        <x:v>0</x:v>
      </x:c>
      <x:c r="L320" s="1" t="n">
        <x:f>'Inventory inputs'!O320</x:f>
        <x:v>1</x:v>
      </x:c>
      <x:c r="M320" s="9" t="n">
        <x:f>E320*G320</x:f>
        <x:v>199.2</x:v>
      </x:c>
      <x:c r="N320" s="9" t="n">
        <x:f>'Inventory inputs'!Q320</x:f>
        <x:v>199.20000000000002</x:v>
      </x:c>
      <x:c r="O320" s="9" t="n">
        <x:f>N320-M320</x:f>
        <x:v>2.842170943040401e-14</x:v>
      </x:c>
      <x:c r="P320" s="1" t="n">
        <x:f>SUMIFS('Incoming POs'!$P$2:$P$305,'Incoming POs'!$A$2:$A$305,A320,'Incoming POs'!$B$2:$B$305,B320,'Incoming POs'!$C$2:$C$305,C320,'Incoming POs'!$G$2:$G$305,"&gt;="&amp;D320,'Incoming POs'!$G$2:$G$305,"&lt;"&amp;Dashboard!$I$5)</x:f>
        <x:v>0</x:v>
      </x:c>
      <x:c r="Q320" s="1" t="n">
        <x:f>F320*Dashboard!$L$5*MAX(0,Dashboard!$I$5-D320)/30.4375</x:f>
        <x:v>221.77034907597536</x:v>
      </x:c>
      <x:c r="R320" s="1" t="n">
        <x:f>MAX(0,E320+P320-Q320)</x:f>
        <x:v>2778.2296509240246</x:v>
      </x:c>
      <x:c r="S320" s="1" t="n">
        <x:f>MAX(0,Q320-E320-P320)</x:f>
        <x:v>0</x:v>
      </x:c>
      <x:c r="T320" s="1" t="n">
        <x:f>IF(L320=1,MAX(0,I320+AB320-MIN(Q320,E320+P320)),"n.a.")</x:f>
        <x:v>2778.2296509240246</x:v>
      </x:c>
      <x:c r="U320" s="9" t="n">
        <x:f>IF(ISNUMBER(T320),T320*G320,"n.a.")</x:f>
        <x:v>184.47444882135522</x:v>
      </x:c>
      <x:c r="V320" s="25" t="n">
        <x:f>IF(Dashboard!$I$6="Flat %",1,IF(ISNUMBER(H320),1,0))</x:f>
        <x:v>1</x:v>
      </x:c>
      <x:c r="W320" s="9" t="n">
        <x:f>IF(Dashboard!$I$6="Flat %",G320*(1+Dashboard!$L$6),H320)</x:f>
        <x:v>0.077763</x:v>
      </x:c>
      <x:c r="X320" s="9" t="n">
        <x:f>IF(V320=1,R320*(W320-G320),"n.a.")</x:f>
        <x:v>31.569023523449687</x:v>
      </x:c>
      <x:c r="Y320" s="9" t="n">
        <x:f>IF(V320=1,R320*W320,"n.a.")</x:f>
        <x:v>216.0434723448049</x:v>
      </x:c>
      <x:c r="Z320" s="1" t="n">
        <x:f>IF(ISNUMBER(T320),R320-T320,"n.a.")</x:f>
        <x:v>0</x:v>
      </x:c>
      <x:c r="AA320" s="1" t="str">
        <x:f>'Inventory inputs'!R320</x:f>
        <x:v>Classified</x:v>
      </x:c>
      <x:c r="AB320" s="1" t="n">
        <x:f>IF(L320=1,SUMIFS('Incoming POs'!$P$2:$P$305,'Incoming POs'!$A$2:$A$305,A320,'Incoming POs'!$B$2:$B$305,B320,'Incoming POs'!$C$2:$C$305,C320,'Incoming POs'!$G$2:$G$305,"&gt;="&amp;D320,'Incoming POs'!$G$2:$G$305,"&lt;"&amp;Dashboard!$I$5,'Incoming POs'!$Q$2:$Q$305,"&lt;="&amp;('Inventory inputs'!P320/'Inventory inputs'!J320*1.01)),"n.a.")</x:f>
        <x:v>0</x:v>
      </x:c>
      <x:c r="AC320" s="9" t="n">
        <x:f>I320*G320</x:f>
        <x:v>199.2</x:v>
      </x:c>
      <x:c r="AD320" s="9" t="n">
        <x:f>J320*G320</x:f>
        <x:v>0</x:v>
      </x:c>
      <x:c r="AE320" s="9" t="n">
        <x:f>K320*G320</x:f>
        <x:v>0</x:v>
      </x:c>
      <x:c r="AF320" s="9" t="n">
        <x:f>R320*G320</x:f>
        <x:v>184.47444882135522</x:v>
      </x:c>
    </x:row>
    <x:row r="321" ht="21" customHeight="1">
      <x:c r="A321" s="1" t="str">
        <x:f>'Inventory inputs'!A321</x:f>
        <x:v>PLAS</x:v>
      </x:c>
      <x:c r="B321" s="1" t="str">
        <x:f>'Inventory inputs'!B321</x:f>
        <x:v>10</x:v>
      </x:c>
      <x:c r="C321" s="1" t="str">
        <x:f>'Inventory inputs'!C321</x:f>
        <x:v>07815RWBBRN</x:v>
      </x:c>
      <x:c r="D321" s="7" t="n">
        <x:f>'Inventory inputs'!E321</x:f>
        <x:v>46303</x:v>
      </x:c>
      <x:c r="E321" s="1" t="n">
        <x:f>'Inventory inputs'!F321</x:f>
        <x:v>2000</x:v>
      </x:c>
      <x:c r="F321" s="1" t="n">
        <x:f>'Inventory inputs'!G321</x:f>
        <x:v>166.67</x:v>
      </x:c>
      <x:c r="G321" s="1" t="n">
        <x:f>'Inventory inputs'!H321/'Inventory inputs'!J321</x:f>
        <x:v>0.0538</x:v>
      </x:c>
      <x:c r="H321" s="1" t="n">
        <x:f>IF('Inventory inputs'!I321&gt;0,'Inventory inputs'!I321*'Inventory inputs'!K321/'Inventory inputs'!J321,"n.a.")</x:f>
        <x:v>0.062916</x:v>
      </x:c>
      <x:c r="I321" s="1" t="n">
        <x:f>'Inventory inputs'!L321</x:f>
        <x:v>2000</x:v>
      </x:c>
      <x:c r="J321" s="1" t="n">
        <x:f>'Inventory inputs'!M321</x:f>
        <x:v>0</x:v>
      </x:c>
      <x:c r="K321" s="1" t="n">
        <x:f>'Inventory inputs'!N321</x:f>
        <x:v>0</x:v>
      </x:c>
      <x:c r="L321" s="1" t="n">
        <x:f>'Inventory inputs'!O321</x:f>
        <x:v>1</x:v>
      </x:c>
      <x:c r="M321" s="9" t="n">
        <x:f>E321*G321</x:f>
        <x:v>107.6</x:v>
      </x:c>
      <x:c r="N321" s="9" t="n">
        <x:f>'Inventory inputs'!Q321</x:f>
        <x:v>107.60000000000001</x:v>
      </x:c>
      <x:c r="O321" s="9" t="n">
        <x:f>N321-M321</x:f>
        <x:v>1.4210854715202004e-14</x:v>
      </x:c>
      <x:c r="P321" s="1" t="n">
        <x:f>SUMIFS('Incoming POs'!$P$2:$P$305,'Incoming POs'!$A$2:$A$305,A321,'Incoming POs'!$B$2:$B$305,B321,'Incoming POs'!$C$2:$C$305,C321,'Incoming POs'!$G$2:$G$305,"&gt;="&amp;D321,'Incoming POs'!$G$2:$G$305,"&lt;"&amp;Dashboard!$I$5)</x:f>
        <x:v>0</x:v>
      </x:c>
      <x:c r="Q321" s="1" t="n">
        <x:f>F321*Dashboard!$L$5*MAX(0,Dashboard!$I$5-D321)/30.4375</x:f>
        <x:v>221.77034907597536</x:v>
      </x:c>
      <x:c r="R321" s="1" t="n">
        <x:f>MAX(0,E321+P321-Q321)</x:f>
        <x:v>1778.2296509240246</x:v>
      </x:c>
      <x:c r="S321" s="1" t="n">
        <x:f>MAX(0,Q321-E321-P321)</x:f>
        <x:v>0</x:v>
      </x:c>
      <x:c r="T321" s="1" t="n">
        <x:f>IF(L321=1,MAX(0,I321+AB321-MIN(Q321,E321+P321)),"n.a.")</x:f>
        <x:v>1778.2296509240246</x:v>
      </x:c>
      <x:c r="U321" s="9" t="n">
        <x:f>IF(ISNUMBER(T321),T321*G321,"n.a.")</x:f>
        <x:v>95.66875521971252</x:v>
      </x:c>
      <x:c r="V321" s="25" t="n">
        <x:f>IF(Dashboard!$I$6="Flat %",1,IF(ISNUMBER(H321),1,0))</x:f>
        <x:v>1</x:v>
      </x:c>
      <x:c r="W321" s="9" t="n">
        <x:f>IF(Dashboard!$I$6="Flat %",G321*(1+Dashboard!$L$6),H321)</x:f>
        <x:v>0.062916</x:v>
      </x:c>
      <x:c r="X321" s="9" t="n">
        <x:f>IF(V321=1,R321*(W321-G321),"n.a.")</x:f>
        <x:v>16.210341497823407</x:v>
      </x:c>
      <x:c r="Y321" s="9" t="n">
        <x:f>IF(V321=1,R321*W321,"n.a.")</x:f>
        <x:v>111.87909671753593</x:v>
      </x:c>
      <x:c r="Z321" s="1" t="n">
        <x:f>IF(ISNUMBER(T321),R321-T321,"n.a.")</x:f>
        <x:v>0</x:v>
      </x:c>
      <x:c r="AA321" s="1" t="str">
        <x:f>'Inventory inputs'!R321</x:f>
        <x:v>Classified</x:v>
      </x:c>
      <x:c r="AB321" s="1" t="n">
        <x:f>IF(L321=1,SUMIFS('Incoming POs'!$P$2:$P$305,'Incoming POs'!$A$2:$A$305,A321,'Incoming POs'!$B$2:$B$305,B321,'Incoming POs'!$C$2:$C$305,C321,'Incoming POs'!$G$2:$G$305,"&gt;="&amp;D321,'Incoming POs'!$G$2:$G$305,"&lt;"&amp;Dashboard!$I$5,'Incoming POs'!$Q$2:$Q$305,"&lt;="&amp;('Inventory inputs'!P321/'Inventory inputs'!J321*1.01)),"n.a.")</x:f>
        <x:v>0</x:v>
      </x:c>
      <x:c r="AC321" s="9" t="n">
        <x:f>I321*G321</x:f>
        <x:v>107.6</x:v>
      </x:c>
      <x:c r="AD321" s="9" t="n">
        <x:f>J321*G321</x:f>
        <x:v>0</x:v>
      </x:c>
      <x:c r="AE321" s="9" t="n">
        <x:f>K321*G321</x:f>
        <x:v>0</x:v>
      </x:c>
      <x:c r="AF321" s="9" t="n">
        <x:f>R321*G321</x:f>
        <x:v>95.66875521971252</x:v>
      </x:c>
    </x:row>
    <x:row r="322" ht="21" customHeight="1">
      <x:c r="A322" s="1" t="str">
        <x:f>'Inventory inputs'!A322</x:f>
        <x:v>PLAS</x:v>
      </x:c>
      <x:c r="B322" s="1" t="str">
        <x:f>'Inventory inputs'!B322</x:f>
        <x:v>10</x:v>
      </x:c>
      <x:c r="C322" s="1" t="str">
        <x:f>'Inventory inputs'!C322</x:f>
        <x:v>07819RWBFG</x:v>
      </x:c>
      <x:c r="D322" s="7" t="n">
        <x:f>'Inventory inputs'!E322</x:f>
        <x:v>46303</x:v>
      </x:c>
      <x:c r="E322" s="1" t="n">
        <x:f>'Inventory inputs'!F322</x:f>
        <x:v>600</x:v>
      </x:c>
      <x:c r="F322" s="1" t="n">
        <x:f>'Inventory inputs'!G322</x:f>
        <x:v>166.67</x:v>
      </x:c>
      <x:c r="G322" s="1" t="n">
        <x:f>'Inventory inputs'!H322/'Inventory inputs'!J322</x:f>
        <x:v>0.0797</x:v>
      </x:c>
      <x:c r="H322" s="1" t="n">
        <x:f>IF('Inventory inputs'!I322&gt;0,'Inventory inputs'!I322*'Inventory inputs'!K322/'Inventory inputs'!J322,"n.a.")</x:f>
        <x:v>0.09319799999999999</x:v>
      </x:c>
      <x:c r="I322" s="1" t="n">
        <x:f>'Inventory inputs'!L322</x:f>
        <x:v>600</x:v>
      </x:c>
      <x:c r="J322" s="1" t="n">
        <x:f>'Inventory inputs'!M322</x:f>
        <x:v>0</x:v>
      </x:c>
      <x:c r="K322" s="1" t="n">
        <x:f>'Inventory inputs'!N322</x:f>
        <x:v>0</x:v>
      </x:c>
      <x:c r="L322" s="1" t="n">
        <x:f>'Inventory inputs'!O322</x:f>
        <x:v>1</x:v>
      </x:c>
      <x:c r="M322" s="9" t="n">
        <x:f>E322*G322</x:f>
        <x:v>47.81999999999999</x:v>
      </x:c>
      <x:c r="N322" s="9" t="n">
        <x:f>'Inventory inputs'!Q322</x:f>
        <x:v>47.82</x:v>
      </x:c>
      <x:c r="O322" s="9" t="n">
        <x:f>N322-M322</x:f>
        <x:v>7.105427357601002e-15</x:v>
      </x:c>
      <x:c r="P322" s="1" t="n">
        <x:f>SUMIFS('Incoming POs'!$P$2:$P$305,'Incoming POs'!$A$2:$A$305,A322,'Incoming POs'!$B$2:$B$305,B322,'Incoming POs'!$C$2:$C$305,C322,'Incoming POs'!$G$2:$G$305,"&gt;="&amp;D322,'Incoming POs'!$G$2:$G$305,"&lt;"&amp;Dashboard!$I$5)</x:f>
        <x:v>2000</x:v>
      </x:c>
      <x:c r="Q322" s="1" t="n">
        <x:f>F322*Dashboard!$L$5*MAX(0,Dashboard!$I$5-D322)/30.4375</x:f>
        <x:v>221.77034907597536</x:v>
      </x:c>
      <x:c r="R322" s="1" t="n">
        <x:f>MAX(0,E322+P322-Q322)</x:f>
        <x:v>2378.2296509240246</x:v>
      </x:c>
      <x:c r="S322" s="1" t="n">
        <x:f>MAX(0,Q322-E322-P322)</x:f>
        <x:v>0</x:v>
      </x:c>
      <x:c r="T322" s="1" t="n">
        <x:f>IF(L322=1,MAX(0,I322+AB322-MIN(Q322,E322+P322)),"n.a.")</x:f>
        <x:v>378.22965092402467</x:v>
      </x:c>
      <x:c r="U322" s="9" t="n">
        <x:f>IF(ISNUMBER(T322),T322*G322,"n.a.")</x:f>
        <x:v>30.144903178644764</x:v>
      </x:c>
      <x:c r="V322" s="25" t="n">
        <x:f>IF(Dashboard!$I$6="Flat %",1,IF(ISNUMBER(H322),1,0))</x:f>
        <x:v>1</x:v>
      </x:c>
      <x:c r="W322" s="9" t="n">
        <x:f>IF(Dashboard!$I$6="Flat %",G322*(1+Dashboard!$L$6),H322)</x:f>
        <x:v>0.09319799999999999</x:v>
      </x:c>
      <x:c r="X322" s="9" t="n">
        <x:f>IF(V322=1,R322*(W322-G322),"n.a.")</x:f>
        <x:v>32.101343828172475</x:v>
      </x:c>
      <x:c r="Y322" s="9" t="n">
        <x:f>IF(V322=1,R322*W322,"n.a.")</x:f>
        <x:v>221.64624700681722</x:v>
      </x:c>
      <x:c r="Z322" s="1" t="n">
        <x:f>IF(ISNUMBER(T322),R322-T322,"n.a.")</x:f>
        <x:v>2000</x:v>
      </x:c>
      <x:c r="AA322" s="1" t="str">
        <x:f>'Inventory inputs'!R322</x:f>
        <x:v>Classified</x:v>
      </x:c>
      <x:c r="AB322" s="1" t="n">
        <x:f>IF(L322=1,SUMIFS('Incoming POs'!$P$2:$P$305,'Incoming POs'!$A$2:$A$305,A322,'Incoming POs'!$B$2:$B$305,B322,'Incoming POs'!$C$2:$C$305,C322,'Incoming POs'!$G$2:$G$305,"&gt;="&amp;D322,'Incoming POs'!$G$2:$G$305,"&lt;"&amp;Dashboard!$I$5,'Incoming POs'!$Q$2:$Q$305,"&lt;="&amp;('Inventory inputs'!P322/'Inventory inputs'!J322*1.01)),"n.a.")</x:f>
        <x:v>0</x:v>
      </x:c>
      <x:c r="AC322" s="9" t="n">
        <x:f>I322*G322</x:f>
        <x:v>47.81999999999999</x:v>
      </x:c>
      <x:c r="AD322" s="9" t="n">
        <x:f>J322*G322</x:f>
        <x:v>0</x:v>
      </x:c>
      <x:c r="AE322" s="9" t="n">
        <x:f>K322*G322</x:f>
        <x:v>0</x:v>
      </x:c>
      <x:c r="AF322" s="9" t="n">
        <x:f>R322*G322</x:f>
        <x:v>189.54490317864474</x:v>
      </x:c>
    </x:row>
    <x:row r="323" ht="21" customHeight="1">
      <x:c r="A323" s="1" t="str">
        <x:f>'Inventory inputs'!A323</x:f>
        <x:v>PLAS</x:v>
      </x:c>
      <x:c r="B323" s="1" t="str">
        <x:f>'Inventory inputs'!B323</x:f>
        <x:v>10</x:v>
      </x:c>
      <x:c r="C323" s="1" t="str">
        <x:f>'Inventory inputs'!C323</x:f>
        <x:v>11215ROVNAV</x:v>
      </x:c>
      <x:c r="D323" s="7" t="n">
        <x:f>'Inventory inputs'!E323</x:f>
        <x:v>46303</x:v>
      </x:c>
      <x:c r="E323" s="1" t="n">
        <x:f>'Inventory inputs'!F323</x:f>
        <x:v>2000</x:v>
      </x:c>
      <x:c r="F323" s="1" t="n">
        <x:f>'Inventory inputs'!G323</x:f>
        <x:v>166.67</x:v>
      </x:c>
      <x:c r="G323" s="1" t="n">
        <x:f>'Inventory inputs'!H323/'Inventory inputs'!J323</x:f>
        <x:v>0.0928</x:v>
      </x:c>
      <x:c r="H323" s="1" t="n">
        <x:f>IF('Inventory inputs'!I323&gt;0,'Inventory inputs'!I323*'Inventory inputs'!K323/'Inventory inputs'!J323,"n.a.")</x:f>
        <x:v>0.108486</x:v>
      </x:c>
      <x:c r="I323" s="1" t="n">
        <x:f>'Inventory inputs'!L323</x:f>
        <x:v>1000</x:v>
      </x:c>
      <x:c r="J323" s="1" t="n">
        <x:f>'Inventory inputs'!M323</x:f>
        <x:v>1000</x:v>
      </x:c>
      <x:c r="K323" s="1" t="n">
        <x:f>'Inventory inputs'!N323</x:f>
        <x:v>0</x:v>
      </x:c>
      <x:c r="L323" s="1" t="n">
        <x:f>'Inventory inputs'!O323</x:f>
        <x:v>1</x:v>
      </x:c>
      <x:c r="M323" s="9" t="n">
        <x:f>E323*G323</x:f>
        <x:v>185.6</x:v>
      </x:c>
      <x:c r="N323" s="9" t="n">
        <x:f>'Inventory inputs'!Q323</x:f>
        <x:v>185.6</x:v>
      </x:c>
      <x:c r="O323" s="9" t="n">
        <x:f>N323-M323</x:f>
        <x:v>0</x:v>
      </x:c>
      <x:c r="P323" s="1" t="n">
        <x:f>SUMIFS('Incoming POs'!$P$2:$P$305,'Incoming POs'!$A$2:$A$305,A323,'Incoming POs'!$B$2:$B$305,B323,'Incoming POs'!$C$2:$C$305,C323,'Incoming POs'!$G$2:$G$305,"&gt;="&amp;D323,'Incoming POs'!$G$2:$G$305,"&lt;"&amp;Dashboard!$I$5)</x:f>
        <x:v>0</x:v>
      </x:c>
      <x:c r="Q323" s="1" t="n">
        <x:f>F323*Dashboard!$L$5*MAX(0,Dashboard!$I$5-D323)/30.4375</x:f>
        <x:v>221.77034907597536</x:v>
      </x:c>
      <x:c r="R323" s="1" t="n">
        <x:f>MAX(0,E323+P323-Q323)</x:f>
        <x:v>1778.2296509240246</x:v>
      </x:c>
      <x:c r="S323" s="1" t="n">
        <x:f>MAX(0,Q323-E323-P323)</x:f>
        <x:v>0</x:v>
      </x:c>
      <x:c r="T323" s="1" t="n">
        <x:f>IF(L323=1,MAX(0,I323+AB323-MIN(Q323,E323+P323)),"n.a.")</x:f>
        <x:v>778.2296509240247</x:v>
      </x:c>
      <x:c r="U323" s="9" t="n">
        <x:f>IF(ISNUMBER(T323),T323*G323,"n.a.")</x:f>
        <x:v>72.21971160574948</x:v>
      </x:c>
      <x:c r="V323" s="25" t="n">
        <x:f>IF(Dashboard!$I$6="Flat %",1,IF(ISNUMBER(H323),1,0))</x:f>
        <x:v>1</x:v>
      </x:c>
      <x:c r="W323" s="9" t="n">
        <x:f>IF(Dashboard!$I$6="Flat %",G323*(1+Dashboard!$L$6),H323)</x:f>
        <x:v>0.108486</x:v>
      </x:c>
      <x:c r="X323" s="9" t="n">
        <x:f>IF(V323=1,R323*(W323-G323),"n.a.")</x:f>
        <x:v>27.89331030439426</x:v>
      </x:c>
      <x:c r="Y323" s="9" t="n">
        <x:f>IF(V323=1,R323*W323,"n.a.")</x:f>
        <x:v>192.91302191014373</x:v>
      </x:c>
      <x:c r="Z323" s="1" t="n">
        <x:f>IF(ISNUMBER(T323),R323-T323,"n.a.")</x:f>
        <x:v>999.9999999999999</x:v>
      </x:c>
      <x:c r="AA323" s="1" t="str">
        <x:f>'Inventory inputs'!R323</x:f>
        <x:v>Classified</x:v>
      </x:c>
      <x:c r="AB323" s="1" t="n">
        <x:f>IF(L323=1,SUMIFS('Incoming POs'!$P$2:$P$305,'Incoming POs'!$A$2:$A$305,A323,'Incoming POs'!$B$2:$B$305,B323,'Incoming POs'!$C$2:$C$305,C323,'Incoming POs'!$G$2:$G$305,"&gt;="&amp;D323,'Incoming POs'!$G$2:$G$305,"&lt;"&amp;Dashboard!$I$5,'Incoming POs'!$Q$2:$Q$305,"&lt;="&amp;('Inventory inputs'!P323/'Inventory inputs'!J323*1.01)),"n.a.")</x:f>
        <x:v>0</x:v>
      </x:c>
      <x:c r="AC323" s="9" t="n">
        <x:f>I323*G323</x:f>
        <x:v>92.8</x:v>
      </x:c>
      <x:c r="AD323" s="9" t="n">
        <x:f>J323*G323</x:f>
        <x:v>92.8</x:v>
      </x:c>
      <x:c r="AE323" s="9" t="n">
        <x:f>K323*G323</x:f>
        <x:v>0</x:v>
      </x:c>
      <x:c r="AF323" s="9" t="n">
        <x:f>R323*G323</x:f>
        <x:v>165.01971160574948</x:v>
      </x:c>
    </x:row>
    <x:row r="324" ht="21" customHeight="1">
      <x:c r="A324" s="1" t="str">
        <x:f>'Inventory inputs'!A324</x:f>
        <x:v>PLAS</x:v>
      </x:c>
      <x:c r="B324" s="1" t="str">
        <x:f>'Inventory inputs'!B324</x:f>
        <x:v>10</x:v>
      </x:c>
      <x:c r="C324" s="1" t="str">
        <x:f>'Inventory inputs'!C324</x:f>
        <x:v>71615RWBBRN</x:v>
      </x:c>
      <x:c r="D324" s="7" t="n">
        <x:f>'Inventory inputs'!E324</x:f>
        <x:v>46303</x:v>
      </x:c>
      <x:c r="E324" s="1" t="n">
        <x:f>'Inventory inputs'!F324</x:f>
        <x:v>3000</x:v>
      </x:c>
      <x:c r="F324" s="1" t="n">
        <x:f>'Inventory inputs'!G324</x:f>
        <x:v>166.67</x:v>
      </x:c>
      <x:c r="G324" s="1" t="n">
        <x:f>'Inventory inputs'!H324/'Inventory inputs'!J324</x:f>
        <x:v>0.0219</x:v>
      </x:c>
      <x:c r="H324" s="1" t="n">
        <x:f>IF('Inventory inputs'!I324&gt;0,'Inventory inputs'!I324*'Inventory inputs'!K324/'Inventory inputs'!J324,"n.a.")</x:f>
        <x:v>0.025578</x:v>
      </x:c>
      <x:c r="I324" s="1" t="n">
        <x:f>'Inventory inputs'!L324</x:f>
        <x:v>3000</x:v>
      </x:c>
      <x:c r="J324" s="1" t="n">
        <x:f>'Inventory inputs'!M324</x:f>
        <x:v>0</x:v>
      </x:c>
      <x:c r="K324" s="1" t="n">
        <x:f>'Inventory inputs'!N324</x:f>
        <x:v>0</x:v>
      </x:c>
      <x:c r="L324" s="1" t="n">
        <x:f>'Inventory inputs'!O324</x:f>
        <x:v>1</x:v>
      </x:c>
      <x:c r="M324" s="9" t="n">
        <x:f>E324*G324</x:f>
        <x:v>65.7</x:v>
      </x:c>
      <x:c r="N324" s="9" t="n">
        <x:f>'Inventory inputs'!Q324</x:f>
        <x:v>65.7</x:v>
      </x:c>
      <x:c r="O324" s="9" t="n">
        <x:f>N324-M324</x:f>
        <x:v>0</x:v>
      </x:c>
      <x:c r="P324" s="1" t="n">
        <x:f>SUMIFS('Incoming POs'!$P$2:$P$305,'Incoming POs'!$A$2:$A$305,A324,'Incoming POs'!$B$2:$B$305,B324,'Incoming POs'!$C$2:$C$305,C324,'Incoming POs'!$G$2:$G$305,"&gt;="&amp;D324,'Incoming POs'!$G$2:$G$305,"&lt;"&amp;Dashboard!$I$5)</x:f>
        <x:v>0</x:v>
      </x:c>
      <x:c r="Q324" s="1" t="n">
        <x:f>F324*Dashboard!$L$5*MAX(0,Dashboard!$I$5-D324)/30.4375</x:f>
        <x:v>221.77034907597536</x:v>
      </x:c>
      <x:c r="R324" s="1" t="n">
        <x:f>MAX(0,E324+P324-Q324)</x:f>
        <x:v>2778.2296509240246</x:v>
      </x:c>
      <x:c r="S324" s="1" t="n">
        <x:f>MAX(0,Q324-E324-P324)</x:f>
        <x:v>0</x:v>
      </x:c>
      <x:c r="T324" s="1" t="n">
        <x:f>IF(L324=1,MAX(0,I324+AB324-MIN(Q324,E324+P324)),"n.a.")</x:f>
        <x:v>2778.2296509240246</x:v>
      </x:c>
      <x:c r="U324" s="9" t="n">
        <x:f>IF(ISNUMBER(T324),T324*G324,"n.a.")</x:f>
        <x:v>60.84322935523613</x:v>
      </x:c>
      <x:c r="V324" s="25" t="n">
        <x:f>IF(Dashboard!$I$6="Flat %",1,IF(ISNUMBER(H324),1,0))</x:f>
        <x:v>1</x:v>
      </x:c>
      <x:c r="W324" s="9" t="n">
        <x:f>IF(Dashboard!$I$6="Flat %",G324*(1+Dashboard!$L$6),H324)</x:f>
        <x:v>0.025578</x:v>
      </x:c>
      <x:c r="X324" s="9" t="n">
        <x:f>IF(V324=1,R324*(W324-G324),"n.a.")</x:f>
        <x:v>10.218328656098564</x:v>
      </x:c>
      <x:c r="Y324" s="9" t="n">
        <x:f>IF(V324=1,R324*W324,"n.a.")</x:f>
        <x:v>71.0615580113347</x:v>
      </x:c>
      <x:c r="Z324" s="1" t="n">
        <x:f>IF(ISNUMBER(T324),R324-T324,"n.a.")</x:f>
        <x:v>0</x:v>
      </x:c>
      <x:c r="AA324" s="1" t="str">
        <x:f>'Inventory inputs'!R324</x:f>
        <x:v>Classified</x:v>
      </x:c>
      <x:c r="AB324" s="1" t="n">
        <x:f>IF(L324=1,SUMIFS('Incoming POs'!$P$2:$P$305,'Incoming POs'!$A$2:$A$305,A324,'Incoming POs'!$B$2:$B$305,B324,'Incoming POs'!$C$2:$C$305,C324,'Incoming POs'!$G$2:$G$305,"&gt;="&amp;D324,'Incoming POs'!$G$2:$G$305,"&lt;"&amp;Dashboard!$I$5,'Incoming POs'!$Q$2:$Q$305,"&lt;="&amp;('Inventory inputs'!P324/'Inventory inputs'!J324*1.01)),"n.a.")</x:f>
        <x:v>0</x:v>
      </x:c>
      <x:c r="AC324" s="9" t="n">
        <x:f>I324*G324</x:f>
        <x:v>65.7</x:v>
      </x:c>
      <x:c r="AD324" s="9" t="n">
        <x:f>J324*G324</x:f>
        <x:v>0</x:v>
      </x:c>
      <x:c r="AE324" s="9" t="n">
        <x:f>K324*G324</x:f>
        <x:v>0</x:v>
      </x:c>
      <x:c r="AF324" s="9" t="n">
        <x:f>R324*G324</x:f>
        <x:v>60.84322935523613</x:v>
      </x:c>
    </x:row>
    <x:row r="325" ht="21" customHeight="1">
      <x:c r="A325" s="1" t="str">
        <x:f>'Inventory inputs'!A325</x:f>
        <x:v>PLAS</x:v>
      </x:c>
      <x:c r="B325" s="1" t="str">
        <x:f>'Inventory inputs'!B325</x:f>
        <x:v>10</x:v>
      </x:c>
      <x:c r="C325" s="1" t="str">
        <x:f>'Inventory inputs'!C325</x:f>
        <x:v>71615RWBFG</x:v>
      </x:c>
      <x:c r="D325" s="7" t="n">
        <x:f>'Inventory inputs'!E325</x:f>
        <x:v>46303</x:v>
      </x:c>
      <x:c r="E325" s="1" t="n">
        <x:f>'Inventory inputs'!F325</x:f>
        <x:v>8000</x:v>
      </x:c>
      <x:c r="F325" s="1" t="n">
        <x:f>'Inventory inputs'!G325</x:f>
        <x:v>166.67</x:v>
      </x:c>
      <x:c r="G325" s="1" t="n">
        <x:f>'Inventory inputs'!H325/'Inventory inputs'!J325</x:f>
        <x:v>0.0219</x:v>
      </x:c>
      <x:c r="H325" s="1" t="n">
        <x:f>IF('Inventory inputs'!I325&gt;0,'Inventory inputs'!I325*'Inventory inputs'!K325/'Inventory inputs'!J325,"n.a.")</x:f>
        <x:v>0.025578</x:v>
      </x:c>
      <x:c r="I325" s="1" t="n">
        <x:f>'Inventory inputs'!L325</x:f>
        <x:v>8000</x:v>
      </x:c>
      <x:c r="J325" s="1" t="n">
        <x:f>'Inventory inputs'!M325</x:f>
        <x:v>0</x:v>
      </x:c>
      <x:c r="K325" s="1" t="n">
        <x:f>'Inventory inputs'!N325</x:f>
        <x:v>0</x:v>
      </x:c>
      <x:c r="L325" s="1" t="n">
        <x:f>'Inventory inputs'!O325</x:f>
        <x:v>1</x:v>
      </x:c>
      <x:c r="M325" s="9" t="n">
        <x:f>E325*G325</x:f>
        <x:v>175.2</x:v>
      </x:c>
      <x:c r="N325" s="9" t="n">
        <x:f>'Inventory inputs'!Q325</x:f>
        <x:v>175.20000000000002</x:v>
      </x:c>
      <x:c r="O325" s="9" t="n">
        <x:f>N325-M325</x:f>
        <x:v>2.842170943040401e-14</x:v>
      </x:c>
      <x:c r="P325" s="1" t="n">
        <x:f>SUMIFS('Incoming POs'!$P$2:$P$305,'Incoming POs'!$A$2:$A$305,A325,'Incoming POs'!$B$2:$B$305,B325,'Incoming POs'!$C$2:$C$305,C325,'Incoming POs'!$G$2:$G$305,"&gt;="&amp;D325,'Incoming POs'!$G$2:$G$305,"&lt;"&amp;Dashboard!$I$5)</x:f>
        <x:v>0</x:v>
      </x:c>
      <x:c r="Q325" s="1" t="n">
        <x:f>F325*Dashboard!$L$5*MAX(0,Dashboard!$I$5-D325)/30.4375</x:f>
        <x:v>221.77034907597536</x:v>
      </x:c>
      <x:c r="R325" s="1" t="n">
        <x:f>MAX(0,E325+P325-Q325)</x:f>
        <x:v>7778.229650924025</x:v>
      </x:c>
      <x:c r="S325" s="1" t="n">
        <x:f>MAX(0,Q325-E325-P325)</x:f>
        <x:v>0</x:v>
      </x:c>
      <x:c r="T325" s="1" t="n">
        <x:f>IF(L325=1,MAX(0,I325+AB325-MIN(Q325,E325+P325)),"n.a.")</x:f>
        <x:v>7778.229650924025</x:v>
      </x:c>
      <x:c r="U325" s="9" t="n">
        <x:f>IF(ISNUMBER(T325),T325*G325,"n.a.")</x:f>
        <x:v>170.34322935523613</x:v>
      </x:c>
      <x:c r="V325" s="25" t="n">
        <x:f>IF(Dashboard!$I$6="Flat %",1,IF(ISNUMBER(H325),1,0))</x:f>
        <x:v>1</x:v>
      </x:c>
      <x:c r="W325" s="9" t="n">
        <x:f>IF(Dashboard!$I$6="Flat %",G325*(1+Dashboard!$L$6),H325)</x:f>
        <x:v>0.025578</x:v>
      </x:c>
      <x:c r="X325" s="9" t="n">
        <x:f>IF(V325=1,R325*(W325-G325),"n.a.")</x:f>
        <x:v>28.60832865609857</x:v>
      </x:c>
      <x:c r="Y325" s="9" t="n">
        <x:f>IF(V325=1,R325*W325,"n.a.")</x:f>
        <x:v>198.95155801133473</x:v>
      </x:c>
      <x:c r="Z325" s="1" t="n">
        <x:f>IF(ISNUMBER(T325),R325-T325,"n.a.")</x:f>
        <x:v>0</x:v>
      </x:c>
      <x:c r="AA325" s="1" t="str">
        <x:f>'Inventory inputs'!R325</x:f>
        <x:v>Classified</x:v>
      </x:c>
      <x:c r="AB325" s="1" t="n">
        <x:f>IF(L325=1,SUMIFS('Incoming POs'!$P$2:$P$305,'Incoming POs'!$A$2:$A$305,A325,'Incoming POs'!$B$2:$B$305,B325,'Incoming POs'!$C$2:$C$305,C325,'Incoming POs'!$G$2:$G$305,"&gt;="&amp;D325,'Incoming POs'!$G$2:$G$305,"&lt;"&amp;Dashboard!$I$5,'Incoming POs'!$Q$2:$Q$305,"&lt;="&amp;('Inventory inputs'!P325/'Inventory inputs'!J325*1.01)),"n.a.")</x:f>
        <x:v>0</x:v>
      </x:c>
      <x:c r="AC325" s="9" t="n">
        <x:f>I325*G325</x:f>
        <x:v>175.2</x:v>
      </x:c>
      <x:c r="AD325" s="9" t="n">
        <x:f>J325*G325</x:f>
        <x:v>0</x:v>
      </x:c>
      <x:c r="AE325" s="9" t="n">
        <x:f>K325*G325</x:f>
        <x:v>0</x:v>
      </x:c>
      <x:c r="AF325" s="9" t="n">
        <x:f>R325*G325</x:f>
        <x:v>170.34322935523613</x:v>
      </x:c>
    </x:row>
    <x:row r="326" ht="21" customHeight="1">
      <x:c r="A326" s="1" t="str">
        <x:f>'Inventory inputs'!A326</x:f>
        <x:v>PLAS</x:v>
      </x:c>
      <x:c r="B326" s="1" t="str">
        <x:f>'Inventory inputs'!B326</x:f>
        <x:v>10</x:v>
      </x:c>
      <x:c r="C326" s="1" t="str">
        <x:f>'Inventory inputs'!C326</x:f>
        <x:v>71615RWBMAR</x:v>
      </x:c>
      <x:c r="D326" s="7" t="n">
        <x:f>'Inventory inputs'!E326</x:f>
        <x:v>46303</x:v>
      </x:c>
      <x:c r="E326" s="1" t="n">
        <x:f>'Inventory inputs'!F326</x:f>
        <x:v>2000</x:v>
      </x:c>
      <x:c r="F326" s="1" t="n">
        <x:f>'Inventory inputs'!G326</x:f>
        <x:v>166.67</x:v>
      </x:c>
      <x:c r="G326" s="1" t="n">
        <x:f>'Inventory inputs'!H326/'Inventory inputs'!J326</x:f>
        <x:v>0.018000000000000002</x:v>
      </x:c>
      <x:c r="H326" s="1" t="n">
        <x:f>IF('Inventory inputs'!I326&gt;0,'Inventory inputs'!I326*'Inventory inputs'!K326/'Inventory inputs'!J326,"n.a.")</x:f>
        <x:v>0.025578</x:v>
      </x:c>
      <x:c r="I326" s="1" t="n">
        <x:f>'Inventory inputs'!L326</x:f>
        <x:v>0</x:v>
      </x:c>
      <x:c r="J326" s="1" t="n">
        <x:f>'Inventory inputs'!M326</x:f>
        <x:v>0</x:v>
      </x:c>
      <x:c r="K326" s="1" t="n">
        <x:f>'Inventory inputs'!N326</x:f>
        <x:v>2000</x:v>
      </x:c>
      <x:c r="L326" s="1" t="n">
        <x:f>'Inventory inputs'!O326</x:f>
        <x:v>0</x:v>
      </x:c>
      <x:c r="M326" s="9" t="n">
        <x:f>E326*G326</x:f>
        <x:v>36.00000000000001</x:v>
      </x:c>
      <x:c r="N326" s="9" t="n">
        <x:f>'Inventory inputs'!Q326</x:f>
        <x:v>36</x:v>
      </x:c>
      <x:c r="O326" s="9" t="n">
        <x:f>N326-M326</x:f>
        <x:v>-7.105427357601002e-15</x:v>
      </x:c>
      <x:c r="P326" s="1" t="n">
        <x:f>SUMIFS('Incoming POs'!$P$2:$P$305,'Incoming POs'!$A$2:$A$305,A326,'Incoming POs'!$B$2:$B$305,B326,'Incoming POs'!$C$2:$C$305,C326,'Incoming POs'!$G$2:$G$305,"&gt;="&amp;D326,'Incoming POs'!$G$2:$G$305,"&lt;"&amp;Dashboard!$I$5)</x:f>
        <x:v>0</x:v>
      </x:c>
      <x:c r="Q326" s="1" t="n">
        <x:f>F326*Dashboard!$L$5*MAX(0,Dashboard!$I$5-D326)/30.4375</x:f>
        <x:v>221.77034907597536</x:v>
      </x:c>
      <x:c r="R326" s="1" t="n">
        <x:f>MAX(0,E326+P326-Q326)</x:f>
        <x:v>1778.2296509240246</x:v>
      </x:c>
      <x:c r="S326" s="1" t="n">
        <x:f>MAX(0,Q326-E326-P326)</x:f>
        <x:v>0</x:v>
      </x:c>
      <x:c r="T326" s="1" t="str">
        <x:f>IF(L326=1,MAX(0,I326+AB326-MIN(Q326,E326+P326)),"n.a.")</x:f>
        <x:v>n.a.</x:v>
      </x:c>
      <x:c r="U326" s="9" t="str">
        <x:f>IF(ISNUMBER(T326),T326*G326,"n.a.")</x:f>
        <x:v>n.a.</x:v>
      </x:c>
      <x:c r="V326" s="25" t="n">
        <x:f>IF(Dashboard!$I$6="Flat %",1,IF(ISNUMBER(H326),1,0))</x:f>
        <x:v>1</x:v>
      </x:c>
      <x:c r="W326" s="9" t="n">
        <x:f>IF(Dashboard!$I$6="Flat %",G326*(1+Dashboard!$L$6),H326)</x:f>
        <x:v>0.025578</x:v>
      </x:c>
      <x:c r="X326" s="9" t="n">
        <x:f>IF(V326=1,R326*(W326-G326),"n.a.")</x:f>
        <x:v>13.475424294702254</x:v>
      </x:c>
      <x:c r="Y326" s="9" t="n">
        <x:f>IF(V326=1,R326*W326,"n.a.")</x:f>
        <x:v>45.4835580113347</x:v>
      </x:c>
      <x:c r="Z326" s="1" t="str">
        <x:f>IF(ISNUMBER(T326),R326-T326,"n.a.")</x:f>
        <x:v>n.a.</x:v>
      </x:c>
      <x:c r="AA326" s="1" t="str">
        <x:f>'Inventory inputs'!R326</x:f>
        <x:v>Review receipt reconciliation or original PO baseline</x:v>
      </x:c>
      <x:c r="AB326" s="1" t="str">
        <x:f>IF(L326=1,SUMIFS('Incoming POs'!$P$2:$P$305,'Incoming POs'!$A$2:$A$305,A326,'Incoming POs'!$B$2:$B$305,B326,'Incoming POs'!$C$2:$C$305,C326,'Incoming POs'!$G$2:$G$305,"&gt;="&amp;D326,'Incoming POs'!$G$2:$G$305,"&lt;"&amp;Dashboard!$I$5,'Incoming POs'!$Q$2:$Q$305,"&lt;="&amp;('Inventory inputs'!P326/'Inventory inputs'!J326*1.01)),"n.a.")</x:f>
        <x:v>n.a.</x:v>
      </x:c>
      <x:c r="AC326" s="9" t="n">
        <x:f>I326*G326</x:f>
        <x:v>0</x:v>
      </x:c>
      <x:c r="AD326" s="9" t="n">
        <x:f>J326*G326</x:f>
        <x:v>0</x:v>
      </x:c>
      <x:c r="AE326" s="9" t="n">
        <x:f>K326*G326</x:f>
        <x:v>36.00000000000001</x:v>
      </x:c>
      <x:c r="AF326" s="9" t="n">
        <x:f>R326*G326</x:f>
        <x:v>32.00813371663244</x:v>
      </x:c>
    </x:row>
    <x:row r="327" ht="21" customHeight="1">
      <x:c r="A327" s="1" t="str">
        <x:f>'Inventory inputs'!A327</x:f>
        <x:v>PLAS</x:v>
      </x:c>
      <x:c r="B327" s="1" t="str">
        <x:f>'Inventory inputs'!B327</x:f>
        <x:v>10</x:v>
      </x:c>
      <x:c r="C327" s="1" t="str">
        <x:f>'Inventory inputs'!C327</x:f>
        <x:v>71615RWBNAV</x:v>
      </x:c>
      <x:c r="D327" s="7" t="n">
        <x:f>'Inventory inputs'!E327</x:f>
        <x:v>46303</x:v>
      </x:c>
      <x:c r="E327" s="1" t="n">
        <x:f>'Inventory inputs'!F327</x:f>
        <x:v>10000</x:v>
      </x:c>
      <x:c r="F327" s="1" t="n">
        <x:f>'Inventory inputs'!G327</x:f>
        <x:v>166.67</x:v>
      </x:c>
      <x:c r="G327" s="1" t="n">
        <x:f>'Inventory inputs'!H327/'Inventory inputs'!J327</x:f>
        <x:v>0.0219</x:v>
      </x:c>
      <x:c r="H327" s="1" t="n">
        <x:f>IF('Inventory inputs'!I327&gt;0,'Inventory inputs'!I327*'Inventory inputs'!K327/'Inventory inputs'!J327,"n.a.")</x:f>
        <x:v>0.025578</x:v>
      </x:c>
      <x:c r="I327" s="1" t="n">
        <x:f>'Inventory inputs'!L327</x:f>
        <x:v>0</x:v>
      </x:c>
      <x:c r="J327" s="1" t="n">
        <x:f>'Inventory inputs'!M327</x:f>
        <x:v>0</x:v>
      </x:c>
      <x:c r="K327" s="1" t="n">
        <x:f>'Inventory inputs'!N327</x:f>
        <x:v>10000</x:v>
      </x:c>
      <x:c r="L327" s="1" t="n">
        <x:f>'Inventory inputs'!O327</x:f>
        <x:v>0</x:v>
      </x:c>
      <x:c r="M327" s="9" t="n">
        <x:f>E327*G327</x:f>
        <x:v>219</x:v>
      </x:c>
      <x:c r="N327" s="9" t="n">
        <x:f>'Inventory inputs'!Q327</x:f>
        <x:v>219</x:v>
      </x:c>
      <x:c r="O327" s="9" t="n">
        <x:f>N327-M327</x:f>
        <x:v>0</x:v>
      </x:c>
      <x:c r="P327" s="1" t="n">
        <x:f>SUMIFS('Incoming POs'!$P$2:$P$305,'Incoming POs'!$A$2:$A$305,A327,'Incoming POs'!$B$2:$B$305,B327,'Incoming POs'!$C$2:$C$305,C327,'Incoming POs'!$G$2:$G$305,"&gt;="&amp;D327,'Incoming POs'!$G$2:$G$305,"&lt;"&amp;Dashboard!$I$5)</x:f>
        <x:v>0</x:v>
      </x:c>
      <x:c r="Q327" s="1" t="n">
        <x:f>F327*Dashboard!$L$5*MAX(0,Dashboard!$I$5-D327)/30.4375</x:f>
        <x:v>221.77034907597536</x:v>
      </x:c>
      <x:c r="R327" s="1" t="n">
        <x:f>MAX(0,E327+P327-Q327)</x:f>
        <x:v>9778.229650924024</x:v>
      </x:c>
      <x:c r="S327" s="1" t="n">
        <x:f>MAX(0,Q327-E327-P327)</x:f>
        <x:v>0</x:v>
      </x:c>
      <x:c r="T327" s="1" t="str">
        <x:f>IF(L327=1,MAX(0,I327+AB327-MIN(Q327,E327+P327)),"n.a.")</x:f>
        <x:v>n.a.</x:v>
      </x:c>
      <x:c r="U327" s="9" t="str">
        <x:f>IF(ISNUMBER(T327),T327*G327,"n.a.")</x:f>
        <x:v>n.a.</x:v>
      </x:c>
      <x:c r="V327" s="25" t="n">
        <x:f>IF(Dashboard!$I$6="Flat %",1,IF(ISNUMBER(H327),1,0))</x:f>
        <x:v>1</x:v>
      </x:c>
      <x:c r="W327" s="9" t="n">
        <x:f>IF(Dashboard!$I$6="Flat %",G327*(1+Dashboard!$L$6),H327)</x:f>
        <x:v>0.025578</x:v>
      </x:c>
      <x:c r="X327" s="9" t="n">
        <x:f>IF(V327=1,R327*(W327-G327),"n.a.")</x:f>
        <x:v>35.964328656098566</x:v>
      </x:c>
      <x:c r="Y327" s="9" t="n">
        <x:f>IF(V327=1,R327*W327,"n.a.")</x:f>
        <x:v>250.1075580113347</x:v>
      </x:c>
      <x:c r="Z327" s="1" t="str">
        <x:f>IF(ISNUMBER(T327),R327-T327,"n.a.")</x:f>
        <x:v>n.a.</x:v>
      </x:c>
      <x:c r="AA327" s="1" t="str">
        <x:f>'Inventory inputs'!R327</x:f>
        <x:v>Review receipt reconciliation or original PO baseline</x:v>
      </x:c>
      <x:c r="AB327" s="1" t="str">
        <x:f>IF(L327=1,SUMIFS('Incoming POs'!$P$2:$P$305,'Incoming POs'!$A$2:$A$305,A327,'Incoming POs'!$B$2:$B$305,B327,'Incoming POs'!$C$2:$C$305,C327,'Incoming POs'!$G$2:$G$305,"&gt;="&amp;D327,'Incoming POs'!$G$2:$G$305,"&lt;"&amp;Dashboard!$I$5,'Incoming POs'!$Q$2:$Q$305,"&lt;="&amp;('Inventory inputs'!P327/'Inventory inputs'!J327*1.01)),"n.a.")</x:f>
        <x:v>n.a.</x:v>
      </x:c>
      <x:c r="AC327" s="9" t="n">
        <x:f>I327*G327</x:f>
        <x:v>0</x:v>
      </x:c>
      <x:c r="AD327" s="9" t="n">
        <x:f>J327*G327</x:f>
        <x:v>0</x:v>
      </x:c>
      <x:c r="AE327" s="9" t="n">
        <x:f>K327*G327</x:f>
        <x:v>219</x:v>
      </x:c>
      <x:c r="AF327" s="9" t="n">
        <x:f>R327*G327</x:f>
        <x:v>214.14322935523612</x:v>
      </x:c>
    </x:row>
    <x:row r="328" ht="21" customHeight="1">
      <x:c r="A328" s="1" t="str">
        <x:f>'Inventory inputs'!A328</x:f>
        <x:v>PLAS</x:v>
      </x:c>
      <x:c r="B328" s="1" t="str">
        <x:f>'Inventory inputs'!B328</x:f>
        <x:v>30</x:v>
      </x:c>
      <x:c r="C328" s="1" t="str">
        <x:f>'Inventory inputs'!C328</x:f>
        <x:v>01219RWBCLR</x:v>
      </x:c>
      <x:c r="D328" s="7" t="n">
        <x:f>'Inventory inputs'!E328</x:f>
        <x:v>46303</x:v>
      </x:c>
      <x:c r="E328" s="1" t="n">
        <x:f>'Inventory inputs'!F328</x:f>
        <x:v>1000</x:v>
      </x:c>
      <x:c r="F328" s="1" t="n">
        <x:f>'Inventory inputs'!G328</x:f>
        <x:v>166.67</x:v>
      </x:c>
      <x:c r="G328" s="1" t="n">
        <x:f>'Inventory inputs'!H328/'Inventory inputs'!J328</x:f>
        <x:v>0.036000000000000004</x:v>
      </x:c>
      <x:c r="H328" s="1" t="n">
        <x:f>IF('Inventory inputs'!I328&gt;0,'Inventory inputs'!I328*'Inventory inputs'!K328/'Inventory inputs'!J328,"n.a.")</x:f>
        <x:v>0.042189</x:v>
      </x:c>
      <x:c r="I328" s="1" t="n">
        <x:f>'Inventory inputs'!L328</x:f>
        <x:v>0</x:v>
      </x:c>
      <x:c r="J328" s="1" t="n">
        <x:f>'Inventory inputs'!M328</x:f>
        <x:v>0</x:v>
      </x:c>
      <x:c r="K328" s="1" t="n">
        <x:f>'Inventory inputs'!N328</x:f>
        <x:v>1000</x:v>
      </x:c>
      <x:c r="L328" s="1" t="n">
        <x:f>'Inventory inputs'!O328</x:f>
        <x:v>0</x:v>
      </x:c>
      <x:c r="M328" s="9" t="n">
        <x:f>E328*G328</x:f>
        <x:v>36.00000000000001</x:v>
      </x:c>
      <x:c r="N328" s="9" t="n">
        <x:f>'Inventory inputs'!Q328</x:f>
        <x:v>36</x:v>
      </x:c>
      <x:c r="O328" s="9" t="n">
        <x:f>N328-M328</x:f>
        <x:v>-7.105427357601002e-15</x:v>
      </x:c>
      <x:c r="P328" s="1" t="n">
        <x:f>SUMIFS('Incoming POs'!$P$2:$P$305,'Incoming POs'!$A$2:$A$305,A328,'Incoming POs'!$B$2:$B$305,B328,'Incoming POs'!$C$2:$C$305,C328,'Incoming POs'!$G$2:$G$305,"&gt;="&amp;D328,'Incoming POs'!$G$2:$G$305,"&lt;"&amp;Dashboard!$I$5)</x:f>
        <x:v>0</x:v>
      </x:c>
      <x:c r="Q328" s="1" t="n">
        <x:f>F328*Dashboard!$L$5*MAX(0,Dashboard!$I$5-D328)/30.4375</x:f>
        <x:v>221.77034907597536</x:v>
      </x:c>
      <x:c r="R328" s="1" t="n">
        <x:f>MAX(0,E328+P328-Q328)</x:f>
        <x:v>778.2296509240247</x:v>
      </x:c>
      <x:c r="S328" s="1" t="n">
        <x:f>MAX(0,Q328-E328-P328)</x:f>
        <x:v>0</x:v>
      </x:c>
      <x:c r="T328" s="1" t="str">
        <x:f>IF(L328=1,MAX(0,I328+AB328-MIN(Q328,E328+P328)),"n.a.")</x:f>
        <x:v>n.a.</x:v>
      </x:c>
      <x:c r="U328" s="9" t="str">
        <x:f>IF(ISNUMBER(T328),T328*G328,"n.a.")</x:f>
        <x:v>n.a.</x:v>
      </x:c>
      <x:c r="V328" s="25" t="n">
        <x:f>IF(Dashboard!$I$6="Flat %",1,IF(ISNUMBER(H328),1,0))</x:f>
        <x:v>1</x:v>
      </x:c>
      <x:c r="W328" s="9" t="n">
        <x:f>IF(Dashboard!$I$6="Flat %",G328*(1+Dashboard!$L$6),H328)</x:f>
        <x:v>0.042189</x:v>
      </x:c>
      <x:c r="X328" s="9" t="n">
        <x:f>IF(V328=1,R328*(W328-G328),"n.a.")</x:f>
        <x:v>4.816463309568784</x:v>
      </x:c>
      <x:c r="Y328" s="9" t="n">
        <x:f>IF(V328=1,R328*W328,"n.a.")</x:f>
        <x:v>32.832730742833675</x:v>
      </x:c>
      <x:c r="Z328" s="1" t="str">
        <x:f>IF(ISNUMBER(T328),R328-T328,"n.a.")</x:f>
        <x:v>n.a.</x:v>
      </x:c>
      <x:c r="AA328" s="1" t="str">
        <x:f>'Inventory inputs'!R328</x:f>
        <x:v>Review receipt reconciliation or original PO baseline</x:v>
      </x:c>
      <x:c r="AB328" s="1" t="str">
        <x:f>IF(L328=1,SUMIFS('Incoming POs'!$P$2:$P$305,'Incoming POs'!$A$2:$A$305,A328,'Incoming POs'!$B$2:$B$305,B328,'Incoming POs'!$C$2:$C$305,C328,'Incoming POs'!$G$2:$G$305,"&gt;="&amp;D328,'Incoming POs'!$G$2:$G$305,"&lt;"&amp;Dashboard!$I$5,'Incoming POs'!$Q$2:$Q$305,"&lt;="&amp;('Inventory inputs'!P328/'Inventory inputs'!J328*1.01)),"n.a.")</x:f>
        <x:v>n.a.</x:v>
      </x:c>
      <x:c r="AC328" s="9" t="n">
        <x:f>I328*G328</x:f>
        <x:v>0</x:v>
      </x:c>
      <x:c r="AD328" s="9" t="n">
        <x:f>J328*G328</x:f>
        <x:v>0</x:v>
      </x:c>
      <x:c r="AE328" s="9" t="n">
        <x:f>K328*G328</x:f>
        <x:v>36.00000000000001</x:v>
      </x:c>
      <x:c r="AF328" s="9" t="n">
        <x:f>R328*G328</x:f>
        <x:v>28.01626743326489</x:v>
      </x:c>
    </x:row>
    <x:row r="329" ht="21" customHeight="1">
      <x:c r="A329" s="1" t="str">
        <x:f>'Inventory inputs'!A329</x:f>
        <x:v>PLAS</x:v>
      </x:c>
      <x:c r="B329" s="1" t="str">
        <x:f>'Inventory inputs'!B329</x:f>
        <x:v>30</x:v>
      </x:c>
      <x:c r="C329" s="1" t="str">
        <x:f>'Inventory inputs'!C329</x:f>
        <x:v>01419RWBCLR</x:v>
      </x:c>
      <x:c r="D329" s="7" t="n">
        <x:f>'Inventory inputs'!E329</x:f>
        <x:v>46303</x:v>
      </x:c>
      <x:c r="E329" s="1" t="n">
        <x:f>'Inventory inputs'!F329</x:f>
        <x:v>0</x:v>
      </x:c>
      <x:c r="F329" s="1" t="n">
        <x:f>'Inventory inputs'!G329</x:f>
        <x:v>166.67</x:v>
      </x:c>
      <x:c r="G329" s="1" t="n">
        <x:f>'Inventory inputs'!H329/'Inventory inputs'!J329</x:f>
        <x:v>0.0181</x:v>
      </x:c>
      <x:c r="H329" s="1" t="n">
        <x:f>IF('Inventory inputs'!I329&gt;0,'Inventory inputs'!I329*'Inventory inputs'!K329/'Inventory inputs'!J329,"n.a.")</x:f>
        <x:v>0.021168</x:v>
      </x:c>
      <x:c r="I329" s="1" t="n">
        <x:f>'Inventory inputs'!L329</x:f>
        <x:v>0</x:v>
      </x:c>
      <x:c r="J329" s="1" t="n">
        <x:f>'Inventory inputs'!M329</x:f>
        <x:v>0</x:v>
      </x:c>
      <x:c r="K329" s="1" t="n">
        <x:f>'Inventory inputs'!N329</x:f>
        <x:v>0</x:v>
      </x:c>
      <x:c r="L329" s="1" t="n">
        <x:f>'Inventory inputs'!O329</x:f>
        <x:v>1</x:v>
      </x:c>
      <x:c r="M329" s="9" t="n">
        <x:f>E329*G329</x:f>
        <x:v>0</x:v>
      </x:c>
      <x:c r="N329" s="9" t="n">
        <x:f>'Inventory inputs'!Q329</x:f>
        <x:v>0</x:v>
      </x:c>
      <x:c r="O329" s="9" t="n">
        <x:f>N329-M329</x:f>
        <x:v>0</x:v>
      </x:c>
      <x:c r="P329" s="1" t="n">
        <x:f>SUMIFS('Incoming POs'!$P$2:$P$305,'Incoming POs'!$A$2:$A$305,A329,'Incoming POs'!$B$2:$B$305,B329,'Incoming POs'!$C$2:$C$305,C329,'Incoming POs'!$G$2:$G$305,"&gt;="&amp;D329,'Incoming POs'!$G$2:$G$305,"&lt;"&amp;Dashboard!$I$5)</x:f>
        <x:v>0</x:v>
      </x:c>
      <x:c r="Q329" s="1" t="n">
        <x:f>F329*Dashboard!$L$5*MAX(0,Dashboard!$I$5-D329)/30.4375</x:f>
        <x:v>221.77034907597536</x:v>
      </x:c>
      <x:c r="R329" s="1" t="n">
        <x:f>MAX(0,E329+P329-Q329)</x:f>
        <x:v>0</x:v>
      </x:c>
      <x:c r="S329" s="1" t="n">
        <x:f>MAX(0,Q329-E329-P329)</x:f>
        <x:v>221.77034907597536</x:v>
      </x:c>
      <x:c r="T329" s="1" t="n">
        <x:f>IF(L329=1,MAX(0,I329+AB329-MIN(Q329,E329+P329)),"n.a.")</x:f>
        <x:v>0</x:v>
      </x:c>
      <x:c r="U329" s="9" t="n">
        <x:f>IF(ISNUMBER(T329),T329*G329,"n.a.")</x:f>
        <x:v>0</x:v>
      </x:c>
      <x:c r="V329" s="25" t="n">
        <x:f>IF(Dashboard!$I$6="Flat %",1,IF(ISNUMBER(H329),1,0))</x:f>
        <x:v>1</x:v>
      </x:c>
      <x:c r="W329" s="9" t="n">
        <x:f>IF(Dashboard!$I$6="Flat %",G329*(1+Dashboard!$L$6),H329)</x:f>
        <x:v>0.021168</x:v>
      </x:c>
      <x:c r="X329" s="9" t="n">
        <x:f>IF(V329=1,R329*(W329-G329),"n.a.")</x:f>
        <x:v>0</x:v>
      </x:c>
      <x:c r="Y329" s="9" t="n">
        <x:f>IF(V329=1,R329*W329,"n.a.")</x:f>
        <x:v>0</x:v>
      </x:c>
      <x:c r="Z329" s="1" t="n">
        <x:f>IF(ISNUMBER(T329),R329-T329,"n.a.")</x:f>
        <x:v>0</x:v>
      </x:c>
      <x:c r="AA329" s="1" t="str">
        <x:f>'Inventory inputs'!R329</x:f>
        <x:v>Classified</x:v>
      </x:c>
      <x:c r="AB329" s="1" t="n">
        <x:f>IF(L329=1,SUMIFS('Incoming POs'!$P$2:$P$305,'Incoming POs'!$A$2:$A$305,A329,'Incoming POs'!$B$2:$B$305,B329,'Incoming POs'!$C$2:$C$305,C329,'Incoming POs'!$G$2:$G$305,"&gt;="&amp;D329,'Incoming POs'!$G$2:$G$305,"&lt;"&amp;Dashboard!$I$5,'Incoming POs'!$Q$2:$Q$305,"&lt;="&amp;('Inventory inputs'!P329/'Inventory inputs'!J329*1.01)),"n.a.")</x:f>
        <x:v>0</x:v>
      </x:c>
      <x:c r="AC329" s="9" t="n">
        <x:f>I329*G329</x:f>
        <x:v>0</x:v>
      </x:c>
      <x:c r="AD329" s="9" t="n">
        <x:f>J329*G329</x:f>
        <x:v>0</x:v>
      </x:c>
      <x:c r="AE329" s="9" t="n">
        <x:f>K329*G329</x:f>
        <x:v>0</x:v>
      </x:c>
      <x:c r="AF329" s="9" t="n">
        <x:f>R329*G329</x:f>
        <x:v>0</x:v>
      </x:c>
    </x:row>
    <x:row r="330" ht="21" customHeight="1">
      <x:c r="A330" s="1" t="str">
        <x:f>'Inventory inputs'!A330</x:f>
        <x:v>PLAS</x:v>
      </x:c>
      <x:c r="B330" s="1" t="str">
        <x:f>'Inventory inputs'!B330</x:f>
        <x:v>30</x:v>
      </x:c>
      <x:c r="C330" s="1" t="str">
        <x:f>'Inventory inputs'!C330</x:f>
        <x:v>03419RWBNAV</x:v>
      </x:c>
      <x:c r="D330" s="7" t="n">
        <x:f>'Inventory inputs'!E330</x:f>
        <x:v>46303</x:v>
      </x:c>
      <x:c r="E330" s="1" t="n">
        <x:f>'Inventory inputs'!F330</x:f>
        <x:v>0</x:v>
      </x:c>
      <x:c r="F330" s="1" t="n">
        <x:f>'Inventory inputs'!G330</x:f>
        <x:v>166.67</x:v>
      </x:c>
      <x:c r="G330" s="1" t="n">
        <x:f>'Inventory inputs'!H330/'Inventory inputs'!J330</x:f>
        <x:v>0.0625</x:v>
      </x:c>
      <x:c r="H330" s="1" t="n">
        <x:f>IF('Inventory inputs'!I330&gt;0,'Inventory inputs'!I330*'Inventory inputs'!K330/'Inventory inputs'!J330,"n.a.")</x:f>
        <x:v>0.073059</x:v>
      </x:c>
      <x:c r="I330" s="1" t="n">
        <x:f>'Inventory inputs'!L330</x:f>
        <x:v>0</x:v>
      </x:c>
      <x:c r="J330" s="1" t="n">
        <x:f>'Inventory inputs'!M330</x:f>
        <x:v>0</x:v>
      </x:c>
      <x:c r="K330" s="1" t="n">
        <x:f>'Inventory inputs'!N330</x:f>
        <x:v>0</x:v>
      </x:c>
      <x:c r="L330" s="1" t="n">
        <x:f>'Inventory inputs'!O330</x:f>
        <x:v>1</x:v>
      </x:c>
      <x:c r="M330" s="9" t="n">
        <x:f>E330*G330</x:f>
        <x:v>0</x:v>
      </x:c>
      <x:c r="N330" s="9" t="n">
        <x:f>'Inventory inputs'!Q330</x:f>
        <x:v>0</x:v>
      </x:c>
      <x:c r="O330" s="9" t="n">
        <x:f>N330-M330</x:f>
        <x:v>0</x:v>
      </x:c>
      <x:c r="P330" s="1" t="n">
        <x:f>SUMIFS('Incoming POs'!$P$2:$P$305,'Incoming POs'!$A$2:$A$305,A330,'Incoming POs'!$B$2:$B$305,B330,'Incoming POs'!$C$2:$C$305,C330,'Incoming POs'!$G$2:$G$305,"&gt;="&amp;D330,'Incoming POs'!$G$2:$G$305,"&lt;"&amp;Dashboard!$I$5)</x:f>
        <x:v>0</x:v>
      </x:c>
      <x:c r="Q330" s="1" t="n">
        <x:f>F330*Dashboard!$L$5*MAX(0,Dashboard!$I$5-D330)/30.4375</x:f>
        <x:v>221.77034907597536</x:v>
      </x:c>
      <x:c r="R330" s="1" t="n">
        <x:f>MAX(0,E330+P330-Q330)</x:f>
        <x:v>0</x:v>
      </x:c>
      <x:c r="S330" s="1" t="n">
        <x:f>MAX(0,Q330-E330-P330)</x:f>
        <x:v>221.77034907597536</x:v>
      </x:c>
      <x:c r="T330" s="1" t="n">
        <x:f>IF(L330=1,MAX(0,I330+AB330-MIN(Q330,E330+P330)),"n.a.")</x:f>
        <x:v>0</x:v>
      </x:c>
      <x:c r="U330" s="9" t="n">
        <x:f>IF(ISNUMBER(T330),T330*G330,"n.a.")</x:f>
        <x:v>0</x:v>
      </x:c>
      <x:c r="V330" s="25" t="n">
        <x:f>IF(Dashboard!$I$6="Flat %",1,IF(ISNUMBER(H330),1,0))</x:f>
        <x:v>1</x:v>
      </x:c>
      <x:c r="W330" s="9" t="n">
        <x:f>IF(Dashboard!$I$6="Flat %",G330*(1+Dashboard!$L$6),H330)</x:f>
        <x:v>0.073059</x:v>
      </x:c>
      <x:c r="X330" s="9" t="n">
        <x:f>IF(V330=1,R330*(W330-G330),"n.a.")</x:f>
        <x:v>0</x:v>
      </x:c>
      <x:c r="Y330" s="9" t="n">
        <x:f>IF(V330=1,R330*W330,"n.a.")</x:f>
        <x:v>0</x:v>
      </x:c>
      <x:c r="Z330" s="1" t="n">
        <x:f>IF(ISNUMBER(T330),R330-T330,"n.a.")</x:f>
        <x:v>0</x:v>
      </x:c>
      <x:c r="AA330" s="1" t="str">
        <x:f>'Inventory inputs'!R330</x:f>
        <x:v>Classified</x:v>
      </x:c>
      <x:c r="AB330" s="1" t="n">
        <x:f>IF(L330=1,SUMIFS('Incoming POs'!$P$2:$P$305,'Incoming POs'!$A$2:$A$305,A330,'Incoming POs'!$B$2:$B$305,B330,'Incoming POs'!$C$2:$C$305,C330,'Incoming POs'!$G$2:$G$305,"&gt;="&amp;D330,'Incoming POs'!$G$2:$G$305,"&lt;"&amp;Dashboard!$I$5,'Incoming POs'!$Q$2:$Q$305,"&lt;="&amp;('Inventory inputs'!P330/'Inventory inputs'!J330*1.01)),"n.a.")</x:f>
        <x:v>0</x:v>
      </x:c>
      <x:c r="AC330" s="9" t="n">
        <x:f>I330*G330</x:f>
        <x:v>0</x:v>
      </x:c>
      <x:c r="AD330" s="9" t="n">
        <x:f>J330*G330</x:f>
        <x:v>0</x:v>
      </x:c>
      <x:c r="AE330" s="9" t="n">
        <x:f>K330*G330</x:f>
        <x:v>0</x:v>
      </x:c>
      <x:c r="AF330" s="9" t="n">
        <x:f>R330*G330</x:f>
        <x:v>0</x:v>
      </x:c>
    </x:row>
    <x:row r="331" ht="21" customHeight="1">
      <x:c r="A331" s="1" t="str">
        <x:f>'Inventory inputs'!A331</x:f>
        <x:v>PLAS</x:v>
      </x:c>
      <x:c r="B331" s="1" t="str">
        <x:f>'Inventory inputs'!B331</x:f>
        <x:v>30</x:v>
      </x:c>
      <x:c r="C331" s="1" t="str">
        <x:f>'Inventory inputs'!C331</x:f>
        <x:v>11819RWBWHT</x:v>
      </x:c>
      <x:c r="D331" s="7" t="n">
        <x:f>'Inventory inputs'!E331</x:f>
        <x:v>46303</x:v>
      </x:c>
      <x:c r="E331" s="1" t="n">
        <x:f>'Inventory inputs'!F331</x:f>
        <x:v>350</x:v>
      </x:c>
      <x:c r="F331" s="1" t="n">
        <x:f>'Inventory inputs'!G331</x:f>
        <x:v>166.67</x:v>
      </x:c>
      <x:c r="G331" s="1" t="n">
        <x:f>'Inventory inputs'!H331/'Inventory inputs'!J331</x:f>
        <x:v>0.1323</x:v>
      </x:c>
      <x:c r="H331" s="1" t="n">
        <x:f>IF('Inventory inputs'!I331&gt;0,'Inventory inputs'!I331*'Inventory inputs'!K331/'Inventory inputs'!J331,"n.a.")</x:f>
        <x:v>0.15479099999999998</x:v>
      </x:c>
      <x:c r="I331" s="1" t="n">
        <x:f>'Inventory inputs'!L331</x:f>
        <x:v>0</x:v>
      </x:c>
      <x:c r="J331" s="1" t="n">
        <x:f>'Inventory inputs'!M331</x:f>
        <x:v>0</x:v>
      </x:c>
      <x:c r="K331" s="1" t="n">
        <x:f>'Inventory inputs'!N331</x:f>
        <x:v>350</x:v>
      </x:c>
      <x:c r="L331" s="1" t="n">
        <x:f>'Inventory inputs'!O331</x:f>
        <x:v>0</x:v>
      </x:c>
      <x:c r="M331" s="9" t="n">
        <x:f>E331*G331</x:f>
        <x:v>46.305</x:v>
      </x:c>
      <x:c r="N331" s="9" t="n">
        <x:f>'Inventory inputs'!Q331</x:f>
        <x:v>46.305</x:v>
      </x:c>
      <x:c r="O331" s="9" t="n">
        <x:f>N331-M331</x:f>
        <x:v>0</x:v>
      </x:c>
      <x:c r="P331" s="1" t="n">
        <x:f>SUMIFS('Incoming POs'!$P$2:$P$305,'Incoming POs'!$A$2:$A$305,A331,'Incoming POs'!$B$2:$B$305,B331,'Incoming POs'!$C$2:$C$305,C331,'Incoming POs'!$G$2:$G$305,"&gt;="&amp;D331,'Incoming POs'!$G$2:$G$305,"&lt;"&amp;Dashboard!$I$5)</x:f>
        <x:v>0</x:v>
      </x:c>
      <x:c r="Q331" s="1" t="n">
        <x:f>F331*Dashboard!$L$5*MAX(0,Dashboard!$I$5-D331)/30.4375</x:f>
        <x:v>221.77034907597536</x:v>
      </x:c>
      <x:c r="R331" s="1" t="n">
        <x:f>MAX(0,E331+P331-Q331)</x:f>
        <x:v>128.22965092402464</x:v>
      </x:c>
      <x:c r="S331" s="1" t="n">
        <x:f>MAX(0,Q331-E331-P331)</x:f>
        <x:v>0</x:v>
      </x:c>
      <x:c r="T331" s="1" t="str">
        <x:f>IF(L331=1,MAX(0,I331+AB331-MIN(Q331,E331+P331)),"n.a.")</x:f>
        <x:v>n.a.</x:v>
      </x:c>
      <x:c r="U331" s="9" t="str">
        <x:f>IF(ISNUMBER(T331),T331*G331,"n.a.")</x:f>
        <x:v>n.a.</x:v>
      </x:c>
      <x:c r="V331" s="25" t="n">
        <x:f>IF(Dashboard!$I$6="Flat %",1,IF(ISNUMBER(H331),1,0))</x:f>
        <x:v>1</x:v>
      </x:c>
      <x:c r="W331" s="9" t="n">
        <x:f>IF(Dashboard!$I$6="Flat %",G331*(1+Dashboard!$L$6),H331)</x:f>
        <x:v>0.15479099999999998</x:v>
      </x:c>
      <x:c r="X331" s="9" t="n">
        <x:f>IF(V331=1,R331*(W331-G331),"n.a.")</x:f>
        <x:v>2.884013078932236</x:v>
      </x:c>
      <x:c r="Y331" s="9" t="n">
        <x:f>IF(V331=1,R331*W331,"n.a.")</x:f>
        <x:v>19.848795896180697</x:v>
      </x:c>
      <x:c r="Z331" s="1" t="str">
        <x:f>IF(ISNUMBER(T331),R331-T331,"n.a.")</x:f>
        <x:v>n.a.</x:v>
      </x:c>
      <x:c r="AA331" s="1" t="str">
        <x:f>'Inventory inputs'!R331</x:f>
        <x:v>Review receipt reconciliation or original PO baseline</x:v>
      </x:c>
      <x:c r="AB331" s="1" t="str">
        <x:f>IF(L331=1,SUMIFS('Incoming POs'!$P$2:$P$305,'Incoming POs'!$A$2:$A$305,A331,'Incoming POs'!$B$2:$B$305,B331,'Incoming POs'!$C$2:$C$305,C331,'Incoming POs'!$G$2:$G$305,"&gt;="&amp;D331,'Incoming POs'!$G$2:$G$305,"&lt;"&amp;Dashboard!$I$5,'Incoming POs'!$Q$2:$Q$305,"&lt;="&amp;('Inventory inputs'!P331/'Inventory inputs'!J331*1.01)),"n.a.")</x:f>
        <x:v>n.a.</x:v>
      </x:c>
      <x:c r="AC331" s="9" t="n">
        <x:f>I331*G331</x:f>
        <x:v>0</x:v>
      </x:c>
      <x:c r="AD331" s="9" t="n">
        <x:f>J331*G331</x:f>
        <x:v>0</x:v>
      </x:c>
      <x:c r="AE331" s="9" t="n">
        <x:f>K331*G331</x:f>
        <x:v>46.305</x:v>
      </x:c>
      <x:c r="AF331" s="9" t="n">
        <x:f>R331*G331</x:f>
        <x:v>16.96478281724846</x:v>
      </x:c>
    </x:row>
    <x:row r="332" ht="21" customHeight="1">
      <x:c r="A332" s="1" t="str">
        <x:f>'Inventory inputs'!A332</x:f>
        <x:v>PLAS</x:v>
      </x:c>
      <x:c r="B332" s="1" t="str">
        <x:f>'Inventory inputs'!B332</x:f>
        <x:v>30</x:v>
      </x:c>
      <x:c r="C332" s="1" t="str">
        <x:f>'Inventory inputs'!C332</x:f>
        <x:v>13419RSLWHT</x:v>
      </x:c>
      <x:c r="D332" s="7" t="n">
        <x:f>'Inventory inputs'!E332</x:f>
        <x:v>46303</x:v>
      </x:c>
      <x:c r="E332" s="1" t="n">
        <x:f>'Inventory inputs'!F332</x:f>
        <x:v>250</x:v>
      </x:c>
      <x:c r="F332" s="1" t="n">
        <x:f>'Inventory inputs'!G332</x:f>
        <x:v>166.67</x:v>
      </x:c>
      <x:c r="G332" s="1" t="n">
        <x:f>'Inventory inputs'!H332/'Inventory inputs'!J332</x:f>
        <x:v>0.1457</x:v>
      </x:c>
      <x:c r="H332" s="1" t="n">
        <x:f>IF('Inventory inputs'!I332&gt;0,'Inventory inputs'!I332*'Inventory inputs'!K332/'Inventory inputs'!J332,"n.a.")</x:f>
        <x:v>0.170373</x:v>
      </x:c>
      <x:c r="I332" s="1" t="n">
        <x:f>'Inventory inputs'!L332</x:f>
        <x:v>0</x:v>
      </x:c>
      <x:c r="J332" s="1" t="n">
        <x:f>'Inventory inputs'!M332</x:f>
        <x:v>0</x:v>
      </x:c>
      <x:c r="K332" s="1" t="n">
        <x:f>'Inventory inputs'!N332</x:f>
        <x:v>250</x:v>
      </x:c>
      <x:c r="L332" s="1" t="n">
        <x:f>'Inventory inputs'!O332</x:f>
        <x:v>0</x:v>
      </x:c>
      <x:c r="M332" s="9" t="n">
        <x:f>E332*G332</x:f>
        <x:v>36.425</x:v>
      </x:c>
      <x:c r="N332" s="9" t="n">
        <x:f>'Inventory inputs'!Q332</x:f>
        <x:v>36.425000000000004</x:v>
      </x:c>
      <x:c r="O332" s="9" t="n">
        <x:f>N332-M332</x:f>
        <x:v>7.105427357601002e-15</x:v>
      </x:c>
      <x:c r="P332" s="1" t="n">
        <x:f>SUMIFS('Incoming POs'!$P$2:$P$305,'Incoming POs'!$A$2:$A$305,A332,'Incoming POs'!$B$2:$B$305,B332,'Incoming POs'!$C$2:$C$305,C332,'Incoming POs'!$G$2:$G$305,"&gt;="&amp;D332,'Incoming POs'!$G$2:$G$305,"&lt;"&amp;Dashboard!$I$5)</x:f>
        <x:v>0</x:v>
      </x:c>
      <x:c r="Q332" s="1" t="n">
        <x:f>F332*Dashboard!$L$5*MAX(0,Dashboard!$I$5-D332)/30.4375</x:f>
        <x:v>221.77034907597536</x:v>
      </x:c>
      <x:c r="R332" s="1" t="n">
        <x:f>MAX(0,E332+P332-Q332)</x:f>
        <x:v>28.22965092402464</x:v>
      </x:c>
      <x:c r="S332" s="1" t="n">
        <x:f>MAX(0,Q332-E332-P332)</x:f>
        <x:v>0</x:v>
      </x:c>
      <x:c r="T332" s="1" t="str">
        <x:f>IF(L332=1,MAX(0,I332+AB332-MIN(Q332,E332+P332)),"n.a.")</x:f>
        <x:v>n.a.</x:v>
      </x:c>
      <x:c r="U332" s="9" t="str">
        <x:f>IF(ISNUMBER(T332),T332*G332,"n.a.")</x:f>
        <x:v>n.a.</x:v>
      </x:c>
      <x:c r="V332" s="25" t="n">
        <x:f>IF(Dashboard!$I$6="Flat %",1,IF(ISNUMBER(H332),1,0))</x:f>
        <x:v>1</x:v>
      </x:c>
      <x:c r="W332" s="9" t="n">
        <x:f>IF(Dashboard!$I$6="Flat %",G332*(1+Dashboard!$L$6),H332)</x:f>
        <x:v>0.170373</x:v>
      </x:c>
      <x:c r="X332" s="9" t="n">
        <x:f>IF(V332=1,R332*(W332-G332),"n.a.")</x:f>
        <x:v>0.69651017724846</x:v>
      </x:c>
      <x:c r="Y332" s="9" t="n">
        <x:f>IF(V332=1,R332*W332,"n.a.")</x:f>
        <x:v>4.80957031687885</x:v>
      </x:c>
      <x:c r="Z332" s="1" t="str">
        <x:f>IF(ISNUMBER(T332),R332-T332,"n.a.")</x:f>
        <x:v>n.a.</x:v>
      </x:c>
      <x:c r="AA332" s="1" t="str">
        <x:f>'Inventory inputs'!R332</x:f>
        <x:v>Review receipt reconciliation or original PO baseline</x:v>
      </x:c>
      <x:c r="AB332" s="1" t="str">
        <x:f>IF(L332=1,SUMIFS('Incoming POs'!$P$2:$P$305,'Incoming POs'!$A$2:$A$305,A332,'Incoming POs'!$B$2:$B$305,B332,'Incoming POs'!$C$2:$C$305,C332,'Incoming POs'!$G$2:$G$305,"&gt;="&amp;D332,'Incoming POs'!$G$2:$G$305,"&lt;"&amp;Dashboard!$I$5,'Incoming POs'!$Q$2:$Q$305,"&lt;="&amp;('Inventory inputs'!P332/'Inventory inputs'!J332*1.01)),"n.a.")</x:f>
        <x:v>n.a.</x:v>
      </x:c>
      <x:c r="AC332" s="9" t="n">
        <x:f>I332*G332</x:f>
        <x:v>0</x:v>
      </x:c>
      <x:c r="AD332" s="9" t="n">
        <x:f>J332*G332</x:f>
        <x:v>0</x:v>
      </x:c>
      <x:c r="AE332" s="9" t="n">
        <x:f>K332*G332</x:f>
        <x:v>36.425</x:v>
      </x:c>
      <x:c r="AF332" s="9" t="n">
        <x:f>R332*G332</x:f>
        <x:v>4.11306013963039</x:v>
      </x:c>
    </x:row>
    <x:row r="333" ht="21" customHeight="1">
      <x:c r="A333" s="1" t="str">
        <x:f>'Inventory inputs'!A333</x:f>
        <x:v>PLAS</x:v>
      </x:c>
      <x:c r="B333" s="1" t="str">
        <x:f>'Inventory inputs'!B333</x:f>
        <x:v>30</x:v>
      </x:c>
      <x:c r="C333" s="1" t="str">
        <x:f>'Inventory inputs'!C333</x:f>
        <x:v>51619RWBMAR</x:v>
      </x:c>
      <x:c r="D333" s="7" t="n">
        <x:f>'Inventory inputs'!E333</x:f>
        <x:v>46303</x:v>
      </x:c>
      <x:c r="E333" s="1" t="n">
        <x:f>'Inventory inputs'!F333</x:f>
        <x:v>800</x:v>
      </x:c>
      <x:c r="F333" s="1" t="n">
        <x:f>'Inventory inputs'!G333</x:f>
        <x:v>166.67</x:v>
      </x:c>
      <x:c r="G333" s="1" t="n">
        <x:f>'Inventory inputs'!H333/'Inventory inputs'!J333</x:f>
        <x:v>0.0216</x:v>
      </x:c>
      <x:c r="H333" s="1" t="n">
        <x:f>IF('Inventory inputs'!I333&gt;0,'Inventory inputs'!I333*'Inventory inputs'!K333/'Inventory inputs'!J333,"n.a.")</x:f>
        <x:v>0.025284</x:v>
      </x:c>
      <x:c r="I333" s="1" t="n">
        <x:f>'Inventory inputs'!L333</x:f>
        <x:v>0</x:v>
      </x:c>
      <x:c r="J333" s="1" t="n">
        <x:f>'Inventory inputs'!M333</x:f>
        <x:v>0</x:v>
      </x:c>
      <x:c r="K333" s="1" t="n">
        <x:f>'Inventory inputs'!N333</x:f>
        <x:v>800</x:v>
      </x:c>
      <x:c r="L333" s="1" t="n">
        <x:f>'Inventory inputs'!O333</x:f>
        <x:v>0</x:v>
      </x:c>
      <x:c r="M333" s="9" t="n">
        <x:f>E333*G333</x:f>
        <x:v>17.28</x:v>
      </x:c>
      <x:c r="N333" s="9" t="n">
        <x:f>'Inventory inputs'!Q333</x:f>
        <x:v>17.28</x:v>
      </x:c>
      <x:c r="O333" s="9" t="n">
        <x:f>N333-M333</x:f>
        <x:v>0</x:v>
      </x:c>
      <x:c r="P333" s="1" t="n">
        <x:f>SUMIFS('Incoming POs'!$P$2:$P$305,'Incoming POs'!$A$2:$A$305,A333,'Incoming POs'!$B$2:$B$305,B333,'Incoming POs'!$C$2:$C$305,C333,'Incoming POs'!$G$2:$G$305,"&gt;="&amp;D333,'Incoming POs'!$G$2:$G$305,"&lt;"&amp;Dashboard!$I$5)</x:f>
        <x:v>0</x:v>
      </x:c>
      <x:c r="Q333" s="1" t="n">
        <x:f>F333*Dashboard!$L$5*MAX(0,Dashboard!$I$5-D333)/30.4375</x:f>
        <x:v>221.77034907597536</x:v>
      </x:c>
      <x:c r="R333" s="1" t="n">
        <x:f>MAX(0,E333+P333-Q333)</x:f>
        <x:v>578.2296509240247</x:v>
      </x:c>
      <x:c r="S333" s="1" t="n">
        <x:f>MAX(0,Q333-E333-P333)</x:f>
        <x:v>0</x:v>
      </x:c>
      <x:c r="T333" s="1" t="str">
        <x:f>IF(L333=1,MAX(0,I333+AB333-MIN(Q333,E333+P333)),"n.a.")</x:f>
        <x:v>n.a.</x:v>
      </x:c>
      <x:c r="U333" s="9" t="str">
        <x:f>IF(ISNUMBER(T333),T333*G333,"n.a.")</x:f>
        <x:v>n.a.</x:v>
      </x:c>
      <x:c r="V333" s="25" t="n">
        <x:f>IF(Dashboard!$I$6="Flat %",1,IF(ISNUMBER(H333),1,0))</x:f>
        <x:v>1</x:v>
      </x:c>
      <x:c r="W333" s="9" t="n">
        <x:f>IF(Dashboard!$I$6="Flat %",G333*(1+Dashboard!$L$6),H333)</x:f>
        <x:v>0.025284</x:v>
      </x:c>
      <x:c r="X333" s="9" t="n">
        <x:f>IF(V333=1,R333*(W333-G333),"n.a.")</x:f>
        <x:v>2.1301980340041067</x:v>
      </x:c>
      <x:c r="Y333" s="9" t="n">
        <x:f>IF(V333=1,R333*W333,"n.a.")</x:f>
        <x:v>14.61995849396304</x:v>
      </x:c>
      <x:c r="Z333" s="1" t="str">
        <x:f>IF(ISNUMBER(T333),R333-T333,"n.a.")</x:f>
        <x:v>n.a.</x:v>
      </x:c>
      <x:c r="AA333" s="1" t="str">
        <x:f>'Inventory inputs'!R333</x:f>
        <x:v>Review receipt reconciliation or original PO baseline</x:v>
      </x:c>
      <x:c r="AB333" s="1" t="str">
        <x:f>IF(L333=1,SUMIFS('Incoming POs'!$P$2:$P$305,'Incoming POs'!$A$2:$A$305,A333,'Incoming POs'!$B$2:$B$305,B333,'Incoming POs'!$C$2:$C$305,C333,'Incoming POs'!$G$2:$G$305,"&gt;="&amp;D333,'Incoming POs'!$G$2:$G$305,"&lt;"&amp;Dashboard!$I$5,'Incoming POs'!$Q$2:$Q$305,"&lt;="&amp;('Inventory inputs'!P333/'Inventory inputs'!J333*1.01)),"n.a.")</x:f>
        <x:v>n.a.</x:v>
      </x:c>
      <x:c r="AC333" s="9" t="n">
        <x:f>I333*G333</x:f>
        <x:v>0</x:v>
      </x:c>
      <x:c r="AD333" s="9" t="n">
        <x:f>J333*G333</x:f>
        <x:v>0</x:v>
      </x:c>
      <x:c r="AE333" s="9" t="n">
        <x:f>K333*G333</x:f>
        <x:v>17.28</x:v>
      </x:c>
      <x:c r="AF333" s="9" t="n">
        <x:f>R333*G333</x:f>
        <x:v>12.489760459958934</x:v>
      </x:c>
    </x:row>
    <x:row r="334" ht="21" customHeight="1">
      <x:c r="A334" s="1" t="str">
        <x:f>'Inventory inputs'!A334</x:f>
        <x:v>PLAS</x:v>
      </x:c>
      <x:c r="B334" s="1" t="str">
        <x:f>'Inventory inputs'!B334</x:f>
        <x:v>30</x:v>
      </x:c>
      <x:c r="C334" s="1" t="str">
        <x:f>'Inventory inputs'!C334</x:f>
        <x:v>71619RWBFG</x:v>
      </x:c>
      <x:c r="D334" s="7" t="n">
        <x:f>'Inventory inputs'!E334</x:f>
        <x:v>46303</x:v>
      </x:c>
      <x:c r="E334" s="1" t="n">
        <x:f>'Inventory inputs'!F334</x:f>
        <x:v>900</x:v>
      </x:c>
      <x:c r="F334" s="1" t="n">
        <x:f>'Inventory inputs'!G334</x:f>
        <x:v>166.67</x:v>
      </x:c>
      <x:c r="G334" s="1" t="n">
        <x:f>'Inventory inputs'!H334/'Inventory inputs'!J334</x:f>
        <x:v>0.0315</x:v>
      </x:c>
      <x:c r="H334" s="1" t="n">
        <x:f>IF('Inventory inputs'!I334&gt;0,'Inventory inputs'!I334*'Inventory inputs'!K334/'Inventory inputs'!J334,"n.a.")</x:f>
        <x:v>0.03675</x:v>
      </x:c>
      <x:c r="I334" s="1" t="n">
        <x:f>'Inventory inputs'!L334</x:f>
        <x:v>0</x:v>
      </x:c>
      <x:c r="J334" s="1" t="n">
        <x:f>'Inventory inputs'!M334</x:f>
        <x:v>0</x:v>
      </x:c>
      <x:c r="K334" s="1" t="n">
        <x:f>'Inventory inputs'!N334</x:f>
        <x:v>900</x:v>
      </x:c>
      <x:c r="L334" s="1" t="n">
        <x:f>'Inventory inputs'!O334</x:f>
        <x:v>0</x:v>
      </x:c>
      <x:c r="M334" s="9" t="n">
        <x:f>E334*G334</x:f>
        <x:v>28.35</x:v>
      </x:c>
      <x:c r="N334" s="9" t="n">
        <x:f>'Inventory inputs'!Q334</x:f>
        <x:v>28.35</x:v>
      </x:c>
      <x:c r="O334" s="9" t="n">
        <x:f>N334-M334</x:f>
        <x:v>0</x:v>
      </x:c>
      <x:c r="P334" s="1" t="n">
        <x:f>SUMIFS('Incoming POs'!$P$2:$P$305,'Incoming POs'!$A$2:$A$305,A334,'Incoming POs'!$B$2:$B$305,B334,'Incoming POs'!$C$2:$C$305,C334,'Incoming POs'!$G$2:$G$305,"&gt;="&amp;D334,'Incoming POs'!$G$2:$G$305,"&lt;"&amp;Dashboard!$I$5)</x:f>
        <x:v>0</x:v>
      </x:c>
      <x:c r="Q334" s="1" t="n">
        <x:f>F334*Dashboard!$L$5*MAX(0,Dashboard!$I$5-D334)/30.4375</x:f>
        <x:v>221.77034907597536</x:v>
      </x:c>
      <x:c r="R334" s="1" t="n">
        <x:f>MAX(0,E334+P334-Q334)</x:f>
        <x:v>678.2296509240247</x:v>
      </x:c>
      <x:c r="S334" s="1" t="n">
        <x:f>MAX(0,Q334-E334-P334)</x:f>
        <x:v>0</x:v>
      </x:c>
      <x:c r="T334" s="1" t="str">
        <x:f>IF(L334=1,MAX(0,I334+AB334-MIN(Q334,E334+P334)),"n.a.")</x:f>
        <x:v>n.a.</x:v>
      </x:c>
      <x:c r="U334" s="9" t="str">
        <x:f>IF(ISNUMBER(T334),T334*G334,"n.a.")</x:f>
        <x:v>n.a.</x:v>
      </x:c>
      <x:c r="V334" s="25" t="n">
        <x:f>IF(Dashboard!$I$6="Flat %",1,IF(ISNUMBER(H334),1,0))</x:f>
        <x:v>1</x:v>
      </x:c>
      <x:c r="W334" s="9" t="n">
        <x:f>IF(Dashboard!$I$6="Flat %",G334*(1+Dashboard!$L$6),H334)</x:f>
        <x:v>0.03675</x:v>
      </x:c>
      <x:c r="X334" s="9" t="n">
        <x:f>IF(V334=1,R334*(W334-G334),"n.a.")</x:f>
        <x:v>3.560705667351128</x:v>
      </x:c>
      <x:c r="Y334" s="9" t="n">
        <x:f>IF(V334=1,R334*W334,"n.a.")</x:f>
        <x:v>24.924939671457906</x:v>
      </x:c>
      <x:c r="Z334" s="1" t="str">
        <x:f>IF(ISNUMBER(T334),R334-T334,"n.a.")</x:f>
        <x:v>n.a.</x:v>
      </x:c>
      <x:c r="AA334" s="1" t="str">
        <x:f>'Inventory inputs'!R334</x:f>
        <x:v>Review receipt reconciliation or original PO baseline</x:v>
      </x:c>
      <x:c r="AB334" s="1" t="str">
        <x:f>IF(L334=1,SUMIFS('Incoming POs'!$P$2:$P$305,'Incoming POs'!$A$2:$A$305,A334,'Incoming POs'!$B$2:$B$305,B334,'Incoming POs'!$C$2:$C$305,C334,'Incoming POs'!$G$2:$G$305,"&gt;="&amp;D334,'Incoming POs'!$G$2:$G$305,"&lt;"&amp;Dashboard!$I$5,'Incoming POs'!$Q$2:$Q$305,"&lt;="&amp;('Inventory inputs'!P334/'Inventory inputs'!J334*1.01)),"n.a.")</x:f>
        <x:v>n.a.</x:v>
      </x:c>
      <x:c r="AC334" s="9" t="n">
        <x:f>I334*G334</x:f>
        <x:v>0</x:v>
      </x:c>
      <x:c r="AD334" s="9" t="n">
        <x:f>J334*G334</x:f>
        <x:v>0</x:v>
      </x:c>
      <x:c r="AE334" s="9" t="n">
        <x:f>K334*G334</x:f>
        <x:v>28.35</x:v>
      </x:c>
      <x:c r="AF334" s="9" t="n">
        <x:f>R334*G334</x:f>
        <x:v>21.364234004106777</x:v>
      </x:c>
    </x:row>
    <x:row r="335" ht="21" customHeight="1">
      <x:c r="A335" s="1" t="str">
        <x:f>'Inventory inputs'!A335</x:f>
        <x:v>PLAS</x:v>
      </x:c>
      <x:c r="B335" s="1" t="str">
        <x:f>'Inventory inputs'!B335</x:f>
        <x:v>30</x:v>
      </x:c>
      <x:c r="C335" s="1" t="str">
        <x:f>'Inventory inputs'!C335</x:f>
        <x:v>71619RWBRED</x:v>
      </x:c>
      <x:c r="D335" s="7" t="n">
        <x:f>'Inventory inputs'!E335</x:f>
        <x:v>46303</x:v>
      </x:c>
      <x:c r="E335" s="1" t="n">
        <x:f>'Inventory inputs'!F335</x:f>
        <x:v>800</x:v>
      </x:c>
      <x:c r="F335" s="1" t="n">
        <x:f>'Inventory inputs'!G335</x:f>
        <x:v>166.67</x:v>
      </x:c>
      <x:c r="G335" s="1" t="n">
        <x:f>'Inventory inputs'!H335/'Inventory inputs'!J335</x:f>
        <x:v>0.0315</x:v>
      </x:c>
      <x:c r="H335" s="1" t="n">
        <x:f>IF('Inventory inputs'!I335&gt;0,'Inventory inputs'!I335*'Inventory inputs'!K335/'Inventory inputs'!J335,"n.a.")</x:f>
        <x:v>0.03675</x:v>
      </x:c>
      <x:c r="I335" s="1" t="n">
        <x:f>'Inventory inputs'!L335</x:f>
        <x:v>0</x:v>
      </x:c>
      <x:c r="J335" s="1" t="n">
        <x:f>'Inventory inputs'!M335</x:f>
        <x:v>0</x:v>
      </x:c>
      <x:c r="K335" s="1" t="n">
        <x:f>'Inventory inputs'!N335</x:f>
        <x:v>800</x:v>
      </x:c>
      <x:c r="L335" s="1" t="n">
        <x:f>'Inventory inputs'!O335</x:f>
        <x:v>0</x:v>
      </x:c>
      <x:c r="M335" s="9" t="n">
        <x:f>E335*G335</x:f>
        <x:v>25.2</x:v>
      </x:c>
      <x:c r="N335" s="9" t="n">
        <x:f>'Inventory inputs'!Q335</x:f>
        <x:v>25.2</x:v>
      </x:c>
      <x:c r="O335" s="9" t="n">
        <x:f>N335-M335</x:f>
        <x:v>0</x:v>
      </x:c>
      <x:c r="P335" s="1" t="n">
        <x:f>SUMIFS('Incoming POs'!$P$2:$P$305,'Incoming POs'!$A$2:$A$305,A335,'Incoming POs'!$B$2:$B$305,B335,'Incoming POs'!$C$2:$C$305,C335,'Incoming POs'!$G$2:$G$305,"&gt;="&amp;D335,'Incoming POs'!$G$2:$G$305,"&lt;"&amp;Dashboard!$I$5)</x:f>
        <x:v>0</x:v>
      </x:c>
      <x:c r="Q335" s="1" t="n">
        <x:f>F335*Dashboard!$L$5*MAX(0,Dashboard!$I$5-D335)/30.4375</x:f>
        <x:v>221.77034907597536</x:v>
      </x:c>
      <x:c r="R335" s="1" t="n">
        <x:f>MAX(0,E335+P335-Q335)</x:f>
        <x:v>578.2296509240247</x:v>
      </x:c>
      <x:c r="S335" s="1" t="n">
        <x:f>MAX(0,Q335-E335-P335)</x:f>
        <x:v>0</x:v>
      </x:c>
      <x:c r="T335" s="1" t="str">
        <x:f>IF(L335=1,MAX(0,I335+AB335-MIN(Q335,E335+P335)),"n.a.")</x:f>
        <x:v>n.a.</x:v>
      </x:c>
      <x:c r="U335" s="9" t="str">
        <x:f>IF(ISNUMBER(T335),T335*G335,"n.a.")</x:f>
        <x:v>n.a.</x:v>
      </x:c>
      <x:c r="V335" s="25" t="n">
        <x:f>IF(Dashboard!$I$6="Flat %",1,IF(ISNUMBER(H335),1,0))</x:f>
        <x:v>1</x:v>
      </x:c>
      <x:c r="W335" s="9" t="n">
        <x:f>IF(Dashboard!$I$6="Flat %",G335*(1+Dashboard!$L$6),H335)</x:f>
        <x:v>0.03675</x:v>
      </x:c>
      <x:c r="X335" s="9" t="n">
        <x:f>IF(V335=1,R335*(W335-G335),"n.a.")</x:f>
        <x:v>3.0357056673511282</x:v>
      </x:c>
      <x:c r="Y335" s="9" t="n">
        <x:f>IF(V335=1,R335*W335,"n.a.")</x:f>
        <x:v>21.249939671457906</x:v>
      </x:c>
      <x:c r="Z335" s="1" t="str">
        <x:f>IF(ISNUMBER(T335),R335-T335,"n.a.")</x:f>
        <x:v>n.a.</x:v>
      </x:c>
      <x:c r="AA335" s="1" t="str">
        <x:f>'Inventory inputs'!R335</x:f>
        <x:v>Review receipt reconciliation or original PO baseline</x:v>
      </x:c>
      <x:c r="AB335" s="1" t="str">
        <x:f>IF(L335=1,SUMIFS('Incoming POs'!$P$2:$P$305,'Incoming POs'!$A$2:$A$305,A335,'Incoming POs'!$B$2:$B$305,B335,'Incoming POs'!$C$2:$C$305,C335,'Incoming POs'!$G$2:$G$305,"&gt;="&amp;D335,'Incoming POs'!$G$2:$G$305,"&lt;"&amp;Dashboard!$I$5,'Incoming POs'!$Q$2:$Q$305,"&lt;="&amp;('Inventory inputs'!P335/'Inventory inputs'!J335*1.01)),"n.a.")</x:f>
        <x:v>n.a.</x:v>
      </x:c>
      <x:c r="AC335" s="9" t="n">
        <x:f>I335*G335</x:f>
        <x:v>0</x:v>
      </x:c>
      <x:c r="AD335" s="9" t="n">
        <x:f>J335*G335</x:f>
        <x:v>0</x:v>
      </x:c>
      <x:c r="AE335" s="9" t="n">
        <x:f>K335*G335</x:f>
        <x:v>25.2</x:v>
      </x:c>
      <x:c r="AF335" s="9" t="n">
        <x:f>R335*G335</x:f>
        <x:v>18.21423400410678</x:v>
      </x:c>
    </x:row>
    <x:row r="336" ht="21" customHeight="1">
      <x:c r="A336" s="1" t="str">
        <x:f>'Inventory inputs'!A336</x:f>
        <x:v>PLAS</x:v>
      </x:c>
      <x:c r="B336" s="1" t="str">
        <x:f>'Inventory inputs'!B336</x:f>
        <x:v>60</x:v>
      </x:c>
      <x:c r="C336" s="1" t="str">
        <x:f>'Inventory inputs'!C336</x:f>
        <x:v>03419RWBBLU</x:v>
      </x:c>
      <x:c r="D336" s="7" t="n">
        <x:f>'Inventory inputs'!E336</x:f>
        <x:v>46303</x:v>
      </x:c>
      <x:c r="E336" s="1" t="n">
        <x:f>'Inventory inputs'!F336</x:f>
        <x:v>300</x:v>
      </x:c>
      <x:c r="F336" s="1" t="n">
        <x:f>'Inventory inputs'!G336</x:f>
        <x:v>166.67</x:v>
      </x:c>
      <x:c r="G336" s="1" t="n">
        <x:f>'Inventory inputs'!H336/'Inventory inputs'!J336</x:f>
        <x:v>0.0625</x:v>
      </x:c>
      <x:c r="H336" s="1" t="n">
        <x:f>IF('Inventory inputs'!I336&gt;0,'Inventory inputs'!I336*'Inventory inputs'!K336/'Inventory inputs'!J336,"n.a.")</x:f>
        <x:v>0.073059</x:v>
      </x:c>
      <x:c r="I336" s="1" t="n">
        <x:f>'Inventory inputs'!L336</x:f>
        <x:v>0</x:v>
      </x:c>
      <x:c r="J336" s="1" t="n">
        <x:f>'Inventory inputs'!M336</x:f>
        <x:v>0</x:v>
      </x:c>
      <x:c r="K336" s="1" t="n">
        <x:f>'Inventory inputs'!N336</x:f>
        <x:v>300</x:v>
      </x:c>
      <x:c r="L336" s="1" t="n">
        <x:f>'Inventory inputs'!O336</x:f>
        <x:v>0</x:v>
      </x:c>
      <x:c r="M336" s="9" t="n">
        <x:f>E336*G336</x:f>
        <x:v>18.75</x:v>
      </x:c>
      <x:c r="N336" s="9" t="n">
        <x:f>'Inventory inputs'!Q336</x:f>
        <x:v>18.75</x:v>
      </x:c>
      <x:c r="O336" s="9" t="n">
        <x:f>N336-M336</x:f>
        <x:v>0</x:v>
      </x:c>
      <x:c r="P336" s="1" t="n">
        <x:f>SUMIFS('Incoming POs'!$P$2:$P$305,'Incoming POs'!$A$2:$A$305,A336,'Incoming POs'!$B$2:$B$305,B336,'Incoming POs'!$C$2:$C$305,C336,'Incoming POs'!$G$2:$G$305,"&gt;="&amp;D336,'Incoming POs'!$G$2:$G$305,"&lt;"&amp;Dashboard!$I$5)</x:f>
        <x:v>0</x:v>
      </x:c>
      <x:c r="Q336" s="1" t="n">
        <x:f>F336*Dashboard!$L$5*MAX(0,Dashboard!$I$5-D336)/30.4375</x:f>
        <x:v>221.77034907597536</x:v>
      </x:c>
      <x:c r="R336" s="1" t="n">
        <x:f>MAX(0,E336+P336-Q336)</x:f>
        <x:v>78.22965092402464</x:v>
      </x:c>
      <x:c r="S336" s="1" t="n">
        <x:f>MAX(0,Q336-E336-P336)</x:f>
        <x:v>0</x:v>
      </x:c>
      <x:c r="T336" s="1" t="str">
        <x:f>IF(L336=1,MAX(0,I336+AB336-MIN(Q336,E336+P336)),"n.a.")</x:f>
        <x:v>n.a.</x:v>
      </x:c>
      <x:c r="U336" s="9" t="str">
        <x:f>IF(ISNUMBER(T336),T336*G336,"n.a.")</x:f>
        <x:v>n.a.</x:v>
      </x:c>
      <x:c r="V336" s="25" t="n">
        <x:f>IF(Dashboard!$I$6="Flat %",1,IF(ISNUMBER(H336),1,0))</x:f>
        <x:v>1</x:v>
      </x:c>
      <x:c r="W336" s="9" t="n">
        <x:f>IF(Dashboard!$I$6="Flat %",G336*(1+Dashboard!$L$6),H336)</x:f>
        <x:v>0.073059</x:v>
      </x:c>
      <x:c r="X336" s="9" t="n">
        <x:f>IF(V336=1,R336*(W336-G336),"n.a.")</x:f>
        <x:v>0.826026884106776</x:v>
      </x:c>
      <x:c r="Y336" s="9" t="n">
        <x:f>IF(V336=1,R336*W336,"n.a.")</x:f>
        <x:v>5.715380066858316</x:v>
      </x:c>
      <x:c r="Z336" s="1" t="str">
        <x:f>IF(ISNUMBER(T336),R336-T336,"n.a.")</x:f>
        <x:v>n.a.</x:v>
      </x:c>
      <x:c r="AA336" s="1" t="str">
        <x:f>'Inventory inputs'!R336</x:f>
        <x:v>Review receipt reconciliation or original PO baseline</x:v>
      </x:c>
      <x:c r="AB336" s="1" t="str">
        <x:f>IF(L336=1,SUMIFS('Incoming POs'!$P$2:$P$305,'Incoming POs'!$A$2:$A$305,A336,'Incoming POs'!$B$2:$B$305,B336,'Incoming POs'!$C$2:$C$305,C336,'Incoming POs'!$G$2:$G$305,"&gt;="&amp;D336,'Incoming POs'!$G$2:$G$305,"&lt;"&amp;Dashboard!$I$5,'Incoming POs'!$Q$2:$Q$305,"&lt;="&amp;('Inventory inputs'!P336/'Inventory inputs'!J336*1.01)),"n.a.")</x:f>
        <x:v>n.a.</x:v>
      </x:c>
      <x:c r="AC336" s="9" t="n">
        <x:f>I336*G336</x:f>
        <x:v>0</x:v>
      </x:c>
      <x:c r="AD336" s="9" t="n">
        <x:f>J336*G336</x:f>
        <x:v>0</x:v>
      </x:c>
      <x:c r="AE336" s="9" t="n">
        <x:f>K336*G336</x:f>
        <x:v>18.75</x:v>
      </x:c>
      <x:c r="AF336" s="9" t="n">
        <x:f>R336*G336</x:f>
        <x:v>4.88935318275154</x:v>
      </x:c>
    </x:row>
    <x:row r="337" ht="21" customHeight="1">
      <x:c r="A337" s="1" t="str">
        <x:f>'Inventory inputs'!A337</x:f>
        <x:v>PLAS</x:v>
      </x:c>
      <x:c r="B337" s="1" t="str">
        <x:f>'Inventory inputs'!B337</x:f>
        <x:v>60</x:v>
      </x:c>
      <x:c r="C337" s="1" t="str">
        <x:f>'Inventory inputs'!C337</x:f>
        <x:v>71619RWBBLU</x:v>
      </x:c>
      <x:c r="D337" s="7" t="n">
        <x:f>'Inventory inputs'!E337</x:f>
        <x:v>46303</x:v>
      </x:c>
      <x:c r="E337" s="1" t="n">
        <x:f>'Inventory inputs'!F337</x:f>
        <x:v>3100</x:v>
      </x:c>
      <x:c r="F337" s="1" t="n">
        <x:f>'Inventory inputs'!G337</x:f>
        <x:v>166.67</x:v>
      </x:c>
      <x:c r="G337" s="1" t="n">
        <x:f>'Inventory inputs'!H337/'Inventory inputs'!J337</x:f>
        <x:v>0.0315</x:v>
      </x:c>
      <x:c r="H337" s="1" t="n">
        <x:f>IF('Inventory inputs'!I337&gt;0,'Inventory inputs'!I337*'Inventory inputs'!K337/'Inventory inputs'!J337,"n.a.")</x:f>
        <x:v>0.03675</x:v>
      </x:c>
      <x:c r="I337" s="1" t="n">
        <x:f>'Inventory inputs'!L337</x:f>
        <x:v>0</x:v>
      </x:c>
      <x:c r="J337" s="1" t="n">
        <x:f>'Inventory inputs'!M337</x:f>
        <x:v>0</x:v>
      </x:c>
      <x:c r="K337" s="1" t="n">
        <x:f>'Inventory inputs'!N337</x:f>
        <x:v>3100</x:v>
      </x:c>
      <x:c r="L337" s="1" t="n">
        <x:f>'Inventory inputs'!O337</x:f>
        <x:v>0</x:v>
      </x:c>
      <x:c r="M337" s="9" t="n">
        <x:f>E337*G337</x:f>
        <x:v>97.65</x:v>
      </x:c>
      <x:c r="N337" s="9" t="n">
        <x:f>'Inventory inputs'!Q337</x:f>
        <x:v>97.65</x:v>
      </x:c>
      <x:c r="O337" s="9" t="n">
        <x:f>N337-M337</x:f>
        <x:v>0</x:v>
      </x:c>
      <x:c r="P337" s="1" t="n">
        <x:f>SUMIFS('Incoming POs'!$P$2:$P$305,'Incoming POs'!$A$2:$A$305,A337,'Incoming POs'!$B$2:$B$305,B337,'Incoming POs'!$C$2:$C$305,C337,'Incoming POs'!$G$2:$G$305,"&gt;="&amp;D337,'Incoming POs'!$G$2:$G$305,"&lt;"&amp;Dashboard!$I$5)</x:f>
        <x:v>0</x:v>
      </x:c>
      <x:c r="Q337" s="1" t="n">
        <x:f>F337*Dashboard!$L$5*MAX(0,Dashboard!$I$5-D337)/30.4375</x:f>
        <x:v>221.77034907597536</x:v>
      </x:c>
      <x:c r="R337" s="1" t="n">
        <x:f>MAX(0,E337+P337-Q337)</x:f>
        <x:v>2878.2296509240246</x:v>
      </x:c>
      <x:c r="S337" s="1" t="n">
        <x:f>MAX(0,Q337-E337-P337)</x:f>
        <x:v>0</x:v>
      </x:c>
      <x:c r="T337" s="1" t="str">
        <x:f>IF(L337=1,MAX(0,I337+AB337-MIN(Q337,E337+P337)),"n.a.")</x:f>
        <x:v>n.a.</x:v>
      </x:c>
      <x:c r="U337" s="9" t="str">
        <x:f>IF(ISNUMBER(T337),T337*G337,"n.a.")</x:f>
        <x:v>n.a.</x:v>
      </x:c>
      <x:c r="V337" s="25" t="n">
        <x:f>IF(Dashboard!$I$6="Flat %",1,IF(ISNUMBER(H337),1,0))</x:f>
        <x:v>1</x:v>
      </x:c>
      <x:c r="W337" s="9" t="n">
        <x:f>IF(Dashboard!$I$6="Flat %",G337*(1+Dashboard!$L$6),H337)</x:f>
        <x:v>0.03675</x:v>
      </x:c>
      <x:c r="X337" s="9" t="n">
        <x:f>IF(V337=1,R337*(W337-G337),"n.a.")</x:f>
        <x:v>15.110705667351123</x:v>
      </x:c>
      <x:c r="Y337" s="9" t="n">
        <x:f>IF(V337=1,R337*W337,"n.a.")</x:f>
        <x:v>105.7749396714579</x:v>
      </x:c>
      <x:c r="Z337" s="1" t="str">
        <x:f>IF(ISNUMBER(T337),R337-T337,"n.a.")</x:f>
        <x:v>n.a.</x:v>
      </x:c>
      <x:c r="AA337" s="1" t="str">
        <x:f>'Inventory inputs'!R337</x:f>
        <x:v>Review receipt reconciliation or original PO baseline</x:v>
      </x:c>
      <x:c r="AB337" s="1" t="str">
        <x:f>IF(L337=1,SUMIFS('Incoming POs'!$P$2:$P$305,'Incoming POs'!$A$2:$A$305,A337,'Incoming POs'!$B$2:$B$305,B337,'Incoming POs'!$C$2:$C$305,C337,'Incoming POs'!$G$2:$G$305,"&gt;="&amp;D337,'Incoming POs'!$G$2:$G$305,"&lt;"&amp;Dashboard!$I$5,'Incoming POs'!$Q$2:$Q$305,"&lt;="&amp;('Inventory inputs'!P337/'Inventory inputs'!J337*1.01)),"n.a.")</x:f>
        <x:v>n.a.</x:v>
      </x:c>
      <x:c r="AC337" s="9" t="n">
        <x:f>I337*G337</x:f>
        <x:v>0</x:v>
      </x:c>
      <x:c r="AD337" s="9" t="n">
        <x:f>J337*G337</x:f>
        <x:v>0</x:v>
      </x:c>
      <x:c r="AE337" s="9" t="n">
        <x:f>K337*G337</x:f>
        <x:v>97.65</x:v>
      </x:c>
      <x:c r="AF337" s="9" t="n">
        <x:f>R337*G337</x:f>
        <x:v>90.66423400410677</x:v>
      </x:c>
    </x:row>
    <x:row r="338" ht="21" customHeight="1">
      <x:c r="A338" s="1" t="str">
        <x:f>'Inventory inputs'!A338</x:f>
        <x:v>PLAS</x:v>
      </x:c>
      <x:c r="B338" s="1" t="str">
        <x:f>'Inventory inputs'!B338</x:f>
        <x:v>60</x:v>
      </x:c>
      <x:c r="C338" s="1" t="str">
        <x:f>'Inventory inputs'!C338</x:f>
        <x:v>91619RWBNAV</x:v>
      </x:c>
      <x:c r="D338" s="7" t="n">
        <x:f>'Inventory inputs'!E338</x:f>
        <x:v>46303</x:v>
      </x:c>
      <x:c r="E338" s="1" t="n">
        <x:f>'Inventory inputs'!F338</x:f>
        <x:v>1900</x:v>
      </x:c>
      <x:c r="F338" s="1" t="n">
        <x:f>'Inventory inputs'!G338</x:f>
        <x:v>166.67</x:v>
      </x:c>
      <x:c r="G338" s="1" t="n">
        <x:f>'Inventory inputs'!H338/'Inventory inputs'!J338</x:f>
        <x:v>0.042800000000000005</x:v>
      </x:c>
      <x:c r="H338" s="1" t="n">
        <x:f>IF('Inventory inputs'!I338&gt;0,'Inventory inputs'!I338*'Inventory inputs'!K338/'Inventory inputs'!J338,"n.a.")</x:f>
        <x:v>0.049980000000000004</x:v>
      </x:c>
      <x:c r="I338" s="1" t="n">
        <x:f>'Inventory inputs'!L338</x:f>
        <x:v>0</x:v>
      </x:c>
      <x:c r="J338" s="1" t="n">
        <x:f>'Inventory inputs'!M338</x:f>
        <x:v>0</x:v>
      </x:c>
      <x:c r="K338" s="1" t="n">
        <x:f>'Inventory inputs'!N338</x:f>
        <x:v>1900</x:v>
      </x:c>
      <x:c r="L338" s="1" t="n">
        <x:f>'Inventory inputs'!O338</x:f>
        <x:v>0</x:v>
      </x:c>
      <x:c r="M338" s="9" t="n">
        <x:f>E338*G338</x:f>
        <x:v>81.32000000000001</x:v>
      </x:c>
      <x:c r="N338" s="9" t="n">
        <x:f>'Inventory inputs'!Q338</x:f>
        <x:v>81.32000000000001</x:v>
      </x:c>
      <x:c r="O338" s="9" t="n">
        <x:f>N338-M338</x:f>
        <x:v>0</x:v>
      </x:c>
      <x:c r="P338" s="1" t="n">
        <x:f>SUMIFS('Incoming POs'!$P$2:$P$305,'Incoming POs'!$A$2:$A$305,A338,'Incoming POs'!$B$2:$B$305,B338,'Incoming POs'!$C$2:$C$305,C338,'Incoming POs'!$G$2:$G$305,"&gt;="&amp;D338,'Incoming POs'!$G$2:$G$305,"&lt;"&amp;Dashboard!$I$5)</x:f>
        <x:v>0</x:v>
      </x:c>
      <x:c r="Q338" s="1" t="n">
        <x:f>F338*Dashboard!$L$5*MAX(0,Dashboard!$I$5-D338)/30.4375</x:f>
        <x:v>221.77034907597536</x:v>
      </x:c>
      <x:c r="R338" s="1" t="n">
        <x:f>MAX(0,E338+P338-Q338)</x:f>
        <x:v>1678.2296509240246</x:v>
      </x:c>
      <x:c r="S338" s="1" t="n">
        <x:f>MAX(0,Q338-E338-P338)</x:f>
        <x:v>0</x:v>
      </x:c>
      <x:c r="T338" s="1" t="str">
        <x:f>IF(L338=1,MAX(0,I338+AB338-MIN(Q338,E338+P338)),"n.a.")</x:f>
        <x:v>n.a.</x:v>
      </x:c>
      <x:c r="U338" s="9" t="str">
        <x:f>IF(ISNUMBER(T338),T338*G338,"n.a.")</x:f>
        <x:v>n.a.</x:v>
      </x:c>
      <x:c r="V338" s="25" t="n">
        <x:f>IF(Dashboard!$I$6="Flat %",1,IF(ISNUMBER(H338),1,0))</x:f>
        <x:v>1</x:v>
      </x:c>
      <x:c r="W338" s="9" t="n">
        <x:f>IF(Dashboard!$I$6="Flat %",G338*(1+Dashboard!$L$6),H338)</x:f>
        <x:v>0.049980000000000004</x:v>
      </x:c>
      <x:c r="X338" s="9" t="n">
        <x:f>IF(V338=1,R338*(W338-G338),"n.a.")</x:f>
        <x:v>12.049688893634494</x:v>
      </x:c>
      <x:c r="Y338" s="9" t="n">
        <x:f>IF(V338=1,R338*W338,"n.a.")</x:f>
        <x:v>83.87791795318276</x:v>
      </x:c>
      <x:c r="Z338" s="1" t="str">
        <x:f>IF(ISNUMBER(T338),R338-T338,"n.a.")</x:f>
        <x:v>n.a.</x:v>
      </x:c>
      <x:c r="AA338" s="1" t="str">
        <x:f>'Inventory inputs'!R338</x:f>
        <x:v>Review receipt reconciliation or original PO baseline</x:v>
      </x:c>
      <x:c r="AB338" s="1" t="str">
        <x:f>IF(L338=1,SUMIFS('Incoming POs'!$P$2:$P$305,'Incoming POs'!$A$2:$A$305,A338,'Incoming POs'!$B$2:$B$305,B338,'Incoming POs'!$C$2:$C$305,C338,'Incoming POs'!$G$2:$G$305,"&gt;="&amp;D338,'Incoming POs'!$G$2:$G$305,"&lt;"&amp;Dashboard!$I$5,'Incoming POs'!$Q$2:$Q$305,"&lt;="&amp;('Inventory inputs'!P338/'Inventory inputs'!J338*1.01)),"n.a.")</x:f>
        <x:v>n.a.</x:v>
      </x:c>
      <x:c r="AC338" s="9" t="n">
        <x:f>I338*G338</x:f>
        <x:v>0</x:v>
      </x:c>
      <x:c r="AD338" s="9" t="n">
        <x:f>J338*G338</x:f>
        <x:v>0</x:v>
      </x:c>
      <x:c r="AE338" s="9" t="n">
        <x:f>K338*G338</x:f>
        <x:v>81.32000000000001</x:v>
      </x:c>
      <x:c r="AF338" s="9" t="n">
        <x:f>R338*G338</x:f>
        <x:v>71.82822905954826</x:v>
      </x:c>
    </x:row>
    <x:row r="339" ht="21" customHeight="1">
      <x:c r="A339" s="1" t="str">
        <x:f>'Inventory inputs'!A339</x:f>
        <x:v>PLAS</x:v>
      </x:c>
      <x:c r="B339" s="1" t="str">
        <x:f>'Inventory inputs'!B339</x:f>
        <x:v>10</x:v>
      </x:c>
      <x:c r="C339" s="1" t="str">
        <x:f>'Inventory inputs'!C339</x:f>
        <x:v>91615RWBRED</x:v>
      </x:c>
      <x:c r="D339" s="7" t="n">
        <x:f>'Inventory inputs'!E339</x:f>
        <x:v>46303</x:v>
      </x:c>
      <x:c r="E339" s="1" t="n">
        <x:f>'Inventory inputs'!F339</x:f>
        <x:v>6175</x:v>
      </x:c>
      <x:c r="F339" s="1" t="n">
        <x:f>'Inventory inputs'!G339</x:f>
        <x:v>152.08</x:v>
      </x:c>
      <x:c r="G339" s="1" t="n">
        <x:f>'Inventory inputs'!H339/'Inventory inputs'!J339</x:f>
        <x:v>0.0246</x:v>
      </x:c>
      <x:c r="H339" s="1" t="n">
        <x:f>IF('Inventory inputs'!I339&gt;0,'Inventory inputs'!I339*'Inventory inputs'!K339/'Inventory inputs'!J339,"n.a.")</x:f>
        <x:v>0.034103999999999995</x:v>
      </x:c>
      <x:c r="I339" s="1" t="n">
        <x:f>'Inventory inputs'!L339</x:f>
        <x:v>0</x:v>
      </x:c>
      <x:c r="J339" s="1" t="n">
        <x:f>'Inventory inputs'!M339</x:f>
        <x:v>0</x:v>
      </x:c>
      <x:c r="K339" s="1" t="n">
        <x:f>'Inventory inputs'!N339</x:f>
        <x:v>6175</x:v>
      </x:c>
      <x:c r="L339" s="1" t="n">
        <x:f>'Inventory inputs'!O339</x:f>
        <x:v>0</x:v>
      </x:c>
      <x:c r="M339" s="9" t="n">
        <x:f>E339*G339</x:f>
        <x:v>151.905</x:v>
      </x:c>
      <x:c r="N339" s="9" t="n">
        <x:f>'Inventory inputs'!Q339</x:f>
        <x:v>151.905</x:v>
      </x:c>
      <x:c r="O339" s="9" t="n">
        <x:f>N339-M339</x:f>
        <x:v>0</x:v>
      </x:c>
      <x:c r="P339" s="1" t="n">
        <x:f>SUMIFS('Incoming POs'!$P$2:$P$305,'Incoming POs'!$A$2:$A$305,A339,'Incoming POs'!$B$2:$B$305,B339,'Incoming POs'!$C$2:$C$305,C339,'Incoming POs'!$G$2:$G$305,"&gt;="&amp;D339,'Incoming POs'!$G$2:$G$305,"&lt;"&amp;Dashboard!$I$5)</x:f>
        <x:v>0</x:v>
      </x:c>
      <x:c r="Q339" s="1" t="n">
        <x:f>F339*Dashboard!$L$5*MAX(0,Dashboard!$I$5-D339)/30.4375</x:f>
        <x:v>202.35696098562627</x:v>
      </x:c>
      <x:c r="R339" s="1" t="n">
        <x:f>MAX(0,E339+P339-Q339)</x:f>
        <x:v>5972.643039014374</x:v>
      </x:c>
      <x:c r="S339" s="1" t="n">
        <x:f>MAX(0,Q339-E339-P339)</x:f>
        <x:v>0</x:v>
      </x:c>
      <x:c r="T339" s="1" t="str">
        <x:f>IF(L339=1,MAX(0,I339+AB339-MIN(Q339,E339+P339)),"n.a.")</x:f>
        <x:v>n.a.</x:v>
      </x:c>
      <x:c r="U339" s="9" t="str">
        <x:f>IF(ISNUMBER(T339),T339*G339,"n.a.")</x:f>
        <x:v>n.a.</x:v>
      </x:c>
      <x:c r="V339" s="25" t="n">
        <x:f>IF(Dashboard!$I$6="Flat %",1,IF(ISNUMBER(H339),1,0))</x:f>
        <x:v>1</x:v>
      </x:c>
      <x:c r="W339" s="9" t="n">
        <x:f>IF(Dashboard!$I$6="Flat %",G339*(1+Dashboard!$L$6),H339)</x:f>
        <x:v>0.034103999999999995</x:v>
      </x:c>
      <x:c r="X339" s="9" t="n">
        <x:f>IF(V339=1,R339*(W339-G339),"n.a.")</x:f>
        <x:v>56.76399944279258</x:v>
      </x:c>
      <x:c r="Y339" s="9" t="n">
        <x:f>IF(V339=1,R339*W339,"n.a.")</x:f>
        <x:v>203.6910182025462</x:v>
      </x:c>
      <x:c r="Z339" s="1" t="str">
        <x:f>IF(ISNUMBER(T339),R339-T339,"n.a.")</x:f>
        <x:v>n.a.</x:v>
      </x:c>
      <x:c r="AA339" s="1" t="str">
        <x:f>'Inventory inputs'!R339</x:f>
        <x:v>Review receipt reconciliation or original PO baseline</x:v>
      </x:c>
      <x:c r="AB339" s="1" t="str">
        <x:f>IF(L339=1,SUMIFS('Incoming POs'!$P$2:$P$305,'Incoming POs'!$A$2:$A$305,A339,'Incoming POs'!$B$2:$B$305,B339,'Incoming POs'!$C$2:$C$305,C339,'Incoming POs'!$G$2:$G$305,"&gt;="&amp;D339,'Incoming POs'!$G$2:$G$305,"&lt;"&amp;Dashboard!$I$5,'Incoming POs'!$Q$2:$Q$305,"&lt;="&amp;('Inventory inputs'!P339/'Inventory inputs'!J339*1.01)),"n.a.")</x:f>
        <x:v>n.a.</x:v>
      </x:c>
      <x:c r="AC339" s="9" t="n">
        <x:f>I339*G339</x:f>
        <x:v>0</x:v>
      </x:c>
      <x:c r="AD339" s="9" t="n">
        <x:f>J339*G339</x:f>
        <x:v>0</x:v>
      </x:c>
      <x:c r="AE339" s="9" t="n">
        <x:f>K339*G339</x:f>
        <x:v>151.905</x:v>
      </x:c>
      <x:c r="AF339" s="9" t="n">
        <x:f>R339*G339</x:f>
        <x:v>146.9270187597536</x:v>
      </x:c>
    </x:row>
    <x:row r="340" ht="21" customHeight="1">
      <x:c r="A340" s="1" t="str">
        <x:f>'Inventory inputs'!A340</x:f>
        <x:v>PLAS</x:v>
      </x:c>
      <x:c r="B340" s="1" t="str">
        <x:f>'Inventory inputs'!B340</x:f>
        <x:v>30</x:v>
      </x:c>
      <x:c r="C340" s="1" t="str">
        <x:f>'Inventory inputs'!C340</x:f>
        <x:v>11819RWBBLK</x:v>
      </x:c>
      <x:c r="D340" s="7" t="n">
        <x:f>'Inventory inputs'!E340</x:f>
        <x:v>46303</x:v>
      </x:c>
      <x:c r="E340" s="1" t="n">
        <x:f>'Inventory inputs'!F340</x:f>
        <x:v>500</x:v>
      </x:c>
      <x:c r="F340" s="1" t="n">
        <x:f>'Inventory inputs'!G340</x:f>
        <x:v>150</x:v>
      </x:c>
      <x:c r="G340" s="1" t="n">
        <x:f>'Inventory inputs'!H340/'Inventory inputs'!J340</x:f>
        <x:v>0.1323</x:v>
      </x:c>
      <x:c r="H340" s="1" t="n">
        <x:f>IF('Inventory inputs'!I340&gt;0,'Inventory inputs'!I340*'Inventory inputs'!K340/'Inventory inputs'!J340,"n.a.")</x:f>
        <x:v>0.15479099999999998</x:v>
      </x:c>
      <x:c r="I340" s="1" t="n">
        <x:f>'Inventory inputs'!L340</x:f>
        <x:v>0</x:v>
      </x:c>
      <x:c r="J340" s="1" t="n">
        <x:f>'Inventory inputs'!M340</x:f>
        <x:v>0</x:v>
      </x:c>
      <x:c r="K340" s="1" t="n">
        <x:f>'Inventory inputs'!N340</x:f>
        <x:v>500</x:v>
      </x:c>
      <x:c r="L340" s="1" t="n">
        <x:f>'Inventory inputs'!O340</x:f>
        <x:v>0</x:v>
      </x:c>
      <x:c r="M340" s="9" t="n">
        <x:f>E340*G340</x:f>
        <x:v>66.15</x:v>
      </x:c>
      <x:c r="N340" s="9" t="n">
        <x:f>'Inventory inputs'!Q340</x:f>
        <x:v>66.15</x:v>
      </x:c>
      <x:c r="O340" s="9" t="n">
        <x:f>N340-M340</x:f>
        <x:v>0</x:v>
      </x:c>
      <x:c r="P340" s="1" t="n">
        <x:f>SUMIFS('Incoming POs'!$P$2:$P$305,'Incoming POs'!$A$2:$A$305,A340,'Incoming POs'!$B$2:$B$305,B340,'Incoming POs'!$C$2:$C$305,C340,'Incoming POs'!$G$2:$G$305,"&gt;="&amp;D340,'Incoming POs'!$G$2:$G$305,"&lt;"&amp;Dashboard!$I$5)</x:f>
        <x:v>0</x:v>
      </x:c>
      <x:c r="Q340" s="1" t="n">
        <x:f>F340*Dashboard!$L$5*MAX(0,Dashboard!$I$5-D340)/30.4375</x:f>
        <x:v>199.58932238193017</x:v>
      </x:c>
      <x:c r="R340" s="1" t="n">
        <x:f>MAX(0,E340+P340-Q340)</x:f>
        <x:v>300.4106776180698</x:v>
      </x:c>
      <x:c r="S340" s="1" t="n">
        <x:f>MAX(0,Q340-E340-P340)</x:f>
        <x:v>0</x:v>
      </x:c>
      <x:c r="T340" s="1" t="str">
        <x:f>IF(L340=1,MAX(0,I340+AB340-MIN(Q340,E340+P340)),"n.a.")</x:f>
        <x:v>n.a.</x:v>
      </x:c>
      <x:c r="U340" s="9" t="str">
        <x:f>IF(ISNUMBER(T340),T340*G340,"n.a.")</x:f>
        <x:v>n.a.</x:v>
      </x:c>
      <x:c r="V340" s="25" t="n">
        <x:f>IF(Dashboard!$I$6="Flat %",1,IF(ISNUMBER(H340),1,0))</x:f>
        <x:v>1</x:v>
      </x:c>
      <x:c r="W340" s="9" t="n">
        <x:f>IF(Dashboard!$I$6="Flat %",G340*(1+Dashboard!$L$6),H340)</x:f>
        <x:v>0.15479099999999998</x:v>
      </x:c>
      <x:c r="X340" s="9" t="n">
        <x:f>IF(V340=1,R340*(W340-G340),"n.a.")</x:f>
        <x:v>6.756536550308003</x:v>
      </x:c>
      <x:c r="Y340" s="9" t="n">
        <x:f>IF(V340=1,R340*W340,"n.a.")</x:f>
        <x:v>46.500869199178645</x:v>
      </x:c>
      <x:c r="Z340" s="1" t="str">
        <x:f>IF(ISNUMBER(T340),R340-T340,"n.a.")</x:f>
        <x:v>n.a.</x:v>
      </x:c>
      <x:c r="AA340" s="1" t="str">
        <x:f>'Inventory inputs'!R340</x:f>
        <x:v>Review receipt reconciliation or original PO baseline</x:v>
      </x:c>
      <x:c r="AB340" s="1" t="str">
        <x:f>IF(L340=1,SUMIFS('Incoming POs'!$P$2:$P$305,'Incoming POs'!$A$2:$A$305,A340,'Incoming POs'!$B$2:$B$305,B340,'Incoming POs'!$C$2:$C$305,C340,'Incoming POs'!$G$2:$G$305,"&gt;="&amp;D340,'Incoming POs'!$G$2:$G$305,"&lt;"&amp;Dashboard!$I$5,'Incoming POs'!$Q$2:$Q$305,"&lt;="&amp;('Inventory inputs'!P340/'Inventory inputs'!J340*1.01)),"n.a.")</x:f>
        <x:v>n.a.</x:v>
      </x:c>
      <x:c r="AC340" s="9" t="n">
        <x:f>I340*G340</x:f>
        <x:v>0</x:v>
      </x:c>
      <x:c r="AD340" s="9" t="n">
        <x:f>J340*G340</x:f>
        <x:v>0</x:v>
      </x:c>
      <x:c r="AE340" s="9" t="n">
        <x:f>K340*G340</x:f>
        <x:v>66.15</x:v>
      </x:c>
      <x:c r="AF340" s="9" t="n">
        <x:f>R340*G340</x:f>
        <x:v>39.74433264887064</x:v>
      </x:c>
    </x:row>
    <x:row r="341" ht="21" customHeight="1">
      <x:c r="A341" s="1" t="str">
        <x:f>'Inventory inputs'!A341</x:f>
        <x:v>PLAS</x:v>
      </x:c>
      <x:c r="B341" s="1" t="str">
        <x:f>'Inventory inputs'!B341</x:f>
        <x:v>60</x:v>
      </x:c>
      <x:c r="C341" s="1" t="str">
        <x:f>'Inventory inputs'!C341</x:f>
        <x:v>51619RWBRED</x:v>
      </x:c>
      <x:c r="D341" s="7" t="n">
        <x:f>'Inventory inputs'!E341</x:f>
        <x:v>46303</x:v>
      </x:c>
      <x:c r="E341" s="1" t="n">
        <x:f>'Inventory inputs'!F341</x:f>
        <x:v>100</x:v>
      </x:c>
      <x:c r="F341" s="1" t="n">
        <x:f>'Inventory inputs'!G341</x:f>
        <x:v>150</x:v>
      </x:c>
      <x:c r="G341" s="1" t="n">
        <x:f>'Inventory inputs'!H341/'Inventory inputs'!J341</x:f>
        <x:v>0.0216</x:v>
      </x:c>
      <x:c r="H341" s="1" t="n">
        <x:f>IF('Inventory inputs'!I341&gt;0,'Inventory inputs'!I341*'Inventory inputs'!K341/'Inventory inputs'!J341,"n.a.")</x:f>
        <x:v>0.025284</x:v>
      </x:c>
      <x:c r="I341" s="1" t="n">
        <x:f>'Inventory inputs'!L341</x:f>
        <x:v>0</x:v>
      </x:c>
      <x:c r="J341" s="1" t="n">
        <x:f>'Inventory inputs'!M341</x:f>
        <x:v>0</x:v>
      </x:c>
      <x:c r="K341" s="1" t="n">
        <x:f>'Inventory inputs'!N341</x:f>
        <x:v>100</x:v>
      </x:c>
      <x:c r="L341" s="1" t="n">
        <x:f>'Inventory inputs'!O341</x:f>
        <x:v>0</x:v>
      </x:c>
      <x:c r="M341" s="9" t="n">
        <x:f>E341*G341</x:f>
        <x:v>2.16</x:v>
      </x:c>
      <x:c r="N341" s="9" t="n">
        <x:f>'Inventory inputs'!Q341</x:f>
        <x:v>2.16</x:v>
      </x:c>
      <x:c r="O341" s="9" t="n">
        <x:f>N341-M341</x:f>
        <x:v>0</x:v>
      </x:c>
      <x:c r="P341" s="1" t="n">
        <x:f>SUMIFS('Incoming POs'!$P$2:$P$305,'Incoming POs'!$A$2:$A$305,A341,'Incoming POs'!$B$2:$B$305,B341,'Incoming POs'!$C$2:$C$305,C341,'Incoming POs'!$G$2:$G$305,"&gt;="&amp;D341,'Incoming POs'!$G$2:$G$305,"&lt;"&amp;Dashboard!$I$5)</x:f>
        <x:v>0</x:v>
      </x:c>
      <x:c r="Q341" s="1" t="n">
        <x:f>F341*Dashboard!$L$5*MAX(0,Dashboard!$I$5-D341)/30.4375</x:f>
        <x:v>199.58932238193017</x:v>
      </x:c>
      <x:c r="R341" s="1" t="n">
        <x:f>MAX(0,E341+P341-Q341)</x:f>
        <x:v>0</x:v>
      </x:c>
      <x:c r="S341" s="1" t="n">
        <x:f>MAX(0,Q341-E341-P341)</x:f>
        <x:v>99.58932238193017</x:v>
      </x:c>
      <x:c r="T341" s="1" t="str">
        <x:f>IF(L341=1,MAX(0,I341+AB341-MIN(Q341,E341+P341)),"n.a.")</x:f>
        <x:v>n.a.</x:v>
      </x:c>
      <x:c r="U341" s="9" t="str">
        <x:f>IF(ISNUMBER(T341),T341*G341,"n.a.")</x:f>
        <x:v>n.a.</x:v>
      </x:c>
      <x:c r="V341" s="25" t="n">
        <x:f>IF(Dashboard!$I$6="Flat %",1,IF(ISNUMBER(H341),1,0))</x:f>
        <x:v>1</x:v>
      </x:c>
      <x:c r="W341" s="9" t="n">
        <x:f>IF(Dashboard!$I$6="Flat %",G341*(1+Dashboard!$L$6),H341)</x:f>
        <x:v>0.025284</x:v>
      </x:c>
      <x:c r="X341" s="9" t="n">
        <x:f>IF(V341=1,R341*(W341-G341),"n.a.")</x:f>
        <x:v>0</x:v>
      </x:c>
      <x:c r="Y341" s="9" t="n">
        <x:f>IF(V341=1,R341*W341,"n.a.")</x:f>
        <x:v>0</x:v>
      </x:c>
      <x:c r="Z341" s="1" t="str">
        <x:f>IF(ISNUMBER(T341),R341-T341,"n.a.")</x:f>
        <x:v>n.a.</x:v>
      </x:c>
      <x:c r="AA341" s="1" t="str">
        <x:f>'Inventory inputs'!R341</x:f>
        <x:v>Review receipt reconciliation or original PO baseline</x:v>
      </x:c>
      <x:c r="AB341" s="1" t="str">
        <x:f>IF(L341=1,SUMIFS('Incoming POs'!$P$2:$P$305,'Incoming POs'!$A$2:$A$305,A341,'Incoming POs'!$B$2:$B$305,B341,'Incoming POs'!$C$2:$C$305,C341,'Incoming POs'!$G$2:$G$305,"&gt;="&amp;D341,'Incoming POs'!$G$2:$G$305,"&lt;"&amp;Dashboard!$I$5,'Incoming POs'!$Q$2:$Q$305,"&lt;="&amp;('Inventory inputs'!P341/'Inventory inputs'!J341*1.01)),"n.a.")</x:f>
        <x:v>n.a.</x:v>
      </x:c>
      <x:c r="AC341" s="9" t="n">
        <x:f>I341*G341</x:f>
        <x:v>0</x:v>
      </x:c>
      <x:c r="AD341" s="9" t="n">
        <x:f>J341*G341</x:f>
        <x:v>0</x:v>
      </x:c>
      <x:c r="AE341" s="9" t="n">
        <x:f>K341*G341</x:f>
        <x:v>2.16</x:v>
      </x:c>
      <x:c r="AF341" s="9" t="n">
        <x:f>R341*G341</x:f>
        <x:v>0</x:v>
      </x:c>
    </x:row>
    <x:row r="342" ht="21" customHeight="1">
      <x:c r="A342" s="1" t="str">
        <x:f>'Inventory inputs'!A342</x:f>
        <x:v>PLAS</x:v>
      </x:c>
      <x:c r="B342" s="1" t="str">
        <x:f>'Inventory inputs'!B342</x:f>
        <x:v>60</x:v>
      </x:c>
      <x:c r="C342" s="1" t="str">
        <x:f>'Inventory inputs'!C342</x:f>
        <x:v>91619RWBBLU</x:v>
      </x:c>
      <x:c r="D342" s="7" t="n">
        <x:f>'Inventory inputs'!E342</x:f>
        <x:v>46303</x:v>
      </x:c>
      <x:c r="E342" s="1" t="n">
        <x:f>'Inventory inputs'!F342</x:f>
        <x:v>400</x:v>
      </x:c>
      <x:c r="F342" s="1" t="n">
        <x:f>'Inventory inputs'!G342</x:f>
        <x:v>150</x:v>
      </x:c>
      <x:c r="G342" s="1" t="n">
        <x:f>'Inventory inputs'!H342/'Inventory inputs'!J342</x:f>
        <x:v>0.042800000000000005</x:v>
      </x:c>
      <x:c r="H342" s="1" t="n">
        <x:f>IF('Inventory inputs'!I342&gt;0,'Inventory inputs'!I342*'Inventory inputs'!K342/'Inventory inputs'!J342,"n.a.")</x:f>
        <x:v>0.049980000000000004</x:v>
      </x:c>
      <x:c r="I342" s="1" t="n">
        <x:f>'Inventory inputs'!L342</x:f>
        <x:v>0</x:v>
      </x:c>
      <x:c r="J342" s="1" t="n">
        <x:f>'Inventory inputs'!M342</x:f>
        <x:v>0</x:v>
      </x:c>
      <x:c r="K342" s="1" t="n">
        <x:f>'Inventory inputs'!N342</x:f>
        <x:v>400</x:v>
      </x:c>
      <x:c r="L342" s="1" t="n">
        <x:f>'Inventory inputs'!O342</x:f>
        <x:v>0</x:v>
      </x:c>
      <x:c r="M342" s="9" t="n">
        <x:f>E342*G342</x:f>
        <x:v>17.12</x:v>
      </x:c>
      <x:c r="N342" s="9" t="n">
        <x:f>'Inventory inputs'!Q342</x:f>
        <x:v>17.12</x:v>
      </x:c>
      <x:c r="O342" s="9" t="n">
        <x:f>N342-M342</x:f>
        <x:v>0</x:v>
      </x:c>
      <x:c r="P342" s="1" t="n">
        <x:f>SUMIFS('Incoming POs'!$P$2:$P$305,'Incoming POs'!$A$2:$A$305,A342,'Incoming POs'!$B$2:$B$305,B342,'Incoming POs'!$C$2:$C$305,C342,'Incoming POs'!$G$2:$G$305,"&gt;="&amp;D342,'Incoming POs'!$G$2:$G$305,"&lt;"&amp;Dashboard!$I$5)</x:f>
        <x:v>0</x:v>
      </x:c>
      <x:c r="Q342" s="1" t="n">
        <x:f>F342*Dashboard!$L$5*MAX(0,Dashboard!$I$5-D342)/30.4375</x:f>
        <x:v>199.58932238193017</x:v>
      </x:c>
      <x:c r="R342" s="1" t="n">
        <x:f>MAX(0,E342+P342-Q342)</x:f>
        <x:v>200.41067761806983</x:v>
      </x:c>
      <x:c r="S342" s="1" t="n">
        <x:f>MAX(0,Q342-E342-P342)</x:f>
        <x:v>0</x:v>
      </x:c>
      <x:c r="T342" s="1" t="str">
        <x:f>IF(L342=1,MAX(0,I342+AB342-MIN(Q342,E342+P342)),"n.a.")</x:f>
        <x:v>n.a.</x:v>
      </x:c>
      <x:c r="U342" s="9" t="str">
        <x:f>IF(ISNUMBER(T342),T342*G342,"n.a.")</x:f>
        <x:v>n.a.</x:v>
      </x:c>
      <x:c r="V342" s="25" t="n">
        <x:f>IF(Dashboard!$I$6="Flat %",1,IF(ISNUMBER(H342),1,0))</x:f>
        <x:v>1</x:v>
      </x:c>
      <x:c r="W342" s="9" t="n">
        <x:f>IF(Dashboard!$I$6="Flat %",G342*(1+Dashboard!$L$6),H342)</x:f>
        <x:v>0.049980000000000004</x:v>
      </x:c>
      <x:c r="X342" s="9" t="n">
        <x:f>IF(V342=1,R342*(W342-G342),"n.a.")</x:f>
        <x:v>1.4389486652977412</x:v>
      </x:c>
      <x:c r="Y342" s="9" t="n">
        <x:f>IF(V342=1,R342*W342,"n.a.")</x:f>
        <x:v>10.01652566735113</x:v>
      </x:c>
      <x:c r="Z342" s="1" t="str">
        <x:f>IF(ISNUMBER(T342),R342-T342,"n.a.")</x:f>
        <x:v>n.a.</x:v>
      </x:c>
      <x:c r="AA342" s="1" t="str">
        <x:f>'Inventory inputs'!R342</x:f>
        <x:v>Review receipt reconciliation or original PO baseline</x:v>
      </x:c>
      <x:c r="AB342" s="1" t="str">
        <x:f>IF(L342=1,SUMIFS('Incoming POs'!$P$2:$P$305,'Incoming POs'!$A$2:$A$305,A342,'Incoming POs'!$B$2:$B$305,B342,'Incoming POs'!$C$2:$C$305,C342,'Incoming POs'!$G$2:$G$305,"&gt;="&amp;D342,'Incoming POs'!$G$2:$G$305,"&lt;"&amp;Dashboard!$I$5,'Incoming POs'!$Q$2:$Q$305,"&lt;="&amp;('Inventory inputs'!P342/'Inventory inputs'!J342*1.01)),"n.a.")</x:f>
        <x:v>n.a.</x:v>
      </x:c>
      <x:c r="AC342" s="9" t="n">
        <x:f>I342*G342</x:f>
        <x:v>0</x:v>
      </x:c>
      <x:c r="AD342" s="9" t="n">
        <x:f>J342*G342</x:f>
        <x:v>0</x:v>
      </x:c>
      <x:c r="AE342" s="9" t="n">
        <x:f>K342*G342</x:f>
        <x:v>17.12</x:v>
      </x:c>
      <x:c r="AF342" s="9" t="n">
        <x:f>R342*G342</x:f>
        <x:v>8.57757700205339</x:v>
      </x:c>
    </x:row>
    <x:row r="343" ht="21" customHeight="1">
      <x:c r="A343" s="1" t="str">
        <x:f>'Inventory inputs'!A343</x:f>
        <x:v>PLAS</x:v>
      </x:c>
      <x:c r="B343" s="1" t="str">
        <x:f>'Inventory inputs'!B343</x:f>
        <x:v>10</x:v>
      </x:c>
      <x:c r="C343" s="1" t="str">
        <x:f>'Inventory inputs'!C343</x:f>
        <x:v>00119RWBCLR</x:v>
      </x:c>
      <x:c r="D343" s="7" t="n">
        <x:f>'Inventory inputs'!E343</x:f>
        <x:v>46303</x:v>
      </x:c>
      <x:c r="E343" s="1" t="n">
        <x:f>'Inventory inputs'!F343</x:f>
        <x:v>1345</x:v>
      </x:c>
      <x:c r="F343" s="1" t="n">
        <x:f>'Inventory inputs'!G343</x:f>
        <x:v>147</x:v>
      </x:c>
      <x:c r="G343" s="1" t="n">
        <x:f>'Inventory inputs'!H343/'Inventory inputs'!J343</x:f>
        <x:v>0.1054</x:v>
      </x:c>
      <x:c r="H343" s="1" t="n">
        <x:f>IF('Inventory inputs'!I343&gt;0,'Inventory inputs'!I343*'Inventory inputs'!K343/'Inventory inputs'!J343,"n.a.")</x:f>
        <x:v>0.12333300000000001</x:v>
      </x:c>
      <x:c r="I343" s="1" t="n">
        <x:f>'Inventory inputs'!L343</x:f>
        <x:v>345</x:v>
      </x:c>
      <x:c r="J343" s="1" t="n">
        <x:f>'Inventory inputs'!M343</x:f>
        <x:v>1000</x:v>
      </x:c>
      <x:c r="K343" s="1" t="n">
        <x:f>'Inventory inputs'!N343</x:f>
        <x:v>0</x:v>
      </x:c>
      <x:c r="L343" s="1" t="n">
        <x:f>'Inventory inputs'!O343</x:f>
        <x:v>1</x:v>
      </x:c>
      <x:c r="M343" s="9" t="n">
        <x:f>E343*G343</x:f>
        <x:v>141.763</x:v>
      </x:c>
      <x:c r="N343" s="9" t="n">
        <x:f>'Inventory inputs'!Q343</x:f>
        <x:v>141.763</x:v>
      </x:c>
      <x:c r="O343" s="9" t="n">
        <x:f>N343-M343</x:f>
        <x:v>0</x:v>
      </x:c>
      <x:c r="P343" s="1" t="n">
        <x:f>SUMIFS('Incoming POs'!$P$2:$P$305,'Incoming POs'!$A$2:$A$305,A343,'Incoming POs'!$B$2:$B$305,B343,'Incoming POs'!$C$2:$C$305,C343,'Incoming POs'!$G$2:$G$305,"&gt;="&amp;D343,'Incoming POs'!$G$2:$G$305,"&lt;"&amp;Dashboard!$I$5)</x:f>
        <x:v>0</x:v>
      </x:c>
      <x:c r="Q343" s="1" t="n">
        <x:f>F343*Dashboard!$L$5*MAX(0,Dashboard!$I$5-D343)/30.4375</x:f>
        <x:v>195.59753593429159</x:v>
      </x:c>
      <x:c r="R343" s="1" t="n">
        <x:f>MAX(0,E343+P343-Q343)</x:f>
        <x:v>1149.4024640657085</x:v>
      </x:c>
      <x:c r="S343" s="1" t="n">
        <x:f>MAX(0,Q343-E343-P343)</x:f>
        <x:v>0</x:v>
      </x:c>
      <x:c r="T343" s="1" t="n">
        <x:f>IF(L343=1,MAX(0,I343+AB343-MIN(Q343,E343+P343)),"n.a.")</x:f>
        <x:v>149.40246406570841</x:v>
      </x:c>
      <x:c r="U343" s="9" t="n">
        <x:f>IF(ISNUMBER(T343),T343*G343,"n.a.")</x:f>
        <x:v>15.747019712525667</x:v>
      </x:c>
      <x:c r="V343" s="25" t="n">
        <x:f>IF(Dashboard!$I$6="Flat %",1,IF(ISNUMBER(H343),1,0))</x:f>
        <x:v>1</x:v>
      </x:c>
      <x:c r="W343" s="9" t="n">
        <x:f>IF(Dashboard!$I$6="Flat %",G343*(1+Dashboard!$L$6),H343)</x:f>
        <x:v>0.12333300000000001</x:v>
      </x:c>
      <x:c r="X343" s="9" t="n">
        <x:f>IF(V343=1,R343*(W343-G343),"n.a.")</x:f>
        <x:v>20.61223438809037</x:v>
      </x:c>
      <x:c r="Y343" s="9" t="n">
        <x:f>IF(V343=1,R343*W343,"n.a.")</x:f>
        <x:v>141.75925410061603</x:v>
      </x:c>
      <x:c r="Z343" s="1" t="n">
        <x:f>IF(ISNUMBER(T343),R343-T343,"n.a.")</x:f>
        <x:v>1000.0000000000001</x:v>
      </x:c>
      <x:c r="AA343" s="1" t="str">
        <x:f>'Inventory inputs'!R343</x:f>
        <x:v>Classified</x:v>
      </x:c>
      <x:c r="AB343" s="1" t="n">
        <x:f>IF(L343=1,SUMIFS('Incoming POs'!$P$2:$P$305,'Incoming POs'!$A$2:$A$305,A343,'Incoming POs'!$B$2:$B$305,B343,'Incoming POs'!$C$2:$C$305,C343,'Incoming POs'!$G$2:$G$305,"&gt;="&amp;D343,'Incoming POs'!$G$2:$G$305,"&lt;"&amp;Dashboard!$I$5,'Incoming POs'!$Q$2:$Q$305,"&lt;="&amp;('Inventory inputs'!P343/'Inventory inputs'!J343*1.01)),"n.a.")</x:f>
        <x:v>0</x:v>
      </x:c>
      <x:c r="AC343" s="9" t="n">
        <x:f>I343*G343</x:f>
        <x:v>36.363</x:v>
      </x:c>
      <x:c r="AD343" s="9" t="n">
        <x:f>J343*G343</x:f>
        <x:v>105.39999999999999</x:v>
      </x:c>
      <x:c r="AE343" s="9" t="n">
        <x:f>K343*G343</x:f>
        <x:v>0</x:v>
      </x:c>
      <x:c r="AF343" s="9" t="n">
        <x:f>R343*G343</x:f>
        <x:v>121.14701971252566</x:v>
      </x:c>
    </x:row>
    <x:row r="344" ht="21" customHeight="1">
      <x:c r="A344" s="1" t="str">
        <x:f>'Inventory inputs'!A344</x:f>
        <x:v>PLAS</x:v>
      </x:c>
      <x:c r="B344" s="1" t="str">
        <x:f>'Inventory inputs'!B344</x:f>
        <x:v>60</x:v>
      </x:c>
      <x:c r="C344" s="1" t="str">
        <x:f>'Inventory inputs'!C344</x:f>
        <x:v>00219RSLWHT</x:v>
      </x:c>
      <x:c r="D344" s="7" t="n">
        <x:f>'Inventory inputs'!E344</x:f>
        <x:v>46303</x:v>
      </x:c>
      <x:c r="E344" s="1" t="n">
        <x:f>'Inventory inputs'!F344</x:f>
        <x:v>1400</x:v>
      </x:c>
      <x:c r="F344" s="1" t="n">
        <x:f>'Inventory inputs'!G344</x:f>
        <x:v>146.67</x:v>
      </x:c>
      <x:c r="G344" s="1" t="n">
        <x:f>'Inventory inputs'!H344/'Inventory inputs'!J344</x:f>
        <x:v>0.1477</x:v>
      </x:c>
      <x:c r="H344" s="1" t="n">
        <x:f>IF('Inventory inputs'!I344&gt;0,'Inventory inputs'!I344*'Inventory inputs'!K344/'Inventory inputs'!J344,"n.a.")</x:f>
        <x:v>0.172872</x:v>
      </x:c>
      <x:c r="I344" s="1" t="n">
        <x:f>'Inventory inputs'!L344</x:f>
        <x:v>0</x:v>
      </x:c>
      <x:c r="J344" s="1" t="n">
        <x:f>'Inventory inputs'!M344</x:f>
        <x:v>0</x:v>
      </x:c>
      <x:c r="K344" s="1" t="n">
        <x:f>'Inventory inputs'!N344</x:f>
        <x:v>1400</x:v>
      </x:c>
      <x:c r="L344" s="1" t="n">
        <x:f>'Inventory inputs'!O344</x:f>
        <x:v>0</x:v>
      </x:c>
      <x:c r="M344" s="9" t="n">
        <x:f>E344*G344</x:f>
        <x:v>206.78</x:v>
      </x:c>
      <x:c r="N344" s="9" t="n">
        <x:f>'Inventory inputs'!Q344</x:f>
        <x:v>206.78</x:v>
      </x:c>
      <x:c r="O344" s="9" t="n">
        <x:f>N344-M344</x:f>
        <x:v>0</x:v>
      </x:c>
      <x:c r="P344" s="1" t="n">
        <x:f>SUMIFS('Incoming POs'!$P$2:$P$305,'Incoming POs'!$A$2:$A$305,A344,'Incoming POs'!$B$2:$B$305,B344,'Incoming POs'!$C$2:$C$305,C344,'Incoming POs'!$G$2:$G$305,"&gt;="&amp;D344,'Incoming POs'!$G$2:$G$305,"&lt;"&amp;Dashboard!$I$5)</x:f>
        <x:v>0</x:v>
      </x:c>
      <x:c r="Q344" s="1" t="n">
        <x:f>F344*Dashboard!$L$5*MAX(0,Dashboard!$I$5-D344)/30.4375</x:f>
        <x:v>195.15843942505134</x:v>
      </x:c>
      <x:c r="R344" s="1" t="n">
        <x:f>MAX(0,E344+P344-Q344)</x:f>
        <x:v>1204.8415605749487</x:v>
      </x:c>
      <x:c r="S344" s="1" t="n">
        <x:f>MAX(0,Q344-E344-P344)</x:f>
        <x:v>0</x:v>
      </x:c>
      <x:c r="T344" s="1" t="str">
        <x:f>IF(L344=1,MAX(0,I344+AB344-MIN(Q344,E344+P344)),"n.a.")</x:f>
        <x:v>n.a.</x:v>
      </x:c>
      <x:c r="U344" s="9" t="str">
        <x:f>IF(ISNUMBER(T344),T344*G344,"n.a.")</x:f>
        <x:v>n.a.</x:v>
      </x:c>
      <x:c r="V344" s="25" t="n">
        <x:f>IF(Dashboard!$I$6="Flat %",1,IF(ISNUMBER(H344),1,0))</x:f>
        <x:v>1</x:v>
      </x:c>
      <x:c r="W344" s="9" t="n">
        <x:f>IF(Dashboard!$I$6="Flat %",G344*(1+Dashboard!$L$6),H344)</x:f>
        <x:v>0.172872</x:v>
      </x:c>
      <x:c r="X344" s="9" t="n">
        <x:f>IF(V344=1,R344*(W344-G344),"n.a.")</x:f>
        <x:v>30.32827176279261</x:v>
      </x:c>
      <x:c r="Y344" s="9" t="n">
        <x:f>IF(V344=1,R344*W344,"n.a.")</x:f>
        <x:v>208.28337025971254</x:v>
      </x:c>
      <x:c r="Z344" s="1" t="str">
        <x:f>IF(ISNUMBER(T344),R344-T344,"n.a.")</x:f>
        <x:v>n.a.</x:v>
      </x:c>
      <x:c r="AA344" s="1" t="str">
        <x:f>'Inventory inputs'!R344</x:f>
        <x:v>Review receipt reconciliation or original PO baseline</x:v>
      </x:c>
      <x:c r="AB344" s="1" t="str">
        <x:f>IF(L344=1,SUMIFS('Incoming POs'!$P$2:$P$305,'Incoming POs'!$A$2:$A$305,A344,'Incoming POs'!$B$2:$B$305,B344,'Incoming POs'!$C$2:$C$305,C344,'Incoming POs'!$G$2:$G$305,"&gt;="&amp;D344,'Incoming POs'!$G$2:$G$305,"&lt;"&amp;Dashboard!$I$5,'Incoming POs'!$Q$2:$Q$305,"&lt;="&amp;('Inventory inputs'!P344/'Inventory inputs'!J344*1.01)),"n.a.")</x:f>
        <x:v>n.a.</x:v>
      </x:c>
      <x:c r="AC344" s="9" t="n">
        <x:f>I344*G344</x:f>
        <x:v>0</x:v>
      </x:c>
      <x:c r="AD344" s="9" t="n">
        <x:f>J344*G344</x:f>
        <x:v>0</x:v>
      </x:c>
      <x:c r="AE344" s="9" t="n">
        <x:f>K344*G344</x:f>
        <x:v>206.78</x:v>
      </x:c>
      <x:c r="AF344" s="9" t="n">
        <x:f>R344*G344</x:f>
        <x:v>177.95509849691993</x:v>
      </x:c>
    </x:row>
    <x:row r="345" ht="21" customHeight="1">
      <x:c r="A345" s="1" t="str">
        <x:f>'Inventory inputs'!A345</x:f>
        <x:v>PLAS</x:v>
      </x:c>
      <x:c r="B345" s="1" t="str">
        <x:f>'Inventory inputs'!B345</x:f>
        <x:v>10</x:v>
      </x:c>
      <x:c r="C345" s="1" t="str">
        <x:f>'Inventory inputs'!C345</x:f>
        <x:v>13421RSLCLR</x:v>
      </x:c>
      <x:c r="D345" s="7" t="n">
        <x:f>'Inventory inputs'!E345</x:f>
        <x:v>46303</x:v>
      </x:c>
      <x:c r="E345" s="1" t="n">
        <x:f>'Inventory inputs'!F345</x:f>
        <x:v>2350</x:v>
      </x:c>
      <x:c r="F345" s="1" t="n">
        <x:f>'Inventory inputs'!G345</x:f>
        <x:v>133.83</x:v>
      </x:c>
      <x:c r="G345" s="1" t="n">
        <x:f>'Inventory inputs'!H345/'Inventory inputs'!J345</x:f>
        <x:v>0.1421</x:v>
      </x:c>
      <x:c r="H345" s="1" t="n">
        <x:f>IF('Inventory inputs'!I345&gt;0,'Inventory inputs'!I345*'Inventory inputs'!K345/'Inventory inputs'!J345,"n.a.")</x:f>
        <x:v>0.16625700000000002</x:v>
      </x:c>
      <x:c r="I345" s="1" t="n">
        <x:f>'Inventory inputs'!L345</x:f>
        <x:v>1350</x:v>
      </x:c>
      <x:c r="J345" s="1" t="n">
        <x:f>'Inventory inputs'!M345</x:f>
        <x:v>1000</x:v>
      </x:c>
      <x:c r="K345" s="1" t="n">
        <x:f>'Inventory inputs'!N345</x:f>
        <x:v>0</x:v>
      </x:c>
      <x:c r="L345" s="1" t="n">
        <x:f>'Inventory inputs'!O345</x:f>
        <x:v>1</x:v>
      </x:c>
      <x:c r="M345" s="9" t="n">
        <x:f>E345*G345</x:f>
        <x:v>333.935</x:v>
      </x:c>
      <x:c r="N345" s="9" t="n">
        <x:f>'Inventory inputs'!Q345</x:f>
        <x:v>333.935</x:v>
      </x:c>
      <x:c r="O345" s="9" t="n">
        <x:f>N345-M345</x:f>
        <x:v>0</x:v>
      </x:c>
      <x:c r="P345" s="1" t="n">
        <x:f>SUMIFS('Incoming POs'!$P$2:$P$305,'Incoming POs'!$A$2:$A$305,A345,'Incoming POs'!$B$2:$B$305,B345,'Incoming POs'!$C$2:$C$305,C345,'Incoming POs'!$G$2:$G$305,"&gt;="&amp;D345,'Incoming POs'!$G$2:$G$305,"&lt;"&amp;Dashboard!$I$5)</x:f>
        <x:v>0</x:v>
      </x:c>
      <x:c r="Q345" s="1" t="n">
        <x:f>F345*Dashboard!$L$5*MAX(0,Dashboard!$I$5-D345)/30.4375</x:f>
        <x:v>178.0735934291581</x:v>
      </x:c>
      <x:c r="R345" s="1" t="n">
        <x:f>MAX(0,E345+P345-Q345)</x:f>
        <x:v>2171.926406570842</x:v>
      </x:c>
      <x:c r="S345" s="1" t="n">
        <x:f>MAX(0,Q345-E345-P345)</x:f>
        <x:v>0</x:v>
      </x:c>
      <x:c r="T345" s="1" t="n">
        <x:f>IF(L345=1,MAX(0,I345+AB345-MIN(Q345,E345+P345)),"n.a.")</x:f>
        <x:v>1171.926406570842</x:v>
      </x:c>
      <x:c r="U345" s="9" t="n">
        <x:f>IF(ISNUMBER(T345),T345*G345,"n.a.")</x:f>
        <x:v>166.53074237371663</x:v>
      </x:c>
      <x:c r="V345" s="25" t="n">
        <x:f>IF(Dashboard!$I$6="Flat %",1,IF(ISNUMBER(H345),1,0))</x:f>
        <x:v>1</x:v>
      </x:c>
      <x:c r="W345" s="9" t="n">
        <x:f>IF(Dashboard!$I$6="Flat %",G345*(1+Dashboard!$L$6),H345)</x:f>
        <x:v>0.16625700000000002</x:v>
      </x:c>
      <x:c r="X345" s="9" t="n">
        <x:f>IF(V345=1,R345*(W345-G345),"n.a.")</x:f>
        <x:v>52.46722620353186</x:v>
      </x:c>
      <x:c r="Y345" s="9" t="n">
        <x:f>IF(V345=1,R345*W345,"n.a.")</x:f>
        <x:v>361.09796857724854</x:v>
      </x:c>
      <x:c r="Z345" s="1" t="n">
        <x:f>IF(ISNUMBER(T345),R345-T345,"n.a.")</x:f>
        <x:v>1000.0000000000002</x:v>
      </x:c>
      <x:c r="AA345" s="1" t="str">
        <x:f>'Inventory inputs'!R345</x:f>
        <x:v>Classified</x:v>
      </x:c>
      <x:c r="AB345" s="1" t="n">
        <x:f>IF(L345=1,SUMIFS('Incoming POs'!$P$2:$P$305,'Incoming POs'!$A$2:$A$305,A345,'Incoming POs'!$B$2:$B$305,B345,'Incoming POs'!$C$2:$C$305,C345,'Incoming POs'!$G$2:$G$305,"&gt;="&amp;D345,'Incoming POs'!$G$2:$G$305,"&lt;"&amp;Dashboard!$I$5,'Incoming POs'!$Q$2:$Q$305,"&lt;="&amp;('Inventory inputs'!P345/'Inventory inputs'!J345*1.01)),"n.a.")</x:f>
        <x:v>0</x:v>
      </x:c>
      <x:c r="AC345" s="9" t="n">
        <x:f>I345*G345</x:f>
        <x:v>191.835</x:v>
      </x:c>
      <x:c r="AD345" s="9" t="n">
        <x:f>J345*G345</x:f>
        <x:v>142.1</x:v>
      </x:c>
      <x:c r="AE345" s="9" t="n">
        <x:f>K345*G345</x:f>
        <x:v>0</x:v>
      </x:c>
      <x:c r="AF345" s="9" t="n">
        <x:f>R345*G345</x:f>
        <x:v>308.63074237371666</x:v>
      </x:c>
    </x:row>
    <x:row r="346" ht="21" customHeight="1">
      <x:c r="A346" s="1" t="str">
        <x:f>'Inventory inputs'!A346</x:f>
        <x:v>PLAS</x:v>
      </x:c>
      <x:c r="B346" s="1" t="str">
        <x:f>'Inventory inputs'!B346</x:f>
        <x:v>10</x:v>
      </x:c>
      <x:c r="C346" s="1" t="str">
        <x:f>'Inventory inputs'!C346</x:f>
        <x:v>00119RWBRED</x:v>
      </x:c>
      <x:c r="D346" s="7" t="n">
        <x:f>'Inventory inputs'!E346</x:f>
        <x:v>46303</x:v>
      </x:c>
      <x:c r="E346" s="1" t="n">
        <x:f>'Inventory inputs'!F346</x:f>
        <x:v>1100</x:v>
      </x:c>
      <x:c r="F346" s="1" t="n">
        <x:f>'Inventory inputs'!G346</x:f>
        <x:v>133.34</x:v>
      </x:c>
      <x:c r="G346" s="1" t="n">
        <x:f>'Inventory inputs'!H346/'Inventory inputs'!J346</x:f>
        <x:v>0.1054</x:v>
      </x:c>
      <x:c r="H346" s="1" t="n">
        <x:f>IF('Inventory inputs'!I346&gt;0,'Inventory inputs'!I346*'Inventory inputs'!K346/'Inventory inputs'!J346,"n.a.")</x:f>
        <x:v>0.12333300000000001</x:v>
      </x:c>
      <x:c r="I346" s="1" t="n">
        <x:f>'Inventory inputs'!L346</x:f>
        <x:v>1100</x:v>
      </x:c>
      <x:c r="J346" s="1" t="n">
        <x:f>'Inventory inputs'!M346</x:f>
        <x:v>0</x:v>
      </x:c>
      <x:c r="K346" s="1" t="n">
        <x:f>'Inventory inputs'!N346</x:f>
        <x:v>0</x:v>
      </x:c>
      <x:c r="L346" s="1" t="n">
        <x:f>'Inventory inputs'!O346</x:f>
        <x:v>1</x:v>
      </x:c>
      <x:c r="M346" s="9" t="n">
        <x:f>E346*G346</x:f>
        <x:v>115.94</x:v>
      </x:c>
      <x:c r="N346" s="9" t="n">
        <x:f>'Inventory inputs'!Q346</x:f>
        <x:v>115.93999999999998</x:v>
      </x:c>
      <x:c r="O346" s="9" t="n">
        <x:f>N346-M346</x:f>
        <x:v>-1.4210854715202004e-14</x:v>
      </x:c>
      <x:c r="P346" s="1" t="n">
        <x:f>SUMIFS('Incoming POs'!$P$2:$P$305,'Incoming POs'!$A$2:$A$305,A346,'Incoming POs'!$B$2:$B$305,B346,'Incoming POs'!$C$2:$C$305,C346,'Incoming POs'!$G$2:$G$305,"&gt;="&amp;D346,'Incoming POs'!$G$2:$G$305,"&lt;"&amp;Dashboard!$I$5)</x:f>
        <x:v>0</x:v>
      </x:c>
      <x:c r="Q346" s="1" t="n">
        <x:f>F346*Dashboard!$L$5*MAX(0,Dashboard!$I$5-D346)/30.4375</x:f>
        <x:v>177.42160164271047</x:v>
      </x:c>
      <x:c r="R346" s="1" t="n">
        <x:f>MAX(0,E346+P346-Q346)</x:f>
        <x:v>922.5783983572895</x:v>
      </x:c>
      <x:c r="S346" s="1" t="n">
        <x:f>MAX(0,Q346-E346-P346)</x:f>
        <x:v>0</x:v>
      </x:c>
      <x:c r="T346" s="1" t="n">
        <x:f>IF(L346=1,MAX(0,I346+AB346-MIN(Q346,E346+P346)),"n.a.")</x:f>
        <x:v>922.5783983572895</x:v>
      </x:c>
      <x:c r="U346" s="9" t="n">
        <x:f>IF(ISNUMBER(T346),T346*G346,"n.a.")</x:f>
        <x:v>97.23976318685831</x:v>
      </x:c>
      <x:c r="V346" s="25" t="n">
        <x:f>IF(Dashboard!$I$6="Flat %",1,IF(ISNUMBER(H346),1,0))</x:f>
        <x:v>1</x:v>
      </x:c>
      <x:c r="W346" s="9" t="n">
        <x:f>IF(Dashboard!$I$6="Flat %",G346*(1+Dashboard!$L$6),H346)</x:f>
        <x:v>0.12333300000000001</x:v>
      </x:c>
      <x:c r="X346" s="9" t="n">
        <x:f>IF(V346=1,R346*(W346-G346),"n.a.")</x:f>
        <x:v>16.54459841774129</x:v>
      </x:c>
      <x:c r="Y346" s="9" t="n">
        <x:f>IF(V346=1,R346*W346,"n.a.")</x:f>
        <x:v>113.7843616045996</x:v>
      </x:c>
      <x:c r="Z346" s="1" t="n">
        <x:f>IF(ISNUMBER(T346),R346-T346,"n.a.")</x:f>
        <x:v>0</x:v>
      </x:c>
      <x:c r="AA346" s="1" t="str">
        <x:f>'Inventory inputs'!R346</x:f>
        <x:v>Classified</x:v>
      </x:c>
      <x:c r="AB346" s="1" t="n">
        <x:f>IF(L346=1,SUMIFS('Incoming POs'!$P$2:$P$305,'Incoming POs'!$A$2:$A$305,A346,'Incoming POs'!$B$2:$B$305,B346,'Incoming POs'!$C$2:$C$305,C346,'Incoming POs'!$G$2:$G$305,"&gt;="&amp;D346,'Incoming POs'!$G$2:$G$305,"&lt;"&amp;Dashboard!$I$5,'Incoming POs'!$Q$2:$Q$305,"&lt;="&amp;('Inventory inputs'!P346/'Inventory inputs'!J346*1.01)),"n.a.")</x:f>
        <x:v>0</x:v>
      </x:c>
      <x:c r="AC346" s="9" t="n">
        <x:f>I346*G346</x:f>
        <x:v>115.94</x:v>
      </x:c>
      <x:c r="AD346" s="9" t="n">
        <x:f>J346*G346</x:f>
        <x:v>0</x:v>
      </x:c>
      <x:c r="AE346" s="9" t="n">
        <x:f>K346*G346</x:f>
        <x:v>0</x:v>
      </x:c>
      <x:c r="AF346" s="9" t="n">
        <x:f>R346*G346</x:f>
        <x:v>97.23976318685831</x:v>
      </x:c>
    </x:row>
    <x:row r="347" ht="21" customHeight="1">
      <x:c r="A347" s="1" t="str">
        <x:f>'Inventory inputs'!A347</x:f>
        <x:v>PLAS</x:v>
      </x:c>
      <x:c r="B347" s="1" t="str">
        <x:f>'Inventory inputs'!B347</x:f>
        <x:v>30</x:v>
      </x:c>
      <x:c r="C347" s="1" t="str">
        <x:f>'Inventory inputs'!C347</x:f>
        <x:v>05819RWBWHT</x:v>
      </x:c>
      <x:c r="D347" s="7" t="n">
        <x:f>'Inventory inputs'!E347</x:f>
        <x:v>46303</x:v>
      </x:c>
      <x:c r="E347" s="1" t="n">
        <x:f>'Inventory inputs'!F347</x:f>
        <x:v>2200</x:v>
      </x:c>
      <x:c r="F347" s="1" t="n">
        <x:f>'Inventory inputs'!G347</x:f>
        <x:v>133.33</x:v>
      </x:c>
      <x:c r="G347" s="1" t="n">
        <x:f>'Inventory inputs'!H347/'Inventory inputs'!J347</x:f>
        <x:v>0.045599999999999995</x:v>
      </x:c>
      <x:c r="H347" s="1" t="n">
        <x:f>IF('Inventory inputs'!I347&gt;0,'Inventory inputs'!I347*'Inventory inputs'!K347/'Inventory inputs'!J347,"n.a.")</x:f>
        <x:v>0.053361</x:v>
      </x:c>
      <x:c r="I347" s="1" t="n">
        <x:f>'Inventory inputs'!L347</x:f>
        <x:v>0</x:v>
      </x:c>
      <x:c r="J347" s="1" t="n">
        <x:f>'Inventory inputs'!M347</x:f>
        <x:v>0</x:v>
      </x:c>
      <x:c r="K347" s="1" t="n">
        <x:f>'Inventory inputs'!N347</x:f>
        <x:v>2200</x:v>
      </x:c>
      <x:c r="L347" s="1" t="n">
        <x:f>'Inventory inputs'!O347</x:f>
        <x:v>0</x:v>
      </x:c>
      <x:c r="M347" s="9" t="n">
        <x:f>E347*G347</x:f>
        <x:v>100.32</x:v>
      </x:c>
      <x:c r="N347" s="9" t="n">
        <x:f>'Inventory inputs'!Q347</x:f>
        <x:v>100.32000000000001</x:v>
      </x:c>
      <x:c r="O347" s="9" t="n">
        <x:f>N347-M347</x:f>
        <x:v>1.4210854715202004e-14</x:v>
      </x:c>
      <x:c r="P347" s="1" t="n">
        <x:f>SUMIFS('Incoming POs'!$P$2:$P$305,'Incoming POs'!$A$2:$A$305,A347,'Incoming POs'!$B$2:$B$305,B347,'Incoming POs'!$C$2:$C$305,C347,'Incoming POs'!$G$2:$G$305,"&gt;="&amp;D347,'Incoming POs'!$G$2:$G$305,"&lt;"&amp;Dashboard!$I$5)</x:f>
        <x:v>0</x:v>
      </x:c>
      <x:c r="Q347" s="1" t="n">
        <x:f>F347*Dashboard!$L$5*MAX(0,Dashboard!$I$5-D347)/30.4375</x:f>
        <x:v>177.40829568788502</x:v>
      </x:c>
      <x:c r="R347" s="1" t="n">
        <x:f>MAX(0,E347+P347-Q347)</x:f>
        <x:v>2022.5917043121149</x:v>
      </x:c>
      <x:c r="S347" s="1" t="n">
        <x:f>MAX(0,Q347-E347-P347)</x:f>
        <x:v>0</x:v>
      </x:c>
      <x:c r="T347" s="1" t="str">
        <x:f>IF(L347=1,MAX(0,I347+AB347-MIN(Q347,E347+P347)),"n.a.")</x:f>
        <x:v>n.a.</x:v>
      </x:c>
      <x:c r="U347" s="9" t="str">
        <x:f>IF(ISNUMBER(T347),T347*G347,"n.a.")</x:f>
        <x:v>n.a.</x:v>
      </x:c>
      <x:c r="V347" s="25" t="n">
        <x:f>IF(Dashboard!$I$6="Flat %",1,IF(ISNUMBER(H347),1,0))</x:f>
        <x:v>1</x:v>
      </x:c>
      <x:c r="W347" s="9" t="n">
        <x:f>IF(Dashboard!$I$6="Flat %",G347*(1+Dashboard!$L$6),H347)</x:f>
        <x:v>0.053361</x:v>
      </x:c>
      <x:c r="X347" s="9" t="n">
        <x:f>IF(V347=1,R347*(W347-G347),"n.a.")</x:f>
        <x:v>15.69733421716633</x:v>
      </x:c>
      <x:c r="Y347" s="9" t="n">
        <x:f>IF(V347=1,R347*W347,"n.a.")</x:f>
        <x:v>107.92751593379876</x:v>
      </x:c>
      <x:c r="Z347" s="1" t="str">
        <x:f>IF(ISNUMBER(T347),R347-T347,"n.a.")</x:f>
        <x:v>n.a.</x:v>
      </x:c>
      <x:c r="AA347" s="1" t="str">
        <x:f>'Inventory inputs'!R347</x:f>
        <x:v>Review receipt reconciliation or original PO baseline</x:v>
      </x:c>
      <x:c r="AB347" s="1" t="str">
        <x:f>IF(L347=1,SUMIFS('Incoming POs'!$P$2:$P$305,'Incoming POs'!$A$2:$A$305,A347,'Incoming POs'!$B$2:$B$305,B347,'Incoming POs'!$C$2:$C$305,C347,'Incoming POs'!$G$2:$G$305,"&gt;="&amp;D347,'Incoming POs'!$G$2:$G$305,"&lt;"&amp;Dashboard!$I$5,'Incoming POs'!$Q$2:$Q$305,"&lt;="&amp;('Inventory inputs'!P347/'Inventory inputs'!J347*1.01)),"n.a.")</x:f>
        <x:v>n.a.</x:v>
      </x:c>
      <x:c r="AC347" s="9" t="n">
        <x:f>I347*G347</x:f>
        <x:v>0</x:v>
      </x:c>
      <x:c r="AD347" s="9" t="n">
        <x:f>J347*G347</x:f>
        <x:v>0</x:v>
      </x:c>
      <x:c r="AE347" s="9" t="n">
        <x:f>K347*G347</x:f>
        <x:v>100.32</x:v>
      </x:c>
      <x:c r="AF347" s="9" t="n">
        <x:f>R347*G347</x:f>
        <x:v>92.23018171663243</x:v>
      </x:c>
    </x:row>
    <x:row r="348" ht="21" customHeight="1">
      <x:c r="A348" s="1" t="str">
        <x:f>'Inventory inputs'!A348</x:f>
        <x:v>PLAS</x:v>
      </x:c>
      <x:c r="B348" s="1" t="str">
        <x:f>'Inventory inputs'!B348</x:f>
        <x:v>60</x:v>
      </x:c>
      <x:c r="C348" s="1" t="str">
        <x:f>'Inventory inputs'!C348</x:f>
        <x:v>03819RWBMAR</x:v>
      </x:c>
      <x:c r="D348" s="7" t="n">
        <x:f>'Inventory inputs'!E348</x:f>
        <x:v>46303</x:v>
      </x:c>
      <x:c r="E348" s="1" t="n">
        <x:f>'Inventory inputs'!F348</x:f>
        <x:v>0</x:v>
      </x:c>
      <x:c r="F348" s="1" t="n">
        <x:f>'Inventory inputs'!G348</x:f>
        <x:v>133.33</x:v>
      </x:c>
      <x:c r="G348" s="1" t="n">
        <x:f>'Inventory inputs'!H348/'Inventory inputs'!J348</x:f>
        <x:v>0.0248</x:v>
      </x:c>
      <x:c r="H348" s="1" t="n">
        <x:f>IF('Inventory inputs'!I348&gt;0,'Inventory inputs'!I348*'Inventory inputs'!K348/'Inventory inputs'!J348,"n.a.")</x:f>
        <x:v>0.029106</x:v>
      </x:c>
      <x:c r="I348" s="1" t="n">
        <x:f>'Inventory inputs'!L348</x:f>
        <x:v>0</x:v>
      </x:c>
      <x:c r="J348" s="1" t="n">
        <x:f>'Inventory inputs'!M348</x:f>
        <x:v>0</x:v>
      </x:c>
      <x:c r="K348" s="1" t="n">
        <x:f>'Inventory inputs'!N348</x:f>
        <x:v>0</x:v>
      </x:c>
      <x:c r="L348" s="1" t="n">
        <x:f>'Inventory inputs'!O348</x:f>
        <x:v>1</x:v>
      </x:c>
      <x:c r="M348" s="9" t="n">
        <x:f>E348*G348</x:f>
        <x:v>0</x:v>
      </x:c>
      <x:c r="N348" s="9" t="n">
        <x:f>'Inventory inputs'!Q348</x:f>
        <x:v>0</x:v>
      </x:c>
      <x:c r="O348" s="9" t="n">
        <x:f>N348-M348</x:f>
        <x:v>0</x:v>
      </x:c>
      <x:c r="P348" s="1" t="n">
        <x:f>SUMIFS('Incoming POs'!$P$2:$P$305,'Incoming POs'!$A$2:$A$305,A348,'Incoming POs'!$B$2:$B$305,B348,'Incoming POs'!$C$2:$C$305,C348,'Incoming POs'!$G$2:$G$305,"&gt;="&amp;D348,'Incoming POs'!$G$2:$G$305,"&lt;"&amp;Dashboard!$I$5)</x:f>
        <x:v>0</x:v>
      </x:c>
      <x:c r="Q348" s="1" t="n">
        <x:f>F348*Dashboard!$L$5*MAX(0,Dashboard!$I$5-D348)/30.4375</x:f>
        <x:v>177.40829568788502</x:v>
      </x:c>
      <x:c r="R348" s="1" t="n">
        <x:f>MAX(0,E348+P348-Q348)</x:f>
        <x:v>0</x:v>
      </x:c>
      <x:c r="S348" s="1" t="n">
        <x:f>MAX(0,Q348-E348-P348)</x:f>
        <x:v>177.40829568788502</x:v>
      </x:c>
      <x:c r="T348" s="1" t="n">
        <x:f>IF(L348=1,MAX(0,I348+AB348-MIN(Q348,E348+P348)),"n.a.")</x:f>
        <x:v>0</x:v>
      </x:c>
      <x:c r="U348" s="9" t="n">
        <x:f>IF(ISNUMBER(T348),T348*G348,"n.a.")</x:f>
        <x:v>0</x:v>
      </x:c>
      <x:c r="V348" s="25" t="n">
        <x:f>IF(Dashboard!$I$6="Flat %",1,IF(ISNUMBER(H348),1,0))</x:f>
        <x:v>1</x:v>
      </x:c>
      <x:c r="W348" s="9" t="n">
        <x:f>IF(Dashboard!$I$6="Flat %",G348*(1+Dashboard!$L$6),H348)</x:f>
        <x:v>0.029106</x:v>
      </x:c>
      <x:c r="X348" s="9" t="n">
        <x:f>IF(V348=1,R348*(W348-G348),"n.a.")</x:f>
        <x:v>0</x:v>
      </x:c>
      <x:c r="Y348" s="9" t="n">
        <x:f>IF(V348=1,R348*W348,"n.a.")</x:f>
        <x:v>0</x:v>
      </x:c>
      <x:c r="Z348" s="1" t="n">
        <x:f>IF(ISNUMBER(T348),R348-T348,"n.a.")</x:f>
        <x:v>0</x:v>
      </x:c>
      <x:c r="AA348" s="1" t="str">
        <x:f>'Inventory inputs'!R348</x:f>
        <x:v>Classified</x:v>
      </x:c>
      <x:c r="AB348" s="1" t="n">
        <x:f>IF(L348=1,SUMIFS('Incoming POs'!$P$2:$P$305,'Incoming POs'!$A$2:$A$305,A348,'Incoming POs'!$B$2:$B$305,B348,'Incoming POs'!$C$2:$C$305,C348,'Incoming POs'!$G$2:$G$305,"&gt;="&amp;D348,'Incoming POs'!$G$2:$G$305,"&lt;"&amp;Dashboard!$I$5,'Incoming POs'!$Q$2:$Q$305,"&lt;="&amp;('Inventory inputs'!P348/'Inventory inputs'!J348*1.01)),"n.a.")</x:f>
        <x:v>0</x:v>
      </x:c>
      <x:c r="AC348" s="9" t="n">
        <x:f>I348*G348</x:f>
        <x:v>0</x:v>
      </x:c>
      <x:c r="AD348" s="9" t="n">
        <x:f>J348*G348</x:f>
        <x:v>0</x:v>
      </x:c>
      <x:c r="AE348" s="9" t="n">
        <x:f>K348*G348</x:f>
        <x:v>0</x:v>
      </x:c>
      <x:c r="AF348" s="9" t="n">
        <x:f>R348*G348</x:f>
        <x:v>0</x:v>
      </x:c>
    </x:row>
    <x:row r="349" ht="21" customHeight="1">
      <x:c r="A349" s="1" t="str">
        <x:f>'Inventory inputs'!A349</x:f>
        <x:v>PLAS</x:v>
      </x:c>
      <x:c r="B349" s="1" t="str">
        <x:f>'Inventory inputs'!B349</x:f>
        <x:v>60</x:v>
      </x:c>
      <x:c r="C349" s="1" t="str">
        <x:f>'Inventory inputs'!C349</x:f>
        <x:v>71615RWBBLK</x:v>
      </x:c>
      <x:c r="D349" s="7" t="n">
        <x:f>'Inventory inputs'!E349</x:f>
        <x:v>46303</x:v>
      </x:c>
      <x:c r="E349" s="1" t="n">
        <x:f>'Inventory inputs'!F349</x:f>
        <x:v>1200</x:v>
      </x:c>
      <x:c r="F349" s="1" t="n">
        <x:f>'Inventory inputs'!G349</x:f>
        <x:v>133.33</x:v>
      </x:c>
      <x:c r="G349" s="1" t="n">
        <x:f>'Inventory inputs'!H349/'Inventory inputs'!J349</x:f>
        <x:v>0.0219</x:v>
      </x:c>
      <x:c r="H349" s="1" t="n">
        <x:f>IF('Inventory inputs'!I349&gt;0,'Inventory inputs'!I349*'Inventory inputs'!K349/'Inventory inputs'!J349,"n.a.")</x:f>
        <x:v>0.025578</x:v>
      </x:c>
      <x:c r="I349" s="1" t="n">
        <x:f>'Inventory inputs'!L349</x:f>
        <x:v>0</x:v>
      </x:c>
      <x:c r="J349" s="1" t="n">
        <x:f>'Inventory inputs'!M349</x:f>
        <x:v>0</x:v>
      </x:c>
      <x:c r="K349" s="1" t="n">
        <x:f>'Inventory inputs'!N349</x:f>
        <x:v>1200</x:v>
      </x:c>
      <x:c r="L349" s="1" t="n">
        <x:f>'Inventory inputs'!O349</x:f>
        <x:v>0</x:v>
      </x:c>
      <x:c r="M349" s="9" t="n">
        <x:f>E349*G349</x:f>
        <x:v>26.279999999999998</x:v>
      </x:c>
      <x:c r="N349" s="9" t="n">
        <x:f>'Inventory inputs'!Q349</x:f>
        <x:v>26.28</x:v>
      </x:c>
      <x:c r="O349" s="9" t="n">
        <x:f>N349-M349</x:f>
        <x:v>3.552713678800501e-15</x:v>
      </x:c>
      <x:c r="P349" s="1" t="n">
        <x:f>SUMIFS('Incoming POs'!$P$2:$P$305,'Incoming POs'!$A$2:$A$305,A349,'Incoming POs'!$B$2:$B$305,B349,'Incoming POs'!$C$2:$C$305,C349,'Incoming POs'!$G$2:$G$305,"&gt;="&amp;D349,'Incoming POs'!$G$2:$G$305,"&lt;"&amp;Dashboard!$I$5)</x:f>
        <x:v>0</x:v>
      </x:c>
      <x:c r="Q349" s="1" t="n">
        <x:f>F349*Dashboard!$L$5*MAX(0,Dashboard!$I$5-D349)/30.4375</x:f>
        <x:v>177.40829568788502</x:v>
      </x:c>
      <x:c r="R349" s="1" t="n">
        <x:f>MAX(0,E349+P349-Q349)</x:f>
        <x:v>1022.591704312115</x:v>
      </x:c>
      <x:c r="S349" s="1" t="n">
        <x:f>MAX(0,Q349-E349-P349)</x:f>
        <x:v>0</x:v>
      </x:c>
      <x:c r="T349" s="1" t="str">
        <x:f>IF(L349=1,MAX(0,I349+AB349-MIN(Q349,E349+P349)),"n.a.")</x:f>
        <x:v>n.a.</x:v>
      </x:c>
      <x:c r="U349" s="9" t="str">
        <x:f>IF(ISNUMBER(T349),T349*G349,"n.a.")</x:f>
        <x:v>n.a.</x:v>
      </x:c>
      <x:c r="V349" s="25" t="n">
        <x:f>IF(Dashboard!$I$6="Flat %",1,IF(ISNUMBER(H349),1,0))</x:f>
        <x:v>1</x:v>
      </x:c>
      <x:c r="W349" s="9" t="n">
        <x:f>IF(Dashboard!$I$6="Flat %",G349*(1+Dashboard!$L$6),H349)</x:f>
        <x:v>0.025578</x:v>
      </x:c>
      <x:c r="X349" s="9" t="n">
        <x:f>IF(V349=1,R349*(W349-G349),"n.a.")</x:f>
        <x:v>3.7610922884599596</x:v>
      </x:c>
      <x:c r="Y349" s="9" t="n">
        <x:f>IF(V349=1,R349*W349,"n.a.")</x:f>
        <x:v>26.15585061289528</x:v>
      </x:c>
      <x:c r="Z349" s="1" t="str">
        <x:f>IF(ISNUMBER(T349),R349-T349,"n.a.")</x:f>
        <x:v>n.a.</x:v>
      </x:c>
      <x:c r="AA349" s="1" t="str">
        <x:f>'Inventory inputs'!R349</x:f>
        <x:v>Review receipt reconciliation or original PO baseline</x:v>
      </x:c>
      <x:c r="AB349" s="1" t="str">
        <x:f>IF(L349=1,SUMIFS('Incoming POs'!$P$2:$P$305,'Incoming POs'!$A$2:$A$305,A349,'Incoming POs'!$B$2:$B$305,B349,'Incoming POs'!$C$2:$C$305,C349,'Incoming POs'!$G$2:$G$305,"&gt;="&amp;D349,'Incoming POs'!$G$2:$G$305,"&lt;"&amp;Dashboard!$I$5,'Incoming POs'!$Q$2:$Q$305,"&lt;="&amp;('Inventory inputs'!P349/'Inventory inputs'!J349*1.01)),"n.a.")</x:f>
        <x:v>n.a.</x:v>
      </x:c>
      <x:c r="AC349" s="9" t="n">
        <x:f>I349*G349</x:f>
        <x:v>0</x:v>
      </x:c>
      <x:c r="AD349" s="9" t="n">
        <x:f>J349*G349</x:f>
        <x:v>0</x:v>
      </x:c>
      <x:c r="AE349" s="9" t="n">
        <x:f>K349*G349</x:f>
        <x:v>26.279999999999998</x:v>
      </x:c>
      <x:c r="AF349" s="9" t="n">
        <x:f>R349*G349</x:f>
        <x:v>22.39475832443532</x:v>
      </x:c>
    </x:row>
    <x:row r="350" ht="21" customHeight="1">
      <x:c r="A350" s="1" t="str">
        <x:f>'Inventory inputs'!A350</x:f>
        <x:v>PLAS</x:v>
      </x:c>
      <x:c r="B350" s="1" t="str">
        <x:f>'Inventory inputs'!B350</x:f>
        <x:v>60</x:v>
      </x:c>
      <x:c r="C350" s="1" t="str">
        <x:f>'Inventory inputs'!C350</x:f>
        <x:v>91619RWBFG</x:v>
      </x:c>
      <x:c r="D350" s="7" t="n">
        <x:f>'Inventory inputs'!E350</x:f>
        <x:v>46303</x:v>
      </x:c>
      <x:c r="E350" s="1" t="n">
        <x:f>'Inventory inputs'!F350</x:f>
        <x:v>300</x:v>
      </x:c>
      <x:c r="F350" s="1" t="n">
        <x:f>'Inventory inputs'!G350</x:f>
        <x:v>133.33</x:v>
      </x:c>
      <x:c r="G350" s="1" t="n">
        <x:f>'Inventory inputs'!H350/'Inventory inputs'!J350</x:f>
        <x:v>0.042800000000000005</x:v>
      </x:c>
      <x:c r="H350" s="1" t="n">
        <x:f>IF('Inventory inputs'!I350&gt;0,'Inventory inputs'!I350*'Inventory inputs'!K350/'Inventory inputs'!J350,"n.a.")</x:f>
        <x:v>0.049980000000000004</x:v>
      </x:c>
      <x:c r="I350" s="1" t="n">
        <x:f>'Inventory inputs'!L350</x:f>
        <x:v>0</x:v>
      </x:c>
      <x:c r="J350" s="1" t="n">
        <x:f>'Inventory inputs'!M350</x:f>
        <x:v>0</x:v>
      </x:c>
      <x:c r="K350" s="1" t="n">
        <x:f>'Inventory inputs'!N350</x:f>
        <x:v>300</x:v>
      </x:c>
      <x:c r="L350" s="1" t="n">
        <x:f>'Inventory inputs'!O350</x:f>
        <x:v>0</x:v>
      </x:c>
      <x:c r="M350" s="9" t="n">
        <x:f>E350*G350</x:f>
        <x:v>12.840000000000002</x:v>
      </x:c>
      <x:c r="N350" s="9" t="n">
        <x:f>'Inventory inputs'!Q350</x:f>
        <x:v>12.84</x:v>
      </x:c>
      <x:c r="O350" s="9" t="n">
        <x:f>N350-M350</x:f>
        <x:v>-1.7763568394002505e-15</x:v>
      </x:c>
      <x:c r="P350" s="1" t="n">
        <x:f>SUMIFS('Incoming POs'!$P$2:$P$305,'Incoming POs'!$A$2:$A$305,A350,'Incoming POs'!$B$2:$B$305,B350,'Incoming POs'!$C$2:$C$305,C350,'Incoming POs'!$G$2:$G$305,"&gt;="&amp;D350,'Incoming POs'!$G$2:$G$305,"&lt;"&amp;Dashboard!$I$5)</x:f>
        <x:v>0</x:v>
      </x:c>
      <x:c r="Q350" s="1" t="n">
        <x:f>F350*Dashboard!$L$5*MAX(0,Dashboard!$I$5-D350)/30.4375</x:f>
        <x:v>177.40829568788502</x:v>
      </x:c>
      <x:c r="R350" s="1" t="n">
        <x:f>MAX(0,E350+P350-Q350)</x:f>
        <x:v>122.59170431211498</x:v>
      </x:c>
      <x:c r="S350" s="1" t="n">
        <x:f>MAX(0,Q350-E350-P350)</x:f>
        <x:v>0</x:v>
      </x:c>
      <x:c r="T350" s="1" t="str">
        <x:f>IF(L350=1,MAX(0,I350+AB350-MIN(Q350,E350+P350)),"n.a.")</x:f>
        <x:v>n.a.</x:v>
      </x:c>
      <x:c r="U350" s="9" t="str">
        <x:f>IF(ISNUMBER(T350),T350*G350,"n.a.")</x:f>
        <x:v>n.a.</x:v>
      </x:c>
      <x:c r="V350" s="25" t="n">
        <x:f>IF(Dashboard!$I$6="Flat %",1,IF(ISNUMBER(H350),1,0))</x:f>
        <x:v>1</x:v>
      </x:c>
      <x:c r="W350" s="9" t="n">
        <x:f>IF(Dashboard!$I$6="Flat %",G350*(1+Dashboard!$L$6),H350)</x:f>
        <x:v>0.049980000000000004</x:v>
      </x:c>
      <x:c r="X350" s="9" t="n">
        <x:f>IF(V350=1,R350*(W350-G350),"n.a.")</x:f>
        <x:v>0.8802084369609855</x:v>
      </x:c>
      <x:c r="Y350" s="9" t="n">
        <x:f>IF(V350=1,R350*W350,"n.a.")</x:f>
        <x:v>6.127133381519507</x:v>
      </x:c>
      <x:c r="Z350" s="1" t="str">
        <x:f>IF(ISNUMBER(T350),R350-T350,"n.a.")</x:f>
        <x:v>n.a.</x:v>
      </x:c>
      <x:c r="AA350" s="1" t="str">
        <x:f>'Inventory inputs'!R350</x:f>
        <x:v>Review receipt reconciliation or original PO baseline</x:v>
      </x:c>
      <x:c r="AB350" s="1" t="str">
        <x:f>IF(L350=1,SUMIFS('Incoming POs'!$P$2:$P$305,'Incoming POs'!$A$2:$A$305,A350,'Incoming POs'!$B$2:$B$305,B350,'Incoming POs'!$C$2:$C$305,C350,'Incoming POs'!$G$2:$G$305,"&gt;="&amp;D350,'Incoming POs'!$G$2:$G$305,"&lt;"&amp;Dashboard!$I$5,'Incoming POs'!$Q$2:$Q$305,"&lt;="&amp;('Inventory inputs'!P350/'Inventory inputs'!J350*1.01)),"n.a.")</x:f>
        <x:v>n.a.</x:v>
      </x:c>
      <x:c r="AC350" s="9" t="n">
        <x:f>I350*G350</x:f>
        <x:v>0</x:v>
      </x:c>
      <x:c r="AD350" s="9" t="n">
        <x:f>J350*G350</x:f>
        <x:v>0</x:v>
      </x:c>
      <x:c r="AE350" s="9" t="n">
        <x:f>K350*G350</x:f>
        <x:v>12.840000000000002</x:v>
      </x:c>
      <x:c r="AF350" s="9" t="n">
        <x:f>R350*G350</x:f>
        <x:v>5.246924944558522</x:v>
      </x:c>
    </x:row>
    <x:row r="351" ht="21" customHeight="1">
      <x:c r="A351" s="1" t="str">
        <x:f>'Inventory inputs'!A351</x:f>
        <x:v>PLAS</x:v>
      </x:c>
      <x:c r="B351" s="1" t="str">
        <x:f>'Inventory inputs'!B351</x:f>
        <x:v>10</x:v>
      </x:c>
      <x:c r="C351" s="1" t="str">
        <x:f>'Inventory inputs'!C351</x:f>
        <x:v>13419RSLNAV</x:v>
      </x:c>
      <x:c r="D351" s="7" t="n">
        <x:f>'Inventory inputs'!E351</x:f>
        <x:v>46303</x:v>
      </x:c>
      <x:c r="E351" s="1" t="n">
        <x:f>'Inventory inputs'!F351</x:f>
        <x:v>997</x:v>
      </x:c>
      <x:c r="F351" s="1" t="n">
        <x:f>'Inventory inputs'!G351</x:f>
        <x:v>129.42</x:v>
      </x:c>
      <x:c r="G351" s="1" t="n">
        <x:f>'Inventory inputs'!H351/'Inventory inputs'!J351</x:f>
        <x:v>0.1457</x:v>
      </x:c>
      <x:c r="H351" s="1" t="n">
        <x:f>IF('Inventory inputs'!I351&gt;0,'Inventory inputs'!I351*'Inventory inputs'!K351/'Inventory inputs'!J351,"n.a.")</x:f>
        <x:v>0.170373</x:v>
      </x:c>
      <x:c r="I351" s="1" t="n">
        <x:f>'Inventory inputs'!L351</x:f>
        <x:v>997</x:v>
      </x:c>
      <x:c r="J351" s="1" t="n">
        <x:f>'Inventory inputs'!M351</x:f>
        <x:v>0</x:v>
      </x:c>
      <x:c r="K351" s="1" t="n">
        <x:f>'Inventory inputs'!N351</x:f>
        <x:v>0</x:v>
      </x:c>
      <x:c r="L351" s="1" t="n">
        <x:f>'Inventory inputs'!O351</x:f>
        <x:v>1</x:v>
      </x:c>
      <x:c r="M351" s="9" t="n">
        <x:f>E351*G351</x:f>
        <x:v>145.2629</x:v>
      </x:c>
      <x:c r="N351" s="9" t="n">
        <x:f>'Inventory inputs'!Q351</x:f>
        <x:v>145.2629</x:v>
      </x:c>
      <x:c r="O351" s="9" t="n">
        <x:f>N351-M351</x:f>
        <x:v>0</x:v>
      </x:c>
      <x:c r="P351" s="1" t="n">
        <x:f>SUMIFS('Incoming POs'!$P$2:$P$305,'Incoming POs'!$A$2:$A$305,A351,'Incoming POs'!$B$2:$B$305,B351,'Incoming POs'!$C$2:$C$305,C351,'Incoming POs'!$G$2:$G$305,"&gt;="&amp;D351,'Incoming POs'!$G$2:$G$305,"&lt;"&amp;Dashboard!$I$5)</x:f>
        <x:v>1000</x:v>
      </x:c>
      <x:c r="Q351" s="1" t="n">
        <x:f>F351*Dashboard!$L$5*MAX(0,Dashboard!$I$5-D351)/30.4375</x:f>
        <x:v>172.20566735112936</x:v>
      </x:c>
      <x:c r="R351" s="1" t="n">
        <x:f>MAX(0,E351+P351-Q351)</x:f>
        <x:v>1824.7943326488707</x:v>
      </x:c>
      <x:c r="S351" s="1" t="n">
        <x:f>MAX(0,Q351-E351-P351)</x:f>
        <x:v>0</x:v>
      </x:c>
      <x:c r="T351" s="1" t="n">
        <x:f>IF(L351=1,MAX(0,I351+AB351-MIN(Q351,E351+P351)),"n.a.")</x:f>
        <x:v>824.7943326488706</x:v>
      </x:c>
      <x:c r="U351" s="9" t="n">
        <x:f>IF(ISNUMBER(T351),T351*G351,"n.a.")</x:f>
        <x:v>120.17253426694045</x:v>
      </x:c>
      <x:c r="V351" s="25" t="n">
        <x:f>IF(Dashboard!$I$6="Flat %",1,IF(ISNUMBER(H351),1,0))</x:f>
        <x:v>1</x:v>
      </x:c>
      <x:c r="W351" s="9" t="n">
        <x:f>IF(Dashboard!$I$6="Flat %",G351*(1+Dashboard!$L$6),H351)</x:f>
        <x:v>0.170373</x:v>
      </x:c>
      <x:c r="X351" s="9" t="n">
        <x:f>IF(V351=1,R351*(W351-G351),"n.a.")</x:f>
        <x:v>45.02315056944559</x:v>
      </x:c>
      <x:c r="Y351" s="9" t="n">
        <x:f>IF(V351=1,R351*W351,"n.a.")</x:f>
        <x:v>310.89568483638607</x:v>
      </x:c>
      <x:c r="Z351" s="1" t="n">
        <x:f>IF(ISNUMBER(T351),R351-T351,"n.a.")</x:f>
        <x:v>1000.0000000000001</x:v>
      </x:c>
      <x:c r="AA351" s="1" t="str">
        <x:f>'Inventory inputs'!R351</x:f>
        <x:v>Classified</x:v>
      </x:c>
      <x:c r="AB351" s="1" t="n">
        <x:f>IF(L351=1,SUMIFS('Incoming POs'!$P$2:$P$305,'Incoming POs'!$A$2:$A$305,A351,'Incoming POs'!$B$2:$B$305,B351,'Incoming POs'!$C$2:$C$305,C351,'Incoming POs'!$G$2:$G$305,"&gt;="&amp;D351,'Incoming POs'!$G$2:$G$305,"&lt;"&amp;Dashboard!$I$5,'Incoming POs'!$Q$2:$Q$305,"&lt;="&amp;('Inventory inputs'!P351/'Inventory inputs'!J351*1.01)),"n.a.")</x:f>
        <x:v>0</x:v>
      </x:c>
      <x:c r="AC351" s="9" t="n">
        <x:f>I351*G351</x:f>
        <x:v>145.2629</x:v>
      </x:c>
      <x:c r="AD351" s="9" t="n">
        <x:f>J351*G351</x:f>
        <x:v>0</x:v>
      </x:c>
      <x:c r="AE351" s="9" t="n">
        <x:f>K351*G351</x:f>
        <x:v>0</x:v>
      </x:c>
      <x:c r="AF351" s="9" t="n">
        <x:f>R351*G351</x:f>
        <x:v>265.8725342669405</x:v>
      </x:c>
    </x:row>
    <x:row r="352" ht="21" customHeight="1">
      <x:c r="A352" s="1" t="str">
        <x:f>'Inventory inputs'!A352</x:f>
        <x:v>PLAS</x:v>
      </x:c>
      <x:c r="B352" s="1" t="str">
        <x:f>'Inventory inputs'!B352</x:f>
        <x:v>10</x:v>
      </x:c>
      <x:c r="C352" s="1" t="str">
        <x:f>'Inventory inputs'!C352</x:f>
        <x:v>00119RWBFG</x:v>
      </x:c>
      <x:c r="D352" s="7" t="n">
        <x:f>'Inventory inputs'!E352</x:f>
        <x:v>46303</x:v>
      </x:c>
      <x:c r="E352" s="1" t="n">
        <x:f>'Inventory inputs'!F352</x:f>
        <x:v>1750</x:v>
      </x:c>
      <x:c r="F352" s="1" t="n">
        <x:f>'Inventory inputs'!G352</x:f>
        <x:v>125</x:v>
      </x:c>
      <x:c r="G352" s="1" t="n">
        <x:f>'Inventory inputs'!H352/'Inventory inputs'!J352</x:f>
        <x:v>0.1054</x:v>
      </x:c>
      <x:c r="H352" s="1" t="n">
        <x:f>IF('Inventory inputs'!I352&gt;0,'Inventory inputs'!I352*'Inventory inputs'!K352/'Inventory inputs'!J352,"n.a.")</x:f>
        <x:v>0.12333300000000001</x:v>
      </x:c>
      <x:c r="I352" s="1" t="n">
        <x:f>'Inventory inputs'!L352</x:f>
        <x:v>750</x:v>
      </x:c>
      <x:c r="J352" s="1" t="n">
        <x:f>'Inventory inputs'!M352</x:f>
        <x:v>1000</x:v>
      </x:c>
      <x:c r="K352" s="1" t="n">
        <x:f>'Inventory inputs'!N352</x:f>
        <x:v>0</x:v>
      </x:c>
      <x:c r="L352" s="1" t="n">
        <x:f>'Inventory inputs'!O352</x:f>
        <x:v>1</x:v>
      </x:c>
      <x:c r="M352" s="9" t="n">
        <x:f>E352*G352</x:f>
        <x:v>184.45</x:v>
      </x:c>
      <x:c r="N352" s="9" t="n">
        <x:f>'Inventory inputs'!Q352</x:f>
        <x:v>184.45000000000002</x:v>
      </x:c>
      <x:c r="O352" s="9" t="n">
        <x:f>N352-M352</x:f>
        <x:v>2.842170943040401e-14</x:v>
      </x:c>
      <x:c r="P352" s="1" t="n">
        <x:f>SUMIFS('Incoming POs'!$P$2:$P$305,'Incoming POs'!$A$2:$A$305,A352,'Incoming POs'!$B$2:$B$305,B352,'Incoming POs'!$C$2:$C$305,C352,'Incoming POs'!$G$2:$G$305,"&gt;="&amp;D352,'Incoming POs'!$G$2:$G$305,"&lt;"&amp;Dashboard!$I$5)</x:f>
        <x:v>0</x:v>
      </x:c>
      <x:c r="Q352" s="1" t="n">
        <x:f>F352*Dashboard!$L$5*MAX(0,Dashboard!$I$5-D352)/30.4375</x:f>
        <x:v>166.32443531827516</x:v>
      </x:c>
      <x:c r="R352" s="1" t="n">
        <x:f>MAX(0,E352+P352-Q352)</x:f>
        <x:v>1583.6755646817248</x:v>
      </x:c>
      <x:c r="S352" s="1" t="n">
        <x:f>MAX(0,Q352-E352-P352)</x:f>
        <x:v>0</x:v>
      </x:c>
      <x:c r="T352" s="1" t="n">
        <x:f>IF(L352=1,MAX(0,I352+AB352-MIN(Q352,E352+P352)),"n.a.")</x:f>
        <x:v>583.6755646817248</x:v>
      </x:c>
      <x:c r="U352" s="9" t="n">
        <x:f>IF(ISNUMBER(T352),T352*G352,"n.a.")</x:f>
        <x:v>61.51940451745379</x:v>
      </x:c>
      <x:c r="V352" s="25" t="n">
        <x:f>IF(Dashboard!$I$6="Flat %",1,IF(ISNUMBER(H352),1,0))</x:f>
        <x:v>1</x:v>
      </x:c>
      <x:c r="W352" s="9" t="n">
        <x:f>IF(Dashboard!$I$6="Flat %",G352*(1+Dashboard!$L$6),H352)</x:f>
        <x:v>0.12333300000000001</x:v>
      </x:c>
      <x:c r="X352" s="9" t="n">
        <x:f>IF(V352=1,R352*(W352-G352),"n.a.")</x:f>
        <x:v>28.4000539014374</x:v>
      </x:c>
      <x:c r="Y352" s="9" t="n">
        <x:f>IF(V352=1,R352*W352,"n.a.")</x:f>
        <x:v>195.3194584188912</x:v>
      </x:c>
      <x:c r="Z352" s="1" t="n">
        <x:f>IF(ISNUMBER(T352),R352-T352,"n.a.")</x:f>
        <x:v>1000</x:v>
      </x:c>
      <x:c r="AA352" s="1" t="str">
        <x:f>'Inventory inputs'!R352</x:f>
        <x:v>Classified</x:v>
      </x:c>
      <x:c r="AB352" s="1" t="n">
        <x:f>IF(L352=1,SUMIFS('Incoming POs'!$P$2:$P$305,'Incoming POs'!$A$2:$A$305,A352,'Incoming POs'!$B$2:$B$305,B352,'Incoming POs'!$C$2:$C$305,C352,'Incoming POs'!$G$2:$G$305,"&gt;="&amp;D352,'Incoming POs'!$G$2:$G$305,"&lt;"&amp;Dashboard!$I$5,'Incoming POs'!$Q$2:$Q$305,"&lt;="&amp;('Inventory inputs'!P352/'Inventory inputs'!J352*1.01)),"n.a.")</x:f>
        <x:v>0</x:v>
      </x:c>
      <x:c r="AC352" s="9" t="n">
        <x:f>I352*G352</x:f>
        <x:v>79.05</x:v>
      </x:c>
      <x:c r="AD352" s="9" t="n">
        <x:f>J352*G352</x:f>
        <x:v>105.39999999999999</x:v>
      </x:c>
      <x:c r="AE352" s="9" t="n">
        <x:f>K352*G352</x:f>
        <x:v>0</x:v>
      </x:c>
      <x:c r="AF352" s="9" t="n">
        <x:f>R352*G352</x:f>
        <x:v>166.91940451745378</x:v>
      </x:c>
    </x:row>
    <x:row r="353" ht="21" customHeight="1">
      <x:c r="A353" s="1" t="str">
        <x:f>'Inventory inputs'!A353</x:f>
        <x:v>PLAS</x:v>
      </x:c>
      <x:c r="B353" s="1" t="str">
        <x:f>'Inventory inputs'!B353</x:f>
        <x:v>10</x:v>
      </x:c>
      <x:c r="C353" s="1" t="str">
        <x:f>'Inventory inputs'!C353</x:f>
        <x:v>07815RWBFG</x:v>
      </x:c>
      <x:c r="D353" s="7" t="n">
        <x:f>'Inventory inputs'!E353</x:f>
        <x:v>46303</x:v>
      </x:c>
      <x:c r="E353" s="1" t="n">
        <x:f>'Inventory inputs'!F353</x:f>
        <x:v>3277</x:v>
      </x:c>
      <x:c r="F353" s="1" t="n">
        <x:f>'Inventory inputs'!G353</x:f>
        <x:v>125</x:v>
      </x:c>
      <x:c r="G353" s="1" t="n">
        <x:f>'Inventory inputs'!H353/'Inventory inputs'!J353</x:f>
        <x:v>0.0538</x:v>
      </x:c>
      <x:c r="H353" s="1" t="n">
        <x:f>IF('Inventory inputs'!I353&gt;0,'Inventory inputs'!I353*'Inventory inputs'!K353/'Inventory inputs'!J353,"n.a.")</x:f>
        <x:v>0.062916</x:v>
      </x:c>
      <x:c r="I353" s="1" t="n">
        <x:f>'Inventory inputs'!L353</x:f>
        <x:v>3277</x:v>
      </x:c>
      <x:c r="J353" s="1" t="n">
        <x:f>'Inventory inputs'!M353</x:f>
        <x:v>0</x:v>
      </x:c>
      <x:c r="K353" s="1" t="n">
        <x:f>'Inventory inputs'!N353</x:f>
        <x:v>0</x:v>
      </x:c>
      <x:c r="L353" s="1" t="n">
        <x:f>'Inventory inputs'!O353</x:f>
        <x:v>1</x:v>
      </x:c>
      <x:c r="M353" s="9" t="n">
        <x:f>E353*G353</x:f>
        <x:v>176.3026</x:v>
      </x:c>
      <x:c r="N353" s="9" t="n">
        <x:f>'Inventory inputs'!Q353</x:f>
        <x:v>176.30259999999998</x:v>
      </x:c>
      <x:c r="O353" s="9" t="n">
        <x:f>N353-M353</x:f>
        <x:v>-2.842170943040401e-14</x:v>
      </x:c>
      <x:c r="P353" s="1" t="n">
        <x:f>SUMIFS('Incoming POs'!$P$2:$P$305,'Incoming POs'!$A$2:$A$305,A353,'Incoming POs'!$B$2:$B$305,B353,'Incoming POs'!$C$2:$C$305,C353,'Incoming POs'!$G$2:$G$305,"&gt;="&amp;D353,'Incoming POs'!$G$2:$G$305,"&lt;"&amp;Dashboard!$I$5)</x:f>
        <x:v>0</x:v>
      </x:c>
      <x:c r="Q353" s="1" t="n">
        <x:f>F353*Dashboard!$L$5*MAX(0,Dashboard!$I$5-D353)/30.4375</x:f>
        <x:v>166.32443531827516</x:v>
      </x:c>
      <x:c r="R353" s="1" t="n">
        <x:f>MAX(0,E353+P353-Q353)</x:f>
        <x:v>3110.6755646817246</x:v>
      </x:c>
      <x:c r="S353" s="1" t="n">
        <x:f>MAX(0,Q353-E353-P353)</x:f>
        <x:v>0</x:v>
      </x:c>
      <x:c r="T353" s="1" t="n">
        <x:f>IF(L353=1,MAX(0,I353+AB353-MIN(Q353,E353+P353)),"n.a.")</x:f>
        <x:v>3110.6755646817246</x:v>
      </x:c>
      <x:c r="U353" s="9" t="n">
        <x:f>IF(ISNUMBER(T353),T353*G353,"n.a.")</x:f>
        <x:v>167.35434537987678</x:v>
      </x:c>
      <x:c r="V353" s="25" t="n">
        <x:f>IF(Dashboard!$I$6="Flat %",1,IF(ISNUMBER(H353),1,0))</x:f>
        <x:v>1</x:v>
      </x:c>
      <x:c r="W353" s="9" t="n">
        <x:f>IF(Dashboard!$I$6="Flat %",G353*(1+Dashboard!$L$6),H353)</x:f>
        <x:v>0.062916</x:v>
      </x:c>
      <x:c r="X353" s="9" t="n">
        <x:f>IF(V353=1,R353*(W353-G353),"n.a.")</x:f>
        <x:v>28.3569184476386</x:v>
      </x:c>
      <x:c r="Y353" s="9" t="n">
        <x:f>IF(V353=1,R353*W353,"n.a.")</x:f>
        <x:v>195.71126382751538</x:v>
      </x:c>
      <x:c r="Z353" s="1" t="n">
        <x:f>IF(ISNUMBER(T353),R353-T353,"n.a.")</x:f>
        <x:v>0</x:v>
      </x:c>
      <x:c r="AA353" s="1" t="str">
        <x:f>'Inventory inputs'!R353</x:f>
        <x:v>Classified</x:v>
      </x:c>
      <x:c r="AB353" s="1" t="n">
        <x:f>IF(L353=1,SUMIFS('Incoming POs'!$P$2:$P$305,'Incoming POs'!$A$2:$A$305,A353,'Incoming POs'!$B$2:$B$305,B353,'Incoming POs'!$C$2:$C$305,C353,'Incoming POs'!$G$2:$G$305,"&gt;="&amp;D353,'Incoming POs'!$G$2:$G$305,"&lt;"&amp;Dashboard!$I$5,'Incoming POs'!$Q$2:$Q$305,"&lt;="&amp;('Inventory inputs'!P353/'Inventory inputs'!J353*1.01)),"n.a.")</x:f>
        <x:v>0</x:v>
      </x:c>
      <x:c r="AC353" s="9" t="n">
        <x:f>I353*G353</x:f>
        <x:v>176.3026</x:v>
      </x:c>
      <x:c r="AD353" s="9" t="n">
        <x:f>J353*G353</x:f>
        <x:v>0</x:v>
      </x:c>
      <x:c r="AE353" s="9" t="n">
        <x:f>K353*G353</x:f>
        <x:v>0</x:v>
      </x:c>
      <x:c r="AF353" s="9" t="n">
        <x:f>R353*G353</x:f>
        <x:v>167.35434537987678</x:v>
      </x:c>
    </x:row>
    <x:row r="354" ht="21" customHeight="1">
      <x:c r="A354" s="1" t="str">
        <x:f>'Inventory inputs'!A354</x:f>
        <x:v>PLAS</x:v>
      </x:c>
      <x:c r="B354" s="1" t="str">
        <x:f>'Inventory inputs'!B354</x:f>
        <x:v>10</x:v>
      </x:c>
      <x:c r="C354" s="1" t="str">
        <x:f>'Inventory inputs'!C354</x:f>
        <x:v>07819RWBBLU</x:v>
      </x:c>
      <x:c r="D354" s="7" t="n">
        <x:f>'Inventory inputs'!E354</x:f>
        <x:v>46303</x:v>
      </x:c>
      <x:c r="E354" s="1" t="n">
        <x:f>'Inventory inputs'!F354</x:f>
        <x:v>1500</x:v>
      </x:c>
      <x:c r="F354" s="1" t="n">
        <x:f>'Inventory inputs'!G354</x:f>
        <x:v>125</x:v>
      </x:c>
      <x:c r="G354" s="1" t="n">
        <x:f>'Inventory inputs'!H354/'Inventory inputs'!J354</x:f>
        <x:v>0.0797</x:v>
      </x:c>
      <x:c r="H354" s="1" t="n">
        <x:f>IF('Inventory inputs'!I354&gt;0,'Inventory inputs'!I354*'Inventory inputs'!K354/'Inventory inputs'!J354,"n.a.")</x:f>
        <x:v>0.09319799999999999</x:v>
      </x:c>
      <x:c r="I354" s="1" t="n">
        <x:f>'Inventory inputs'!L354</x:f>
        <x:v>1500</x:v>
      </x:c>
      <x:c r="J354" s="1" t="n">
        <x:f>'Inventory inputs'!M354</x:f>
        <x:v>0</x:v>
      </x:c>
      <x:c r="K354" s="1" t="n">
        <x:f>'Inventory inputs'!N354</x:f>
        <x:v>0</x:v>
      </x:c>
      <x:c r="L354" s="1" t="n">
        <x:f>'Inventory inputs'!O354</x:f>
        <x:v>1</x:v>
      </x:c>
      <x:c r="M354" s="9" t="n">
        <x:f>E354*G354</x:f>
        <x:v>119.54999999999998</x:v>
      </x:c>
      <x:c r="N354" s="9" t="n">
        <x:f>'Inventory inputs'!Q354</x:f>
        <x:v>119.55</x:v>
      </x:c>
      <x:c r="O354" s="9" t="n">
        <x:f>N354-M354</x:f>
        <x:v>1.4210854715202004e-14</x:v>
      </x:c>
      <x:c r="P354" s="1" t="n">
        <x:f>SUMIFS('Incoming POs'!$P$2:$P$305,'Incoming POs'!$A$2:$A$305,A354,'Incoming POs'!$B$2:$B$305,B354,'Incoming POs'!$C$2:$C$305,C354,'Incoming POs'!$G$2:$G$305,"&gt;="&amp;D354,'Incoming POs'!$G$2:$G$305,"&lt;"&amp;Dashboard!$I$5)</x:f>
        <x:v>1000</x:v>
      </x:c>
      <x:c r="Q354" s="1" t="n">
        <x:f>F354*Dashboard!$L$5*MAX(0,Dashboard!$I$5-D354)/30.4375</x:f>
        <x:v>166.32443531827516</x:v>
      </x:c>
      <x:c r="R354" s="1" t="n">
        <x:f>MAX(0,E354+P354-Q354)</x:f>
        <x:v>2333.6755646817246</x:v>
      </x:c>
      <x:c r="S354" s="1" t="n">
        <x:f>MAX(0,Q354-E354-P354)</x:f>
        <x:v>0</x:v>
      </x:c>
      <x:c r="T354" s="1" t="n">
        <x:f>IF(L354=1,MAX(0,I354+AB354-MIN(Q354,E354+P354)),"n.a.")</x:f>
        <x:v>1333.6755646817248</x:v>
      </x:c>
      <x:c r="U354" s="9" t="n">
        <x:f>IF(ISNUMBER(T354),T354*G354,"n.a.")</x:f>
        <x:v>106.29394250513346</x:v>
      </x:c>
      <x:c r="V354" s="25" t="n">
        <x:f>IF(Dashboard!$I$6="Flat %",1,IF(ISNUMBER(H354),1,0))</x:f>
        <x:v>1</x:v>
      </x:c>
      <x:c r="W354" s="9" t="n">
        <x:f>IF(Dashboard!$I$6="Flat %",G354*(1+Dashboard!$L$6),H354)</x:f>
        <x:v>0.09319799999999999</x:v>
      </x:c>
      <x:c r="X354" s="9" t="n">
        <x:f>IF(V354=1,R354*(W354-G354),"n.a.")</x:f>
        <x:v>31.49995277207391</x:v>
      </x:c>
      <x:c r="Y354" s="9" t="n">
        <x:f>IF(V354=1,R354*W354,"n.a.")</x:f>
        <x:v>217.49389527720734</x:v>
      </x:c>
      <x:c r="Z354" s="1" t="n">
        <x:f>IF(ISNUMBER(T354),R354-T354,"n.a.")</x:f>
        <x:v>999.9999999999998</x:v>
      </x:c>
      <x:c r="AA354" s="1" t="str">
        <x:f>'Inventory inputs'!R354</x:f>
        <x:v>Classified</x:v>
      </x:c>
      <x:c r="AB354" s="1" t="n">
        <x:f>IF(L354=1,SUMIFS('Incoming POs'!$P$2:$P$305,'Incoming POs'!$A$2:$A$305,A354,'Incoming POs'!$B$2:$B$305,B354,'Incoming POs'!$C$2:$C$305,C354,'Incoming POs'!$G$2:$G$305,"&gt;="&amp;D354,'Incoming POs'!$G$2:$G$305,"&lt;"&amp;Dashboard!$I$5,'Incoming POs'!$Q$2:$Q$305,"&lt;="&amp;('Inventory inputs'!P354/'Inventory inputs'!J354*1.01)),"n.a.")</x:f>
        <x:v>0</x:v>
      </x:c>
      <x:c r="AC354" s="9" t="n">
        <x:f>I354*G354</x:f>
        <x:v>119.54999999999998</x:v>
      </x:c>
      <x:c r="AD354" s="9" t="n">
        <x:f>J354*G354</x:f>
        <x:v>0</x:v>
      </x:c>
      <x:c r="AE354" s="9" t="n">
        <x:f>K354*G354</x:f>
        <x:v>0</x:v>
      </x:c>
      <x:c r="AF354" s="9" t="n">
        <x:f>R354*G354</x:f>
        <x:v>185.99394250513345</x:v>
      </x:c>
    </x:row>
    <x:row r="355" ht="21" customHeight="1">
      <x:c r="A355" s="1" t="str">
        <x:f>'Inventory inputs'!A355</x:f>
        <x:v>PLAS</x:v>
      </x:c>
      <x:c r="B355" s="1" t="str">
        <x:f>'Inventory inputs'!B355</x:f>
        <x:v>10</x:v>
      </x:c>
      <x:c r="C355" s="1" t="str">
        <x:f>'Inventory inputs'!C355</x:f>
        <x:v>11415ROVWHT</x:v>
      </x:c>
      <x:c r="D355" s="7" t="n">
        <x:f>'Inventory inputs'!E355</x:f>
        <x:v>46303</x:v>
      </x:c>
      <x:c r="E355" s="1" t="n">
        <x:f>'Inventory inputs'!F355</x:f>
        <x:v>2500</x:v>
      </x:c>
      <x:c r="F355" s="1" t="n">
        <x:f>'Inventory inputs'!G355</x:f>
        <x:v>125</x:v>
      </x:c>
      <x:c r="G355" s="1" t="n">
        <x:f>'Inventory inputs'!H355/'Inventory inputs'!J355</x:f>
        <x:v>0.0883</x:v>
      </x:c>
      <x:c r="H355" s="1" t="n">
        <x:f>IF('Inventory inputs'!I355&gt;0,'Inventory inputs'!I355*'Inventory inputs'!K355/'Inventory inputs'!J355,"n.a.")</x:f>
        <x:v>0.10334099999999999</x:v>
      </x:c>
      <x:c r="I355" s="1" t="n">
        <x:f>'Inventory inputs'!L355</x:f>
        <x:v>1500</x:v>
      </x:c>
      <x:c r="J355" s="1" t="n">
        <x:f>'Inventory inputs'!M355</x:f>
        <x:v>1000</x:v>
      </x:c>
      <x:c r="K355" s="1" t="n">
        <x:f>'Inventory inputs'!N355</x:f>
        <x:v>0</x:v>
      </x:c>
      <x:c r="L355" s="1" t="n">
        <x:f>'Inventory inputs'!O355</x:f>
        <x:v>1</x:v>
      </x:c>
      <x:c r="M355" s="9" t="n">
        <x:f>E355*G355</x:f>
        <x:v>220.75</x:v>
      </x:c>
      <x:c r="N355" s="9" t="n">
        <x:f>'Inventory inputs'!Q355</x:f>
        <x:v>220.75</x:v>
      </x:c>
      <x:c r="O355" s="9" t="n">
        <x:f>N355-M355</x:f>
        <x:v>0</x:v>
      </x:c>
      <x:c r="P355" s="1" t="n">
        <x:f>SUMIFS('Incoming POs'!$P$2:$P$305,'Incoming POs'!$A$2:$A$305,A355,'Incoming POs'!$B$2:$B$305,B355,'Incoming POs'!$C$2:$C$305,C355,'Incoming POs'!$G$2:$G$305,"&gt;="&amp;D355,'Incoming POs'!$G$2:$G$305,"&lt;"&amp;Dashboard!$I$5)</x:f>
        <x:v>0</x:v>
      </x:c>
      <x:c r="Q355" s="1" t="n">
        <x:f>F355*Dashboard!$L$5*MAX(0,Dashboard!$I$5-D355)/30.4375</x:f>
        <x:v>166.32443531827516</x:v>
      </x:c>
      <x:c r="R355" s="1" t="n">
        <x:f>MAX(0,E355+P355-Q355)</x:f>
        <x:v>2333.6755646817246</x:v>
      </x:c>
      <x:c r="S355" s="1" t="n">
        <x:f>MAX(0,Q355-E355-P355)</x:f>
        <x:v>0</x:v>
      </x:c>
      <x:c r="T355" s="1" t="n">
        <x:f>IF(L355=1,MAX(0,I355+AB355-MIN(Q355,E355+P355)),"n.a.")</x:f>
        <x:v>1333.6755646817248</x:v>
      </x:c>
      <x:c r="U355" s="9" t="n">
        <x:f>IF(ISNUMBER(T355),T355*G355,"n.a.")</x:f>
        <x:v>117.76355236139631</x:v>
      </x:c>
      <x:c r="V355" s="25" t="n">
        <x:f>IF(Dashboard!$I$6="Flat %",1,IF(ISNUMBER(H355),1,0))</x:f>
        <x:v>1</x:v>
      </x:c>
      <x:c r="W355" s="9" t="n">
        <x:f>IF(Dashboard!$I$6="Flat %",G355*(1+Dashboard!$L$6),H355)</x:f>
        <x:v>0.10334099999999999</x:v>
      </x:c>
      <x:c r="X355" s="9" t="n">
        <x:f>IF(V355=1,R355*(W355-G355),"n.a.")</x:f>
        <x:v>35.10081416837779</x:v>
      </x:c>
      <x:c r="Y355" s="9" t="n">
        <x:f>IF(V355=1,R355*W355,"n.a.")</x:f>
        <x:v>241.16436652977407</x:v>
      </x:c>
      <x:c r="Z355" s="1" t="n">
        <x:f>IF(ISNUMBER(T355),R355-T355,"n.a.")</x:f>
        <x:v>999.9999999999998</x:v>
      </x:c>
      <x:c r="AA355" s="1" t="str">
        <x:f>'Inventory inputs'!R355</x:f>
        <x:v>Classified</x:v>
      </x:c>
      <x:c r="AB355" s="1" t="n">
        <x:f>IF(L355=1,SUMIFS('Incoming POs'!$P$2:$P$305,'Incoming POs'!$A$2:$A$305,A355,'Incoming POs'!$B$2:$B$305,B355,'Incoming POs'!$C$2:$C$305,C355,'Incoming POs'!$G$2:$G$305,"&gt;="&amp;D355,'Incoming POs'!$G$2:$G$305,"&lt;"&amp;Dashboard!$I$5,'Incoming POs'!$Q$2:$Q$305,"&lt;="&amp;('Inventory inputs'!P355/'Inventory inputs'!J355*1.01)),"n.a.")</x:f>
        <x:v>0</x:v>
      </x:c>
      <x:c r="AC355" s="9" t="n">
        <x:f>I355*G355</x:f>
        <x:v>132.45000000000002</x:v>
      </x:c>
      <x:c r="AD355" s="9" t="n">
        <x:f>J355*G355</x:f>
        <x:v>88.3</x:v>
      </x:c>
      <x:c r="AE355" s="9" t="n">
        <x:f>K355*G355</x:f>
        <x:v>0</x:v>
      </x:c>
      <x:c r="AF355" s="9" t="n">
        <x:f>R355*G355</x:f>
        <x:v>206.0635523613963</x:v>
      </x:c>
    </x:row>
    <x:row r="356" ht="21" customHeight="1">
      <x:c r="A356" s="1" t="str">
        <x:f>'Inventory inputs'!A356</x:f>
        <x:v>PLAS</x:v>
      </x:c>
      <x:c r="B356" s="1" t="str">
        <x:f>'Inventory inputs'!B356</x:f>
        <x:v>10</x:v>
      </x:c>
      <x:c r="C356" s="1" t="str">
        <x:f>'Inventory inputs'!C356</x:f>
        <x:v>13415RSLWHT</x:v>
      </x:c>
      <x:c r="D356" s="7" t="n">
        <x:f>'Inventory inputs'!E356</x:f>
        <x:v>46303</x:v>
      </x:c>
      <x:c r="E356" s="1" t="n">
        <x:f>'Inventory inputs'!F356</x:f>
        <x:v>6994</x:v>
      </x:c>
      <x:c r="F356" s="1" t="n">
        <x:f>'Inventory inputs'!G356</x:f>
        <x:v>122.08</x:v>
      </x:c>
      <x:c r="G356" s="1" t="n">
        <x:f>'Inventory inputs'!H356/'Inventory inputs'!J356</x:f>
        <x:v>0.1005</x:v>
      </x:c>
      <x:c r="H356" s="1" t="n">
        <x:f>IF('Inventory inputs'!I356&gt;0,'Inventory inputs'!I356*'Inventory inputs'!K356/'Inventory inputs'!J356,"n.a.")</x:f>
        <x:v>0.1176</x:v>
      </x:c>
      <x:c r="I356" s="1" t="n">
        <x:f>'Inventory inputs'!L356</x:f>
        <x:v>0</x:v>
      </x:c>
      <x:c r="J356" s="1" t="n">
        <x:f>'Inventory inputs'!M356</x:f>
        <x:v>0</x:v>
      </x:c>
      <x:c r="K356" s="1" t="n">
        <x:f>'Inventory inputs'!N356</x:f>
        <x:v>6994</x:v>
      </x:c>
      <x:c r="L356" s="1" t="n">
        <x:f>'Inventory inputs'!O356</x:f>
        <x:v>0</x:v>
      </x:c>
      <x:c r="M356" s="9" t="n">
        <x:f>E356*G356</x:f>
        <x:v>702.897</x:v>
      </x:c>
      <x:c r="N356" s="9" t="n">
        <x:f>'Inventory inputs'!Q356</x:f>
        <x:v>702.8970000000002</x:v>
      </x:c>
      <x:c r="O356" s="9" t="n">
        <x:f>N356-M356</x:f>
        <x:v>1.1368683772161603e-13</x:v>
      </x:c>
      <x:c r="P356" s="1" t="n">
        <x:f>SUMIFS('Incoming POs'!$P$2:$P$305,'Incoming POs'!$A$2:$A$305,A356,'Incoming POs'!$B$2:$B$305,B356,'Incoming POs'!$C$2:$C$305,C356,'Incoming POs'!$G$2:$G$305,"&gt;="&amp;D356,'Incoming POs'!$G$2:$G$305,"&lt;"&amp;Dashboard!$I$5)</x:f>
        <x:v>0</x:v>
      </x:c>
      <x:c r="Q356" s="1" t="n">
        <x:f>F356*Dashboard!$L$5*MAX(0,Dashboard!$I$5-D356)/30.4375</x:f>
        <x:v>162.43909650924024</x:v>
      </x:c>
      <x:c r="R356" s="1" t="n">
        <x:f>MAX(0,E356+P356-Q356)</x:f>
        <x:v>6831.560903490759</x:v>
      </x:c>
      <x:c r="S356" s="1" t="n">
        <x:f>MAX(0,Q356-E356-P356)</x:f>
        <x:v>0</x:v>
      </x:c>
      <x:c r="T356" s="1" t="str">
        <x:f>IF(L356=1,MAX(0,I356+AB356-MIN(Q356,E356+P356)),"n.a.")</x:f>
        <x:v>n.a.</x:v>
      </x:c>
      <x:c r="U356" s="9" t="str">
        <x:f>IF(ISNUMBER(T356),T356*G356,"n.a.")</x:f>
        <x:v>n.a.</x:v>
      </x:c>
      <x:c r="V356" s="25" t="n">
        <x:f>IF(Dashboard!$I$6="Flat %",1,IF(ISNUMBER(H356),1,0))</x:f>
        <x:v>1</x:v>
      </x:c>
      <x:c r="W356" s="9" t="n">
        <x:f>IF(Dashboard!$I$6="Flat %",G356*(1+Dashboard!$L$6),H356)</x:f>
        <x:v>0.1176</x:v>
      </x:c>
      <x:c r="X356" s="9" t="n">
        <x:f>IF(V356=1,R356*(W356-G356),"n.a.")</x:f>
        <x:v>116.81969144969192</x:v>
      </x:c>
      <x:c r="Y356" s="9" t="n">
        <x:f>IF(V356=1,R356*W356,"n.a.")</x:f>
        <x:v>803.3915622505133</x:v>
      </x:c>
      <x:c r="Z356" s="1" t="str">
        <x:f>IF(ISNUMBER(T356),R356-T356,"n.a.")</x:f>
        <x:v>n.a.</x:v>
      </x:c>
      <x:c r="AA356" s="1" t="str">
        <x:f>'Inventory inputs'!R356</x:f>
        <x:v>Review receipt reconciliation or original PO baseline</x:v>
      </x:c>
      <x:c r="AB356" s="1" t="str">
        <x:f>IF(L356=1,SUMIFS('Incoming POs'!$P$2:$P$305,'Incoming POs'!$A$2:$A$305,A356,'Incoming POs'!$B$2:$B$305,B356,'Incoming POs'!$C$2:$C$305,C356,'Incoming POs'!$G$2:$G$305,"&gt;="&amp;D356,'Incoming POs'!$G$2:$G$305,"&lt;"&amp;Dashboard!$I$5,'Incoming POs'!$Q$2:$Q$305,"&lt;="&amp;('Inventory inputs'!P356/'Inventory inputs'!J356*1.01)),"n.a.")</x:f>
        <x:v>n.a.</x:v>
      </x:c>
      <x:c r="AC356" s="9" t="n">
        <x:f>I356*G356</x:f>
        <x:v>0</x:v>
      </x:c>
      <x:c r="AD356" s="9" t="n">
        <x:f>J356*G356</x:f>
        <x:v>0</x:v>
      </x:c>
      <x:c r="AE356" s="9" t="n">
        <x:f>K356*G356</x:f>
        <x:v>702.897</x:v>
      </x:c>
      <x:c r="AF356" s="9" t="n">
        <x:f>R356*G356</x:f>
        <x:v>686.5718708008213</x:v>
      </x:c>
    </x:row>
    <x:row r="357" ht="21" customHeight="1">
      <x:c r="A357" s="1" t="str">
        <x:f>'Inventory inputs'!A357</x:f>
        <x:v>PLAS</x:v>
      </x:c>
      <x:c r="B357" s="1" t="str">
        <x:f>'Inventory inputs'!B357</x:f>
        <x:v>10</x:v>
      </x:c>
      <x:c r="C357" s="1" t="str">
        <x:f>'Inventory inputs'!C357</x:f>
        <x:v>11221RSLBLK</x:v>
      </x:c>
      <x:c r="D357" s="7" t="n">
        <x:f>'Inventory inputs'!E357</x:f>
        <x:v>46303</x:v>
      </x:c>
      <x:c r="E357" s="1" t="n">
        <x:f>'Inventory inputs'!F357</x:f>
        <x:v>928</x:v>
      </x:c>
      <x:c r="F357" s="1" t="n">
        <x:f>'Inventory inputs'!G357</x:f>
        <x:v>117.33</x:v>
      </x:c>
      <x:c r="G357" s="1" t="n">
        <x:f>'Inventory inputs'!H357/'Inventory inputs'!J357</x:f>
        <x:v>0.12480000000000001</x:v>
      </x:c>
      <x:c r="H357" s="1" t="n">
        <x:f>IF('Inventory inputs'!I357&gt;0,'Inventory inputs'!I357*'Inventory inputs'!K357/'Inventory inputs'!J357,"n.a.")</x:f>
        <x:v>0.145971</x:v>
      </x:c>
      <x:c r="I357" s="1" t="n">
        <x:f>'Inventory inputs'!L357</x:f>
        <x:v>928</x:v>
      </x:c>
      <x:c r="J357" s="1" t="n">
        <x:f>'Inventory inputs'!M357</x:f>
        <x:v>0</x:v>
      </x:c>
      <x:c r="K357" s="1" t="n">
        <x:f>'Inventory inputs'!N357</x:f>
        <x:v>0</x:v>
      </x:c>
      <x:c r="L357" s="1" t="n">
        <x:f>'Inventory inputs'!O357</x:f>
        <x:v>1</x:v>
      </x:c>
      <x:c r="M357" s="9" t="n">
        <x:f>E357*G357</x:f>
        <x:v>115.8144</x:v>
      </x:c>
      <x:c r="N357" s="9" t="n">
        <x:f>'Inventory inputs'!Q357</x:f>
        <x:v>115.8144</x:v>
      </x:c>
      <x:c r="O357" s="9" t="n">
        <x:f>N357-M357</x:f>
        <x:v>0</x:v>
      </x:c>
      <x:c r="P357" s="1" t="n">
        <x:f>SUMIFS('Incoming POs'!$P$2:$P$305,'Incoming POs'!$A$2:$A$305,A357,'Incoming POs'!$B$2:$B$305,B357,'Incoming POs'!$C$2:$C$305,C357,'Incoming POs'!$G$2:$G$305,"&gt;="&amp;D357,'Incoming POs'!$G$2:$G$305,"&lt;"&amp;Dashboard!$I$5)</x:f>
        <x:v>0</x:v>
      </x:c>
      <x:c r="Q357" s="1" t="n">
        <x:f>F357*Dashboard!$L$5*MAX(0,Dashboard!$I$5-D357)/30.4375</x:f>
        <x:v>156.11876796714577</x:v>
      </x:c>
      <x:c r="R357" s="1" t="n">
        <x:f>MAX(0,E357+P357-Q357)</x:f>
        <x:v>771.8812320328542</x:v>
      </x:c>
      <x:c r="S357" s="1" t="n">
        <x:f>MAX(0,Q357-E357-P357)</x:f>
        <x:v>0</x:v>
      </x:c>
      <x:c r="T357" s="1" t="n">
        <x:f>IF(L357=1,MAX(0,I357+AB357-MIN(Q357,E357+P357)),"n.a.")</x:f>
        <x:v>771.8812320328542</x:v>
      </x:c>
      <x:c r="U357" s="9" t="n">
        <x:f>IF(ISNUMBER(T357),T357*G357,"n.a.")</x:f>
        <x:v>96.3307777577002</x:v>
      </x:c>
      <x:c r="V357" s="25" t="n">
        <x:f>IF(Dashboard!$I$6="Flat %",1,IF(ISNUMBER(H357),1,0))</x:f>
        <x:v>1</x:v>
      </x:c>
      <x:c r="W357" s="9" t="n">
        <x:f>IF(Dashboard!$I$6="Flat %",G357*(1+Dashboard!$L$6),H357)</x:f>
        <x:v>0.145971</x:v>
      </x:c>
      <x:c r="X357" s="9" t="n">
        <x:f>IF(V357=1,R357*(W357-G357),"n.a.")</x:f>
        <x:v>16.341497563367543</x:v>
      </x:c>
      <x:c r="Y357" s="9" t="n">
        <x:f>IF(V357=1,R357*W357,"n.a.")</x:f>
        <x:v>112.67227532106776</x:v>
      </x:c>
      <x:c r="Z357" s="1" t="n">
        <x:f>IF(ISNUMBER(T357),R357-T357,"n.a.")</x:f>
        <x:v>0</x:v>
      </x:c>
      <x:c r="AA357" s="1" t="str">
        <x:f>'Inventory inputs'!R357</x:f>
        <x:v>Classified</x:v>
      </x:c>
      <x:c r="AB357" s="1" t="n">
        <x:f>IF(L357=1,SUMIFS('Incoming POs'!$P$2:$P$305,'Incoming POs'!$A$2:$A$305,A357,'Incoming POs'!$B$2:$B$305,B357,'Incoming POs'!$C$2:$C$305,C357,'Incoming POs'!$G$2:$G$305,"&gt;="&amp;D357,'Incoming POs'!$G$2:$G$305,"&lt;"&amp;Dashboard!$I$5,'Incoming POs'!$Q$2:$Q$305,"&lt;="&amp;('Inventory inputs'!P357/'Inventory inputs'!J357*1.01)),"n.a.")</x:f>
        <x:v>0</x:v>
      </x:c>
      <x:c r="AC357" s="9" t="n">
        <x:f>I357*G357</x:f>
        <x:v>115.8144</x:v>
      </x:c>
      <x:c r="AD357" s="9" t="n">
        <x:f>J357*G357</x:f>
        <x:v>0</x:v>
      </x:c>
      <x:c r="AE357" s="9" t="n">
        <x:f>K357*G357</x:f>
        <x:v>0</x:v>
      </x:c>
      <x:c r="AF357" s="9" t="n">
        <x:f>R357*G357</x:f>
        <x:v>96.3307777577002</x:v>
      </x:c>
    </x:row>
    <x:row r="358" ht="21" customHeight="1">
      <x:c r="A358" s="1" t="str">
        <x:f>'Inventory inputs'!A358</x:f>
        <x:v>PLAS</x:v>
      </x:c>
      <x:c r="B358" s="1" t="str">
        <x:f>'Inventory inputs'!B358</x:f>
        <x:v>10</x:v>
      </x:c>
      <x:c r="C358" s="1" t="str">
        <x:f>'Inventory inputs'!C358</x:f>
        <x:v>11219RSLFG</x:v>
      </x:c>
      <x:c r="D358" s="7" t="n">
        <x:f>'Inventory inputs'!E358</x:f>
        <x:v>46303</x:v>
      </x:c>
      <x:c r="E358" s="1" t="n">
        <x:f>'Inventory inputs'!F358</x:f>
        <x:v>2300</x:v>
      </x:c>
      <x:c r="F358" s="1" t="n">
        <x:f>'Inventory inputs'!G358</x:f>
        <x:v>116.92</x:v>
      </x:c>
      <x:c r="G358" s="1" t="n">
        <x:f>'Inventory inputs'!H358/'Inventory inputs'!J358</x:f>
        <x:v>0.1298</x:v>
      </x:c>
      <x:c r="H358" s="1" t="n">
        <x:f>IF('Inventory inputs'!I358&gt;0,'Inventory inputs'!I358*'Inventory inputs'!K358/'Inventory inputs'!J358,"n.a.")</x:f>
        <x:v>0.151851</x:v>
      </x:c>
      <x:c r="I358" s="1" t="n">
        <x:f>'Inventory inputs'!L358</x:f>
        <x:v>1300</x:v>
      </x:c>
      <x:c r="J358" s="1" t="n">
        <x:f>'Inventory inputs'!M358</x:f>
        <x:v>1000</x:v>
      </x:c>
      <x:c r="K358" s="1" t="n">
        <x:f>'Inventory inputs'!N358</x:f>
        <x:v>0</x:v>
      </x:c>
      <x:c r="L358" s="1" t="n">
        <x:f>'Inventory inputs'!O358</x:f>
        <x:v>1</x:v>
      </x:c>
      <x:c r="M358" s="9" t="n">
        <x:f>E358*G358</x:f>
        <x:v>298.54</x:v>
      </x:c>
      <x:c r="N358" s="9" t="n">
        <x:f>'Inventory inputs'!Q358</x:f>
        <x:v>298.54</x:v>
      </x:c>
      <x:c r="O358" s="9" t="n">
        <x:f>N358-M358</x:f>
        <x:v>0</x:v>
      </x:c>
      <x:c r="P358" s="1" t="n">
        <x:f>SUMIFS('Incoming POs'!$P$2:$P$305,'Incoming POs'!$A$2:$A$305,A358,'Incoming POs'!$B$2:$B$305,B358,'Incoming POs'!$C$2:$C$305,C358,'Incoming POs'!$G$2:$G$305,"&gt;="&amp;D358,'Incoming POs'!$G$2:$G$305,"&lt;"&amp;Dashboard!$I$5)</x:f>
        <x:v>0</x:v>
      </x:c>
      <x:c r="Q358" s="1" t="n">
        <x:f>F358*Dashboard!$L$5*MAX(0,Dashboard!$I$5-D358)/30.4375</x:f>
        <x:v>155.57322381930186</x:v>
      </x:c>
      <x:c r="R358" s="1" t="n">
        <x:f>MAX(0,E358+P358-Q358)</x:f>
        <x:v>2144.426776180698</x:v>
      </x:c>
      <x:c r="S358" s="1" t="n">
        <x:f>MAX(0,Q358-E358-P358)</x:f>
        <x:v>0</x:v>
      </x:c>
      <x:c r="T358" s="1" t="n">
        <x:f>IF(L358=1,MAX(0,I358+AB358-MIN(Q358,E358+P358)),"n.a.")</x:f>
        <x:v>1144.4267761806982</x:v>
      </x:c>
      <x:c r="U358" s="9" t="n">
        <x:f>IF(ISNUMBER(T358),T358*G358,"n.a.")</x:f>
        <x:v>148.54659554825463</x:v>
      </x:c>
      <x:c r="V358" s="25" t="n">
        <x:f>IF(Dashboard!$I$6="Flat %",1,IF(ISNUMBER(H358),1,0))</x:f>
        <x:v>1</x:v>
      </x:c>
      <x:c r="W358" s="9" t="n">
        <x:f>IF(Dashboard!$I$6="Flat %",G358*(1+Dashboard!$L$6),H358)</x:f>
        <x:v>0.151851</x:v>
      </x:c>
      <x:c r="X358" s="9" t="n">
        <x:f>IF(V358=1,R358*(W358-G358),"n.a.")</x:f>
        <x:v>47.28675484156061</x:v>
      </x:c>
      <x:c r="Y358" s="9" t="n">
        <x:f>IF(V358=1,R358*W358,"n.a.")</x:f>
        <x:v>325.63335038981523</x:v>
      </x:c>
      <x:c r="Z358" s="1" t="n">
        <x:f>IF(ISNUMBER(T358),R358-T358,"n.a.")</x:f>
        <x:v>1000</x:v>
      </x:c>
      <x:c r="AA358" s="1" t="str">
        <x:f>'Inventory inputs'!R358</x:f>
        <x:v>Classified</x:v>
      </x:c>
      <x:c r="AB358" s="1" t="n">
        <x:f>IF(L358=1,SUMIFS('Incoming POs'!$P$2:$P$305,'Incoming POs'!$A$2:$A$305,A358,'Incoming POs'!$B$2:$B$305,B358,'Incoming POs'!$C$2:$C$305,C358,'Incoming POs'!$G$2:$G$305,"&gt;="&amp;D358,'Incoming POs'!$G$2:$G$305,"&lt;"&amp;Dashboard!$I$5,'Incoming POs'!$Q$2:$Q$305,"&lt;="&amp;('Inventory inputs'!P358/'Inventory inputs'!J358*1.01)),"n.a.")</x:f>
        <x:v>0</x:v>
      </x:c>
      <x:c r="AC358" s="9" t="n">
        <x:f>I358*G358</x:f>
        <x:v>168.74</x:v>
      </x:c>
      <x:c r="AD358" s="9" t="n">
        <x:f>J358*G358</x:f>
        <x:v>129.8</x:v>
      </x:c>
      <x:c r="AE358" s="9" t="n">
        <x:f>K358*G358</x:f>
        <x:v>0</x:v>
      </x:c>
      <x:c r="AF358" s="9" t="n">
        <x:f>R358*G358</x:f>
        <x:v>278.34659554825464</x:v>
      </x:c>
    </x:row>
    <x:row r="359" ht="21" customHeight="1">
      <x:c r="A359" s="1" t="str">
        <x:f>'Inventory inputs'!A359</x:f>
        <x:v>PLAS</x:v>
      </x:c>
      <x:c r="B359" s="1" t="str">
        <x:f>'Inventory inputs'!B359</x:f>
        <x:v>30</x:v>
      </x:c>
      <x:c r="C359" s="1" t="str">
        <x:f>'Inventory inputs'!C359</x:f>
        <x:v>11419RSLWHT</x:v>
      </x:c>
      <x:c r="D359" s="7" t="n">
        <x:f>'Inventory inputs'!E359</x:f>
        <x:v>46303</x:v>
      </x:c>
      <x:c r="E359" s="1" t="n">
        <x:f>'Inventory inputs'!F359</x:f>
        <x:v>500</x:v>
      </x:c>
      <x:c r="F359" s="1" t="n">
        <x:f>'Inventory inputs'!G359</x:f>
        <x:v>116.67</x:v>
      </x:c>
      <x:c r="G359" s="1" t="n">
        <x:f>'Inventory inputs'!H359/'Inventory inputs'!J359</x:f>
        <x:v>0.111</x:v>
      </x:c>
      <x:c r="H359" s="1" t="n">
        <x:f>IF('Inventory inputs'!I359&gt;0,'Inventory inputs'!I359*'Inventory inputs'!K359/'Inventory inputs'!J359,"n.a.")</x:f>
        <x:v>0.129801</x:v>
      </x:c>
      <x:c r="I359" s="1" t="n">
        <x:f>'Inventory inputs'!L359</x:f>
        <x:v>0</x:v>
      </x:c>
      <x:c r="J359" s="1" t="n">
        <x:f>'Inventory inputs'!M359</x:f>
        <x:v>0</x:v>
      </x:c>
      <x:c r="K359" s="1" t="n">
        <x:f>'Inventory inputs'!N359</x:f>
        <x:v>500</x:v>
      </x:c>
      <x:c r="L359" s="1" t="n">
        <x:f>'Inventory inputs'!O359</x:f>
        <x:v>0</x:v>
      </x:c>
      <x:c r="M359" s="9" t="n">
        <x:f>E359*G359</x:f>
        <x:v>55.5</x:v>
      </x:c>
      <x:c r="N359" s="9" t="n">
        <x:f>'Inventory inputs'!Q359</x:f>
        <x:v>55.5</x:v>
      </x:c>
      <x:c r="O359" s="9" t="n">
        <x:f>N359-M359</x:f>
        <x:v>0</x:v>
      </x:c>
      <x:c r="P359" s="1" t="n">
        <x:f>SUMIFS('Incoming POs'!$P$2:$P$305,'Incoming POs'!$A$2:$A$305,A359,'Incoming POs'!$B$2:$B$305,B359,'Incoming POs'!$C$2:$C$305,C359,'Incoming POs'!$G$2:$G$305,"&gt;="&amp;D359,'Incoming POs'!$G$2:$G$305,"&lt;"&amp;Dashboard!$I$5)</x:f>
        <x:v>0</x:v>
      </x:c>
      <x:c r="Q359" s="1" t="n">
        <x:f>F359*Dashboard!$L$5*MAX(0,Dashboard!$I$5-D359)/30.4375</x:f>
        <x:v>155.2405749486653</x:v>
      </x:c>
      <x:c r="R359" s="1" t="n">
        <x:f>MAX(0,E359+P359-Q359)</x:f>
        <x:v>344.7594250513347</x:v>
      </x:c>
      <x:c r="S359" s="1" t="n">
        <x:f>MAX(0,Q359-E359-P359)</x:f>
        <x:v>0</x:v>
      </x:c>
      <x:c r="T359" s="1" t="str">
        <x:f>IF(L359=1,MAX(0,I359+AB359-MIN(Q359,E359+P359)),"n.a.")</x:f>
        <x:v>n.a.</x:v>
      </x:c>
      <x:c r="U359" s="9" t="str">
        <x:f>IF(ISNUMBER(T359),T359*G359,"n.a.")</x:f>
        <x:v>n.a.</x:v>
      </x:c>
      <x:c r="V359" s="25" t="n">
        <x:f>IF(Dashboard!$I$6="Flat %",1,IF(ISNUMBER(H359),1,0))</x:f>
        <x:v>1</x:v>
      </x:c>
      <x:c r="W359" s="9" t="n">
        <x:f>IF(Dashboard!$I$6="Flat %",G359*(1+Dashboard!$L$6),H359)</x:f>
        <x:v>0.129801</x:v>
      </x:c>
      <x:c r="X359" s="9" t="n">
        <x:f>IF(V359=1,R359*(W359-G359),"n.a.")</x:f>
        <x:v>6.481821950390143</x:v>
      </x:c>
      <x:c r="Y359" s="9" t="n">
        <x:f>IF(V359=1,R359*W359,"n.a.")</x:f>
        <x:v>44.75011813108829</x:v>
      </x:c>
      <x:c r="Z359" s="1" t="str">
        <x:f>IF(ISNUMBER(T359),R359-T359,"n.a.")</x:f>
        <x:v>n.a.</x:v>
      </x:c>
      <x:c r="AA359" s="1" t="str">
        <x:f>'Inventory inputs'!R359</x:f>
        <x:v>Review receipt reconciliation or original PO baseline</x:v>
      </x:c>
      <x:c r="AB359" s="1" t="str">
        <x:f>IF(L359=1,SUMIFS('Incoming POs'!$P$2:$P$305,'Incoming POs'!$A$2:$A$305,A359,'Incoming POs'!$B$2:$B$305,B359,'Incoming POs'!$C$2:$C$305,C359,'Incoming POs'!$G$2:$G$305,"&gt;="&amp;D359,'Incoming POs'!$G$2:$G$305,"&lt;"&amp;Dashboard!$I$5,'Incoming POs'!$Q$2:$Q$305,"&lt;="&amp;('Inventory inputs'!P359/'Inventory inputs'!J359*1.01)),"n.a.")</x:f>
        <x:v>n.a.</x:v>
      </x:c>
      <x:c r="AC359" s="9" t="n">
        <x:f>I359*G359</x:f>
        <x:v>0</x:v>
      </x:c>
      <x:c r="AD359" s="9" t="n">
        <x:f>J359*G359</x:f>
        <x:v>0</x:v>
      </x:c>
      <x:c r="AE359" s="9" t="n">
        <x:f>K359*G359</x:f>
        <x:v>55.5</x:v>
      </x:c>
      <x:c r="AF359" s="9" t="n">
        <x:f>R359*G359</x:f>
        <x:v>38.26829618069815</x:v>
      </x:c>
    </x:row>
    <x:row r="360" ht="21" customHeight="1">
      <x:c r="A360" s="1" t="str">
        <x:f>'Inventory inputs'!A360</x:f>
        <x:v>PLAS</x:v>
      </x:c>
      <x:c r="B360" s="1" t="str">
        <x:f>'Inventory inputs'!B360</x:f>
        <x:v>10</x:v>
      </x:c>
      <x:c r="C360" s="1" t="str">
        <x:f>'Inventory inputs'!C360</x:f>
        <x:v>00121RWBWHT</x:v>
      </x:c>
      <x:c r="D360" s="7" t="n">
        <x:f>'Inventory inputs'!E360</x:f>
        <x:v>46303</x:v>
      </x:c>
      <x:c r="E360" s="1" t="n">
        <x:f>'Inventory inputs'!F360</x:f>
        <x:v>20905</x:v>
      </x:c>
      <x:c r="F360" s="1" t="n">
        <x:f>'Inventory inputs'!G360</x:f>
        <x:v>109.17</x:v>
      </x:c>
      <x:c r="G360" s="1" t="n">
        <x:f>'Inventory inputs'!H360/'Inventory inputs'!J360</x:f>
        <x:v>0.1038</x:v>
      </x:c>
      <x:c r="H360" s="1" t="n">
        <x:f>IF('Inventory inputs'!I360&gt;0,'Inventory inputs'!I360*'Inventory inputs'!K360/'Inventory inputs'!J360,"n.a.")</x:f>
        <x:v>0.12142199999999999</x:v>
      </x:c>
      <x:c r="I360" s="1" t="n">
        <x:f>'Inventory inputs'!L360</x:f>
        <x:v>0</x:v>
      </x:c>
      <x:c r="J360" s="1" t="n">
        <x:f>'Inventory inputs'!M360</x:f>
        <x:v>0</x:v>
      </x:c>
      <x:c r="K360" s="1" t="n">
        <x:f>'Inventory inputs'!N360</x:f>
        <x:v>20905</x:v>
      </x:c>
      <x:c r="L360" s="1" t="n">
        <x:f>'Inventory inputs'!O360</x:f>
        <x:v>0</x:v>
      </x:c>
      <x:c r="M360" s="9" t="n">
        <x:f>E360*G360</x:f>
        <x:v>2169.939</x:v>
      </x:c>
      <x:c r="N360" s="9" t="n">
        <x:f>'Inventory inputs'!Q360</x:f>
        <x:v>2169.9390000000003</x:v>
      </x:c>
      <x:c r="O360" s="9" t="n">
        <x:f>N360-M360</x:f>
        <x:v>4.547473508864641e-13</x:v>
      </x:c>
      <x:c r="P360" s="1" t="n">
        <x:f>SUMIFS('Incoming POs'!$P$2:$P$305,'Incoming POs'!$A$2:$A$305,A360,'Incoming POs'!$B$2:$B$305,B360,'Incoming POs'!$C$2:$C$305,C360,'Incoming POs'!$G$2:$G$305,"&gt;="&amp;D360,'Incoming POs'!$G$2:$G$305,"&lt;"&amp;Dashboard!$I$5)</x:f>
        <x:v>0</x:v>
      </x:c>
      <x:c r="Q360" s="1" t="n">
        <x:f>F360*Dashboard!$L$5*MAX(0,Dashboard!$I$5-D360)/30.4375</x:f>
        <x:v>145.2611088295688</x:v>
      </x:c>
      <x:c r="R360" s="1" t="n">
        <x:f>MAX(0,E360+P360-Q360)</x:f>
        <x:v>20759.738891170433</x:v>
      </x:c>
      <x:c r="S360" s="1" t="n">
        <x:f>MAX(0,Q360-E360-P360)</x:f>
        <x:v>0</x:v>
      </x:c>
      <x:c r="T360" s="1" t="str">
        <x:f>IF(L360=1,MAX(0,I360+AB360-MIN(Q360,E360+P360)),"n.a.")</x:f>
        <x:v>n.a.</x:v>
      </x:c>
      <x:c r="U360" s="9" t="str">
        <x:f>IF(ISNUMBER(T360),T360*G360,"n.a.")</x:f>
        <x:v>n.a.</x:v>
      </x:c>
      <x:c r="V360" s="25" t="n">
        <x:f>IF(Dashboard!$I$6="Flat %",1,IF(ISNUMBER(H360),1,0))</x:f>
        <x:v>1</x:v>
      </x:c>
      <x:c r="W360" s="9" t="n">
        <x:f>IF(Dashboard!$I$6="Flat %",G360*(1+Dashboard!$L$6),H360)</x:f>
        <x:v>0.12142199999999999</x:v>
      </x:c>
      <x:c r="X360" s="9" t="n">
        <x:f>IF(V360=1,R360*(W360-G360),"n.a.")</x:f>
        <x:v>365.82811874020507</x:v>
      </x:c>
      <x:c r="Y360" s="9" t="n">
        <x:f>IF(V360=1,R360*W360,"n.a.")</x:f>
        <x:v>2520.689015643696</x:v>
      </x:c>
      <x:c r="Z360" s="1" t="str">
        <x:f>IF(ISNUMBER(T360),R360-T360,"n.a.")</x:f>
        <x:v>n.a.</x:v>
      </x:c>
      <x:c r="AA360" s="1" t="str">
        <x:f>'Inventory inputs'!R360</x:f>
        <x:v>Review receipt reconciliation or original PO baseline</x:v>
      </x:c>
      <x:c r="AB360" s="1" t="str">
        <x:f>IF(L360=1,SUMIFS('Incoming POs'!$P$2:$P$305,'Incoming POs'!$A$2:$A$305,A360,'Incoming POs'!$B$2:$B$305,B360,'Incoming POs'!$C$2:$C$305,C360,'Incoming POs'!$G$2:$G$305,"&gt;="&amp;D360,'Incoming POs'!$G$2:$G$305,"&lt;"&amp;Dashboard!$I$5,'Incoming POs'!$Q$2:$Q$305,"&lt;="&amp;('Inventory inputs'!P360/'Inventory inputs'!J360*1.01)),"n.a.")</x:f>
        <x:v>n.a.</x:v>
      </x:c>
      <x:c r="AC360" s="9" t="n">
        <x:f>I360*G360</x:f>
        <x:v>0</x:v>
      </x:c>
      <x:c r="AD360" s="9" t="n">
        <x:f>J360*G360</x:f>
        <x:v>0</x:v>
      </x:c>
      <x:c r="AE360" s="9" t="n">
        <x:f>K360*G360</x:f>
        <x:v>2169.939</x:v>
      </x:c>
      <x:c r="AF360" s="9" t="n">
        <x:f>R360*G360</x:f>
        <x:v>2154.860896903491</x:v>
      </x:c>
    </x:row>
    <x:row r="361" ht="21" customHeight="1">
      <x:c r="A361" s="1" t="str">
        <x:f>'Inventory inputs'!A361</x:f>
        <x:v>PLAS</x:v>
      </x:c>
      <x:c r="B361" s="1" t="str">
        <x:f>'Inventory inputs'!B361</x:f>
        <x:v>10</x:v>
      </x:c>
      <x:c r="C361" s="1" t="str">
        <x:f>'Inventory inputs'!C361</x:f>
        <x:v>07815RWBNAV</x:v>
      </x:c>
      <x:c r="D361" s="7" t="n">
        <x:f>'Inventory inputs'!E361</x:f>
        <x:v>46303</x:v>
      </x:c>
      <x:c r="E361" s="1" t="n">
        <x:f>'Inventory inputs'!F361</x:f>
        <x:v>1400</x:v>
      </x:c>
      <x:c r="F361" s="1" t="n">
        <x:f>'Inventory inputs'!G361</x:f>
        <x:v>108.33</x:v>
      </x:c>
      <x:c r="G361" s="1" t="n">
        <x:f>'Inventory inputs'!H361/'Inventory inputs'!J361</x:f>
        <x:v>0.0538</x:v>
      </x:c>
      <x:c r="H361" s="1" t="n">
        <x:f>IF('Inventory inputs'!I361&gt;0,'Inventory inputs'!I361*'Inventory inputs'!K361/'Inventory inputs'!J361,"n.a.")</x:f>
        <x:v>0.062916</x:v>
      </x:c>
      <x:c r="I361" s="1" t="n">
        <x:f>'Inventory inputs'!L361</x:f>
        <x:v>0</x:v>
      </x:c>
      <x:c r="J361" s="1" t="n">
        <x:f>'Inventory inputs'!M361</x:f>
        <x:v>0</x:v>
      </x:c>
      <x:c r="K361" s="1" t="n">
        <x:f>'Inventory inputs'!N361</x:f>
        <x:v>1400</x:v>
      </x:c>
      <x:c r="L361" s="1" t="n">
        <x:f>'Inventory inputs'!O361</x:f>
        <x:v>0</x:v>
      </x:c>
      <x:c r="M361" s="9" t="n">
        <x:f>E361*G361</x:f>
        <x:v>75.32000000000001</x:v>
      </x:c>
      <x:c r="N361" s="9" t="n">
        <x:f>'Inventory inputs'!Q361</x:f>
        <x:v>75.32000000000001</x:v>
      </x:c>
      <x:c r="O361" s="9" t="n">
        <x:f>N361-M361</x:f>
        <x:v>0</x:v>
      </x:c>
      <x:c r="P361" s="1" t="n">
        <x:f>SUMIFS('Incoming POs'!$P$2:$P$305,'Incoming POs'!$A$2:$A$305,A361,'Incoming POs'!$B$2:$B$305,B361,'Incoming POs'!$C$2:$C$305,C361,'Incoming POs'!$G$2:$G$305,"&gt;="&amp;D361,'Incoming POs'!$G$2:$G$305,"&lt;"&amp;Dashboard!$I$5)</x:f>
        <x:v>0</x:v>
      </x:c>
      <x:c r="Q361" s="1" t="n">
        <x:f>F361*Dashboard!$L$5*MAX(0,Dashboard!$I$5-D361)/30.4375</x:f>
        <x:v>144.14340862422998</x:v>
      </x:c>
      <x:c r="R361" s="1" t="n">
        <x:f>MAX(0,E361+P361-Q361)</x:f>
        <x:v>1255.85659137577</x:v>
      </x:c>
      <x:c r="S361" s="1" t="n">
        <x:f>MAX(0,Q361-E361-P361)</x:f>
        <x:v>0</x:v>
      </x:c>
      <x:c r="T361" s="1" t="str">
        <x:f>IF(L361=1,MAX(0,I361+AB361-MIN(Q361,E361+P361)),"n.a.")</x:f>
        <x:v>n.a.</x:v>
      </x:c>
      <x:c r="U361" s="9" t="str">
        <x:f>IF(ISNUMBER(T361),T361*G361,"n.a.")</x:f>
        <x:v>n.a.</x:v>
      </x:c>
      <x:c r="V361" s="25" t="n">
        <x:f>IF(Dashboard!$I$6="Flat %",1,IF(ISNUMBER(H361),1,0))</x:f>
        <x:v>1</x:v>
      </x:c>
      <x:c r="W361" s="9" t="n">
        <x:f>IF(Dashboard!$I$6="Flat %",G361*(1+Dashboard!$L$6),H361)</x:f>
        <x:v>0.062916</x:v>
      </x:c>
      <x:c r="X361" s="9" t="n">
        <x:f>IF(V361=1,R361*(W361-G361),"n.a.")</x:f>
        <x:v>11.448388686981518</x:v>
      </x:c>
      <x:c r="Y361" s="9" t="n">
        <x:f>IF(V361=1,R361*W361,"n.a.")</x:f>
        <x:v>79.01347330299795</x:v>
      </x:c>
      <x:c r="Z361" s="1" t="str">
        <x:f>IF(ISNUMBER(T361),R361-T361,"n.a.")</x:f>
        <x:v>n.a.</x:v>
      </x:c>
      <x:c r="AA361" s="1" t="str">
        <x:f>'Inventory inputs'!R361</x:f>
        <x:v>Review receipt reconciliation or original PO baseline</x:v>
      </x:c>
      <x:c r="AB361" s="1" t="str">
        <x:f>IF(L361=1,SUMIFS('Incoming POs'!$P$2:$P$305,'Incoming POs'!$A$2:$A$305,A361,'Incoming POs'!$B$2:$B$305,B361,'Incoming POs'!$C$2:$C$305,C361,'Incoming POs'!$G$2:$G$305,"&gt;="&amp;D361,'Incoming POs'!$G$2:$G$305,"&lt;"&amp;Dashboard!$I$5,'Incoming POs'!$Q$2:$Q$305,"&lt;="&amp;('Inventory inputs'!P361/'Inventory inputs'!J361*1.01)),"n.a.")</x:f>
        <x:v>n.a.</x:v>
      </x:c>
      <x:c r="AC361" s="9" t="n">
        <x:f>I361*G361</x:f>
        <x:v>0</x:v>
      </x:c>
      <x:c r="AD361" s="9" t="n">
        <x:f>J361*G361</x:f>
        <x:v>0</x:v>
      </x:c>
      <x:c r="AE361" s="9" t="n">
        <x:f>K361*G361</x:f>
        <x:v>75.32000000000001</x:v>
      </x:c>
      <x:c r="AF361" s="9" t="n">
        <x:f>R361*G361</x:f>
        <x:v>67.56508461601642</x:v>
      </x:c>
    </x:row>
    <x:row r="362" ht="21" customHeight="1">
      <x:c r="A362" s="1" t="str">
        <x:f>'Inventory inputs'!A362</x:f>
        <x:v>PLAS</x:v>
      </x:c>
      <x:c r="B362" s="1" t="str">
        <x:f>'Inventory inputs'!B362</x:f>
        <x:v>30</x:v>
      </x:c>
      <x:c r="C362" s="1" t="str">
        <x:f>'Inventory inputs'!C362</x:f>
        <x:v>00119RWBNAV</x:v>
      </x:c>
      <x:c r="D362" s="7" t="n">
        <x:f>'Inventory inputs'!E362</x:f>
        <x:v>46303</x:v>
      </x:c>
      <x:c r="E362" s="1" t="n">
        <x:f>'Inventory inputs'!F362</x:f>
        <x:v>750</x:v>
      </x:c>
      <x:c r="F362" s="1" t="n">
        <x:f>'Inventory inputs'!G362</x:f>
        <x:v>108.33</x:v>
      </x:c>
      <x:c r="G362" s="1" t="n">
        <x:f>'Inventory inputs'!H362/'Inventory inputs'!J362</x:f>
        <x:v>0.1054</x:v>
      </x:c>
      <x:c r="H362" s="1" t="n">
        <x:f>IF('Inventory inputs'!I362&gt;0,'Inventory inputs'!I362*'Inventory inputs'!K362/'Inventory inputs'!J362,"n.a.")</x:f>
        <x:v>0.12333300000000001</x:v>
      </x:c>
      <x:c r="I362" s="1" t="n">
        <x:f>'Inventory inputs'!L362</x:f>
        <x:v>0</x:v>
      </x:c>
      <x:c r="J362" s="1" t="n">
        <x:f>'Inventory inputs'!M362</x:f>
        <x:v>0</x:v>
      </x:c>
      <x:c r="K362" s="1" t="n">
        <x:f>'Inventory inputs'!N362</x:f>
        <x:v>750</x:v>
      </x:c>
      <x:c r="L362" s="1" t="n">
        <x:f>'Inventory inputs'!O362</x:f>
        <x:v>0</x:v>
      </x:c>
      <x:c r="M362" s="9" t="n">
        <x:f>E362*G362</x:f>
        <x:v>79.05</x:v>
      </x:c>
      <x:c r="N362" s="9" t="n">
        <x:f>'Inventory inputs'!Q362</x:f>
        <x:v>79.05</x:v>
      </x:c>
      <x:c r="O362" s="9" t="n">
        <x:f>N362-M362</x:f>
        <x:v>0</x:v>
      </x:c>
      <x:c r="P362" s="1" t="n">
        <x:f>SUMIFS('Incoming POs'!$P$2:$P$305,'Incoming POs'!$A$2:$A$305,A362,'Incoming POs'!$B$2:$B$305,B362,'Incoming POs'!$C$2:$C$305,C362,'Incoming POs'!$G$2:$G$305,"&gt;="&amp;D362,'Incoming POs'!$G$2:$G$305,"&lt;"&amp;Dashboard!$I$5)</x:f>
        <x:v>0</x:v>
      </x:c>
      <x:c r="Q362" s="1" t="n">
        <x:f>F362*Dashboard!$L$5*MAX(0,Dashboard!$I$5-D362)/30.4375</x:f>
        <x:v>144.14340862422998</x:v>
      </x:c>
      <x:c r="R362" s="1" t="n">
        <x:f>MAX(0,E362+P362-Q362)</x:f>
        <x:v>605.85659137577</x:v>
      </x:c>
      <x:c r="S362" s="1" t="n">
        <x:f>MAX(0,Q362-E362-P362)</x:f>
        <x:v>0</x:v>
      </x:c>
      <x:c r="T362" s="1" t="str">
        <x:f>IF(L362=1,MAX(0,I362+AB362-MIN(Q362,E362+P362)),"n.a.")</x:f>
        <x:v>n.a.</x:v>
      </x:c>
      <x:c r="U362" s="9" t="str">
        <x:f>IF(ISNUMBER(T362),T362*G362,"n.a.")</x:f>
        <x:v>n.a.</x:v>
      </x:c>
      <x:c r="V362" s="25" t="n">
        <x:f>IF(Dashboard!$I$6="Flat %",1,IF(ISNUMBER(H362),1,0))</x:f>
        <x:v>1</x:v>
      </x:c>
      <x:c r="W362" s="9" t="n">
        <x:f>IF(Dashboard!$I$6="Flat %",G362*(1+Dashboard!$L$6),H362)</x:f>
        <x:v>0.12333300000000001</x:v>
      </x:c>
      <x:c r="X362" s="9" t="n">
        <x:f>IF(V362=1,R362*(W362-G362),"n.a.")</x:f>
        <x:v>10.864826253141695</x:v>
      </x:c>
      <x:c r="Y362" s="9" t="n">
        <x:f>IF(V362=1,R362*W362,"n.a.")</x:f>
        <x:v>74.72211098414785</x:v>
      </x:c>
      <x:c r="Z362" s="1" t="str">
        <x:f>IF(ISNUMBER(T362),R362-T362,"n.a.")</x:f>
        <x:v>n.a.</x:v>
      </x:c>
      <x:c r="AA362" s="1" t="str">
        <x:f>'Inventory inputs'!R362</x:f>
        <x:v>Review receipt reconciliation or original PO baseline</x:v>
      </x:c>
      <x:c r="AB362" s="1" t="str">
        <x:f>IF(L362=1,SUMIFS('Incoming POs'!$P$2:$P$305,'Incoming POs'!$A$2:$A$305,A362,'Incoming POs'!$B$2:$B$305,B362,'Incoming POs'!$C$2:$C$305,C362,'Incoming POs'!$G$2:$G$305,"&gt;="&amp;D362,'Incoming POs'!$G$2:$G$305,"&lt;"&amp;Dashboard!$I$5,'Incoming POs'!$Q$2:$Q$305,"&lt;="&amp;('Inventory inputs'!P362/'Inventory inputs'!J362*1.01)),"n.a.")</x:f>
        <x:v>n.a.</x:v>
      </x:c>
      <x:c r="AC362" s="9" t="n">
        <x:f>I362*G362</x:f>
        <x:v>0</x:v>
      </x:c>
      <x:c r="AD362" s="9" t="n">
        <x:f>J362*G362</x:f>
        <x:v>0</x:v>
      </x:c>
      <x:c r="AE362" s="9" t="n">
        <x:f>K362*G362</x:f>
        <x:v>79.05</x:v>
      </x:c>
      <x:c r="AF362" s="9" t="n">
        <x:f>R362*G362</x:f>
        <x:v>63.85728473100615</x:v>
      </x:c>
    </x:row>
    <x:row r="363" ht="21" customHeight="1">
      <x:c r="A363" s="1" t="str">
        <x:f>'Inventory inputs'!A363</x:f>
        <x:v>PLAS</x:v>
      </x:c>
      <x:c r="B363" s="1" t="str">
        <x:f>'Inventory inputs'!B363</x:f>
        <x:v>10</x:v>
      </x:c>
      <x:c r="C363" s="1" t="str">
        <x:f>'Inventory inputs'!C363</x:f>
        <x:v>07815RWBWHT</x:v>
      </x:c>
      <x:c r="D363" s="7" t="n">
        <x:f>'Inventory inputs'!E363</x:f>
        <x:v>46303</x:v>
      </x:c>
      <x:c r="E363" s="1" t="n">
        <x:f>'Inventory inputs'!F363</x:f>
        <x:v>664</x:v>
      </x:c>
      <x:c r="F363" s="1" t="n">
        <x:f>'Inventory inputs'!G363</x:f>
        <x:v>107.92</x:v>
      </x:c>
      <x:c r="G363" s="1" t="n">
        <x:f>'Inventory inputs'!H363/'Inventory inputs'!J363</x:f>
        <x:v>0.0538</x:v>
      </x:c>
      <x:c r="H363" s="1" t="n">
        <x:f>IF('Inventory inputs'!I363&gt;0,'Inventory inputs'!I363*'Inventory inputs'!K363/'Inventory inputs'!J363,"n.a.")</x:f>
        <x:v>0.062916</x:v>
      </x:c>
      <x:c r="I363" s="1" t="n">
        <x:f>'Inventory inputs'!L363</x:f>
        <x:v>664</x:v>
      </x:c>
      <x:c r="J363" s="1" t="n">
        <x:f>'Inventory inputs'!M363</x:f>
        <x:v>0</x:v>
      </x:c>
      <x:c r="K363" s="1" t="n">
        <x:f>'Inventory inputs'!N363</x:f>
        <x:v>0</x:v>
      </x:c>
      <x:c r="L363" s="1" t="n">
        <x:f>'Inventory inputs'!O363</x:f>
        <x:v>1</x:v>
      </x:c>
      <x:c r="M363" s="9" t="n">
        <x:f>E363*G363</x:f>
        <x:v>35.7232</x:v>
      </x:c>
      <x:c r="N363" s="9" t="n">
        <x:f>'Inventory inputs'!Q363</x:f>
        <x:v>35.7232</x:v>
      </x:c>
      <x:c r="O363" s="9" t="n">
        <x:f>N363-M363</x:f>
        <x:v>0</x:v>
      </x:c>
      <x:c r="P363" s="1" t="n">
        <x:f>SUMIFS('Incoming POs'!$P$2:$P$305,'Incoming POs'!$A$2:$A$305,A363,'Incoming POs'!$B$2:$B$305,B363,'Incoming POs'!$C$2:$C$305,C363,'Incoming POs'!$G$2:$G$305,"&gt;="&amp;D363,'Incoming POs'!$G$2:$G$305,"&lt;"&amp;Dashboard!$I$5)</x:f>
        <x:v>1000</x:v>
      </x:c>
      <x:c r="Q363" s="1" t="n">
        <x:f>F363*Dashboard!$L$5*MAX(0,Dashboard!$I$5-D363)/30.4375</x:f>
        <x:v>143.59786447638604</x:v>
      </x:c>
      <x:c r="R363" s="1" t="n">
        <x:f>MAX(0,E363+P363-Q363)</x:f>
        <x:v>1520.4021355236139</x:v>
      </x:c>
      <x:c r="S363" s="1" t="n">
        <x:f>MAX(0,Q363-E363-P363)</x:f>
        <x:v>0</x:v>
      </x:c>
      <x:c r="T363" s="1" t="n">
        <x:f>IF(L363=1,MAX(0,I363+AB363-MIN(Q363,E363+P363)),"n.a.")</x:f>
        <x:v>520.402135523614</x:v>
      </x:c>
      <x:c r="U363" s="9" t="n">
        <x:f>IF(ISNUMBER(T363),T363*G363,"n.a.")</x:f>
        <x:v>27.99763489117043</x:v>
      </x:c>
      <x:c r="V363" s="25" t="n">
        <x:f>IF(Dashboard!$I$6="Flat %",1,IF(ISNUMBER(H363),1,0))</x:f>
        <x:v>1</x:v>
      </x:c>
      <x:c r="W363" s="9" t="n">
        <x:f>IF(Dashboard!$I$6="Flat %",G363*(1+Dashboard!$L$6),H363)</x:f>
        <x:v>0.062916</x:v>
      </x:c>
      <x:c r="X363" s="9" t="n">
        <x:f>IF(V363=1,R363*(W363-G363),"n.a.")</x:f>
        <x:v>13.859985867433263</x:v>
      </x:c>
      <x:c r="Y363" s="9" t="n">
        <x:f>IF(V363=1,R363*W363,"n.a.")</x:f>
        <x:v>95.65762075860368</x:v>
      </x:c>
      <x:c r="Z363" s="1" t="n">
        <x:f>IF(ISNUMBER(T363),R363-T363,"n.a.")</x:f>
        <x:v>999.9999999999999</x:v>
      </x:c>
      <x:c r="AA363" s="1" t="str">
        <x:f>'Inventory inputs'!R363</x:f>
        <x:v>Classified</x:v>
      </x:c>
      <x:c r="AB363" s="1" t="n">
        <x:f>IF(L363=1,SUMIFS('Incoming POs'!$P$2:$P$305,'Incoming POs'!$A$2:$A$305,A363,'Incoming POs'!$B$2:$B$305,B363,'Incoming POs'!$C$2:$C$305,C363,'Incoming POs'!$G$2:$G$305,"&gt;="&amp;D363,'Incoming POs'!$G$2:$G$305,"&lt;"&amp;Dashboard!$I$5,'Incoming POs'!$Q$2:$Q$305,"&lt;="&amp;('Inventory inputs'!P363/'Inventory inputs'!J363*1.01)),"n.a.")</x:f>
        <x:v>0</x:v>
      </x:c>
      <x:c r="AC363" s="9" t="n">
        <x:f>I363*G363</x:f>
        <x:v>35.7232</x:v>
      </x:c>
      <x:c r="AD363" s="9" t="n">
        <x:f>J363*G363</x:f>
        <x:v>0</x:v>
      </x:c>
      <x:c r="AE363" s="9" t="n">
        <x:f>K363*G363</x:f>
        <x:v>0</x:v>
      </x:c>
      <x:c r="AF363" s="9" t="n">
        <x:f>R363*G363</x:f>
        <x:v>81.79763489117043</x:v>
      </x:c>
    </x:row>
    <x:row r="364" ht="21" customHeight="1">
      <x:c r="A364" s="1" t="str">
        <x:f>'Inventory inputs'!A364</x:f>
        <x:v>PLAS</x:v>
      </x:c>
      <x:c r="B364" s="1" t="str">
        <x:f>'Inventory inputs'!B364</x:f>
        <x:v>30</x:v>
      </x:c>
      <x:c r="C364" s="1" t="str">
        <x:f>'Inventory inputs'!C364</x:f>
        <x:v>71619RWBWHT</x:v>
      </x:c>
      <x:c r="D364" s="7" t="n">
        <x:f>'Inventory inputs'!E364</x:f>
        <x:v>46303</x:v>
      </x:c>
      <x:c r="E364" s="1" t="n">
        <x:f>'Inventory inputs'!F364</x:f>
        <x:v>2600</x:v>
      </x:c>
      <x:c r="F364" s="1" t="n">
        <x:f>'Inventory inputs'!G364</x:f>
        <x:v>100</x:v>
      </x:c>
      <x:c r="G364" s="1" t="n">
        <x:f>'Inventory inputs'!H364/'Inventory inputs'!J364</x:f>
        <x:v>0.0315</x:v>
      </x:c>
      <x:c r="H364" s="1" t="n">
        <x:f>IF('Inventory inputs'!I364&gt;0,'Inventory inputs'!I364*'Inventory inputs'!K364/'Inventory inputs'!J364,"n.a.")</x:f>
        <x:v>0.03675</x:v>
      </x:c>
      <x:c r="I364" s="1" t="n">
        <x:f>'Inventory inputs'!L364</x:f>
        <x:v>0</x:v>
      </x:c>
      <x:c r="J364" s="1" t="n">
        <x:f>'Inventory inputs'!M364</x:f>
        <x:v>0</x:v>
      </x:c>
      <x:c r="K364" s="1" t="n">
        <x:f>'Inventory inputs'!N364</x:f>
        <x:v>2600</x:v>
      </x:c>
      <x:c r="L364" s="1" t="n">
        <x:f>'Inventory inputs'!O364</x:f>
        <x:v>0</x:v>
      </x:c>
      <x:c r="M364" s="9" t="n">
        <x:f>E364*G364</x:f>
        <x:v>81.9</x:v>
      </x:c>
      <x:c r="N364" s="9" t="n">
        <x:f>'Inventory inputs'!Q364</x:f>
        <x:v>81.9</x:v>
      </x:c>
      <x:c r="O364" s="9" t="n">
        <x:f>N364-M364</x:f>
        <x:v>0</x:v>
      </x:c>
      <x:c r="P364" s="1" t="n">
        <x:f>SUMIFS('Incoming POs'!$P$2:$P$305,'Incoming POs'!$A$2:$A$305,A364,'Incoming POs'!$B$2:$B$305,B364,'Incoming POs'!$C$2:$C$305,C364,'Incoming POs'!$G$2:$G$305,"&gt;="&amp;D364,'Incoming POs'!$G$2:$G$305,"&lt;"&amp;Dashboard!$I$5)</x:f>
        <x:v>0</x:v>
      </x:c>
      <x:c r="Q364" s="1" t="n">
        <x:f>F364*Dashboard!$L$5*MAX(0,Dashboard!$I$5-D364)/30.4375</x:f>
        <x:v>133.05954825462013</x:v>
      </x:c>
      <x:c r="R364" s="1" t="n">
        <x:f>MAX(0,E364+P364-Q364)</x:f>
        <x:v>2466.94045174538</x:v>
      </x:c>
      <x:c r="S364" s="1" t="n">
        <x:f>MAX(0,Q364-E364-P364)</x:f>
        <x:v>0</x:v>
      </x:c>
      <x:c r="T364" s="1" t="str">
        <x:f>IF(L364=1,MAX(0,I364+AB364-MIN(Q364,E364+P364)),"n.a.")</x:f>
        <x:v>n.a.</x:v>
      </x:c>
      <x:c r="U364" s="9" t="str">
        <x:f>IF(ISNUMBER(T364),T364*G364,"n.a.")</x:f>
        <x:v>n.a.</x:v>
      </x:c>
      <x:c r="V364" s="25" t="n">
        <x:f>IF(Dashboard!$I$6="Flat %",1,IF(ISNUMBER(H364),1,0))</x:f>
        <x:v>1</x:v>
      </x:c>
      <x:c r="W364" s="9" t="n">
        <x:f>IF(Dashboard!$I$6="Flat %",G364*(1+Dashboard!$L$6),H364)</x:f>
        <x:v>0.03675</x:v>
      </x:c>
      <x:c r="X364" s="9" t="n">
        <x:f>IF(V364=1,R364*(W364-G364),"n.a.")</x:f>
        <x:v>12.95143737166324</x:v>
      </x:c>
      <x:c r="Y364" s="9" t="n">
        <x:f>IF(V364=1,R364*W364,"n.a.")</x:f>
        <x:v>90.66006160164271</x:v>
      </x:c>
      <x:c r="Z364" s="1" t="str">
        <x:f>IF(ISNUMBER(T364),R364-T364,"n.a.")</x:f>
        <x:v>n.a.</x:v>
      </x:c>
      <x:c r="AA364" s="1" t="str">
        <x:f>'Inventory inputs'!R364</x:f>
        <x:v>Review receipt reconciliation or original PO baseline</x:v>
      </x:c>
      <x:c r="AB364" s="1" t="str">
        <x:f>IF(L364=1,SUMIFS('Incoming POs'!$P$2:$P$305,'Incoming POs'!$A$2:$A$305,A364,'Incoming POs'!$B$2:$B$305,B364,'Incoming POs'!$C$2:$C$305,C364,'Incoming POs'!$G$2:$G$305,"&gt;="&amp;D364,'Incoming POs'!$G$2:$G$305,"&lt;"&amp;Dashboard!$I$5,'Incoming POs'!$Q$2:$Q$305,"&lt;="&amp;('Inventory inputs'!P364/'Inventory inputs'!J364*1.01)),"n.a.")</x:f>
        <x:v>n.a.</x:v>
      </x:c>
      <x:c r="AC364" s="9" t="n">
        <x:f>I364*G364</x:f>
        <x:v>0</x:v>
      </x:c>
      <x:c r="AD364" s="9" t="n">
        <x:f>J364*G364</x:f>
        <x:v>0</x:v>
      </x:c>
      <x:c r="AE364" s="9" t="n">
        <x:f>K364*G364</x:f>
        <x:v>81.9</x:v>
      </x:c>
      <x:c r="AF364" s="9" t="n">
        <x:f>R364*G364</x:f>
        <x:v>77.70862422997946</x:v>
      </x:c>
    </x:row>
    <x:row r="365" ht="21" customHeight="1">
      <x:c r="A365" s="1" t="str">
        <x:f>'Inventory inputs'!A365</x:f>
        <x:v>PLAS</x:v>
      </x:c>
      <x:c r="B365" s="1" t="str">
        <x:f>'Inventory inputs'!B365</x:f>
        <x:v>10</x:v>
      </x:c>
      <x:c r="C365" s="1" t="str">
        <x:f>'Inventory inputs'!C365</x:f>
        <x:v>11421RSLCLR</x:v>
      </x:c>
      <x:c r="D365" s="7" t="n">
        <x:f>'Inventory inputs'!E365</x:f>
        <x:v>46303</x:v>
      </x:c>
      <x:c r="E365" s="1" t="n">
        <x:f>'Inventory inputs'!F365</x:f>
        <x:v>1221</x:v>
      </x:c>
      <x:c r="F365" s="1" t="n">
        <x:f>'Inventory inputs'!G365</x:f>
        <x:v>98.75</x:v>
      </x:c>
      <x:c r="G365" s="1" t="n">
        <x:f>'Inventory inputs'!H365/'Inventory inputs'!J365</x:f>
        <x:v>0.0978</x:v>
      </x:c>
      <x:c r="H365" s="1" t="n">
        <x:f>IF('Inventory inputs'!I365&gt;0,'Inventory inputs'!I365*'Inventory inputs'!K365/'Inventory inputs'!J365,"n.a.")</x:f>
        <x:v>0.12936</x:v>
      </x:c>
      <x:c r="I365" s="1" t="n">
        <x:f>'Inventory inputs'!L365</x:f>
        <x:v>0</x:v>
      </x:c>
      <x:c r="J365" s="1" t="n">
        <x:f>'Inventory inputs'!M365</x:f>
        <x:v>0</x:v>
      </x:c>
      <x:c r="K365" s="1" t="n">
        <x:f>'Inventory inputs'!N365</x:f>
        <x:v>1221</x:v>
      </x:c>
      <x:c r="L365" s="1" t="n">
        <x:f>'Inventory inputs'!O365</x:f>
        <x:v>0</x:v>
      </x:c>
      <x:c r="M365" s="9" t="n">
        <x:f>E365*G365</x:f>
        <x:v>119.4138</x:v>
      </x:c>
      <x:c r="N365" s="9" t="n">
        <x:f>'Inventory inputs'!Q365</x:f>
        <x:v>119.4138</x:v>
      </x:c>
      <x:c r="O365" s="9" t="n">
        <x:f>N365-M365</x:f>
        <x:v>0</x:v>
      </x:c>
      <x:c r="P365" s="1" t="n">
        <x:f>SUMIFS('Incoming POs'!$P$2:$P$305,'Incoming POs'!$A$2:$A$305,A365,'Incoming POs'!$B$2:$B$305,B365,'Incoming POs'!$C$2:$C$305,C365,'Incoming POs'!$G$2:$G$305,"&gt;="&amp;D365,'Incoming POs'!$G$2:$G$305,"&lt;"&amp;Dashboard!$I$5)</x:f>
        <x:v>0</x:v>
      </x:c>
      <x:c r="Q365" s="1" t="n">
        <x:f>F365*Dashboard!$L$5*MAX(0,Dashboard!$I$5-D365)/30.4375</x:f>
        <x:v>131.39630390143736</x:v>
      </x:c>
      <x:c r="R365" s="1" t="n">
        <x:f>MAX(0,E365+P365-Q365)</x:f>
        <x:v>1089.6036960985625</x:v>
      </x:c>
      <x:c r="S365" s="1" t="n">
        <x:f>MAX(0,Q365-E365-P365)</x:f>
        <x:v>0</x:v>
      </x:c>
      <x:c r="T365" s="1" t="str">
        <x:f>IF(L365=1,MAX(0,I365+AB365-MIN(Q365,E365+P365)),"n.a.")</x:f>
        <x:v>n.a.</x:v>
      </x:c>
      <x:c r="U365" s="9" t="str">
        <x:f>IF(ISNUMBER(T365),T365*G365,"n.a.")</x:f>
        <x:v>n.a.</x:v>
      </x:c>
      <x:c r="V365" s="25" t="n">
        <x:f>IF(Dashboard!$I$6="Flat %",1,IF(ISNUMBER(H365),1,0))</x:f>
        <x:v>1</x:v>
      </x:c>
      <x:c r="W365" s="9" t="n">
        <x:f>IF(Dashboard!$I$6="Flat %",G365*(1+Dashboard!$L$6),H365)</x:f>
        <x:v>0.12936</x:v>
      </x:c>
      <x:c r="X365" s="9" t="n">
        <x:f>IF(V365=1,R365*(W365-G365),"n.a.")</x:f>
        <x:v>34.38789264887064</x:v>
      </x:c>
      <x:c r="Y365" s="9" t="n">
        <x:f>IF(V365=1,R365*W365,"n.a.")</x:f>
        <x:v>140.95113412731004</x:v>
      </x:c>
      <x:c r="Z365" s="1" t="str">
        <x:f>IF(ISNUMBER(T365),R365-T365,"n.a.")</x:f>
        <x:v>n.a.</x:v>
      </x:c>
      <x:c r="AA365" s="1" t="str">
        <x:f>'Inventory inputs'!R365</x:f>
        <x:v>Review receipt reconciliation or original PO baseline</x:v>
      </x:c>
      <x:c r="AB365" s="1" t="str">
        <x:f>IF(L365=1,SUMIFS('Incoming POs'!$P$2:$P$305,'Incoming POs'!$A$2:$A$305,A365,'Incoming POs'!$B$2:$B$305,B365,'Incoming POs'!$C$2:$C$305,C365,'Incoming POs'!$G$2:$G$305,"&gt;="&amp;D365,'Incoming POs'!$G$2:$G$305,"&lt;"&amp;Dashboard!$I$5,'Incoming POs'!$Q$2:$Q$305,"&lt;="&amp;('Inventory inputs'!P365/'Inventory inputs'!J365*1.01)),"n.a.")</x:f>
        <x:v>n.a.</x:v>
      </x:c>
      <x:c r="AC365" s="9" t="n">
        <x:f>I365*G365</x:f>
        <x:v>0</x:v>
      </x:c>
      <x:c r="AD365" s="9" t="n">
        <x:f>J365*G365</x:f>
        <x:v>0</x:v>
      </x:c>
      <x:c r="AE365" s="9" t="n">
        <x:f>K365*G365</x:f>
        <x:v>119.4138</x:v>
      </x:c>
      <x:c r="AF365" s="9" t="n">
        <x:f>R365*G365</x:f>
        <x:v>106.56324147843941</x:v>
      </x:c>
    </x:row>
    <x:row r="366" ht="21" customHeight="1">
      <x:c r="A366" s="1" t="str">
        <x:f>'Inventory inputs'!A366</x:f>
        <x:v>PLAS</x:v>
      </x:c>
      <x:c r="B366" s="1" t="str">
        <x:f>'Inventory inputs'!B366</x:f>
        <x:v>10</x:v>
      </x:c>
      <x:c r="C366" s="1" t="str">
        <x:f>'Inventory inputs'!C366</x:f>
        <x:v>05819RWBRED</x:v>
      </x:c>
      <x:c r="D366" s="7" t="n">
        <x:f>'Inventory inputs'!E366</x:f>
        <x:v>46303</x:v>
      </x:c>
      <x:c r="E366" s="1" t="n">
        <x:f>'Inventory inputs'!F366</x:f>
        <x:v>1400</x:v>
      </x:c>
      <x:c r="F366" s="1" t="n">
        <x:f>'Inventory inputs'!G366</x:f>
        <x:v>91.67</x:v>
      </x:c>
      <x:c r="G366" s="1" t="n">
        <x:f>'Inventory inputs'!H366/'Inventory inputs'!J366</x:f>
        <x:v>0.045599999999999995</x:v>
      </x:c>
      <x:c r="H366" s="1" t="n">
        <x:f>IF('Inventory inputs'!I366&gt;0,'Inventory inputs'!I366*'Inventory inputs'!K366/'Inventory inputs'!J366,"n.a.")</x:f>
        <x:v>0.053361</x:v>
      </x:c>
      <x:c r="I366" s="1" t="n">
        <x:f>'Inventory inputs'!L366</x:f>
        <x:v>1400</x:v>
      </x:c>
      <x:c r="J366" s="1" t="n">
        <x:f>'Inventory inputs'!M366</x:f>
        <x:v>0</x:v>
      </x:c>
      <x:c r="K366" s="1" t="n">
        <x:f>'Inventory inputs'!N366</x:f>
        <x:v>0</x:v>
      </x:c>
      <x:c r="L366" s="1" t="n">
        <x:f>'Inventory inputs'!O366</x:f>
        <x:v>1</x:v>
      </x:c>
      <x:c r="M366" s="9" t="n">
        <x:f>E366*G366</x:f>
        <x:v>63.83999999999999</x:v>
      </x:c>
      <x:c r="N366" s="9" t="n">
        <x:f>'Inventory inputs'!Q366</x:f>
        <x:v>63.83999999999999</x:v>
      </x:c>
      <x:c r="O366" s="9" t="n">
        <x:f>N366-M366</x:f>
        <x:v>0</x:v>
      </x:c>
      <x:c r="P366" s="1" t="n">
        <x:f>SUMIFS('Incoming POs'!$P$2:$P$305,'Incoming POs'!$A$2:$A$305,A366,'Incoming POs'!$B$2:$B$305,B366,'Incoming POs'!$C$2:$C$305,C366,'Incoming POs'!$G$2:$G$305,"&gt;="&amp;D366,'Incoming POs'!$G$2:$G$305,"&lt;"&amp;Dashboard!$I$5)</x:f>
        <x:v>0</x:v>
      </x:c>
      <x:c r="Q366" s="1" t="n">
        <x:f>F366*Dashboard!$L$5*MAX(0,Dashboard!$I$5-D366)/30.4375</x:f>
        <x:v>121.97568788501026</x:v>
      </x:c>
      <x:c r="R366" s="1" t="n">
        <x:f>MAX(0,E366+P366-Q366)</x:f>
        <x:v>1278.0243121149897</x:v>
      </x:c>
      <x:c r="S366" s="1" t="n">
        <x:f>MAX(0,Q366-E366-P366)</x:f>
        <x:v>0</x:v>
      </x:c>
      <x:c r="T366" s="1" t="n">
        <x:f>IF(L366=1,MAX(0,I366+AB366-MIN(Q366,E366+P366)),"n.a.")</x:f>
        <x:v>1278.0243121149897</x:v>
      </x:c>
      <x:c r="U366" s="9" t="n">
        <x:f>IF(ISNUMBER(T366),T366*G366,"n.a.")</x:f>
        <x:v>58.27790863244353</x:v>
      </x:c>
      <x:c r="V366" s="25" t="n">
        <x:f>IF(Dashboard!$I$6="Flat %",1,IF(ISNUMBER(H366),1,0))</x:f>
        <x:v>1</x:v>
      </x:c>
      <x:c r="W366" s="9" t="n">
        <x:f>IF(Dashboard!$I$6="Flat %",G366*(1+Dashboard!$L$6),H366)</x:f>
        <x:v>0.053361</x:v>
      </x:c>
      <x:c r="X366" s="9" t="n">
        <x:f>IF(V366=1,R366*(W366-G366),"n.a.")</x:f>
        <x:v>9.91874668632444</x:v>
      </x:c>
      <x:c r="Y366" s="9" t="n">
        <x:f>IF(V366=1,R366*W366,"n.a.")</x:f>
        <x:v>68.19665531876797</x:v>
      </x:c>
      <x:c r="Z366" s="1" t="n">
        <x:f>IF(ISNUMBER(T366),R366-T366,"n.a.")</x:f>
        <x:v>0</x:v>
      </x:c>
      <x:c r="AA366" s="1" t="str">
        <x:f>'Inventory inputs'!R366</x:f>
        <x:v>Classified</x:v>
      </x:c>
      <x:c r="AB366" s="1" t="n">
        <x:f>IF(L366=1,SUMIFS('Incoming POs'!$P$2:$P$305,'Incoming POs'!$A$2:$A$305,A366,'Incoming POs'!$B$2:$B$305,B366,'Incoming POs'!$C$2:$C$305,C366,'Incoming POs'!$G$2:$G$305,"&gt;="&amp;D366,'Incoming POs'!$G$2:$G$305,"&lt;"&amp;Dashboard!$I$5,'Incoming POs'!$Q$2:$Q$305,"&lt;="&amp;('Inventory inputs'!P366/'Inventory inputs'!J366*1.01)),"n.a.")</x:f>
        <x:v>0</x:v>
      </x:c>
      <x:c r="AC366" s="9" t="n">
        <x:f>I366*G366</x:f>
        <x:v>63.83999999999999</x:v>
      </x:c>
      <x:c r="AD366" s="9" t="n">
        <x:f>J366*G366</x:f>
        <x:v>0</x:v>
      </x:c>
      <x:c r="AE366" s="9" t="n">
        <x:f>K366*G366</x:f>
        <x:v>0</x:v>
      </x:c>
      <x:c r="AF366" s="9" t="n">
        <x:f>R366*G366</x:f>
        <x:v>58.27790863244353</x:v>
      </x:c>
    </x:row>
    <x:row r="367" ht="21" customHeight="1">
      <x:c r="A367" s="1" t="str">
        <x:f>'Inventory inputs'!A367</x:f>
        <x:v>PLAS</x:v>
      </x:c>
      <x:c r="B367" s="1" t="str">
        <x:f>'Inventory inputs'!B367</x:f>
        <x:v>60</x:v>
      </x:c>
      <x:c r="C367" s="1" t="str">
        <x:f>'Inventory inputs'!C367</x:f>
        <x:v>13419RSLNAV</x:v>
      </x:c>
      <x:c r="D367" s="7" t="n">
        <x:f>'Inventory inputs'!E367</x:f>
        <x:v>46303</x:v>
      </x:c>
      <x:c r="E367" s="1" t="n">
        <x:f>'Inventory inputs'!F367</x:f>
        <x:v>450</x:v>
      </x:c>
      <x:c r="F367" s="1" t="n">
        <x:f>'Inventory inputs'!G367</x:f>
        <x:v>91.67</x:v>
      </x:c>
      <x:c r="G367" s="1" t="n">
        <x:f>'Inventory inputs'!H367/'Inventory inputs'!J367</x:f>
        <x:v>0.1457</x:v>
      </x:c>
      <x:c r="H367" s="1" t="n">
        <x:f>IF('Inventory inputs'!I367&gt;0,'Inventory inputs'!I367*'Inventory inputs'!K367/'Inventory inputs'!J367,"n.a.")</x:f>
        <x:v>0.170373</x:v>
      </x:c>
      <x:c r="I367" s="1" t="n">
        <x:f>'Inventory inputs'!L367</x:f>
        <x:v>0</x:v>
      </x:c>
      <x:c r="J367" s="1" t="n">
        <x:f>'Inventory inputs'!M367</x:f>
        <x:v>0</x:v>
      </x:c>
      <x:c r="K367" s="1" t="n">
        <x:f>'Inventory inputs'!N367</x:f>
        <x:v>450</x:v>
      </x:c>
      <x:c r="L367" s="1" t="n">
        <x:f>'Inventory inputs'!O367</x:f>
        <x:v>0</x:v>
      </x:c>
      <x:c r="M367" s="9" t="n">
        <x:f>E367*G367</x:f>
        <x:v>65.565</x:v>
      </x:c>
      <x:c r="N367" s="9" t="n">
        <x:f>'Inventory inputs'!Q367</x:f>
        <x:v>65.565</x:v>
      </x:c>
      <x:c r="O367" s="9" t="n">
        <x:f>N367-M367</x:f>
        <x:v>0</x:v>
      </x:c>
      <x:c r="P367" s="1" t="n">
        <x:f>SUMIFS('Incoming POs'!$P$2:$P$305,'Incoming POs'!$A$2:$A$305,A367,'Incoming POs'!$B$2:$B$305,B367,'Incoming POs'!$C$2:$C$305,C367,'Incoming POs'!$G$2:$G$305,"&gt;="&amp;D367,'Incoming POs'!$G$2:$G$305,"&lt;"&amp;Dashboard!$I$5)</x:f>
        <x:v>0</x:v>
      </x:c>
      <x:c r="Q367" s="1" t="n">
        <x:f>F367*Dashboard!$L$5*MAX(0,Dashboard!$I$5-D367)/30.4375</x:f>
        <x:v>121.97568788501026</x:v>
      </x:c>
      <x:c r="R367" s="1" t="n">
        <x:f>MAX(0,E367+P367-Q367)</x:f>
        <x:v>328.02431211498975</x:v>
      </x:c>
      <x:c r="S367" s="1" t="n">
        <x:f>MAX(0,Q367-E367-P367)</x:f>
        <x:v>0</x:v>
      </x:c>
      <x:c r="T367" s="1" t="str">
        <x:f>IF(L367=1,MAX(0,I367+AB367-MIN(Q367,E367+P367)),"n.a.")</x:f>
        <x:v>n.a.</x:v>
      </x:c>
      <x:c r="U367" s="9" t="str">
        <x:f>IF(ISNUMBER(T367),T367*G367,"n.a.")</x:f>
        <x:v>n.a.</x:v>
      </x:c>
      <x:c r="V367" s="25" t="n">
        <x:f>IF(Dashboard!$I$6="Flat %",1,IF(ISNUMBER(H367),1,0))</x:f>
        <x:v>1</x:v>
      </x:c>
      <x:c r="W367" s="9" t="n">
        <x:f>IF(Dashboard!$I$6="Flat %",G367*(1+Dashboard!$L$6),H367)</x:f>
        <x:v>0.170373</x:v>
      </x:c>
      <x:c r="X367" s="9" t="n">
        <x:f>IF(V367=1,R367*(W367-G367),"n.a.")</x:f>
        <x:v>8.093343852813142</x:v>
      </x:c>
      <x:c r="Y367" s="9" t="n">
        <x:f>IF(V367=1,R367*W367,"n.a.")</x:f>
        <x:v>55.886486127967146</x:v>
      </x:c>
      <x:c r="Z367" s="1" t="str">
        <x:f>IF(ISNUMBER(T367),R367-T367,"n.a.")</x:f>
        <x:v>n.a.</x:v>
      </x:c>
      <x:c r="AA367" s="1" t="str">
        <x:f>'Inventory inputs'!R367</x:f>
        <x:v>Review receipt reconciliation or original PO baseline</x:v>
      </x:c>
      <x:c r="AB367" s="1" t="str">
        <x:f>IF(L367=1,SUMIFS('Incoming POs'!$P$2:$P$305,'Incoming POs'!$A$2:$A$305,A367,'Incoming POs'!$B$2:$B$305,B367,'Incoming POs'!$C$2:$C$305,C367,'Incoming POs'!$G$2:$G$305,"&gt;="&amp;D367,'Incoming POs'!$G$2:$G$305,"&lt;"&amp;Dashboard!$I$5,'Incoming POs'!$Q$2:$Q$305,"&lt;="&amp;('Inventory inputs'!P367/'Inventory inputs'!J367*1.01)),"n.a.")</x:f>
        <x:v>n.a.</x:v>
      </x:c>
      <x:c r="AC367" s="9" t="n">
        <x:f>I367*G367</x:f>
        <x:v>0</x:v>
      </x:c>
      <x:c r="AD367" s="9" t="n">
        <x:f>J367*G367</x:f>
        <x:v>0</x:v>
      </x:c>
      <x:c r="AE367" s="9" t="n">
        <x:f>K367*G367</x:f>
        <x:v>65.565</x:v>
      </x:c>
      <x:c r="AF367" s="9" t="n">
        <x:f>R367*G367</x:f>
        <x:v>47.793142275154004</x:v>
      </x:c>
    </x:row>
    <x:row r="368" ht="21" customHeight="1">
      <x:c r="A368" s="1" t="str">
        <x:f>'Inventory inputs'!A368</x:f>
        <x:v>PLAS</x:v>
      </x:c>
      <x:c r="B368" s="1" t="str">
        <x:f>'Inventory inputs'!B368</x:f>
        <x:v>10</x:v>
      </x:c>
      <x:c r="C368" s="1" t="str">
        <x:f>'Inventory inputs'!C368</x:f>
        <x:v>13415RSLRED</x:v>
      </x:c>
      <x:c r="D368" s="7" t="n">
        <x:f>'Inventory inputs'!E368</x:f>
        <x:v>46303</x:v>
      </x:c>
      <x:c r="E368" s="1" t="n">
        <x:f>'Inventory inputs'!F368</x:f>
        <x:v>2000</x:v>
      </x:c>
      <x:c r="F368" s="1" t="n">
        <x:f>'Inventory inputs'!G368</x:f>
        <x:v>85.67</x:v>
      </x:c>
      <x:c r="G368" s="1" t="n">
        <x:f>'Inventory inputs'!H368/'Inventory inputs'!J368</x:f>
        <x:v>0.1005</x:v>
      </x:c>
      <x:c r="H368" s="1" t="n">
        <x:f>IF('Inventory inputs'!I368&gt;0,'Inventory inputs'!I368*'Inventory inputs'!K368/'Inventory inputs'!J368,"n.a.")</x:f>
        <x:v>0.1176</x:v>
      </x:c>
      <x:c r="I368" s="1" t="n">
        <x:f>'Inventory inputs'!L368</x:f>
        <x:v>1000</x:v>
      </x:c>
      <x:c r="J368" s="1" t="n">
        <x:f>'Inventory inputs'!M368</x:f>
        <x:v>1000</x:v>
      </x:c>
      <x:c r="K368" s="1" t="n">
        <x:f>'Inventory inputs'!N368</x:f>
        <x:v>0</x:v>
      </x:c>
      <x:c r="L368" s="1" t="n">
        <x:f>'Inventory inputs'!O368</x:f>
        <x:v>1</x:v>
      </x:c>
      <x:c r="M368" s="9" t="n">
        <x:f>E368*G368</x:f>
        <x:v>201</x:v>
      </x:c>
      <x:c r="N368" s="9" t="n">
        <x:f>'Inventory inputs'!Q368</x:f>
        <x:v>201</x:v>
      </x:c>
      <x:c r="O368" s="9" t="n">
        <x:f>N368-M368</x:f>
        <x:v>0</x:v>
      </x:c>
      <x:c r="P368" s="1" t="n">
        <x:f>SUMIFS('Incoming POs'!$P$2:$P$305,'Incoming POs'!$A$2:$A$305,A368,'Incoming POs'!$B$2:$B$305,B368,'Incoming POs'!$C$2:$C$305,C368,'Incoming POs'!$G$2:$G$305,"&gt;="&amp;D368,'Incoming POs'!$G$2:$G$305,"&lt;"&amp;Dashboard!$I$5)</x:f>
        <x:v>0</x:v>
      </x:c>
      <x:c r="Q368" s="1" t="n">
        <x:f>F368*Dashboard!$L$5*MAX(0,Dashboard!$I$5-D368)/30.4375</x:f>
        <x:v>113.99211498973305</x:v>
      </x:c>
      <x:c r="R368" s="1" t="n">
        <x:f>MAX(0,E368+P368-Q368)</x:f>
        <x:v>1886.007885010267</x:v>
      </x:c>
      <x:c r="S368" s="1" t="n">
        <x:f>MAX(0,Q368-E368-P368)</x:f>
        <x:v>0</x:v>
      </x:c>
      <x:c r="T368" s="1" t="n">
        <x:f>IF(L368=1,MAX(0,I368+AB368-MIN(Q368,E368+P368)),"n.a.")</x:f>
        <x:v>886.0078850102669</x:v>
      </x:c>
      <x:c r="U368" s="9" t="n">
        <x:f>IF(ISNUMBER(T368),T368*G368,"n.a.")</x:f>
        <x:v>89.04379244353183</x:v>
      </x:c>
      <x:c r="V368" s="25" t="n">
        <x:f>IF(Dashboard!$I$6="Flat %",1,IF(ISNUMBER(H368),1,0))</x:f>
        <x:v>1</x:v>
      </x:c>
      <x:c r="W368" s="9" t="n">
        <x:f>IF(Dashboard!$I$6="Flat %",G368*(1+Dashboard!$L$6),H368)</x:f>
        <x:v>0.1176</x:v>
      </x:c>
      <x:c r="X368" s="9" t="n">
        <x:f>IF(V368=1,R368*(W368-G368),"n.a.")</x:f>
        <x:v>32.25073483367555</x:v>
      </x:c>
      <x:c r="Y368" s="9" t="n">
        <x:f>IF(V368=1,R368*W368,"n.a.")</x:f>
        <x:v>221.7945272772074</x:v>
      </x:c>
      <x:c r="Z368" s="1" t="n">
        <x:f>IF(ISNUMBER(T368),R368-T368,"n.a.")</x:f>
        <x:v>1000.0000000000001</x:v>
      </x:c>
      <x:c r="AA368" s="1" t="str">
        <x:f>'Inventory inputs'!R368</x:f>
        <x:v>Classified</x:v>
      </x:c>
      <x:c r="AB368" s="1" t="n">
        <x:f>IF(L368=1,SUMIFS('Incoming POs'!$P$2:$P$305,'Incoming POs'!$A$2:$A$305,A368,'Incoming POs'!$B$2:$B$305,B368,'Incoming POs'!$C$2:$C$305,C368,'Incoming POs'!$G$2:$G$305,"&gt;="&amp;D368,'Incoming POs'!$G$2:$G$305,"&lt;"&amp;Dashboard!$I$5,'Incoming POs'!$Q$2:$Q$305,"&lt;="&amp;('Inventory inputs'!P368/'Inventory inputs'!J368*1.01)),"n.a.")</x:f>
        <x:v>0</x:v>
      </x:c>
      <x:c r="AC368" s="9" t="n">
        <x:f>I368*G368</x:f>
        <x:v>100.5</x:v>
      </x:c>
      <x:c r="AD368" s="9" t="n">
        <x:f>J368*G368</x:f>
        <x:v>100.5</x:v>
      </x:c>
      <x:c r="AE368" s="9" t="n">
        <x:f>K368*G368</x:f>
        <x:v>0</x:v>
      </x:c>
      <x:c r="AF368" s="9" t="n">
        <x:f>R368*G368</x:f>
        <x:v>189.54379244353186</x:v>
      </x:c>
    </x:row>
    <x:row r="369" ht="21" customHeight="1">
      <x:c r="A369" s="1" t="str">
        <x:f>'Inventory inputs'!A369</x:f>
        <x:v>PLAS</x:v>
      </x:c>
      <x:c r="B369" s="1" t="str">
        <x:f>'Inventory inputs'!B369</x:f>
        <x:v>10</x:v>
      </x:c>
      <x:c r="C369" s="1" t="str">
        <x:f>'Inventory inputs'!C369</x:f>
        <x:v>91619RWBRED</x:v>
      </x:c>
      <x:c r="D369" s="7" t="n">
        <x:f>'Inventory inputs'!E369</x:f>
        <x:v>46303</x:v>
      </x:c>
      <x:c r="E369" s="1" t="n">
        <x:f>'Inventory inputs'!F369</x:f>
        <x:v>700</x:v>
      </x:c>
      <x:c r="F369" s="1" t="n">
        <x:f>'Inventory inputs'!G369</x:f>
        <x:v>83.34</x:v>
      </x:c>
      <x:c r="G369" s="1" t="n">
        <x:f>'Inventory inputs'!H369/'Inventory inputs'!J369</x:f>
        <x:v>0.042800000000000005</x:v>
      </x:c>
      <x:c r="H369" s="1" t="n">
        <x:f>IF('Inventory inputs'!I369&gt;0,'Inventory inputs'!I369*'Inventory inputs'!K369/'Inventory inputs'!J369,"n.a.")</x:f>
        <x:v>0.049980000000000004</x:v>
      </x:c>
      <x:c r="I369" s="1" t="n">
        <x:f>'Inventory inputs'!L369</x:f>
        <x:v>0</x:v>
      </x:c>
      <x:c r="J369" s="1" t="n">
        <x:f>'Inventory inputs'!M369</x:f>
        <x:v>0</x:v>
      </x:c>
      <x:c r="K369" s="1" t="n">
        <x:f>'Inventory inputs'!N369</x:f>
        <x:v>700</x:v>
      </x:c>
      <x:c r="L369" s="1" t="n">
        <x:f>'Inventory inputs'!O369</x:f>
        <x:v>0</x:v>
      </x:c>
      <x:c r="M369" s="9" t="n">
        <x:f>E369*G369</x:f>
        <x:v>29.960000000000004</x:v>
      </x:c>
      <x:c r="N369" s="9" t="n">
        <x:f>'Inventory inputs'!Q369</x:f>
        <x:v>29.96</x:v>
      </x:c>
      <x:c r="O369" s="9" t="n">
        <x:f>N369-M369</x:f>
        <x:v>-3.552713678800501e-15</x:v>
      </x:c>
      <x:c r="P369" s="1" t="n">
        <x:f>SUMIFS('Incoming POs'!$P$2:$P$305,'Incoming POs'!$A$2:$A$305,A369,'Incoming POs'!$B$2:$B$305,B369,'Incoming POs'!$C$2:$C$305,C369,'Incoming POs'!$G$2:$G$305,"&gt;="&amp;D369,'Incoming POs'!$G$2:$G$305,"&lt;"&amp;Dashboard!$I$5)</x:f>
        <x:v>1000</x:v>
      </x:c>
      <x:c r="Q369" s="1" t="n">
        <x:f>F369*Dashboard!$L$5*MAX(0,Dashboard!$I$5-D369)/30.4375</x:f>
        <x:v>110.89182751540041</x:v>
      </x:c>
      <x:c r="R369" s="1" t="n">
        <x:f>MAX(0,E369+P369-Q369)</x:f>
        <x:v>1589.1081724845997</x:v>
      </x:c>
      <x:c r="S369" s="1" t="n">
        <x:f>MAX(0,Q369-E369-P369)</x:f>
        <x:v>0</x:v>
      </x:c>
      <x:c r="T369" s="1" t="str">
        <x:f>IF(L369=1,MAX(0,I369+AB369-MIN(Q369,E369+P369)),"n.a.")</x:f>
        <x:v>n.a.</x:v>
      </x:c>
      <x:c r="U369" s="9" t="str">
        <x:f>IF(ISNUMBER(T369),T369*G369,"n.a.")</x:f>
        <x:v>n.a.</x:v>
      </x:c>
      <x:c r="V369" s="25" t="n">
        <x:f>IF(Dashboard!$I$6="Flat %",1,IF(ISNUMBER(H369),1,0))</x:f>
        <x:v>1</x:v>
      </x:c>
      <x:c r="W369" s="9" t="n">
        <x:f>IF(Dashboard!$I$6="Flat %",G369*(1+Dashboard!$L$6),H369)</x:f>
        <x:v>0.049980000000000004</x:v>
      </x:c>
      <x:c r="X369" s="9" t="n">
        <x:f>IF(V369=1,R369*(W369-G369),"n.a.")</x:f>
        <x:v>11.409796678439424</x:v>
      </x:c>
      <x:c r="Y369" s="9" t="n">
        <x:f>IF(V369=1,R369*W369,"n.a.")</x:f>
        <x:v>79.4236264607803</x:v>
      </x:c>
      <x:c r="Z369" s="1" t="str">
        <x:f>IF(ISNUMBER(T369),R369-T369,"n.a.")</x:f>
        <x:v>n.a.</x:v>
      </x:c>
      <x:c r="AA369" s="1" t="str">
        <x:f>'Inventory inputs'!R369</x:f>
        <x:v>Review receipt reconciliation or original PO baseline</x:v>
      </x:c>
      <x:c r="AB369" s="1" t="str">
        <x:f>IF(L369=1,SUMIFS('Incoming POs'!$P$2:$P$305,'Incoming POs'!$A$2:$A$305,A369,'Incoming POs'!$B$2:$B$305,B369,'Incoming POs'!$C$2:$C$305,C369,'Incoming POs'!$G$2:$G$305,"&gt;="&amp;D369,'Incoming POs'!$G$2:$G$305,"&lt;"&amp;Dashboard!$I$5,'Incoming POs'!$Q$2:$Q$305,"&lt;="&amp;('Inventory inputs'!P369/'Inventory inputs'!J369*1.01)),"n.a.")</x:f>
        <x:v>n.a.</x:v>
      </x:c>
      <x:c r="AC369" s="9" t="n">
        <x:f>I369*G369</x:f>
        <x:v>0</x:v>
      </x:c>
      <x:c r="AD369" s="9" t="n">
        <x:f>J369*G369</x:f>
        <x:v>0</x:v>
      </x:c>
      <x:c r="AE369" s="9" t="n">
        <x:f>K369*G369</x:f>
        <x:v>29.960000000000004</x:v>
      </x:c>
      <x:c r="AF369" s="9" t="n">
        <x:f>R369*G369</x:f>
        <x:v>68.01382978234088</x:v>
      </x:c>
    </x:row>
    <x:row r="370" ht="21" customHeight="1">
      <x:c r="A370" s="1" t="str">
        <x:f>'Inventory inputs'!A370</x:f>
        <x:v>PLAS</x:v>
      </x:c>
      <x:c r="B370" s="1" t="str">
        <x:f>'Inventory inputs'!B370</x:f>
        <x:v>10</x:v>
      </x:c>
      <x:c r="C370" s="1" t="str">
        <x:f>'Inventory inputs'!C370</x:f>
        <x:v>01215RWBBRN</x:v>
      </x:c>
      <x:c r="D370" s="7" t="n">
        <x:f>'Inventory inputs'!E370</x:f>
        <x:v>46303</x:v>
      </x:c>
      <x:c r="E370" s="1" t="n">
        <x:f>'Inventory inputs'!F370</x:f>
        <x:v>3000</x:v>
      </x:c>
      <x:c r="F370" s="1" t="n">
        <x:f>'Inventory inputs'!G370</x:f>
        <x:v>83.33</x:v>
      </x:c>
      <x:c r="G370" s="1" t="n">
        <x:f>'Inventory inputs'!H370/'Inventory inputs'!J370</x:f>
        <x:v>0.025</x:v>
      </x:c>
      <x:c r="H370" s="1" t="n">
        <x:f>IF('Inventory inputs'!I370&gt;0,'Inventory inputs'!I370*'Inventory inputs'!K370/'Inventory inputs'!J370,"n.a.")</x:f>
        <x:v>0.029253</x:v>
      </x:c>
      <x:c r="I370" s="1" t="n">
        <x:f>'Inventory inputs'!L370</x:f>
        <x:v>1000</x:v>
      </x:c>
      <x:c r="J370" s="1" t="n">
        <x:f>'Inventory inputs'!M370</x:f>
        <x:v>2000</x:v>
      </x:c>
      <x:c r="K370" s="1" t="n">
        <x:f>'Inventory inputs'!N370</x:f>
        <x:v>0</x:v>
      </x:c>
      <x:c r="L370" s="1" t="n">
        <x:f>'Inventory inputs'!O370</x:f>
        <x:v>1</x:v>
      </x:c>
      <x:c r="M370" s="9" t="n">
        <x:f>E370*G370</x:f>
        <x:v>75</x:v>
      </x:c>
      <x:c r="N370" s="9" t="n">
        <x:f>'Inventory inputs'!Q370</x:f>
        <x:v>75</x:v>
      </x:c>
      <x:c r="O370" s="9" t="n">
        <x:f>N370-M370</x:f>
        <x:v>0</x:v>
      </x:c>
      <x:c r="P370" s="1" t="n">
        <x:f>SUMIFS('Incoming POs'!$P$2:$P$305,'Incoming POs'!$A$2:$A$305,A370,'Incoming POs'!$B$2:$B$305,B370,'Incoming POs'!$C$2:$C$305,C370,'Incoming POs'!$G$2:$G$305,"&gt;="&amp;D370,'Incoming POs'!$G$2:$G$305,"&lt;"&amp;Dashboard!$I$5)</x:f>
        <x:v>0</x:v>
      </x:c>
      <x:c r="Q370" s="1" t="n">
        <x:f>F370*Dashboard!$L$5*MAX(0,Dashboard!$I$5-D370)/30.4375</x:f>
        <x:v>110.87852156057495</x:v>
      </x:c>
      <x:c r="R370" s="1" t="n">
        <x:f>MAX(0,E370+P370-Q370)</x:f>
        <x:v>2889.121478439425</x:v>
      </x:c>
      <x:c r="S370" s="1" t="n">
        <x:f>MAX(0,Q370-E370-P370)</x:f>
        <x:v>0</x:v>
      </x:c>
      <x:c r="T370" s="1" t="n">
        <x:f>IF(L370=1,MAX(0,I370+AB370-MIN(Q370,E370+P370)),"n.a.")</x:f>
        <x:v>889.121478439425</x:v>
      </x:c>
      <x:c r="U370" s="9" t="n">
        <x:f>IF(ISNUMBER(T370),T370*G370,"n.a.")</x:f>
        <x:v>22.228036960985627</x:v>
      </x:c>
      <x:c r="V370" s="25" t="n">
        <x:f>IF(Dashboard!$I$6="Flat %",1,IF(ISNUMBER(H370),1,0))</x:f>
        <x:v>1</x:v>
      </x:c>
      <x:c r="W370" s="9" t="n">
        <x:f>IF(Dashboard!$I$6="Flat %",G370*(1+Dashboard!$L$6),H370)</x:f>
        <x:v>0.029253</x:v>
      </x:c>
      <x:c r="X370" s="9" t="n">
        <x:f>IF(V370=1,R370*(W370-G370),"n.a.")</x:f>
        <x:v>12.287433647802875</x:v>
      </x:c>
      <x:c r="Y370" s="9" t="n">
        <x:f>IF(V370=1,R370*W370,"n.a.")</x:f>
        <x:v>84.5154706087885</x:v>
      </x:c>
      <x:c r="Z370" s="1" t="n">
        <x:f>IF(ISNUMBER(T370),R370-T370,"n.a.")</x:f>
        <x:v>2000</x:v>
      </x:c>
      <x:c r="AA370" s="1" t="str">
        <x:f>'Inventory inputs'!R370</x:f>
        <x:v>Classified</x:v>
      </x:c>
      <x:c r="AB370" s="1" t="n">
        <x:f>IF(L370=1,SUMIFS('Incoming POs'!$P$2:$P$305,'Incoming POs'!$A$2:$A$305,A370,'Incoming POs'!$B$2:$B$305,B370,'Incoming POs'!$C$2:$C$305,C370,'Incoming POs'!$G$2:$G$305,"&gt;="&amp;D370,'Incoming POs'!$G$2:$G$305,"&lt;"&amp;Dashboard!$I$5,'Incoming POs'!$Q$2:$Q$305,"&lt;="&amp;('Inventory inputs'!P370/'Inventory inputs'!J370*1.01)),"n.a.")</x:f>
        <x:v>0</x:v>
      </x:c>
      <x:c r="AC370" s="9" t="n">
        <x:f>I370*G370</x:f>
        <x:v>25</x:v>
      </x:c>
      <x:c r="AD370" s="9" t="n">
        <x:f>J370*G370</x:f>
        <x:v>50</x:v>
      </x:c>
      <x:c r="AE370" s="9" t="n">
        <x:f>K370*G370</x:f>
        <x:v>0</x:v>
      </x:c>
      <x:c r="AF370" s="9" t="n">
        <x:f>R370*G370</x:f>
        <x:v>72.22803696098563</x:v>
      </x:c>
    </x:row>
    <x:row r="371" ht="21" customHeight="1">
      <x:c r="A371" s="1" t="str">
        <x:f>'Inventory inputs'!A371</x:f>
        <x:v>PLAS</x:v>
      </x:c>
      <x:c r="B371" s="1" t="str">
        <x:f>'Inventory inputs'!B371</x:f>
        <x:v>10</x:v>
      </x:c>
      <x:c r="C371" s="1" t="str">
        <x:f>'Inventory inputs'!C371</x:f>
        <x:v>03415RWBMAR</x:v>
      </x:c>
      <x:c r="D371" s="7" t="n">
        <x:f>'Inventory inputs'!E371</x:f>
        <x:v>46303</x:v>
      </x:c>
      <x:c r="E371" s="1" t="n">
        <x:f>'Inventory inputs'!F371</x:f>
        <x:v>3000</x:v>
      </x:c>
      <x:c r="F371" s="1" t="n">
        <x:f>'Inventory inputs'!G371</x:f>
        <x:v>83.33</x:v>
      </x:c>
      <x:c r="G371" s="1" t="n">
        <x:f>'Inventory inputs'!H371/'Inventory inputs'!J371</x:f>
        <x:v>0.044000000000000004</x:v>
      </x:c>
      <x:c r="H371" s="1" t="n">
        <x:f>IF('Inventory inputs'!I371&gt;0,'Inventory inputs'!I371*'Inventory inputs'!K371/'Inventory inputs'!J371,"n.a.")</x:f>
        <x:v>0.051449999999999996</x:v>
      </x:c>
      <x:c r="I371" s="1" t="n">
        <x:f>'Inventory inputs'!L371</x:f>
        <x:v>3000</x:v>
      </x:c>
      <x:c r="J371" s="1" t="n">
        <x:f>'Inventory inputs'!M371</x:f>
        <x:v>0</x:v>
      </x:c>
      <x:c r="K371" s="1" t="n">
        <x:f>'Inventory inputs'!N371</x:f>
        <x:v>0</x:v>
      </x:c>
      <x:c r="L371" s="1" t="n">
        <x:f>'Inventory inputs'!O371</x:f>
        <x:v>1</x:v>
      </x:c>
      <x:c r="M371" s="9" t="n">
        <x:f>E371*G371</x:f>
        <x:v>132</x:v>
      </x:c>
      <x:c r="N371" s="9" t="n">
        <x:f>'Inventory inputs'!Q371</x:f>
        <x:v>132.00000000000003</x:v>
      </x:c>
      <x:c r="O371" s="9" t="n">
        <x:f>N371-M371</x:f>
        <x:v>2.842170943040401e-14</x:v>
      </x:c>
      <x:c r="P371" s="1" t="n">
        <x:f>SUMIFS('Incoming POs'!$P$2:$P$305,'Incoming POs'!$A$2:$A$305,A371,'Incoming POs'!$B$2:$B$305,B371,'Incoming POs'!$C$2:$C$305,C371,'Incoming POs'!$G$2:$G$305,"&gt;="&amp;D371,'Incoming POs'!$G$2:$G$305,"&lt;"&amp;Dashboard!$I$5)</x:f>
        <x:v>0</x:v>
      </x:c>
      <x:c r="Q371" s="1" t="n">
        <x:f>F371*Dashboard!$L$5*MAX(0,Dashboard!$I$5-D371)/30.4375</x:f>
        <x:v>110.87852156057495</x:v>
      </x:c>
      <x:c r="R371" s="1" t="n">
        <x:f>MAX(0,E371+P371-Q371)</x:f>
        <x:v>2889.121478439425</x:v>
      </x:c>
      <x:c r="S371" s="1" t="n">
        <x:f>MAX(0,Q371-E371-P371)</x:f>
        <x:v>0</x:v>
      </x:c>
      <x:c r="T371" s="1" t="n">
        <x:f>IF(L371=1,MAX(0,I371+AB371-MIN(Q371,E371+P371)),"n.a.")</x:f>
        <x:v>2889.121478439425</x:v>
      </x:c>
      <x:c r="U371" s="9" t="n">
        <x:f>IF(ISNUMBER(T371),T371*G371,"n.a.")</x:f>
        <x:v>127.12134505133471</x:v>
      </x:c>
      <x:c r="V371" s="25" t="n">
        <x:f>IF(Dashboard!$I$6="Flat %",1,IF(ISNUMBER(H371),1,0))</x:f>
        <x:v>1</x:v>
      </x:c>
      <x:c r="W371" s="9" t="n">
        <x:f>IF(Dashboard!$I$6="Flat %",G371*(1+Dashboard!$L$6),H371)</x:f>
        <x:v>0.051449999999999996</x:v>
      </x:c>
      <x:c r="X371" s="9" t="n">
        <x:f>IF(V371=1,R371*(W371-G371),"n.a.")</x:f>
        <x:v>21.52395501437369</x:v>
      </x:c>
      <x:c r="Y371" s="9" t="n">
        <x:f>IF(V371=1,R371*W371,"n.a.")</x:f>
        <x:v>148.6453000657084</x:v>
      </x:c>
      <x:c r="Z371" s="1" t="n">
        <x:f>IF(ISNUMBER(T371),R371-T371,"n.a.")</x:f>
        <x:v>0</x:v>
      </x:c>
      <x:c r="AA371" s="1" t="str">
        <x:f>'Inventory inputs'!R371</x:f>
        <x:v>Classified</x:v>
      </x:c>
      <x:c r="AB371" s="1" t="n">
        <x:f>IF(L371=1,SUMIFS('Incoming POs'!$P$2:$P$305,'Incoming POs'!$A$2:$A$305,A371,'Incoming POs'!$B$2:$B$305,B371,'Incoming POs'!$C$2:$C$305,C371,'Incoming POs'!$G$2:$G$305,"&gt;="&amp;D371,'Incoming POs'!$G$2:$G$305,"&lt;"&amp;Dashboard!$I$5,'Incoming POs'!$Q$2:$Q$305,"&lt;="&amp;('Inventory inputs'!P371/'Inventory inputs'!J371*1.01)),"n.a.")</x:f>
        <x:v>0</x:v>
      </x:c>
      <x:c r="AC371" s="9" t="n">
        <x:f>I371*G371</x:f>
        <x:v>132</x:v>
      </x:c>
      <x:c r="AD371" s="9" t="n">
        <x:f>J371*G371</x:f>
        <x:v>0</x:v>
      </x:c>
      <x:c r="AE371" s="9" t="n">
        <x:f>K371*G371</x:f>
        <x:v>0</x:v>
      </x:c>
      <x:c r="AF371" s="9" t="n">
        <x:f>R371*G371</x:f>
        <x:v>127.12134505133471</x:v>
      </x:c>
    </x:row>
    <x:row r="372" ht="21" customHeight="1">
      <x:c r="A372" s="1" t="str">
        <x:f>'Inventory inputs'!A372</x:f>
        <x:v>PLAS</x:v>
      </x:c>
      <x:c r="B372" s="1" t="str">
        <x:f>'Inventory inputs'!B372</x:f>
        <x:v>10</x:v>
      </x:c>
      <x:c r="C372" s="1" t="str">
        <x:f>'Inventory inputs'!C372</x:f>
        <x:v>05815RWBRED</x:v>
      </x:c>
      <x:c r="D372" s="7" t="n">
        <x:f>'Inventory inputs'!E372</x:f>
        <x:v>46303</x:v>
      </x:c>
      <x:c r="E372" s="1" t="n">
        <x:f>'Inventory inputs'!F372</x:f>
        <x:v>5480</x:v>
      </x:c>
      <x:c r="F372" s="1" t="n">
        <x:f>'Inventory inputs'!G372</x:f>
        <x:v>83.33</x:v>
      </x:c>
      <x:c r="G372" s="1" t="n">
        <x:f>'Inventory inputs'!H372/'Inventory inputs'!J372</x:f>
        <x:v>0.030899999999999997</x:v>
      </x:c>
      <x:c r="H372" s="1" t="n">
        <x:f>IF('Inventory inputs'!I372&gt;0,'Inventory inputs'!I372*'Inventory inputs'!K372/'Inventory inputs'!J372,"n.a.")</x:f>
        <x:v>0.036162</x:v>
      </x:c>
      <x:c r="I372" s="1" t="n">
        <x:f>'Inventory inputs'!L372</x:f>
        <x:v>5480</x:v>
      </x:c>
      <x:c r="J372" s="1" t="n">
        <x:f>'Inventory inputs'!M372</x:f>
        <x:v>0</x:v>
      </x:c>
      <x:c r="K372" s="1" t="n">
        <x:f>'Inventory inputs'!N372</x:f>
        <x:v>0</x:v>
      </x:c>
      <x:c r="L372" s="1" t="n">
        <x:f>'Inventory inputs'!O372</x:f>
        <x:v>1</x:v>
      </x:c>
      <x:c r="M372" s="9" t="n">
        <x:f>E372*G372</x:f>
        <x:v>169.332</x:v>
      </x:c>
      <x:c r="N372" s="9" t="n">
        <x:f>'Inventory inputs'!Q372</x:f>
        <x:v>169.33200000000002</x:v>
      </x:c>
      <x:c r="O372" s="9" t="n">
        <x:f>N372-M372</x:f>
        <x:v>2.842170943040401e-14</x:v>
      </x:c>
      <x:c r="P372" s="1" t="n">
        <x:f>SUMIFS('Incoming POs'!$P$2:$P$305,'Incoming POs'!$A$2:$A$305,A372,'Incoming POs'!$B$2:$B$305,B372,'Incoming POs'!$C$2:$C$305,C372,'Incoming POs'!$G$2:$G$305,"&gt;="&amp;D372,'Incoming POs'!$G$2:$G$305,"&lt;"&amp;Dashboard!$I$5)</x:f>
        <x:v>0</x:v>
      </x:c>
      <x:c r="Q372" s="1" t="n">
        <x:f>F372*Dashboard!$L$5*MAX(0,Dashboard!$I$5-D372)/30.4375</x:f>
        <x:v>110.87852156057495</x:v>
      </x:c>
      <x:c r="R372" s="1" t="n">
        <x:f>MAX(0,E372+P372-Q372)</x:f>
        <x:v>5369.121478439425</x:v>
      </x:c>
      <x:c r="S372" s="1" t="n">
        <x:f>MAX(0,Q372-E372-P372)</x:f>
        <x:v>0</x:v>
      </x:c>
      <x:c r="T372" s="1" t="n">
        <x:f>IF(L372=1,MAX(0,I372+AB372-MIN(Q372,E372+P372)),"n.a.")</x:f>
        <x:v>5369.121478439425</x:v>
      </x:c>
      <x:c r="U372" s="9" t="n">
        <x:f>IF(ISNUMBER(T372),T372*G372,"n.a.")</x:f>
        <x:v>165.90585368377822</x:v>
      </x:c>
      <x:c r="V372" s="25" t="n">
        <x:f>IF(Dashboard!$I$6="Flat %",1,IF(ISNUMBER(H372),1,0))</x:f>
        <x:v>1</x:v>
      </x:c>
      <x:c r="W372" s="9" t="n">
        <x:f>IF(Dashboard!$I$6="Flat %",G372*(1+Dashboard!$L$6),H372)</x:f>
        <x:v>0.036162</x:v>
      </x:c>
      <x:c r="X372" s="9" t="n">
        <x:f>IF(V372=1,R372*(W372-G372),"n.a.")</x:f>
        <x:v>28.25231721954827</x:v>
      </x:c>
      <x:c r="Y372" s="9" t="n">
        <x:f>IF(V372=1,R372*W372,"n.a.")</x:f>
        <x:v>194.1581709033265</x:v>
      </x:c>
      <x:c r="Z372" s="1" t="n">
        <x:f>IF(ISNUMBER(T372),R372-T372,"n.a.")</x:f>
        <x:v>0</x:v>
      </x:c>
      <x:c r="AA372" s="1" t="str">
        <x:f>'Inventory inputs'!R372</x:f>
        <x:v>Classified</x:v>
      </x:c>
      <x:c r="AB372" s="1" t="n">
        <x:f>IF(L372=1,SUMIFS('Incoming POs'!$P$2:$P$305,'Incoming POs'!$A$2:$A$305,A372,'Incoming POs'!$B$2:$B$305,B372,'Incoming POs'!$C$2:$C$305,C372,'Incoming POs'!$G$2:$G$305,"&gt;="&amp;D372,'Incoming POs'!$G$2:$G$305,"&lt;"&amp;Dashboard!$I$5,'Incoming POs'!$Q$2:$Q$305,"&lt;="&amp;('Inventory inputs'!P372/'Inventory inputs'!J372*1.01)),"n.a.")</x:f>
        <x:v>0</x:v>
      </x:c>
      <x:c r="AC372" s="9" t="n">
        <x:f>I372*G372</x:f>
        <x:v>169.332</x:v>
      </x:c>
      <x:c r="AD372" s="9" t="n">
        <x:f>J372*G372</x:f>
        <x:v>0</x:v>
      </x:c>
      <x:c r="AE372" s="9" t="n">
        <x:f>K372*G372</x:f>
        <x:v>0</x:v>
      </x:c>
      <x:c r="AF372" s="9" t="n">
        <x:f>R372*G372</x:f>
        <x:v>165.90585368377822</x:v>
      </x:c>
    </x:row>
    <x:row r="373" ht="21" customHeight="1">
      <x:c r="A373" s="1" t="str">
        <x:f>'Inventory inputs'!A373</x:f>
        <x:v>PLAS</x:v>
      </x:c>
      <x:c r="B373" s="1" t="str">
        <x:f>'Inventory inputs'!B373</x:f>
        <x:v>10</x:v>
      </x:c>
      <x:c r="C373" s="1" t="str">
        <x:f>'Inventory inputs'!C373</x:f>
        <x:v>07815RWBMAR</x:v>
      </x:c>
      <x:c r="D373" s="7" t="n">
        <x:f>'Inventory inputs'!E373</x:f>
        <x:v>46303</x:v>
      </x:c>
      <x:c r="E373" s="1" t="n">
        <x:f>'Inventory inputs'!F373</x:f>
        <x:v>1500</x:v>
      </x:c>
      <x:c r="F373" s="1" t="n">
        <x:f>'Inventory inputs'!G373</x:f>
        <x:v>83.33</x:v>
      </x:c>
      <x:c r="G373" s="1" t="n">
        <x:f>'Inventory inputs'!H373/'Inventory inputs'!J373</x:f>
        <x:v>0.047599999999999996</x:v>
      </x:c>
      <x:c r="H373" s="1" t="n">
        <x:f>IF('Inventory inputs'!I373&gt;0,'Inventory inputs'!I373*'Inventory inputs'!K373/'Inventory inputs'!J373,"n.a.")</x:f>
        <x:v>0.062916</x:v>
      </x:c>
      <x:c r="I373" s="1" t="n">
        <x:f>'Inventory inputs'!L373</x:f>
        <x:v>1500</x:v>
      </x:c>
      <x:c r="J373" s="1" t="n">
        <x:f>'Inventory inputs'!M373</x:f>
        <x:v>0</x:v>
      </x:c>
      <x:c r="K373" s="1" t="n">
        <x:f>'Inventory inputs'!N373</x:f>
        <x:v>0</x:v>
      </x:c>
      <x:c r="L373" s="1" t="n">
        <x:f>'Inventory inputs'!O373</x:f>
        <x:v>1</x:v>
      </x:c>
      <x:c r="M373" s="9" t="n">
        <x:f>E373*G373</x:f>
        <x:v>71.39999999999999</x:v>
      </x:c>
      <x:c r="N373" s="9" t="n">
        <x:f>'Inventory inputs'!Q373</x:f>
        <x:v>71.4</x:v>
      </x:c>
      <x:c r="O373" s="9" t="n">
        <x:f>N373-M373</x:f>
        <x:v>1.4210854715202004e-14</x:v>
      </x:c>
      <x:c r="P373" s="1" t="n">
        <x:f>SUMIFS('Incoming POs'!$P$2:$P$305,'Incoming POs'!$A$2:$A$305,A373,'Incoming POs'!$B$2:$B$305,B373,'Incoming POs'!$C$2:$C$305,C373,'Incoming POs'!$G$2:$G$305,"&gt;="&amp;D373,'Incoming POs'!$G$2:$G$305,"&lt;"&amp;Dashboard!$I$5)</x:f>
        <x:v>0</x:v>
      </x:c>
      <x:c r="Q373" s="1" t="n">
        <x:f>F373*Dashboard!$L$5*MAX(0,Dashboard!$I$5-D373)/30.4375</x:f>
        <x:v>110.87852156057495</x:v>
      </x:c>
      <x:c r="R373" s="1" t="n">
        <x:f>MAX(0,E373+P373-Q373)</x:f>
        <x:v>1389.1214784394251</x:v>
      </x:c>
      <x:c r="S373" s="1" t="n">
        <x:f>MAX(0,Q373-E373-P373)</x:f>
        <x:v>0</x:v>
      </x:c>
      <x:c r="T373" s="1" t="n">
        <x:f>IF(L373=1,MAX(0,I373+AB373-MIN(Q373,E373+P373)),"n.a.")</x:f>
        <x:v>1389.1214784394251</x:v>
      </x:c>
      <x:c r="U373" s="9" t="n">
        <x:f>IF(ISNUMBER(T373),T373*G373,"n.a.")</x:f>
        <x:v>66.12218237371663</x:v>
      </x:c>
      <x:c r="V373" s="25" t="n">
        <x:f>IF(Dashboard!$I$6="Flat %",1,IF(ISNUMBER(H373),1,0))</x:f>
        <x:v>1</x:v>
      </x:c>
      <x:c r="W373" s="9" t="n">
        <x:f>IF(Dashboard!$I$6="Flat %",G373*(1+Dashboard!$L$6),H373)</x:f>
        <x:v>0.062916</x:v>
      </x:c>
      <x:c r="X373" s="9" t="n">
        <x:f>IF(V373=1,R373*(W373-G373),"n.a.")</x:f>
        <x:v>21.275784563778238</x:v>
      </x:c>
      <x:c r="Y373" s="9" t="n">
        <x:f>IF(V373=1,R373*W373,"n.a.")</x:f>
        <x:v>87.39796693749487</x:v>
      </x:c>
      <x:c r="Z373" s="1" t="n">
        <x:f>IF(ISNUMBER(T373),R373-T373,"n.a.")</x:f>
        <x:v>0</x:v>
      </x:c>
      <x:c r="AA373" s="1" t="str">
        <x:f>'Inventory inputs'!R373</x:f>
        <x:v>Classified</x:v>
      </x:c>
      <x:c r="AB373" s="1" t="n">
        <x:f>IF(L373=1,SUMIFS('Incoming POs'!$P$2:$P$305,'Incoming POs'!$A$2:$A$305,A373,'Incoming POs'!$B$2:$B$305,B373,'Incoming POs'!$C$2:$C$305,C373,'Incoming POs'!$G$2:$G$305,"&gt;="&amp;D373,'Incoming POs'!$G$2:$G$305,"&lt;"&amp;Dashboard!$I$5,'Incoming POs'!$Q$2:$Q$305,"&lt;="&amp;('Inventory inputs'!P373/'Inventory inputs'!J373*1.01)),"n.a.")</x:f>
        <x:v>0</x:v>
      </x:c>
      <x:c r="AC373" s="9" t="n">
        <x:f>I373*G373</x:f>
        <x:v>71.39999999999999</x:v>
      </x:c>
      <x:c r="AD373" s="9" t="n">
        <x:f>J373*G373</x:f>
        <x:v>0</x:v>
      </x:c>
      <x:c r="AE373" s="9" t="n">
        <x:f>K373*G373</x:f>
        <x:v>0</x:v>
      </x:c>
      <x:c r="AF373" s="9" t="n">
        <x:f>R373*G373</x:f>
        <x:v>66.12218237371663</x:v>
      </x:c>
    </x:row>
    <x:row r="374" ht="21" customHeight="1">
      <x:c r="A374" s="1" t="str">
        <x:f>'Inventory inputs'!A374</x:f>
        <x:v>PLAS</x:v>
      </x:c>
      <x:c r="B374" s="1" t="str">
        <x:f>'Inventory inputs'!B374</x:f>
        <x:v>10</x:v>
      </x:c>
      <x:c r="C374" s="1" t="str">
        <x:f>'Inventory inputs'!C374</x:f>
        <x:v>11215ROVBLK</x:v>
      </x:c>
      <x:c r="D374" s="7" t="n">
        <x:f>'Inventory inputs'!E374</x:f>
        <x:v>46303</x:v>
      </x:c>
      <x:c r="E374" s="1" t="n">
        <x:f>'Inventory inputs'!F374</x:f>
        <x:v>4350</x:v>
      </x:c>
      <x:c r="F374" s="1" t="n">
        <x:f>'Inventory inputs'!G374</x:f>
        <x:v>83.33</x:v>
      </x:c>
      <x:c r="G374" s="1" t="n">
        <x:f>'Inventory inputs'!H374/'Inventory inputs'!J374</x:f>
        <x:v>0.0928</x:v>
      </x:c>
      <x:c r="H374" s="1" t="n">
        <x:f>IF('Inventory inputs'!I374&gt;0,'Inventory inputs'!I374*'Inventory inputs'!K374/'Inventory inputs'!J374,"n.a.")</x:f>
        <x:v>0.108486</x:v>
      </x:c>
      <x:c r="I374" s="1" t="n">
        <x:f>'Inventory inputs'!L374</x:f>
        <x:v>4350</x:v>
      </x:c>
      <x:c r="J374" s="1" t="n">
        <x:f>'Inventory inputs'!M374</x:f>
        <x:v>0</x:v>
      </x:c>
      <x:c r="K374" s="1" t="n">
        <x:f>'Inventory inputs'!N374</x:f>
        <x:v>0</x:v>
      </x:c>
      <x:c r="L374" s="1" t="n">
        <x:f>'Inventory inputs'!O374</x:f>
        <x:v>1</x:v>
      </x:c>
      <x:c r="M374" s="9" t="n">
        <x:f>E374*G374</x:f>
        <x:v>403.67999999999995</x:v>
      </x:c>
      <x:c r="N374" s="9" t="n">
        <x:f>'Inventory inputs'!Q374</x:f>
        <x:v>403.68</x:v>
      </x:c>
      <x:c r="O374" s="9" t="n">
        <x:f>N374-M374</x:f>
        <x:v>5.684341886080802e-14</x:v>
      </x:c>
      <x:c r="P374" s="1" t="n">
        <x:f>SUMIFS('Incoming POs'!$P$2:$P$305,'Incoming POs'!$A$2:$A$305,A374,'Incoming POs'!$B$2:$B$305,B374,'Incoming POs'!$C$2:$C$305,C374,'Incoming POs'!$G$2:$G$305,"&gt;="&amp;D374,'Incoming POs'!$G$2:$G$305,"&lt;"&amp;Dashboard!$I$5)</x:f>
        <x:v>0</x:v>
      </x:c>
      <x:c r="Q374" s="1" t="n">
        <x:f>F374*Dashboard!$L$5*MAX(0,Dashboard!$I$5-D374)/30.4375</x:f>
        <x:v>110.87852156057495</x:v>
      </x:c>
      <x:c r="R374" s="1" t="n">
        <x:f>MAX(0,E374+P374-Q374)</x:f>
        <x:v>4239.121478439425</x:v>
      </x:c>
      <x:c r="S374" s="1" t="n">
        <x:f>MAX(0,Q374-E374-P374)</x:f>
        <x:v>0</x:v>
      </x:c>
      <x:c r="T374" s="1" t="n">
        <x:f>IF(L374=1,MAX(0,I374+AB374-MIN(Q374,E374+P374)),"n.a.")</x:f>
        <x:v>4239.121478439425</x:v>
      </x:c>
      <x:c r="U374" s="9" t="n">
        <x:f>IF(ISNUMBER(T374),T374*G374,"n.a.")</x:f>
        <x:v>393.39047319917864</x:v>
      </x:c>
      <x:c r="V374" s="25" t="n">
        <x:f>IF(Dashboard!$I$6="Flat %",1,IF(ISNUMBER(H374),1,0))</x:f>
        <x:v>1</x:v>
      </x:c>
      <x:c r="W374" s="9" t="n">
        <x:f>IF(Dashboard!$I$6="Flat %",G374*(1+Dashboard!$L$6),H374)</x:f>
        <x:v>0.108486</x:v>
      </x:c>
      <x:c r="X374" s="9" t="n">
        <x:f>IF(V374=1,R374*(W374-G374),"n.a.")</x:f>
        <x:v>66.49485951080085</x:v>
      </x:c>
      <x:c r="Y374" s="9" t="n">
        <x:f>IF(V374=1,R374*W374,"n.a.")</x:f>
        <x:v>459.8853327099795</x:v>
      </x:c>
      <x:c r="Z374" s="1" t="n">
        <x:f>IF(ISNUMBER(T374),R374-T374,"n.a.")</x:f>
        <x:v>0</x:v>
      </x:c>
      <x:c r="AA374" s="1" t="str">
        <x:f>'Inventory inputs'!R374</x:f>
        <x:v>Classified</x:v>
      </x:c>
      <x:c r="AB374" s="1" t="n">
        <x:f>IF(L374=1,SUMIFS('Incoming POs'!$P$2:$P$305,'Incoming POs'!$A$2:$A$305,A374,'Incoming POs'!$B$2:$B$305,B374,'Incoming POs'!$C$2:$C$305,C374,'Incoming POs'!$G$2:$G$305,"&gt;="&amp;D374,'Incoming POs'!$G$2:$G$305,"&lt;"&amp;Dashboard!$I$5,'Incoming POs'!$Q$2:$Q$305,"&lt;="&amp;('Inventory inputs'!P374/'Inventory inputs'!J374*1.01)),"n.a.")</x:f>
        <x:v>0</x:v>
      </x:c>
      <x:c r="AC374" s="9" t="n">
        <x:f>I374*G374</x:f>
        <x:v>403.67999999999995</x:v>
      </x:c>
      <x:c r="AD374" s="9" t="n">
        <x:f>J374*G374</x:f>
        <x:v>0</x:v>
      </x:c>
      <x:c r="AE374" s="9" t="n">
        <x:f>K374*G374</x:f>
        <x:v>0</x:v>
      </x:c>
      <x:c r="AF374" s="9" t="n">
        <x:f>R374*G374</x:f>
        <x:v>393.39047319917864</x:v>
      </x:c>
    </x:row>
    <x:row r="375" ht="21" customHeight="1">
      <x:c r="A375" s="1" t="str">
        <x:f>'Inventory inputs'!A375</x:f>
        <x:v>PLAS</x:v>
      </x:c>
      <x:c r="B375" s="1" t="str">
        <x:f>'Inventory inputs'!B375</x:f>
        <x:v>10</x:v>
      </x:c>
      <x:c r="C375" s="1" t="str">
        <x:f>'Inventory inputs'!C375</x:f>
        <x:v>11215ROVBRN</x:v>
      </x:c>
      <x:c r="D375" s="7" t="n">
        <x:f>'Inventory inputs'!E375</x:f>
        <x:v>46303</x:v>
      </x:c>
      <x:c r="E375" s="1" t="n">
        <x:f>'Inventory inputs'!F375</x:f>
        <x:v>1500</x:v>
      </x:c>
      <x:c r="F375" s="1" t="n">
        <x:f>'Inventory inputs'!G375</x:f>
        <x:v>83.33</x:v>
      </x:c>
      <x:c r="G375" s="1" t="n">
        <x:f>'Inventory inputs'!H375/'Inventory inputs'!J375</x:f>
        <x:v>0.0928</x:v>
      </x:c>
      <x:c r="H375" s="1" t="n">
        <x:f>IF('Inventory inputs'!I375&gt;0,'Inventory inputs'!I375*'Inventory inputs'!K375/'Inventory inputs'!J375,"n.a.")</x:f>
        <x:v>0.108486</x:v>
      </x:c>
      <x:c r="I375" s="1" t="n">
        <x:f>'Inventory inputs'!L375</x:f>
        <x:v>500</x:v>
      </x:c>
      <x:c r="J375" s="1" t="n">
        <x:f>'Inventory inputs'!M375</x:f>
        <x:v>1000</x:v>
      </x:c>
      <x:c r="K375" s="1" t="n">
        <x:f>'Inventory inputs'!N375</x:f>
        <x:v>0</x:v>
      </x:c>
      <x:c r="L375" s="1" t="n">
        <x:f>'Inventory inputs'!O375</x:f>
        <x:v>1</x:v>
      </x:c>
      <x:c r="M375" s="9" t="n">
        <x:f>E375*G375</x:f>
        <x:v>139.2</x:v>
      </x:c>
      <x:c r="N375" s="9" t="n">
        <x:f>'Inventory inputs'!Q375</x:f>
        <x:v>139.2</x:v>
      </x:c>
      <x:c r="O375" s="9" t="n">
        <x:f>N375-M375</x:f>
        <x:v>0</x:v>
      </x:c>
      <x:c r="P375" s="1" t="n">
        <x:f>SUMIFS('Incoming POs'!$P$2:$P$305,'Incoming POs'!$A$2:$A$305,A375,'Incoming POs'!$B$2:$B$305,B375,'Incoming POs'!$C$2:$C$305,C375,'Incoming POs'!$G$2:$G$305,"&gt;="&amp;D375,'Incoming POs'!$G$2:$G$305,"&lt;"&amp;Dashboard!$I$5)</x:f>
        <x:v>0</x:v>
      </x:c>
      <x:c r="Q375" s="1" t="n">
        <x:f>F375*Dashboard!$L$5*MAX(0,Dashboard!$I$5-D375)/30.4375</x:f>
        <x:v>110.87852156057495</x:v>
      </x:c>
      <x:c r="R375" s="1" t="n">
        <x:f>MAX(0,E375+P375-Q375)</x:f>
        <x:v>1389.1214784394251</x:v>
      </x:c>
      <x:c r="S375" s="1" t="n">
        <x:f>MAX(0,Q375-E375-P375)</x:f>
        <x:v>0</x:v>
      </x:c>
      <x:c r="T375" s="1" t="n">
        <x:f>IF(L375=1,MAX(0,I375+AB375-MIN(Q375,E375+P375)),"n.a.")</x:f>
        <x:v>389.12147843942506</x:v>
      </x:c>
      <x:c r="U375" s="9" t="n">
        <x:f>IF(ISNUMBER(T375),T375*G375,"n.a.")</x:f>
        <x:v>36.11047319917864</x:v>
      </x:c>
      <x:c r="V375" s="25" t="n">
        <x:f>IF(Dashboard!$I$6="Flat %",1,IF(ISNUMBER(H375),1,0))</x:f>
        <x:v>1</x:v>
      </x:c>
      <x:c r="W375" s="9" t="n">
        <x:f>IF(Dashboard!$I$6="Flat %",G375*(1+Dashboard!$L$6),H375)</x:f>
        <x:v>0.108486</x:v>
      </x:c>
      <x:c r="X375" s="9" t="n">
        <x:f>IF(V375=1,R375*(W375-G375),"n.a.")</x:f>
        <x:v>21.78975951080083</x:v>
      </x:c>
      <x:c r="Y375" s="9" t="n">
        <x:f>IF(V375=1,R375*W375,"n.a.")</x:f>
        <x:v>150.70023270997947</x:v>
      </x:c>
      <x:c r="Z375" s="1" t="n">
        <x:f>IF(ISNUMBER(T375),R375-T375,"n.a.")</x:f>
        <x:v>1000</x:v>
      </x:c>
      <x:c r="AA375" s="1" t="str">
        <x:f>'Inventory inputs'!R375</x:f>
        <x:v>Classified</x:v>
      </x:c>
      <x:c r="AB375" s="1" t="n">
        <x:f>IF(L375=1,SUMIFS('Incoming POs'!$P$2:$P$305,'Incoming POs'!$A$2:$A$305,A375,'Incoming POs'!$B$2:$B$305,B375,'Incoming POs'!$C$2:$C$305,C375,'Incoming POs'!$G$2:$G$305,"&gt;="&amp;D375,'Incoming POs'!$G$2:$G$305,"&lt;"&amp;Dashboard!$I$5,'Incoming POs'!$Q$2:$Q$305,"&lt;="&amp;('Inventory inputs'!P375/'Inventory inputs'!J375*1.01)),"n.a.")</x:f>
        <x:v>0</x:v>
      </x:c>
      <x:c r="AC375" s="9" t="n">
        <x:f>I375*G375</x:f>
        <x:v>46.4</x:v>
      </x:c>
      <x:c r="AD375" s="9" t="n">
        <x:f>J375*G375</x:f>
        <x:v>92.8</x:v>
      </x:c>
      <x:c r="AE375" s="9" t="n">
        <x:f>K375*G375</x:f>
        <x:v>0</x:v>
      </x:c>
      <x:c r="AF375" s="9" t="n">
        <x:f>R375*G375</x:f>
        <x:v>128.91047319917865</x:v>
      </x:c>
    </x:row>
    <x:row r="376" ht="21" customHeight="1">
      <x:c r="A376" s="1" t="str">
        <x:f>'Inventory inputs'!A376</x:f>
        <x:v>PLAS</x:v>
      </x:c>
      <x:c r="B376" s="1" t="str">
        <x:f>'Inventory inputs'!B376</x:f>
        <x:v>10</x:v>
      </x:c>
      <x:c r="C376" s="1" t="str">
        <x:f>'Inventory inputs'!C376</x:f>
        <x:v>11215ROVFG</x:v>
      </x:c>
      <x:c r="D376" s="7" t="n">
        <x:f>'Inventory inputs'!E376</x:f>
        <x:v>46303</x:v>
      </x:c>
      <x:c r="E376" s="1" t="n">
        <x:f>'Inventory inputs'!F376</x:f>
        <x:v>1400</x:v>
      </x:c>
      <x:c r="F376" s="1" t="n">
        <x:f>'Inventory inputs'!G376</x:f>
        <x:v>83.33</x:v>
      </x:c>
      <x:c r="G376" s="1" t="n">
        <x:f>'Inventory inputs'!H376/'Inventory inputs'!J376</x:f>
        <x:v>0.0928</x:v>
      </x:c>
      <x:c r="H376" s="1" t="n">
        <x:f>IF('Inventory inputs'!I376&gt;0,'Inventory inputs'!I376*'Inventory inputs'!K376/'Inventory inputs'!J376,"n.a.")</x:f>
        <x:v>0.108486</x:v>
      </x:c>
      <x:c r="I376" s="1" t="n">
        <x:f>'Inventory inputs'!L376</x:f>
        <x:v>0</x:v>
      </x:c>
      <x:c r="J376" s="1" t="n">
        <x:f>'Inventory inputs'!M376</x:f>
        <x:v>0</x:v>
      </x:c>
      <x:c r="K376" s="1" t="n">
        <x:f>'Inventory inputs'!N376</x:f>
        <x:v>1400</x:v>
      </x:c>
      <x:c r="L376" s="1" t="n">
        <x:f>'Inventory inputs'!O376</x:f>
        <x:v>0</x:v>
      </x:c>
      <x:c r="M376" s="9" t="n">
        <x:f>E376*G376</x:f>
        <x:v>129.92</x:v>
      </x:c>
      <x:c r="N376" s="9" t="n">
        <x:f>'Inventory inputs'!Q376</x:f>
        <x:v>129.92000000000002</x:v>
      </x:c>
      <x:c r="O376" s="9" t="n">
        <x:f>N376-M376</x:f>
        <x:v>2.842170943040401e-14</x:v>
      </x:c>
      <x:c r="P376" s="1" t="n">
        <x:f>SUMIFS('Incoming POs'!$P$2:$P$305,'Incoming POs'!$A$2:$A$305,A376,'Incoming POs'!$B$2:$B$305,B376,'Incoming POs'!$C$2:$C$305,C376,'Incoming POs'!$G$2:$G$305,"&gt;="&amp;D376,'Incoming POs'!$G$2:$G$305,"&lt;"&amp;Dashboard!$I$5)</x:f>
        <x:v>0</x:v>
      </x:c>
      <x:c r="Q376" s="1" t="n">
        <x:f>F376*Dashboard!$L$5*MAX(0,Dashboard!$I$5-D376)/30.4375</x:f>
        <x:v>110.87852156057495</x:v>
      </x:c>
      <x:c r="R376" s="1" t="n">
        <x:f>MAX(0,E376+P376-Q376)</x:f>
        <x:v>1289.1214784394251</x:v>
      </x:c>
      <x:c r="S376" s="1" t="n">
        <x:f>MAX(0,Q376-E376-P376)</x:f>
        <x:v>0</x:v>
      </x:c>
      <x:c r="T376" s="1" t="str">
        <x:f>IF(L376=1,MAX(0,I376+AB376-MIN(Q376,E376+P376)),"n.a.")</x:f>
        <x:v>n.a.</x:v>
      </x:c>
      <x:c r="U376" s="9" t="str">
        <x:f>IF(ISNUMBER(T376),T376*G376,"n.a.")</x:f>
        <x:v>n.a.</x:v>
      </x:c>
      <x:c r="V376" s="25" t="n">
        <x:f>IF(Dashboard!$I$6="Flat %",1,IF(ISNUMBER(H376),1,0))</x:f>
        <x:v>1</x:v>
      </x:c>
      <x:c r="W376" s="9" t="n">
        <x:f>IF(Dashboard!$I$6="Flat %",G376*(1+Dashboard!$L$6),H376)</x:f>
        <x:v>0.108486</x:v>
      </x:c>
      <x:c r="X376" s="9" t="n">
        <x:f>IF(V376=1,R376*(W376-G376),"n.a.")</x:f>
        <x:v>20.22115951080083</x:v>
      </x:c>
      <x:c r="Y376" s="9" t="n">
        <x:f>IF(V376=1,R376*W376,"n.a.")</x:f>
        <x:v>139.85163270997947</x:v>
      </x:c>
      <x:c r="Z376" s="1" t="str">
        <x:f>IF(ISNUMBER(T376),R376-T376,"n.a.")</x:f>
        <x:v>n.a.</x:v>
      </x:c>
      <x:c r="AA376" s="1" t="str">
        <x:f>'Inventory inputs'!R376</x:f>
        <x:v>Review receipt reconciliation or original PO baseline</x:v>
      </x:c>
      <x:c r="AB376" s="1" t="str">
        <x:f>IF(L376=1,SUMIFS('Incoming POs'!$P$2:$P$305,'Incoming POs'!$A$2:$A$305,A376,'Incoming POs'!$B$2:$B$305,B376,'Incoming POs'!$C$2:$C$305,C376,'Incoming POs'!$G$2:$G$305,"&gt;="&amp;D376,'Incoming POs'!$G$2:$G$305,"&lt;"&amp;Dashboard!$I$5,'Incoming POs'!$Q$2:$Q$305,"&lt;="&amp;('Inventory inputs'!P376/'Inventory inputs'!J376*1.01)),"n.a.")</x:f>
        <x:v>n.a.</x:v>
      </x:c>
      <x:c r="AC376" s="9" t="n">
        <x:f>I376*G376</x:f>
        <x:v>0</x:v>
      </x:c>
      <x:c r="AD376" s="9" t="n">
        <x:f>J376*G376</x:f>
        <x:v>0</x:v>
      </x:c>
      <x:c r="AE376" s="9" t="n">
        <x:f>K376*G376</x:f>
        <x:v>129.92</x:v>
      </x:c>
      <x:c r="AF376" s="9" t="n">
        <x:f>R376*G376</x:f>
        <x:v>119.63047319917864</x:v>
      </x:c>
    </x:row>
    <x:row r="377" ht="21" customHeight="1">
      <x:c r="A377" s="1" t="str">
        <x:f>'Inventory inputs'!A377</x:f>
        <x:v>PLAS</x:v>
      </x:c>
      <x:c r="B377" s="1" t="str">
        <x:f>'Inventory inputs'!B377</x:f>
        <x:v>10</x:v>
      </x:c>
      <x:c r="C377" s="1" t="str">
        <x:f>'Inventory inputs'!C377</x:f>
        <x:v>11415ROVBLU</x:v>
      </x:c>
      <x:c r="D377" s="7" t="n">
        <x:f>'Inventory inputs'!E377</x:f>
        <x:v>46303</x:v>
      </x:c>
      <x:c r="E377" s="1" t="n">
        <x:f>'Inventory inputs'!F377</x:f>
        <x:v>1470</x:v>
      </x:c>
      <x:c r="F377" s="1" t="n">
        <x:f>'Inventory inputs'!G377</x:f>
        <x:v>83.33</x:v>
      </x:c>
      <x:c r="G377" s="1" t="n">
        <x:f>'Inventory inputs'!H377/'Inventory inputs'!J377</x:f>
        <x:v>0.0883</x:v>
      </x:c>
      <x:c r="H377" s="1" t="n">
        <x:f>IF('Inventory inputs'!I377&gt;0,'Inventory inputs'!I377*'Inventory inputs'!K377/'Inventory inputs'!J377,"n.a.")</x:f>
        <x:v>0.10334099999999999</x:v>
      </x:c>
      <x:c r="I377" s="1" t="n">
        <x:f>'Inventory inputs'!L377</x:f>
        <x:v>0</x:v>
      </x:c>
      <x:c r="J377" s="1" t="n">
        <x:f>'Inventory inputs'!M377</x:f>
        <x:v>0</x:v>
      </x:c>
      <x:c r="K377" s="1" t="n">
        <x:f>'Inventory inputs'!N377</x:f>
        <x:v>1470</x:v>
      </x:c>
      <x:c r="L377" s="1" t="n">
        <x:f>'Inventory inputs'!O377</x:f>
        <x:v>0</x:v>
      </x:c>
      <x:c r="M377" s="9" t="n">
        <x:f>E377*G377</x:f>
        <x:v>129.80100000000002</x:v>
      </x:c>
      <x:c r="N377" s="9" t="n">
        <x:f>'Inventory inputs'!Q377</x:f>
        <x:v>129.80100000000002</x:v>
      </x:c>
      <x:c r="O377" s="9" t="n">
        <x:f>N377-M377</x:f>
        <x:v>0</x:v>
      </x:c>
      <x:c r="P377" s="1" t="n">
        <x:f>SUMIFS('Incoming POs'!$P$2:$P$305,'Incoming POs'!$A$2:$A$305,A377,'Incoming POs'!$B$2:$B$305,B377,'Incoming POs'!$C$2:$C$305,C377,'Incoming POs'!$G$2:$G$305,"&gt;="&amp;D377,'Incoming POs'!$G$2:$G$305,"&lt;"&amp;Dashboard!$I$5)</x:f>
        <x:v>0</x:v>
      </x:c>
      <x:c r="Q377" s="1" t="n">
        <x:f>F377*Dashboard!$L$5*MAX(0,Dashboard!$I$5-D377)/30.4375</x:f>
        <x:v>110.87852156057495</x:v>
      </x:c>
      <x:c r="R377" s="1" t="n">
        <x:f>MAX(0,E377+P377-Q377)</x:f>
        <x:v>1359.1214784394251</x:v>
      </x:c>
      <x:c r="S377" s="1" t="n">
        <x:f>MAX(0,Q377-E377-P377)</x:f>
        <x:v>0</x:v>
      </x:c>
      <x:c r="T377" s="1" t="str">
        <x:f>IF(L377=1,MAX(0,I377+AB377-MIN(Q377,E377+P377)),"n.a.")</x:f>
        <x:v>n.a.</x:v>
      </x:c>
      <x:c r="U377" s="9" t="str">
        <x:f>IF(ISNUMBER(T377),T377*G377,"n.a.")</x:f>
        <x:v>n.a.</x:v>
      </x:c>
      <x:c r="V377" s="25" t="n">
        <x:f>IF(Dashboard!$I$6="Flat %",1,IF(ISNUMBER(H377),1,0))</x:f>
        <x:v>1</x:v>
      </x:c>
      <x:c r="W377" s="9" t="n">
        <x:f>IF(Dashboard!$I$6="Flat %",G377*(1+Dashboard!$L$6),H377)</x:f>
        <x:v>0.10334099999999999</x:v>
      </x:c>
      <x:c r="X377" s="9" t="n">
        <x:f>IF(V377=1,R377*(W377-G377),"n.a.")</x:f>
        <x:v>20.442546157207374</x:v>
      </x:c>
      <x:c r="Y377" s="9" t="n">
        <x:f>IF(V377=1,R377*W377,"n.a.")</x:f>
        <x:v>140.45297270340862</x:v>
      </x:c>
      <x:c r="Z377" s="1" t="str">
        <x:f>IF(ISNUMBER(T377),R377-T377,"n.a.")</x:f>
        <x:v>n.a.</x:v>
      </x:c>
      <x:c r="AA377" s="1" t="str">
        <x:f>'Inventory inputs'!R377</x:f>
        <x:v>Review receipt reconciliation or original PO baseline</x:v>
      </x:c>
      <x:c r="AB377" s="1" t="str">
        <x:f>IF(L377=1,SUMIFS('Incoming POs'!$P$2:$P$305,'Incoming POs'!$A$2:$A$305,A377,'Incoming POs'!$B$2:$B$305,B377,'Incoming POs'!$C$2:$C$305,C377,'Incoming POs'!$G$2:$G$305,"&gt;="&amp;D377,'Incoming POs'!$G$2:$G$305,"&lt;"&amp;Dashboard!$I$5,'Incoming POs'!$Q$2:$Q$305,"&lt;="&amp;('Inventory inputs'!P377/'Inventory inputs'!J377*1.01)),"n.a.")</x:f>
        <x:v>n.a.</x:v>
      </x:c>
      <x:c r="AC377" s="9" t="n">
        <x:f>I377*G377</x:f>
        <x:v>0</x:v>
      </x:c>
      <x:c r="AD377" s="9" t="n">
        <x:f>J377*G377</x:f>
        <x:v>0</x:v>
      </x:c>
      <x:c r="AE377" s="9" t="n">
        <x:f>K377*G377</x:f>
        <x:v>129.80100000000002</x:v>
      </x:c>
      <x:c r="AF377" s="9" t="n">
        <x:f>R377*G377</x:f>
        <x:v>120.01042654620124</x:v>
      </x:c>
    </x:row>
    <x:row r="378" ht="21" customHeight="1">
      <x:c r="A378" s="1" t="str">
        <x:f>'Inventory inputs'!A378</x:f>
        <x:v>PLAS</x:v>
      </x:c>
      <x:c r="B378" s="1" t="str">
        <x:f>'Inventory inputs'!B378</x:f>
        <x:v>10</x:v>
      </x:c>
      <x:c r="C378" s="1" t="str">
        <x:f>'Inventory inputs'!C378</x:f>
        <x:v>11415ROVFG</x:v>
      </x:c>
      <x:c r="D378" s="7" t="n">
        <x:f>'Inventory inputs'!E378</x:f>
        <x:v>46303</x:v>
      </x:c>
      <x:c r="E378" s="1" t="n">
        <x:f>'Inventory inputs'!F378</x:f>
        <x:v>2300</x:v>
      </x:c>
      <x:c r="F378" s="1" t="n">
        <x:f>'Inventory inputs'!G378</x:f>
        <x:v>83.33</x:v>
      </x:c>
      <x:c r="G378" s="1" t="n">
        <x:f>'Inventory inputs'!H378/'Inventory inputs'!J378</x:f>
        <x:v>0.0883</x:v>
      </x:c>
      <x:c r="H378" s="1" t="n">
        <x:f>IF('Inventory inputs'!I378&gt;0,'Inventory inputs'!I378*'Inventory inputs'!K378/'Inventory inputs'!J378,"n.a.")</x:f>
        <x:v>0.10334099999999999</x:v>
      </x:c>
      <x:c r="I378" s="1" t="n">
        <x:f>'Inventory inputs'!L378</x:f>
        <x:v>2300</x:v>
      </x:c>
      <x:c r="J378" s="1" t="n">
        <x:f>'Inventory inputs'!M378</x:f>
        <x:v>0</x:v>
      </x:c>
      <x:c r="K378" s="1" t="n">
        <x:f>'Inventory inputs'!N378</x:f>
        <x:v>0</x:v>
      </x:c>
      <x:c r="L378" s="1" t="n">
        <x:f>'Inventory inputs'!O378</x:f>
        <x:v>1</x:v>
      </x:c>
      <x:c r="M378" s="9" t="n">
        <x:f>E378*G378</x:f>
        <x:v>203.09</x:v>
      </x:c>
      <x:c r="N378" s="9" t="n">
        <x:f>'Inventory inputs'!Q378</x:f>
        <x:v>203.09</x:v>
      </x:c>
      <x:c r="O378" s="9" t="n">
        <x:f>N378-M378</x:f>
        <x:v>0</x:v>
      </x:c>
      <x:c r="P378" s="1" t="n">
        <x:f>SUMIFS('Incoming POs'!$P$2:$P$305,'Incoming POs'!$A$2:$A$305,A378,'Incoming POs'!$B$2:$B$305,B378,'Incoming POs'!$C$2:$C$305,C378,'Incoming POs'!$G$2:$G$305,"&gt;="&amp;D378,'Incoming POs'!$G$2:$G$305,"&lt;"&amp;Dashboard!$I$5)</x:f>
        <x:v>0</x:v>
      </x:c>
      <x:c r="Q378" s="1" t="n">
        <x:f>F378*Dashboard!$L$5*MAX(0,Dashboard!$I$5-D378)/30.4375</x:f>
        <x:v>110.87852156057495</x:v>
      </x:c>
      <x:c r="R378" s="1" t="n">
        <x:f>MAX(0,E378+P378-Q378)</x:f>
        <x:v>2189.121478439425</x:v>
      </x:c>
      <x:c r="S378" s="1" t="n">
        <x:f>MAX(0,Q378-E378-P378)</x:f>
        <x:v>0</x:v>
      </x:c>
      <x:c r="T378" s="1" t="n">
        <x:f>IF(L378=1,MAX(0,I378+AB378-MIN(Q378,E378+P378)),"n.a.")</x:f>
        <x:v>2189.121478439425</x:v>
      </x:c>
      <x:c r="U378" s="9" t="n">
        <x:f>IF(ISNUMBER(T378),T378*G378,"n.a.")</x:f>
        <x:v>193.29942654620123</x:v>
      </x:c>
      <x:c r="V378" s="25" t="n">
        <x:f>IF(Dashboard!$I$6="Flat %",1,IF(ISNUMBER(H378),1,0))</x:f>
        <x:v>1</x:v>
      </x:c>
      <x:c r="W378" s="9" t="n">
        <x:f>IF(Dashboard!$I$6="Flat %",G378*(1+Dashboard!$L$6),H378)</x:f>
        <x:v>0.10334099999999999</x:v>
      </x:c>
      <x:c r="X378" s="9" t="n">
        <x:f>IF(V378=1,R378*(W378-G378),"n.a.")</x:f>
        <x:v>32.92657615720736</x:v>
      </x:c>
      <x:c r="Y378" s="9" t="n">
        <x:f>IF(V378=1,R378*W378,"n.a.")</x:f>
        <x:v>226.2260027034086</x:v>
      </x:c>
      <x:c r="Z378" s="1" t="n">
        <x:f>IF(ISNUMBER(T378),R378-T378,"n.a.")</x:f>
        <x:v>0</x:v>
      </x:c>
      <x:c r="AA378" s="1" t="str">
        <x:f>'Inventory inputs'!R378</x:f>
        <x:v>Classified</x:v>
      </x:c>
      <x:c r="AB378" s="1" t="n">
        <x:f>IF(L378=1,SUMIFS('Incoming POs'!$P$2:$P$305,'Incoming POs'!$A$2:$A$305,A378,'Incoming POs'!$B$2:$B$305,B378,'Incoming POs'!$C$2:$C$305,C378,'Incoming POs'!$G$2:$G$305,"&gt;="&amp;D378,'Incoming POs'!$G$2:$G$305,"&lt;"&amp;Dashboard!$I$5,'Incoming POs'!$Q$2:$Q$305,"&lt;="&amp;('Inventory inputs'!P378/'Inventory inputs'!J378*1.01)),"n.a.")</x:f>
        <x:v>0</x:v>
      </x:c>
      <x:c r="AC378" s="9" t="n">
        <x:f>I378*G378</x:f>
        <x:v>203.09</x:v>
      </x:c>
      <x:c r="AD378" s="9" t="n">
        <x:f>J378*G378</x:f>
        <x:v>0</x:v>
      </x:c>
      <x:c r="AE378" s="9" t="n">
        <x:f>K378*G378</x:f>
        <x:v>0</x:v>
      </x:c>
      <x:c r="AF378" s="9" t="n">
        <x:f>R378*G378</x:f>
        <x:v>193.29942654620123</x:v>
      </x:c>
    </x:row>
    <x:row r="379" ht="21" customHeight="1">
      <x:c r="A379" s="1" t="str">
        <x:f>'Inventory inputs'!A379</x:f>
        <x:v>PLAS</x:v>
      </x:c>
      <x:c r="B379" s="1" t="str">
        <x:f>'Inventory inputs'!B379</x:f>
        <x:v>10</x:v>
      </x:c>
      <x:c r="C379" s="1" t="str">
        <x:f>'Inventory inputs'!C379</x:f>
        <x:v>11419RSLFG</x:v>
      </x:c>
      <x:c r="D379" s="7" t="n">
        <x:f>'Inventory inputs'!E379</x:f>
        <x:v>46303</x:v>
      </x:c>
      <x:c r="E379" s="1" t="n">
        <x:f>'Inventory inputs'!F379</x:f>
        <x:v>0</x:v>
      </x:c>
      <x:c r="F379" s="1" t="n">
        <x:f>'Inventory inputs'!G379</x:f>
        <x:v>83.33</x:v>
      </x:c>
      <x:c r="G379" s="1" t="n">
        <x:f>'Inventory inputs'!H379/'Inventory inputs'!J379</x:f>
        <x:v>0.111</x:v>
      </x:c>
      <x:c r="H379" s="1" t="n">
        <x:f>IF('Inventory inputs'!I379&gt;0,'Inventory inputs'!I379*'Inventory inputs'!K379/'Inventory inputs'!J379,"n.a.")</x:f>
        <x:v>0.129801</x:v>
      </x:c>
      <x:c r="I379" s="1" t="n">
        <x:f>'Inventory inputs'!L379</x:f>
        <x:v>0</x:v>
      </x:c>
      <x:c r="J379" s="1" t="n">
        <x:f>'Inventory inputs'!M379</x:f>
        <x:v>0</x:v>
      </x:c>
      <x:c r="K379" s="1" t="n">
        <x:f>'Inventory inputs'!N379</x:f>
        <x:v>0</x:v>
      </x:c>
      <x:c r="L379" s="1" t="n">
        <x:f>'Inventory inputs'!O379</x:f>
        <x:v>1</x:v>
      </x:c>
      <x:c r="M379" s="9" t="n">
        <x:f>E379*G379</x:f>
        <x:v>0</x:v>
      </x:c>
      <x:c r="N379" s="9" t="n">
        <x:f>'Inventory inputs'!Q379</x:f>
        <x:v>0</x:v>
      </x:c>
      <x:c r="O379" s="9" t="n">
        <x:f>N379-M379</x:f>
        <x:v>0</x:v>
      </x:c>
      <x:c r="P379" s="1" t="n">
        <x:f>SUMIFS('Incoming POs'!$P$2:$P$305,'Incoming POs'!$A$2:$A$305,A379,'Incoming POs'!$B$2:$B$305,B379,'Incoming POs'!$C$2:$C$305,C379,'Incoming POs'!$G$2:$G$305,"&gt;="&amp;D379,'Incoming POs'!$G$2:$G$305,"&lt;"&amp;Dashboard!$I$5)</x:f>
        <x:v>2000</x:v>
      </x:c>
      <x:c r="Q379" s="1" t="n">
        <x:f>F379*Dashboard!$L$5*MAX(0,Dashboard!$I$5-D379)/30.4375</x:f>
        <x:v>110.87852156057495</x:v>
      </x:c>
      <x:c r="R379" s="1" t="n">
        <x:f>MAX(0,E379+P379-Q379)</x:f>
        <x:v>1889.1214784394251</x:v>
      </x:c>
      <x:c r="S379" s="1" t="n">
        <x:f>MAX(0,Q379-E379-P379)</x:f>
        <x:v>0</x:v>
      </x:c>
      <x:c r="T379" s="1" t="n">
        <x:f>IF(L379=1,MAX(0,I379+AB379-MIN(Q379,E379+P379)),"n.a.")</x:f>
        <x:v>0</x:v>
      </x:c>
      <x:c r="U379" s="9" t="n">
        <x:f>IF(ISNUMBER(T379),T379*G379,"n.a.")</x:f>
        <x:v>0</x:v>
      </x:c>
      <x:c r="V379" s="25" t="n">
        <x:f>IF(Dashboard!$I$6="Flat %",1,IF(ISNUMBER(H379),1,0))</x:f>
        <x:v>1</x:v>
      </x:c>
      <x:c r="W379" s="9" t="n">
        <x:f>IF(Dashboard!$I$6="Flat %",G379*(1+Dashboard!$L$6),H379)</x:f>
        <x:v>0.129801</x:v>
      </x:c>
      <x:c r="X379" s="9" t="n">
        <x:f>IF(V379=1,R379*(W379-G379),"n.a.")</x:f>
        <x:v>35.51737291613963</x:v>
      </x:c>
      <x:c r="Y379" s="9" t="n">
        <x:f>IF(V379=1,R379*W379,"n.a.")</x:f>
        <x:v>245.20985702291583</x:v>
      </x:c>
      <x:c r="Z379" s="1" t="n">
        <x:f>IF(ISNUMBER(T379),R379-T379,"n.a.")</x:f>
        <x:v>1889.1214784394251</x:v>
      </x:c>
      <x:c r="AA379" s="1" t="str">
        <x:f>'Inventory inputs'!R379</x:f>
        <x:v>Classified</x:v>
      </x:c>
      <x:c r="AB379" s="1" t="n">
        <x:f>IF(L379=1,SUMIFS('Incoming POs'!$P$2:$P$305,'Incoming POs'!$A$2:$A$305,A379,'Incoming POs'!$B$2:$B$305,B379,'Incoming POs'!$C$2:$C$305,C379,'Incoming POs'!$G$2:$G$305,"&gt;="&amp;D379,'Incoming POs'!$G$2:$G$305,"&lt;"&amp;Dashboard!$I$5,'Incoming POs'!$Q$2:$Q$305,"&lt;="&amp;('Inventory inputs'!P379/'Inventory inputs'!J379*1.01)),"n.a.")</x:f>
        <x:v>0</x:v>
      </x:c>
      <x:c r="AC379" s="9" t="n">
        <x:f>I379*G379</x:f>
        <x:v>0</x:v>
      </x:c>
      <x:c r="AD379" s="9" t="n">
        <x:f>J379*G379</x:f>
        <x:v>0</x:v>
      </x:c>
      <x:c r="AE379" s="9" t="n">
        <x:f>K379*G379</x:f>
        <x:v>0</x:v>
      </x:c>
      <x:c r="AF379" s="9" t="n">
        <x:f>R379*G379</x:f>
        <x:v>209.6924841067762</x:v>
      </x:c>
    </x:row>
    <x:row r="380" ht="21" customHeight="1">
      <x:c r="A380" s="1" t="str">
        <x:f>'Inventory inputs'!A380</x:f>
        <x:v>PLAS</x:v>
      </x:c>
      <x:c r="B380" s="1" t="str">
        <x:f>'Inventory inputs'!B380</x:f>
        <x:v>10</x:v>
      </x:c>
      <x:c r="C380" s="1" t="str">
        <x:f>'Inventory inputs'!C380</x:f>
        <x:v>11815ROVFG</x:v>
      </x:c>
      <x:c r="D380" s="7" t="n">
        <x:f>'Inventory inputs'!E380</x:f>
        <x:v>46303</x:v>
      </x:c>
      <x:c r="E380" s="1" t="n">
        <x:f>'Inventory inputs'!F380</x:f>
        <x:v>2000</x:v>
      </x:c>
      <x:c r="F380" s="1" t="n">
        <x:f>'Inventory inputs'!G380</x:f>
        <x:v>83.33</x:v>
      </x:c>
      <x:c r="G380" s="1" t="n">
        <x:f>'Inventory inputs'!H380/'Inventory inputs'!J380</x:f>
        <x:v>0.08410000000000001</x:v>
      </x:c>
      <x:c r="H380" s="1" t="n">
        <x:f>IF('Inventory inputs'!I380&gt;0,'Inventory inputs'!I380*'Inventory inputs'!K380/'Inventory inputs'!J380,"n.a.")</x:f>
        <x:v>0.09834300000000001</x:v>
      </x:c>
      <x:c r="I380" s="1" t="n">
        <x:f>'Inventory inputs'!L380</x:f>
        <x:v>2000</x:v>
      </x:c>
      <x:c r="J380" s="1" t="n">
        <x:f>'Inventory inputs'!M380</x:f>
        <x:v>0</x:v>
      </x:c>
      <x:c r="K380" s="1" t="n">
        <x:f>'Inventory inputs'!N380</x:f>
        <x:v>0</x:v>
      </x:c>
      <x:c r="L380" s="1" t="n">
        <x:f>'Inventory inputs'!O380</x:f>
        <x:v>1</x:v>
      </x:c>
      <x:c r="M380" s="9" t="n">
        <x:f>E380*G380</x:f>
        <x:v>168.20000000000002</x:v>
      </x:c>
      <x:c r="N380" s="9" t="n">
        <x:f>'Inventory inputs'!Q380</x:f>
        <x:v>168.20000000000002</x:v>
      </x:c>
      <x:c r="O380" s="9" t="n">
        <x:f>N380-M380</x:f>
        <x:v>0</x:v>
      </x:c>
      <x:c r="P380" s="1" t="n">
        <x:f>SUMIFS('Incoming POs'!$P$2:$P$305,'Incoming POs'!$A$2:$A$305,A380,'Incoming POs'!$B$2:$B$305,B380,'Incoming POs'!$C$2:$C$305,C380,'Incoming POs'!$G$2:$G$305,"&gt;="&amp;D380,'Incoming POs'!$G$2:$G$305,"&lt;"&amp;Dashboard!$I$5)</x:f>
        <x:v>0</x:v>
      </x:c>
      <x:c r="Q380" s="1" t="n">
        <x:f>F380*Dashboard!$L$5*MAX(0,Dashboard!$I$5-D380)/30.4375</x:f>
        <x:v>110.87852156057495</x:v>
      </x:c>
      <x:c r="R380" s="1" t="n">
        <x:f>MAX(0,E380+P380-Q380)</x:f>
        <x:v>1889.1214784394251</x:v>
      </x:c>
      <x:c r="S380" s="1" t="n">
        <x:f>MAX(0,Q380-E380-P380)</x:f>
        <x:v>0</x:v>
      </x:c>
      <x:c r="T380" s="1" t="n">
        <x:f>IF(L380=1,MAX(0,I380+AB380-MIN(Q380,E380+P380)),"n.a.")</x:f>
        <x:v>1889.1214784394251</x:v>
      </x:c>
      <x:c r="U380" s="9" t="n">
        <x:f>IF(ISNUMBER(T380),T380*G380,"n.a.")</x:f>
        <x:v>158.87511633675567</x:v>
      </x:c>
      <x:c r="V380" s="25" t="n">
        <x:f>IF(Dashboard!$I$6="Flat %",1,IF(ISNUMBER(H380),1,0))</x:f>
        <x:v>1</x:v>
      </x:c>
      <x:c r="W380" s="9" t="n">
        <x:f>IF(Dashboard!$I$6="Flat %",G380*(1+Dashboard!$L$6),H380)</x:f>
        <x:v>0.09834300000000001</x:v>
      </x:c>
      <x:c r="X380" s="9" t="n">
        <x:f>IF(V380=1,R380*(W380-G380),"n.a.")</x:f>
        <x:v>26.906757217412743</x:v>
      </x:c>
      <x:c r="Y380" s="9" t="n">
        <x:f>IF(V380=1,R380*W380,"n.a.")</x:f>
        <x:v>185.7818735541684</x:v>
      </x:c>
      <x:c r="Z380" s="1" t="n">
        <x:f>IF(ISNUMBER(T380),R380-T380,"n.a.")</x:f>
        <x:v>0</x:v>
      </x:c>
      <x:c r="AA380" s="1" t="str">
        <x:f>'Inventory inputs'!R380</x:f>
        <x:v>Classified</x:v>
      </x:c>
      <x:c r="AB380" s="1" t="n">
        <x:f>IF(L380=1,SUMIFS('Incoming POs'!$P$2:$P$305,'Incoming POs'!$A$2:$A$305,A380,'Incoming POs'!$B$2:$B$305,B380,'Incoming POs'!$C$2:$C$305,C380,'Incoming POs'!$G$2:$G$305,"&gt;="&amp;D380,'Incoming POs'!$G$2:$G$305,"&lt;"&amp;Dashboard!$I$5,'Incoming POs'!$Q$2:$Q$305,"&lt;="&amp;('Inventory inputs'!P380/'Inventory inputs'!J380*1.01)),"n.a.")</x:f>
        <x:v>0</x:v>
      </x:c>
      <x:c r="AC380" s="9" t="n">
        <x:f>I380*G380</x:f>
        <x:v>168.20000000000002</x:v>
      </x:c>
      <x:c r="AD380" s="9" t="n">
        <x:f>J380*G380</x:f>
        <x:v>0</x:v>
      </x:c>
      <x:c r="AE380" s="9" t="n">
        <x:f>K380*G380</x:f>
        <x:v>0</x:v>
      </x:c>
      <x:c r="AF380" s="9" t="n">
        <x:f>R380*G380</x:f>
        <x:v>158.87511633675567</x:v>
      </x:c>
    </x:row>
    <x:row r="381" ht="21" customHeight="1">
      <x:c r="A381" s="1" t="str">
        <x:f>'Inventory inputs'!A381</x:f>
        <x:v>PLAS</x:v>
      </x:c>
      <x:c r="B381" s="1" t="str">
        <x:f>'Inventory inputs'!B381</x:f>
        <x:v>10</x:v>
      </x:c>
      <x:c r="C381" s="1" t="str">
        <x:f>'Inventory inputs'!C381</x:f>
        <x:v>11815RWBBLU</x:v>
      </x:c>
      <x:c r="D381" s="7" t="n">
        <x:f>'Inventory inputs'!E381</x:f>
        <x:v>46303</x:v>
      </x:c>
      <x:c r="E381" s="1" t="n">
        <x:f>'Inventory inputs'!F381</x:f>
        <x:v>2000</x:v>
      </x:c>
      <x:c r="F381" s="1" t="n">
        <x:f>'Inventory inputs'!G381</x:f>
        <x:v>83.33</x:v>
      </x:c>
      <x:c r="G381" s="1" t="n">
        <x:f>'Inventory inputs'!H381/'Inventory inputs'!J381</x:f>
        <x:v>0.0882</x:v>
      </x:c>
      <x:c r="H381" s="1" t="n">
        <x:f>IF('Inventory inputs'!I381&gt;0,'Inventory inputs'!I381*'Inventory inputs'!K381/'Inventory inputs'!J381,"n.a.")</x:f>
        <x:v>0.103194</x:v>
      </x:c>
      <x:c r="I381" s="1" t="n">
        <x:f>'Inventory inputs'!L381</x:f>
        <x:v>0</x:v>
      </x:c>
      <x:c r="J381" s="1" t="n">
        <x:f>'Inventory inputs'!M381</x:f>
        <x:v>2000</x:v>
      </x:c>
      <x:c r="K381" s="1" t="n">
        <x:f>'Inventory inputs'!N381</x:f>
        <x:v>0</x:v>
      </x:c>
      <x:c r="L381" s="1" t="n">
        <x:f>'Inventory inputs'!O381</x:f>
        <x:v>1</x:v>
      </x:c>
      <x:c r="M381" s="9" t="n">
        <x:f>E381*G381</x:f>
        <x:v>176.4</x:v>
      </x:c>
      <x:c r="N381" s="9" t="n">
        <x:f>'Inventory inputs'!Q381</x:f>
        <x:v>176.4</x:v>
      </x:c>
      <x:c r="O381" s="9" t="n">
        <x:f>N381-M381</x:f>
        <x:v>0</x:v>
      </x:c>
      <x:c r="P381" s="1" t="n">
        <x:f>SUMIFS('Incoming POs'!$P$2:$P$305,'Incoming POs'!$A$2:$A$305,A381,'Incoming POs'!$B$2:$B$305,B381,'Incoming POs'!$C$2:$C$305,C381,'Incoming POs'!$G$2:$G$305,"&gt;="&amp;D381,'Incoming POs'!$G$2:$G$305,"&lt;"&amp;Dashboard!$I$5)</x:f>
        <x:v>0</x:v>
      </x:c>
      <x:c r="Q381" s="1" t="n">
        <x:f>F381*Dashboard!$L$5*MAX(0,Dashboard!$I$5-D381)/30.4375</x:f>
        <x:v>110.87852156057495</x:v>
      </x:c>
      <x:c r="R381" s="1" t="n">
        <x:f>MAX(0,E381+P381-Q381)</x:f>
        <x:v>1889.1214784394251</x:v>
      </x:c>
      <x:c r="S381" s="1" t="n">
        <x:f>MAX(0,Q381-E381-P381)</x:f>
        <x:v>0</x:v>
      </x:c>
      <x:c r="T381" s="1" t="n">
        <x:f>IF(L381=1,MAX(0,I381+AB381-MIN(Q381,E381+P381)),"n.a.")</x:f>
        <x:v>0</x:v>
      </x:c>
      <x:c r="U381" s="9" t="n">
        <x:f>IF(ISNUMBER(T381),T381*G381,"n.a.")</x:f>
        <x:v>0</x:v>
      </x:c>
      <x:c r="V381" s="25" t="n">
        <x:f>IF(Dashboard!$I$6="Flat %",1,IF(ISNUMBER(H381),1,0))</x:f>
        <x:v>1</x:v>
      </x:c>
      <x:c r="W381" s="9" t="n">
        <x:f>IF(Dashboard!$I$6="Flat %",G381*(1+Dashboard!$L$6),H381)</x:f>
        <x:v>0.103194</x:v>
      </x:c>
      <x:c r="X381" s="9" t="n">
        <x:f>IF(V381=1,R381*(W381-G381),"n.a.")</x:f>
        <x:v>28.32548744772073</x:v>
      </x:c>
      <x:c r="Y381" s="9" t="n">
        <x:f>IF(V381=1,R381*W381,"n.a.")</x:f>
        <x:v>194.94600184607802</x:v>
      </x:c>
      <x:c r="Z381" s="1" t="n">
        <x:f>IF(ISNUMBER(T381),R381-T381,"n.a.")</x:f>
        <x:v>1889.1214784394251</x:v>
      </x:c>
      <x:c r="AA381" s="1" t="str">
        <x:f>'Inventory inputs'!R381</x:f>
        <x:v>Classified</x:v>
      </x:c>
      <x:c r="AB381" s="1" t="n">
        <x:f>IF(L381=1,SUMIFS('Incoming POs'!$P$2:$P$305,'Incoming POs'!$A$2:$A$305,A381,'Incoming POs'!$B$2:$B$305,B381,'Incoming POs'!$C$2:$C$305,C381,'Incoming POs'!$G$2:$G$305,"&gt;="&amp;D381,'Incoming POs'!$G$2:$G$305,"&lt;"&amp;Dashboard!$I$5,'Incoming POs'!$Q$2:$Q$305,"&lt;="&amp;('Inventory inputs'!P381/'Inventory inputs'!J381*1.01)),"n.a.")</x:f>
        <x:v>0</x:v>
      </x:c>
      <x:c r="AC381" s="9" t="n">
        <x:f>I381*G381</x:f>
        <x:v>0</x:v>
      </x:c>
      <x:c r="AD381" s="9" t="n">
        <x:f>J381*G381</x:f>
        <x:v>176.4</x:v>
      </x:c>
      <x:c r="AE381" s="9" t="n">
        <x:f>K381*G381</x:f>
        <x:v>0</x:v>
      </x:c>
      <x:c r="AF381" s="9" t="n">
        <x:f>R381*G381</x:f>
        <x:v>166.6205143983573</x:v>
      </x:c>
    </x:row>
    <x:row r="382" ht="21" customHeight="1">
      <x:c r="A382" s="1" t="str">
        <x:f>'Inventory inputs'!A382</x:f>
        <x:v>PLAS</x:v>
      </x:c>
      <x:c r="B382" s="1" t="str">
        <x:f>'Inventory inputs'!B382</x:f>
        <x:v>10</x:v>
      </x:c>
      <x:c r="C382" s="1" t="str">
        <x:f>'Inventory inputs'!C382</x:f>
        <x:v>11815RWBBRN</x:v>
      </x:c>
      <x:c r="D382" s="7" t="n">
        <x:f>'Inventory inputs'!E382</x:f>
        <x:v>46303</x:v>
      </x:c>
      <x:c r="E382" s="1" t="n">
        <x:f>'Inventory inputs'!F382</x:f>
        <x:v>2098</x:v>
      </x:c>
      <x:c r="F382" s="1" t="n">
        <x:f>'Inventory inputs'!G382</x:f>
        <x:v>83.33</x:v>
      </x:c>
      <x:c r="G382" s="1" t="n">
        <x:f>'Inventory inputs'!H382/'Inventory inputs'!J382</x:f>
        <x:v>0.0882</x:v>
      </x:c>
      <x:c r="H382" s="1" t="n">
        <x:f>IF('Inventory inputs'!I382&gt;0,'Inventory inputs'!I382*'Inventory inputs'!K382/'Inventory inputs'!J382,"n.a.")</x:f>
        <x:v>0.103194</x:v>
      </x:c>
      <x:c r="I382" s="1" t="n">
        <x:f>'Inventory inputs'!L382</x:f>
        <x:v>2098</x:v>
      </x:c>
      <x:c r="J382" s="1" t="n">
        <x:f>'Inventory inputs'!M382</x:f>
        <x:v>0</x:v>
      </x:c>
      <x:c r="K382" s="1" t="n">
        <x:f>'Inventory inputs'!N382</x:f>
        <x:v>0</x:v>
      </x:c>
      <x:c r="L382" s="1" t="n">
        <x:f>'Inventory inputs'!O382</x:f>
        <x:v>1</x:v>
      </x:c>
      <x:c r="M382" s="9" t="n">
        <x:f>E382*G382</x:f>
        <x:v>185.0436</x:v>
      </x:c>
      <x:c r="N382" s="9" t="n">
        <x:f>'Inventory inputs'!Q382</x:f>
        <x:v>185.0436</x:v>
      </x:c>
      <x:c r="O382" s="9" t="n">
        <x:f>N382-M382</x:f>
        <x:v>0</x:v>
      </x:c>
      <x:c r="P382" s="1" t="n">
        <x:f>SUMIFS('Incoming POs'!$P$2:$P$305,'Incoming POs'!$A$2:$A$305,A382,'Incoming POs'!$B$2:$B$305,B382,'Incoming POs'!$C$2:$C$305,C382,'Incoming POs'!$G$2:$G$305,"&gt;="&amp;D382,'Incoming POs'!$G$2:$G$305,"&lt;"&amp;Dashboard!$I$5)</x:f>
        <x:v>0</x:v>
      </x:c>
      <x:c r="Q382" s="1" t="n">
        <x:f>F382*Dashboard!$L$5*MAX(0,Dashboard!$I$5-D382)/30.4375</x:f>
        <x:v>110.87852156057495</x:v>
      </x:c>
      <x:c r="R382" s="1" t="n">
        <x:f>MAX(0,E382+P382-Q382)</x:f>
        <x:v>1987.1214784394251</x:v>
      </x:c>
      <x:c r="S382" s="1" t="n">
        <x:f>MAX(0,Q382-E382-P382)</x:f>
        <x:v>0</x:v>
      </x:c>
      <x:c r="T382" s="1" t="n">
        <x:f>IF(L382=1,MAX(0,I382+AB382-MIN(Q382,E382+P382)),"n.a.")</x:f>
        <x:v>1987.1214784394251</x:v>
      </x:c>
      <x:c r="U382" s="9" t="n">
        <x:f>IF(ISNUMBER(T382),T382*G382,"n.a.")</x:f>
        <x:v>175.2641143983573</x:v>
      </x:c>
      <x:c r="V382" s="25" t="n">
        <x:f>IF(Dashboard!$I$6="Flat %",1,IF(ISNUMBER(H382),1,0))</x:f>
        <x:v>1</x:v>
      </x:c>
      <x:c r="W382" s="9" t="n">
        <x:f>IF(Dashboard!$I$6="Flat %",G382*(1+Dashboard!$L$6),H382)</x:f>
        <x:v>0.103194</x:v>
      </x:c>
      <x:c r="X382" s="9" t="n">
        <x:f>IF(V382=1,R382*(W382-G382),"n.a.")</x:f>
        <x:v>29.794899447720727</x:v>
      </x:c>
      <x:c r="Y382" s="9" t="n">
        <x:f>IF(V382=1,R382*W382,"n.a.")</x:f>
        <x:v>205.05901384607802</x:v>
      </x:c>
      <x:c r="Z382" s="1" t="n">
        <x:f>IF(ISNUMBER(T382),R382-T382,"n.a.")</x:f>
        <x:v>0</x:v>
      </x:c>
      <x:c r="AA382" s="1" t="str">
        <x:f>'Inventory inputs'!R382</x:f>
        <x:v>Classified</x:v>
      </x:c>
      <x:c r="AB382" s="1" t="n">
        <x:f>IF(L382=1,SUMIFS('Incoming POs'!$P$2:$P$305,'Incoming POs'!$A$2:$A$305,A382,'Incoming POs'!$B$2:$B$305,B382,'Incoming POs'!$C$2:$C$305,C382,'Incoming POs'!$G$2:$G$305,"&gt;="&amp;D382,'Incoming POs'!$G$2:$G$305,"&lt;"&amp;Dashboard!$I$5,'Incoming POs'!$Q$2:$Q$305,"&lt;="&amp;('Inventory inputs'!P382/'Inventory inputs'!J382*1.01)),"n.a.")</x:f>
        <x:v>0</x:v>
      </x:c>
      <x:c r="AC382" s="9" t="n">
        <x:f>I382*G382</x:f>
        <x:v>185.0436</x:v>
      </x:c>
      <x:c r="AD382" s="9" t="n">
        <x:f>J382*G382</x:f>
        <x:v>0</x:v>
      </x:c>
      <x:c r="AE382" s="9" t="n">
        <x:f>K382*G382</x:f>
        <x:v>0</x:v>
      </x:c>
      <x:c r="AF382" s="9" t="n">
        <x:f>R382*G382</x:f>
        <x:v>175.2641143983573</x:v>
      </x:c>
    </x:row>
    <x:row r="383" ht="21" customHeight="1">
      <x:c r="A383" s="1" t="str">
        <x:f>'Inventory inputs'!A383</x:f>
        <x:v>PLAS</x:v>
      </x:c>
      <x:c r="B383" s="1" t="str">
        <x:f>'Inventory inputs'!B383</x:f>
        <x:v>10</x:v>
      </x:c>
      <x:c r="C383" s="1" t="str">
        <x:f>'Inventory inputs'!C383</x:f>
        <x:v>11819RWBNAV</x:v>
      </x:c>
      <x:c r="D383" s="7" t="n">
        <x:f>'Inventory inputs'!E383</x:f>
        <x:v>46303</x:v>
      </x:c>
      <x:c r="E383" s="1" t="n">
        <x:f>'Inventory inputs'!F383</x:f>
        <x:v>250</x:v>
      </x:c>
      <x:c r="F383" s="1" t="n">
        <x:f>'Inventory inputs'!G383</x:f>
        <x:v>83.33</x:v>
      </x:c>
      <x:c r="G383" s="1" t="n">
        <x:f>'Inventory inputs'!H383/'Inventory inputs'!J383</x:f>
        <x:v>0.1323</x:v>
      </x:c>
      <x:c r="H383" s="1" t="n">
        <x:f>IF('Inventory inputs'!I383&gt;0,'Inventory inputs'!I383*'Inventory inputs'!K383/'Inventory inputs'!J383,"n.a.")</x:f>
        <x:v>0.15479099999999998</x:v>
      </x:c>
      <x:c r="I383" s="1" t="n">
        <x:f>'Inventory inputs'!L383</x:f>
        <x:v>0</x:v>
      </x:c>
      <x:c r="J383" s="1" t="n">
        <x:f>'Inventory inputs'!M383</x:f>
        <x:v>0</x:v>
      </x:c>
      <x:c r="K383" s="1" t="n">
        <x:f>'Inventory inputs'!N383</x:f>
        <x:v>250</x:v>
      </x:c>
      <x:c r="L383" s="1" t="n">
        <x:f>'Inventory inputs'!O383</x:f>
        <x:v>0</x:v>
      </x:c>
      <x:c r="M383" s="9" t="n">
        <x:f>E383*G383</x:f>
        <x:v>33.075</x:v>
      </x:c>
      <x:c r="N383" s="9" t="n">
        <x:f>'Inventory inputs'!Q383</x:f>
        <x:v>33.075</x:v>
      </x:c>
      <x:c r="O383" s="9" t="n">
        <x:f>N383-M383</x:f>
        <x:v>0</x:v>
      </x:c>
      <x:c r="P383" s="1" t="n">
        <x:f>SUMIFS('Incoming POs'!$P$2:$P$305,'Incoming POs'!$A$2:$A$305,A383,'Incoming POs'!$B$2:$B$305,B383,'Incoming POs'!$C$2:$C$305,C383,'Incoming POs'!$G$2:$G$305,"&gt;="&amp;D383,'Incoming POs'!$G$2:$G$305,"&lt;"&amp;Dashboard!$I$5)</x:f>
        <x:v>1000</x:v>
      </x:c>
      <x:c r="Q383" s="1" t="n">
        <x:f>F383*Dashboard!$L$5*MAX(0,Dashboard!$I$5-D383)/30.4375</x:f>
        <x:v>110.87852156057495</x:v>
      </x:c>
      <x:c r="R383" s="1" t="n">
        <x:f>MAX(0,E383+P383-Q383)</x:f>
        <x:v>1139.1214784394251</x:v>
      </x:c>
      <x:c r="S383" s="1" t="n">
        <x:f>MAX(0,Q383-E383-P383)</x:f>
        <x:v>0</x:v>
      </x:c>
      <x:c r="T383" s="1" t="str">
        <x:f>IF(L383=1,MAX(0,I383+AB383-MIN(Q383,E383+P383)),"n.a.")</x:f>
        <x:v>n.a.</x:v>
      </x:c>
      <x:c r="U383" s="9" t="str">
        <x:f>IF(ISNUMBER(T383),T383*G383,"n.a.")</x:f>
        <x:v>n.a.</x:v>
      </x:c>
      <x:c r="V383" s="25" t="n">
        <x:f>IF(Dashboard!$I$6="Flat %",1,IF(ISNUMBER(H383),1,0))</x:f>
        <x:v>1</x:v>
      </x:c>
      <x:c r="W383" s="9" t="n">
        <x:f>IF(Dashboard!$I$6="Flat %",G383*(1+Dashboard!$L$6),H383)</x:f>
        <x:v>0.15479099999999998</x:v>
      </x:c>
      <x:c r="X383" s="9" t="n">
        <x:f>IF(V383=1,R383*(W383-G383),"n.a.")</x:f>
        <x:v>25.61998117158109</x:v>
      </x:c>
      <x:c r="Y383" s="9" t="n">
        <x:f>IF(V383=1,R383*W383,"n.a.")</x:f>
        <x:v>176.32575276911703</x:v>
      </x:c>
      <x:c r="Z383" s="1" t="str">
        <x:f>IF(ISNUMBER(T383),R383-T383,"n.a.")</x:f>
        <x:v>n.a.</x:v>
      </x:c>
      <x:c r="AA383" s="1" t="str">
        <x:f>'Inventory inputs'!R383</x:f>
        <x:v>Review receipt reconciliation or original PO baseline</x:v>
      </x:c>
      <x:c r="AB383" s="1" t="str">
        <x:f>IF(L383=1,SUMIFS('Incoming POs'!$P$2:$P$305,'Incoming POs'!$A$2:$A$305,A383,'Incoming POs'!$B$2:$B$305,B383,'Incoming POs'!$C$2:$C$305,C383,'Incoming POs'!$G$2:$G$305,"&gt;="&amp;D383,'Incoming POs'!$G$2:$G$305,"&lt;"&amp;Dashboard!$I$5,'Incoming POs'!$Q$2:$Q$305,"&lt;="&amp;('Inventory inputs'!P383/'Inventory inputs'!J383*1.01)),"n.a.")</x:f>
        <x:v>n.a.</x:v>
      </x:c>
      <x:c r="AC383" s="9" t="n">
        <x:f>I383*G383</x:f>
        <x:v>0</x:v>
      </x:c>
      <x:c r="AD383" s="9" t="n">
        <x:f>J383*G383</x:f>
        <x:v>0</x:v>
      </x:c>
      <x:c r="AE383" s="9" t="n">
        <x:f>K383*G383</x:f>
        <x:v>33.075</x:v>
      </x:c>
      <x:c r="AF383" s="9" t="n">
        <x:f>R383*G383</x:f>
        <x:v>150.70577159753594</x:v>
      </x:c>
    </x:row>
    <x:row r="384" ht="21" customHeight="1">
      <x:c r="A384" s="1" t="str">
        <x:f>'Inventory inputs'!A384</x:f>
        <x:v>PLAS</x:v>
      </x:c>
      <x:c r="B384" s="1" t="str">
        <x:f>'Inventory inputs'!B384</x:f>
        <x:v>30</x:v>
      </x:c>
      <x:c r="C384" s="1" t="str">
        <x:f>'Inventory inputs'!C384</x:f>
        <x:v>01219RWBMAR</x:v>
      </x:c>
      <x:c r="D384" s="7" t="n">
        <x:f>'Inventory inputs'!E384</x:f>
        <x:v>46303</x:v>
      </x:c>
      <x:c r="E384" s="1" t="n">
        <x:f>'Inventory inputs'!F384</x:f>
        <x:v>100</x:v>
      </x:c>
      <x:c r="F384" s="1" t="n">
        <x:f>'Inventory inputs'!G384</x:f>
        <x:v>83.33</x:v>
      </x:c>
      <x:c r="G384" s="1" t="n">
        <x:f>'Inventory inputs'!H384/'Inventory inputs'!J384</x:f>
        <x:v>0.036000000000000004</x:v>
      </x:c>
      <x:c r="H384" s="1" t="n">
        <x:f>IF('Inventory inputs'!I384&gt;0,'Inventory inputs'!I384*'Inventory inputs'!K384/'Inventory inputs'!J384,"n.a.")</x:f>
        <x:v>0.042189</x:v>
      </x:c>
      <x:c r="I384" s="1" t="n">
        <x:f>'Inventory inputs'!L384</x:f>
        <x:v>0</x:v>
      </x:c>
      <x:c r="J384" s="1" t="n">
        <x:f>'Inventory inputs'!M384</x:f>
        <x:v>0</x:v>
      </x:c>
      <x:c r="K384" s="1" t="n">
        <x:f>'Inventory inputs'!N384</x:f>
        <x:v>100</x:v>
      </x:c>
      <x:c r="L384" s="1" t="n">
        <x:f>'Inventory inputs'!O384</x:f>
        <x:v>0</x:v>
      </x:c>
      <x:c r="M384" s="9" t="n">
        <x:f>E384*G384</x:f>
        <x:v>3.6000000000000005</x:v>
      </x:c>
      <x:c r="N384" s="9" t="n">
        <x:f>'Inventory inputs'!Q384</x:f>
        <x:v>3.6</x:v>
      </x:c>
      <x:c r="O384" s="9" t="n">
        <x:f>N384-M384</x:f>
        <x:v>-4.440892098500626e-16</x:v>
      </x:c>
      <x:c r="P384" s="1" t="n">
        <x:f>SUMIFS('Incoming POs'!$P$2:$P$305,'Incoming POs'!$A$2:$A$305,A384,'Incoming POs'!$B$2:$B$305,B384,'Incoming POs'!$C$2:$C$305,C384,'Incoming POs'!$G$2:$G$305,"&gt;="&amp;D384,'Incoming POs'!$G$2:$G$305,"&lt;"&amp;Dashboard!$I$5)</x:f>
        <x:v>0</x:v>
      </x:c>
      <x:c r="Q384" s="1" t="n">
        <x:f>F384*Dashboard!$L$5*MAX(0,Dashboard!$I$5-D384)/30.4375</x:f>
        <x:v>110.87852156057495</x:v>
      </x:c>
      <x:c r="R384" s="1" t="n">
        <x:f>MAX(0,E384+P384-Q384)</x:f>
        <x:v>0</x:v>
      </x:c>
      <x:c r="S384" s="1" t="n">
        <x:f>MAX(0,Q384-E384-P384)</x:f>
        <x:v>10.878521560574953</x:v>
      </x:c>
      <x:c r="T384" s="1" t="str">
        <x:f>IF(L384=1,MAX(0,I384+AB384-MIN(Q384,E384+P384)),"n.a.")</x:f>
        <x:v>n.a.</x:v>
      </x:c>
      <x:c r="U384" s="9" t="str">
        <x:f>IF(ISNUMBER(T384),T384*G384,"n.a.")</x:f>
        <x:v>n.a.</x:v>
      </x:c>
      <x:c r="V384" s="25" t="n">
        <x:f>IF(Dashboard!$I$6="Flat %",1,IF(ISNUMBER(H384),1,0))</x:f>
        <x:v>1</x:v>
      </x:c>
      <x:c r="W384" s="9" t="n">
        <x:f>IF(Dashboard!$I$6="Flat %",G384*(1+Dashboard!$L$6),H384)</x:f>
        <x:v>0.042189</x:v>
      </x:c>
      <x:c r="X384" s="9" t="n">
        <x:f>IF(V384=1,R384*(W384-G384),"n.a.")</x:f>
        <x:v>0</x:v>
      </x:c>
      <x:c r="Y384" s="9" t="n">
        <x:f>IF(V384=1,R384*W384,"n.a.")</x:f>
        <x:v>0</x:v>
      </x:c>
      <x:c r="Z384" s="1" t="str">
        <x:f>IF(ISNUMBER(T384),R384-T384,"n.a.")</x:f>
        <x:v>n.a.</x:v>
      </x:c>
      <x:c r="AA384" s="1" t="str">
        <x:f>'Inventory inputs'!R384</x:f>
        <x:v>Review receipt reconciliation or original PO baseline</x:v>
      </x:c>
      <x:c r="AB384" s="1" t="str">
        <x:f>IF(L384=1,SUMIFS('Incoming POs'!$P$2:$P$305,'Incoming POs'!$A$2:$A$305,A384,'Incoming POs'!$B$2:$B$305,B384,'Incoming POs'!$C$2:$C$305,C384,'Incoming POs'!$G$2:$G$305,"&gt;="&amp;D384,'Incoming POs'!$G$2:$G$305,"&lt;"&amp;Dashboard!$I$5,'Incoming POs'!$Q$2:$Q$305,"&lt;="&amp;('Inventory inputs'!P384/'Inventory inputs'!J384*1.01)),"n.a.")</x:f>
        <x:v>n.a.</x:v>
      </x:c>
      <x:c r="AC384" s="9" t="n">
        <x:f>I384*G384</x:f>
        <x:v>0</x:v>
      </x:c>
      <x:c r="AD384" s="9" t="n">
        <x:f>J384*G384</x:f>
        <x:v>0</x:v>
      </x:c>
      <x:c r="AE384" s="9" t="n">
        <x:f>K384*G384</x:f>
        <x:v>3.6000000000000005</x:v>
      </x:c>
      <x:c r="AF384" s="9" t="n">
        <x:f>R384*G384</x:f>
        <x:v>0</x:v>
      </x:c>
    </x:row>
    <x:row r="385" ht="21" customHeight="1">
      <x:c r="A385" s="1" t="str">
        <x:f>'Inventory inputs'!A385</x:f>
        <x:v>PLAS</x:v>
      </x:c>
      <x:c r="B385" s="1" t="str">
        <x:f>'Inventory inputs'!B385</x:f>
        <x:v>30</x:v>
      </x:c>
      <x:c r="C385" s="1" t="str">
        <x:f>'Inventory inputs'!C385</x:f>
        <x:v>03419RWBRED</x:v>
      </x:c>
      <x:c r="D385" s="7" t="n">
        <x:f>'Inventory inputs'!E385</x:f>
        <x:v>46303</x:v>
      </x:c>
      <x:c r="E385" s="1" t="n">
        <x:f>'Inventory inputs'!F385</x:f>
        <x:v>0</x:v>
      </x:c>
      <x:c r="F385" s="1" t="n">
        <x:f>'Inventory inputs'!G385</x:f>
        <x:v>83.33</x:v>
      </x:c>
      <x:c r="G385" s="1" t="n">
        <x:f>'Inventory inputs'!H385/'Inventory inputs'!J385</x:f>
        <x:v>0.0625</x:v>
      </x:c>
      <x:c r="H385" s="1" t="n">
        <x:f>IF('Inventory inputs'!I385&gt;0,'Inventory inputs'!I385*'Inventory inputs'!K385/'Inventory inputs'!J385,"n.a.")</x:f>
        <x:v>0.073059</x:v>
      </x:c>
      <x:c r="I385" s="1" t="n">
        <x:f>'Inventory inputs'!L385</x:f>
        <x:v>0</x:v>
      </x:c>
      <x:c r="J385" s="1" t="n">
        <x:f>'Inventory inputs'!M385</x:f>
        <x:v>0</x:v>
      </x:c>
      <x:c r="K385" s="1" t="n">
        <x:f>'Inventory inputs'!N385</x:f>
        <x:v>0</x:v>
      </x:c>
      <x:c r="L385" s="1" t="n">
        <x:f>'Inventory inputs'!O385</x:f>
        <x:v>1</x:v>
      </x:c>
      <x:c r="M385" s="9" t="n">
        <x:f>E385*G385</x:f>
        <x:v>0</x:v>
      </x:c>
      <x:c r="N385" s="9" t="n">
        <x:f>'Inventory inputs'!Q385</x:f>
        <x:v>0</x:v>
      </x:c>
      <x:c r="O385" s="9" t="n">
        <x:f>N385-M385</x:f>
        <x:v>0</x:v>
      </x:c>
      <x:c r="P385" s="1" t="n">
        <x:f>SUMIFS('Incoming POs'!$P$2:$P$305,'Incoming POs'!$A$2:$A$305,A385,'Incoming POs'!$B$2:$B$305,B385,'Incoming POs'!$C$2:$C$305,C385,'Incoming POs'!$G$2:$G$305,"&gt;="&amp;D385,'Incoming POs'!$G$2:$G$305,"&lt;"&amp;Dashboard!$I$5)</x:f>
        <x:v>0</x:v>
      </x:c>
      <x:c r="Q385" s="1" t="n">
        <x:f>F385*Dashboard!$L$5*MAX(0,Dashboard!$I$5-D385)/30.4375</x:f>
        <x:v>110.87852156057495</x:v>
      </x:c>
      <x:c r="R385" s="1" t="n">
        <x:f>MAX(0,E385+P385-Q385)</x:f>
        <x:v>0</x:v>
      </x:c>
      <x:c r="S385" s="1" t="n">
        <x:f>MAX(0,Q385-E385-P385)</x:f>
        <x:v>110.87852156057495</x:v>
      </x:c>
      <x:c r="T385" s="1" t="n">
        <x:f>IF(L385=1,MAX(0,I385+AB385-MIN(Q385,E385+P385)),"n.a.")</x:f>
        <x:v>0</x:v>
      </x:c>
      <x:c r="U385" s="9" t="n">
        <x:f>IF(ISNUMBER(T385),T385*G385,"n.a.")</x:f>
        <x:v>0</x:v>
      </x:c>
      <x:c r="V385" s="25" t="n">
        <x:f>IF(Dashboard!$I$6="Flat %",1,IF(ISNUMBER(H385),1,0))</x:f>
        <x:v>1</x:v>
      </x:c>
      <x:c r="W385" s="9" t="n">
        <x:f>IF(Dashboard!$I$6="Flat %",G385*(1+Dashboard!$L$6),H385)</x:f>
        <x:v>0.073059</x:v>
      </x:c>
      <x:c r="X385" s="9" t="n">
        <x:f>IF(V385=1,R385*(W385-G385),"n.a.")</x:f>
        <x:v>0</x:v>
      </x:c>
      <x:c r="Y385" s="9" t="n">
        <x:f>IF(V385=1,R385*W385,"n.a.")</x:f>
        <x:v>0</x:v>
      </x:c>
      <x:c r="Z385" s="1" t="n">
        <x:f>IF(ISNUMBER(T385),R385-T385,"n.a.")</x:f>
        <x:v>0</x:v>
      </x:c>
      <x:c r="AA385" s="1" t="str">
        <x:f>'Inventory inputs'!R385</x:f>
        <x:v>Classified</x:v>
      </x:c>
      <x:c r="AB385" s="1" t="n">
        <x:f>IF(L385=1,SUMIFS('Incoming POs'!$P$2:$P$305,'Incoming POs'!$A$2:$A$305,A385,'Incoming POs'!$B$2:$B$305,B385,'Incoming POs'!$C$2:$C$305,C385,'Incoming POs'!$G$2:$G$305,"&gt;="&amp;D385,'Incoming POs'!$G$2:$G$305,"&lt;"&amp;Dashboard!$I$5,'Incoming POs'!$Q$2:$Q$305,"&lt;="&amp;('Inventory inputs'!P385/'Inventory inputs'!J385*1.01)),"n.a.")</x:f>
        <x:v>0</x:v>
      </x:c>
      <x:c r="AC385" s="9" t="n">
        <x:f>I385*G385</x:f>
        <x:v>0</x:v>
      </x:c>
      <x:c r="AD385" s="9" t="n">
        <x:f>J385*G385</x:f>
        <x:v>0</x:v>
      </x:c>
      <x:c r="AE385" s="9" t="n">
        <x:f>K385*G385</x:f>
        <x:v>0</x:v>
      </x:c>
      <x:c r="AF385" s="9" t="n">
        <x:f>R385*G385</x:f>
        <x:v>0</x:v>
      </x:c>
    </x:row>
    <x:row r="386" ht="21" customHeight="1">
      <x:c r="A386" s="1" t="str">
        <x:f>'Inventory inputs'!A386</x:f>
        <x:v>PLAS</x:v>
      </x:c>
      <x:c r="B386" s="1" t="str">
        <x:f>'Inventory inputs'!B386</x:f>
        <x:v>30</x:v>
      </x:c>
      <x:c r="C386" s="1" t="str">
        <x:f>'Inventory inputs'!C386</x:f>
        <x:v>05819RWBFG</x:v>
      </x:c>
      <x:c r="D386" s="7" t="n">
        <x:f>'Inventory inputs'!E386</x:f>
        <x:v>46303</x:v>
      </x:c>
      <x:c r="E386" s="1" t="n">
        <x:f>'Inventory inputs'!F386</x:f>
        <x:v>1500</x:v>
      </x:c>
      <x:c r="F386" s="1" t="n">
        <x:f>'Inventory inputs'!G386</x:f>
        <x:v>83.33</x:v>
      </x:c>
      <x:c r="G386" s="1" t="n">
        <x:f>'Inventory inputs'!H386/'Inventory inputs'!J386</x:f>
        <x:v>0.045599999999999995</x:v>
      </x:c>
      <x:c r="H386" s="1" t="n">
        <x:f>IF('Inventory inputs'!I386&gt;0,'Inventory inputs'!I386*'Inventory inputs'!K386/'Inventory inputs'!J386,"n.a.")</x:f>
        <x:v>0.053361</x:v>
      </x:c>
      <x:c r="I386" s="1" t="n">
        <x:f>'Inventory inputs'!L386</x:f>
        <x:v>0</x:v>
      </x:c>
      <x:c r="J386" s="1" t="n">
        <x:f>'Inventory inputs'!M386</x:f>
        <x:v>0</x:v>
      </x:c>
      <x:c r="K386" s="1" t="n">
        <x:f>'Inventory inputs'!N386</x:f>
        <x:v>1500</x:v>
      </x:c>
      <x:c r="L386" s="1" t="n">
        <x:f>'Inventory inputs'!O386</x:f>
        <x:v>0</x:v>
      </x:c>
      <x:c r="M386" s="9" t="n">
        <x:f>E386*G386</x:f>
        <x:v>68.39999999999999</x:v>
      </x:c>
      <x:c r="N386" s="9" t="n">
        <x:f>'Inventory inputs'!Q386</x:f>
        <x:v>68.39999999999999</x:v>
      </x:c>
      <x:c r="O386" s="9" t="n">
        <x:f>N386-M386</x:f>
        <x:v>0</x:v>
      </x:c>
      <x:c r="P386" s="1" t="n">
        <x:f>SUMIFS('Incoming POs'!$P$2:$P$305,'Incoming POs'!$A$2:$A$305,A386,'Incoming POs'!$B$2:$B$305,B386,'Incoming POs'!$C$2:$C$305,C386,'Incoming POs'!$G$2:$G$305,"&gt;="&amp;D386,'Incoming POs'!$G$2:$G$305,"&lt;"&amp;Dashboard!$I$5)</x:f>
        <x:v>0</x:v>
      </x:c>
      <x:c r="Q386" s="1" t="n">
        <x:f>F386*Dashboard!$L$5*MAX(0,Dashboard!$I$5-D386)/30.4375</x:f>
        <x:v>110.87852156057495</x:v>
      </x:c>
      <x:c r="R386" s="1" t="n">
        <x:f>MAX(0,E386+P386-Q386)</x:f>
        <x:v>1389.1214784394251</x:v>
      </x:c>
      <x:c r="S386" s="1" t="n">
        <x:f>MAX(0,Q386-E386-P386)</x:f>
        <x:v>0</x:v>
      </x:c>
      <x:c r="T386" s="1" t="str">
        <x:f>IF(L386=1,MAX(0,I386+AB386-MIN(Q386,E386+P386)),"n.a.")</x:f>
        <x:v>n.a.</x:v>
      </x:c>
      <x:c r="U386" s="9" t="str">
        <x:f>IF(ISNUMBER(T386),T386*G386,"n.a.")</x:f>
        <x:v>n.a.</x:v>
      </x:c>
      <x:c r="V386" s="25" t="n">
        <x:f>IF(Dashboard!$I$6="Flat %",1,IF(ISNUMBER(H386),1,0))</x:f>
        <x:v>1</x:v>
      </x:c>
      <x:c r="W386" s="9" t="n">
        <x:f>IF(Dashboard!$I$6="Flat %",G386*(1+Dashboard!$L$6),H386)</x:f>
        <x:v>0.053361</x:v>
      </x:c>
      <x:c r="X386" s="9" t="n">
        <x:f>IF(V386=1,R386*(W386-G386),"n.a.")</x:f>
        <x:v>10.780971794168384</x:v>
      </x:c>
      <x:c r="Y386" s="9" t="n">
        <x:f>IF(V386=1,R386*W386,"n.a.")</x:f>
        <x:v>74.12491121100616</x:v>
      </x:c>
      <x:c r="Z386" s="1" t="str">
        <x:f>IF(ISNUMBER(T386),R386-T386,"n.a.")</x:f>
        <x:v>n.a.</x:v>
      </x:c>
      <x:c r="AA386" s="1" t="str">
        <x:f>'Inventory inputs'!R386</x:f>
        <x:v>Review receipt reconciliation or original PO baseline</x:v>
      </x:c>
      <x:c r="AB386" s="1" t="str">
        <x:f>IF(L386=1,SUMIFS('Incoming POs'!$P$2:$P$305,'Incoming POs'!$A$2:$A$305,A386,'Incoming POs'!$B$2:$B$305,B386,'Incoming POs'!$C$2:$C$305,C386,'Incoming POs'!$G$2:$G$305,"&gt;="&amp;D386,'Incoming POs'!$G$2:$G$305,"&lt;"&amp;Dashboard!$I$5,'Incoming POs'!$Q$2:$Q$305,"&lt;="&amp;('Inventory inputs'!P386/'Inventory inputs'!J386*1.01)),"n.a.")</x:f>
        <x:v>n.a.</x:v>
      </x:c>
      <x:c r="AC386" s="9" t="n">
        <x:f>I386*G386</x:f>
        <x:v>0</x:v>
      </x:c>
      <x:c r="AD386" s="9" t="n">
        <x:f>J386*G386</x:f>
        <x:v>0</x:v>
      </x:c>
      <x:c r="AE386" s="9" t="n">
        <x:f>K386*G386</x:f>
        <x:v>68.39999999999999</x:v>
      </x:c>
      <x:c r="AF386" s="9" t="n">
        <x:f>R386*G386</x:f>
        <x:v>63.34393941683778</x:v>
      </x:c>
    </x:row>
    <x:row r="387" ht="21" customHeight="1">
      <x:c r="A387" s="1" t="str">
        <x:f>'Inventory inputs'!A387</x:f>
        <x:v>PLAS</x:v>
      </x:c>
      <x:c r="B387" s="1" t="str">
        <x:f>'Inventory inputs'!B387</x:f>
        <x:v>60</x:v>
      </x:c>
      <x:c r="C387" s="1" t="str">
        <x:f>'Inventory inputs'!C387</x:f>
        <x:v>00119RWBMAR</x:v>
      </x:c>
      <x:c r="D387" s="7" t="n">
        <x:f>'Inventory inputs'!E387</x:f>
        <x:v>46303</x:v>
      </x:c>
      <x:c r="E387" s="1" t="n">
        <x:f>'Inventory inputs'!F387</x:f>
        <x:v>600</x:v>
      </x:c>
      <x:c r="F387" s="1" t="n">
        <x:f>'Inventory inputs'!G387</x:f>
        <x:v>83.33</x:v>
      </x:c>
      <x:c r="G387" s="1" t="n">
        <x:f>'Inventory inputs'!H387/'Inventory inputs'!J387</x:f>
        <x:v>0.1054</x:v>
      </x:c>
      <x:c r="H387" s="1" t="n">
        <x:f>IF('Inventory inputs'!I387&gt;0,'Inventory inputs'!I387*'Inventory inputs'!K387/'Inventory inputs'!J387,"n.a.")</x:f>
        <x:v>0.12333300000000001</x:v>
      </x:c>
      <x:c r="I387" s="1" t="n">
        <x:f>'Inventory inputs'!L387</x:f>
        <x:v>0</x:v>
      </x:c>
      <x:c r="J387" s="1" t="n">
        <x:f>'Inventory inputs'!M387</x:f>
        <x:v>0</x:v>
      </x:c>
      <x:c r="K387" s="1" t="n">
        <x:f>'Inventory inputs'!N387</x:f>
        <x:v>600</x:v>
      </x:c>
      <x:c r="L387" s="1" t="n">
        <x:f>'Inventory inputs'!O387</x:f>
        <x:v>0</x:v>
      </x:c>
      <x:c r="M387" s="9" t="n">
        <x:f>E387*G387</x:f>
        <x:v>63.239999999999995</x:v>
      </x:c>
      <x:c r="N387" s="9" t="n">
        <x:f>'Inventory inputs'!Q387</x:f>
        <x:v>63.239999999999995</x:v>
      </x:c>
      <x:c r="O387" s="9" t="n">
        <x:f>N387-M387</x:f>
        <x:v>0</x:v>
      </x:c>
      <x:c r="P387" s="1" t="n">
        <x:f>SUMIFS('Incoming POs'!$P$2:$P$305,'Incoming POs'!$A$2:$A$305,A387,'Incoming POs'!$B$2:$B$305,B387,'Incoming POs'!$C$2:$C$305,C387,'Incoming POs'!$G$2:$G$305,"&gt;="&amp;D387,'Incoming POs'!$G$2:$G$305,"&lt;"&amp;Dashboard!$I$5)</x:f>
        <x:v>0</x:v>
      </x:c>
      <x:c r="Q387" s="1" t="n">
        <x:f>F387*Dashboard!$L$5*MAX(0,Dashboard!$I$5-D387)/30.4375</x:f>
        <x:v>110.87852156057495</x:v>
      </x:c>
      <x:c r="R387" s="1" t="n">
        <x:f>MAX(0,E387+P387-Q387)</x:f>
        <x:v>489.12147843942506</x:v>
      </x:c>
      <x:c r="S387" s="1" t="n">
        <x:f>MAX(0,Q387-E387-P387)</x:f>
        <x:v>0</x:v>
      </x:c>
      <x:c r="T387" s="1" t="str">
        <x:f>IF(L387=1,MAX(0,I387+AB387-MIN(Q387,E387+P387)),"n.a.")</x:f>
        <x:v>n.a.</x:v>
      </x:c>
      <x:c r="U387" s="9" t="str">
        <x:f>IF(ISNUMBER(T387),T387*G387,"n.a.")</x:f>
        <x:v>n.a.</x:v>
      </x:c>
      <x:c r="V387" s="25" t="n">
        <x:f>IF(Dashboard!$I$6="Flat %",1,IF(ISNUMBER(H387),1,0))</x:f>
        <x:v>1</x:v>
      </x:c>
      <x:c r="W387" s="9" t="n">
        <x:f>IF(Dashboard!$I$6="Flat %",G387*(1+Dashboard!$L$6),H387)</x:f>
        <x:v>0.12333300000000001</x:v>
      </x:c>
      <x:c r="X387" s="9" t="n">
        <x:f>IF(V387=1,R387*(W387-G387),"n.a.")</x:f>
        <x:v>8.771415472854219</x:v>
      </x:c>
      <x:c r="Y387" s="9" t="n">
        <x:f>IF(V387=1,R387*W387,"n.a.")</x:f>
        <x:v>60.32481930036962</x:v>
      </x:c>
      <x:c r="Z387" s="1" t="str">
        <x:f>IF(ISNUMBER(T387),R387-T387,"n.a.")</x:f>
        <x:v>n.a.</x:v>
      </x:c>
      <x:c r="AA387" s="1" t="str">
        <x:f>'Inventory inputs'!R387</x:f>
        <x:v>Review receipt reconciliation or original PO baseline</x:v>
      </x:c>
      <x:c r="AB387" s="1" t="str">
        <x:f>IF(L387=1,SUMIFS('Incoming POs'!$P$2:$P$305,'Incoming POs'!$A$2:$A$305,A387,'Incoming POs'!$B$2:$B$305,B387,'Incoming POs'!$C$2:$C$305,C387,'Incoming POs'!$G$2:$G$305,"&gt;="&amp;D387,'Incoming POs'!$G$2:$G$305,"&lt;"&amp;Dashboard!$I$5,'Incoming POs'!$Q$2:$Q$305,"&lt;="&amp;('Inventory inputs'!P387/'Inventory inputs'!J387*1.01)),"n.a.")</x:f>
        <x:v>n.a.</x:v>
      </x:c>
      <x:c r="AC387" s="9" t="n">
        <x:f>I387*G387</x:f>
        <x:v>0</x:v>
      </x:c>
      <x:c r="AD387" s="9" t="n">
        <x:f>J387*G387</x:f>
        <x:v>0</x:v>
      </x:c>
      <x:c r="AE387" s="9" t="n">
        <x:f>K387*G387</x:f>
        <x:v>63.239999999999995</x:v>
      </x:c>
      <x:c r="AF387" s="9" t="n">
        <x:f>R387*G387</x:f>
        <x:v>51.553403827515396</x:v>
      </x:c>
    </x:row>
    <x:row r="388" ht="21" customHeight="1">
      <x:c r="A388" s="1" t="str">
        <x:f>'Inventory inputs'!A388</x:f>
        <x:v>PLAS</x:v>
      </x:c>
      <x:c r="B388" s="1" t="str">
        <x:f>'Inventory inputs'!B388</x:f>
        <x:v>60</x:v>
      </x:c>
      <x:c r="C388" s="1" t="str">
        <x:f>'Inventory inputs'!C388</x:f>
        <x:v>05819RWBCLR</x:v>
      </x:c>
      <x:c r="D388" s="7" t="n">
        <x:f>'Inventory inputs'!E388</x:f>
        <x:v>46303</x:v>
      </x:c>
      <x:c r="E388" s="1" t="n">
        <x:f>'Inventory inputs'!F388</x:f>
        <x:v>200</x:v>
      </x:c>
      <x:c r="F388" s="1" t="n">
        <x:f>'Inventory inputs'!G388</x:f>
        <x:v>83.33</x:v>
      </x:c>
      <x:c r="G388" s="1" t="n">
        <x:f>'Inventory inputs'!H388/'Inventory inputs'!J388</x:f>
        <x:v>0.045599999999999995</x:v>
      </x:c>
      <x:c r="H388" s="1" t="n">
        <x:f>IF('Inventory inputs'!I388&gt;0,'Inventory inputs'!I388*'Inventory inputs'!K388/'Inventory inputs'!J388,"n.a.")</x:f>
        <x:v>0.053361</x:v>
      </x:c>
      <x:c r="I388" s="1" t="n">
        <x:f>'Inventory inputs'!L388</x:f>
        <x:v>0</x:v>
      </x:c>
      <x:c r="J388" s="1" t="n">
        <x:f>'Inventory inputs'!M388</x:f>
        <x:v>0</x:v>
      </x:c>
      <x:c r="K388" s="1" t="n">
        <x:f>'Inventory inputs'!N388</x:f>
        <x:v>200</x:v>
      </x:c>
      <x:c r="L388" s="1" t="n">
        <x:f>'Inventory inputs'!O388</x:f>
        <x:v>0</x:v>
      </x:c>
      <x:c r="M388" s="9" t="n">
        <x:f>E388*G388</x:f>
        <x:v>9.12</x:v>
      </x:c>
      <x:c r="N388" s="9" t="n">
        <x:f>'Inventory inputs'!Q388</x:f>
        <x:v>9.12</x:v>
      </x:c>
      <x:c r="O388" s="9" t="n">
        <x:f>N388-M388</x:f>
        <x:v>0</x:v>
      </x:c>
      <x:c r="P388" s="1" t="n">
        <x:f>SUMIFS('Incoming POs'!$P$2:$P$305,'Incoming POs'!$A$2:$A$305,A388,'Incoming POs'!$B$2:$B$305,B388,'Incoming POs'!$C$2:$C$305,C388,'Incoming POs'!$G$2:$G$305,"&gt;="&amp;D388,'Incoming POs'!$G$2:$G$305,"&lt;"&amp;Dashboard!$I$5)</x:f>
        <x:v>0</x:v>
      </x:c>
      <x:c r="Q388" s="1" t="n">
        <x:f>F388*Dashboard!$L$5*MAX(0,Dashboard!$I$5-D388)/30.4375</x:f>
        <x:v>110.87852156057495</x:v>
      </x:c>
      <x:c r="R388" s="1" t="n">
        <x:f>MAX(0,E388+P388-Q388)</x:f>
        <x:v>89.12147843942505</x:v>
      </x:c>
      <x:c r="S388" s="1" t="n">
        <x:f>MAX(0,Q388-E388-P388)</x:f>
        <x:v>0</x:v>
      </x:c>
      <x:c r="T388" s="1" t="str">
        <x:f>IF(L388=1,MAX(0,I388+AB388-MIN(Q388,E388+P388)),"n.a.")</x:f>
        <x:v>n.a.</x:v>
      </x:c>
      <x:c r="U388" s="9" t="str">
        <x:f>IF(ISNUMBER(T388),T388*G388,"n.a.")</x:f>
        <x:v>n.a.</x:v>
      </x:c>
      <x:c r="V388" s="25" t="n">
        <x:f>IF(Dashboard!$I$6="Flat %",1,IF(ISNUMBER(H388),1,0))</x:f>
        <x:v>1</x:v>
      </x:c>
      <x:c r="W388" s="9" t="n">
        <x:f>IF(Dashboard!$I$6="Flat %",G388*(1+Dashboard!$L$6),H388)</x:f>
        <x:v>0.053361</x:v>
      </x:c>
      <x:c r="X388" s="9" t="n">
        <x:f>IF(V388=1,R388*(W388-G388),"n.a.")</x:f>
        <x:v>0.6916717941683781</x:v>
      </x:c>
      <x:c r="Y388" s="9" t="n">
        <x:f>IF(V388=1,R388*W388,"n.a.")</x:f>
        <x:v>4.75561121100616</x:v>
      </x:c>
      <x:c r="Z388" s="1" t="str">
        <x:f>IF(ISNUMBER(T388),R388-T388,"n.a.")</x:f>
        <x:v>n.a.</x:v>
      </x:c>
      <x:c r="AA388" s="1" t="str">
        <x:f>'Inventory inputs'!R388</x:f>
        <x:v>Review receipt reconciliation or original PO baseline</x:v>
      </x:c>
      <x:c r="AB388" s="1" t="str">
        <x:f>IF(L388=1,SUMIFS('Incoming POs'!$P$2:$P$305,'Incoming POs'!$A$2:$A$305,A388,'Incoming POs'!$B$2:$B$305,B388,'Incoming POs'!$C$2:$C$305,C388,'Incoming POs'!$G$2:$G$305,"&gt;="&amp;D388,'Incoming POs'!$G$2:$G$305,"&lt;"&amp;Dashboard!$I$5,'Incoming POs'!$Q$2:$Q$305,"&lt;="&amp;('Inventory inputs'!P388/'Inventory inputs'!J388*1.01)),"n.a.")</x:f>
        <x:v>n.a.</x:v>
      </x:c>
      <x:c r="AC388" s="9" t="n">
        <x:f>I388*G388</x:f>
        <x:v>0</x:v>
      </x:c>
      <x:c r="AD388" s="9" t="n">
        <x:f>J388*G388</x:f>
        <x:v>0</x:v>
      </x:c>
      <x:c r="AE388" s="9" t="n">
        <x:f>K388*G388</x:f>
        <x:v>9.12</x:v>
      </x:c>
      <x:c r="AF388" s="9" t="n">
        <x:f>R388*G388</x:f>
        <x:v>4.063939416837782</x:v>
      </x:c>
    </x:row>
    <x:row r="389" ht="21" customHeight="1">
      <x:c r="A389" s="1" t="str">
        <x:f>'Inventory inputs'!A389</x:f>
        <x:v>PLAS</x:v>
      </x:c>
      <x:c r="B389" s="1" t="str">
        <x:f>'Inventory inputs'!B389</x:f>
        <x:v>60</x:v>
      </x:c>
      <x:c r="C389" s="1" t="str">
        <x:f>'Inventory inputs'!C389</x:f>
        <x:v>11419RSLWHT</x:v>
      </x:c>
      <x:c r="D389" s="7" t="n">
        <x:f>'Inventory inputs'!E389</x:f>
        <x:v>46303</x:v>
      </x:c>
      <x:c r="E389" s="1" t="n">
        <x:f>'Inventory inputs'!F389</x:f>
        <x:v>700</x:v>
      </x:c>
      <x:c r="F389" s="1" t="n">
        <x:f>'Inventory inputs'!G389</x:f>
        <x:v>83.33</x:v>
      </x:c>
      <x:c r="G389" s="1" t="n">
        <x:f>'Inventory inputs'!H389/'Inventory inputs'!J389</x:f>
        <x:v>0.111</x:v>
      </x:c>
      <x:c r="H389" s="1" t="n">
        <x:f>IF('Inventory inputs'!I389&gt;0,'Inventory inputs'!I389*'Inventory inputs'!K389/'Inventory inputs'!J389,"n.a.")</x:f>
        <x:v>0.129801</x:v>
      </x:c>
      <x:c r="I389" s="1" t="n">
        <x:f>'Inventory inputs'!L389</x:f>
        <x:v>0</x:v>
      </x:c>
      <x:c r="J389" s="1" t="n">
        <x:f>'Inventory inputs'!M389</x:f>
        <x:v>0</x:v>
      </x:c>
      <x:c r="K389" s="1" t="n">
        <x:f>'Inventory inputs'!N389</x:f>
        <x:v>700</x:v>
      </x:c>
      <x:c r="L389" s="1" t="n">
        <x:f>'Inventory inputs'!O389</x:f>
        <x:v>0</x:v>
      </x:c>
      <x:c r="M389" s="9" t="n">
        <x:f>E389*G389</x:f>
        <x:v>77.7</x:v>
      </x:c>
      <x:c r="N389" s="9" t="n">
        <x:f>'Inventory inputs'!Q389</x:f>
        <x:v>77.7</x:v>
      </x:c>
      <x:c r="O389" s="9" t="n">
        <x:f>N389-M389</x:f>
        <x:v>0</x:v>
      </x:c>
      <x:c r="P389" s="1" t="n">
        <x:f>SUMIFS('Incoming POs'!$P$2:$P$305,'Incoming POs'!$A$2:$A$305,A389,'Incoming POs'!$B$2:$B$305,B389,'Incoming POs'!$C$2:$C$305,C389,'Incoming POs'!$G$2:$G$305,"&gt;="&amp;D389,'Incoming POs'!$G$2:$G$305,"&lt;"&amp;Dashboard!$I$5)</x:f>
        <x:v>0</x:v>
      </x:c>
      <x:c r="Q389" s="1" t="n">
        <x:f>F389*Dashboard!$L$5*MAX(0,Dashboard!$I$5-D389)/30.4375</x:f>
        <x:v>110.87852156057495</x:v>
      </x:c>
      <x:c r="R389" s="1" t="n">
        <x:f>MAX(0,E389+P389-Q389)</x:f>
        <x:v>589.121478439425</x:v>
      </x:c>
      <x:c r="S389" s="1" t="n">
        <x:f>MAX(0,Q389-E389-P389)</x:f>
        <x:v>0</x:v>
      </x:c>
      <x:c r="T389" s="1" t="str">
        <x:f>IF(L389=1,MAX(0,I389+AB389-MIN(Q389,E389+P389)),"n.a.")</x:f>
        <x:v>n.a.</x:v>
      </x:c>
      <x:c r="U389" s="9" t="str">
        <x:f>IF(ISNUMBER(T389),T389*G389,"n.a.")</x:f>
        <x:v>n.a.</x:v>
      </x:c>
      <x:c r="V389" s="25" t="n">
        <x:f>IF(Dashboard!$I$6="Flat %",1,IF(ISNUMBER(H389),1,0))</x:f>
        <x:v>1</x:v>
      </x:c>
      <x:c r="W389" s="9" t="n">
        <x:f>IF(Dashboard!$I$6="Flat %",G389*(1+Dashboard!$L$6),H389)</x:f>
        <x:v>0.129801</x:v>
      </x:c>
      <x:c r="X389" s="9" t="n">
        <x:f>IF(V389=1,R389*(W389-G389),"n.a.")</x:f>
        <x:v>11.076072916139628</x:v>
      </x:c>
      <x:c r="Y389" s="9" t="n">
        <x:f>IF(V389=1,R389*W389,"n.a.")</x:f>
        <x:v>76.4685570229158</x:v>
      </x:c>
      <x:c r="Z389" s="1" t="str">
        <x:f>IF(ISNUMBER(T389),R389-T389,"n.a.")</x:f>
        <x:v>n.a.</x:v>
      </x:c>
      <x:c r="AA389" s="1" t="str">
        <x:f>'Inventory inputs'!R389</x:f>
        <x:v>Review receipt reconciliation or original PO baseline</x:v>
      </x:c>
      <x:c r="AB389" s="1" t="str">
        <x:f>IF(L389=1,SUMIFS('Incoming POs'!$P$2:$P$305,'Incoming POs'!$A$2:$A$305,A389,'Incoming POs'!$B$2:$B$305,B389,'Incoming POs'!$C$2:$C$305,C389,'Incoming POs'!$G$2:$G$305,"&gt;="&amp;D389,'Incoming POs'!$G$2:$G$305,"&lt;"&amp;Dashboard!$I$5,'Incoming POs'!$Q$2:$Q$305,"&lt;="&amp;('Inventory inputs'!P389/'Inventory inputs'!J389*1.01)),"n.a.")</x:f>
        <x:v>n.a.</x:v>
      </x:c>
      <x:c r="AC389" s="9" t="n">
        <x:f>I389*G389</x:f>
        <x:v>0</x:v>
      </x:c>
      <x:c r="AD389" s="9" t="n">
        <x:f>J389*G389</x:f>
        <x:v>0</x:v>
      </x:c>
      <x:c r="AE389" s="9" t="n">
        <x:f>K389*G389</x:f>
        <x:v>77.7</x:v>
      </x:c>
      <x:c r="AF389" s="9" t="n">
        <x:f>R389*G389</x:f>
        <x:v>65.39248410677618</x:v>
      </x:c>
    </x:row>
    <x:row r="390" ht="21" customHeight="1">
      <x:c r="A390" s="1" t="str">
        <x:f>'Inventory inputs'!A390</x:f>
        <x:v>PLAS</x:v>
      </x:c>
      <x:c r="B390" s="1" t="str">
        <x:f>'Inventory inputs'!B390</x:f>
        <x:v>60</x:v>
      </x:c>
      <x:c r="C390" s="1" t="str">
        <x:f>'Inventory inputs'!C390</x:f>
        <x:v>71619RWBCLR</x:v>
      </x:c>
      <x:c r="D390" s="7" t="n">
        <x:f>'Inventory inputs'!E390</x:f>
        <x:v>46303</x:v>
      </x:c>
      <x:c r="E390" s="1" t="n">
        <x:f>'Inventory inputs'!F390</x:f>
        <x:v>1000</x:v>
      </x:c>
      <x:c r="F390" s="1" t="n">
        <x:f>'Inventory inputs'!G390</x:f>
        <x:v>83.33</x:v>
      </x:c>
      <x:c r="G390" s="1" t="n">
        <x:f>'Inventory inputs'!H390/'Inventory inputs'!J390</x:f>
        <x:v>0.0315</x:v>
      </x:c>
      <x:c r="H390" s="1" t="n">
        <x:f>IF('Inventory inputs'!I390&gt;0,'Inventory inputs'!I390*'Inventory inputs'!K390/'Inventory inputs'!J390,"n.a.")</x:f>
        <x:v>0.03675</x:v>
      </x:c>
      <x:c r="I390" s="1" t="n">
        <x:f>'Inventory inputs'!L390</x:f>
        <x:v>0</x:v>
      </x:c>
      <x:c r="J390" s="1" t="n">
        <x:f>'Inventory inputs'!M390</x:f>
        <x:v>0</x:v>
      </x:c>
      <x:c r="K390" s="1" t="n">
        <x:f>'Inventory inputs'!N390</x:f>
        <x:v>1000</x:v>
      </x:c>
      <x:c r="L390" s="1" t="n">
        <x:f>'Inventory inputs'!O390</x:f>
        <x:v>0</x:v>
      </x:c>
      <x:c r="M390" s="9" t="n">
        <x:f>E390*G390</x:f>
        <x:v>31.5</x:v>
      </x:c>
      <x:c r="N390" s="9" t="n">
        <x:f>'Inventory inputs'!Q390</x:f>
        <x:v>31.5</x:v>
      </x:c>
      <x:c r="O390" s="9" t="n">
        <x:f>N390-M390</x:f>
        <x:v>0</x:v>
      </x:c>
      <x:c r="P390" s="1" t="n">
        <x:f>SUMIFS('Incoming POs'!$P$2:$P$305,'Incoming POs'!$A$2:$A$305,A390,'Incoming POs'!$B$2:$B$305,B390,'Incoming POs'!$C$2:$C$305,C390,'Incoming POs'!$G$2:$G$305,"&gt;="&amp;D390,'Incoming POs'!$G$2:$G$305,"&lt;"&amp;Dashboard!$I$5)</x:f>
        <x:v>0</x:v>
      </x:c>
      <x:c r="Q390" s="1" t="n">
        <x:f>F390*Dashboard!$L$5*MAX(0,Dashboard!$I$5-D390)/30.4375</x:f>
        <x:v>110.87852156057495</x:v>
      </x:c>
      <x:c r="R390" s="1" t="n">
        <x:f>MAX(0,E390+P390-Q390)</x:f>
        <x:v>889.121478439425</x:v>
      </x:c>
      <x:c r="S390" s="1" t="n">
        <x:f>MAX(0,Q390-E390-P390)</x:f>
        <x:v>0</x:v>
      </x:c>
      <x:c r="T390" s="1" t="str">
        <x:f>IF(L390=1,MAX(0,I390+AB390-MIN(Q390,E390+P390)),"n.a.")</x:f>
        <x:v>n.a.</x:v>
      </x:c>
      <x:c r="U390" s="9" t="str">
        <x:f>IF(ISNUMBER(T390),T390*G390,"n.a.")</x:f>
        <x:v>n.a.</x:v>
      </x:c>
      <x:c r="V390" s="25" t="n">
        <x:f>IF(Dashboard!$I$6="Flat %",1,IF(ISNUMBER(H390),1,0))</x:f>
        <x:v>1</x:v>
      </x:c>
      <x:c r="W390" s="9" t="n">
        <x:f>IF(Dashboard!$I$6="Flat %",G390*(1+Dashboard!$L$6),H390)</x:f>
        <x:v>0.03675</x:v>
      </x:c>
      <x:c r="X390" s="9" t="n">
        <x:f>IF(V390=1,R390*(W390-G390),"n.a.")</x:f>
        <x:v>4.66788776180698</x:v>
      </x:c>
      <x:c r="Y390" s="9" t="n">
        <x:f>IF(V390=1,R390*W390,"n.a.")</x:f>
        <x:v>32.67521433264886</x:v>
      </x:c>
      <x:c r="Z390" s="1" t="str">
        <x:f>IF(ISNUMBER(T390),R390-T390,"n.a.")</x:f>
        <x:v>n.a.</x:v>
      </x:c>
      <x:c r="AA390" s="1" t="str">
        <x:f>'Inventory inputs'!R390</x:f>
        <x:v>Review receipt reconciliation or original PO baseline</x:v>
      </x:c>
      <x:c r="AB390" s="1" t="str">
        <x:f>IF(L390=1,SUMIFS('Incoming POs'!$P$2:$P$305,'Incoming POs'!$A$2:$A$305,A390,'Incoming POs'!$B$2:$B$305,B390,'Incoming POs'!$C$2:$C$305,C390,'Incoming POs'!$G$2:$G$305,"&gt;="&amp;D390,'Incoming POs'!$G$2:$G$305,"&lt;"&amp;Dashboard!$I$5,'Incoming POs'!$Q$2:$Q$305,"&lt;="&amp;('Inventory inputs'!P390/'Inventory inputs'!J390*1.01)),"n.a.")</x:f>
        <x:v>n.a.</x:v>
      </x:c>
      <x:c r="AC390" s="9" t="n">
        <x:f>I390*G390</x:f>
        <x:v>0</x:v>
      </x:c>
      <x:c r="AD390" s="9" t="n">
        <x:f>J390*G390</x:f>
        <x:v>0</x:v>
      </x:c>
      <x:c r="AE390" s="9" t="n">
        <x:f>K390*G390</x:f>
        <x:v>31.5</x:v>
      </x:c>
      <x:c r="AF390" s="9" t="n">
        <x:f>R390*G390</x:f>
        <x:v>28.007326570841887</x:v>
      </x:c>
    </x:row>
    <x:row r="391" ht="21" customHeight="1">
      <x:c r="A391" s="1" t="str">
        <x:f>'Inventory inputs'!A391</x:f>
        <x:v>PLAS</x:v>
      </x:c>
      <x:c r="B391" s="1" t="str">
        <x:f>'Inventory inputs'!B391</x:f>
        <x:v>10</x:v>
      </x:c>
      <x:c r="C391" s="1" t="str">
        <x:f>'Inventory inputs'!C391</x:f>
        <x:v>11419RSLNAV</x:v>
      </x:c>
      <x:c r="D391" s="7" t="n">
        <x:f>'Inventory inputs'!E391</x:f>
        <x:v>46303</x:v>
      </x:c>
      <x:c r="E391" s="1" t="n">
        <x:f>'Inventory inputs'!F391</x:f>
        <x:v>350</x:v>
      </x:c>
      <x:c r="F391" s="1" t="n">
        <x:f>'Inventory inputs'!G391</x:f>
        <x:v>79.16</x:v>
      </x:c>
      <x:c r="G391" s="1" t="n">
        <x:f>'Inventory inputs'!H391/'Inventory inputs'!J391</x:f>
        <x:v>0.111</x:v>
      </x:c>
      <x:c r="H391" s="1" t="n">
        <x:f>IF('Inventory inputs'!I391&gt;0,'Inventory inputs'!I391*'Inventory inputs'!K391/'Inventory inputs'!J391,"n.a.")</x:f>
        <x:v>0.129801</x:v>
      </x:c>
      <x:c r="I391" s="1" t="n">
        <x:f>'Inventory inputs'!L391</x:f>
        <x:v>0</x:v>
      </x:c>
      <x:c r="J391" s="1" t="n">
        <x:f>'Inventory inputs'!M391</x:f>
        <x:v>0</x:v>
      </x:c>
      <x:c r="K391" s="1" t="n">
        <x:f>'Inventory inputs'!N391</x:f>
        <x:v>350</x:v>
      </x:c>
      <x:c r="L391" s="1" t="n">
        <x:f>'Inventory inputs'!O391</x:f>
        <x:v>0</x:v>
      </x:c>
      <x:c r="M391" s="9" t="n">
        <x:f>E391*G391</x:f>
        <x:v>38.85</x:v>
      </x:c>
      <x:c r="N391" s="9" t="n">
        <x:f>'Inventory inputs'!Q391</x:f>
        <x:v>38.85</x:v>
      </x:c>
      <x:c r="O391" s="9" t="n">
        <x:f>N391-M391</x:f>
        <x:v>0</x:v>
      </x:c>
      <x:c r="P391" s="1" t="n">
        <x:f>SUMIFS('Incoming POs'!$P$2:$P$305,'Incoming POs'!$A$2:$A$305,A391,'Incoming POs'!$B$2:$B$305,B391,'Incoming POs'!$C$2:$C$305,C391,'Incoming POs'!$G$2:$G$305,"&gt;="&amp;D391,'Incoming POs'!$G$2:$G$305,"&lt;"&amp;Dashboard!$I$5)</x:f>
        <x:v>3000</x:v>
      </x:c>
      <x:c r="Q391" s="1" t="n">
        <x:f>F391*Dashboard!$L$5*MAX(0,Dashboard!$I$5-D391)/30.4375</x:f>
        <x:v>105.32993839835729</x:v>
      </x:c>
      <x:c r="R391" s="1" t="n">
        <x:f>MAX(0,E391+P391-Q391)</x:f>
        <x:v>3244.670061601643</x:v>
      </x:c>
      <x:c r="S391" s="1" t="n">
        <x:f>MAX(0,Q391-E391-P391)</x:f>
        <x:v>0</x:v>
      </x:c>
      <x:c r="T391" s="1" t="str">
        <x:f>IF(L391=1,MAX(0,I391+AB391-MIN(Q391,E391+P391)),"n.a.")</x:f>
        <x:v>n.a.</x:v>
      </x:c>
      <x:c r="U391" s="9" t="str">
        <x:f>IF(ISNUMBER(T391),T391*G391,"n.a.")</x:f>
        <x:v>n.a.</x:v>
      </x:c>
      <x:c r="V391" s="25" t="n">
        <x:f>IF(Dashboard!$I$6="Flat %",1,IF(ISNUMBER(H391),1,0))</x:f>
        <x:v>1</x:v>
      </x:c>
      <x:c r="W391" s="9" t="n">
        <x:f>IF(Dashboard!$I$6="Flat %",G391*(1+Dashboard!$L$6),H391)</x:f>
        <x:v>0.129801</x:v>
      </x:c>
      <x:c r="X391" s="9" t="n">
        <x:f>IF(V391=1,R391*(W391-G391),"n.a.")</x:f>
        <x:v>61.00304182817248</x:v>
      </x:c>
      <x:c r="Y391" s="9" t="n">
        <x:f>IF(V391=1,R391*W391,"n.a.")</x:f>
        <x:v>421.16141866595484</x:v>
      </x:c>
      <x:c r="Z391" s="1" t="str">
        <x:f>IF(ISNUMBER(T391),R391-T391,"n.a.")</x:f>
        <x:v>n.a.</x:v>
      </x:c>
      <x:c r="AA391" s="1" t="str">
        <x:f>'Inventory inputs'!R391</x:f>
        <x:v>Review receipt reconciliation or original PO baseline</x:v>
      </x:c>
      <x:c r="AB391" s="1" t="str">
        <x:f>IF(L391=1,SUMIFS('Incoming POs'!$P$2:$P$305,'Incoming POs'!$A$2:$A$305,A391,'Incoming POs'!$B$2:$B$305,B391,'Incoming POs'!$C$2:$C$305,C391,'Incoming POs'!$G$2:$G$305,"&gt;="&amp;D391,'Incoming POs'!$G$2:$G$305,"&lt;"&amp;Dashboard!$I$5,'Incoming POs'!$Q$2:$Q$305,"&lt;="&amp;('Inventory inputs'!P391/'Inventory inputs'!J391*1.01)),"n.a.")</x:f>
        <x:v>n.a.</x:v>
      </x:c>
      <x:c r="AC391" s="9" t="n">
        <x:f>I391*G391</x:f>
        <x:v>0</x:v>
      </x:c>
      <x:c r="AD391" s="9" t="n">
        <x:f>J391*G391</x:f>
        <x:v>0</x:v>
      </x:c>
      <x:c r="AE391" s="9" t="n">
        <x:f>K391*G391</x:f>
        <x:v>38.85</x:v>
      </x:c>
      <x:c r="AF391" s="9" t="n">
        <x:f>R391*G391</x:f>
        <x:v>360.1583768377824</x:v>
      </x:c>
    </x:row>
    <x:row r="392" ht="21" customHeight="1">
      <x:c r="A392" s="1" t="str">
        <x:f>'Inventory inputs'!A392</x:f>
        <x:v>PLAS</x:v>
      </x:c>
      <x:c r="B392" s="1" t="str">
        <x:f>'Inventory inputs'!B392</x:f>
        <x:v>10</x:v>
      </x:c>
      <x:c r="C392" s="1" t="str">
        <x:f>'Inventory inputs'!C392</x:f>
        <x:v>13415RSLFG</x:v>
      </x:c>
      <x:c r="D392" s="7" t="n">
        <x:f>'Inventory inputs'!E392</x:f>
        <x:v>46303</x:v>
      </x:c>
      <x:c r="E392" s="1" t="n">
        <x:f>'Inventory inputs'!F392</x:f>
        <x:v>0</x:v>
      </x:c>
      <x:c r="F392" s="1" t="n">
        <x:f>'Inventory inputs'!G392</x:f>
        <x:v>78.33</x:v>
      </x:c>
      <x:c r="G392" s="1" t="n">
        <x:f>'Inventory inputs'!H392/'Inventory inputs'!J392</x:f>
        <x:v>0.081</x:v>
      </x:c>
      <x:c r="H392" s="1" t="n">
        <x:f>IF('Inventory inputs'!I392&gt;0,'Inventory inputs'!I392*'Inventory inputs'!K392/'Inventory inputs'!J392,"n.a.")</x:f>
        <x:v>0.1176</x:v>
      </x:c>
      <x:c r="I392" s="1" t="n">
        <x:f>'Inventory inputs'!L392</x:f>
        <x:v>0</x:v>
      </x:c>
      <x:c r="J392" s="1" t="n">
        <x:f>'Inventory inputs'!M392</x:f>
        <x:v>0</x:v>
      </x:c>
      <x:c r="K392" s="1" t="n">
        <x:f>'Inventory inputs'!N392</x:f>
        <x:v>0</x:v>
      </x:c>
      <x:c r="L392" s="1" t="n">
        <x:f>'Inventory inputs'!O392</x:f>
        <x:v>1</x:v>
      </x:c>
      <x:c r="M392" s="9" t="n">
        <x:f>E392*G392</x:f>
        <x:v>0</x:v>
      </x:c>
      <x:c r="N392" s="9" t="n">
        <x:f>'Inventory inputs'!Q392</x:f>
        <x:v>0</x:v>
      </x:c>
      <x:c r="O392" s="9" t="n">
        <x:f>N392-M392</x:f>
        <x:v>0</x:v>
      </x:c>
      <x:c r="P392" s="1" t="n">
        <x:f>SUMIFS('Incoming POs'!$P$2:$P$305,'Incoming POs'!$A$2:$A$305,A392,'Incoming POs'!$B$2:$B$305,B392,'Incoming POs'!$C$2:$C$305,C392,'Incoming POs'!$G$2:$G$305,"&gt;="&amp;D392,'Incoming POs'!$G$2:$G$305,"&lt;"&amp;Dashboard!$I$5)</x:f>
        <x:v>0</x:v>
      </x:c>
      <x:c r="Q392" s="1" t="n">
        <x:f>F392*Dashboard!$L$5*MAX(0,Dashboard!$I$5-D392)/30.4375</x:f>
        <x:v>104.22554414784395</x:v>
      </x:c>
      <x:c r="R392" s="1" t="n">
        <x:f>MAX(0,E392+P392-Q392)</x:f>
        <x:v>0</x:v>
      </x:c>
      <x:c r="S392" s="1" t="n">
        <x:f>MAX(0,Q392-E392-P392)</x:f>
        <x:v>104.22554414784395</x:v>
      </x:c>
      <x:c r="T392" s="1" t="n">
        <x:f>IF(L392=1,MAX(0,I392+AB392-MIN(Q392,E392+P392)),"n.a.")</x:f>
        <x:v>0</x:v>
      </x:c>
      <x:c r="U392" s="9" t="n">
        <x:f>IF(ISNUMBER(T392),T392*G392,"n.a.")</x:f>
        <x:v>0</x:v>
      </x:c>
      <x:c r="V392" s="25" t="n">
        <x:f>IF(Dashboard!$I$6="Flat %",1,IF(ISNUMBER(H392),1,0))</x:f>
        <x:v>1</x:v>
      </x:c>
      <x:c r="W392" s="9" t="n">
        <x:f>IF(Dashboard!$I$6="Flat %",G392*(1+Dashboard!$L$6),H392)</x:f>
        <x:v>0.1176</x:v>
      </x:c>
      <x:c r="X392" s="9" t="n">
        <x:f>IF(V392=1,R392*(W392-G392),"n.a.")</x:f>
        <x:v>0</x:v>
      </x:c>
      <x:c r="Y392" s="9" t="n">
        <x:f>IF(V392=1,R392*W392,"n.a.")</x:f>
        <x:v>0</x:v>
      </x:c>
      <x:c r="Z392" s="1" t="n">
        <x:f>IF(ISNUMBER(T392),R392-T392,"n.a.")</x:f>
        <x:v>0</x:v>
      </x:c>
      <x:c r="AA392" s="1" t="str">
        <x:f>'Inventory inputs'!R392</x:f>
        <x:v>Classified</x:v>
      </x:c>
      <x:c r="AB392" s="1" t="n">
        <x:f>IF(L392=1,SUMIFS('Incoming POs'!$P$2:$P$305,'Incoming POs'!$A$2:$A$305,A392,'Incoming POs'!$B$2:$B$305,B392,'Incoming POs'!$C$2:$C$305,C392,'Incoming POs'!$G$2:$G$305,"&gt;="&amp;D392,'Incoming POs'!$G$2:$G$305,"&lt;"&amp;Dashboard!$I$5,'Incoming POs'!$Q$2:$Q$305,"&lt;="&amp;('Inventory inputs'!P392/'Inventory inputs'!J392*1.01)),"n.a.")</x:f>
        <x:v>0</x:v>
      </x:c>
      <x:c r="AC392" s="9" t="n">
        <x:f>I392*G392</x:f>
        <x:v>0</x:v>
      </x:c>
      <x:c r="AD392" s="9" t="n">
        <x:f>J392*G392</x:f>
        <x:v>0</x:v>
      </x:c>
      <x:c r="AE392" s="9" t="n">
        <x:f>K392*G392</x:f>
        <x:v>0</x:v>
      </x:c>
      <x:c r="AF392" s="9" t="n">
        <x:f>R392*G392</x:f>
        <x:v>0</x:v>
      </x:c>
    </x:row>
    <x:row r="393" ht="21" customHeight="1">
      <x:c r="A393" s="1" t="str">
        <x:f>'Inventory inputs'!A393</x:f>
        <x:v>PLAS</x:v>
      </x:c>
      <x:c r="B393" s="1" t="str">
        <x:f>'Inventory inputs'!B393</x:f>
        <x:v>10</x:v>
      </x:c>
      <x:c r="C393" s="1" t="str">
        <x:f>'Inventory inputs'!C393</x:f>
        <x:v>11215RSLCLR</x:v>
      </x:c>
      <x:c r="D393" s="7" t="n">
        <x:f>'Inventory inputs'!E393</x:f>
        <x:v>46303</x:v>
      </x:c>
      <x:c r="E393" s="1" t="n">
        <x:f>'Inventory inputs'!F393</x:f>
        <x:v>500</x:v>
      </x:c>
      <x:c r="F393" s="1" t="n">
        <x:f>'Inventory inputs'!G393</x:f>
        <x:v>77.17</x:v>
      </x:c>
      <x:c r="G393" s="1" t="n">
        <x:f>'Inventory inputs'!H393/'Inventory inputs'!J393</x:f>
        <x:v>0.0701</x:v>
      </x:c>
      <x:c r="H393" s="1" t="n">
        <x:f>IF('Inventory inputs'!I393&gt;0,'Inventory inputs'!I393*'Inventory inputs'!K393/'Inventory inputs'!J393,"n.a.")</x:f>
        <x:v>0.103782</x:v>
      </x:c>
      <x:c r="I393" s="1" t="n">
        <x:f>'Inventory inputs'!L393</x:f>
        <x:v>0</x:v>
      </x:c>
      <x:c r="J393" s="1" t="n">
        <x:f>'Inventory inputs'!M393</x:f>
        <x:v>500</x:v>
      </x:c>
      <x:c r="K393" s="1" t="n">
        <x:f>'Inventory inputs'!N393</x:f>
        <x:v>0</x:v>
      </x:c>
      <x:c r="L393" s="1" t="n">
        <x:f>'Inventory inputs'!O393</x:f>
        <x:v>1</x:v>
      </x:c>
      <x:c r="M393" s="9" t="n">
        <x:f>E393*G393</x:f>
        <x:v>35.05</x:v>
      </x:c>
      <x:c r="N393" s="9" t="n">
        <x:f>'Inventory inputs'!Q393</x:f>
        <x:v>35.050000000000004</x:v>
      </x:c>
      <x:c r="O393" s="9" t="n">
        <x:f>N393-M393</x:f>
        <x:v>7.105427357601002e-15</x:v>
      </x:c>
      <x:c r="P393" s="1" t="n">
        <x:f>SUMIFS('Incoming POs'!$P$2:$P$305,'Incoming POs'!$A$2:$A$305,A393,'Incoming POs'!$B$2:$B$305,B393,'Incoming POs'!$C$2:$C$305,C393,'Incoming POs'!$G$2:$G$305,"&gt;="&amp;D393,'Incoming POs'!$G$2:$G$305,"&lt;"&amp;Dashboard!$I$5)</x:f>
        <x:v>0</x:v>
      </x:c>
      <x:c r="Q393" s="1" t="n">
        <x:f>F393*Dashboard!$L$5*MAX(0,Dashboard!$I$5-D393)/30.4375</x:f>
        <x:v>102.68205338809034</x:v>
      </x:c>
      <x:c r="R393" s="1" t="n">
        <x:f>MAX(0,E393+P393-Q393)</x:f>
        <x:v>397.31794661190963</x:v>
      </x:c>
      <x:c r="S393" s="1" t="n">
        <x:f>MAX(0,Q393-E393-P393)</x:f>
        <x:v>0</x:v>
      </x:c>
      <x:c r="T393" s="1" t="n">
        <x:f>IF(L393=1,MAX(0,I393+AB393-MIN(Q393,E393+P393)),"n.a.")</x:f>
        <x:v>0</x:v>
      </x:c>
      <x:c r="U393" s="9" t="n">
        <x:f>IF(ISNUMBER(T393),T393*G393,"n.a.")</x:f>
        <x:v>0</x:v>
      </x:c>
      <x:c r="V393" s="25" t="n">
        <x:f>IF(Dashboard!$I$6="Flat %",1,IF(ISNUMBER(H393),1,0))</x:f>
        <x:v>1</x:v>
      </x:c>
      <x:c r="W393" s="9" t="n">
        <x:f>IF(Dashboard!$I$6="Flat %",G393*(1+Dashboard!$L$6),H393)</x:f>
        <x:v>0.103782</x:v>
      </x:c>
      <x:c r="X393" s="9" t="n">
        <x:f>IF(V393=1,R393*(W393-G393),"n.a.")</x:f>
        <x:v>13.382463077782342</x:v>
      </x:c>
      <x:c r="Y393" s="9" t="n">
        <x:f>IF(V393=1,R393*W393,"n.a.")</x:f>
        <x:v>41.234451135277205</x:v>
      </x:c>
      <x:c r="Z393" s="1" t="n">
        <x:f>IF(ISNUMBER(T393),R393-T393,"n.a.")</x:f>
        <x:v>397.31794661190963</x:v>
      </x:c>
      <x:c r="AA393" s="1" t="str">
        <x:f>'Inventory inputs'!R393</x:f>
        <x:v>Classified</x:v>
      </x:c>
      <x:c r="AB393" s="1" t="n">
        <x:f>IF(L393=1,SUMIFS('Incoming POs'!$P$2:$P$305,'Incoming POs'!$A$2:$A$305,A393,'Incoming POs'!$B$2:$B$305,B393,'Incoming POs'!$C$2:$C$305,C393,'Incoming POs'!$G$2:$G$305,"&gt;="&amp;D393,'Incoming POs'!$G$2:$G$305,"&lt;"&amp;Dashboard!$I$5,'Incoming POs'!$Q$2:$Q$305,"&lt;="&amp;('Inventory inputs'!P393/'Inventory inputs'!J393*1.01)),"n.a.")</x:f>
        <x:v>0</x:v>
      </x:c>
      <x:c r="AC393" s="9" t="n">
        <x:f>I393*G393</x:f>
        <x:v>0</x:v>
      </x:c>
      <x:c r="AD393" s="9" t="n">
        <x:f>J393*G393</x:f>
        <x:v>35.05</x:v>
      </x:c>
      <x:c r="AE393" s="9" t="n">
        <x:f>K393*G393</x:f>
        <x:v>0</x:v>
      </x:c>
      <x:c r="AF393" s="9" t="n">
        <x:f>R393*G393</x:f>
        <x:v>27.851988057494864</x:v>
      </x:c>
    </x:row>
    <x:row r="394" ht="21" customHeight="1">
      <x:c r="A394" s="1" t="str">
        <x:f>'Inventory inputs'!A394</x:f>
        <x:v>PLAS</x:v>
      </x:c>
      <x:c r="B394" s="1" t="str">
        <x:f>'Inventory inputs'!B394</x:f>
        <x:v>10</x:v>
      </x:c>
      <x:c r="C394" s="1" t="str">
        <x:f>'Inventory inputs'!C394</x:f>
        <x:v>11219RSLRED</x:v>
      </x:c>
      <x:c r="D394" s="7" t="n">
        <x:f>'Inventory inputs'!E394</x:f>
        <x:v>46303</x:v>
      </x:c>
      <x:c r="E394" s="1" t="n">
        <x:f>'Inventory inputs'!F394</x:f>
        <x:v>1000</x:v>
      </x:c>
      <x:c r="F394" s="1" t="n">
        <x:f>'Inventory inputs'!G394</x:f>
        <x:v>75</x:v>
      </x:c>
      <x:c r="G394" s="1" t="n">
        <x:f>'Inventory inputs'!H394/'Inventory inputs'!J394</x:f>
        <x:v>0.1298</x:v>
      </x:c>
      <x:c r="H394" s="1" t="n">
        <x:f>IF('Inventory inputs'!I394&gt;0,'Inventory inputs'!I394*'Inventory inputs'!K394/'Inventory inputs'!J394,"n.a.")</x:f>
        <x:v>0.151851</x:v>
      </x:c>
      <x:c r="I394" s="1" t="n">
        <x:f>'Inventory inputs'!L394</x:f>
        <x:v>0</x:v>
      </x:c>
      <x:c r="J394" s="1" t="n">
        <x:f>'Inventory inputs'!M394</x:f>
        <x:v>1000</x:v>
      </x:c>
      <x:c r="K394" s="1" t="n">
        <x:f>'Inventory inputs'!N394</x:f>
        <x:v>0</x:v>
      </x:c>
      <x:c r="L394" s="1" t="n">
        <x:f>'Inventory inputs'!O394</x:f>
        <x:v>1</x:v>
      </x:c>
      <x:c r="M394" s="9" t="n">
        <x:f>E394*G394</x:f>
        <x:v>129.8</x:v>
      </x:c>
      <x:c r="N394" s="9" t="n">
        <x:f>'Inventory inputs'!Q394</x:f>
        <x:v>129.8</x:v>
      </x:c>
      <x:c r="O394" s="9" t="n">
        <x:f>N394-M394</x:f>
        <x:v>0</x:v>
      </x:c>
      <x:c r="P394" s="1" t="n">
        <x:f>SUMIFS('Incoming POs'!$P$2:$P$305,'Incoming POs'!$A$2:$A$305,A394,'Incoming POs'!$B$2:$B$305,B394,'Incoming POs'!$C$2:$C$305,C394,'Incoming POs'!$G$2:$G$305,"&gt;="&amp;D394,'Incoming POs'!$G$2:$G$305,"&lt;"&amp;Dashboard!$I$5)</x:f>
        <x:v>0</x:v>
      </x:c>
      <x:c r="Q394" s="1" t="n">
        <x:f>F394*Dashboard!$L$5*MAX(0,Dashboard!$I$5-D394)/30.4375</x:f>
        <x:v>99.79466119096509</x:v>
      </x:c>
      <x:c r="R394" s="1" t="n">
        <x:f>MAX(0,E394+P394-Q394)</x:f>
        <x:v>900.2053388090349</x:v>
      </x:c>
      <x:c r="S394" s="1" t="n">
        <x:f>MAX(0,Q394-E394-P394)</x:f>
        <x:v>0</x:v>
      </x:c>
      <x:c r="T394" s="1" t="n">
        <x:f>IF(L394=1,MAX(0,I394+AB394-MIN(Q394,E394+P394)),"n.a.")</x:f>
        <x:v>0</x:v>
      </x:c>
      <x:c r="U394" s="9" t="n">
        <x:f>IF(ISNUMBER(T394),T394*G394,"n.a.")</x:f>
        <x:v>0</x:v>
      </x:c>
      <x:c r="V394" s="25" t="n">
        <x:f>IF(Dashboard!$I$6="Flat %",1,IF(ISNUMBER(H394),1,0))</x:f>
        <x:v>1</x:v>
      </x:c>
      <x:c r="W394" s="9" t="n">
        <x:f>IF(Dashboard!$I$6="Flat %",G394*(1+Dashboard!$L$6),H394)</x:f>
        <x:v>0.151851</x:v>
      </x:c>
      <x:c r="X394" s="9" t="n">
        <x:f>IF(V394=1,R394*(W394-G394),"n.a.")</x:f>
        <x:v>19.85042792607804</x:v>
      </x:c>
      <x:c r="Y394" s="9" t="n">
        <x:f>IF(V394=1,R394*W394,"n.a.")</x:f>
        <x:v>136.69708090349076</x:v>
      </x:c>
      <x:c r="Z394" s="1" t="n">
        <x:f>IF(ISNUMBER(T394),R394-T394,"n.a.")</x:f>
        <x:v>900.2053388090349</x:v>
      </x:c>
      <x:c r="AA394" s="1" t="str">
        <x:f>'Inventory inputs'!R394</x:f>
        <x:v>Classified</x:v>
      </x:c>
      <x:c r="AB394" s="1" t="n">
        <x:f>IF(L394=1,SUMIFS('Incoming POs'!$P$2:$P$305,'Incoming POs'!$A$2:$A$305,A394,'Incoming POs'!$B$2:$B$305,B394,'Incoming POs'!$C$2:$C$305,C394,'Incoming POs'!$G$2:$G$305,"&gt;="&amp;D394,'Incoming POs'!$G$2:$G$305,"&lt;"&amp;Dashboard!$I$5,'Incoming POs'!$Q$2:$Q$305,"&lt;="&amp;('Inventory inputs'!P394/'Inventory inputs'!J394*1.01)),"n.a.")</x:f>
        <x:v>0</x:v>
      </x:c>
      <x:c r="AC394" s="9" t="n">
        <x:f>I394*G394</x:f>
        <x:v>0</x:v>
      </x:c>
      <x:c r="AD394" s="9" t="n">
        <x:f>J394*G394</x:f>
        <x:v>129.8</x:v>
      </x:c>
      <x:c r="AE394" s="9" t="n">
        <x:f>K394*G394</x:f>
        <x:v>0</x:v>
      </x:c>
      <x:c r="AF394" s="9" t="n">
        <x:f>R394*G394</x:f>
        <x:v>116.84665297741272</x:v>
      </x:c>
    </x:row>
    <x:row r="395" ht="21" customHeight="1">
      <x:c r="A395" s="1" t="str">
        <x:f>'Inventory inputs'!A395</x:f>
        <x:v>PLAS</x:v>
      </x:c>
      <x:c r="B395" s="1" t="str">
        <x:f>'Inventory inputs'!B395</x:f>
        <x:v>10</x:v>
      </x:c>
      <x:c r="C395" s="1" t="str">
        <x:f>'Inventory inputs'!C395</x:f>
        <x:v>00219RSLMAR</x:v>
      </x:c>
      <x:c r="D395" s="7" t="n">
        <x:f>'Inventory inputs'!E395</x:f>
        <x:v>46303</x:v>
      </x:c>
      <x:c r="E395" s="1" t="n">
        <x:f>'Inventory inputs'!F395</x:f>
        <x:v>280</x:v>
      </x:c>
      <x:c r="F395" s="1" t="n">
        <x:f>'Inventory inputs'!G395</x:f>
        <x:v>70</x:v>
      </x:c>
      <x:c r="G395" s="1" t="n">
        <x:f>'Inventory inputs'!H395/'Inventory inputs'!J395</x:f>
        <x:v>0.1477</x:v>
      </x:c>
      <x:c r="H395" s="1" t="n">
        <x:f>IF('Inventory inputs'!I395&gt;0,'Inventory inputs'!I395*'Inventory inputs'!K395/'Inventory inputs'!J395,"n.a.")</x:f>
        <x:v>0.172872</x:v>
      </x:c>
      <x:c r="I395" s="1" t="n">
        <x:f>'Inventory inputs'!L395</x:f>
        <x:v>280</x:v>
      </x:c>
      <x:c r="J395" s="1" t="n">
        <x:f>'Inventory inputs'!M395</x:f>
        <x:v>0</x:v>
      </x:c>
      <x:c r="K395" s="1" t="n">
        <x:f>'Inventory inputs'!N395</x:f>
        <x:v>0</x:v>
      </x:c>
      <x:c r="L395" s="1" t="n">
        <x:f>'Inventory inputs'!O395</x:f>
        <x:v>1</x:v>
      </x:c>
      <x:c r="M395" s="9" t="n">
        <x:f>E395*G395</x:f>
        <x:v>41.356</x:v>
      </x:c>
      <x:c r="N395" s="9" t="n">
        <x:f>'Inventory inputs'!Q395</x:f>
        <x:v>41.355999999999995</x:v>
      </x:c>
      <x:c r="O395" s="9" t="n">
        <x:f>N395-M395</x:f>
        <x:v>-7.105427357601002e-15</x:v>
      </x:c>
      <x:c r="P395" s="1" t="n">
        <x:f>SUMIFS('Incoming POs'!$P$2:$P$305,'Incoming POs'!$A$2:$A$305,A395,'Incoming POs'!$B$2:$B$305,B395,'Incoming POs'!$C$2:$C$305,C395,'Incoming POs'!$G$2:$G$305,"&gt;="&amp;D395,'Incoming POs'!$G$2:$G$305,"&lt;"&amp;Dashboard!$I$5)</x:f>
        <x:v>1200</x:v>
      </x:c>
      <x:c r="Q395" s="1" t="n">
        <x:f>F395*Dashboard!$L$5*MAX(0,Dashboard!$I$5-D395)/30.4375</x:f>
        <x:v>93.14168377823408</x:v>
      </x:c>
      <x:c r="R395" s="1" t="n">
        <x:f>MAX(0,E395+P395-Q395)</x:f>
        <x:v>1386.858316221766</x:v>
      </x:c>
      <x:c r="S395" s="1" t="n">
        <x:f>MAX(0,Q395-E395-P395)</x:f>
        <x:v>0</x:v>
      </x:c>
      <x:c r="T395" s="1" t="n">
        <x:f>IF(L395=1,MAX(0,I395+AB395-MIN(Q395,E395+P395)),"n.a.")</x:f>
        <x:v>186.8583162217659</x:v>
      </x:c>
      <x:c r="U395" s="9" t="n">
        <x:f>IF(ISNUMBER(T395),T395*G395,"n.a.")</x:f>
        <x:v>27.598973305954825</x:v>
      </x:c>
      <x:c r="V395" s="25" t="n">
        <x:f>IF(Dashboard!$I$6="Flat %",1,IF(ISNUMBER(H395),1,0))</x:f>
        <x:v>1</x:v>
      </x:c>
      <x:c r="W395" s="9" t="n">
        <x:f>IF(Dashboard!$I$6="Flat %",G395*(1+Dashboard!$L$6),H395)</x:f>
        <x:v>0.172872</x:v>
      </x:c>
      <x:c r="X395" s="9" t="n">
        <x:f>IF(V395=1,R395*(W395-G395),"n.a.")</x:f>
        <x:v>34.909997535934295</x:v>
      </x:c>
      <x:c r="Y395" s="9" t="n">
        <x:f>IF(V395=1,R395*W395,"n.a.")</x:f>
        <x:v>239.74897084188913</x:v>
      </x:c>
      <x:c r="Z395" s="1" t="n">
        <x:f>IF(ISNUMBER(T395),R395-T395,"n.a.")</x:f>
        <x:v>1200</x:v>
      </x:c>
      <x:c r="AA395" s="1" t="str">
        <x:f>'Inventory inputs'!R395</x:f>
        <x:v>Classified</x:v>
      </x:c>
      <x:c r="AB395" s="1" t="n">
        <x:f>IF(L395=1,SUMIFS('Incoming POs'!$P$2:$P$305,'Incoming POs'!$A$2:$A$305,A395,'Incoming POs'!$B$2:$B$305,B395,'Incoming POs'!$C$2:$C$305,C395,'Incoming POs'!$G$2:$G$305,"&gt;="&amp;D395,'Incoming POs'!$G$2:$G$305,"&lt;"&amp;Dashboard!$I$5,'Incoming POs'!$Q$2:$Q$305,"&lt;="&amp;('Inventory inputs'!P395/'Inventory inputs'!J395*1.01)),"n.a.")</x:f>
        <x:v>0</x:v>
      </x:c>
      <x:c r="AC395" s="9" t="n">
        <x:f>I395*G395</x:f>
        <x:v>41.356</x:v>
      </x:c>
      <x:c r="AD395" s="9" t="n">
        <x:f>J395*G395</x:f>
        <x:v>0</x:v>
      </x:c>
      <x:c r="AE395" s="9" t="n">
        <x:f>K395*G395</x:f>
        <x:v>0</x:v>
      </x:c>
      <x:c r="AF395" s="9" t="n">
        <x:f>R395*G395</x:f>
        <x:v>204.83897330595485</x:v>
      </x:c>
    </x:row>
    <x:row r="396" ht="21" customHeight="1">
      <x:c r="A396" s="1" t="str">
        <x:f>'Inventory inputs'!A396</x:f>
        <x:v>PLAS</x:v>
      </x:c>
      <x:c r="B396" s="1" t="str">
        <x:f>'Inventory inputs'!B396</x:f>
        <x:v>30</x:v>
      </x:c>
      <x:c r="C396" s="1" t="str">
        <x:f>'Inventory inputs'!C396</x:f>
        <x:v>00219RSLWHT</x:v>
      </x:c>
      <x:c r="D396" s="7" t="n">
        <x:f>'Inventory inputs'!E396</x:f>
        <x:v>46303</x:v>
      </x:c>
      <x:c r="E396" s="1" t="n">
        <x:f>'Inventory inputs'!F396</x:f>
        <x:v>1000</x:v>
      </x:c>
      <x:c r="F396" s="1" t="n">
        <x:f>'Inventory inputs'!G396</x:f>
        <x:v>66.67</x:v>
      </x:c>
      <x:c r="G396" s="1" t="n">
        <x:f>'Inventory inputs'!H396/'Inventory inputs'!J396</x:f>
        <x:v>0.1477</x:v>
      </x:c>
      <x:c r="H396" s="1" t="n">
        <x:f>IF('Inventory inputs'!I396&gt;0,'Inventory inputs'!I396*'Inventory inputs'!K396/'Inventory inputs'!J396,"n.a.")</x:f>
        <x:v>0.172872</x:v>
      </x:c>
      <x:c r="I396" s="1" t="n">
        <x:f>'Inventory inputs'!L396</x:f>
        <x:v>0</x:v>
      </x:c>
      <x:c r="J396" s="1" t="n">
        <x:f>'Inventory inputs'!M396</x:f>
        <x:v>0</x:v>
      </x:c>
      <x:c r="K396" s="1" t="n">
        <x:f>'Inventory inputs'!N396</x:f>
        <x:v>1000</x:v>
      </x:c>
      <x:c r="L396" s="1" t="n">
        <x:f>'Inventory inputs'!O396</x:f>
        <x:v>0</x:v>
      </x:c>
      <x:c r="M396" s="9" t="n">
        <x:f>E396*G396</x:f>
        <x:v>147.7</x:v>
      </x:c>
      <x:c r="N396" s="9" t="n">
        <x:f>'Inventory inputs'!Q396</x:f>
        <x:v>147.70000000000002</x:v>
      </x:c>
      <x:c r="O396" s="9" t="n">
        <x:f>N396-M396</x:f>
        <x:v>2.842170943040401e-14</x:v>
      </x:c>
      <x:c r="P396" s="1" t="n">
        <x:f>SUMIFS('Incoming POs'!$P$2:$P$305,'Incoming POs'!$A$2:$A$305,A396,'Incoming POs'!$B$2:$B$305,B396,'Incoming POs'!$C$2:$C$305,C396,'Incoming POs'!$G$2:$G$305,"&gt;="&amp;D396,'Incoming POs'!$G$2:$G$305,"&lt;"&amp;Dashboard!$I$5)</x:f>
        <x:v>0</x:v>
      </x:c>
      <x:c r="Q396" s="1" t="n">
        <x:f>F396*Dashboard!$L$5*MAX(0,Dashboard!$I$5-D396)/30.4375</x:f>
        <x:v>88.71080082135524</x:v>
      </x:c>
      <x:c r="R396" s="1" t="n">
        <x:f>MAX(0,E396+P396-Q396)</x:f>
        <x:v>911.2891991786448</x:v>
      </x:c>
      <x:c r="S396" s="1" t="n">
        <x:f>MAX(0,Q396-E396-P396)</x:f>
        <x:v>0</x:v>
      </x:c>
      <x:c r="T396" s="1" t="str">
        <x:f>IF(L396=1,MAX(0,I396+AB396-MIN(Q396,E396+P396)),"n.a.")</x:f>
        <x:v>n.a.</x:v>
      </x:c>
      <x:c r="U396" s="9" t="str">
        <x:f>IF(ISNUMBER(T396),T396*G396,"n.a.")</x:f>
        <x:v>n.a.</x:v>
      </x:c>
      <x:c r="V396" s="25" t="n">
        <x:f>IF(Dashboard!$I$6="Flat %",1,IF(ISNUMBER(H396),1,0))</x:f>
        <x:v>1</x:v>
      </x:c>
      <x:c r="W396" s="9" t="n">
        <x:f>IF(Dashboard!$I$6="Flat %",G396*(1+Dashboard!$L$6),H396)</x:f>
        <x:v>0.172872</x:v>
      </x:c>
      <x:c r="X396" s="9" t="n">
        <x:f>IF(V396=1,R396*(W396-G396),"n.a.")</x:f>
        <x:v>22.938971721724847</x:v>
      </x:c>
      <x:c r="Y396" s="9" t="n">
        <x:f>IF(V396=1,R396*W396,"n.a.")</x:f>
        <x:v>157.5363864404107</x:v>
      </x:c>
      <x:c r="Z396" s="1" t="str">
        <x:f>IF(ISNUMBER(T396),R396-T396,"n.a.")</x:f>
        <x:v>n.a.</x:v>
      </x:c>
      <x:c r="AA396" s="1" t="str">
        <x:f>'Inventory inputs'!R396</x:f>
        <x:v>Review receipt reconciliation or original PO baseline</x:v>
      </x:c>
      <x:c r="AB396" s="1" t="str">
        <x:f>IF(L396=1,SUMIFS('Incoming POs'!$P$2:$P$305,'Incoming POs'!$A$2:$A$305,A396,'Incoming POs'!$B$2:$B$305,B396,'Incoming POs'!$C$2:$C$305,C396,'Incoming POs'!$G$2:$G$305,"&gt;="&amp;D396,'Incoming POs'!$G$2:$G$305,"&lt;"&amp;Dashboard!$I$5,'Incoming POs'!$Q$2:$Q$305,"&lt;="&amp;('Inventory inputs'!P396/'Inventory inputs'!J396*1.01)),"n.a.")</x:f>
        <x:v>n.a.</x:v>
      </x:c>
      <x:c r="AC396" s="9" t="n">
        <x:f>I396*G396</x:f>
        <x:v>0</x:v>
      </x:c>
      <x:c r="AD396" s="9" t="n">
        <x:f>J396*G396</x:f>
        <x:v>0</x:v>
      </x:c>
      <x:c r="AE396" s="9" t="n">
        <x:f>K396*G396</x:f>
        <x:v>147.7</x:v>
      </x:c>
      <x:c r="AF396" s="9" t="n">
        <x:f>R396*G396</x:f>
        <x:v>134.59741471868583</x:v>
      </x:c>
    </x:row>
    <x:row r="397" ht="21" customHeight="1">
      <x:c r="A397" s="1" t="str">
        <x:f>'Inventory inputs'!A397</x:f>
        <x:v>PLAS</x:v>
      </x:c>
      <x:c r="B397" s="1" t="str">
        <x:f>'Inventory inputs'!B397</x:f>
        <x:v>30</x:v>
      </x:c>
      <x:c r="C397" s="1" t="str">
        <x:f>'Inventory inputs'!C397</x:f>
        <x:v>01219RWBFG</x:v>
      </x:c>
      <x:c r="D397" s="7" t="n">
        <x:f>'Inventory inputs'!E397</x:f>
        <x:v>46303</x:v>
      </x:c>
      <x:c r="E397" s="1" t="n">
        <x:f>'Inventory inputs'!F397</x:f>
        <x:v>2100</x:v>
      </x:c>
      <x:c r="F397" s="1" t="n">
        <x:f>'Inventory inputs'!G397</x:f>
        <x:v>66.67</x:v>
      </x:c>
      <x:c r="G397" s="1" t="n">
        <x:f>'Inventory inputs'!H397/'Inventory inputs'!J397</x:f>
        <x:v>0.036000000000000004</x:v>
      </x:c>
      <x:c r="H397" s="1" t="n">
        <x:f>IF('Inventory inputs'!I397&gt;0,'Inventory inputs'!I397*'Inventory inputs'!K397/'Inventory inputs'!J397,"n.a.")</x:f>
        <x:v>0.042189</x:v>
      </x:c>
      <x:c r="I397" s="1" t="n">
        <x:f>'Inventory inputs'!L397</x:f>
        <x:v>0</x:v>
      </x:c>
      <x:c r="J397" s="1" t="n">
        <x:f>'Inventory inputs'!M397</x:f>
        <x:v>0</x:v>
      </x:c>
      <x:c r="K397" s="1" t="n">
        <x:f>'Inventory inputs'!N397</x:f>
        <x:v>2100</x:v>
      </x:c>
      <x:c r="L397" s="1" t="n">
        <x:f>'Inventory inputs'!O397</x:f>
        <x:v>0</x:v>
      </x:c>
      <x:c r="M397" s="9" t="n">
        <x:f>E397*G397</x:f>
        <x:v>75.60000000000001</x:v>
      </x:c>
      <x:c r="N397" s="9" t="n">
        <x:f>'Inventory inputs'!Q397</x:f>
        <x:v>75.60000000000001</x:v>
      </x:c>
      <x:c r="O397" s="9" t="n">
        <x:f>N397-M397</x:f>
        <x:v>0</x:v>
      </x:c>
      <x:c r="P397" s="1" t="n">
        <x:f>SUMIFS('Incoming POs'!$P$2:$P$305,'Incoming POs'!$A$2:$A$305,A397,'Incoming POs'!$B$2:$B$305,B397,'Incoming POs'!$C$2:$C$305,C397,'Incoming POs'!$G$2:$G$305,"&gt;="&amp;D397,'Incoming POs'!$G$2:$G$305,"&lt;"&amp;Dashboard!$I$5)</x:f>
        <x:v>0</x:v>
      </x:c>
      <x:c r="Q397" s="1" t="n">
        <x:f>F397*Dashboard!$L$5*MAX(0,Dashboard!$I$5-D397)/30.4375</x:f>
        <x:v>88.71080082135524</x:v>
      </x:c>
      <x:c r="R397" s="1" t="n">
        <x:f>MAX(0,E397+P397-Q397)</x:f>
        <x:v>2011.2891991786448</x:v>
      </x:c>
      <x:c r="S397" s="1" t="n">
        <x:f>MAX(0,Q397-E397-P397)</x:f>
        <x:v>0</x:v>
      </x:c>
      <x:c r="T397" s="1" t="str">
        <x:f>IF(L397=1,MAX(0,I397+AB397-MIN(Q397,E397+P397)),"n.a.")</x:f>
        <x:v>n.a.</x:v>
      </x:c>
      <x:c r="U397" s="9" t="str">
        <x:f>IF(ISNUMBER(T397),T397*G397,"n.a.")</x:f>
        <x:v>n.a.</x:v>
      </x:c>
      <x:c r="V397" s="25" t="n">
        <x:f>IF(Dashboard!$I$6="Flat %",1,IF(ISNUMBER(H397),1,0))</x:f>
        <x:v>1</x:v>
      </x:c>
      <x:c r="W397" s="9" t="n">
        <x:f>IF(Dashboard!$I$6="Flat %",G397*(1+Dashboard!$L$6),H397)</x:f>
        <x:v>0.042189</x:v>
      </x:c>
      <x:c r="X397" s="9" t="n">
        <x:f>IF(V397=1,R397*(W397-G397),"n.a.")</x:f>
        <x:v>12.447868853716619</x:v>
      </x:c>
      <x:c r="Y397" s="9" t="n">
        <x:f>IF(V397=1,R397*W397,"n.a.")</x:f>
        <x:v>84.85428002414784</x:v>
      </x:c>
      <x:c r="Z397" s="1" t="str">
        <x:f>IF(ISNUMBER(T397),R397-T397,"n.a.")</x:f>
        <x:v>n.a.</x:v>
      </x:c>
      <x:c r="AA397" s="1" t="str">
        <x:f>'Inventory inputs'!R397</x:f>
        <x:v>Review receipt reconciliation or original PO baseline</x:v>
      </x:c>
      <x:c r="AB397" s="1" t="str">
        <x:f>IF(L397=1,SUMIFS('Incoming POs'!$P$2:$P$305,'Incoming POs'!$A$2:$A$305,A397,'Incoming POs'!$B$2:$B$305,B397,'Incoming POs'!$C$2:$C$305,C397,'Incoming POs'!$G$2:$G$305,"&gt;="&amp;D397,'Incoming POs'!$G$2:$G$305,"&lt;"&amp;Dashboard!$I$5,'Incoming POs'!$Q$2:$Q$305,"&lt;="&amp;('Inventory inputs'!P397/'Inventory inputs'!J397*1.01)),"n.a.")</x:f>
        <x:v>n.a.</x:v>
      </x:c>
      <x:c r="AC397" s="9" t="n">
        <x:f>I397*G397</x:f>
        <x:v>0</x:v>
      </x:c>
      <x:c r="AD397" s="9" t="n">
        <x:f>J397*G397</x:f>
        <x:v>0</x:v>
      </x:c>
      <x:c r="AE397" s="9" t="n">
        <x:f>K397*G397</x:f>
        <x:v>75.60000000000001</x:v>
      </x:c>
      <x:c r="AF397" s="9" t="n">
        <x:f>R397*G397</x:f>
        <x:v>72.40641117043123</x:v>
      </x:c>
    </x:row>
    <x:row r="398" ht="21" customHeight="1">
      <x:c r="A398" s="1" t="str">
        <x:f>'Inventory inputs'!A398</x:f>
        <x:v>PLAS</x:v>
      </x:c>
      <x:c r="B398" s="1" t="str">
        <x:f>'Inventory inputs'!B398</x:f>
        <x:v>30</x:v>
      </x:c>
      <x:c r="C398" s="1" t="str">
        <x:f>'Inventory inputs'!C398</x:f>
        <x:v>71619RWBCLR</x:v>
      </x:c>
      <x:c r="D398" s="7" t="n">
        <x:f>'Inventory inputs'!E398</x:f>
        <x:v>46303</x:v>
      </x:c>
      <x:c r="E398" s="1" t="n">
        <x:f>'Inventory inputs'!F398</x:f>
        <x:v>900</x:v>
      </x:c>
      <x:c r="F398" s="1" t="n">
        <x:f>'Inventory inputs'!G398</x:f>
        <x:v>66.67</x:v>
      </x:c>
      <x:c r="G398" s="1" t="n">
        <x:f>'Inventory inputs'!H398/'Inventory inputs'!J398</x:f>
        <x:v>0.0315</x:v>
      </x:c>
      <x:c r="H398" s="1" t="n">
        <x:f>IF('Inventory inputs'!I398&gt;0,'Inventory inputs'!I398*'Inventory inputs'!K398/'Inventory inputs'!J398,"n.a.")</x:f>
        <x:v>0.03675</x:v>
      </x:c>
      <x:c r="I398" s="1" t="n">
        <x:f>'Inventory inputs'!L398</x:f>
        <x:v>0</x:v>
      </x:c>
      <x:c r="J398" s="1" t="n">
        <x:f>'Inventory inputs'!M398</x:f>
        <x:v>0</x:v>
      </x:c>
      <x:c r="K398" s="1" t="n">
        <x:f>'Inventory inputs'!N398</x:f>
        <x:v>900</x:v>
      </x:c>
      <x:c r="L398" s="1" t="n">
        <x:f>'Inventory inputs'!O398</x:f>
        <x:v>0</x:v>
      </x:c>
      <x:c r="M398" s="9" t="n">
        <x:f>E398*G398</x:f>
        <x:v>28.35</x:v>
      </x:c>
      <x:c r="N398" s="9" t="n">
        <x:f>'Inventory inputs'!Q398</x:f>
        <x:v>28.35</x:v>
      </x:c>
      <x:c r="O398" s="9" t="n">
        <x:f>N398-M398</x:f>
        <x:v>0</x:v>
      </x:c>
      <x:c r="P398" s="1" t="n">
        <x:f>SUMIFS('Incoming POs'!$P$2:$P$305,'Incoming POs'!$A$2:$A$305,A398,'Incoming POs'!$B$2:$B$305,B398,'Incoming POs'!$C$2:$C$305,C398,'Incoming POs'!$G$2:$G$305,"&gt;="&amp;D398,'Incoming POs'!$G$2:$G$305,"&lt;"&amp;Dashboard!$I$5)</x:f>
        <x:v>0</x:v>
      </x:c>
      <x:c r="Q398" s="1" t="n">
        <x:f>F398*Dashboard!$L$5*MAX(0,Dashboard!$I$5-D398)/30.4375</x:f>
        <x:v>88.71080082135524</x:v>
      </x:c>
      <x:c r="R398" s="1" t="n">
        <x:f>MAX(0,E398+P398-Q398)</x:f>
        <x:v>811.2891991786448</x:v>
      </x:c>
      <x:c r="S398" s="1" t="n">
        <x:f>MAX(0,Q398-E398-P398)</x:f>
        <x:v>0</x:v>
      </x:c>
      <x:c r="T398" s="1" t="str">
        <x:f>IF(L398=1,MAX(0,I398+AB398-MIN(Q398,E398+P398)),"n.a.")</x:f>
        <x:v>n.a.</x:v>
      </x:c>
      <x:c r="U398" s="9" t="str">
        <x:f>IF(ISNUMBER(T398),T398*G398,"n.a.")</x:f>
        <x:v>n.a.</x:v>
      </x:c>
      <x:c r="V398" s="25" t="n">
        <x:f>IF(Dashboard!$I$6="Flat %",1,IF(ISNUMBER(H398),1,0))</x:f>
        <x:v>1</x:v>
      </x:c>
      <x:c r="W398" s="9" t="n">
        <x:f>IF(Dashboard!$I$6="Flat %",G398*(1+Dashboard!$L$6),H398)</x:f>
        <x:v>0.03675</x:v>
      </x:c>
      <x:c r="X398" s="9" t="n">
        <x:f>IF(V398=1,R398*(W398-G398),"n.a.")</x:f>
        <x:v>4.259268295687884</x:v>
      </x:c>
      <x:c r="Y398" s="9" t="n">
        <x:f>IF(V398=1,R398*W398,"n.a.")</x:f>
        <x:v>29.814878069815194</x:v>
      </x:c>
      <x:c r="Z398" s="1" t="str">
        <x:f>IF(ISNUMBER(T398),R398-T398,"n.a.")</x:f>
        <x:v>n.a.</x:v>
      </x:c>
      <x:c r="AA398" s="1" t="str">
        <x:f>'Inventory inputs'!R398</x:f>
        <x:v>Review receipt reconciliation or original PO baseline</x:v>
      </x:c>
      <x:c r="AB398" s="1" t="str">
        <x:f>IF(L398=1,SUMIFS('Incoming POs'!$P$2:$P$305,'Incoming POs'!$A$2:$A$305,A398,'Incoming POs'!$B$2:$B$305,B398,'Incoming POs'!$C$2:$C$305,C398,'Incoming POs'!$G$2:$G$305,"&gt;="&amp;D398,'Incoming POs'!$G$2:$G$305,"&lt;"&amp;Dashboard!$I$5,'Incoming POs'!$Q$2:$Q$305,"&lt;="&amp;('Inventory inputs'!P398/'Inventory inputs'!J398*1.01)),"n.a.")</x:f>
        <x:v>n.a.</x:v>
      </x:c>
      <x:c r="AC398" s="9" t="n">
        <x:f>I398*G398</x:f>
        <x:v>0</x:v>
      </x:c>
      <x:c r="AD398" s="9" t="n">
        <x:f>J398*G398</x:f>
        <x:v>0</x:v>
      </x:c>
      <x:c r="AE398" s="9" t="n">
        <x:f>K398*G398</x:f>
        <x:v>28.35</x:v>
      </x:c>
      <x:c r="AF398" s="9" t="n">
        <x:f>R398*G398</x:f>
        <x:v>25.555609774127312</x:v>
      </x:c>
    </x:row>
    <x:row r="399" ht="21" customHeight="1">
      <x:c r="A399" s="1" t="str">
        <x:f>'Inventory inputs'!A399</x:f>
        <x:v>PLAS</x:v>
      </x:c>
      <x:c r="B399" s="1" t="str">
        <x:f>'Inventory inputs'!B399</x:f>
        <x:v>30</x:v>
      </x:c>
      <x:c r="C399" s="1" t="str">
        <x:f>'Inventory inputs'!C399</x:f>
        <x:v>91619RWBWHT</x:v>
      </x:c>
      <x:c r="D399" s="7" t="n">
        <x:f>'Inventory inputs'!E399</x:f>
        <x:v>46303</x:v>
      </x:c>
      <x:c r="E399" s="1" t="n">
        <x:f>'Inventory inputs'!F399</x:f>
        <x:v>1000</x:v>
      </x:c>
      <x:c r="F399" s="1" t="n">
        <x:f>'Inventory inputs'!G399</x:f>
        <x:v>66.67</x:v>
      </x:c>
      <x:c r="G399" s="1" t="n">
        <x:f>'Inventory inputs'!H399/'Inventory inputs'!J399</x:f>
        <x:v>0.042800000000000005</x:v>
      </x:c>
      <x:c r="H399" s="1" t="n">
        <x:f>IF('Inventory inputs'!I399&gt;0,'Inventory inputs'!I399*'Inventory inputs'!K399/'Inventory inputs'!J399,"n.a.")</x:f>
        <x:v>0.049980000000000004</x:v>
      </x:c>
      <x:c r="I399" s="1" t="n">
        <x:f>'Inventory inputs'!L399</x:f>
        <x:v>0</x:v>
      </x:c>
      <x:c r="J399" s="1" t="n">
        <x:f>'Inventory inputs'!M399</x:f>
        <x:v>0</x:v>
      </x:c>
      <x:c r="K399" s="1" t="n">
        <x:f>'Inventory inputs'!N399</x:f>
        <x:v>1000</x:v>
      </x:c>
      <x:c r="L399" s="1" t="n">
        <x:f>'Inventory inputs'!O399</x:f>
        <x:v>0</x:v>
      </x:c>
      <x:c r="M399" s="9" t="n">
        <x:f>E399*G399</x:f>
        <x:v>42.800000000000004</x:v>
      </x:c>
      <x:c r="N399" s="9" t="n">
        <x:f>'Inventory inputs'!Q399</x:f>
        <x:v>42.800000000000004</x:v>
      </x:c>
      <x:c r="O399" s="9" t="n">
        <x:f>N399-M399</x:f>
        <x:v>0</x:v>
      </x:c>
      <x:c r="P399" s="1" t="n">
        <x:f>SUMIFS('Incoming POs'!$P$2:$P$305,'Incoming POs'!$A$2:$A$305,A399,'Incoming POs'!$B$2:$B$305,B399,'Incoming POs'!$C$2:$C$305,C399,'Incoming POs'!$G$2:$G$305,"&gt;="&amp;D399,'Incoming POs'!$G$2:$G$305,"&lt;"&amp;Dashboard!$I$5)</x:f>
        <x:v>0</x:v>
      </x:c>
      <x:c r="Q399" s="1" t="n">
        <x:f>F399*Dashboard!$L$5*MAX(0,Dashboard!$I$5-D399)/30.4375</x:f>
        <x:v>88.71080082135524</x:v>
      </x:c>
      <x:c r="R399" s="1" t="n">
        <x:f>MAX(0,E399+P399-Q399)</x:f>
        <x:v>911.2891991786448</x:v>
      </x:c>
      <x:c r="S399" s="1" t="n">
        <x:f>MAX(0,Q399-E399-P399)</x:f>
        <x:v>0</x:v>
      </x:c>
      <x:c r="T399" s="1" t="str">
        <x:f>IF(L399=1,MAX(0,I399+AB399-MIN(Q399,E399+P399)),"n.a.")</x:f>
        <x:v>n.a.</x:v>
      </x:c>
      <x:c r="U399" s="9" t="str">
        <x:f>IF(ISNUMBER(T399),T399*G399,"n.a.")</x:f>
        <x:v>n.a.</x:v>
      </x:c>
      <x:c r="V399" s="25" t="n">
        <x:f>IF(Dashboard!$I$6="Flat %",1,IF(ISNUMBER(H399),1,0))</x:f>
        <x:v>1</x:v>
      </x:c>
      <x:c r="W399" s="9" t="n">
        <x:f>IF(Dashboard!$I$6="Flat %",G399*(1+Dashboard!$L$6),H399)</x:f>
        <x:v>0.049980000000000004</x:v>
      </x:c>
      <x:c r="X399" s="9" t="n">
        <x:f>IF(V399=1,R399*(W399-G399),"n.a.")</x:f>
        <x:v>6.543056450102669</x:v>
      </x:c>
      <x:c r="Y399" s="9" t="n">
        <x:f>IF(V399=1,R399*W399,"n.a.")</x:f>
        <x:v>45.54623417494867</x:v>
      </x:c>
      <x:c r="Z399" s="1" t="str">
        <x:f>IF(ISNUMBER(T399),R399-T399,"n.a.")</x:f>
        <x:v>n.a.</x:v>
      </x:c>
      <x:c r="AA399" s="1" t="str">
        <x:f>'Inventory inputs'!R399</x:f>
        <x:v>Review receipt reconciliation or original PO baseline</x:v>
      </x:c>
      <x:c r="AB399" s="1" t="str">
        <x:f>IF(L399=1,SUMIFS('Incoming POs'!$P$2:$P$305,'Incoming POs'!$A$2:$A$305,A399,'Incoming POs'!$B$2:$B$305,B399,'Incoming POs'!$C$2:$C$305,C399,'Incoming POs'!$G$2:$G$305,"&gt;="&amp;D399,'Incoming POs'!$G$2:$G$305,"&lt;"&amp;Dashboard!$I$5,'Incoming POs'!$Q$2:$Q$305,"&lt;="&amp;('Inventory inputs'!P399/'Inventory inputs'!J399*1.01)),"n.a.")</x:f>
        <x:v>n.a.</x:v>
      </x:c>
      <x:c r="AC399" s="9" t="n">
        <x:f>I399*G399</x:f>
        <x:v>0</x:v>
      </x:c>
      <x:c r="AD399" s="9" t="n">
        <x:f>J399*G399</x:f>
        <x:v>0</x:v>
      </x:c>
      <x:c r="AE399" s="9" t="n">
        <x:f>K399*G399</x:f>
        <x:v>42.800000000000004</x:v>
      </x:c>
      <x:c r="AF399" s="9" t="n">
        <x:f>R399*G399</x:f>
        <x:v>39.003177724846005</x:v>
      </x:c>
    </x:row>
    <x:row r="400" ht="21" customHeight="1">
      <x:c r="A400" s="1" t="str">
        <x:f>'Inventory inputs'!A400</x:f>
        <x:v>PLAS</x:v>
      </x:c>
      <x:c r="B400" s="1" t="str">
        <x:f>'Inventory inputs'!B400</x:f>
        <x:v>60</x:v>
      </x:c>
      <x:c r="C400" s="1" t="str">
        <x:f>'Inventory inputs'!C400</x:f>
        <x:v>00219RSLNAV</x:v>
      </x:c>
      <x:c r="D400" s="7" t="n">
        <x:f>'Inventory inputs'!E400</x:f>
        <x:v>46303</x:v>
      </x:c>
      <x:c r="E400" s="1" t="n">
        <x:f>'Inventory inputs'!F400</x:f>
        <x:v>680</x:v>
      </x:c>
      <x:c r="F400" s="1" t="n">
        <x:f>'Inventory inputs'!G400</x:f>
        <x:v>66.67</x:v>
      </x:c>
      <x:c r="G400" s="1" t="n">
        <x:f>'Inventory inputs'!H400/'Inventory inputs'!J400</x:f>
        <x:v>0.1477</x:v>
      </x:c>
      <x:c r="H400" s="1" t="n">
        <x:f>IF('Inventory inputs'!I400&gt;0,'Inventory inputs'!I400*'Inventory inputs'!K400/'Inventory inputs'!J400,"n.a.")</x:f>
        <x:v>0.172872</x:v>
      </x:c>
      <x:c r="I400" s="1" t="n">
        <x:f>'Inventory inputs'!L400</x:f>
        <x:v>0</x:v>
      </x:c>
      <x:c r="J400" s="1" t="n">
        <x:f>'Inventory inputs'!M400</x:f>
        <x:v>0</x:v>
      </x:c>
      <x:c r="K400" s="1" t="n">
        <x:f>'Inventory inputs'!N400</x:f>
        <x:v>680</x:v>
      </x:c>
      <x:c r="L400" s="1" t="n">
        <x:f>'Inventory inputs'!O400</x:f>
        <x:v>0</x:v>
      </x:c>
      <x:c r="M400" s="9" t="n">
        <x:f>E400*G400</x:f>
        <x:v>100.43599999999999</x:v>
      </x:c>
      <x:c r="N400" s="9" t="n">
        <x:f>'Inventory inputs'!Q400</x:f>
        <x:v>100.436</x:v>
      </x:c>
      <x:c r="O400" s="9" t="n">
        <x:f>N400-M400</x:f>
        <x:v>1.4210854715202004e-14</x:v>
      </x:c>
      <x:c r="P400" s="1" t="n">
        <x:f>SUMIFS('Incoming POs'!$P$2:$P$305,'Incoming POs'!$A$2:$A$305,A400,'Incoming POs'!$B$2:$B$305,B400,'Incoming POs'!$C$2:$C$305,C400,'Incoming POs'!$G$2:$G$305,"&gt;="&amp;D400,'Incoming POs'!$G$2:$G$305,"&lt;"&amp;Dashboard!$I$5)</x:f>
        <x:v>0</x:v>
      </x:c>
      <x:c r="Q400" s="1" t="n">
        <x:f>F400*Dashboard!$L$5*MAX(0,Dashboard!$I$5-D400)/30.4375</x:f>
        <x:v>88.71080082135524</x:v>
      </x:c>
      <x:c r="R400" s="1" t="n">
        <x:f>MAX(0,E400+P400-Q400)</x:f>
        <x:v>591.2891991786448</x:v>
      </x:c>
      <x:c r="S400" s="1" t="n">
        <x:f>MAX(0,Q400-E400-P400)</x:f>
        <x:v>0</x:v>
      </x:c>
      <x:c r="T400" s="1" t="str">
        <x:f>IF(L400=1,MAX(0,I400+AB400-MIN(Q400,E400+P400)),"n.a.")</x:f>
        <x:v>n.a.</x:v>
      </x:c>
      <x:c r="U400" s="9" t="str">
        <x:f>IF(ISNUMBER(T400),T400*G400,"n.a.")</x:f>
        <x:v>n.a.</x:v>
      </x:c>
      <x:c r="V400" s="25" t="n">
        <x:f>IF(Dashboard!$I$6="Flat %",1,IF(ISNUMBER(H400),1,0))</x:f>
        <x:v>1</x:v>
      </x:c>
      <x:c r="W400" s="9" t="n">
        <x:f>IF(Dashboard!$I$6="Flat %",G400*(1+Dashboard!$L$6),H400)</x:f>
        <x:v>0.172872</x:v>
      </x:c>
      <x:c r="X400" s="9" t="n">
        <x:f>IF(V400=1,R400*(W400-G400),"n.a.")</x:f>
        <x:v>14.883931721724847</x:v>
      </x:c>
      <x:c r="Y400" s="9" t="n">
        <x:f>IF(V400=1,R400*W400,"n.a.")</x:f>
        <x:v>102.21734644041068</x:v>
      </x:c>
      <x:c r="Z400" s="1" t="str">
        <x:f>IF(ISNUMBER(T400),R400-T400,"n.a.")</x:f>
        <x:v>n.a.</x:v>
      </x:c>
      <x:c r="AA400" s="1" t="str">
        <x:f>'Inventory inputs'!R400</x:f>
        <x:v>Review receipt reconciliation or original PO baseline</x:v>
      </x:c>
      <x:c r="AB400" s="1" t="str">
        <x:f>IF(L400=1,SUMIFS('Incoming POs'!$P$2:$P$305,'Incoming POs'!$A$2:$A$305,A400,'Incoming POs'!$B$2:$B$305,B400,'Incoming POs'!$C$2:$C$305,C400,'Incoming POs'!$G$2:$G$305,"&gt;="&amp;D400,'Incoming POs'!$G$2:$G$305,"&lt;"&amp;Dashboard!$I$5,'Incoming POs'!$Q$2:$Q$305,"&lt;="&amp;('Inventory inputs'!P400/'Inventory inputs'!J400*1.01)),"n.a.")</x:f>
        <x:v>n.a.</x:v>
      </x:c>
      <x:c r="AC400" s="9" t="n">
        <x:f>I400*G400</x:f>
        <x:v>0</x:v>
      </x:c>
      <x:c r="AD400" s="9" t="n">
        <x:f>J400*G400</x:f>
        <x:v>0</x:v>
      </x:c>
      <x:c r="AE400" s="9" t="n">
        <x:f>K400*G400</x:f>
        <x:v>100.43599999999999</x:v>
      </x:c>
      <x:c r="AF400" s="9" t="n">
        <x:f>R400*G400</x:f>
        <x:v>87.33341471868584</x:v>
      </x:c>
    </x:row>
    <x:row r="401" ht="21" customHeight="1">
      <x:c r="A401" s="1" t="str">
        <x:f>'Inventory inputs'!A401</x:f>
        <x:v>PLAS</x:v>
      </x:c>
      <x:c r="B401" s="1" t="str">
        <x:f>'Inventory inputs'!B401</x:f>
        <x:v>60</x:v>
      </x:c>
      <x:c r="C401" s="1" t="str">
        <x:f>'Inventory inputs'!C401</x:f>
        <x:v>01219RWBCLR</x:v>
      </x:c>
      <x:c r="D401" s="7" t="n">
        <x:f>'Inventory inputs'!E401</x:f>
        <x:v>46303</x:v>
      </x:c>
      <x:c r="E401" s="1" t="n">
        <x:f>'Inventory inputs'!F401</x:f>
        <x:v>1700</x:v>
      </x:c>
      <x:c r="F401" s="1" t="n">
        <x:f>'Inventory inputs'!G401</x:f>
        <x:v>66.67</x:v>
      </x:c>
      <x:c r="G401" s="1" t="n">
        <x:f>'Inventory inputs'!H401/'Inventory inputs'!J401</x:f>
        <x:v>0.036000000000000004</x:v>
      </x:c>
      <x:c r="H401" s="1" t="n">
        <x:f>IF('Inventory inputs'!I401&gt;0,'Inventory inputs'!I401*'Inventory inputs'!K401/'Inventory inputs'!J401,"n.a.")</x:f>
        <x:v>0.042189</x:v>
      </x:c>
      <x:c r="I401" s="1" t="n">
        <x:f>'Inventory inputs'!L401</x:f>
        <x:v>0</x:v>
      </x:c>
      <x:c r="J401" s="1" t="n">
        <x:f>'Inventory inputs'!M401</x:f>
        <x:v>0</x:v>
      </x:c>
      <x:c r="K401" s="1" t="n">
        <x:f>'Inventory inputs'!N401</x:f>
        <x:v>1700</x:v>
      </x:c>
      <x:c r="L401" s="1" t="n">
        <x:f>'Inventory inputs'!O401</x:f>
        <x:v>0</x:v>
      </x:c>
      <x:c r="M401" s="9" t="n">
        <x:f>E401*G401</x:f>
        <x:v>61.20000000000001</x:v>
      </x:c>
      <x:c r="N401" s="9" t="n">
        <x:f>'Inventory inputs'!Q401</x:f>
        <x:v>61.2</x:v>
      </x:c>
      <x:c r="O401" s="9" t="n">
        <x:f>N401-M401</x:f>
        <x:v>-7.105427357601002e-15</x:v>
      </x:c>
      <x:c r="P401" s="1" t="n">
        <x:f>SUMIFS('Incoming POs'!$P$2:$P$305,'Incoming POs'!$A$2:$A$305,A401,'Incoming POs'!$B$2:$B$305,B401,'Incoming POs'!$C$2:$C$305,C401,'Incoming POs'!$G$2:$G$305,"&gt;="&amp;D401,'Incoming POs'!$G$2:$G$305,"&lt;"&amp;Dashboard!$I$5)</x:f>
        <x:v>0</x:v>
      </x:c>
      <x:c r="Q401" s="1" t="n">
        <x:f>F401*Dashboard!$L$5*MAX(0,Dashboard!$I$5-D401)/30.4375</x:f>
        <x:v>88.71080082135524</x:v>
      </x:c>
      <x:c r="R401" s="1" t="n">
        <x:f>MAX(0,E401+P401-Q401)</x:f>
        <x:v>1611.2891991786448</x:v>
      </x:c>
      <x:c r="S401" s="1" t="n">
        <x:f>MAX(0,Q401-E401-P401)</x:f>
        <x:v>0</x:v>
      </x:c>
      <x:c r="T401" s="1" t="str">
        <x:f>IF(L401=1,MAX(0,I401+AB401-MIN(Q401,E401+P401)),"n.a.")</x:f>
        <x:v>n.a.</x:v>
      </x:c>
      <x:c r="U401" s="9" t="str">
        <x:f>IF(ISNUMBER(T401),T401*G401,"n.a.")</x:f>
        <x:v>n.a.</x:v>
      </x:c>
      <x:c r="V401" s="25" t="n">
        <x:f>IF(Dashboard!$I$6="Flat %",1,IF(ISNUMBER(H401),1,0))</x:f>
        <x:v>1</x:v>
      </x:c>
      <x:c r="W401" s="9" t="n">
        <x:f>IF(Dashboard!$I$6="Flat %",G401*(1+Dashboard!$L$6),H401)</x:f>
        <x:v>0.042189</x:v>
      </x:c>
      <x:c r="X401" s="9" t="n">
        <x:f>IF(V401=1,R401*(W401-G401),"n.a.")</x:f>
        <x:v>9.972268853716622</x:v>
      </x:c>
      <x:c r="Y401" s="9" t="n">
        <x:f>IF(V401=1,R401*W401,"n.a.")</x:f>
        <x:v>67.97868002414785</x:v>
      </x:c>
      <x:c r="Z401" s="1" t="str">
        <x:f>IF(ISNUMBER(T401),R401-T401,"n.a.")</x:f>
        <x:v>n.a.</x:v>
      </x:c>
      <x:c r="AA401" s="1" t="str">
        <x:f>'Inventory inputs'!R401</x:f>
        <x:v>Review receipt reconciliation or original PO baseline</x:v>
      </x:c>
      <x:c r="AB401" s="1" t="str">
        <x:f>IF(L401=1,SUMIFS('Incoming POs'!$P$2:$P$305,'Incoming POs'!$A$2:$A$305,A401,'Incoming POs'!$B$2:$B$305,B401,'Incoming POs'!$C$2:$C$305,C401,'Incoming POs'!$G$2:$G$305,"&gt;="&amp;D401,'Incoming POs'!$G$2:$G$305,"&lt;"&amp;Dashboard!$I$5,'Incoming POs'!$Q$2:$Q$305,"&lt;="&amp;('Inventory inputs'!P401/'Inventory inputs'!J401*1.01)),"n.a.")</x:f>
        <x:v>n.a.</x:v>
      </x:c>
      <x:c r="AC401" s="9" t="n">
        <x:f>I401*G401</x:f>
        <x:v>0</x:v>
      </x:c>
      <x:c r="AD401" s="9" t="n">
        <x:f>J401*G401</x:f>
        <x:v>0</x:v>
      </x:c>
      <x:c r="AE401" s="9" t="n">
        <x:f>K401*G401</x:f>
        <x:v>61.20000000000001</x:v>
      </x:c>
      <x:c r="AF401" s="9" t="n">
        <x:f>R401*G401</x:f>
        <x:v>58.00641117043122</x:v>
      </x:c>
    </x:row>
    <x:row r="402" ht="21" customHeight="1">
      <x:c r="A402" s="1" t="str">
        <x:f>'Inventory inputs'!A402</x:f>
        <x:v>PLAS</x:v>
      </x:c>
      <x:c r="B402" s="1" t="str">
        <x:f>'Inventory inputs'!B402</x:f>
        <x:v>60</x:v>
      </x:c>
      <x:c r="C402" s="1" t="str">
        <x:f>'Inventory inputs'!C402</x:f>
        <x:v>91619RWBWHT</x:v>
      </x:c>
      <x:c r="D402" s="7" t="n">
        <x:f>'Inventory inputs'!E402</x:f>
        <x:v>46303</x:v>
      </x:c>
      <x:c r="E402" s="1" t="n">
        <x:f>'Inventory inputs'!F402</x:f>
        <x:v>1300</x:v>
      </x:c>
      <x:c r="F402" s="1" t="n">
        <x:f>'Inventory inputs'!G402</x:f>
        <x:v>66.67</x:v>
      </x:c>
      <x:c r="G402" s="1" t="n">
        <x:f>'Inventory inputs'!H402/'Inventory inputs'!J402</x:f>
        <x:v>0.042800000000000005</x:v>
      </x:c>
      <x:c r="H402" s="1" t="n">
        <x:f>IF('Inventory inputs'!I402&gt;0,'Inventory inputs'!I402*'Inventory inputs'!K402/'Inventory inputs'!J402,"n.a.")</x:f>
        <x:v>0.049980000000000004</x:v>
      </x:c>
      <x:c r="I402" s="1" t="n">
        <x:f>'Inventory inputs'!L402</x:f>
        <x:v>0</x:v>
      </x:c>
      <x:c r="J402" s="1" t="n">
        <x:f>'Inventory inputs'!M402</x:f>
        <x:v>0</x:v>
      </x:c>
      <x:c r="K402" s="1" t="n">
        <x:f>'Inventory inputs'!N402</x:f>
        <x:v>1300</x:v>
      </x:c>
      <x:c r="L402" s="1" t="n">
        <x:f>'Inventory inputs'!O402</x:f>
        <x:v>0</x:v>
      </x:c>
      <x:c r="M402" s="9" t="n">
        <x:f>E402*G402</x:f>
        <x:v>55.64000000000001</x:v>
      </x:c>
      <x:c r="N402" s="9" t="n">
        <x:f>'Inventory inputs'!Q402</x:f>
        <x:v>55.64</x:v>
      </x:c>
      <x:c r="O402" s="9" t="n">
        <x:f>N402-M402</x:f>
        <x:v>-7.105427357601002e-15</x:v>
      </x:c>
      <x:c r="P402" s="1" t="n">
        <x:f>SUMIFS('Incoming POs'!$P$2:$P$305,'Incoming POs'!$A$2:$A$305,A402,'Incoming POs'!$B$2:$B$305,B402,'Incoming POs'!$C$2:$C$305,C402,'Incoming POs'!$G$2:$G$305,"&gt;="&amp;D402,'Incoming POs'!$G$2:$G$305,"&lt;"&amp;Dashboard!$I$5)</x:f>
        <x:v>0</x:v>
      </x:c>
      <x:c r="Q402" s="1" t="n">
        <x:f>F402*Dashboard!$L$5*MAX(0,Dashboard!$I$5-D402)/30.4375</x:f>
        <x:v>88.71080082135524</x:v>
      </x:c>
      <x:c r="R402" s="1" t="n">
        <x:f>MAX(0,E402+P402-Q402)</x:f>
        <x:v>1211.2891991786448</x:v>
      </x:c>
      <x:c r="S402" s="1" t="n">
        <x:f>MAX(0,Q402-E402-P402)</x:f>
        <x:v>0</x:v>
      </x:c>
      <x:c r="T402" s="1" t="str">
        <x:f>IF(L402=1,MAX(0,I402+AB402-MIN(Q402,E402+P402)),"n.a.")</x:f>
        <x:v>n.a.</x:v>
      </x:c>
      <x:c r="U402" s="9" t="str">
        <x:f>IF(ISNUMBER(T402),T402*G402,"n.a.")</x:f>
        <x:v>n.a.</x:v>
      </x:c>
      <x:c r="V402" s="25" t="n">
        <x:f>IF(Dashboard!$I$6="Flat %",1,IF(ISNUMBER(H402),1,0))</x:f>
        <x:v>1</x:v>
      </x:c>
      <x:c r="W402" s="9" t="n">
        <x:f>IF(Dashboard!$I$6="Flat %",G402*(1+Dashboard!$L$6),H402)</x:f>
        <x:v>0.049980000000000004</x:v>
      </x:c>
      <x:c r="X402" s="9" t="n">
        <x:f>IF(V402=1,R402*(W402-G402),"n.a.")</x:f>
        <x:v>8.697056450102668</x:v>
      </x:c>
      <x:c r="Y402" s="9" t="n">
        <x:f>IF(V402=1,R402*W402,"n.a.")</x:f>
        <x:v>60.54023417494867</x:v>
      </x:c>
      <x:c r="Z402" s="1" t="str">
        <x:f>IF(ISNUMBER(T402),R402-T402,"n.a.")</x:f>
        <x:v>n.a.</x:v>
      </x:c>
      <x:c r="AA402" s="1" t="str">
        <x:f>'Inventory inputs'!R402</x:f>
        <x:v>Review receipt reconciliation or original PO baseline</x:v>
      </x:c>
      <x:c r="AB402" s="1" t="str">
        <x:f>IF(L402=1,SUMIFS('Incoming POs'!$P$2:$P$305,'Incoming POs'!$A$2:$A$305,A402,'Incoming POs'!$B$2:$B$305,B402,'Incoming POs'!$C$2:$C$305,C402,'Incoming POs'!$G$2:$G$305,"&gt;="&amp;D402,'Incoming POs'!$G$2:$G$305,"&lt;"&amp;Dashboard!$I$5,'Incoming POs'!$Q$2:$Q$305,"&lt;="&amp;('Inventory inputs'!P402/'Inventory inputs'!J402*1.01)),"n.a.")</x:f>
        <x:v>n.a.</x:v>
      </x:c>
      <x:c r="AC402" s="9" t="n">
        <x:f>I402*G402</x:f>
        <x:v>0</x:v>
      </x:c>
      <x:c r="AD402" s="9" t="n">
        <x:f>J402*G402</x:f>
        <x:v>0</x:v>
      </x:c>
      <x:c r="AE402" s="9" t="n">
        <x:f>K402*G402</x:f>
        <x:v>55.64000000000001</x:v>
      </x:c>
      <x:c r="AF402" s="9" t="n">
        <x:f>R402*G402</x:f>
        <x:v>51.843177724846</x:v>
      </x:c>
    </x:row>
    <x:row r="403" ht="21" customHeight="1">
      <x:c r="A403" s="1" t="str">
        <x:f>'Inventory inputs'!A403</x:f>
        <x:v>PLAS</x:v>
      </x:c>
      <x:c r="B403" s="1" t="str">
        <x:f>'Inventory inputs'!B403</x:f>
        <x:v>60</x:v>
      </x:c>
      <x:c r="C403" s="1" t="str">
        <x:f>'Inventory inputs'!C403</x:f>
        <x:v>00219RSLMAR</x:v>
      </x:c>
      <x:c r="D403" s="7" t="n">
        <x:f>'Inventory inputs'!E403</x:f>
        <x:v>46303</x:v>
      </x:c>
      <x:c r="E403" s="1" t="n">
        <x:f>'Inventory inputs'!F403</x:f>
        <x:v>560</x:v>
      </x:c>
      <x:c r="F403" s="1" t="n">
        <x:f>'Inventory inputs'!G403</x:f>
        <x:v>53.33</x:v>
      </x:c>
      <x:c r="G403" s="1" t="n">
        <x:f>'Inventory inputs'!H403/'Inventory inputs'!J403</x:f>
        <x:v>0.1477</x:v>
      </x:c>
      <x:c r="H403" s="1" t="n">
        <x:f>IF('Inventory inputs'!I403&gt;0,'Inventory inputs'!I403*'Inventory inputs'!K403/'Inventory inputs'!J403,"n.a.")</x:f>
        <x:v>0.172872</x:v>
      </x:c>
      <x:c r="I403" s="1" t="n">
        <x:f>'Inventory inputs'!L403</x:f>
        <x:v>0</x:v>
      </x:c>
      <x:c r="J403" s="1" t="n">
        <x:f>'Inventory inputs'!M403</x:f>
        <x:v>0</x:v>
      </x:c>
      <x:c r="K403" s="1" t="n">
        <x:f>'Inventory inputs'!N403</x:f>
        <x:v>560</x:v>
      </x:c>
      <x:c r="L403" s="1" t="n">
        <x:f>'Inventory inputs'!O403</x:f>
        <x:v>0</x:v>
      </x:c>
      <x:c r="M403" s="9" t="n">
        <x:f>E403*G403</x:f>
        <x:v>82.712</x:v>
      </x:c>
      <x:c r="N403" s="9" t="n">
        <x:f>'Inventory inputs'!Q403</x:f>
        <x:v>82.71199999999999</x:v>
      </x:c>
      <x:c r="O403" s="9" t="n">
        <x:f>N403-M403</x:f>
        <x:v>-1.4210854715202004e-14</x:v>
      </x:c>
      <x:c r="P403" s="1" t="n">
        <x:f>SUMIFS('Incoming POs'!$P$2:$P$305,'Incoming POs'!$A$2:$A$305,A403,'Incoming POs'!$B$2:$B$305,B403,'Incoming POs'!$C$2:$C$305,C403,'Incoming POs'!$G$2:$G$305,"&gt;="&amp;D403,'Incoming POs'!$G$2:$G$305,"&lt;"&amp;Dashboard!$I$5)</x:f>
        <x:v>0</x:v>
      </x:c>
      <x:c r="Q403" s="1" t="n">
        <x:f>F403*Dashboard!$L$5*MAX(0,Dashboard!$I$5-D403)/30.4375</x:f>
        <x:v>70.96065708418892</x:v>
      </x:c>
      <x:c r="R403" s="1" t="n">
        <x:f>MAX(0,E403+P403-Q403)</x:f>
        <x:v>489.03934291581106</x:v>
      </x:c>
      <x:c r="S403" s="1" t="n">
        <x:f>MAX(0,Q403-E403-P403)</x:f>
        <x:v>0</x:v>
      </x:c>
      <x:c r="T403" s="1" t="str">
        <x:f>IF(L403=1,MAX(0,I403+AB403-MIN(Q403,E403+P403)),"n.a.")</x:f>
        <x:v>n.a.</x:v>
      </x:c>
      <x:c r="U403" s="9" t="str">
        <x:f>IF(ISNUMBER(T403),T403*G403,"n.a.")</x:f>
        <x:v>n.a.</x:v>
      </x:c>
      <x:c r="V403" s="25" t="n">
        <x:f>IF(Dashboard!$I$6="Flat %",1,IF(ISNUMBER(H403),1,0))</x:f>
        <x:v>1</x:v>
      </x:c>
      <x:c r="W403" s="9" t="n">
        <x:f>IF(Dashboard!$I$6="Flat %",G403*(1+Dashboard!$L$6),H403)</x:f>
        <x:v>0.172872</x:v>
      </x:c>
      <x:c r="X403" s="9" t="n">
        <x:f>IF(V403=1,R403*(W403-G403),"n.a.")</x:f>
        <x:v>12.310098339876795</x:v>
      </x:c>
      <x:c r="Y403" s="9" t="n">
        <x:f>IF(V403=1,R403*W403,"n.a.")</x:f>
        <x:v>84.54120928854209</x:v>
      </x:c>
      <x:c r="Z403" s="1" t="str">
        <x:f>IF(ISNUMBER(T403),R403-T403,"n.a.")</x:f>
        <x:v>n.a.</x:v>
      </x:c>
      <x:c r="AA403" s="1" t="str">
        <x:f>'Inventory inputs'!R403</x:f>
        <x:v>Review receipt reconciliation or original PO baseline</x:v>
      </x:c>
      <x:c r="AB403" s="1" t="str">
        <x:f>IF(L403=1,SUMIFS('Incoming POs'!$P$2:$P$305,'Incoming POs'!$A$2:$A$305,A403,'Incoming POs'!$B$2:$B$305,B403,'Incoming POs'!$C$2:$C$305,C403,'Incoming POs'!$G$2:$G$305,"&gt;="&amp;D403,'Incoming POs'!$G$2:$G$305,"&lt;"&amp;Dashboard!$I$5,'Incoming POs'!$Q$2:$Q$305,"&lt;="&amp;('Inventory inputs'!P403/'Inventory inputs'!J403*1.01)),"n.a.")</x:f>
        <x:v>n.a.</x:v>
      </x:c>
      <x:c r="AC403" s="9" t="n">
        <x:f>I403*G403</x:f>
        <x:v>0</x:v>
      </x:c>
      <x:c r="AD403" s="9" t="n">
        <x:f>J403*G403</x:f>
        <x:v>0</x:v>
      </x:c>
      <x:c r="AE403" s="9" t="n">
        <x:f>K403*G403</x:f>
        <x:v>82.712</x:v>
      </x:c>
      <x:c r="AF403" s="9" t="n">
        <x:f>R403*G403</x:f>
        <x:v>72.23111094866529</x:v>
      </x:c>
    </x:row>
    <x:row r="404" ht="21" customHeight="1">
      <x:c r="A404" s="1" t="str">
        <x:f>'Inventory inputs'!A404</x:f>
        <x:v>PLAS</x:v>
      </x:c>
      <x:c r="B404" s="1" t="str">
        <x:f>'Inventory inputs'!B404</x:f>
        <x:v>10</x:v>
      </x:c>
      <x:c r="C404" s="1" t="str">
        <x:f>'Inventory inputs'!C404</x:f>
        <x:v>07819RWBRED</x:v>
      </x:c>
      <x:c r="D404" s="7" t="n">
        <x:f>'Inventory inputs'!E404</x:f>
        <x:v>46303</x:v>
      </x:c>
      <x:c r="E404" s="1" t="n">
        <x:f>'Inventory inputs'!F404</x:f>
        <x:v>1100</x:v>
      </x:c>
      <x:c r="F404" s="1" t="n">
        <x:f>'Inventory inputs'!G404</x:f>
        <x:v>50</x:v>
      </x:c>
      <x:c r="G404" s="1" t="n">
        <x:f>'Inventory inputs'!H404/'Inventory inputs'!J404</x:f>
        <x:v>0.0797</x:v>
      </x:c>
      <x:c r="H404" s="1" t="n">
        <x:f>IF('Inventory inputs'!I404&gt;0,'Inventory inputs'!I404*'Inventory inputs'!K404/'Inventory inputs'!J404,"n.a.")</x:f>
        <x:v>0.09319799999999999</x:v>
      </x:c>
      <x:c r="I404" s="1" t="n">
        <x:f>'Inventory inputs'!L404</x:f>
        <x:v>0</x:v>
      </x:c>
      <x:c r="J404" s="1" t="n">
        <x:f>'Inventory inputs'!M404</x:f>
        <x:v>0</x:v>
      </x:c>
      <x:c r="K404" s="1" t="n">
        <x:f>'Inventory inputs'!N404</x:f>
        <x:v>1100</x:v>
      </x:c>
      <x:c r="L404" s="1" t="n">
        <x:f>'Inventory inputs'!O404</x:f>
        <x:v>0</x:v>
      </x:c>
      <x:c r="M404" s="9" t="n">
        <x:f>E404*G404</x:f>
        <x:v>87.66999999999999</x:v>
      </x:c>
      <x:c r="N404" s="9" t="n">
        <x:f>'Inventory inputs'!Q404</x:f>
        <x:v>87.67</x:v>
      </x:c>
      <x:c r="O404" s="9" t="n">
        <x:f>N404-M404</x:f>
        <x:v>1.4210854715202004e-14</x:v>
      </x:c>
      <x:c r="P404" s="1" t="n">
        <x:f>SUMIFS('Incoming POs'!$P$2:$P$305,'Incoming POs'!$A$2:$A$305,A404,'Incoming POs'!$B$2:$B$305,B404,'Incoming POs'!$C$2:$C$305,C404,'Incoming POs'!$G$2:$G$305,"&gt;="&amp;D404,'Incoming POs'!$G$2:$G$305,"&lt;"&amp;Dashboard!$I$5)</x:f>
        <x:v>0</x:v>
      </x:c>
      <x:c r="Q404" s="1" t="n">
        <x:f>F404*Dashboard!$L$5*MAX(0,Dashboard!$I$5-D404)/30.4375</x:f>
        <x:v>66.52977412731006</x:v>
      </x:c>
      <x:c r="R404" s="1" t="n">
        <x:f>MAX(0,E404+P404-Q404)</x:f>
        <x:v>1033.47022587269</x:v>
      </x:c>
      <x:c r="S404" s="1" t="n">
        <x:f>MAX(0,Q404-E404-P404)</x:f>
        <x:v>0</x:v>
      </x:c>
      <x:c r="T404" s="1" t="str">
        <x:f>IF(L404=1,MAX(0,I404+AB404-MIN(Q404,E404+P404)),"n.a.")</x:f>
        <x:v>n.a.</x:v>
      </x:c>
      <x:c r="U404" s="9" t="str">
        <x:f>IF(ISNUMBER(T404),T404*G404,"n.a.")</x:f>
        <x:v>n.a.</x:v>
      </x:c>
      <x:c r="V404" s="25" t="n">
        <x:f>IF(Dashboard!$I$6="Flat %",1,IF(ISNUMBER(H404),1,0))</x:f>
        <x:v>1</x:v>
      </x:c>
      <x:c r="W404" s="9" t="n">
        <x:f>IF(Dashboard!$I$6="Flat %",G404*(1+Dashboard!$L$6),H404)</x:f>
        <x:v>0.09319799999999999</x:v>
      </x:c>
      <x:c r="X404" s="9" t="n">
        <x:f>IF(V404=1,R404*(W404-G404),"n.a.")</x:f>
        <x:v>13.949781108829566</x:v>
      </x:c>
      <x:c r="Y404" s="9" t="n">
        <x:f>IF(V404=1,R404*W404,"n.a.")</x:f>
        <x:v>96.31735811088295</x:v>
      </x:c>
      <x:c r="Z404" s="1" t="str">
        <x:f>IF(ISNUMBER(T404),R404-T404,"n.a.")</x:f>
        <x:v>n.a.</x:v>
      </x:c>
      <x:c r="AA404" s="1" t="str">
        <x:f>'Inventory inputs'!R404</x:f>
        <x:v>Review receipt reconciliation or original PO baseline</x:v>
      </x:c>
      <x:c r="AB404" s="1" t="str">
        <x:f>IF(L404=1,SUMIFS('Incoming POs'!$P$2:$P$305,'Incoming POs'!$A$2:$A$305,A404,'Incoming POs'!$B$2:$B$305,B404,'Incoming POs'!$C$2:$C$305,C404,'Incoming POs'!$G$2:$G$305,"&gt;="&amp;D404,'Incoming POs'!$G$2:$G$305,"&lt;"&amp;Dashboard!$I$5,'Incoming POs'!$Q$2:$Q$305,"&lt;="&amp;('Inventory inputs'!P404/'Inventory inputs'!J404*1.01)),"n.a.")</x:f>
        <x:v>n.a.</x:v>
      </x:c>
      <x:c r="AC404" s="9" t="n">
        <x:f>I404*G404</x:f>
        <x:v>0</x:v>
      </x:c>
      <x:c r="AD404" s="9" t="n">
        <x:f>J404*G404</x:f>
        <x:v>0</x:v>
      </x:c>
      <x:c r="AE404" s="9" t="n">
        <x:f>K404*G404</x:f>
        <x:v>87.66999999999999</x:v>
      </x:c>
      <x:c r="AF404" s="9" t="n">
        <x:f>R404*G404</x:f>
        <x:v>82.36757700205338</x:v>
      </x:c>
    </x:row>
    <x:row r="405" ht="21" customHeight="1">
      <x:c r="A405" s="1" t="str">
        <x:f>'Inventory inputs'!A405</x:f>
        <x:v>PLAS</x:v>
      </x:c>
      <x:c r="B405" s="1" t="str">
        <x:f>'Inventory inputs'!B405</x:f>
        <x:v>10</x:v>
      </x:c>
      <x:c r="C405" s="1" t="str">
        <x:f>'Inventory inputs'!C405</x:f>
        <x:v>13419RSLFG</x:v>
      </x:c>
      <x:c r="D405" s="7" t="n">
        <x:f>'Inventory inputs'!E405</x:f>
        <x:v>46303</x:v>
      </x:c>
      <x:c r="E405" s="1" t="n">
        <x:f>'Inventory inputs'!F405</x:f>
        <x:v>1400</x:v>
      </x:c>
      <x:c r="F405" s="1" t="n">
        <x:f>'Inventory inputs'!G405</x:f>
        <x:v>50</x:v>
      </x:c>
      <x:c r="G405" s="1" t="n">
        <x:f>'Inventory inputs'!H405/'Inventory inputs'!J405</x:f>
        <x:v>0.1457</x:v>
      </x:c>
      <x:c r="H405" s="1" t="n">
        <x:f>IF('Inventory inputs'!I405&gt;0,'Inventory inputs'!I405*'Inventory inputs'!K405/'Inventory inputs'!J405,"n.a.")</x:f>
        <x:v>0.170373</x:v>
      </x:c>
      <x:c r="I405" s="1" t="n">
        <x:f>'Inventory inputs'!L405</x:f>
        <x:v>0</x:v>
      </x:c>
      <x:c r="J405" s="1" t="n">
        <x:f>'Inventory inputs'!M405</x:f>
        <x:v>0</x:v>
      </x:c>
      <x:c r="K405" s="1" t="n">
        <x:f>'Inventory inputs'!N405</x:f>
        <x:v>1400</x:v>
      </x:c>
      <x:c r="L405" s="1" t="n">
        <x:f>'Inventory inputs'!O405</x:f>
        <x:v>0</x:v>
      </x:c>
      <x:c r="M405" s="9" t="n">
        <x:f>E405*G405</x:f>
        <x:v>203.98</x:v>
      </x:c>
      <x:c r="N405" s="9" t="n">
        <x:f>'Inventory inputs'!Q405</x:f>
        <x:v>203.98000000000002</x:v>
      </x:c>
      <x:c r="O405" s="9" t="n">
        <x:f>N405-M405</x:f>
        <x:v>2.842170943040401e-14</x:v>
      </x:c>
      <x:c r="P405" s="1" t="n">
        <x:f>SUMIFS('Incoming POs'!$P$2:$P$305,'Incoming POs'!$A$2:$A$305,A405,'Incoming POs'!$B$2:$B$305,B405,'Incoming POs'!$C$2:$C$305,C405,'Incoming POs'!$G$2:$G$305,"&gt;="&amp;D405,'Incoming POs'!$G$2:$G$305,"&lt;"&amp;Dashboard!$I$5)</x:f>
        <x:v>0</x:v>
      </x:c>
      <x:c r="Q405" s="1" t="n">
        <x:f>F405*Dashboard!$L$5*MAX(0,Dashboard!$I$5-D405)/30.4375</x:f>
        <x:v>66.52977412731006</x:v>
      </x:c>
      <x:c r="R405" s="1" t="n">
        <x:f>MAX(0,E405+P405-Q405)</x:f>
        <x:v>1333.47022587269</x:v>
      </x:c>
      <x:c r="S405" s="1" t="n">
        <x:f>MAX(0,Q405-E405-P405)</x:f>
        <x:v>0</x:v>
      </x:c>
      <x:c r="T405" s="1" t="str">
        <x:f>IF(L405=1,MAX(0,I405+AB405-MIN(Q405,E405+P405)),"n.a.")</x:f>
        <x:v>n.a.</x:v>
      </x:c>
      <x:c r="U405" s="9" t="str">
        <x:f>IF(ISNUMBER(T405),T405*G405,"n.a.")</x:f>
        <x:v>n.a.</x:v>
      </x:c>
      <x:c r="V405" s="25" t="n">
        <x:f>IF(Dashboard!$I$6="Flat %",1,IF(ISNUMBER(H405),1,0))</x:f>
        <x:v>1</x:v>
      </x:c>
      <x:c r="W405" s="9" t="n">
        <x:f>IF(Dashboard!$I$6="Flat %",G405*(1+Dashboard!$L$6),H405)</x:f>
        <x:v>0.170373</x:v>
      </x:c>
      <x:c r="X405" s="9" t="n">
        <x:f>IF(V405=1,R405*(W405-G405),"n.a.")</x:f>
        <x:v>32.90071088295688</x:v>
      </x:c>
      <x:c r="Y405" s="9" t="n">
        <x:f>IF(V405=1,R405*W405,"n.a.")</x:f>
        <x:v>227.1873227926078</x:v>
      </x:c>
      <x:c r="Z405" s="1" t="str">
        <x:f>IF(ISNUMBER(T405),R405-T405,"n.a.")</x:f>
        <x:v>n.a.</x:v>
      </x:c>
      <x:c r="AA405" s="1" t="str">
        <x:f>'Inventory inputs'!R405</x:f>
        <x:v>Review receipt reconciliation or original PO baseline</x:v>
      </x:c>
      <x:c r="AB405" s="1" t="str">
        <x:f>IF(L405=1,SUMIFS('Incoming POs'!$P$2:$P$305,'Incoming POs'!$A$2:$A$305,A405,'Incoming POs'!$B$2:$B$305,B405,'Incoming POs'!$C$2:$C$305,C405,'Incoming POs'!$G$2:$G$305,"&gt;="&amp;D405,'Incoming POs'!$G$2:$G$305,"&lt;"&amp;Dashboard!$I$5,'Incoming POs'!$Q$2:$Q$305,"&lt;="&amp;('Inventory inputs'!P405/'Inventory inputs'!J405*1.01)),"n.a.")</x:f>
        <x:v>n.a.</x:v>
      </x:c>
      <x:c r="AC405" s="9" t="n">
        <x:f>I405*G405</x:f>
        <x:v>0</x:v>
      </x:c>
      <x:c r="AD405" s="9" t="n">
        <x:f>J405*G405</x:f>
        <x:v>0</x:v>
      </x:c>
      <x:c r="AE405" s="9" t="n">
        <x:f>K405*G405</x:f>
        <x:v>203.98</x:v>
      </x:c>
      <x:c r="AF405" s="9" t="n">
        <x:f>R405*G405</x:f>
        <x:v>194.28661190965093</x:v>
      </x:c>
    </x:row>
    <x:row r="406" ht="21" customHeight="1">
      <x:c r="A406" s="1" t="str">
        <x:f>'Inventory inputs'!A406</x:f>
        <x:v>PLAS</x:v>
      </x:c>
      <x:c r="B406" s="1" t="str">
        <x:f>'Inventory inputs'!B406</x:f>
        <x:v>30</x:v>
      </x:c>
      <x:c r="C406" s="1" t="str">
        <x:f>'Inventory inputs'!C406</x:f>
        <x:v>03419RWBFG</x:v>
      </x:c>
      <x:c r="D406" s="7" t="n">
        <x:f>'Inventory inputs'!E406</x:f>
        <x:v>46303</x:v>
      </x:c>
      <x:c r="E406" s="1" t="n">
        <x:f>'Inventory inputs'!F406</x:f>
        <x:v>1200</x:v>
      </x:c>
      <x:c r="F406" s="1" t="n">
        <x:f>'Inventory inputs'!G406</x:f>
        <x:v>50</x:v>
      </x:c>
      <x:c r="G406" s="1" t="n">
        <x:f>'Inventory inputs'!H406/'Inventory inputs'!J406</x:f>
        <x:v>0.0625</x:v>
      </x:c>
      <x:c r="H406" s="1" t="n">
        <x:f>IF('Inventory inputs'!I406&gt;0,'Inventory inputs'!I406*'Inventory inputs'!K406/'Inventory inputs'!J406,"n.a.")</x:f>
        <x:v>0.073059</x:v>
      </x:c>
      <x:c r="I406" s="1" t="n">
        <x:f>'Inventory inputs'!L406</x:f>
        <x:v>0</x:v>
      </x:c>
      <x:c r="J406" s="1" t="n">
        <x:f>'Inventory inputs'!M406</x:f>
        <x:v>0</x:v>
      </x:c>
      <x:c r="K406" s="1" t="n">
        <x:f>'Inventory inputs'!N406</x:f>
        <x:v>1200</x:v>
      </x:c>
      <x:c r="L406" s="1" t="n">
        <x:f>'Inventory inputs'!O406</x:f>
        <x:v>0</x:v>
      </x:c>
      <x:c r="M406" s="9" t="n">
        <x:f>E406*G406</x:f>
        <x:v>75</x:v>
      </x:c>
      <x:c r="N406" s="9" t="n">
        <x:f>'Inventory inputs'!Q406</x:f>
        <x:v>75</x:v>
      </x:c>
      <x:c r="O406" s="9" t="n">
        <x:f>N406-M406</x:f>
        <x:v>0</x:v>
      </x:c>
      <x:c r="P406" s="1" t="n">
        <x:f>SUMIFS('Incoming POs'!$P$2:$P$305,'Incoming POs'!$A$2:$A$305,A406,'Incoming POs'!$B$2:$B$305,B406,'Incoming POs'!$C$2:$C$305,C406,'Incoming POs'!$G$2:$G$305,"&gt;="&amp;D406,'Incoming POs'!$G$2:$G$305,"&lt;"&amp;Dashboard!$I$5)</x:f>
        <x:v>0</x:v>
      </x:c>
      <x:c r="Q406" s="1" t="n">
        <x:f>F406*Dashboard!$L$5*MAX(0,Dashboard!$I$5-D406)/30.4375</x:f>
        <x:v>66.52977412731006</x:v>
      </x:c>
      <x:c r="R406" s="1" t="n">
        <x:f>MAX(0,E406+P406-Q406)</x:f>
        <x:v>1133.47022587269</x:v>
      </x:c>
      <x:c r="S406" s="1" t="n">
        <x:f>MAX(0,Q406-E406-P406)</x:f>
        <x:v>0</x:v>
      </x:c>
      <x:c r="T406" s="1" t="str">
        <x:f>IF(L406=1,MAX(0,I406+AB406-MIN(Q406,E406+P406)),"n.a.")</x:f>
        <x:v>n.a.</x:v>
      </x:c>
      <x:c r="U406" s="9" t="str">
        <x:f>IF(ISNUMBER(T406),T406*G406,"n.a.")</x:f>
        <x:v>n.a.</x:v>
      </x:c>
      <x:c r="V406" s="25" t="n">
        <x:f>IF(Dashboard!$I$6="Flat %",1,IF(ISNUMBER(H406),1,0))</x:f>
        <x:v>1</x:v>
      </x:c>
      <x:c r="W406" s="9" t="n">
        <x:f>IF(Dashboard!$I$6="Flat %",G406*(1+Dashboard!$L$6),H406)</x:f>
        <x:v>0.073059</x:v>
      </x:c>
      <x:c r="X406" s="9" t="n">
        <x:f>IF(V406=1,R406*(W406-G406),"n.a.")</x:f>
        <x:v>11.968312114989732</x:v>
      </x:c>
      <x:c r="Y406" s="9" t="n">
        <x:f>IF(V406=1,R406*W406,"n.a.")</x:f>
        <x:v>82.81020123203285</x:v>
      </x:c>
      <x:c r="Z406" s="1" t="str">
        <x:f>IF(ISNUMBER(T406),R406-T406,"n.a.")</x:f>
        <x:v>n.a.</x:v>
      </x:c>
      <x:c r="AA406" s="1" t="str">
        <x:f>'Inventory inputs'!R406</x:f>
        <x:v>Review receipt reconciliation or original PO baseline</x:v>
      </x:c>
      <x:c r="AB406" s="1" t="str">
        <x:f>IF(L406=1,SUMIFS('Incoming POs'!$P$2:$P$305,'Incoming POs'!$A$2:$A$305,A406,'Incoming POs'!$B$2:$B$305,B406,'Incoming POs'!$C$2:$C$305,C406,'Incoming POs'!$G$2:$G$305,"&gt;="&amp;D406,'Incoming POs'!$G$2:$G$305,"&lt;"&amp;Dashboard!$I$5,'Incoming POs'!$Q$2:$Q$305,"&lt;="&amp;('Inventory inputs'!P406/'Inventory inputs'!J406*1.01)),"n.a.")</x:f>
        <x:v>n.a.</x:v>
      </x:c>
      <x:c r="AC406" s="9" t="n">
        <x:f>I406*G406</x:f>
        <x:v>0</x:v>
      </x:c>
      <x:c r="AD406" s="9" t="n">
        <x:f>J406*G406</x:f>
        <x:v>0</x:v>
      </x:c>
      <x:c r="AE406" s="9" t="n">
        <x:f>K406*G406</x:f>
        <x:v>75</x:v>
      </x:c>
      <x:c r="AF406" s="9" t="n">
        <x:f>R406*G406</x:f>
        <x:v>70.84188911704312</x:v>
      </x:c>
    </x:row>
    <x:row r="407" ht="21" customHeight="1">
      <x:c r="A407" s="1" t="str">
        <x:f>'Inventory inputs'!A407</x:f>
        <x:v>PLAS</x:v>
      </x:c>
      <x:c r="B407" s="1" t="str">
        <x:f>'Inventory inputs'!B407</x:f>
        <x:v>30</x:v>
      </x:c>
      <x:c r="C407" s="1" t="str">
        <x:f>'Inventory inputs'!C407</x:f>
        <x:v>03419RWBMAR</x:v>
      </x:c>
      <x:c r="D407" s="7" t="n">
        <x:f>'Inventory inputs'!E407</x:f>
        <x:v>46303</x:v>
      </x:c>
      <x:c r="E407" s="1" t="n">
        <x:f>'Inventory inputs'!F407</x:f>
        <x:v>200</x:v>
      </x:c>
      <x:c r="F407" s="1" t="n">
        <x:f>'Inventory inputs'!G407</x:f>
        <x:v>50</x:v>
      </x:c>
      <x:c r="G407" s="1" t="n">
        <x:f>'Inventory inputs'!H407/'Inventory inputs'!J407</x:f>
        <x:v>0.0625</x:v>
      </x:c>
      <x:c r="H407" s="1" t="n">
        <x:f>IF('Inventory inputs'!I407&gt;0,'Inventory inputs'!I407*'Inventory inputs'!K407/'Inventory inputs'!J407,"n.a.")</x:f>
        <x:v>0.073059</x:v>
      </x:c>
      <x:c r="I407" s="1" t="n">
        <x:f>'Inventory inputs'!L407</x:f>
        <x:v>0</x:v>
      </x:c>
      <x:c r="J407" s="1" t="n">
        <x:f>'Inventory inputs'!M407</x:f>
        <x:v>0</x:v>
      </x:c>
      <x:c r="K407" s="1" t="n">
        <x:f>'Inventory inputs'!N407</x:f>
        <x:v>200</x:v>
      </x:c>
      <x:c r="L407" s="1" t="n">
        <x:f>'Inventory inputs'!O407</x:f>
        <x:v>0</x:v>
      </x:c>
      <x:c r="M407" s="9" t="n">
        <x:f>E407*G407</x:f>
        <x:v>12.5</x:v>
      </x:c>
      <x:c r="N407" s="9" t="n">
        <x:f>'Inventory inputs'!Q407</x:f>
        <x:v>12.5</x:v>
      </x:c>
      <x:c r="O407" s="9" t="n">
        <x:f>N407-M407</x:f>
        <x:v>0</x:v>
      </x:c>
      <x:c r="P407" s="1" t="n">
        <x:f>SUMIFS('Incoming POs'!$P$2:$P$305,'Incoming POs'!$A$2:$A$305,A407,'Incoming POs'!$B$2:$B$305,B407,'Incoming POs'!$C$2:$C$305,C407,'Incoming POs'!$G$2:$G$305,"&gt;="&amp;D407,'Incoming POs'!$G$2:$G$305,"&lt;"&amp;Dashboard!$I$5)</x:f>
        <x:v>0</x:v>
      </x:c>
      <x:c r="Q407" s="1" t="n">
        <x:f>F407*Dashboard!$L$5*MAX(0,Dashboard!$I$5-D407)/30.4375</x:f>
        <x:v>66.52977412731006</x:v>
      </x:c>
      <x:c r="R407" s="1" t="n">
        <x:f>MAX(0,E407+P407-Q407)</x:f>
        <x:v>133.47022587268992</x:v>
      </x:c>
      <x:c r="S407" s="1" t="n">
        <x:f>MAX(0,Q407-E407-P407)</x:f>
        <x:v>0</x:v>
      </x:c>
      <x:c r="T407" s="1" t="str">
        <x:f>IF(L407=1,MAX(0,I407+AB407-MIN(Q407,E407+P407)),"n.a.")</x:f>
        <x:v>n.a.</x:v>
      </x:c>
      <x:c r="U407" s="9" t="str">
        <x:f>IF(ISNUMBER(T407),T407*G407,"n.a.")</x:f>
        <x:v>n.a.</x:v>
      </x:c>
      <x:c r="V407" s="25" t="n">
        <x:f>IF(Dashboard!$I$6="Flat %",1,IF(ISNUMBER(H407),1,0))</x:f>
        <x:v>1</x:v>
      </x:c>
      <x:c r="W407" s="9" t="n">
        <x:f>IF(Dashboard!$I$6="Flat %",G407*(1+Dashboard!$L$6),H407)</x:f>
        <x:v>0.073059</x:v>
      </x:c>
      <x:c r="X407" s="9" t="n">
        <x:f>IF(V407=1,R407*(W407-G407),"n.a.")</x:f>
        <x:v>1.4093121149897327</x:v>
      </x:c>
      <x:c r="Y407" s="9" t="n">
        <x:f>IF(V407=1,R407*W407,"n.a.")</x:f>
        <x:v>9.751201232032853</x:v>
      </x:c>
      <x:c r="Z407" s="1" t="str">
        <x:f>IF(ISNUMBER(T407),R407-T407,"n.a.")</x:f>
        <x:v>n.a.</x:v>
      </x:c>
      <x:c r="AA407" s="1" t="str">
        <x:f>'Inventory inputs'!R407</x:f>
        <x:v>Review receipt reconciliation or original PO baseline</x:v>
      </x:c>
      <x:c r="AB407" s="1" t="str">
        <x:f>IF(L407=1,SUMIFS('Incoming POs'!$P$2:$P$305,'Incoming POs'!$A$2:$A$305,A407,'Incoming POs'!$B$2:$B$305,B407,'Incoming POs'!$C$2:$C$305,C407,'Incoming POs'!$G$2:$G$305,"&gt;="&amp;D407,'Incoming POs'!$G$2:$G$305,"&lt;"&amp;Dashboard!$I$5,'Incoming POs'!$Q$2:$Q$305,"&lt;="&amp;('Inventory inputs'!P407/'Inventory inputs'!J407*1.01)),"n.a.")</x:f>
        <x:v>n.a.</x:v>
      </x:c>
      <x:c r="AC407" s="9" t="n">
        <x:f>I407*G407</x:f>
        <x:v>0</x:v>
      </x:c>
      <x:c r="AD407" s="9" t="n">
        <x:f>J407*G407</x:f>
        <x:v>0</x:v>
      </x:c>
      <x:c r="AE407" s="9" t="n">
        <x:f>K407*G407</x:f>
        <x:v>12.5</x:v>
      </x:c>
      <x:c r="AF407" s="9" t="n">
        <x:f>R407*G407</x:f>
        <x:v>8.34188911704312</x:v>
      </x:c>
    </x:row>
    <x:row r="408" ht="21" customHeight="1">
      <x:c r="A408" s="1" t="str">
        <x:f>'Inventory inputs'!A408</x:f>
        <x:v>PLAS</x:v>
      </x:c>
      <x:c r="B408" s="1" t="str">
        <x:f>'Inventory inputs'!B408</x:f>
        <x:v>30</x:v>
      </x:c>
      <x:c r="C408" s="1" t="str">
        <x:f>'Inventory inputs'!C408</x:f>
        <x:v>07819RWBBLU</x:v>
      </x:c>
      <x:c r="D408" s="7" t="n">
        <x:f>'Inventory inputs'!E408</x:f>
        <x:v>46303</x:v>
      </x:c>
      <x:c r="E408" s="1" t="n">
        <x:f>'Inventory inputs'!F408</x:f>
        <x:v>200</x:v>
      </x:c>
      <x:c r="F408" s="1" t="n">
        <x:f>'Inventory inputs'!G408</x:f>
        <x:v>50</x:v>
      </x:c>
      <x:c r="G408" s="1" t="n">
        <x:f>'Inventory inputs'!H408/'Inventory inputs'!J408</x:f>
        <x:v>0.0797</x:v>
      </x:c>
      <x:c r="H408" s="1" t="n">
        <x:f>IF('Inventory inputs'!I408&gt;0,'Inventory inputs'!I408*'Inventory inputs'!K408/'Inventory inputs'!J408,"n.a.")</x:f>
        <x:v>0.09319799999999999</x:v>
      </x:c>
      <x:c r="I408" s="1" t="n">
        <x:f>'Inventory inputs'!L408</x:f>
        <x:v>0</x:v>
      </x:c>
      <x:c r="J408" s="1" t="n">
        <x:f>'Inventory inputs'!M408</x:f>
        <x:v>0</x:v>
      </x:c>
      <x:c r="K408" s="1" t="n">
        <x:f>'Inventory inputs'!N408</x:f>
        <x:v>200</x:v>
      </x:c>
      <x:c r="L408" s="1" t="n">
        <x:f>'Inventory inputs'!O408</x:f>
        <x:v>0</x:v>
      </x:c>
      <x:c r="M408" s="9" t="n">
        <x:f>E408*G408</x:f>
        <x:v>15.939999999999998</x:v>
      </x:c>
      <x:c r="N408" s="9" t="n">
        <x:f>'Inventory inputs'!Q408</x:f>
        <x:v>15.94</x:v>
      </x:c>
      <x:c r="O408" s="9" t="n">
        <x:f>N408-M408</x:f>
        <x:v>1.7763568394002505e-15</x:v>
      </x:c>
      <x:c r="P408" s="1" t="n">
        <x:f>SUMIFS('Incoming POs'!$P$2:$P$305,'Incoming POs'!$A$2:$A$305,A408,'Incoming POs'!$B$2:$B$305,B408,'Incoming POs'!$C$2:$C$305,C408,'Incoming POs'!$G$2:$G$305,"&gt;="&amp;D408,'Incoming POs'!$G$2:$G$305,"&lt;"&amp;Dashboard!$I$5)</x:f>
        <x:v>0</x:v>
      </x:c>
      <x:c r="Q408" s="1" t="n">
        <x:f>F408*Dashboard!$L$5*MAX(0,Dashboard!$I$5-D408)/30.4375</x:f>
        <x:v>66.52977412731006</x:v>
      </x:c>
      <x:c r="R408" s="1" t="n">
        <x:f>MAX(0,E408+P408-Q408)</x:f>
        <x:v>133.47022587268992</x:v>
      </x:c>
      <x:c r="S408" s="1" t="n">
        <x:f>MAX(0,Q408-E408-P408)</x:f>
        <x:v>0</x:v>
      </x:c>
      <x:c r="T408" s="1" t="str">
        <x:f>IF(L408=1,MAX(0,I408+AB408-MIN(Q408,E408+P408)),"n.a.")</x:f>
        <x:v>n.a.</x:v>
      </x:c>
      <x:c r="U408" s="9" t="str">
        <x:f>IF(ISNUMBER(T408),T408*G408,"n.a.")</x:f>
        <x:v>n.a.</x:v>
      </x:c>
      <x:c r="V408" s="25" t="n">
        <x:f>IF(Dashboard!$I$6="Flat %",1,IF(ISNUMBER(H408),1,0))</x:f>
        <x:v>1</x:v>
      </x:c>
      <x:c r="W408" s="9" t="n">
        <x:f>IF(Dashboard!$I$6="Flat %",G408*(1+Dashboard!$L$6),H408)</x:f>
        <x:v>0.09319799999999999</x:v>
      </x:c>
      <x:c r="X408" s="9" t="n">
        <x:f>IF(V408=1,R408*(W408-G408),"n.a.")</x:f>
        <x:v>1.8015811088295681</x:v>
      </x:c>
      <x:c r="Y408" s="9" t="n">
        <x:f>IF(V408=1,R408*W408,"n.a.")</x:f>
        <x:v>12.439158110882953</x:v>
      </x:c>
      <x:c r="Z408" s="1" t="str">
        <x:f>IF(ISNUMBER(T408),R408-T408,"n.a.")</x:f>
        <x:v>n.a.</x:v>
      </x:c>
      <x:c r="AA408" s="1" t="str">
        <x:f>'Inventory inputs'!R408</x:f>
        <x:v>Review receipt reconciliation or original PO baseline</x:v>
      </x:c>
      <x:c r="AB408" s="1" t="str">
        <x:f>IF(L408=1,SUMIFS('Incoming POs'!$P$2:$P$305,'Incoming POs'!$A$2:$A$305,A408,'Incoming POs'!$B$2:$B$305,B408,'Incoming POs'!$C$2:$C$305,C408,'Incoming POs'!$G$2:$G$305,"&gt;="&amp;D408,'Incoming POs'!$G$2:$G$305,"&lt;"&amp;Dashboard!$I$5,'Incoming POs'!$Q$2:$Q$305,"&lt;="&amp;('Inventory inputs'!P408/'Inventory inputs'!J408*1.01)),"n.a.")</x:f>
        <x:v>n.a.</x:v>
      </x:c>
      <x:c r="AC408" s="9" t="n">
        <x:f>I408*G408</x:f>
        <x:v>0</x:v>
      </x:c>
      <x:c r="AD408" s="9" t="n">
        <x:f>J408*G408</x:f>
        <x:v>0</x:v>
      </x:c>
      <x:c r="AE408" s="9" t="n">
        <x:f>K408*G408</x:f>
        <x:v>15.939999999999998</x:v>
      </x:c>
      <x:c r="AF408" s="9" t="n">
        <x:f>R408*G408</x:f>
        <x:v>10.637577002053385</x:v>
      </x:c>
    </x:row>
    <x:row r="409" ht="21" customHeight="1">
      <x:c r="A409" s="1" t="str">
        <x:f>'Inventory inputs'!A409</x:f>
        <x:v>PLAS</x:v>
      </x:c>
      <x:c r="B409" s="1" t="str">
        <x:f>'Inventory inputs'!B409</x:f>
        <x:v>30</x:v>
      </x:c>
      <x:c r="C409" s="1" t="str">
        <x:f>'Inventory inputs'!C409</x:f>
        <x:v>07819RWBMAR</x:v>
      </x:c>
      <x:c r="D409" s="7" t="n">
        <x:f>'Inventory inputs'!E409</x:f>
        <x:v>46303</x:v>
      </x:c>
      <x:c r="E409" s="1" t="n">
        <x:f>'Inventory inputs'!F409</x:f>
        <x:v>600</x:v>
      </x:c>
      <x:c r="F409" s="1" t="n">
        <x:f>'Inventory inputs'!G409</x:f>
        <x:v>50</x:v>
      </x:c>
      <x:c r="G409" s="1" t="n">
        <x:f>'Inventory inputs'!H409/'Inventory inputs'!J409</x:f>
        <x:v>0.0797</x:v>
      </x:c>
      <x:c r="H409" s="1" t="n">
        <x:f>IF('Inventory inputs'!I409&gt;0,'Inventory inputs'!I409*'Inventory inputs'!K409/'Inventory inputs'!J409,"n.a.")</x:f>
        <x:v>0.09319799999999999</x:v>
      </x:c>
      <x:c r="I409" s="1" t="n">
        <x:f>'Inventory inputs'!L409</x:f>
        <x:v>0</x:v>
      </x:c>
      <x:c r="J409" s="1" t="n">
        <x:f>'Inventory inputs'!M409</x:f>
        <x:v>0</x:v>
      </x:c>
      <x:c r="K409" s="1" t="n">
        <x:f>'Inventory inputs'!N409</x:f>
        <x:v>600</x:v>
      </x:c>
      <x:c r="L409" s="1" t="n">
        <x:f>'Inventory inputs'!O409</x:f>
        <x:v>0</x:v>
      </x:c>
      <x:c r="M409" s="9" t="n">
        <x:f>E409*G409</x:f>
        <x:v>47.81999999999999</x:v>
      </x:c>
      <x:c r="N409" s="9" t="n">
        <x:f>'Inventory inputs'!Q409</x:f>
        <x:v>47.82</x:v>
      </x:c>
      <x:c r="O409" s="9" t="n">
        <x:f>N409-M409</x:f>
        <x:v>7.105427357601002e-15</x:v>
      </x:c>
      <x:c r="P409" s="1" t="n">
        <x:f>SUMIFS('Incoming POs'!$P$2:$P$305,'Incoming POs'!$A$2:$A$305,A409,'Incoming POs'!$B$2:$B$305,B409,'Incoming POs'!$C$2:$C$305,C409,'Incoming POs'!$G$2:$G$305,"&gt;="&amp;D409,'Incoming POs'!$G$2:$G$305,"&lt;"&amp;Dashboard!$I$5)</x:f>
        <x:v>0</x:v>
      </x:c>
      <x:c r="Q409" s="1" t="n">
        <x:f>F409*Dashboard!$L$5*MAX(0,Dashboard!$I$5-D409)/30.4375</x:f>
        <x:v>66.52977412731006</x:v>
      </x:c>
      <x:c r="R409" s="1" t="n">
        <x:f>MAX(0,E409+P409-Q409)</x:f>
        <x:v>533.47022587269</x:v>
      </x:c>
      <x:c r="S409" s="1" t="n">
        <x:f>MAX(0,Q409-E409-P409)</x:f>
        <x:v>0</x:v>
      </x:c>
      <x:c r="T409" s="1" t="str">
        <x:f>IF(L409=1,MAX(0,I409+AB409-MIN(Q409,E409+P409)),"n.a.")</x:f>
        <x:v>n.a.</x:v>
      </x:c>
      <x:c r="U409" s="9" t="str">
        <x:f>IF(ISNUMBER(T409),T409*G409,"n.a.")</x:f>
        <x:v>n.a.</x:v>
      </x:c>
      <x:c r="V409" s="25" t="n">
        <x:f>IF(Dashboard!$I$6="Flat %",1,IF(ISNUMBER(H409),1,0))</x:f>
        <x:v>1</x:v>
      </x:c>
      <x:c r="W409" s="9" t="n">
        <x:f>IF(Dashboard!$I$6="Flat %",G409*(1+Dashboard!$L$6),H409)</x:f>
        <x:v>0.09319799999999999</x:v>
      </x:c>
      <x:c r="X409" s="9" t="n">
        <x:f>IF(V409=1,R409*(W409-G409),"n.a.")</x:f>
        <x:v>7.200781108829568</x:v>
      </x:c>
      <x:c r="Y409" s="9" t="n">
        <x:f>IF(V409=1,R409*W409,"n.a.")</x:f>
        <x:v>49.71835811088295</x:v>
      </x:c>
      <x:c r="Z409" s="1" t="str">
        <x:f>IF(ISNUMBER(T409),R409-T409,"n.a.")</x:f>
        <x:v>n.a.</x:v>
      </x:c>
      <x:c r="AA409" s="1" t="str">
        <x:f>'Inventory inputs'!R409</x:f>
        <x:v>Review receipt reconciliation or original PO baseline</x:v>
      </x:c>
      <x:c r="AB409" s="1" t="str">
        <x:f>IF(L409=1,SUMIFS('Incoming POs'!$P$2:$P$305,'Incoming POs'!$A$2:$A$305,A409,'Incoming POs'!$B$2:$B$305,B409,'Incoming POs'!$C$2:$C$305,C409,'Incoming POs'!$G$2:$G$305,"&gt;="&amp;D409,'Incoming POs'!$G$2:$G$305,"&lt;"&amp;Dashboard!$I$5,'Incoming POs'!$Q$2:$Q$305,"&lt;="&amp;('Inventory inputs'!P409/'Inventory inputs'!J409*1.01)),"n.a.")</x:f>
        <x:v>n.a.</x:v>
      </x:c>
      <x:c r="AC409" s="9" t="n">
        <x:f>I409*G409</x:f>
        <x:v>0</x:v>
      </x:c>
      <x:c r="AD409" s="9" t="n">
        <x:f>J409*G409</x:f>
        <x:v>0</x:v>
      </x:c>
      <x:c r="AE409" s="9" t="n">
        <x:f>K409*G409</x:f>
        <x:v>47.81999999999999</x:v>
      </x:c>
      <x:c r="AF409" s="9" t="n">
        <x:f>R409*G409</x:f>
        <x:v>42.517577002053386</x:v>
      </x:c>
    </x:row>
    <x:row r="410" ht="21" customHeight="1">
      <x:c r="A410" s="1" t="str">
        <x:f>'Inventory inputs'!A410</x:f>
        <x:v>PLAS</x:v>
      </x:c>
      <x:c r="B410" s="1" t="str">
        <x:f>'Inventory inputs'!B410</x:f>
        <x:v>30</x:v>
      </x:c>
      <x:c r="C410" s="1" t="str">
        <x:f>'Inventory inputs'!C410</x:f>
        <x:v>51619RWBWHT</x:v>
      </x:c>
      <x:c r="D410" s="7" t="n">
        <x:f>'Inventory inputs'!E410</x:f>
        <x:v>46303</x:v>
      </x:c>
      <x:c r="E410" s="1" t="n">
        <x:f>'Inventory inputs'!F410</x:f>
        <x:v>1900</x:v>
      </x:c>
      <x:c r="F410" s="1" t="n">
        <x:f>'Inventory inputs'!G410</x:f>
        <x:v>50</x:v>
      </x:c>
      <x:c r="G410" s="1" t="n">
        <x:f>'Inventory inputs'!H410/'Inventory inputs'!J410</x:f>
        <x:v>0.0216</x:v>
      </x:c>
      <x:c r="H410" s="1" t="n">
        <x:f>IF('Inventory inputs'!I410&gt;0,'Inventory inputs'!I410*'Inventory inputs'!K410/'Inventory inputs'!J410,"n.a.")</x:f>
        <x:v>0.025284</x:v>
      </x:c>
      <x:c r="I410" s="1" t="n">
        <x:f>'Inventory inputs'!L410</x:f>
        <x:v>0</x:v>
      </x:c>
      <x:c r="J410" s="1" t="n">
        <x:f>'Inventory inputs'!M410</x:f>
        <x:v>0</x:v>
      </x:c>
      <x:c r="K410" s="1" t="n">
        <x:f>'Inventory inputs'!N410</x:f>
        <x:v>1900</x:v>
      </x:c>
      <x:c r="L410" s="1" t="n">
        <x:f>'Inventory inputs'!O410</x:f>
        <x:v>0</x:v>
      </x:c>
      <x:c r="M410" s="9" t="n">
        <x:f>E410*G410</x:f>
        <x:v>41.04</x:v>
      </x:c>
      <x:c r="N410" s="9" t="n">
        <x:f>'Inventory inputs'!Q410</x:f>
        <x:v>41.04</x:v>
      </x:c>
      <x:c r="O410" s="9" t="n">
        <x:f>N410-M410</x:f>
        <x:v>0</x:v>
      </x:c>
      <x:c r="P410" s="1" t="n">
        <x:f>SUMIFS('Incoming POs'!$P$2:$P$305,'Incoming POs'!$A$2:$A$305,A410,'Incoming POs'!$B$2:$B$305,B410,'Incoming POs'!$C$2:$C$305,C410,'Incoming POs'!$G$2:$G$305,"&gt;="&amp;D410,'Incoming POs'!$G$2:$G$305,"&lt;"&amp;Dashboard!$I$5)</x:f>
        <x:v>0</x:v>
      </x:c>
      <x:c r="Q410" s="1" t="n">
        <x:f>F410*Dashboard!$L$5*MAX(0,Dashboard!$I$5-D410)/30.4375</x:f>
        <x:v>66.52977412731006</x:v>
      </x:c>
      <x:c r="R410" s="1" t="n">
        <x:f>MAX(0,E410+P410-Q410)</x:f>
        <x:v>1833.47022587269</x:v>
      </x:c>
      <x:c r="S410" s="1" t="n">
        <x:f>MAX(0,Q410-E410-P410)</x:f>
        <x:v>0</x:v>
      </x:c>
      <x:c r="T410" s="1" t="str">
        <x:f>IF(L410=1,MAX(0,I410+AB410-MIN(Q410,E410+P410)),"n.a.")</x:f>
        <x:v>n.a.</x:v>
      </x:c>
      <x:c r="U410" s="9" t="str">
        <x:f>IF(ISNUMBER(T410),T410*G410,"n.a.")</x:f>
        <x:v>n.a.</x:v>
      </x:c>
      <x:c r="V410" s="25" t="n">
        <x:f>IF(Dashboard!$I$6="Flat %",1,IF(ISNUMBER(H410),1,0))</x:f>
        <x:v>1</x:v>
      </x:c>
      <x:c r="W410" s="9" t="n">
        <x:f>IF(Dashboard!$I$6="Flat %",G410*(1+Dashboard!$L$6),H410)</x:f>
        <x:v>0.025284</x:v>
      </x:c>
      <x:c r="X410" s="9" t="n">
        <x:f>IF(V410=1,R410*(W410-G410),"n.a.")</x:f>
        <x:v>6.75450431211499</x:v>
      </x:c>
      <x:c r="Y410" s="9" t="n">
        <x:f>IF(V410=1,R410*W410,"n.a.")</x:f>
        <x:v>46.3574611909651</x:v>
      </x:c>
      <x:c r="Z410" s="1" t="str">
        <x:f>IF(ISNUMBER(T410),R410-T410,"n.a.")</x:f>
        <x:v>n.a.</x:v>
      </x:c>
      <x:c r="AA410" s="1" t="str">
        <x:f>'Inventory inputs'!R410</x:f>
        <x:v>Review receipt reconciliation or original PO baseline</x:v>
      </x:c>
      <x:c r="AB410" s="1" t="str">
        <x:f>IF(L410=1,SUMIFS('Incoming POs'!$P$2:$P$305,'Incoming POs'!$A$2:$A$305,A410,'Incoming POs'!$B$2:$B$305,B410,'Incoming POs'!$C$2:$C$305,C410,'Incoming POs'!$G$2:$G$305,"&gt;="&amp;D410,'Incoming POs'!$G$2:$G$305,"&lt;"&amp;Dashboard!$I$5,'Incoming POs'!$Q$2:$Q$305,"&lt;="&amp;('Inventory inputs'!P410/'Inventory inputs'!J410*1.01)),"n.a.")</x:f>
        <x:v>n.a.</x:v>
      </x:c>
      <x:c r="AC410" s="9" t="n">
        <x:f>I410*G410</x:f>
        <x:v>0</x:v>
      </x:c>
      <x:c r="AD410" s="9" t="n">
        <x:f>J410*G410</x:f>
        <x:v>0</x:v>
      </x:c>
      <x:c r="AE410" s="9" t="n">
        <x:f>K410*G410</x:f>
        <x:v>41.04</x:v>
      </x:c>
      <x:c r="AF410" s="9" t="n">
        <x:f>R410*G410</x:f>
        <x:v>39.60295687885011</x:v>
      </x:c>
    </x:row>
    <x:row r="411" ht="21" customHeight="1">
      <x:c r="A411" s="1" t="str">
        <x:f>'Inventory inputs'!A411</x:f>
        <x:v>PLAS</x:v>
      </x:c>
      <x:c r="B411" s="1" t="str">
        <x:f>'Inventory inputs'!B411</x:f>
        <x:v>60</x:v>
      </x:c>
      <x:c r="C411" s="1" t="str">
        <x:f>'Inventory inputs'!C411</x:f>
        <x:v>03819RWBFG</x:v>
      </x:c>
      <x:c r="D411" s="7" t="n">
        <x:f>'Inventory inputs'!E411</x:f>
        <x:v>46303</x:v>
      </x:c>
      <x:c r="E411" s="1" t="n">
        <x:f>'Inventory inputs'!F411</x:f>
        <x:v>1900</x:v>
      </x:c>
      <x:c r="F411" s="1" t="n">
        <x:f>'Inventory inputs'!G411</x:f>
        <x:v>50</x:v>
      </x:c>
      <x:c r="G411" s="1" t="n">
        <x:f>'Inventory inputs'!H411/'Inventory inputs'!J411</x:f>
        <x:v>0.0248</x:v>
      </x:c>
      <x:c r="H411" s="1" t="n">
        <x:f>IF('Inventory inputs'!I411&gt;0,'Inventory inputs'!I411*'Inventory inputs'!K411/'Inventory inputs'!J411,"n.a.")</x:f>
        <x:v>0.029106</x:v>
      </x:c>
      <x:c r="I411" s="1" t="n">
        <x:f>'Inventory inputs'!L411</x:f>
        <x:v>0</x:v>
      </x:c>
      <x:c r="J411" s="1" t="n">
        <x:f>'Inventory inputs'!M411</x:f>
        <x:v>0</x:v>
      </x:c>
      <x:c r="K411" s="1" t="n">
        <x:f>'Inventory inputs'!N411</x:f>
        <x:v>1900</x:v>
      </x:c>
      <x:c r="L411" s="1" t="n">
        <x:f>'Inventory inputs'!O411</x:f>
        <x:v>0</x:v>
      </x:c>
      <x:c r="M411" s="9" t="n">
        <x:f>E411*G411</x:f>
        <x:v>47.12</x:v>
      </x:c>
      <x:c r="N411" s="9" t="n">
        <x:f>'Inventory inputs'!Q411</x:f>
        <x:v>47.12</x:v>
      </x:c>
      <x:c r="O411" s="9" t="n">
        <x:f>N411-M411</x:f>
        <x:v>0</x:v>
      </x:c>
      <x:c r="P411" s="1" t="n">
        <x:f>SUMIFS('Incoming POs'!$P$2:$P$305,'Incoming POs'!$A$2:$A$305,A411,'Incoming POs'!$B$2:$B$305,B411,'Incoming POs'!$C$2:$C$305,C411,'Incoming POs'!$G$2:$G$305,"&gt;="&amp;D411,'Incoming POs'!$G$2:$G$305,"&lt;"&amp;Dashboard!$I$5)</x:f>
        <x:v>0</x:v>
      </x:c>
      <x:c r="Q411" s="1" t="n">
        <x:f>F411*Dashboard!$L$5*MAX(0,Dashboard!$I$5-D411)/30.4375</x:f>
        <x:v>66.52977412731006</x:v>
      </x:c>
      <x:c r="R411" s="1" t="n">
        <x:f>MAX(0,E411+P411-Q411)</x:f>
        <x:v>1833.47022587269</x:v>
      </x:c>
      <x:c r="S411" s="1" t="n">
        <x:f>MAX(0,Q411-E411-P411)</x:f>
        <x:v>0</x:v>
      </x:c>
      <x:c r="T411" s="1" t="str">
        <x:f>IF(L411=1,MAX(0,I411+AB411-MIN(Q411,E411+P411)),"n.a.")</x:f>
        <x:v>n.a.</x:v>
      </x:c>
      <x:c r="U411" s="9" t="str">
        <x:f>IF(ISNUMBER(T411),T411*G411,"n.a.")</x:f>
        <x:v>n.a.</x:v>
      </x:c>
      <x:c r="V411" s="25" t="n">
        <x:f>IF(Dashboard!$I$6="Flat %",1,IF(ISNUMBER(H411),1,0))</x:f>
        <x:v>1</x:v>
      </x:c>
      <x:c r="W411" s="9" t="n">
        <x:f>IF(Dashboard!$I$6="Flat %",G411*(1+Dashboard!$L$6),H411)</x:f>
        <x:v>0.029106</x:v>
      </x:c>
      <x:c r="X411" s="9" t="n">
        <x:f>IF(V411=1,R411*(W411-G411),"n.a.")</x:f>
        <x:v>7.8949227926078045</x:v>
      </x:c>
      <x:c r="Y411" s="9" t="n">
        <x:f>IF(V411=1,R411*W411,"n.a.")</x:f>
        <x:v>53.36498439425051</x:v>
      </x:c>
      <x:c r="Z411" s="1" t="str">
        <x:f>IF(ISNUMBER(T411),R411-T411,"n.a.")</x:f>
        <x:v>n.a.</x:v>
      </x:c>
      <x:c r="AA411" s="1" t="str">
        <x:f>'Inventory inputs'!R411</x:f>
        <x:v>Review receipt reconciliation or original PO baseline</x:v>
      </x:c>
      <x:c r="AB411" s="1" t="str">
        <x:f>IF(L411=1,SUMIFS('Incoming POs'!$P$2:$P$305,'Incoming POs'!$A$2:$A$305,A411,'Incoming POs'!$B$2:$B$305,B411,'Incoming POs'!$C$2:$C$305,C411,'Incoming POs'!$G$2:$G$305,"&gt;="&amp;D411,'Incoming POs'!$G$2:$G$305,"&lt;"&amp;Dashboard!$I$5,'Incoming POs'!$Q$2:$Q$305,"&lt;="&amp;('Inventory inputs'!P411/'Inventory inputs'!J411*1.01)),"n.a.")</x:f>
        <x:v>n.a.</x:v>
      </x:c>
      <x:c r="AC411" s="9" t="n">
        <x:f>I411*G411</x:f>
        <x:v>0</x:v>
      </x:c>
      <x:c r="AD411" s="9" t="n">
        <x:f>J411*G411</x:f>
        <x:v>0</x:v>
      </x:c>
      <x:c r="AE411" s="9" t="n">
        <x:f>K411*G411</x:f>
        <x:v>47.12</x:v>
      </x:c>
      <x:c r="AF411" s="9" t="n">
        <x:f>R411*G411</x:f>
        <x:v>45.47006160164271</x:v>
      </x:c>
    </x:row>
    <x:row r="412" ht="21" customHeight="1">
      <x:c r="A412" s="1" t="str">
        <x:f>'Inventory inputs'!A412</x:f>
        <x:v>PLAS</x:v>
      </x:c>
      <x:c r="B412" s="1" t="str">
        <x:f>'Inventory inputs'!B412</x:f>
        <x:v>60</x:v>
      </x:c>
      <x:c r="C412" s="1" t="str">
        <x:f>'Inventory inputs'!C412</x:f>
        <x:v>05819RWBMAR</x:v>
      </x:c>
      <x:c r="D412" s="7" t="n">
        <x:f>'Inventory inputs'!E412</x:f>
        <x:v>46303</x:v>
      </x:c>
      <x:c r="E412" s="1" t="n">
        <x:f>'Inventory inputs'!F412</x:f>
        <x:v>700</x:v>
      </x:c>
      <x:c r="F412" s="1" t="n">
        <x:f>'Inventory inputs'!G412</x:f>
        <x:v>50</x:v>
      </x:c>
      <x:c r="G412" s="1" t="n">
        <x:f>'Inventory inputs'!H412/'Inventory inputs'!J412</x:f>
        <x:v>0.045599999999999995</x:v>
      </x:c>
      <x:c r="H412" s="1" t="n">
        <x:f>IF('Inventory inputs'!I412&gt;0,'Inventory inputs'!I412*'Inventory inputs'!K412/'Inventory inputs'!J412,"n.a.")</x:f>
        <x:v>0.053361</x:v>
      </x:c>
      <x:c r="I412" s="1" t="n">
        <x:f>'Inventory inputs'!L412</x:f>
        <x:v>0</x:v>
      </x:c>
      <x:c r="J412" s="1" t="n">
        <x:f>'Inventory inputs'!M412</x:f>
        <x:v>0</x:v>
      </x:c>
      <x:c r="K412" s="1" t="n">
        <x:f>'Inventory inputs'!N412</x:f>
        <x:v>700</x:v>
      </x:c>
      <x:c r="L412" s="1" t="n">
        <x:f>'Inventory inputs'!O412</x:f>
        <x:v>0</x:v>
      </x:c>
      <x:c r="M412" s="9" t="n">
        <x:f>E412*G412</x:f>
        <x:v>31.919999999999995</x:v>
      </x:c>
      <x:c r="N412" s="9" t="n">
        <x:f>'Inventory inputs'!Q412</x:f>
        <x:v>31.919999999999995</x:v>
      </x:c>
      <x:c r="O412" s="9" t="n">
        <x:f>N412-M412</x:f>
        <x:v>0</x:v>
      </x:c>
      <x:c r="P412" s="1" t="n">
        <x:f>SUMIFS('Incoming POs'!$P$2:$P$305,'Incoming POs'!$A$2:$A$305,A412,'Incoming POs'!$B$2:$B$305,B412,'Incoming POs'!$C$2:$C$305,C412,'Incoming POs'!$G$2:$G$305,"&gt;="&amp;D412,'Incoming POs'!$G$2:$G$305,"&lt;"&amp;Dashboard!$I$5)</x:f>
        <x:v>0</x:v>
      </x:c>
      <x:c r="Q412" s="1" t="n">
        <x:f>F412*Dashboard!$L$5*MAX(0,Dashboard!$I$5-D412)/30.4375</x:f>
        <x:v>66.52977412731006</x:v>
      </x:c>
      <x:c r="R412" s="1" t="n">
        <x:f>MAX(0,E412+P412-Q412)</x:f>
        <x:v>633.47022587269</x:v>
      </x:c>
      <x:c r="S412" s="1" t="n">
        <x:f>MAX(0,Q412-E412-P412)</x:f>
        <x:v>0</x:v>
      </x:c>
      <x:c r="T412" s="1" t="str">
        <x:f>IF(L412=1,MAX(0,I412+AB412-MIN(Q412,E412+P412)),"n.a.")</x:f>
        <x:v>n.a.</x:v>
      </x:c>
      <x:c r="U412" s="9" t="str">
        <x:f>IF(ISNUMBER(T412),T412*G412,"n.a.")</x:f>
        <x:v>n.a.</x:v>
      </x:c>
      <x:c r="V412" s="25" t="n">
        <x:f>IF(Dashboard!$I$6="Flat %",1,IF(ISNUMBER(H412),1,0))</x:f>
        <x:v>1</x:v>
      </x:c>
      <x:c r="W412" s="9" t="n">
        <x:f>IF(Dashboard!$I$6="Flat %",G412*(1+Dashboard!$L$6),H412)</x:f>
        <x:v>0.053361</x:v>
      </x:c>
      <x:c r="X412" s="9" t="n">
        <x:f>IF(V412=1,R412*(W412-G412),"n.a.")</x:f>
        <x:v>4.91636242299795</x:v>
      </x:c>
      <x:c r="Y412" s="9" t="n">
        <x:f>IF(V412=1,R412*W412,"n.a.")</x:f>
        <x:v>33.80260472279261</x:v>
      </x:c>
      <x:c r="Z412" s="1" t="str">
        <x:f>IF(ISNUMBER(T412),R412-T412,"n.a.")</x:f>
        <x:v>n.a.</x:v>
      </x:c>
      <x:c r="AA412" s="1" t="str">
        <x:f>'Inventory inputs'!R412</x:f>
        <x:v>Review receipt reconciliation or original PO baseline</x:v>
      </x:c>
      <x:c r="AB412" s="1" t="str">
        <x:f>IF(L412=1,SUMIFS('Incoming POs'!$P$2:$P$305,'Incoming POs'!$A$2:$A$305,A412,'Incoming POs'!$B$2:$B$305,B412,'Incoming POs'!$C$2:$C$305,C412,'Incoming POs'!$G$2:$G$305,"&gt;="&amp;D412,'Incoming POs'!$G$2:$G$305,"&lt;"&amp;Dashboard!$I$5,'Incoming POs'!$Q$2:$Q$305,"&lt;="&amp;('Inventory inputs'!P412/'Inventory inputs'!J412*1.01)),"n.a.")</x:f>
        <x:v>n.a.</x:v>
      </x:c>
      <x:c r="AC412" s="9" t="n">
        <x:f>I412*G412</x:f>
        <x:v>0</x:v>
      </x:c>
      <x:c r="AD412" s="9" t="n">
        <x:f>J412*G412</x:f>
        <x:v>0</x:v>
      </x:c>
      <x:c r="AE412" s="9" t="n">
        <x:f>K412*G412</x:f>
        <x:v>31.919999999999995</x:v>
      </x:c>
      <x:c r="AF412" s="9" t="n">
        <x:f>R412*G412</x:f>
        <x:v>28.88624229979466</x:v>
      </x:c>
    </x:row>
    <x:row r="413" ht="21" customHeight="1">
      <x:c r="A413" s="1" t="str">
        <x:f>'Inventory inputs'!A413</x:f>
        <x:v>PLAS</x:v>
      </x:c>
      <x:c r="B413" s="1" t="str">
        <x:f>'Inventory inputs'!B413</x:f>
        <x:v>60</x:v>
      </x:c>
      <x:c r="C413" s="1" t="str">
        <x:f>'Inventory inputs'!C413</x:f>
        <x:v>07819RWBNAV</x:v>
      </x:c>
      <x:c r="D413" s="7" t="n">
        <x:f>'Inventory inputs'!E413</x:f>
        <x:v>46303</x:v>
      </x:c>
      <x:c r="E413" s="1" t="n">
        <x:f>'Inventory inputs'!F413</x:f>
        <x:v>800</x:v>
      </x:c>
      <x:c r="F413" s="1" t="n">
        <x:f>'Inventory inputs'!G413</x:f>
        <x:v>50</x:v>
      </x:c>
      <x:c r="G413" s="1" t="n">
        <x:f>'Inventory inputs'!H413/'Inventory inputs'!J413</x:f>
        <x:v>0.0797</x:v>
      </x:c>
      <x:c r="H413" s="1" t="n">
        <x:f>IF('Inventory inputs'!I413&gt;0,'Inventory inputs'!I413*'Inventory inputs'!K413/'Inventory inputs'!J413,"n.a.")</x:f>
        <x:v>0.09319799999999999</x:v>
      </x:c>
      <x:c r="I413" s="1" t="n">
        <x:f>'Inventory inputs'!L413</x:f>
        <x:v>0</x:v>
      </x:c>
      <x:c r="J413" s="1" t="n">
        <x:f>'Inventory inputs'!M413</x:f>
        <x:v>0</x:v>
      </x:c>
      <x:c r="K413" s="1" t="n">
        <x:f>'Inventory inputs'!N413</x:f>
        <x:v>800</x:v>
      </x:c>
      <x:c r="L413" s="1" t="n">
        <x:f>'Inventory inputs'!O413</x:f>
        <x:v>0</x:v>
      </x:c>
      <x:c r="M413" s="9" t="n">
        <x:f>E413*G413</x:f>
        <x:v>63.75999999999999</x:v>
      </x:c>
      <x:c r="N413" s="9" t="n">
        <x:f>'Inventory inputs'!Q413</x:f>
        <x:v>63.76</x:v>
      </x:c>
      <x:c r="O413" s="9" t="n">
        <x:f>N413-M413</x:f>
        <x:v>7.105427357601002e-15</x:v>
      </x:c>
      <x:c r="P413" s="1" t="n">
        <x:f>SUMIFS('Incoming POs'!$P$2:$P$305,'Incoming POs'!$A$2:$A$305,A413,'Incoming POs'!$B$2:$B$305,B413,'Incoming POs'!$C$2:$C$305,C413,'Incoming POs'!$G$2:$G$305,"&gt;="&amp;D413,'Incoming POs'!$G$2:$G$305,"&lt;"&amp;Dashboard!$I$5)</x:f>
        <x:v>0</x:v>
      </x:c>
      <x:c r="Q413" s="1" t="n">
        <x:f>F413*Dashboard!$L$5*MAX(0,Dashboard!$I$5-D413)/30.4375</x:f>
        <x:v>66.52977412731006</x:v>
      </x:c>
      <x:c r="R413" s="1" t="n">
        <x:f>MAX(0,E413+P413-Q413)</x:f>
        <x:v>733.47022587269</x:v>
      </x:c>
      <x:c r="S413" s="1" t="n">
        <x:f>MAX(0,Q413-E413-P413)</x:f>
        <x:v>0</x:v>
      </x:c>
      <x:c r="T413" s="1" t="str">
        <x:f>IF(L413=1,MAX(0,I413+AB413-MIN(Q413,E413+P413)),"n.a.")</x:f>
        <x:v>n.a.</x:v>
      </x:c>
      <x:c r="U413" s="9" t="str">
        <x:f>IF(ISNUMBER(T413),T413*G413,"n.a.")</x:f>
        <x:v>n.a.</x:v>
      </x:c>
      <x:c r="V413" s="25" t="n">
        <x:f>IF(Dashboard!$I$6="Flat %",1,IF(ISNUMBER(H413),1,0))</x:f>
        <x:v>1</x:v>
      </x:c>
      <x:c r="W413" s="9" t="n">
        <x:f>IF(Dashboard!$I$6="Flat %",G413*(1+Dashboard!$L$6),H413)</x:f>
        <x:v>0.09319799999999999</x:v>
      </x:c>
      <x:c r="X413" s="9" t="n">
        <x:f>IF(V413=1,R413*(W413-G413),"n.a.")</x:f>
        <x:v>9.900381108829567</x:v>
      </x:c>
      <x:c r="Y413" s="9" t="n">
        <x:f>IF(V413=1,R413*W413,"n.a.")</x:f>
        <x:v>68.35795811088295</x:v>
      </x:c>
      <x:c r="Z413" s="1" t="str">
        <x:f>IF(ISNUMBER(T413),R413-T413,"n.a.")</x:f>
        <x:v>n.a.</x:v>
      </x:c>
      <x:c r="AA413" s="1" t="str">
        <x:f>'Inventory inputs'!R413</x:f>
        <x:v>Review receipt reconciliation or original PO baseline</x:v>
      </x:c>
      <x:c r="AB413" s="1" t="str">
        <x:f>IF(L413=1,SUMIFS('Incoming POs'!$P$2:$P$305,'Incoming POs'!$A$2:$A$305,A413,'Incoming POs'!$B$2:$B$305,B413,'Incoming POs'!$C$2:$C$305,C413,'Incoming POs'!$G$2:$G$305,"&gt;="&amp;D413,'Incoming POs'!$G$2:$G$305,"&lt;"&amp;Dashboard!$I$5,'Incoming POs'!$Q$2:$Q$305,"&lt;="&amp;('Inventory inputs'!P413/'Inventory inputs'!J413*1.01)),"n.a.")</x:f>
        <x:v>n.a.</x:v>
      </x:c>
      <x:c r="AC413" s="9" t="n">
        <x:f>I413*G413</x:f>
        <x:v>0</x:v>
      </x:c>
      <x:c r="AD413" s="9" t="n">
        <x:f>J413*G413</x:f>
        <x:v>0</x:v>
      </x:c>
      <x:c r="AE413" s="9" t="n">
        <x:f>K413*G413</x:f>
        <x:v>63.75999999999999</x:v>
      </x:c>
      <x:c r="AF413" s="9" t="n">
        <x:f>R413*G413</x:f>
        <x:v>58.457577002053384</x:v>
      </x:c>
    </x:row>
    <x:row r="414" ht="21" customHeight="1">
      <x:c r="A414" s="1" t="str">
        <x:f>'Inventory inputs'!A414</x:f>
        <x:v>PLAS</x:v>
      </x:c>
      <x:c r="B414" s="1" t="str">
        <x:f>'Inventory inputs'!B414</x:f>
        <x:v>60</x:v>
      </x:c>
      <x:c r="C414" s="1" t="str">
        <x:f>'Inventory inputs'!C414</x:f>
        <x:v>11819RWBWHT</x:v>
      </x:c>
      <x:c r="D414" s="7" t="n">
        <x:f>'Inventory inputs'!E414</x:f>
        <x:v>46303</x:v>
      </x:c>
      <x:c r="E414" s="1" t="n">
        <x:f>'Inventory inputs'!F414</x:f>
        <x:v>8800</x:v>
      </x:c>
      <x:c r="F414" s="1" t="n">
        <x:f>'Inventory inputs'!G414</x:f>
        <x:v>50</x:v>
      </x:c>
      <x:c r="G414" s="1" t="n">
        <x:f>'Inventory inputs'!H414/'Inventory inputs'!J414</x:f>
        <x:v>0.1323</x:v>
      </x:c>
      <x:c r="H414" s="1" t="n">
        <x:f>IF('Inventory inputs'!I414&gt;0,'Inventory inputs'!I414*'Inventory inputs'!K414/'Inventory inputs'!J414,"n.a.")</x:f>
        <x:v>0.15479099999999998</x:v>
      </x:c>
      <x:c r="I414" s="1" t="n">
        <x:f>'Inventory inputs'!L414</x:f>
        <x:v>0</x:v>
      </x:c>
      <x:c r="J414" s="1" t="n">
        <x:f>'Inventory inputs'!M414</x:f>
        <x:v>0</x:v>
      </x:c>
      <x:c r="K414" s="1" t="n">
        <x:f>'Inventory inputs'!N414</x:f>
        <x:v>8800</x:v>
      </x:c>
      <x:c r="L414" s="1" t="n">
        <x:f>'Inventory inputs'!O414</x:f>
        <x:v>0</x:v>
      </x:c>
      <x:c r="M414" s="9" t="n">
        <x:f>E414*G414</x:f>
        <x:v>1164.24</x:v>
      </x:c>
      <x:c r="N414" s="9" t="n">
        <x:f>'Inventory inputs'!Q414</x:f>
        <x:v>1164.24</x:v>
      </x:c>
      <x:c r="O414" s="9" t="n">
        <x:f>N414-M414</x:f>
        <x:v>0</x:v>
      </x:c>
      <x:c r="P414" s="1" t="n">
        <x:f>SUMIFS('Incoming POs'!$P$2:$P$305,'Incoming POs'!$A$2:$A$305,A414,'Incoming POs'!$B$2:$B$305,B414,'Incoming POs'!$C$2:$C$305,C414,'Incoming POs'!$G$2:$G$305,"&gt;="&amp;D414,'Incoming POs'!$G$2:$G$305,"&lt;"&amp;Dashboard!$I$5)</x:f>
        <x:v>0</x:v>
      </x:c>
      <x:c r="Q414" s="1" t="n">
        <x:f>F414*Dashboard!$L$5*MAX(0,Dashboard!$I$5-D414)/30.4375</x:f>
        <x:v>66.52977412731006</x:v>
      </x:c>
      <x:c r="R414" s="1" t="n">
        <x:f>MAX(0,E414+P414-Q414)</x:f>
        <x:v>8733.47022587269</x:v>
      </x:c>
      <x:c r="S414" s="1" t="n">
        <x:f>MAX(0,Q414-E414-P414)</x:f>
        <x:v>0</x:v>
      </x:c>
      <x:c r="T414" s="1" t="str">
        <x:f>IF(L414=1,MAX(0,I414+AB414-MIN(Q414,E414+P414)),"n.a.")</x:f>
        <x:v>n.a.</x:v>
      </x:c>
      <x:c r="U414" s="9" t="str">
        <x:f>IF(ISNUMBER(T414),T414*G414,"n.a.")</x:f>
        <x:v>n.a.</x:v>
      </x:c>
      <x:c r="V414" s="25" t="n">
        <x:f>IF(Dashboard!$I$6="Flat %",1,IF(ISNUMBER(H414),1,0))</x:f>
        <x:v>1</x:v>
      </x:c>
      <x:c r="W414" s="9" t="n">
        <x:f>IF(Dashboard!$I$6="Flat %",G414*(1+Dashboard!$L$6),H414)</x:f>
        <x:v>0.15479099999999998</x:v>
      </x:c>
      <x:c r="X414" s="9" t="n">
        <x:f>IF(V414=1,R414*(W414-G414),"n.a.")</x:f>
        <x:v>196.42447885010253</x:v>
      </x:c>
      <x:c r="Y414" s="9" t="n">
        <x:f>IF(V414=1,R414*W414,"n.a.")</x:f>
        <x:v>1351.8625897330594</x:v>
      </x:c>
      <x:c r="Z414" s="1" t="str">
        <x:f>IF(ISNUMBER(T414),R414-T414,"n.a.")</x:f>
        <x:v>n.a.</x:v>
      </x:c>
      <x:c r="AA414" s="1" t="str">
        <x:f>'Inventory inputs'!R414</x:f>
        <x:v>Review receipt reconciliation or original PO baseline</x:v>
      </x:c>
      <x:c r="AB414" s="1" t="str">
        <x:f>IF(L414=1,SUMIFS('Incoming POs'!$P$2:$P$305,'Incoming POs'!$A$2:$A$305,A414,'Incoming POs'!$B$2:$B$305,B414,'Incoming POs'!$C$2:$C$305,C414,'Incoming POs'!$G$2:$G$305,"&gt;="&amp;D414,'Incoming POs'!$G$2:$G$305,"&lt;"&amp;Dashboard!$I$5,'Incoming POs'!$Q$2:$Q$305,"&lt;="&amp;('Inventory inputs'!P414/'Inventory inputs'!J414*1.01)),"n.a.")</x:f>
        <x:v>n.a.</x:v>
      </x:c>
      <x:c r="AC414" s="9" t="n">
        <x:f>I414*G414</x:f>
        <x:v>0</x:v>
      </x:c>
      <x:c r="AD414" s="9" t="n">
        <x:f>J414*G414</x:f>
        <x:v>0</x:v>
      </x:c>
      <x:c r="AE414" s="9" t="n">
        <x:f>K414*G414</x:f>
        <x:v>1164.24</x:v>
      </x:c>
      <x:c r="AF414" s="9" t="n">
        <x:f>R414*G414</x:f>
        <x:v>1155.4381108829568</x:v>
      </x:c>
    </x:row>
    <x:row r="415" ht="21" customHeight="1">
      <x:c r="A415" s="1" t="str">
        <x:f>'Inventory inputs'!A415</x:f>
        <x:v>PLAS</x:v>
      </x:c>
      <x:c r="B415" s="1" t="str">
        <x:f>'Inventory inputs'!B415</x:f>
        <x:v>10</x:v>
      </x:c>
      <x:c r="C415" s="1" t="str">
        <x:f>'Inventory inputs'!C415</x:f>
        <x:v>00115RWBFG</x:v>
      </x:c>
      <x:c r="D415" s="7" t="n">
        <x:f>'Inventory inputs'!E415</x:f>
        <x:v>46303</x:v>
      </x:c>
      <x:c r="E415" s="1" t="n">
        <x:f>'Inventory inputs'!F415</x:f>
        <x:v>2150</x:v>
      </x:c>
      <x:c r="F415" s="1" t="n">
        <x:f>'Inventory inputs'!G415</x:f>
        <x:v>45.08</x:v>
      </x:c>
      <x:c r="G415" s="1" t="n">
        <x:f>'Inventory inputs'!H415/'Inventory inputs'!J415</x:f>
        <x:v>0.0629</x:v>
      </x:c>
      <x:c r="H415" s="1" t="n">
        <x:f>IF('Inventory inputs'!I415&gt;0,'Inventory inputs'!I415*'Inventory inputs'!K415/'Inventory inputs'!J415,"n.a.")</x:f>
        <x:v>0.086142</x:v>
      </x:c>
      <x:c r="I415" s="1" t="n">
        <x:f>'Inventory inputs'!L415</x:f>
        <x:v>0</x:v>
      </x:c>
      <x:c r="J415" s="1" t="n">
        <x:f>'Inventory inputs'!M415</x:f>
        <x:v>0</x:v>
      </x:c>
      <x:c r="K415" s="1" t="n">
        <x:f>'Inventory inputs'!N415</x:f>
        <x:v>2150</x:v>
      </x:c>
      <x:c r="L415" s="1" t="n">
        <x:f>'Inventory inputs'!O415</x:f>
        <x:v>0</x:v>
      </x:c>
      <x:c r="M415" s="9" t="n">
        <x:f>E415*G415</x:f>
        <x:v>135.23499999999999</x:v>
      </x:c>
      <x:c r="N415" s="9" t="n">
        <x:f>'Inventory inputs'!Q415</x:f>
        <x:v>135.235</x:v>
      </x:c>
      <x:c r="O415" s="9" t="n">
        <x:f>N415-M415</x:f>
        <x:v>2.842170943040401e-14</x:v>
      </x:c>
      <x:c r="P415" s="1" t="n">
        <x:f>SUMIFS('Incoming POs'!$P$2:$P$305,'Incoming POs'!$A$2:$A$305,A415,'Incoming POs'!$B$2:$B$305,B415,'Incoming POs'!$C$2:$C$305,C415,'Incoming POs'!$G$2:$G$305,"&gt;="&amp;D415,'Incoming POs'!$G$2:$G$305,"&lt;"&amp;Dashboard!$I$5)</x:f>
        <x:v>0</x:v>
      </x:c>
      <x:c r="Q415" s="1" t="n">
        <x:f>F415*Dashboard!$L$5*MAX(0,Dashboard!$I$5-D415)/30.4375</x:f>
        <x:v>59.98324435318276</x:v>
      </x:c>
      <x:c r="R415" s="1" t="n">
        <x:f>MAX(0,E415+P415-Q415)</x:f>
        <x:v>2090.0167556468173</x:v>
      </x:c>
      <x:c r="S415" s="1" t="n">
        <x:f>MAX(0,Q415-E415-P415)</x:f>
        <x:v>0</x:v>
      </x:c>
      <x:c r="T415" s="1" t="str">
        <x:f>IF(L415=1,MAX(0,I415+AB415-MIN(Q415,E415+P415)),"n.a.")</x:f>
        <x:v>n.a.</x:v>
      </x:c>
      <x:c r="U415" s="9" t="str">
        <x:f>IF(ISNUMBER(T415),T415*G415,"n.a.")</x:f>
        <x:v>n.a.</x:v>
      </x:c>
      <x:c r="V415" s="25" t="n">
        <x:f>IF(Dashboard!$I$6="Flat %",1,IF(ISNUMBER(H415),1,0))</x:f>
        <x:v>1</x:v>
      </x:c>
      <x:c r="W415" s="9" t="n">
        <x:f>IF(Dashboard!$I$6="Flat %",G415*(1+Dashboard!$L$6),H415)</x:f>
        <x:v>0.086142</x:v>
      </x:c>
      <x:c r="X415" s="9" t="n">
        <x:f>IF(V415=1,R415*(W415-G415),"n.a.")</x:f>
        <x:v>48.57616943474333</x:v>
      </x:c>
      <x:c r="Y415" s="9" t="n">
        <x:f>IF(V415=1,R415*W415,"n.a.")</x:f>
        <x:v>180.03822336492811</x:v>
      </x:c>
      <x:c r="Z415" s="1" t="str">
        <x:f>IF(ISNUMBER(T415),R415-T415,"n.a.")</x:f>
        <x:v>n.a.</x:v>
      </x:c>
      <x:c r="AA415" s="1" t="str">
        <x:f>'Inventory inputs'!R415</x:f>
        <x:v>Review receipt reconciliation or original PO baseline</x:v>
      </x:c>
      <x:c r="AB415" s="1" t="str">
        <x:f>IF(L415=1,SUMIFS('Incoming POs'!$P$2:$P$305,'Incoming POs'!$A$2:$A$305,A415,'Incoming POs'!$B$2:$B$305,B415,'Incoming POs'!$C$2:$C$305,C415,'Incoming POs'!$G$2:$G$305,"&gt;="&amp;D415,'Incoming POs'!$G$2:$G$305,"&lt;"&amp;Dashboard!$I$5,'Incoming POs'!$Q$2:$Q$305,"&lt;="&amp;('Inventory inputs'!P415/'Inventory inputs'!J415*1.01)),"n.a.")</x:f>
        <x:v>n.a.</x:v>
      </x:c>
      <x:c r="AC415" s="9" t="n">
        <x:f>I415*G415</x:f>
        <x:v>0</x:v>
      </x:c>
      <x:c r="AD415" s="9" t="n">
        <x:f>J415*G415</x:f>
        <x:v>0</x:v>
      </x:c>
      <x:c r="AE415" s="9" t="n">
        <x:f>K415*G415</x:f>
        <x:v>135.23499999999999</x:v>
      </x:c>
      <x:c r="AF415" s="9" t="n">
        <x:f>R415*G415</x:f>
        <x:v>131.4620539301848</x:v>
      </x:c>
    </x:row>
    <x:row r="416" ht="21" customHeight="1">
      <x:c r="A416" s="1" t="str">
        <x:f>'Inventory inputs'!A416</x:f>
        <x:v>PLAS</x:v>
      </x:c>
      <x:c r="B416" s="1" t="str">
        <x:f>'Inventory inputs'!B416</x:f>
        <x:v>10</x:v>
      </x:c>
      <x:c r="C416" s="1" t="str">
        <x:f>'Inventory inputs'!C416</x:f>
        <x:v>03815RWBRED</x:v>
      </x:c>
      <x:c r="D416" s="7" t="n">
        <x:f>'Inventory inputs'!E416</x:f>
        <x:v>46303</x:v>
      </x:c>
      <x:c r="E416" s="1" t="n">
        <x:f>'Inventory inputs'!F416</x:f>
        <x:v>600</x:v>
      </x:c>
      <x:c r="F416" s="1" t="n">
        <x:f>'Inventory inputs'!G416</x:f>
        <x:v>41.67</x:v>
      </x:c>
      <x:c r="G416" s="1" t="n">
        <x:f>'Inventory inputs'!H416/'Inventory inputs'!J416</x:f>
        <x:v>0.0125</x:v>
      </x:c>
      <x:c r="H416" s="1" t="n">
        <x:f>IF('Inventory inputs'!I416&gt;0,'Inventory inputs'!I416*'Inventory inputs'!K416/'Inventory inputs'!J416,"n.a.")</x:f>
        <x:v>0.018963</x:v>
      </x:c>
      <x:c r="I416" s="1" t="n">
        <x:f>'Inventory inputs'!L416</x:f>
        <x:v>0</x:v>
      </x:c>
      <x:c r="J416" s="1" t="n">
        <x:f>'Inventory inputs'!M416</x:f>
        <x:v>0</x:v>
      </x:c>
      <x:c r="K416" s="1" t="n">
        <x:f>'Inventory inputs'!N416</x:f>
        <x:v>600</x:v>
      </x:c>
      <x:c r="L416" s="1" t="n">
        <x:f>'Inventory inputs'!O416</x:f>
        <x:v>0</x:v>
      </x:c>
      <x:c r="M416" s="9" t="n">
        <x:f>E416*G416</x:f>
        <x:v>7.5</x:v>
      </x:c>
      <x:c r="N416" s="9" t="n">
        <x:f>'Inventory inputs'!Q416</x:f>
        <x:v>7.5</x:v>
      </x:c>
      <x:c r="O416" s="9" t="n">
        <x:f>N416-M416</x:f>
        <x:v>0</x:v>
      </x:c>
      <x:c r="P416" s="1" t="n">
        <x:f>SUMIFS('Incoming POs'!$P$2:$P$305,'Incoming POs'!$A$2:$A$305,A416,'Incoming POs'!$B$2:$B$305,B416,'Incoming POs'!$C$2:$C$305,C416,'Incoming POs'!$G$2:$G$305,"&gt;="&amp;D416,'Incoming POs'!$G$2:$G$305,"&lt;"&amp;Dashboard!$I$5)</x:f>
        <x:v>0</x:v>
      </x:c>
      <x:c r="Q416" s="1" t="n">
        <x:f>F416*Dashboard!$L$5*MAX(0,Dashboard!$I$5-D416)/30.4375</x:f>
        <x:v>55.445913757700204</x:v>
      </x:c>
      <x:c r="R416" s="1" t="n">
        <x:f>MAX(0,E416+P416-Q416)</x:f>
        <x:v>544.5540862422998</x:v>
      </x:c>
      <x:c r="S416" s="1" t="n">
        <x:f>MAX(0,Q416-E416-P416)</x:f>
        <x:v>0</x:v>
      </x:c>
      <x:c r="T416" s="1" t="str">
        <x:f>IF(L416=1,MAX(0,I416+AB416-MIN(Q416,E416+P416)),"n.a.")</x:f>
        <x:v>n.a.</x:v>
      </x:c>
      <x:c r="U416" s="9" t="str">
        <x:f>IF(ISNUMBER(T416),T416*G416,"n.a.")</x:f>
        <x:v>n.a.</x:v>
      </x:c>
      <x:c r="V416" s="25" t="n">
        <x:f>IF(Dashboard!$I$6="Flat %",1,IF(ISNUMBER(H416),1,0))</x:f>
        <x:v>1</x:v>
      </x:c>
      <x:c r="W416" s="9" t="n">
        <x:f>IF(Dashboard!$I$6="Flat %",G416*(1+Dashboard!$L$6),H416)</x:f>
        <x:v>0.018963</x:v>
      </x:c>
      <x:c r="X416" s="9" t="n">
        <x:f>IF(V416=1,R416*(W416-G416),"n.a.")</x:f>
        <x:v>3.519453059383984</x:v>
      </x:c>
      <x:c r="Y416" s="9" t="n">
        <x:f>IF(V416=1,R416*W416,"n.a.")</x:f>
        <x:v>10.326379137412733</x:v>
      </x:c>
      <x:c r="Z416" s="1" t="str">
        <x:f>IF(ISNUMBER(T416),R416-T416,"n.a.")</x:f>
        <x:v>n.a.</x:v>
      </x:c>
      <x:c r="AA416" s="1" t="str">
        <x:f>'Inventory inputs'!R416</x:f>
        <x:v>Review receipt reconciliation or original PO baseline</x:v>
      </x:c>
      <x:c r="AB416" s="1" t="str">
        <x:f>IF(L416=1,SUMIFS('Incoming POs'!$P$2:$P$305,'Incoming POs'!$A$2:$A$305,A416,'Incoming POs'!$B$2:$B$305,B416,'Incoming POs'!$C$2:$C$305,C416,'Incoming POs'!$G$2:$G$305,"&gt;="&amp;D416,'Incoming POs'!$G$2:$G$305,"&lt;"&amp;Dashboard!$I$5,'Incoming POs'!$Q$2:$Q$305,"&lt;="&amp;('Inventory inputs'!P416/'Inventory inputs'!J416*1.01)),"n.a.")</x:f>
        <x:v>n.a.</x:v>
      </x:c>
      <x:c r="AC416" s="9" t="n">
        <x:f>I416*G416</x:f>
        <x:v>0</x:v>
      </x:c>
      <x:c r="AD416" s="9" t="n">
        <x:f>J416*G416</x:f>
        <x:v>0</x:v>
      </x:c>
      <x:c r="AE416" s="9" t="n">
        <x:f>K416*G416</x:f>
        <x:v>7.5</x:v>
      </x:c>
      <x:c r="AF416" s="9" t="n">
        <x:f>R416*G416</x:f>
        <x:v>6.806926078028749</x:v>
      </x:c>
    </x:row>
    <x:row r="417" ht="21" customHeight="1">
      <x:c r="A417" s="1" t="str">
        <x:f>'Inventory inputs'!A417</x:f>
        <x:v>PLAS</x:v>
      </x:c>
      <x:c r="B417" s="1" t="str">
        <x:f>'Inventory inputs'!B417</x:f>
        <x:v>10</x:v>
      </x:c>
      <x:c r="C417" s="1" t="str">
        <x:f>'Inventory inputs'!C417</x:f>
        <x:v>11419RSLBLU</x:v>
      </x:c>
      <x:c r="D417" s="7" t="n">
        <x:f>'Inventory inputs'!E417</x:f>
        <x:v>46303</x:v>
      </x:c>
      <x:c r="E417" s="1" t="n">
        <x:f>'Inventory inputs'!F417</x:f>
        <x:v>900</x:v>
      </x:c>
      <x:c r="F417" s="1" t="n">
        <x:f>'Inventory inputs'!G417</x:f>
        <x:v>41.67</x:v>
      </x:c>
      <x:c r="G417" s="1" t="n">
        <x:f>'Inventory inputs'!H417/'Inventory inputs'!J417</x:f>
        <x:v>0.111</x:v>
      </x:c>
      <x:c r="H417" s="1" t="n">
        <x:f>IF('Inventory inputs'!I417&gt;0,'Inventory inputs'!I417*'Inventory inputs'!K417/'Inventory inputs'!J417,"n.a.")</x:f>
        <x:v>0.129801</x:v>
      </x:c>
      <x:c r="I417" s="1" t="n">
        <x:f>'Inventory inputs'!L417</x:f>
        <x:v>0</x:v>
      </x:c>
      <x:c r="J417" s="1" t="n">
        <x:f>'Inventory inputs'!M417</x:f>
        <x:v>0</x:v>
      </x:c>
      <x:c r="K417" s="1" t="n">
        <x:f>'Inventory inputs'!N417</x:f>
        <x:v>900</x:v>
      </x:c>
      <x:c r="L417" s="1" t="n">
        <x:f>'Inventory inputs'!O417</x:f>
        <x:v>0</x:v>
      </x:c>
      <x:c r="M417" s="9" t="n">
        <x:f>E417*G417</x:f>
        <x:v>99.9</x:v>
      </x:c>
      <x:c r="N417" s="9" t="n">
        <x:f>'Inventory inputs'!Q417</x:f>
        <x:v>99.9</x:v>
      </x:c>
      <x:c r="O417" s="9" t="n">
        <x:f>N417-M417</x:f>
        <x:v>0</x:v>
      </x:c>
      <x:c r="P417" s="1" t="n">
        <x:f>SUMIFS('Incoming POs'!$P$2:$P$305,'Incoming POs'!$A$2:$A$305,A417,'Incoming POs'!$B$2:$B$305,B417,'Incoming POs'!$C$2:$C$305,C417,'Incoming POs'!$G$2:$G$305,"&gt;="&amp;D417,'Incoming POs'!$G$2:$G$305,"&lt;"&amp;Dashboard!$I$5)</x:f>
        <x:v>0</x:v>
      </x:c>
      <x:c r="Q417" s="1" t="n">
        <x:f>F417*Dashboard!$L$5*MAX(0,Dashboard!$I$5-D417)/30.4375</x:f>
        <x:v>55.445913757700204</x:v>
      </x:c>
      <x:c r="R417" s="1" t="n">
        <x:f>MAX(0,E417+P417-Q417)</x:f>
        <x:v>844.5540862422998</x:v>
      </x:c>
      <x:c r="S417" s="1" t="n">
        <x:f>MAX(0,Q417-E417-P417)</x:f>
        <x:v>0</x:v>
      </x:c>
      <x:c r="T417" s="1" t="str">
        <x:f>IF(L417=1,MAX(0,I417+AB417-MIN(Q417,E417+P417)),"n.a.")</x:f>
        <x:v>n.a.</x:v>
      </x:c>
      <x:c r="U417" s="9" t="str">
        <x:f>IF(ISNUMBER(T417),T417*G417,"n.a.")</x:f>
        <x:v>n.a.</x:v>
      </x:c>
      <x:c r="V417" s="25" t="n">
        <x:f>IF(Dashboard!$I$6="Flat %",1,IF(ISNUMBER(H417),1,0))</x:f>
        <x:v>1</x:v>
      </x:c>
      <x:c r="W417" s="9" t="n">
        <x:f>IF(Dashboard!$I$6="Flat %",G417*(1+Dashboard!$L$6),H417)</x:f>
        <x:v>0.129801</x:v>
      </x:c>
      <x:c r="X417" s="9" t="n">
        <x:f>IF(V417=1,R417*(W417-G417),"n.a.")</x:f>
        <x:v>15.878461375441479</x:v>
      </x:c>
      <x:c r="Y417" s="9" t="n">
        <x:f>IF(V417=1,R417*W417,"n.a.")</x:f>
        <x:v>109.62396494833676</x:v>
      </x:c>
      <x:c r="Z417" s="1" t="str">
        <x:f>IF(ISNUMBER(T417),R417-T417,"n.a.")</x:f>
        <x:v>n.a.</x:v>
      </x:c>
      <x:c r="AA417" s="1" t="str">
        <x:f>'Inventory inputs'!R417</x:f>
        <x:v>Review receipt reconciliation or original PO baseline</x:v>
      </x:c>
      <x:c r="AB417" s="1" t="str">
        <x:f>IF(L417=1,SUMIFS('Incoming POs'!$P$2:$P$305,'Incoming POs'!$A$2:$A$305,A417,'Incoming POs'!$B$2:$B$305,B417,'Incoming POs'!$C$2:$C$305,C417,'Incoming POs'!$G$2:$G$305,"&gt;="&amp;D417,'Incoming POs'!$G$2:$G$305,"&lt;"&amp;Dashboard!$I$5,'Incoming POs'!$Q$2:$Q$305,"&lt;="&amp;('Inventory inputs'!P417/'Inventory inputs'!J417*1.01)),"n.a.")</x:f>
        <x:v>n.a.</x:v>
      </x:c>
      <x:c r="AC417" s="9" t="n">
        <x:f>I417*G417</x:f>
        <x:v>0</x:v>
      </x:c>
      <x:c r="AD417" s="9" t="n">
        <x:f>J417*G417</x:f>
        <x:v>0</x:v>
      </x:c>
      <x:c r="AE417" s="9" t="n">
        <x:f>K417*G417</x:f>
        <x:v>99.9</x:v>
      </x:c>
      <x:c r="AF417" s="9" t="n">
        <x:f>R417*G417</x:f>
        <x:v>93.74550357289529</x:v>
      </x:c>
    </x:row>
    <x:row r="418" ht="21" customHeight="1">
      <x:c r="A418" s="1" t="str">
        <x:f>'Inventory inputs'!A418</x:f>
        <x:v>PLAS</x:v>
      </x:c>
      <x:c r="B418" s="1" t="str">
        <x:f>'Inventory inputs'!B418</x:f>
        <x:v>10</x:v>
      </x:c>
      <x:c r="C418" s="1" t="str">
        <x:f>'Inventory inputs'!C418</x:f>
        <x:v>11815ROVMAR</x:v>
      </x:c>
      <x:c r="D418" s="7" t="n">
        <x:f>'Inventory inputs'!E418</x:f>
        <x:v>46303</x:v>
      </x:c>
      <x:c r="E418" s="1" t="n">
        <x:f>'Inventory inputs'!F418</x:f>
        <x:v>2530</x:v>
      </x:c>
      <x:c r="F418" s="1" t="n">
        <x:f>'Inventory inputs'!G418</x:f>
        <x:v>41.67</x:v>
      </x:c>
      <x:c r="G418" s="1" t="n">
        <x:f>'Inventory inputs'!H418/'Inventory inputs'!J418</x:f>
        <x:v>0.08410000000000001</x:v>
      </x:c>
      <x:c r="H418" s="1" t="n">
        <x:f>IF('Inventory inputs'!I418&gt;0,'Inventory inputs'!I418*'Inventory inputs'!K418/'Inventory inputs'!J418,"n.a.")</x:f>
        <x:v>0.09834300000000001</x:v>
      </x:c>
      <x:c r="I418" s="1" t="n">
        <x:f>'Inventory inputs'!L418</x:f>
        <x:v>0</x:v>
      </x:c>
      <x:c r="J418" s="1" t="n">
        <x:f>'Inventory inputs'!M418</x:f>
        <x:v>0</x:v>
      </x:c>
      <x:c r="K418" s="1" t="n">
        <x:f>'Inventory inputs'!N418</x:f>
        <x:v>2530</x:v>
      </x:c>
      <x:c r="L418" s="1" t="n">
        <x:f>'Inventory inputs'!O418</x:f>
        <x:v>0</x:v>
      </x:c>
      <x:c r="M418" s="9" t="n">
        <x:f>E418*G418</x:f>
        <x:v>212.77300000000002</x:v>
      </x:c>
      <x:c r="N418" s="9" t="n">
        <x:f>'Inventory inputs'!Q418</x:f>
        <x:v>212.773</x:v>
      </x:c>
      <x:c r="O418" s="9" t="n">
        <x:f>N418-M418</x:f>
        <x:v>-2.842170943040401e-14</x:v>
      </x:c>
      <x:c r="P418" s="1" t="n">
        <x:f>SUMIFS('Incoming POs'!$P$2:$P$305,'Incoming POs'!$A$2:$A$305,A418,'Incoming POs'!$B$2:$B$305,B418,'Incoming POs'!$C$2:$C$305,C418,'Incoming POs'!$G$2:$G$305,"&gt;="&amp;D418,'Incoming POs'!$G$2:$G$305,"&lt;"&amp;Dashboard!$I$5)</x:f>
        <x:v>0</x:v>
      </x:c>
      <x:c r="Q418" s="1" t="n">
        <x:f>F418*Dashboard!$L$5*MAX(0,Dashboard!$I$5-D418)/30.4375</x:f>
        <x:v>55.445913757700204</x:v>
      </x:c>
      <x:c r="R418" s="1" t="n">
        <x:f>MAX(0,E418+P418-Q418)</x:f>
        <x:v>2474.5540862423</x:v>
      </x:c>
      <x:c r="S418" s="1" t="n">
        <x:f>MAX(0,Q418-E418-P418)</x:f>
        <x:v>0</x:v>
      </x:c>
      <x:c r="T418" s="1" t="str">
        <x:f>IF(L418=1,MAX(0,I418+AB418-MIN(Q418,E418+P418)),"n.a.")</x:f>
        <x:v>n.a.</x:v>
      </x:c>
      <x:c r="U418" s="9" t="str">
        <x:f>IF(ISNUMBER(T418),T418*G418,"n.a.")</x:f>
        <x:v>n.a.</x:v>
      </x:c>
      <x:c r="V418" s="25" t="n">
        <x:f>IF(Dashboard!$I$6="Flat %",1,IF(ISNUMBER(H418),1,0))</x:f>
        <x:v>1</x:v>
      </x:c>
      <x:c r="W418" s="9" t="n">
        <x:f>IF(Dashboard!$I$6="Flat %",G418*(1+Dashboard!$L$6),H418)</x:f>
        <x:v>0.09834300000000001</x:v>
      </x:c>
      <x:c r="X418" s="9" t="n">
        <x:f>IF(V418=1,R418*(W418-G418),"n.a.")</x:f>
        <x:v>35.245073850349094</x:v>
      </x:c>
      <x:c r="Y418" s="9" t="n">
        <x:f>IF(V418=1,R418*W418,"n.a.")</x:f>
        <x:v>243.35507250332654</x:v>
      </x:c>
      <x:c r="Z418" s="1" t="str">
        <x:f>IF(ISNUMBER(T418),R418-T418,"n.a.")</x:f>
        <x:v>n.a.</x:v>
      </x:c>
      <x:c r="AA418" s="1" t="str">
        <x:f>'Inventory inputs'!R418</x:f>
        <x:v>Review receipt reconciliation or original PO baseline</x:v>
      </x:c>
      <x:c r="AB418" s="1" t="str">
        <x:f>IF(L418=1,SUMIFS('Incoming POs'!$P$2:$P$305,'Incoming POs'!$A$2:$A$305,A418,'Incoming POs'!$B$2:$B$305,B418,'Incoming POs'!$C$2:$C$305,C418,'Incoming POs'!$G$2:$G$305,"&gt;="&amp;D418,'Incoming POs'!$G$2:$G$305,"&lt;"&amp;Dashboard!$I$5,'Incoming POs'!$Q$2:$Q$305,"&lt;="&amp;('Inventory inputs'!P418/'Inventory inputs'!J418*1.01)),"n.a.")</x:f>
        <x:v>n.a.</x:v>
      </x:c>
      <x:c r="AC418" s="9" t="n">
        <x:f>I418*G418</x:f>
        <x:v>0</x:v>
      </x:c>
      <x:c r="AD418" s="9" t="n">
        <x:f>J418*G418</x:f>
        <x:v>0</x:v>
      </x:c>
      <x:c r="AE418" s="9" t="n">
        <x:f>K418*G418</x:f>
        <x:v>212.77300000000002</x:v>
      </x:c>
      <x:c r="AF418" s="9" t="n">
        <x:f>R418*G418</x:f>
        <x:v>208.10999865297745</x:v>
      </x:c>
    </x:row>
    <x:row r="419" ht="21" customHeight="1">
      <x:c r="A419" s="1" t="str">
        <x:f>'Inventory inputs'!A419</x:f>
        <x:v>PLAS</x:v>
      </x:c>
      <x:c r="B419" s="1" t="str">
        <x:f>'Inventory inputs'!B419</x:f>
        <x:v>30</x:v>
      </x:c>
      <x:c r="C419" s="1" t="str">
        <x:f>'Inventory inputs'!C419</x:f>
        <x:v>11219RSLNAV</x:v>
      </x:c>
      <x:c r="D419" s="7" t="n">
        <x:f>'Inventory inputs'!E419</x:f>
        <x:v>46303</x:v>
      </x:c>
      <x:c r="E419" s="1" t="n">
        <x:f>'Inventory inputs'!F419</x:f>
        <x:v>50</x:v>
      </x:c>
      <x:c r="F419" s="1" t="n">
        <x:f>'Inventory inputs'!G419</x:f>
        <x:v>41.67</x:v>
      </x:c>
      <x:c r="G419" s="1" t="n">
        <x:f>'Inventory inputs'!H419/'Inventory inputs'!J419</x:f>
        <x:v>0.1298</x:v>
      </x:c>
      <x:c r="H419" s="1" t="n">
        <x:f>IF('Inventory inputs'!I419&gt;0,'Inventory inputs'!I419*'Inventory inputs'!K419/'Inventory inputs'!J419,"n.a.")</x:f>
        <x:v>0.151851</x:v>
      </x:c>
      <x:c r="I419" s="1" t="n">
        <x:f>'Inventory inputs'!L419</x:f>
        <x:v>0</x:v>
      </x:c>
      <x:c r="J419" s="1" t="n">
        <x:f>'Inventory inputs'!M419</x:f>
        <x:v>0</x:v>
      </x:c>
      <x:c r="K419" s="1" t="n">
        <x:f>'Inventory inputs'!N419</x:f>
        <x:v>50</x:v>
      </x:c>
      <x:c r="L419" s="1" t="n">
        <x:f>'Inventory inputs'!O419</x:f>
        <x:v>0</x:v>
      </x:c>
      <x:c r="M419" s="9" t="n">
        <x:f>E419*G419</x:f>
        <x:v>6.49</x:v>
      </x:c>
      <x:c r="N419" s="9" t="n">
        <x:f>'Inventory inputs'!Q419</x:f>
        <x:v>6.49</x:v>
      </x:c>
      <x:c r="O419" s="9" t="n">
        <x:f>N419-M419</x:f>
        <x:v>0</x:v>
      </x:c>
      <x:c r="P419" s="1" t="n">
        <x:f>SUMIFS('Incoming POs'!$P$2:$P$305,'Incoming POs'!$A$2:$A$305,A419,'Incoming POs'!$B$2:$B$305,B419,'Incoming POs'!$C$2:$C$305,C419,'Incoming POs'!$G$2:$G$305,"&gt;="&amp;D419,'Incoming POs'!$G$2:$G$305,"&lt;"&amp;Dashboard!$I$5)</x:f>
        <x:v>0</x:v>
      </x:c>
      <x:c r="Q419" s="1" t="n">
        <x:f>F419*Dashboard!$L$5*MAX(0,Dashboard!$I$5-D419)/30.4375</x:f>
        <x:v>55.445913757700204</x:v>
      </x:c>
      <x:c r="R419" s="1" t="n">
        <x:f>MAX(0,E419+P419-Q419)</x:f>
        <x:v>0</x:v>
      </x:c>
      <x:c r="S419" s="1" t="n">
        <x:f>MAX(0,Q419-E419-P419)</x:f>
        <x:v>5.445913757700204</x:v>
      </x:c>
      <x:c r="T419" s="1" t="str">
        <x:f>IF(L419=1,MAX(0,I419+AB419-MIN(Q419,E419+P419)),"n.a.")</x:f>
        <x:v>n.a.</x:v>
      </x:c>
      <x:c r="U419" s="9" t="str">
        <x:f>IF(ISNUMBER(T419),T419*G419,"n.a.")</x:f>
        <x:v>n.a.</x:v>
      </x:c>
      <x:c r="V419" s="25" t="n">
        <x:f>IF(Dashboard!$I$6="Flat %",1,IF(ISNUMBER(H419),1,0))</x:f>
        <x:v>1</x:v>
      </x:c>
      <x:c r="W419" s="9" t="n">
        <x:f>IF(Dashboard!$I$6="Flat %",G419*(1+Dashboard!$L$6),H419)</x:f>
        <x:v>0.151851</x:v>
      </x:c>
      <x:c r="X419" s="9" t="n">
        <x:f>IF(V419=1,R419*(W419-G419),"n.a.")</x:f>
        <x:v>0</x:v>
      </x:c>
      <x:c r="Y419" s="9" t="n">
        <x:f>IF(V419=1,R419*W419,"n.a.")</x:f>
        <x:v>0</x:v>
      </x:c>
      <x:c r="Z419" s="1" t="str">
        <x:f>IF(ISNUMBER(T419),R419-T419,"n.a.")</x:f>
        <x:v>n.a.</x:v>
      </x:c>
      <x:c r="AA419" s="1" t="str">
        <x:f>'Inventory inputs'!R419</x:f>
        <x:v>Review receipt reconciliation or original PO baseline</x:v>
      </x:c>
      <x:c r="AB419" s="1" t="str">
        <x:f>IF(L419=1,SUMIFS('Incoming POs'!$P$2:$P$305,'Incoming POs'!$A$2:$A$305,A419,'Incoming POs'!$B$2:$B$305,B419,'Incoming POs'!$C$2:$C$305,C419,'Incoming POs'!$G$2:$G$305,"&gt;="&amp;D419,'Incoming POs'!$G$2:$G$305,"&lt;"&amp;Dashboard!$I$5,'Incoming POs'!$Q$2:$Q$305,"&lt;="&amp;('Inventory inputs'!P419/'Inventory inputs'!J419*1.01)),"n.a.")</x:f>
        <x:v>n.a.</x:v>
      </x:c>
      <x:c r="AC419" s="9" t="n">
        <x:f>I419*G419</x:f>
        <x:v>0</x:v>
      </x:c>
      <x:c r="AD419" s="9" t="n">
        <x:f>J419*G419</x:f>
        <x:v>0</x:v>
      </x:c>
      <x:c r="AE419" s="9" t="n">
        <x:f>K419*G419</x:f>
        <x:v>6.49</x:v>
      </x:c>
      <x:c r="AF419" s="9" t="n">
        <x:f>R419*G419</x:f>
        <x:v>0</x:v>
      </x:c>
    </x:row>
    <x:row r="420" ht="21" customHeight="1">
      <x:c r="A420" s="1" t="str">
        <x:f>'Inventory inputs'!A420</x:f>
        <x:v>PLAS</x:v>
      </x:c>
      <x:c r="B420" s="1" t="str">
        <x:f>'Inventory inputs'!B420</x:f>
        <x:v>10</x:v>
      </x:c>
      <x:c r="C420" s="1" t="str">
        <x:f>'Inventory inputs'!C420</x:f>
        <x:v>11819RWBFG</x:v>
      </x:c>
      <x:c r="D420" s="7" t="n">
        <x:f>'Inventory inputs'!E420</x:f>
        <x:v>46303</x:v>
      </x:c>
      <x:c r="E420" s="1" t="n">
        <x:f>'Inventory inputs'!F420</x:f>
        <x:v>2400</x:v>
      </x:c>
      <x:c r="F420" s="1" t="n">
        <x:f>'Inventory inputs'!G420</x:f>
        <x:v>37.5</x:v>
      </x:c>
      <x:c r="G420" s="1" t="n">
        <x:f>'Inventory inputs'!H420/'Inventory inputs'!J420</x:f>
        <x:v>0.1323</x:v>
      </x:c>
      <x:c r="H420" s="1" t="n">
        <x:f>IF('Inventory inputs'!I420&gt;0,'Inventory inputs'!I420*'Inventory inputs'!K420/'Inventory inputs'!J420,"n.a.")</x:f>
        <x:v>0.15479099999999998</x:v>
      </x:c>
      <x:c r="I420" s="1" t="n">
        <x:f>'Inventory inputs'!L420</x:f>
        <x:v>0</x:v>
      </x:c>
      <x:c r="J420" s="1" t="n">
        <x:f>'Inventory inputs'!M420</x:f>
        <x:v>0</x:v>
      </x:c>
      <x:c r="K420" s="1" t="n">
        <x:f>'Inventory inputs'!N420</x:f>
        <x:v>2400</x:v>
      </x:c>
      <x:c r="L420" s="1" t="n">
        <x:f>'Inventory inputs'!O420</x:f>
        <x:v>0</x:v>
      </x:c>
      <x:c r="M420" s="9" t="n">
        <x:f>E420*G420</x:f>
        <x:v>317.52</x:v>
      </x:c>
      <x:c r="N420" s="9" t="n">
        <x:f>'Inventory inputs'!Q420</x:f>
        <x:v>317.52</x:v>
      </x:c>
      <x:c r="O420" s="9" t="n">
        <x:f>N420-M420</x:f>
        <x:v>0</x:v>
      </x:c>
      <x:c r="P420" s="1" t="n">
        <x:f>SUMIFS('Incoming POs'!$P$2:$P$305,'Incoming POs'!$A$2:$A$305,A420,'Incoming POs'!$B$2:$B$305,B420,'Incoming POs'!$C$2:$C$305,C420,'Incoming POs'!$G$2:$G$305,"&gt;="&amp;D420,'Incoming POs'!$G$2:$G$305,"&lt;"&amp;Dashboard!$I$5)</x:f>
        <x:v>0</x:v>
      </x:c>
      <x:c r="Q420" s="1" t="n">
        <x:f>F420*Dashboard!$L$5*MAX(0,Dashboard!$I$5-D420)/30.4375</x:f>
        <x:v>49.89733059548254</x:v>
      </x:c>
      <x:c r="R420" s="1" t="n">
        <x:f>MAX(0,E420+P420-Q420)</x:f>
        <x:v>2350.1026694045177</x:v>
      </x:c>
      <x:c r="S420" s="1" t="n">
        <x:f>MAX(0,Q420-E420-P420)</x:f>
        <x:v>0</x:v>
      </x:c>
      <x:c r="T420" s="1" t="str">
        <x:f>IF(L420=1,MAX(0,I420+AB420-MIN(Q420,E420+P420)),"n.a.")</x:f>
        <x:v>n.a.</x:v>
      </x:c>
      <x:c r="U420" s="9" t="str">
        <x:f>IF(ISNUMBER(T420),T420*G420,"n.a.")</x:f>
        <x:v>n.a.</x:v>
      </x:c>
      <x:c r="V420" s="25" t="n">
        <x:f>IF(Dashboard!$I$6="Flat %",1,IF(ISNUMBER(H420),1,0))</x:f>
        <x:v>1</x:v>
      </x:c>
      <x:c r="W420" s="9" t="n">
        <x:f>IF(Dashboard!$I$6="Flat %",G420*(1+Dashboard!$L$6),H420)</x:f>
        <x:v>0.15479099999999998</x:v>
      </x:c>
      <x:c r="X420" s="9" t="n">
        <x:f>IF(V420=1,R420*(W420-G420),"n.a.")</x:f>
        <x:v>52.85615913757697</x:v>
      </x:c>
      <x:c r="Y420" s="9" t="n">
        <x:f>IF(V420=1,R420*W420,"n.a.")</x:f>
        <x:v>363.77474229979464</x:v>
      </x:c>
      <x:c r="Z420" s="1" t="str">
        <x:f>IF(ISNUMBER(T420),R420-T420,"n.a.")</x:f>
        <x:v>n.a.</x:v>
      </x:c>
      <x:c r="AA420" s="1" t="str">
        <x:f>'Inventory inputs'!R420</x:f>
        <x:v>Review receipt reconciliation or original PO baseline</x:v>
      </x:c>
      <x:c r="AB420" s="1" t="str">
        <x:f>IF(L420=1,SUMIFS('Incoming POs'!$P$2:$P$305,'Incoming POs'!$A$2:$A$305,A420,'Incoming POs'!$B$2:$B$305,B420,'Incoming POs'!$C$2:$C$305,C420,'Incoming POs'!$G$2:$G$305,"&gt;="&amp;D420,'Incoming POs'!$G$2:$G$305,"&lt;"&amp;Dashboard!$I$5,'Incoming POs'!$Q$2:$Q$305,"&lt;="&amp;('Inventory inputs'!P420/'Inventory inputs'!J420*1.01)),"n.a.")</x:f>
        <x:v>n.a.</x:v>
      </x:c>
      <x:c r="AC420" s="9" t="n">
        <x:f>I420*G420</x:f>
        <x:v>0</x:v>
      </x:c>
      <x:c r="AD420" s="9" t="n">
        <x:f>J420*G420</x:f>
        <x:v>0</x:v>
      </x:c>
      <x:c r="AE420" s="9" t="n">
        <x:f>K420*G420</x:f>
        <x:v>317.52</x:v>
      </x:c>
      <x:c r="AF420" s="9" t="n">
        <x:f>R420*G420</x:f>
        <x:v>310.9185831622177</x:v>
      </x:c>
    </x:row>
    <x:row r="421" ht="21" customHeight="1">
      <x:c r="A421" s="1" t="str">
        <x:f>'Inventory inputs'!A421</x:f>
        <x:v>PLAS</x:v>
      </x:c>
      <x:c r="B421" s="1" t="str">
        <x:f>'Inventory inputs'!B421</x:f>
        <x:v>10</x:v>
      </x:c>
      <x:c r="C421" s="1" t="str">
        <x:f>'Inventory inputs'!C421</x:f>
        <x:v>11821RWBBLK</x:v>
      </x:c>
      <x:c r="D421" s="7" t="n">
        <x:f>'Inventory inputs'!E421</x:f>
        <x:v>46303</x:v>
      </x:c>
      <x:c r="E421" s="1" t="n">
        <x:f>'Inventory inputs'!F421</x:f>
        <x:v>4750</x:v>
      </x:c>
      <x:c r="F421" s="1" t="n">
        <x:f>'Inventory inputs'!G421</x:f>
        <x:v>35.75</x:v>
      </x:c>
      <x:c r="G421" s="1" t="n">
        <x:f>'Inventory inputs'!H421/'Inventory inputs'!J421</x:f>
        <x:v>0.125</x:v>
      </x:c>
      <x:c r="H421" s="1" t="n">
        <x:f>IF('Inventory inputs'!I421&gt;0,'Inventory inputs'!I421*'Inventory inputs'!K421/'Inventory inputs'!J421,"n.a.")</x:f>
        <x:v>0.14626499999999998</x:v>
      </x:c>
      <x:c r="I421" s="1" t="n">
        <x:f>'Inventory inputs'!L421</x:f>
        <x:v>3750</x:v>
      </x:c>
      <x:c r="J421" s="1" t="n">
        <x:f>'Inventory inputs'!M421</x:f>
        <x:v>1000</x:v>
      </x:c>
      <x:c r="K421" s="1" t="n">
        <x:f>'Inventory inputs'!N421</x:f>
        <x:v>0</x:v>
      </x:c>
      <x:c r="L421" s="1" t="n">
        <x:f>'Inventory inputs'!O421</x:f>
        <x:v>1</x:v>
      </x:c>
      <x:c r="M421" s="9" t="n">
        <x:f>E421*G421</x:f>
        <x:v>593.75</x:v>
      </x:c>
      <x:c r="N421" s="9" t="n">
        <x:f>'Inventory inputs'!Q421</x:f>
        <x:v>593.75</x:v>
      </x:c>
      <x:c r="O421" s="9" t="n">
        <x:f>N421-M421</x:f>
        <x:v>0</x:v>
      </x:c>
      <x:c r="P421" s="1" t="n">
        <x:f>SUMIFS('Incoming POs'!$P$2:$P$305,'Incoming POs'!$A$2:$A$305,A421,'Incoming POs'!$B$2:$B$305,B421,'Incoming POs'!$C$2:$C$305,C421,'Incoming POs'!$G$2:$G$305,"&gt;="&amp;D421,'Incoming POs'!$G$2:$G$305,"&lt;"&amp;Dashboard!$I$5)</x:f>
        <x:v>0</x:v>
      </x:c>
      <x:c r="Q421" s="1" t="n">
        <x:f>F421*Dashboard!$L$5*MAX(0,Dashboard!$I$5-D421)/30.4375</x:f>
        <x:v>47.568788501026695</x:v>
      </x:c>
      <x:c r="R421" s="1" t="n">
        <x:f>MAX(0,E421+P421-Q421)</x:f>
        <x:v>4702.431211498973</x:v>
      </x:c>
      <x:c r="S421" s="1" t="n">
        <x:f>MAX(0,Q421-E421-P421)</x:f>
        <x:v>0</x:v>
      </x:c>
      <x:c r="T421" s="1" t="n">
        <x:f>IF(L421=1,MAX(0,I421+AB421-MIN(Q421,E421+P421)),"n.a.")</x:f>
        <x:v>3702.4312114989734</x:v>
      </x:c>
      <x:c r="U421" s="9" t="n">
        <x:f>IF(ISNUMBER(T421),T421*G421,"n.a.")</x:f>
        <x:v>462.8039014373717</x:v>
      </x:c>
      <x:c r="V421" s="25" t="n">
        <x:f>IF(Dashboard!$I$6="Flat %",1,IF(ISNUMBER(H421),1,0))</x:f>
        <x:v>1</x:v>
      </x:c>
      <x:c r="W421" s="9" t="n">
        <x:f>IF(Dashboard!$I$6="Flat %",G421*(1+Dashboard!$L$6),H421)</x:f>
        <x:v>0.14626499999999998</x:v>
      </x:c>
      <x:c r="X421" s="9" t="n">
        <x:f>IF(V421=1,R421*(W421-G421),"n.a.")</x:f>
        <x:v>99.99719971252557</x:v>
      </x:c>
      <x:c r="Y421" s="9" t="n">
        <x:f>IF(V421=1,R421*W421,"n.a.")</x:f>
        <x:v>687.8011011498972</x:v>
      </x:c>
      <x:c r="Z421" s="1" t="n">
        <x:f>IF(ISNUMBER(T421),R421-T421,"n.a.")</x:f>
        <x:v>1000</x:v>
      </x:c>
      <x:c r="AA421" s="1" t="str">
        <x:f>'Inventory inputs'!R421</x:f>
        <x:v>Classified</x:v>
      </x:c>
      <x:c r="AB421" s="1" t="n">
        <x:f>IF(L421=1,SUMIFS('Incoming POs'!$P$2:$P$305,'Incoming POs'!$A$2:$A$305,A421,'Incoming POs'!$B$2:$B$305,B421,'Incoming POs'!$C$2:$C$305,C421,'Incoming POs'!$G$2:$G$305,"&gt;="&amp;D421,'Incoming POs'!$G$2:$G$305,"&lt;"&amp;Dashboard!$I$5,'Incoming POs'!$Q$2:$Q$305,"&lt;="&amp;('Inventory inputs'!P421/'Inventory inputs'!J421*1.01)),"n.a.")</x:f>
        <x:v>0</x:v>
      </x:c>
      <x:c r="AC421" s="9" t="n">
        <x:f>I421*G421</x:f>
        <x:v>468.75</x:v>
      </x:c>
      <x:c r="AD421" s="9" t="n">
        <x:f>J421*G421</x:f>
        <x:v>125</x:v>
      </x:c>
      <x:c r="AE421" s="9" t="n">
        <x:f>K421*G421</x:f>
        <x:v>0</x:v>
      </x:c>
      <x:c r="AF421" s="9" t="n">
        <x:f>R421*G421</x:f>
        <x:v>587.8039014373717</x:v>
      </x:c>
    </x:row>
    <x:row r="422" ht="21" customHeight="1">
      <x:c r="A422" s="1" t="str">
        <x:f>'Inventory inputs'!A422</x:f>
        <x:v>PLAS</x:v>
      </x:c>
      <x:c r="B422" s="1" t="str">
        <x:f>'Inventory inputs'!B422</x:f>
        <x:v>10</x:v>
      </x:c>
      <x:c r="C422" s="1" t="str">
        <x:f>'Inventory inputs'!C422</x:f>
        <x:v>00219RSLRED</x:v>
      </x:c>
      <x:c r="D422" s="7" t="n">
        <x:f>'Inventory inputs'!E422</x:f>
        <x:v>46303</x:v>
      </x:c>
      <x:c r="E422" s="1" t="n">
        <x:f>'Inventory inputs'!F422</x:f>
        <x:v>1800</x:v>
      </x:c>
      <x:c r="F422" s="1" t="n">
        <x:f>'Inventory inputs'!G422</x:f>
        <x:v>33.34</x:v>
      </x:c>
      <x:c r="G422" s="1" t="n">
        <x:f>'Inventory inputs'!H422/'Inventory inputs'!J422</x:f>
        <x:v>0.1477</x:v>
      </x:c>
      <x:c r="H422" s="1" t="n">
        <x:f>IF('Inventory inputs'!I422&gt;0,'Inventory inputs'!I422*'Inventory inputs'!K422/'Inventory inputs'!J422,"n.a.")</x:f>
        <x:v>0.172872</x:v>
      </x:c>
      <x:c r="I422" s="1" t="n">
        <x:f>'Inventory inputs'!L422</x:f>
        <x:v>1800</x:v>
      </x:c>
      <x:c r="J422" s="1" t="n">
        <x:f>'Inventory inputs'!M422</x:f>
        <x:v>0</x:v>
      </x:c>
      <x:c r="K422" s="1" t="n">
        <x:f>'Inventory inputs'!N422</x:f>
        <x:v>0</x:v>
      </x:c>
      <x:c r="L422" s="1" t="n">
        <x:f>'Inventory inputs'!O422</x:f>
        <x:v>1</x:v>
      </x:c>
      <x:c r="M422" s="9" t="n">
        <x:f>E422*G422</x:f>
        <x:v>265.86</x:v>
      </x:c>
      <x:c r="N422" s="9" t="n">
        <x:f>'Inventory inputs'!Q422</x:f>
        <x:v>265.86</x:v>
      </x:c>
      <x:c r="O422" s="9" t="n">
        <x:f>N422-M422</x:f>
        <x:v>0</x:v>
      </x:c>
      <x:c r="P422" s="1" t="n">
        <x:f>SUMIFS('Incoming POs'!$P$2:$P$305,'Incoming POs'!$A$2:$A$305,A422,'Incoming POs'!$B$2:$B$305,B422,'Incoming POs'!$C$2:$C$305,C422,'Incoming POs'!$G$2:$G$305,"&gt;="&amp;D422,'Incoming POs'!$G$2:$G$305,"&lt;"&amp;Dashboard!$I$5)</x:f>
        <x:v>0</x:v>
      </x:c>
      <x:c r="Q422" s="1" t="n">
        <x:f>F422*Dashboard!$L$5*MAX(0,Dashboard!$I$5-D422)/30.4375</x:f>
        <x:v>44.36205338809036</x:v>
      </x:c>
      <x:c r="R422" s="1" t="n">
        <x:f>MAX(0,E422+P422-Q422)</x:f>
        <x:v>1755.6379466119097</x:v>
      </x:c>
      <x:c r="S422" s="1" t="n">
        <x:f>MAX(0,Q422-E422-P422)</x:f>
        <x:v>0</x:v>
      </x:c>
      <x:c r="T422" s="1" t="n">
        <x:f>IF(L422=1,MAX(0,I422+AB422-MIN(Q422,E422+P422)),"n.a.")</x:f>
        <x:v>1755.6379466119097</x:v>
      </x:c>
      <x:c r="U422" s="9" t="n">
        <x:f>IF(ISNUMBER(T422),T422*G422,"n.a.")</x:f>
        <x:v>259.3077247145791</x:v>
      </x:c>
      <x:c r="V422" s="25" t="n">
        <x:f>IF(Dashboard!$I$6="Flat %",1,IF(ISNUMBER(H422),1,0))</x:f>
        <x:v>1</x:v>
      </x:c>
      <x:c r="W422" s="9" t="n">
        <x:f>IF(Dashboard!$I$6="Flat %",G422*(1+Dashboard!$L$6),H422)</x:f>
        <x:v>0.172872</x:v>
      </x:c>
      <x:c r="X422" s="9" t="n">
        <x:f>IF(V422=1,R422*(W422-G422),"n.a.")</x:f>
        <x:v>44.19291839211499</x:v>
      </x:c>
      <x:c r="Y422" s="9" t="n">
        <x:f>IF(V422=1,R422*W422,"n.a.")</x:f>
        <x:v>303.50064310669404</x:v>
      </x:c>
      <x:c r="Z422" s="1" t="n">
        <x:f>IF(ISNUMBER(T422),R422-T422,"n.a.")</x:f>
        <x:v>0</x:v>
      </x:c>
      <x:c r="AA422" s="1" t="str">
        <x:f>'Inventory inputs'!R422</x:f>
        <x:v>Classified</x:v>
      </x:c>
      <x:c r="AB422" s="1" t="n">
        <x:f>IF(L422=1,SUMIFS('Incoming POs'!$P$2:$P$305,'Incoming POs'!$A$2:$A$305,A422,'Incoming POs'!$B$2:$B$305,B422,'Incoming POs'!$C$2:$C$305,C422,'Incoming POs'!$G$2:$G$305,"&gt;="&amp;D422,'Incoming POs'!$G$2:$G$305,"&lt;"&amp;Dashboard!$I$5,'Incoming POs'!$Q$2:$Q$305,"&lt;="&amp;('Inventory inputs'!P422/'Inventory inputs'!J422*1.01)),"n.a.")</x:f>
        <x:v>0</x:v>
      </x:c>
      <x:c r="AC422" s="9" t="n">
        <x:f>I422*G422</x:f>
        <x:v>265.86</x:v>
      </x:c>
      <x:c r="AD422" s="9" t="n">
        <x:f>J422*G422</x:f>
        <x:v>0</x:v>
      </x:c>
      <x:c r="AE422" s="9" t="n">
        <x:f>K422*G422</x:f>
        <x:v>0</x:v>
      </x:c>
      <x:c r="AF422" s="9" t="n">
        <x:f>R422*G422</x:f>
        <x:v>259.3077247145791</x:v>
      </x:c>
    </x:row>
    <x:row r="423" ht="21" customHeight="1">
      <x:c r="A423" s="1" t="str">
        <x:f>'Inventory inputs'!A423</x:f>
        <x:v>PLAS</x:v>
      </x:c>
      <x:c r="B423" s="1" t="str">
        <x:f>'Inventory inputs'!B423</x:f>
        <x:v>10</x:v>
      </x:c>
      <x:c r="C423" s="1" t="str">
        <x:f>'Inventory inputs'!C423</x:f>
        <x:v>11819RWBRED</x:v>
      </x:c>
      <x:c r="D423" s="7" t="n">
        <x:f>'Inventory inputs'!E423</x:f>
        <x:v>46303</x:v>
      </x:c>
      <x:c r="E423" s="1" t="n">
        <x:f>'Inventory inputs'!F423</x:f>
        <x:v>750</x:v>
      </x:c>
      <x:c r="F423" s="1" t="n">
        <x:f>'Inventory inputs'!G423</x:f>
        <x:v>33.34</x:v>
      </x:c>
      <x:c r="G423" s="1" t="n">
        <x:f>'Inventory inputs'!H423/'Inventory inputs'!J423</x:f>
        <x:v>0.1323</x:v>
      </x:c>
      <x:c r="H423" s="1" t="n">
        <x:f>IF('Inventory inputs'!I423&gt;0,'Inventory inputs'!I423*'Inventory inputs'!K423/'Inventory inputs'!J423,"n.a.")</x:f>
        <x:v>0.15479099999999998</x:v>
      </x:c>
      <x:c r="I423" s="1" t="n">
        <x:f>'Inventory inputs'!L423</x:f>
        <x:v>0</x:v>
      </x:c>
      <x:c r="J423" s="1" t="n">
        <x:f>'Inventory inputs'!M423</x:f>
        <x:v>0</x:v>
      </x:c>
      <x:c r="K423" s="1" t="n">
        <x:f>'Inventory inputs'!N423</x:f>
        <x:v>750</x:v>
      </x:c>
      <x:c r="L423" s="1" t="n">
        <x:f>'Inventory inputs'!O423</x:f>
        <x:v>0</x:v>
      </x:c>
      <x:c r="M423" s="9" t="n">
        <x:f>E423*G423</x:f>
        <x:v>99.225</x:v>
      </x:c>
      <x:c r="N423" s="9" t="n">
        <x:f>'Inventory inputs'!Q423</x:f>
        <x:v>99.22500000000001</x:v>
      </x:c>
      <x:c r="O423" s="9" t="n">
        <x:f>N423-M423</x:f>
        <x:v>1.4210854715202004e-14</x:v>
      </x:c>
      <x:c r="P423" s="1" t="n">
        <x:f>SUMIFS('Incoming POs'!$P$2:$P$305,'Incoming POs'!$A$2:$A$305,A423,'Incoming POs'!$B$2:$B$305,B423,'Incoming POs'!$C$2:$C$305,C423,'Incoming POs'!$G$2:$G$305,"&gt;="&amp;D423,'Incoming POs'!$G$2:$G$305,"&lt;"&amp;Dashboard!$I$5)</x:f>
        <x:v>0</x:v>
      </x:c>
      <x:c r="Q423" s="1" t="n">
        <x:f>F423*Dashboard!$L$5*MAX(0,Dashboard!$I$5-D423)/30.4375</x:f>
        <x:v>44.36205338809036</x:v>
      </x:c>
      <x:c r="R423" s="1" t="n">
        <x:f>MAX(0,E423+P423-Q423)</x:f>
        <x:v>705.6379466119097</x:v>
      </x:c>
      <x:c r="S423" s="1" t="n">
        <x:f>MAX(0,Q423-E423-P423)</x:f>
        <x:v>0</x:v>
      </x:c>
      <x:c r="T423" s="1" t="str">
        <x:f>IF(L423=1,MAX(0,I423+AB423-MIN(Q423,E423+P423)),"n.a.")</x:f>
        <x:v>n.a.</x:v>
      </x:c>
      <x:c r="U423" s="9" t="str">
        <x:f>IF(ISNUMBER(T423),T423*G423,"n.a.")</x:f>
        <x:v>n.a.</x:v>
      </x:c>
      <x:c r="V423" s="25" t="n">
        <x:f>IF(Dashboard!$I$6="Flat %",1,IF(ISNUMBER(H423),1,0))</x:f>
        <x:v>1</x:v>
      </x:c>
      <x:c r="W423" s="9" t="n">
        <x:f>IF(Dashboard!$I$6="Flat %",G423*(1+Dashboard!$L$6),H423)</x:f>
        <x:v>0.15479099999999998</x:v>
      </x:c>
      <x:c r="X423" s="9" t="n">
        <x:f>IF(V423=1,R423*(W423-G423),"n.a.")</x:f>
        <x:v>15.870503057248449</x:v>
      </x:c>
      <x:c r="Y423" s="9" t="n">
        <x:f>IF(V423=1,R423*W423,"n.a.")</x:f>
        <x:v>109.2264033940041</x:v>
      </x:c>
      <x:c r="Z423" s="1" t="str">
        <x:f>IF(ISNUMBER(T423),R423-T423,"n.a.")</x:f>
        <x:v>n.a.</x:v>
      </x:c>
      <x:c r="AA423" s="1" t="str">
        <x:f>'Inventory inputs'!R423</x:f>
        <x:v>Review receipt reconciliation or original PO baseline</x:v>
      </x:c>
      <x:c r="AB423" s="1" t="str">
        <x:f>IF(L423=1,SUMIFS('Incoming POs'!$P$2:$P$305,'Incoming POs'!$A$2:$A$305,A423,'Incoming POs'!$B$2:$B$305,B423,'Incoming POs'!$C$2:$C$305,C423,'Incoming POs'!$G$2:$G$305,"&gt;="&amp;D423,'Incoming POs'!$G$2:$G$305,"&lt;"&amp;Dashboard!$I$5,'Incoming POs'!$Q$2:$Q$305,"&lt;="&amp;('Inventory inputs'!P423/'Inventory inputs'!J423*1.01)),"n.a.")</x:f>
        <x:v>n.a.</x:v>
      </x:c>
      <x:c r="AC423" s="9" t="n">
        <x:f>I423*G423</x:f>
        <x:v>0</x:v>
      </x:c>
      <x:c r="AD423" s="9" t="n">
        <x:f>J423*G423</x:f>
        <x:v>0</x:v>
      </x:c>
      <x:c r="AE423" s="9" t="n">
        <x:f>K423*G423</x:f>
        <x:v>99.225</x:v>
      </x:c>
      <x:c r="AF423" s="9" t="n">
        <x:f>R423*G423</x:f>
        <x:v>93.35590033675565</x:v>
      </x:c>
    </x:row>
    <x:row r="424" ht="21" customHeight="1">
      <x:c r="A424" s="1" t="str">
        <x:f>'Inventory inputs'!A424</x:f>
        <x:v>PLAS</x:v>
      </x:c>
      <x:c r="B424" s="1" t="str">
        <x:f>'Inventory inputs'!B424</x:f>
        <x:v>10</x:v>
      </x:c>
      <x:c r="C424" s="1" t="str">
        <x:f>'Inventory inputs'!C424</x:f>
        <x:v>11819RWBCLR</x:v>
      </x:c>
      <x:c r="D424" s="7" t="n">
        <x:f>'Inventory inputs'!E424</x:f>
        <x:v>46303</x:v>
      </x:c>
      <x:c r="E424" s="1" t="n">
        <x:f>'Inventory inputs'!F424</x:f>
        <x:v>500</x:v>
      </x:c>
      <x:c r="F424" s="1" t="n">
        <x:f>'Inventory inputs'!G424</x:f>
        <x:v>33.33</x:v>
      </x:c>
      <x:c r="G424" s="1" t="n">
        <x:f>'Inventory inputs'!H424/'Inventory inputs'!J424</x:f>
        <x:v>0.1323</x:v>
      </x:c>
      <x:c r="H424" s="1" t="n">
        <x:f>IF('Inventory inputs'!I424&gt;0,'Inventory inputs'!I424*'Inventory inputs'!K424/'Inventory inputs'!J424,"n.a.")</x:f>
        <x:v>0.15479099999999998</x:v>
      </x:c>
      <x:c r="I424" s="1" t="n">
        <x:f>'Inventory inputs'!L424</x:f>
        <x:v>0</x:v>
      </x:c>
      <x:c r="J424" s="1" t="n">
        <x:f>'Inventory inputs'!M424</x:f>
        <x:v>0</x:v>
      </x:c>
      <x:c r="K424" s="1" t="n">
        <x:f>'Inventory inputs'!N424</x:f>
        <x:v>500</x:v>
      </x:c>
      <x:c r="L424" s="1" t="n">
        <x:f>'Inventory inputs'!O424</x:f>
        <x:v>0</x:v>
      </x:c>
      <x:c r="M424" s="9" t="n">
        <x:f>E424*G424</x:f>
        <x:v>66.15</x:v>
      </x:c>
      <x:c r="N424" s="9" t="n">
        <x:f>'Inventory inputs'!Q424</x:f>
        <x:v>66.15</x:v>
      </x:c>
      <x:c r="O424" s="9" t="n">
        <x:f>N424-M424</x:f>
        <x:v>0</x:v>
      </x:c>
      <x:c r="P424" s="1" t="n">
        <x:f>SUMIFS('Incoming POs'!$P$2:$P$305,'Incoming POs'!$A$2:$A$305,A424,'Incoming POs'!$B$2:$B$305,B424,'Incoming POs'!$C$2:$C$305,C424,'Incoming POs'!$G$2:$G$305,"&gt;="&amp;D424,'Incoming POs'!$G$2:$G$305,"&lt;"&amp;Dashboard!$I$5)</x:f>
        <x:v>0</x:v>
      </x:c>
      <x:c r="Q424" s="1" t="n">
        <x:f>F424*Dashboard!$L$5*MAX(0,Dashboard!$I$5-D424)/30.4375</x:f>
        <x:v>44.34874743326489</x:v>
      </x:c>
      <x:c r="R424" s="1" t="n">
        <x:f>MAX(0,E424+P424-Q424)</x:f>
        <x:v>455.65125256673514</x:v>
      </x:c>
      <x:c r="S424" s="1" t="n">
        <x:f>MAX(0,Q424-E424-P424)</x:f>
        <x:v>0</x:v>
      </x:c>
      <x:c r="T424" s="1" t="str">
        <x:f>IF(L424=1,MAX(0,I424+AB424-MIN(Q424,E424+P424)),"n.a.")</x:f>
        <x:v>n.a.</x:v>
      </x:c>
      <x:c r="U424" s="9" t="str">
        <x:f>IF(ISNUMBER(T424),T424*G424,"n.a.")</x:f>
        <x:v>n.a.</x:v>
      </x:c>
      <x:c r="V424" s="25" t="n">
        <x:f>IF(Dashboard!$I$6="Flat %",1,IF(ISNUMBER(H424),1,0))</x:f>
        <x:v>1</x:v>
      </x:c>
      <x:c r="W424" s="9" t="n">
        <x:f>IF(Dashboard!$I$6="Flat %",G424*(1+Dashboard!$L$6),H424)</x:f>
        <x:v>0.15479099999999998</x:v>
      </x:c>
      <x:c r="X424" s="9" t="n">
        <x:f>IF(V424=1,R424*(W424-G424),"n.a.")</x:f>
        <x:v>10.248052321478433</x:v>
      </x:c>
      <x:c r="Y424" s="9" t="n">
        <x:f>IF(V424=1,R424*W424,"n.a.")</x:f>
        <x:v>70.53071303605749</x:v>
      </x:c>
      <x:c r="Z424" s="1" t="str">
        <x:f>IF(ISNUMBER(T424),R424-T424,"n.a.")</x:f>
        <x:v>n.a.</x:v>
      </x:c>
      <x:c r="AA424" s="1" t="str">
        <x:f>'Inventory inputs'!R424</x:f>
        <x:v>Review receipt reconciliation or original PO baseline</x:v>
      </x:c>
      <x:c r="AB424" s="1" t="str">
        <x:f>IF(L424=1,SUMIFS('Incoming POs'!$P$2:$P$305,'Incoming POs'!$A$2:$A$305,A424,'Incoming POs'!$B$2:$B$305,B424,'Incoming POs'!$C$2:$C$305,C424,'Incoming POs'!$G$2:$G$305,"&gt;="&amp;D424,'Incoming POs'!$G$2:$G$305,"&lt;"&amp;Dashboard!$I$5,'Incoming POs'!$Q$2:$Q$305,"&lt;="&amp;('Inventory inputs'!P424/'Inventory inputs'!J424*1.01)),"n.a.")</x:f>
        <x:v>n.a.</x:v>
      </x:c>
      <x:c r="AC424" s="9" t="n">
        <x:f>I424*G424</x:f>
        <x:v>0</x:v>
      </x:c>
      <x:c r="AD424" s="9" t="n">
        <x:f>J424*G424</x:f>
        <x:v>0</x:v>
      </x:c>
      <x:c r="AE424" s="9" t="n">
        <x:f>K424*G424</x:f>
        <x:v>66.15</x:v>
      </x:c>
      <x:c r="AF424" s="9" t="n">
        <x:f>R424*G424</x:f>
        <x:v>60.28266071457906</x:v>
      </x:c>
    </x:row>
    <x:row r="425" ht="21" customHeight="1">
      <x:c r="A425" s="1" t="str">
        <x:f>'Inventory inputs'!A425</x:f>
        <x:v>PLAS</x:v>
      </x:c>
      <x:c r="B425" s="1" t="str">
        <x:f>'Inventory inputs'!B425</x:f>
        <x:v>10</x:v>
      </x:c>
      <x:c r="C425" s="1" t="str">
        <x:f>'Inventory inputs'!C425</x:f>
        <x:v>13415RSLBLK</x:v>
      </x:c>
      <x:c r="D425" s="7" t="n">
        <x:f>'Inventory inputs'!E425</x:f>
        <x:v>46303</x:v>
      </x:c>
      <x:c r="E425" s="1" t="n">
        <x:f>'Inventory inputs'!F425</x:f>
        <x:v>1500</x:v>
      </x:c>
      <x:c r="F425" s="1" t="n">
        <x:f>'Inventory inputs'!G425</x:f>
        <x:v>33.33</x:v>
      </x:c>
      <x:c r="G425" s="1" t="n">
        <x:f>'Inventory inputs'!H425/'Inventory inputs'!J425</x:f>
        <x:v>0.1005</x:v>
      </x:c>
      <x:c r="H425" s="1" t="n">
        <x:f>IF('Inventory inputs'!I425&gt;0,'Inventory inputs'!I425*'Inventory inputs'!K425/'Inventory inputs'!J425,"n.a.")</x:f>
        <x:v>0.1176</x:v>
      </x:c>
      <x:c r="I425" s="1" t="n">
        <x:f>'Inventory inputs'!L425</x:f>
        <x:v>0</x:v>
      </x:c>
      <x:c r="J425" s="1" t="n">
        <x:f>'Inventory inputs'!M425</x:f>
        <x:v>0</x:v>
      </x:c>
      <x:c r="K425" s="1" t="n">
        <x:f>'Inventory inputs'!N425</x:f>
        <x:v>1500</x:v>
      </x:c>
      <x:c r="L425" s="1" t="n">
        <x:f>'Inventory inputs'!O425</x:f>
        <x:v>0</x:v>
      </x:c>
      <x:c r="M425" s="9" t="n">
        <x:f>E425*G425</x:f>
        <x:v>150.75</x:v>
      </x:c>
      <x:c r="N425" s="9" t="n">
        <x:f>'Inventory inputs'!Q425</x:f>
        <x:v>150.75000000000003</x:v>
      </x:c>
      <x:c r="O425" s="9" t="n">
        <x:f>N425-M425</x:f>
        <x:v>2.842170943040401e-14</x:v>
      </x:c>
      <x:c r="P425" s="1" t="n">
        <x:f>SUMIFS('Incoming POs'!$P$2:$P$305,'Incoming POs'!$A$2:$A$305,A425,'Incoming POs'!$B$2:$B$305,B425,'Incoming POs'!$C$2:$C$305,C425,'Incoming POs'!$G$2:$G$305,"&gt;="&amp;D425,'Incoming POs'!$G$2:$G$305,"&lt;"&amp;Dashboard!$I$5)</x:f>
        <x:v>0</x:v>
      </x:c>
      <x:c r="Q425" s="1" t="n">
        <x:f>F425*Dashboard!$L$5*MAX(0,Dashboard!$I$5-D425)/30.4375</x:f>
        <x:v>44.34874743326489</x:v>
      </x:c>
      <x:c r="R425" s="1" t="n">
        <x:f>MAX(0,E425+P425-Q425)</x:f>
        <x:v>1455.6512525667351</x:v>
      </x:c>
      <x:c r="S425" s="1" t="n">
        <x:f>MAX(0,Q425-E425-P425)</x:f>
        <x:v>0</x:v>
      </x:c>
      <x:c r="T425" s="1" t="str">
        <x:f>IF(L425=1,MAX(0,I425+AB425-MIN(Q425,E425+P425)),"n.a.")</x:f>
        <x:v>n.a.</x:v>
      </x:c>
      <x:c r="U425" s="9" t="str">
        <x:f>IF(ISNUMBER(T425),T425*G425,"n.a.")</x:f>
        <x:v>n.a.</x:v>
      </x:c>
      <x:c r="V425" s="25" t="n">
        <x:f>IF(Dashboard!$I$6="Flat %",1,IF(ISNUMBER(H425),1,0))</x:f>
        <x:v>1</x:v>
      </x:c>
      <x:c r="W425" s="9" t="n">
        <x:f>IF(Dashboard!$I$6="Flat %",G425*(1+Dashboard!$L$6),H425)</x:f>
        <x:v>0.1176</x:v>
      </x:c>
      <x:c r="X425" s="9" t="n">
        <x:f>IF(V425=1,R425*(W425-G425),"n.a.")</x:f>
        <x:v>24.891636418891157</x:v>
      </x:c>
      <x:c r="Y425" s="9" t="n">
        <x:f>IF(V425=1,R425*W425,"n.a.")</x:f>
        <x:v>171.18458730184804</x:v>
      </x:c>
      <x:c r="Z425" s="1" t="str">
        <x:f>IF(ISNUMBER(T425),R425-T425,"n.a.")</x:f>
        <x:v>n.a.</x:v>
      </x:c>
      <x:c r="AA425" s="1" t="str">
        <x:f>'Inventory inputs'!R425</x:f>
        <x:v>Review receipt reconciliation or original PO baseline</x:v>
      </x:c>
      <x:c r="AB425" s="1" t="str">
        <x:f>IF(L425=1,SUMIFS('Incoming POs'!$P$2:$P$305,'Incoming POs'!$A$2:$A$305,A425,'Incoming POs'!$B$2:$B$305,B425,'Incoming POs'!$C$2:$C$305,C425,'Incoming POs'!$G$2:$G$305,"&gt;="&amp;D425,'Incoming POs'!$G$2:$G$305,"&lt;"&amp;Dashboard!$I$5,'Incoming POs'!$Q$2:$Q$305,"&lt;="&amp;('Inventory inputs'!P425/'Inventory inputs'!J425*1.01)),"n.a.")</x:f>
        <x:v>n.a.</x:v>
      </x:c>
      <x:c r="AC425" s="9" t="n">
        <x:f>I425*G425</x:f>
        <x:v>0</x:v>
      </x:c>
      <x:c r="AD425" s="9" t="n">
        <x:f>J425*G425</x:f>
        <x:v>0</x:v>
      </x:c>
      <x:c r="AE425" s="9" t="n">
        <x:f>K425*G425</x:f>
        <x:v>150.75</x:v>
      </x:c>
      <x:c r="AF425" s="9" t="n">
        <x:f>R425*G425</x:f>
        <x:v>146.2929508829569</x:v>
      </x:c>
    </x:row>
    <x:row r="426" ht="21" customHeight="1">
      <x:c r="A426" s="1" t="str">
        <x:f>'Inventory inputs'!A426</x:f>
        <x:v>PLAS</x:v>
      </x:c>
      <x:c r="B426" s="1" t="str">
        <x:f>'Inventory inputs'!B426</x:f>
        <x:v>30</x:v>
      </x:c>
      <x:c r="C426" s="1" t="str">
        <x:f>'Inventory inputs'!C426</x:f>
        <x:v>00115RWBBLK</x:v>
      </x:c>
      <x:c r="D426" s="7" t="n">
        <x:f>'Inventory inputs'!E426</x:f>
        <x:v>46303</x:v>
      </x:c>
      <x:c r="E426" s="1" t="n">
        <x:f>'Inventory inputs'!F426</x:f>
        <x:v>700</x:v>
      </x:c>
      <x:c r="F426" s="1" t="n">
        <x:f>'Inventory inputs'!G426</x:f>
        <x:v>33.33</x:v>
      </x:c>
      <x:c r="G426" s="1" t="n">
        <x:f>'Inventory inputs'!H426/'Inventory inputs'!J426</x:f>
        <x:v>0.0736</x:v>
      </x:c>
      <x:c r="H426" s="1" t="n">
        <x:f>IF('Inventory inputs'!I426&gt;0,'Inventory inputs'!I426*'Inventory inputs'!K426/'Inventory inputs'!J426,"n.a.")</x:f>
        <x:v>0.086142</x:v>
      </x:c>
      <x:c r="I426" s="1" t="n">
        <x:f>'Inventory inputs'!L426</x:f>
        <x:v>0</x:v>
      </x:c>
      <x:c r="J426" s="1" t="n">
        <x:f>'Inventory inputs'!M426</x:f>
        <x:v>0</x:v>
      </x:c>
      <x:c r="K426" s="1" t="n">
        <x:f>'Inventory inputs'!N426</x:f>
        <x:v>700</x:v>
      </x:c>
      <x:c r="L426" s="1" t="n">
        <x:f>'Inventory inputs'!O426</x:f>
        <x:v>0</x:v>
      </x:c>
      <x:c r="M426" s="9" t="n">
        <x:f>E426*G426</x:f>
        <x:v>51.519999999999996</x:v>
      </x:c>
      <x:c r="N426" s="9" t="n">
        <x:f>'Inventory inputs'!Q426</x:f>
        <x:v>51.52</x:v>
      </x:c>
      <x:c r="O426" s="9" t="n">
        <x:f>N426-M426</x:f>
        <x:v>7.105427357601002e-15</x:v>
      </x:c>
      <x:c r="P426" s="1" t="n">
        <x:f>SUMIFS('Incoming POs'!$P$2:$P$305,'Incoming POs'!$A$2:$A$305,A426,'Incoming POs'!$B$2:$B$305,B426,'Incoming POs'!$C$2:$C$305,C426,'Incoming POs'!$G$2:$G$305,"&gt;="&amp;D426,'Incoming POs'!$G$2:$G$305,"&lt;"&amp;Dashboard!$I$5)</x:f>
        <x:v>0</x:v>
      </x:c>
      <x:c r="Q426" s="1" t="n">
        <x:f>F426*Dashboard!$L$5*MAX(0,Dashboard!$I$5-D426)/30.4375</x:f>
        <x:v>44.34874743326489</x:v>
      </x:c>
      <x:c r="R426" s="1" t="n">
        <x:f>MAX(0,E426+P426-Q426)</x:f>
        <x:v>655.6512525667351</x:v>
      </x:c>
      <x:c r="S426" s="1" t="n">
        <x:f>MAX(0,Q426-E426-P426)</x:f>
        <x:v>0</x:v>
      </x:c>
      <x:c r="T426" s="1" t="str">
        <x:f>IF(L426=1,MAX(0,I426+AB426-MIN(Q426,E426+P426)),"n.a.")</x:f>
        <x:v>n.a.</x:v>
      </x:c>
      <x:c r="U426" s="9" t="str">
        <x:f>IF(ISNUMBER(T426),T426*G426,"n.a.")</x:f>
        <x:v>n.a.</x:v>
      </x:c>
      <x:c r="V426" s="25" t="n">
        <x:f>IF(Dashboard!$I$6="Flat %",1,IF(ISNUMBER(H426),1,0))</x:f>
        <x:v>1</x:v>
      </x:c>
      <x:c r="W426" s="9" t="n">
        <x:f>IF(Dashboard!$I$6="Flat %",G426*(1+Dashboard!$L$6),H426)</x:f>
        <x:v>0.086142</x:v>
      </x:c>
      <x:c r="X426" s="9" t="n">
        <x:f>IF(V426=1,R426*(W426-G426),"n.a.")</x:f>
        <x:v>8.22317800969199</x:v>
      </x:c>
      <x:c r="Y426" s="9" t="n">
        <x:f>IF(V426=1,R426*W426,"n.a.")</x:f>
        <x:v>56.4791101986037</x:v>
      </x:c>
      <x:c r="Z426" s="1" t="str">
        <x:f>IF(ISNUMBER(T426),R426-T426,"n.a.")</x:f>
        <x:v>n.a.</x:v>
      </x:c>
      <x:c r="AA426" s="1" t="str">
        <x:f>'Inventory inputs'!R426</x:f>
        <x:v>Review receipt reconciliation or original PO baseline</x:v>
      </x:c>
      <x:c r="AB426" s="1" t="str">
        <x:f>IF(L426=1,SUMIFS('Incoming POs'!$P$2:$P$305,'Incoming POs'!$A$2:$A$305,A426,'Incoming POs'!$B$2:$B$305,B426,'Incoming POs'!$C$2:$C$305,C426,'Incoming POs'!$G$2:$G$305,"&gt;="&amp;D426,'Incoming POs'!$G$2:$G$305,"&lt;"&amp;Dashboard!$I$5,'Incoming POs'!$Q$2:$Q$305,"&lt;="&amp;('Inventory inputs'!P426/'Inventory inputs'!J426*1.01)),"n.a.")</x:f>
        <x:v>n.a.</x:v>
      </x:c>
      <x:c r="AC426" s="9" t="n">
        <x:f>I426*G426</x:f>
        <x:v>0</x:v>
      </x:c>
      <x:c r="AD426" s="9" t="n">
        <x:f>J426*G426</x:f>
        <x:v>0</x:v>
      </x:c>
      <x:c r="AE426" s="9" t="n">
        <x:f>K426*G426</x:f>
        <x:v>51.519999999999996</x:v>
      </x:c>
      <x:c r="AF426" s="9" t="n">
        <x:f>R426*G426</x:f>
        <x:v>48.25593218891171</x:v>
      </x:c>
    </x:row>
    <x:row r="427" ht="21" customHeight="1">
      <x:c r="A427" s="1" t="str">
        <x:f>'Inventory inputs'!A427</x:f>
        <x:v>PLAS</x:v>
      </x:c>
      <x:c r="B427" s="1" t="str">
        <x:f>'Inventory inputs'!B427</x:f>
        <x:v>30</x:v>
      </x:c>
      <x:c r="C427" s="1" t="str">
        <x:f>'Inventory inputs'!C427</x:f>
        <x:v>00119RWBBLU</x:v>
      </x:c>
      <x:c r="D427" s="7" t="n">
        <x:f>'Inventory inputs'!E427</x:f>
        <x:v>46303</x:v>
      </x:c>
      <x:c r="E427" s="1" t="n">
        <x:f>'Inventory inputs'!F427</x:f>
        <x:v>0</x:v>
      </x:c>
      <x:c r="F427" s="1" t="n">
        <x:f>'Inventory inputs'!G427</x:f>
        <x:v>33.33</x:v>
      </x:c>
      <x:c r="G427" s="1" t="n">
        <x:f>'Inventory inputs'!H427/'Inventory inputs'!J427</x:f>
        <x:v>0.1054</x:v>
      </x:c>
      <x:c r="H427" s="1" t="n">
        <x:f>IF('Inventory inputs'!I427&gt;0,'Inventory inputs'!I427*'Inventory inputs'!K427/'Inventory inputs'!J427,"n.a.")</x:f>
        <x:v>0.12333300000000001</x:v>
      </x:c>
      <x:c r="I427" s="1" t="n">
        <x:f>'Inventory inputs'!L427</x:f>
        <x:v>0</x:v>
      </x:c>
      <x:c r="J427" s="1" t="n">
        <x:f>'Inventory inputs'!M427</x:f>
        <x:v>0</x:v>
      </x:c>
      <x:c r="K427" s="1" t="n">
        <x:f>'Inventory inputs'!N427</x:f>
        <x:v>0</x:v>
      </x:c>
      <x:c r="L427" s="1" t="n">
        <x:f>'Inventory inputs'!O427</x:f>
        <x:v>1</x:v>
      </x:c>
      <x:c r="M427" s="9" t="n">
        <x:f>E427*G427</x:f>
        <x:v>0</x:v>
      </x:c>
      <x:c r="N427" s="9" t="n">
        <x:f>'Inventory inputs'!Q427</x:f>
        <x:v>0</x:v>
      </x:c>
      <x:c r="O427" s="9" t="n">
        <x:f>N427-M427</x:f>
        <x:v>0</x:v>
      </x:c>
      <x:c r="P427" s="1" t="n">
        <x:f>SUMIFS('Incoming POs'!$P$2:$P$305,'Incoming POs'!$A$2:$A$305,A427,'Incoming POs'!$B$2:$B$305,B427,'Incoming POs'!$C$2:$C$305,C427,'Incoming POs'!$G$2:$G$305,"&gt;="&amp;D427,'Incoming POs'!$G$2:$G$305,"&lt;"&amp;Dashboard!$I$5)</x:f>
        <x:v>0</x:v>
      </x:c>
      <x:c r="Q427" s="1" t="n">
        <x:f>F427*Dashboard!$L$5*MAX(0,Dashboard!$I$5-D427)/30.4375</x:f>
        <x:v>44.34874743326489</x:v>
      </x:c>
      <x:c r="R427" s="1" t="n">
        <x:f>MAX(0,E427+P427-Q427)</x:f>
        <x:v>0</x:v>
      </x:c>
      <x:c r="S427" s="1" t="n">
        <x:f>MAX(0,Q427-E427-P427)</x:f>
        <x:v>44.34874743326489</x:v>
      </x:c>
      <x:c r="T427" s="1" t="n">
        <x:f>IF(L427=1,MAX(0,I427+AB427-MIN(Q427,E427+P427)),"n.a.")</x:f>
        <x:v>0</x:v>
      </x:c>
      <x:c r="U427" s="9" t="n">
        <x:f>IF(ISNUMBER(T427),T427*G427,"n.a.")</x:f>
        <x:v>0</x:v>
      </x:c>
      <x:c r="V427" s="25" t="n">
        <x:f>IF(Dashboard!$I$6="Flat %",1,IF(ISNUMBER(H427),1,0))</x:f>
        <x:v>1</x:v>
      </x:c>
      <x:c r="W427" s="9" t="n">
        <x:f>IF(Dashboard!$I$6="Flat %",G427*(1+Dashboard!$L$6),H427)</x:f>
        <x:v>0.12333300000000001</x:v>
      </x:c>
      <x:c r="X427" s="9" t="n">
        <x:f>IF(V427=1,R427*(W427-G427),"n.a.")</x:f>
        <x:v>0</x:v>
      </x:c>
      <x:c r="Y427" s="9" t="n">
        <x:f>IF(V427=1,R427*W427,"n.a.")</x:f>
        <x:v>0</x:v>
      </x:c>
      <x:c r="Z427" s="1" t="n">
        <x:f>IF(ISNUMBER(T427),R427-T427,"n.a.")</x:f>
        <x:v>0</x:v>
      </x:c>
      <x:c r="AA427" s="1" t="str">
        <x:f>'Inventory inputs'!R427</x:f>
        <x:v>Classified</x:v>
      </x:c>
      <x:c r="AB427" s="1" t="n">
        <x:f>IF(L427=1,SUMIFS('Incoming POs'!$P$2:$P$305,'Incoming POs'!$A$2:$A$305,A427,'Incoming POs'!$B$2:$B$305,B427,'Incoming POs'!$C$2:$C$305,C427,'Incoming POs'!$G$2:$G$305,"&gt;="&amp;D427,'Incoming POs'!$G$2:$G$305,"&lt;"&amp;Dashboard!$I$5,'Incoming POs'!$Q$2:$Q$305,"&lt;="&amp;('Inventory inputs'!P427/'Inventory inputs'!J427*1.01)),"n.a.")</x:f>
        <x:v>0</x:v>
      </x:c>
      <x:c r="AC427" s="9" t="n">
        <x:f>I427*G427</x:f>
        <x:v>0</x:v>
      </x:c>
      <x:c r="AD427" s="9" t="n">
        <x:f>J427*G427</x:f>
        <x:v>0</x:v>
      </x:c>
      <x:c r="AE427" s="9" t="n">
        <x:f>K427*G427</x:f>
        <x:v>0</x:v>
      </x:c>
      <x:c r="AF427" s="9" t="n">
        <x:f>R427*G427</x:f>
        <x:v>0</x:v>
      </x:c>
    </x:row>
    <x:row r="428" ht="21" customHeight="1">
      <x:c r="A428" s="1" t="str">
        <x:f>'Inventory inputs'!A428</x:f>
        <x:v>PLAS</x:v>
      </x:c>
      <x:c r="B428" s="1" t="str">
        <x:f>'Inventory inputs'!B428</x:f>
        <x:v>30</x:v>
      </x:c>
      <x:c r="C428" s="1" t="str">
        <x:f>'Inventory inputs'!C428</x:f>
        <x:v>01419RWBFG</x:v>
      </x:c>
      <x:c r="D428" s="7" t="n">
        <x:f>'Inventory inputs'!E428</x:f>
        <x:v>46303</x:v>
      </x:c>
      <x:c r="E428" s="1" t="n">
        <x:f>'Inventory inputs'!F428</x:f>
        <x:v>2000</x:v>
      </x:c>
      <x:c r="F428" s="1" t="n">
        <x:f>'Inventory inputs'!G428</x:f>
        <x:v>33.33</x:v>
      </x:c>
      <x:c r="G428" s="1" t="n">
        <x:f>'Inventory inputs'!H428/'Inventory inputs'!J428</x:f>
        <x:v>0.0181</x:v>
      </x:c>
      <x:c r="H428" s="1" t="n">
        <x:f>IF('Inventory inputs'!I428&gt;0,'Inventory inputs'!I428*'Inventory inputs'!K428/'Inventory inputs'!J428,"n.a.")</x:f>
        <x:v>0.021168</x:v>
      </x:c>
      <x:c r="I428" s="1" t="n">
        <x:f>'Inventory inputs'!L428</x:f>
        <x:v>0</x:v>
      </x:c>
      <x:c r="J428" s="1" t="n">
        <x:f>'Inventory inputs'!M428</x:f>
        <x:v>0</x:v>
      </x:c>
      <x:c r="K428" s="1" t="n">
        <x:f>'Inventory inputs'!N428</x:f>
        <x:v>2000</x:v>
      </x:c>
      <x:c r="L428" s="1" t="n">
        <x:f>'Inventory inputs'!O428</x:f>
        <x:v>0</x:v>
      </x:c>
      <x:c r="M428" s="9" t="n">
        <x:f>E428*G428</x:f>
        <x:v>36.2</x:v>
      </x:c>
      <x:c r="N428" s="9" t="n">
        <x:f>'Inventory inputs'!Q428</x:f>
        <x:v>36.2</x:v>
      </x:c>
      <x:c r="O428" s="9" t="n">
        <x:f>N428-M428</x:f>
        <x:v>0</x:v>
      </x:c>
      <x:c r="P428" s="1" t="n">
        <x:f>SUMIFS('Incoming POs'!$P$2:$P$305,'Incoming POs'!$A$2:$A$305,A428,'Incoming POs'!$B$2:$B$305,B428,'Incoming POs'!$C$2:$C$305,C428,'Incoming POs'!$G$2:$G$305,"&gt;="&amp;D428,'Incoming POs'!$G$2:$G$305,"&lt;"&amp;Dashboard!$I$5)</x:f>
        <x:v>0</x:v>
      </x:c>
      <x:c r="Q428" s="1" t="n">
        <x:f>F428*Dashboard!$L$5*MAX(0,Dashboard!$I$5-D428)/30.4375</x:f>
        <x:v>44.34874743326489</x:v>
      </x:c>
      <x:c r="R428" s="1" t="n">
        <x:f>MAX(0,E428+P428-Q428)</x:f>
        <x:v>1955.6512525667351</x:v>
      </x:c>
      <x:c r="S428" s="1" t="n">
        <x:f>MAX(0,Q428-E428-P428)</x:f>
        <x:v>0</x:v>
      </x:c>
      <x:c r="T428" s="1" t="str">
        <x:f>IF(L428=1,MAX(0,I428+AB428-MIN(Q428,E428+P428)),"n.a.")</x:f>
        <x:v>n.a.</x:v>
      </x:c>
      <x:c r="U428" s="9" t="str">
        <x:f>IF(ISNUMBER(T428),T428*G428,"n.a.")</x:f>
        <x:v>n.a.</x:v>
      </x:c>
      <x:c r="V428" s="25" t="n">
        <x:f>IF(Dashboard!$I$6="Flat %",1,IF(ISNUMBER(H428),1,0))</x:f>
        <x:v>1</x:v>
      </x:c>
      <x:c r="W428" s="9" t="n">
        <x:f>IF(Dashboard!$I$6="Flat %",G428*(1+Dashboard!$L$6),H428)</x:f>
        <x:v>0.021168</x:v>
      </x:c>
      <x:c r="X428" s="9" t="n">
        <x:f>IF(V428=1,R428*(W428-G428),"n.a.")</x:f>
        <x:v>5.9999380428747395</x:v>
      </x:c>
      <x:c r="Y428" s="9" t="n">
        <x:f>IF(V428=1,R428*W428,"n.a.")</x:f>
        <x:v>41.39722571433265</x:v>
      </x:c>
      <x:c r="Z428" s="1" t="str">
        <x:f>IF(ISNUMBER(T428),R428-T428,"n.a.")</x:f>
        <x:v>n.a.</x:v>
      </x:c>
      <x:c r="AA428" s="1" t="str">
        <x:f>'Inventory inputs'!R428</x:f>
        <x:v>Review receipt reconciliation or original PO baseline</x:v>
      </x:c>
      <x:c r="AB428" s="1" t="str">
        <x:f>IF(L428=1,SUMIFS('Incoming POs'!$P$2:$P$305,'Incoming POs'!$A$2:$A$305,A428,'Incoming POs'!$B$2:$B$305,B428,'Incoming POs'!$C$2:$C$305,C428,'Incoming POs'!$G$2:$G$305,"&gt;="&amp;D428,'Incoming POs'!$G$2:$G$305,"&lt;"&amp;Dashboard!$I$5,'Incoming POs'!$Q$2:$Q$305,"&lt;="&amp;('Inventory inputs'!P428/'Inventory inputs'!J428*1.01)),"n.a.")</x:f>
        <x:v>n.a.</x:v>
      </x:c>
      <x:c r="AC428" s="9" t="n">
        <x:f>I428*G428</x:f>
        <x:v>0</x:v>
      </x:c>
      <x:c r="AD428" s="9" t="n">
        <x:f>J428*G428</x:f>
        <x:v>0</x:v>
      </x:c>
      <x:c r="AE428" s="9" t="n">
        <x:f>K428*G428</x:f>
        <x:v>36.2</x:v>
      </x:c>
      <x:c r="AF428" s="9" t="n">
        <x:f>R428*G428</x:f>
        <x:v>35.39728767145791</x:v>
      </x:c>
    </x:row>
    <x:row r="429" ht="21" customHeight="1">
      <x:c r="A429" s="1" t="str">
        <x:f>'Inventory inputs'!A429</x:f>
        <x:v>PLAS</x:v>
      </x:c>
      <x:c r="B429" s="1" t="str">
        <x:f>'Inventory inputs'!B429</x:f>
        <x:v>30</x:v>
      </x:c>
      <x:c r="C429" s="1" t="str">
        <x:f>'Inventory inputs'!C429</x:f>
        <x:v>11819RWBCLR</x:v>
      </x:c>
      <x:c r="D429" s="7" t="n">
        <x:f>'Inventory inputs'!E429</x:f>
        <x:v>46303</x:v>
      </x:c>
      <x:c r="E429" s="1" t="n">
        <x:f>'Inventory inputs'!F429</x:f>
        <x:v>50</x:v>
      </x:c>
      <x:c r="F429" s="1" t="n">
        <x:f>'Inventory inputs'!G429</x:f>
        <x:v>33.33</x:v>
      </x:c>
      <x:c r="G429" s="1" t="n">
        <x:f>'Inventory inputs'!H429/'Inventory inputs'!J429</x:f>
        <x:v>0.1323</x:v>
      </x:c>
      <x:c r="H429" s="1" t="n">
        <x:f>IF('Inventory inputs'!I429&gt;0,'Inventory inputs'!I429*'Inventory inputs'!K429/'Inventory inputs'!J429,"n.a.")</x:f>
        <x:v>0.15479099999999998</x:v>
      </x:c>
      <x:c r="I429" s="1" t="n">
        <x:f>'Inventory inputs'!L429</x:f>
        <x:v>0</x:v>
      </x:c>
      <x:c r="J429" s="1" t="n">
        <x:f>'Inventory inputs'!M429</x:f>
        <x:v>0</x:v>
      </x:c>
      <x:c r="K429" s="1" t="n">
        <x:f>'Inventory inputs'!N429</x:f>
        <x:v>50</x:v>
      </x:c>
      <x:c r="L429" s="1" t="n">
        <x:f>'Inventory inputs'!O429</x:f>
        <x:v>0</x:v>
      </x:c>
      <x:c r="M429" s="9" t="n">
        <x:f>E429*G429</x:f>
        <x:v>6.615</x:v>
      </x:c>
      <x:c r="N429" s="9" t="n">
        <x:f>'Inventory inputs'!Q429</x:f>
        <x:v>6.615</x:v>
      </x:c>
      <x:c r="O429" s="9" t="n">
        <x:f>N429-M429</x:f>
        <x:v>0</x:v>
      </x:c>
      <x:c r="P429" s="1" t="n">
        <x:f>SUMIFS('Incoming POs'!$P$2:$P$305,'Incoming POs'!$A$2:$A$305,A429,'Incoming POs'!$B$2:$B$305,B429,'Incoming POs'!$C$2:$C$305,C429,'Incoming POs'!$G$2:$G$305,"&gt;="&amp;D429,'Incoming POs'!$G$2:$G$305,"&lt;"&amp;Dashboard!$I$5)</x:f>
        <x:v>0</x:v>
      </x:c>
      <x:c r="Q429" s="1" t="n">
        <x:f>F429*Dashboard!$L$5*MAX(0,Dashboard!$I$5-D429)/30.4375</x:f>
        <x:v>44.34874743326489</x:v>
      </x:c>
      <x:c r="R429" s="1" t="n">
        <x:f>MAX(0,E429+P429-Q429)</x:f>
        <x:v>5.65125256673511</x:v>
      </x:c>
      <x:c r="S429" s="1" t="n">
        <x:f>MAX(0,Q429-E429-P429)</x:f>
        <x:v>0</x:v>
      </x:c>
      <x:c r="T429" s="1" t="str">
        <x:f>IF(L429=1,MAX(0,I429+AB429-MIN(Q429,E429+P429)),"n.a.")</x:f>
        <x:v>n.a.</x:v>
      </x:c>
      <x:c r="U429" s="9" t="str">
        <x:f>IF(ISNUMBER(T429),T429*G429,"n.a.")</x:f>
        <x:v>n.a.</x:v>
      </x:c>
      <x:c r="V429" s="25" t="n">
        <x:f>IF(Dashboard!$I$6="Flat %",1,IF(ISNUMBER(H429),1,0))</x:f>
        <x:v>1</x:v>
      </x:c>
      <x:c r="W429" s="9" t="n">
        <x:f>IF(Dashboard!$I$6="Flat %",G429*(1+Dashboard!$L$6),H429)</x:f>
        <x:v>0.15479099999999998</x:v>
      </x:c>
      <x:c r="X429" s="9" t="n">
        <x:f>IF(V429=1,R429*(W429-G429),"n.a.")</x:f>
        <x:v>0.12710232147843925</x:v>
      </x:c>
      <x:c r="Y429" s="9" t="n">
        <x:f>IF(V429=1,R429*W429,"n.a.")</x:f>
        <x:v>0.8747630360574943</x:v>
      </x:c>
      <x:c r="Z429" s="1" t="str">
        <x:f>IF(ISNUMBER(T429),R429-T429,"n.a.")</x:f>
        <x:v>n.a.</x:v>
      </x:c>
      <x:c r="AA429" s="1" t="str">
        <x:f>'Inventory inputs'!R429</x:f>
        <x:v>Review receipt reconciliation or original PO baseline</x:v>
      </x:c>
      <x:c r="AB429" s="1" t="str">
        <x:f>IF(L429=1,SUMIFS('Incoming POs'!$P$2:$P$305,'Incoming POs'!$A$2:$A$305,A429,'Incoming POs'!$B$2:$B$305,B429,'Incoming POs'!$C$2:$C$305,C429,'Incoming POs'!$G$2:$G$305,"&gt;="&amp;D429,'Incoming POs'!$G$2:$G$305,"&lt;"&amp;Dashboard!$I$5,'Incoming POs'!$Q$2:$Q$305,"&lt;="&amp;('Inventory inputs'!P429/'Inventory inputs'!J429*1.01)),"n.a.")</x:f>
        <x:v>n.a.</x:v>
      </x:c>
      <x:c r="AC429" s="9" t="n">
        <x:f>I429*G429</x:f>
        <x:v>0</x:v>
      </x:c>
      <x:c r="AD429" s="9" t="n">
        <x:f>J429*G429</x:f>
        <x:v>0</x:v>
      </x:c>
      <x:c r="AE429" s="9" t="n">
        <x:f>K429*G429</x:f>
        <x:v>6.615</x:v>
      </x:c>
      <x:c r="AF429" s="9" t="n">
        <x:f>R429*G429</x:f>
        <x:v>0.747660714579055</x:v>
      </x:c>
    </x:row>
    <x:row r="430" ht="21" customHeight="1">
      <x:c r="A430" s="1" t="str">
        <x:f>'Inventory inputs'!A430</x:f>
        <x:v>PLAS</x:v>
      </x:c>
      <x:c r="B430" s="1" t="str">
        <x:f>'Inventory inputs'!B430</x:f>
        <x:v>30</x:v>
      </x:c>
      <x:c r="C430" s="1" t="str">
        <x:f>'Inventory inputs'!C430</x:f>
        <x:v>51619RWBFG</x:v>
      </x:c>
      <x:c r="D430" s="7" t="n">
        <x:f>'Inventory inputs'!E430</x:f>
        <x:v>46303</x:v>
      </x:c>
      <x:c r="E430" s="1" t="n">
        <x:f>'Inventory inputs'!F430</x:f>
        <x:v>1700</x:v>
      </x:c>
      <x:c r="F430" s="1" t="n">
        <x:f>'Inventory inputs'!G430</x:f>
        <x:v>33.33</x:v>
      </x:c>
      <x:c r="G430" s="1" t="n">
        <x:f>'Inventory inputs'!H430/'Inventory inputs'!J430</x:f>
        <x:v>0.0216</x:v>
      </x:c>
      <x:c r="H430" s="1" t="n">
        <x:f>IF('Inventory inputs'!I430&gt;0,'Inventory inputs'!I430*'Inventory inputs'!K430/'Inventory inputs'!J430,"n.a.")</x:f>
        <x:v>0.025284</x:v>
      </x:c>
      <x:c r="I430" s="1" t="n">
        <x:f>'Inventory inputs'!L430</x:f>
        <x:v>0</x:v>
      </x:c>
      <x:c r="J430" s="1" t="n">
        <x:f>'Inventory inputs'!M430</x:f>
        <x:v>0</x:v>
      </x:c>
      <x:c r="K430" s="1" t="n">
        <x:f>'Inventory inputs'!N430</x:f>
        <x:v>1700</x:v>
      </x:c>
      <x:c r="L430" s="1" t="n">
        <x:f>'Inventory inputs'!O430</x:f>
        <x:v>0</x:v>
      </x:c>
      <x:c r="M430" s="9" t="n">
        <x:f>E430*G430</x:f>
        <x:v>36.72</x:v>
      </x:c>
      <x:c r="N430" s="9" t="n">
        <x:f>'Inventory inputs'!Q430</x:f>
        <x:v>36.720000000000006</x:v>
      </x:c>
      <x:c r="O430" s="9" t="n">
        <x:f>N430-M430</x:f>
        <x:v>7.105427357601002e-15</x:v>
      </x:c>
      <x:c r="P430" s="1" t="n">
        <x:f>SUMIFS('Incoming POs'!$P$2:$P$305,'Incoming POs'!$A$2:$A$305,A430,'Incoming POs'!$B$2:$B$305,B430,'Incoming POs'!$C$2:$C$305,C430,'Incoming POs'!$G$2:$G$305,"&gt;="&amp;D430,'Incoming POs'!$G$2:$G$305,"&lt;"&amp;Dashboard!$I$5)</x:f>
        <x:v>0</x:v>
      </x:c>
      <x:c r="Q430" s="1" t="n">
        <x:f>F430*Dashboard!$L$5*MAX(0,Dashboard!$I$5-D430)/30.4375</x:f>
        <x:v>44.34874743326489</x:v>
      </x:c>
      <x:c r="R430" s="1" t="n">
        <x:f>MAX(0,E430+P430-Q430)</x:f>
        <x:v>1655.6512525667351</x:v>
      </x:c>
      <x:c r="S430" s="1" t="n">
        <x:f>MAX(0,Q430-E430-P430)</x:f>
        <x:v>0</x:v>
      </x:c>
      <x:c r="T430" s="1" t="str">
        <x:f>IF(L430=1,MAX(0,I430+AB430-MIN(Q430,E430+P430)),"n.a.")</x:f>
        <x:v>n.a.</x:v>
      </x:c>
      <x:c r="U430" s="9" t="str">
        <x:f>IF(ISNUMBER(T430),T430*G430,"n.a.")</x:f>
        <x:v>n.a.</x:v>
      </x:c>
      <x:c r="V430" s="25" t="n">
        <x:f>IF(Dashboard!$I$6="Flat %",1,IF(ISNUMBER(H430),1,0))</x:f>
        <x:v>1</x:v>
      </x:c>
      <x:c r="W430" s="9" t="n">
        <x:f>IF(Dashboard!$I$6="Flat %",G430*(1+Dashboard!$L$6),H430)</x:f>
        <x:v>0.025284</x:v>
      </x:c>
      <x:c r="X430" s="9" t="n">
        <x:f>IF(V430=1,R430*(W430-G430),"n.a.")</x:f>
        <x:v>6.0994192144558514</x:v>
      </x:c>
      <x:c r="Y430" s="9" t="n">
        <x:f>IF(V430=1,R430*W430,"n.a.")</x:f>
        <x:v>41.861486269897334</x:v>
      </x:c>
      <x:c r="Z430" s="1" t="str">
        <x:f>IF(ISNUMBER(T430),R430-T430,"n.a.")</x:f>
        <x:v>n.a.</x:v>
      </x:c>
      <x:c r="AA430" s="1" t="str">
        <x:f>'Inventory inputs'!R430</x:f>
        <x:v>Review receipt reconciliation or original PO baseline</x:v>
      </x:c>
      <x:c r="AB430" s="1" t="str">
        <x:f>IF(L430=1,SUMIFS('Incoming POs'!$P$2:$P$305,'Incoming POs'!$A$2:$A$305,A430,'Incoming POs'!$B$2:$B$305,B430,'Incoming POs'!$C$2:$C$305,C430,'Incoming POs'!$G$2:$G$305,"&gt;="&amp;D430,'Incoming POs'!$G$2:$G$305,"&lt;"&amp;Dashboard!$I$5,'Incoming POs'!$Q$2:$Q$305,"&lt;="&amp;('Inventory inputs'!P430/'Inventory inputs'!J430*1.01)),"n.a.")</x:f>
        <x:v>n.a.</x:v>
      </x:c>
      <x:c r="AC430" s="9" t="n">
        <x:f>I430*G430</x:f>
        <x:v>0</x:v>
      </x:c>
      <x:c r="AD430" s="9" t="n">
        <x:f>J430*G430</x:f>
        <x:v>0</x:v>
      </x:c>
      <x:c r="AE430" s="9" t="n">
        <x:f>K430*G430</x:f>
        <x:v>36.72</x:v>
      </x:c>
      <x:c r="AF430" s="9" t="n">
        <x:f>R430*G430</x:f>
        <x:v>35.762067055441484</x:v>
      </x:c>
    </x:row>
    <x:row r="431" ht="21" customHeight="1">
      <x:c r="A431" s="1" t="str">
        <x:f>'Inventory inputs'!A431</x:f>
        <x:v>PLAS</x:v>
      </x:c>
      <x:c r="B431" s="1" t="str">
        <x:f>'Inventory inputs'!B431</x:f>
        <x:v>30</x:v>
      </x:c>
      <x:c r="C431" s="1" t="str">
        <x:f>'Inventory inputs'!C431</x:f>
        <x:v>91619RWBMAR</x:v>
      </x:c>
      <x:c r="D431" s="7" t="n">
        <x:f>'Inventory inputs'!E431</x:f>
        <x:v>46303</x:v>
      </x:c>
      <x:c r="E431" s="1" t="n">
        <x:f>'Inventory inputs'!F431</x:f>
        <x:v>900</x:v>
      </x:c>
      <x:c r="F431" s="1" t="n">
        <x:f>'Inventory inputs'!G431</x:f>
        <x:v>33.33</x:v>
      </x:c>
      <x:c r="G431" s="1" t="n">
        <x:f>'Inventory inputs'!H431/'Inventory inputs'!J431</x:f>
        <x:v>0.042800000000000005</x:v>
      </x:c>
      <x:c r="H431" s="1" t="n">
        <x:f>IF('Inventory inputs'!I431&gt;0,'Inventory inputs'!I431*'Inventory inputs'!K431/'Inventory inputs'!J431,"n.a.")</x:f>
        <x:v>0.049980000000000004</x:v>
      </x:c>
      <x:c r="I431" s="1" t="n">
        <x:f>'Inventory inputs'!L431</x:f>
        <x:v>0</x:v>
      </x:c>
      <x:c r="J431" s="1" t="n">
        <x:f>'Inventory inputs'!M431</x:f>
        <x:v>0</x:v>
      </x:c>
      <x:c r="K431" s="1" t="n">
        <x:f>'Inventory inputs'!N431</x:f>
        <x:v>900</x:v>
      </x:c>
      <x:c r="L431" s="1" t="n">
        <x:f>'Inventory inputs'!O431</x:f>
        <x:v>0</x:v>
      </x:c>
      <x:c r="M431" s="9" t="n">
        <x:f>E431*G431</x:f>
        <x:v>38.52</x:v>
      </x:c>
      <x:c r="N431" s="9" t="n">
        <x:f>'Inventory inputs'!Q431</x:f>
        <x:v>38.52</x:v>
      </x:c>
      <x:c r="O431" s="9" t="n">
        <x:f>N431-M431</x:f>
        <x:v>0</x:v>
      </x:c>
      <x:c r="P431" s="1" t="n">
        <x:f>SUMIFS('Incoming POs'!$P$2:$P$305,'Incoming POs'!$A$2:$A$305,A431,'Incoming POs'!$B$2:$B$305,B431,'Incoming POs'!$C$2:$C$305,C431,'Incoming POs'!$G$2:$G$305,"&gt;="&amp;D431,'Incoming POs'!$G$2:$G$305,"&lt;"&amp;Dashboard!$I$5)</x:f>
        <x:v>0</x:v>
      </x:c>
      <x:c r="Q431" s="1" t="n">
        <x:f>F431*Dashboard!$L$5*MAX(0,Dashboard!$I$5-D431)/30.4375</x:f>
        <x:v>44.34874743326489</x:v>
      </x:c>
      <x:c r="R431" s="1" t="n">
        <x:f>MAX(0,E431+P431-Q431)</x:f>
        <x:v>855.6512525667351</x:v>
      </x:c>
      <x:c r="S431" s="1" t="n">
        <x:f>MAX(0,Q431-E431-P431)</x:f>
        <x:v>0</x:v>
      </x:c>
      <x:c r="T431" s="1" t="str">
        <x:f>IF(L431=1,MAX(0,I431+AB431-MIN(Q431,E431+P431)),"n.a.")</x:f>
        <x:v>n.a.</x:v>
      </x:c>
      <x:c r="U431" s="9" t="str">
        <x:f>IF(ISNUMBER(T431),T431*G431,"n.a.")</x:f>
        <x:v>n.a.</x:v>
      </x:c>
      <x:c r="V431" s="25" t="n">
        <x:f>IF(Dashboard!$I$6="Flat %",1,IF(ISNUMBER(H431),1,0))</x:f>
        <x:v>1</x:v>
      </x:c>
      <x:c r="W431" s="9" t="n">
        <x:f>IF(Dashboard!$I$6="Flat %",G431*(1+Dashboard!$L$6),H431)</x:f>
        <x:v>0.049980000000000004</x:v>
      </x:c>
      <x:c r="X431" s="9" t="n">
        <x:f>IF(V431=1,R431*(W431-G431),"n.a.")</x:f>
        <x:v>6.143575993429157</x:v>
      </x:c>
      <x:c r="Y431" s="9" t="n">
        <x:f>IF(V431=1,R431*W431,"n.a.")</x:f>
        <x:v>42.765449603285425</x:v>
      </x:c>
      <x:c r="Z431" s="1" t="str">
        <x:f>IF(ISNUMBER(T431),R431-T431,"n.a.")</x:f>
        <x:v>n.a.</x:v>
      </x:c>
      <x:c r="AA431" s="1" t="str">
        <x:f>'Inventory inputs'!R431</x:f>
        <x:v>Review receipt reconciliation or original PO baseline</x:v>
      </x:c>
      <x:c r="AB431" s="1" t="str">
        <x:f>IF(L431=1,SUMIFS('Incoming POs'!$P$2:$P$305,'Incoming POs'!$A$2:$A$305,A431,'Incoming POs'!$B$2:$B$305,B431,'Incoming POs'!$C$2:$C$305,C431,'Incoming POs'!$G$2:$G$305,"&gt;="&amp;D431,'Incoming POs'!$G$2:$G$305,"&lt;"&amp;Dashboard!$I$5,'Incoming POs'!$Q$2:$Q$305,"&lt;="&amp;('Inventory inputs'!P431/'Inventory inputs'!J431*1.01)),"n.a.")</x:f>
        <x:v>n.a.</x:v>
      </x:c>
      <x:c r="AC431" s="9" t="n">
        <x:f>I431*G431</x:f>
        <x:v>0</x:v>
      </x:c>
      <x:c r="AD431" s="9" t="n">
        <x:f>J431*G431</x:f>
        <x:v>0</x:v>
      </x:c>
      <x:c r="AE431" s="9" t="n">
        <x:f>K431*G431</x:f>
        <x:v>38.52</x:v>
      </x:c>
      <x:c r="AF431" s="9" t="n">
        <x:f>R431*G431</x:f>
        <x:v>36.621873609856266</x:v>
      </x:c>
    </x:row>
    <x:row r="432" ht="21" customHeight="1">
      <x:c r="A432" s="1" t="str">
        <x:f>'Inventory inputs'!A432</x:f>
        <x:v>PLAS</x:v>
      </x:c>
      <x:c r="B432" s="1" t="str">
        <x:f>'Inventory inputs'!B432</x:f>
        <x:v>60</x:v>
      </x:c>
      <x:c r="C432" s="1" t="str">
        <x:f>'Inventory inputs'!C432</x:f>
        <x:v>01219RWBFG</x:v>
      </x:c>
      <x:c r="D432" s="7" t="n">
        <x:f>'Inventory inputs'!E432</x:f>
        <x:v>46303</x:v>
      </x:c>
      <x:c r="E432" s="1" t="n">
        <x:f>'Inventory inputs'!F432</x:f>
        <x:v>1000</x:v>
      </x:c>
      <x:c r="F432" s="1" t="n">
        <x:f>'Inventory inputs'!G432</x:f>
        <x:v>33.33</x:v>
      </x:c>
      <x:c r="G432" s="1" t="n">
        <x:f>'Inventory inputs'!H432/'Inventory inputs'!J432</x:f>
        <x:v>0.036000000000000004</x:v>
      </x:c>
      <x:c r="H432" s="1" t="n">
        <x:f>IF('Inventory inputs'!I432&gt;0,'Inventory inputs'!I432*'Inventory inputs'!K432/'Inventory inputs'!J432,"n.a.")</x:f>
        <x:v>0.042189</x:v>
      </x:c>
      <x:c r="I432" s="1" t="n">
        <x:f>'Inventory inputs'!L432</x:f>
        <x:v>0</x:v>
      </x:c>
      <x:c r="J432" s="1" t="n">
        <x:f>'Inventory inputs'!M432</x:f>
        <x:v>0</x:v>
      </x:c>
      <x:c r="K432" s="1" t="n">
        <x:f>'Inventory inputs'!N432</x:f>
        <x:v>1000</x:v>
      </x:c>
      <x:c r="L432" s="1" t="n">
        <x:f>'Inventory inputs'!O432</x:f>
        <x:v>0</x:v>
      </x:c>
      <x:c r="M432" s="9" t="n">
        <x:f>E432*G432</x:f>
        <x:v>36.00000000000001</x:v>
      </x:c>
      <x:c r="N432" s="9" t="n">
        <x:f>'Inventory inputs'!Q432</x:f>
        <x:v>36</x:v>
      </x:c>
      <x:c r="O432" s="9" t="n">
        <x:f>N432-M432</x:f>
        <x:v>-7.105427357601002e-15</x:v>
      </x:c>
      <x:c r="P432" s="1" t="n">
        <x:f>SUMIFS('Incoming POs'!$P$2:$P$305,'Incoming POs'!$A$2:$A$305,A432,'Incoming POs'!$B$2:$B$305,B432,'Incoming POs'!$C$2:$C$305,C432,'Incoming POs'!$G$2:$G$305,"&gt;="&amp;D432,'Incoming POs'!$G$2:$G$305,"&lt;"&amp;Dashboard!$I$5)</x:f>
        <x:v>0</x:v>
      </x:c>
      <x:c r="Q432" s="1" t="n">
        <x:f>F432*Dashboard!$L$5*MAX(0,Dashboard!$I$5-D432)/30.4375</x:f>
        <x:v>44.34874743326489</x:v>
      </x:c>
      <x:c r="R432" s="1" t="n">
        <x:f>MAX(0,E432+P432-Q432)</x:f>
        <x:v>955.6512525667351</x:v>
      </x:c>
      <x:c r="S432" s="1" t="n">
        <x:f>MAX(0,Q432-E432-P432)</x:f>
        <x:v>0</x:v>
      </x:c>
      <x:c r="T432" s="1" t="str">
        <x:f>IF(L432=1,MAX(0,I432+AB432-MIN(Q432,E432+P432)),"n.a.")</x:f>
        <x:v>n.a.</x:v>
      </x:c>
      <x:c r="U432" s="9" t="str">
        <x:f>IF(ISNUMBER(T432),T432*G432,"n.a.")</x:f>
        <x:v>n.a.</x:v>
      </x:c>
      <x:c r="V432" s="25" t="n">
        <x:f>IF(Dashboard!$I$6="Flat %",1,IF(ISNUMBER(H432),1,0))</x:f>
        <x:v>1</x:v>
      </x:c>
      <x:c r="W432" s="9" t="n">
        <x:f>IF(Dashboard!$I$6="Flat %",G432*(1+Dashboard!$L$6),H432)</x:f>
        <x:v>0.042189</x:v>
      </x:c>
      <x:c r="X432" s="9" t="n">
        <x:f>IF(V432=1,R432*(W432-G432),"n.a.")</x:f>
        <x:v>5.914525602135517</x:v>
      </x:c>
      <x:c r="Y432" s="9" t="n">
        <x:f>IF(V432=1,R432*W432,"n.a.")</x:f>
        <x:v>40.31797069453798</x:v>
      </x:c>
      <x:c r="Z432" s="1" t="str">
        <x:f>IF(ISNUMBER(T432),R432-T432,"n.a.")</x:f>
        <x:v>n.a.</x:v>
      </x:c>
      <x:c r="AA432" s="1" t="str">
        <x:f>'Inventory inputs'!R432</x:f>
        <x:v>Review receipt reconciliation or original PO baseline</x:v>
      </x:c>
      <x:c r="AB432" s="1" t="str">
        <x:f>IF(L432=1,SUMIFS('Incoming POs'!$P$2:$P$305,'Incoming POs'!$A$2:$A$305,A432,'Incoming POs'!$B$2:$B$305,B432,'Incoming POs'!$C$2:$C$305,C432,'Incoming POs'!$G$2:$G$305,"&gt;="&amp;D432,'Incoming POs'!$G$2:$G$305,"&lt;"&amp;Dashboard!$I$5,'Incoming POs'!$Q$2:$Q$305,"&lt;="&amp;('Inventory inputs'!P432/'Inventory inputs'!J432*1.01)),"n.a.")</x:f>
        <x:v>n.a.</x:v>
      </x:c>
      <x:c r="AC432" s="9" t="n">
        <x:f>I432*G432</x:f>
        <x:v>0</x:v>
      </x:c>
      <x:c r="AD432" s="9" t="n">
        <x:f>J432*G432</x:f>
        <x:v>0</x:v>
      </x:c>
      <x:c r="AE432" s="9" t="n">
        <x:f>K432*G432</x:f>
        <x:v>36.00000000000001</x:v>
      </x:c>
      <x:c r="AF432" s="9" t="n">
        <x:f>R432*G432</x:f>
        <x:v>34.40344509240247</x:v>
      </x:c>
    </x:row>
    <x:row r="433" ht="21" customHeight="1">
      <x:c r="A433" s="1" t="str">
        <x:f>'Inventory inputs'!A433</x:f>
        <x:v>PLAS</x:v>
      </x:c>
      <x:c r="B433" s="1" t="str">
        <x:f>'Inventory inputs'!B433</x:f>
        <x:v>60</x:v>
      </x:c>
      <x:c r="C433" s="1" t="str">
        <x:f>'Inventory inputs'!C433</x:f>
        <x:v>01419RWBBLU</x:v>
      </x:c>
      <x:c r="D433" s="7" t="n">
        <x:f>'Inventory inputs'!E433</x:f>
        <x:v>46303</x:v>
      </x:c>
      <x:c r="E433" s="1" t="n">
        <x:f>'Inventory inputs'!F433</x:f>
        <x:v>700</x:v>
      </x:c>
      <x:c r="F433" s="1" t="n">
        <x:f>'Inventory inputs'!G433</x:f>
        <x:v>33.33</x:v>
      </x:c>
      <x:c r="G433" s="1" t="n">
        <x:f>'Inventory inputs'!H433/'Inventory inputs'!J433</x:f>
        <x:v>0.0181</x:v>
      </x:c>
      <x:c r="H433" s="1" t="n">
        <x:f>IF('Inventory inputs'!I433&gt;0,'Inventory inputs'!I433*'Inventory inputs'!K433/'Inventory inputs'!J433,"n.a.")</x:f>
        <x:v>0.021168</x:v>
      </x:c>
      <x:c r="I433" s="1" t="n">
        <x:f>'Inventory inputs'!L433</x:f>
        <x:v>0</x:v>
      </x:c>
      <x:c r="J433" s="1" t="n">
        <x:f>'Inventory inputs'!M433</x:f>
        <x:v>0</x:v>
      </x:c>
      <x:c r="K433" s="1" t="n">
        <x:f>'Inventory inputs'!N433</x:f>
        <x:v>700</x:v>
      </x:c>
      <x:c r="L433" s="1" t="n">
        <x:f>'Inventory inputs'!O433</x:f>
        <x:v>0</x:v>
      </x:c>
      <x:c r="M433" s="9" t="n">
        <x:f>E433*G433</x:f>
        <x:v>12.670000000000002</x:v>
      </x:c>
      <x:c r="N433" s="9" t="n">
        <x:f>'Inventory inputs'!Q433</x:f>
        <x:v>12.67</x:v>
      </x:c>
      <x:c r="O433" s="9" t="n">
        <x:f>N433-M433</x:f>
        <x:v>-1.7763568394002505e-15</x:v>
      </x:c>
      <x:c r="P433" s="1" t="n">
        <x:f>SUMIFS('Incoming POs'!$P$2:$P$305,'Incoming POs'!$A$2:$A$305,A433,'Incoming POs'!$B$2:$B$305,B433,'Incoming POs'!$C$2:$C$305,C433,'Incoming POs'!$G$2:$G$305,"&gt;="&amp;D433,'Incoming POs'!$G$2:$G$305,"&lt;"&amp;Dashboard!$I$5)</x:f>
        <x:v>0</x:v>
      </x:c>
      <x:c r="Q433" s="1" t="n">
        <x:f>F433*Dashboard!$L$5*MAX(0,Dashboard!$I$5-D433)/30.4375</x:f>
        <x:v>44.34874743326489</x:v>
      </x:c>
      <x:c r="R433" s="1" t="n">
        <x:f>MAX(0,E433+P433-Q433)</x:f>
        <x:v>655.6512525667351</x:v>
      </x:c>
      <x:c r="S433" s="1" t="n">
        <x:f>MAX(0,Q433-E433-P433)</x:f>
        <x:v>0</x:v>
      </x:c>
      <x:c r="T433" s="1" t="str">
        <x:f>IF(L433=1,MAX(0,I433+AB433-MIN(Q433,E433+P433)),"n.a.")</x:f>
        <x:v>n.a.</x:v>
      </x:c>
      <x:c r="U433" s="9" t="str">
        <x:f>IF(ISNUMBER(T433),T433*G433,"n.a.")</x:f>
        <x:v>n.a.</x:v>
      </x:c>
      <x:c r="V433" s="25" t="n">
        <x:f>IF(Dashboard!$I$6="Flat %",1,IF(ISNUMBER(H433),1,0))</x:f>
        <x:v>1</x:v>
      </x:c>
      <x:c r="W433" s="9" t="n">
        <x:f>IF(Dashboard!$I$6="Flat %",G433*(1+Dashboard!$L$6),H433)</x:f>
        <x:v>0.021168</x:v>
      </x:c>
      <x:c r="X433" s="9" t="n">
        <x:f>IF(V433=1,R433*(W433-G433),"n.a.")</x:f>
        <x:v>2.011538042874742</x:v>
      </x:c>
      <x:c r="Y433" s="9" t="n">
        <x:f>IF(V433=1,R433*W433,"n.a.")</x:f>
        <x:v>13.878825714332649</x:v>
      </x:c>
      <x:c r="Z433" s="1" t="str">
        <x:f>IF(ISNUMBER(T433),R433-T433,"n.a.")</x:f>
        <x:v>n.a.</x:v>
      </x:c>
      <x:c r="AA433" s="1" t="str">
        <x:f>'Inventory inputs'!R433</x:f>
        <x:v>Review receipt reconciliation or original PO baseline</x:v>
      </x:c>
      <x:c r="AB433" s="1" t="str">
        <x:f>IF(L433=1,SUMIFS('Incoming POs'!$P$2:$P$305,'Incoming POs'!$A$2:$A$305,A433,'Incoming POs'!$B$2:$B$305,B433,'Incoming POs'!$C$2:$C$305,C433,'Incoming POs'!$G$2:$G$305,"&gt;="&amp;D433,'Incoming POs'!$G$2:$G$305,"&lt;"&amp;Dashboard!$I$5,'Incoming POs'!$Q$2:$Q$305,"&lt;="&amp;('Inventory inputs'!P433/'Inventory inputs'!J433*1.01)),"n.a.")</x:f>
        <x:v>n.a.</x:v>
      </x:c>
      <x:c r="AC433" s="9" t="n">
        <x:f>I433*G433</x:f>
        <x:v>0</x:v>
      </x:c>
      <x:c r="AD433" s="9" t="n">
        <x:f>J433*G433</x:f>
        <x:v>0</x:v>
      </x:c>
      <x:c r="AE433" s="9" t="n">
        <x:f>K433*G433</x:f>
        <x:v>12.670000000000002</x:v>
      </x:c>
      <x:c r="AF433" s="9" t="n">
        <x:f>R433*G433</x:f>
        <x:v>11.867287671457907</x:v>
      </x:c>
    </x:row>
    <x:row r="434" ht="21" customHeight="1">
      <x:c r="A434" s="1" t="str">
        <x:f>'Inventory inputs'!A434</x:f>
        <x:v>PLAS</x:v>
      </x:c>
      <x:c r="B434" s="1" t="str">
        <x:f>'Inventory inputs'!B434</x:f>
        <x:v>60</x:v>
      </x:c>
      <x:c r="C434" s="1" t="str">
        <x:f>'Inventory inputs'!C434</x:f>
        <x:v>01419RWBCLR</x:v>
      </x:c>
      <x:c r="D434" s="7" t="n">
        <x:f>'Inventory inputs'!E434</x:f>
        <x:v>46303</x:v>
      </x:c>
      <x:c r="E434" s="1" t="n">
        <x:f>'Inventory inputs'!F434</x:f>
        <x:v>700</x:v>
      </x:c>
      <x:c r="F434" s="1" t="n">
        <x:f>'Inventory inputs'!G434</x:f>
        <x:v>33.33</x:v>
      </x:c>
      <x:c r="G434" s="1" t="n">
        <x:f>'Inventory inputs'!H434/'Inventory inputs'!J434</x:f>
        <x:v>0.0181</x:v>
      </x:c>
      <x:c r="H434" s="1" t="n">
        <x:f>IF('Inventory inputs'!I434&gt;0,'Inventory inputs'!I434*'Inventory inputs'!K434/'Inventory inputs'!J434,"n.a.")</x:f>
        <x:v>0.021168</x:v>
      </x:c>
      <x:c r="I434" s="1" t="n">
        <x:f>'Inventory inputs'!L434</x:f>
        <x:v>0</x:v>
      </x:c>
      <x:c r="J434" s="1" t="n">
        <x:f>'Inventory inputs'!M434</x:f>
        <x:v>0</x:v>
      </x:c>
      <x:c r="K434" s="1" t="n">
        <x:f>'Inventory inputs'!N434</x:f>
        <x:v>700</x:v>
      </x:c>
      <x:c r="L434" s="1" t="n">
        <x:f>'Inventory inputs'!O434</x:f>
        <x:v>0</x:v>
      </x:c>
      <x:c r="M434" s="9" t="n">
        <x:f>E434*G434</x:f>
        <x:v>12.670000000000002</x:v>
      </x:c>
      <x:c r="N434" s="9" t="n">
        <x:f>'Inventory inputs'!Q434</x:f>
        <x:v>12.67</x:v>
      </x:c>
      <x:c r="O434" s="9" t="n">
        <x:f>N434-M434</x:f>
        <x:v>-1.7763568394002505e-15</x:v>
      </x:c>
      <x:c r="P434" s="1" t="n">
        <x:f>SUMIFS('Incoming POs'!$P$2:$P$305,'Incoming POs'!$A$2:$A$305,A434,'Incoming POs'!$B$2:$B$305,B434,'Incoming POs'!$C$2:$C$305,C434,'Incoming POs'!$G$2:$G$305,"&gt;="&amp;D434,'Incoming POs'!$G$2:$G$305,"&lt;"&amp;Dashboard!$I$5)</x:f>
        <x:v>0</x:v>
      </x:c>
      <x:c r="Q434" s="1" t="n">
        <x:f>F434*Dashboard!$L$5*MAX(0,Dashboard!$I$5-D434)/30.4375</x:f>
        <x:v>44.34874743326489</x:v>
      </x:c>
      <x:c r="R434" s="1" t="n">
        <x:f>MAX(0,E434+P434-Q434)</x:f>
        <x:v>655.6512525667351</x:v>
      </x:c>
      <x:c r="S434" s="1" t="n">
        <x:f>MAX(0,Q434-E434-P434)</x:f>
        <x:v>0</x:v>
      </x:c>
      <x:c r="T434" s="1" t="str">
        <x:f>IF(L434=1,MAX(0,I434+AB434-MIN(Q434,E434+P434)),"n.a.")</x:f>
        <x:v>n.a.</x:v>
      </x:c>
      <x:c r="U434" s="9" t="str">
        <x:f>IF(ISNUMBER(T434),T434*G434,"n.a.")</x:f>
        <x:v>n.a.</x:v>
      </x:c>
      <x:c r="V434" s="25" t="n">
        <x:f>IF(Dashboard!$I$6="Flat %",1,IF(ISNUMBER(H434),1,0))</x:f>
        <x:v>1</x:v>
      </x:c>
      <x:c r="W434" s="9" t="n">
        <x:f>IF(Dashboard!$I$6="Flat %",G434*(1+Dashboard!$L$6),H434)</x:f>
        <x:v>0.021168</x:v>
      </x:c>
      <x:c r="X434" s="9" t="n">
        <x:f>IF(V434=1,R434*(W434-G434),"n.a.")</x:f>
        <x:v>2.011538042874742</x:v>
      </x:c>
      <x:c r="Y434" s="9" t="n">
        <x:f>IF(V434=1,R434*W434,"n.a.")</x:f>
        <x:v>13.878825714332649</x:v>
      </x:c>
      <x:c r="Z434" s="1" t="str">
        <x:f>IF(ISNUMBER(T434),R434-T434,"n.a.")</x:f>
        <x:v>n.a.</x:v>
      </x:c>
      <x:c r="AA434" s="1" t="str">
        <x:f>'Inventory inputs'!R434</x:f>
        <x:v>Review receipt reconciliation or original PO baseline</x:v>
      </x:c>
      <x:c r="AB434" s="1" t="str">
        <x:f>IF(L434=1,SUMIFS('Incoming POs'!$P$2:$P$305,'Incoming POs'!$A$2:$A$305,A434,'Incoming POs'!$B$2:$B$305,B434,'Incoming POs'!$C$2:$C$305,C434,'Incoming POs'!$G$2:$G$305,"&gt;="&amp;D434,'Incoming POs'!$G$2:$G$305,"&lt;"&amp;Dashboard!$I$5,'Incoming POs'!$Q$2:$Q$305,"&lt;="&amp;('Inventory inputs'!P434/'Inventory inputs'!J434*1.01)),"n.a.")</x:f>
        <x:v>n.a.</x:v>
      </x:c>
      <x:c r="AC434" s="9" t="n">
        <x:f>I434*G434</x:f>
        <x:v>0</x:v>
      </x:c>
      <x:c r="AD434" s="9" t="n">
        <x:f>J434*G434</x:f>
        <x:v>0</x:v>
      </x:c>
      <x:c r="AE434" s="9" t="n">
        <x:f>K434*G434</x:f>
        <x:v>12.670000000000002</x:v>
      </x:c>
      <x:c r="AF434" s="9" t="n">
        <x:f>R434*G434</x:f>
        <x:v>11.867287671457907</x:v>
      </x:c>
    </x:row>
    <x:row r="435" ht="21" customHeight="1">
      <x:c r="A435" s="1" t="str">
        <x:f>'Inventory inputs'!A435</x:f>
        <x:v>PLAS</x:v>
      </x:c>
      <x:c r="B435" s="1" t="str">
        <x:f>'Inventory inputs'!B435</x:f>
        <x:v>60</x:v>
      </x:c>
      <x:c r="C435" s="1" t="str">
        <x:f>'Inventory inputs'!C435</x:f>
        <x:v>01419RWBFG</x:v>
      </x:c>
      <x:c r="D435" s="7" t="n">
        <x:f>'Inventory inputs'!E435</x:f>
        <x:v>46303</x:v>
      </x:c>
      <x:c r="E435" s="1" t="n">
        <x:f>'Inventory inputs'!F435</x:f>
        <x:v>2000</x:v>
      </x:c>
      <x:c r="F435" s="1" t="n">
        <x:f>'Inventory inputs'!G435</x:f>
        <x:v>33.33</x:v>
      </x:c>
      <x:c r="G435" s="1" t="n">
        <x:f>'Inventory inputs'!H435/'Inventory inputs'!J435</x:f>
        <x:v>0.0181</x:v>
      </x:c>
      <x:c r="H435" s="1" t="n">
        <x:f>IF('Inventory inputs'!I435&gt;0,'Inventory inputs'!I435*'Inventory inputs'!K435/'Inventory inputs'!J435,"n.a.")</x:f>
        <x:v>0.021168</x:v>
      </x:c>
      <x:c r="I435" s="1" t="n">
        <x:f>'Inventory inputs'!L435</x:f>
        <x:v>0</x:v>
      </x:c>
      <x:c r="J435" s="1" t="n">
        <x:f>'Inventory inputs'!M435</x:f>
        <x:v>0</x:v>
      </x:c>
      <x:c r="K435" s="1" t="n">
        <x:f>'Inventory inputs'!N435</x:f>
        <x:v>2000</x:v>
      </x:c>
      <x:c r="L435" s="1" t="n">
        <x:f>'Inventory inputs'!O435</x:f>
        <x:v>0</x:v>
      </x:c>
      <x:c r="M435" s="9" t="n">
        <x:f>E435*G435</x:f>
        <x:v>36.2</x:v>
      </x:c>
      <x:c r="N435" s="9" t="n">
        <x:f>'Inventory inputs'!Q435</x:f>
        <x:v>36.2</x:v>
      </x:c>
      <x:c r="O435" s="9" t="n">
        <x:f>N435-M435</x:f>
        <x:v>0</x:v>
      </x:c>
      <x:c r="P435" s="1" t="n">
        <x:f>SUMIFS('Incoming POs'!$P$2:$P$305,'Incoming POs'!$A$2:$A$305,A435,'Incoming POs'!$B$2:$B$305,B435,'Incoming POs'!$C$2:$C$305,C435,'Incoming POs'!$G$2:$G$305,"&gt;="&amp;D435,'Incoming POs'!$G$2:$G$305,"&lt;"&amp;Dashboard!$I$5)</x:f>
        <x:v>0</x:v>
      </x:c>
      <x:c r="Q435" s="1" t="n">
        <x:f>F435*Dashboard!$L$5*MAX(0,Dashboard!$I$5-D435)/30.4375</x:f>
        <x:v>44.34874743326489</x:v>
      </x:c>
      <x:c r="R435" s="1" t="n">
        <x:f>MAX(0,E435+P435-Q435)</x:f>
        <x:v>1955.6512525667351</x:v>
      </x:c>
      <x:c r="S435" s="1" t="n">
        <x:f>MAX(0,Q435-E435-P435)</x:f>
        <x:v>0</x:v>
      </x:c>
      <x:c r="T435" s="1" t="str">
        <x:f>IF(L435=1,MAX(0,I435+AB435-MIN(Q435,E435+P435)),"n.a.")</x:f>
        <x:v>n.a.</x:v>
      </x:c>
      <x:c r="U435" s="9" t="str">
        <x:f>IF(ISNUMBER(T435),T435*G435,"n.a.")</x:f>
        <x:v>n.a.</x:v>
      </x:c>
      <x:c r="V435" s="25" t="n">
        <x:f>IF(Dashboard!$I$6="Flat %",1,IF(ISNUMBER(H435),1,0))</x:f>
        <x:v>1</x:v>
      </x:c>
      <x:c r="W435" s="9" t="n">
        <x:f>IF(Dashboard!$I$6="Flat %",G435*(1+Dashboard!$L$6),H435)</x:f>
        <x:v>0.021168</x:v>
      </x:c>
      <x:c r="X435" s="9" t="n">
        <x:f>IF(V435=1,R435*(W435-G435),"n.a.")</x:f>
        <x:v>5.9999380428747395</x:v>
      </x:c>
      <x:c r="Y435" s="9" t="n">
        <x:f>IF(V435=1,R435*W435,"n.a.")</x:f>
        <x:v>41.39722571433265</x:v>
      </x:c>
      <x:c r="Z435" s="1" t="str">
        <x:f>IF(ISNUMBER(T435),R435-T435,"n.a.")</x:f>
        <x:v>n.a.</x:v>
      </x:c>
      <x:c r="AA435" s="1" t="str">
        <x:f>'Inventory inputs'!R435</x:f>
        <x:v>Review receipt reconciliation or original PO baseline</x:v>
      </x:c>
      <x:c r="AB435" s="1" t="str">
        <x:f>IF(L435=1,SUMIFS('Incoming POs'!$P$2:$P$305,'Incoming POs'!$A$2:$A$305,A435,'Incoming POs'!$B$2:$B$305,B435,'Incoming POs'!$C$2:$C$305,C435,'Incoming POs'!$G$2:$G$305,"&gt;="&amp;D435,'Incoming POs'!$G$2:$G$305,"&lt;"&amp;Dashboard!$I$5,'Incoming POs'!$Q$2:$Q$305,"&lt;="&amp;('Inventory inputs'!P435/'Inventory inputs'!J435*1.01)),"n.a.")</x:f>
        <x:v>n.a.</x:v>
      </x:c>
      <x:c r="AC435" s="9" t="n">
        <x:f>I435*G435</x:f>
        <x:v>0</x:v>
      </x:c>
      <x:c r="AD435" s="9" t="n">
        <x:f>J435*G435</x:f>
        <x:v>0</x:v>
      </x:c>
      <x:c r="AE435" s="9" t="n">
        <x:f>K435*G435</x:f>
        <x:v>36.2</x:v>
      </x:c>
      <x:c r="AF435" s="9" t="n">
        <x:f>R435*G435</x:f>
        <x:v>35.39728767145791</x:v>
      </x:c>
    </x:row>
    <x:row r="436" ht="21" customHeight="1">
      <x:c r="A436" s="1" t="str">
        <x:f>'Inventory inputs'!A436</x:f>
        <x:v>PLAS</x:v>
      </x:c>
      <x:c r="B436" s="1" t="str">
        <x:f>'Inventory inputs'!B436</x:f>
        <x:v>60</x:v>
      </x:c>
      <x:c r="C436" s="1" t="str">
        <x:f>'Inventory inputs'!C436</x:f>
        <x:v>05819RWBBLU</x:v>
      </x:c>
      <x:c r="D436" s="7" t="n">
        <x:f>'Inventory inputs'!E436</x:f>
        <x:v>46303</x:v>
      </x:c>
      <x:c r="E436" s="1" t="n">
        <x:f>'Inventory inputs'!F436</x:f>
        <x:v>600</x:v>
      </x:c>
      <x:c r="F436" s="1" t="n">
        <x:f>'Inventory inputs'!G436</x:f>
        <x:v>33.33</x:v>
      </x:c>
      <x:c r="G436" s="1" t="n">
        <x:f>'Inventory inputs'!H436/'Inventory inputs'!J436</x:f>
        <x:v>0.045599999999999995</x:v>
      </x:c>
      <x:c r="H436" s="1" t="n">
        <x:f>IF('Inventory inputs'!I436&gt;0,'Inventory inputs'!I436*'Inventory inputs'!K436/'Inventory inputs'!J436,"n.a.")</x:f>
        <x:v>0.053361</x:v>
      </x:c>
      <x:c r="I436" s="1" t="n">
        <x:f>'Inventory inputs'!L436</x:f>
        <x:v>0</x:v>
      </x:c>
      <x:c r="J436" s="1" t="n">
        <x:f>'Inventory inputs'!M436</x:f>
        <x:v>0</x:v>
      </x:c>
      <x:c r="K436" s="1" t="n">
        <x:f>'Inventory inputs'!N436</x:f>
        <x:v>600</x:v>
      </x:c>
      <x:c r="L436" s="1" t="n">
        <x:f>'Inventory inputs'!O436</x:f>
        <x:v>0</x:v>
      </x:c>
      <x:c r="M436" s="9" t="n">
        <x:f>E436*G436</x:f>
        <x:v>27.359999999999996</x:v>
      </x:c>
      <x:c r="N436" s="9" t="n">
        <x:f>'Inventory inputs'!Q436</x:f>
        <x:v>27.359999999999996</x:v>
      </x:c>
      <x:c r="O436" s="9" t="n">
        <x:f>N436-M436</x:f>
        <x:v>0</x:v>
      </x:c>
      <x:c r="P436" s="1" t="n">
        <x:f>SUMIFS('Incoming POs'!$P$2:$P$305,'Incoming POs'!$A$2:$A$305,A436,'Incoming POs'!$B$2:$B$305,B436,'Incoming POs'!$C$2:$C$305,C436,'Incoming POs'!$G$2:$G$305,"&gt;="&amp;D436,'Incoming POs'!$G$2:$G$305,"&lt;"&amp;Dashboard!$I$5)</x:f>
        <x:v>0</x:v>
      </x:c>
      <x:c r="Q436" s="1" t="n">
        <x:f>F436*Dashboard!$L$5*MAX(0,Dashboard!$I$5-D436)/30.4375</x:f>
        <x:v>44.34874743326489</x:v>
      </x:c>
      <x:c r="R436" s="1" t="n">
        <x:f>MAX(0,E436+P436-Q436)</x:f>
        <x:v>555.6512525667351</x:v>
      </x:c>
      <x:c r="S436" s="1" t="n">
        <x:f>MAX(0,Q436-E436-P436)</x:f>
        <x:v>0</x:v>
      </x:c>
      <x:c r="T436" s="1" t="str">
        <x:f>IF(L436=1,MAX(0,I436+AB436-MIN(Q436,E436+P436)),"n.a.")</x:f>
        <x:v>n.a.</x:v>
      </x:c>
      <x:c r="U436" s="9" t="str">
        <x:f>IF(ISNUMBER(T436),T436*G436,"n.a.")</x:f>
        <x:v>n.a.</x:v>
      </x:c>
      <x:c r="V436" s="25" t="n">
        <x:f>IF(Dashboard!$I$6="Flat %",1,IF(ISNUMBER(H436),1,0))</x:f>
        <x:v>1</x:v>
      </x:c>
      <x:c r="W436" s="9" t="n">
        <x:f>IF(Dashboard!$I$6="Flat %",G436*(1+Dashboard!$L$6),H436)</x:f>
        <x:v>0.053361</x:v>
      </x:c>
      <x:c r="X436" s="9" t="n">
        <x:f>IF(V436=1,R436*(W436-G436),"n.a.")</x:f>
        <x:v>4.312409371170434</x:v>
      </x:c>
      <x:c r="Y436" s="9" t="n">
        <x:f>IF(V436=1,R436*W436,"n.a.")</x:f>
        <x:v>29.650106488213552</x:v>
      </x:c>
      <x:c r="Z436" s="1" t="str">
        <x:f>IF(ISNUMBER(T436),R436-T436,"n.a.")</x:f>
        <x:v>n.a.</x:v>
      </x:c>
      <x:c r="AA436" s="1" t="str">
        <x:f>'Inventory inputs'!R436</x:f>
        <x:v>Review receipt reconciliation or original PO baseline</x:v>
      </x:c>
      <x:c r="AB436" s="1" t="str">
        <x:f>IF(L436=1,SUMIFS('Incoming POs'!$P$2:$P$305,'Incoming POs'!$A$2:$A$305,A436,'Incoming POs'!$B$2:$B$305,B436,'Incoming POs'!$C$2:$C$305,C436,'Incoming POs'!$G$2:$G$305,"&gt;="&amp;D436,'Incoming POs'!$G$2:$G$305,"&lt;"&amp;Dashboard!$I$5,'Incoming POs'!$Q$2:$Q$305,"&lt;="&amp;('Inventory inputs'!P436/'Inventory inputs'!J436*1.01)),"n.a.")</x:f>
        <x:v>n.a.</x:v>
      </x:c>
      <x:c r="AC436" s="9" t="n">
        <x:f>I436*G436</x:f>
        <x:v>0</x:v>
      </x:c>
      <x:c r="AD436" s="9" t="n">
        <x:f>J436*G436</x:f>
        <x:v>0</x:v>
      </x:c>
      <x:c r="AE436" s="9" t="n">
        <x:f>K436*G436</x:f>
        <x:v>27.359999999999996</x:v>
      </x:c>
      <x:c r="AF436" s="9" t="n">
        <x:f>R436*G436</x:f>
        <x:v>25.33769711704312</x:v>
      </x:c>
    </x:row>
    <x:row r="437" ht="21" customHeight="1">
      <x:c r="A437" s="1" t="str">
        <x:f>'Inventory inputs'!A437</x:f>
        <x:v>PLAS</x:v>
      </x:c>
      <x:c r="B437" s="1" t="str">
        <x:f>'Inventory inputs'!B437</x:f>
        <x:v>60</x:v>
      </x:c>
      <x:c r="C437" s="1" t="str">
        <x:f>'Inventory inputs'!C437</x:f>
        <x:v>07819RWBBLU</x:v>
      </x:c>
      <x:c r="D437" s="7" t="n">
        <x:f>'Inventory inputs'!E437</x:f>
        <x:v>46303</x:v>
      </x:c>
      <x:c r="E437" s="1" t="n">
        <x:f>'Inventory inputs'!F437</x:f>
        <x:v>1100</x:v>
      </x:c>
      <x:c r="F437" s="1" t="n">
        <x:f>'Inventory inputs'!G437</x:f>
        <x:v>33.33</x:v>
      </x:c>
      <x:c r="G437" s="1" t="n">
        <x:f>'Inventory inputs'!H437/'Inventory inputs'!J437</x:f>
        <x:v>0.0797</x:v>
      </x:c>
      <x:c r="H437" s="1" t="n">
        <x:f>IF('Inventory inputs'!I437&gt;0,'Inventory inputs'!I437*'Inventory inputs'!K437/'Inventory inputs'!J437,"n.a.")</x:f>
        <x:v>0.09319799999999999</x:v>
      </x:c>
      <x:c r="I437" s="1" t="n">
        <x:f>'Inventory inputs'!L437</x:f>
        <x:v>0</x:v>
      </x:c>
      <x:c r="J437" s="1" t="n">
        <x:f>'Inventory inputs'!M437</x:f>
        <x:v>0</x:v>
      </x:c>
      <x:c r="K437" s="1" t="n">
        <x:f>'Inventory inputs'!N437</x:f>
        <x:v>1100</x:v>
      </x:c>
      <x:c r="L437" s="1" t="n">
        <x:f>'Inventory inputs'!O437</x:f>
        <x:v>0</x:v>
      </x:c>
      <x:c r="M437" s="9" t="n">
        <x:f>E437*G437</x:f>
        <x:v>87.66999999999999</x:v>
      </x:c>
      <x:c r="N437" s="9" t="n">
        <x:f>'Inventory inputs'!Q437</x:f>
        <x:v>87.67</x:v>
      </x:c>
      <x:c r="O437" s="9" t="n">
        <x:f>N437-M437</x:f>
        <x:v>1.4210854715202004e-14</x:v>
      </x:c>
      <x:c r="P437" s="1" t="n">
        <x:f>SUMIFS('Incoming POs'!$P$2:$P$305,'Incoming POs'!$A$2:$A$305,A437,'Incoming POs'!$B$2:$B$305,B437,'Incoming POs'!$C$2:$C$305,C437,'Incoming POs'!$G$2:$G$305,"&gt;="&amp;D437,'Incoming POs'!$G$2:$G$305,"&lt;"&amp;Dashboard!$I$5)</x:f>
        <x:v>0</x:v>
      </x:c>
      <x:c r="Q437" s="1" t="n">
        <x:f>F437*Dashboard!$L$5*MAX(0,Dashboard!$I$5-D437)/30.4375</x:f>
        <x:v>44.34874743326489</x:v>
      </x:c>
      <x:c r="R437" s="1" t="n">
        <x:f>MAX(0,E437+P437-Q437)</x:f>
        <x:v>1055.6512525667351</x:v>
      </x:c>
      <x:c r="S437" s="1" t="n">
        <x:f>MAX(0,Q437-E437-P437)</x:f>
        <x:v>0</x:v>
      </x:c>
      <x:c r="T437" s="1" t="str">
        <x:f>IF(L437=1,MAX(0,I437+AB437-MIN(Q437,E437+P437)),"n.a.")</x:f>
        <x:v>n.a.</x:v>
      </x:c>
      <x:c r="U437" s="9" t="str">
        <x:f>IF(ISNUMBER(T437),T437*G437,"n.a.")</x:f>
        <x:v>n.a.</x:v>
      </x:c>
      <x:c r="V437" s="25" t="n">
        <x:f>IF(Dashboard!$I$6="Flat %",1,IF(ISNUMBER(H437),1,0))</x:f>
        <x:v>1</x:v>
      </x:c>
      <x:c r="W437" s="9" t="n">
        <x:f>IF(Dashboard!$I$6="Flat %",G437*(1+Dashboard!$L$6),H437)</x:f>
        <x:v>0.09319799999999999</x:v>
      </x:c>
      <x:c r="X437" s="9" t="n">
        <x:f>IF(V437=1,R437*(W437-G437),"n.a.")</x:f>
        <x:v>14.249180607145787</x:v>
      </x:c>
      <x:c r="Y437" s="9" t="n">
        <x:f>IF(V437=1,R437*W437,"n.a.")</x:f>
        <x:v>98.38458543671457</x:v>
      </x:c>
      <x:c r="Z437" s="1" t="str">
        <x:f>IF(ISNUMBER(T437),R437-T437,"n.a.")</x:f>
        <x:v>n.a.</x:v>
      </x:c>
      <x:c r="AA437" s="1" t="str">
        <x:f>'Inventory inputs'!R437</x:f>
        <x:v>Review receipt reconciliation or original PO baseline</x:v>
      </x:c>
      <x:c r="AB437" s="1" t="str">
        <x:f>IF(L437=1,SUMIFS('Incoming POs'!$P$2:$P$305,'Incoming POs'!$A$2:$A$305,A437,'Incoming POs'!$B$2:$B$305,B437,'Incoming POs'!$C$2:$C$305,C437,'Incoming POs'!$G$2:$G$305,"&gt;="&amp;D437,'Incoming POs'!$G$2:$G$305,"&lt;"&amp;Dashboard!$I$5,'Incoming POs'!$Q$2:$Q$305,"&lt;="&amp;('Inventory inputs'!P437/'Inventory inputs'!J437*1.01)),"n.a.")</x:f>
        <x:v>n.a.</x:v>
      </x:c>
      <x:c r="AC437" s="9" t="n">
        <x:f>I437*G437</x:f>
        <x:v>0</x:v>
      </x:c>
      <x:c r="AD437" s="9" t="n">
        <x:f>J437*G437</x:f>
        <x:v>0</x:v>
      </x:c>
      <x:c r="AE437" s="9" t="n">
        <x:f>K437*G437</x:f>
        <x:v>87.66999999999999</x:v>
      </x:c>
      <x:c r="AF437" s="9" t="n">
        <x:f>R437*G437</x:f>
        <x:v>84.13540482956878</x:v>
      </x:c>
    </x:row>
    <x:row r="438" ht="21" customHeight="1">
      <x:c r="A438" s="1" t="str">
        <x:f>'Inventory inputs'!A438</x:f>
        <x:v>PLAS</x:v>
      </x:c>
      <x:c r="B438" s="1" t="str">
        <x:f>'Inventory inputs'!B438</x:f>
        <x:v>60</x:v>
      </x:c>
      <x:c r="C438" s="1" t="str">
        <x:f>'Inventory inputs'!C438</x:f>
        <x:v>11419RSLNAV</x:v>
      </x:c>
      <x:c r="D438" s="7" t="n">
        <x:f>'Inventory inputs'!E438</x:f>
        <x:v>46303</x:v>
      </x:c>
      <x:c r="E438" s="1" t="n">
        <x:f>'Inventory inputs'!F438</x:f>
        <x:v>50</x:v>
      </x:c>
      <x:c r="F438" s="1" t="n">
        <x:f>'Inventory inputs'!G438</x:f>
        <x:v>33.33</x:v>
      </x:c>
      <x:c r="G438" s="1" t="n">
        <x:f>'Inventory inputs'!H438/'Inventory inputs'!J438</x:f>
        <x:v>0.111</x:v>
      </x:c>
      <x:c r="H438" s="1" t="n">
        <x:f>IF('Inventory inputs'!I438&gt;0,'Inventory inputs'!I438*'Inventory inputs'!K438/'Inventory inputs'!J438,"n.a.")</x:f>
        <x:v>0.129801</x:v>
      </x:c>
      <x:c r="I438" s="1" t="n">
        <x:f>'Inventory inputs'!L438</x:f>
        <x:v>0</x:v>
      </x:c>
      <x:c r="J438" s="1" t="n">
        <x:f>'Inventory inputs'!M438</x:f>
        <x:v>0</x:v>
      </x:c>
      <x:c r="K438" s="1" t="n">
        <x:f>'Inventory inputs'!N438</x:f>
        <x:v>50</x:v>
      </x:c>
      <x:c r="L438" s="1" t="n">
        <x:f>'Inventory inputs'!O438</x:f>
        <x:v>0</x:v>
      </x:c>
      <x:c r="M438" s="9" t="n">
        <x:f>E438*G438</x:f>
        <x:v>5.55</x:v>
      </x:c>
      <x:c r="N438" s="9" t="n">
        <x:f>'Inventory inputs'!Q438</x:f>
        <x:v>5.55</x:v>
      </x:c>
      <x:c r="O438" s="9" t="n">
        <x:f>N438-M438</x:f>
        <x:v>0</x:v>
      </x:c>
      <x:c r="P438" s="1" t="n">
        <x:f>SUMIFS('Incoming POs'!$P$2:$P$305,'Incoming POs'!$A$2:$A$305,A438,'Incoming POs'!$B$2:$B$305,B438,'Incoming POs'!$C$2:$C$305,C438,'Incoming POs'!$G$2:$G$305,"&gt;="&amp;D438,'Incoming POs'!$G$2:$G$305,"&lt;"&amp;Dashboard!$I$5)</x:f>
        <x:v>0</x:v>
      </x:c>
      <x:c r="Q438" s="1" t="n">
        <x:f>F438*Dashboard!$L$5*MAX(0,Dashboard!$I$5-D438)/30.4375</x:f>
        <x:v>44.34874743326489</x:v>
      </x:c>
      <x:c r="R438" s="1" t="n">
        <x:f>MAX(0,E438+P438-Q438)</x:f>
        <x:v>5.65125256673511</x:v>
      </x:c>
      <x:c r="S438" s="1" t="n">
        <x:f>MAX(0,Q438-E438-P438)</x:f>
        <x:v>0</x:v>
      </x:c>
      <x:c r="T438" s="1" t="str">
        <x:f>IF(L438=1,MAX(0,I438+AB438-MIN(Q438,E438+P438)),"n.a.")</x:f>
        <x:v>n.a.</x:v>
      </x:c>
      <x:c r="U438" s="9" t="str">
        <x:f>IF(ISNUMBER(T438),T438*G438,"n.a.")</x:f>
        <x:v>n.a.</x:v>
      </x:c>
      <x:c r="V438" s="25" t="n">
        <x:f>IF(Dashboard!$I$6="Flat %",1,IF(ISNUMBER(H438),1,0))</x:f>
        <x:v>1</x:v>
      </x:c>
      <x:c r="W438" s="9" t="n">
        <x:f>IF(Dashboard!$I$6="Flat %",G438*(1+Dashboard!$L$6),H438)</x:f>
        <x:v>0.129801</x:v>
      </x:c>
      <x:c r="X438" s="9" t="n">
        <x:f>IF(V438=1,R438*(W438-G438),"n.a.")</x:f>
        <x:v>0.1062491995071868</x:v>
      </x:c>
      <x:c r="Y438" s="9" t="n">
        <x:f>IF(V438=1,R438*W438,"n.a.")</x:f>
        <x:v>0.733538234414784</x:v>
      </x:c>
      <x:c r="Z438" s="1" t="str">
        <x:f>IF(ISNUMBER(T438),R438-T438,"n.a.")</x:f>
        <x:v>n.a.</x:v>
      </x:c>
      <x:c r="AA438" s="1" t="str">
        <x:f>'Inventory inputs'!R438</x:f>
        <x:v>Review receipt reconciliation or original PO baseline</x:v>
      </x:c>
      <x:c r="AB438" s="1" t="str">
        <x:f>IF(L438=1,SUMIFS('Incoming POs'!$P$2:$P$305,'Incoming POs'!$A$2:$A$305,A438,'Incoming POs'!$B$2:$B$305,B438,'Incoming POs'!$C$2:$C$305,C438,'Incoming POs'!$G$2:$G$305,"&gt;="&amp;D438,'Incoming POs'!$G$2:$G$305,"&lt;"&amp;Dashboard!$I$5,'Incoming POs'!$Q$2:$Q$305,"&lt;="&amp;('Inventory inputs'!P438/'Inventory inputs'!J438*1.01)),"n.a.")</x:f>
        <x:v>n.a.</x:v>
      </x:c>
      <x:c r="AC438" s="9" t="n">
        <x:f>I438*G438</x:f>
        <x:v>0</x:v>
      </x:c>
      <x:c r="AD438" s="9" t="n">
        <x:f>J438*G438</x:f>
        <x:v>0</x:v>
      </x:c>
      <x:c r="AE438" s="9" t="n">
        <x:f>K438*G438</x:f>
        <x:v>5.55</x:v>
      </x:c>
      <x:c r="AF438" s="9" t="n">
        <x:f>R438*G438</x:f>
        <x:v>0.6272890349075972</x:v>
      </x:c>
    </x:row>
    <x:row r="439" ht="21" customHeight="1">
      <x:c r="A439" s="1" t="str">
        <x:f>'Inventory inputs'!A439</x:f>
        <x:v>PLAS</x:v>
      </x:c>
      <x:c r="B439" s="1" t="str">
        <x:f>'Inventory inputs'!B439</x:f>
        <x:v>60</x:v>
      </x:c>
      <x:c r="C439" s="1" t="str">
        <x:f>'Inventory inputs'!C439</x:f>
        <x:v>51619RWBCLR</x:v>
      </x:c>
      <x:c r="D439" s="7" t="n">
        <x:f>'Inventory inputs'!E439</x:f>
        <x:v>46303</x:v>
      </x:c>
      <x:c r="E439" s="1" t="n">
        <x:f>'Inventory inputs'!F439</x:f>
        <x:v>1400</x:v>
      </x:c>
      <x:c r="F439" s="1" t="n">
        <x:f>'Inventory inputs'!G439</x:f>
        <x:v>33.33</x:v>
      </x:c>
      <x:c r="G439" s="1" t="n">
        <x:f>'Inventory inputs'!H439/'Inventory inputs'!J439</x:f>
        <x:v>0.0216</x:v>
      </x:c>
      <x:c r="H439" s="1" t="n">
        <x:f>IF('Inventory inputs'!I439&gt;0,'Inventory inputs'!I439*'Inventory inputs'!K439/'Inventory inputs'!J439,"n.a.")</x:f>
        <x:v>0.025284</x:v>
      </x:c>
      <x:c r="I439" s="1" t="n">
        <x:f>'Inventory inputs'!L439</x:f>
        <x:v>0</x:v>
      </x:c>
      <x:c r="J439" s="1" t="n">
        <x:f>'Inventory inputs'!M439</x:f>
        <x:v>0</x:v>
      </x:c>
      <x:c r="K439" s="1" t="n">
        <x:f>'Inventory inputs'!N439</x:f>
        <x:v>1400</x:v>
      </x:c>
      <x:c r="L439" s="1" t="n">
        <x:f>'Inventory inputs'!O439</x:f>
        <x:v>0</x:v>
      </x:c>
      <x:c r="M439" s="9" t="n">
        <x:f>E439*G439</x:f>
        <x:v>30.240000000000002</x:v>
      </x:c>
      <x:c r="N439" s="9" t="n">
        <x:f>'Inventory inputs'!Q439</x:f>
        <x:v>30.240000000000002</x:v>
      </x:c>
      <x:c r="O439" s="9" t="n">
        <x:f>N439-M439</x:f>
        <x:v>0</x:v>
      </x:c>
      <x:c r="P439" s="1" t="n">
        <x:f>SUMIFS('Incoming POs'!$P$2:$P$305,'Incoming POs'!$A$2:$A$305,A439,'Incoming POs'!$B$2:$B$305,B439,'Incoming POs'!$C$2:$C$305,C439,'Incoming POs'!$G$2:$G$305,"&gt;="&amp;D439,'Incoming POs'!$G$2:$G$305,"&lt;"&amp;Dashboard!$I$5)</x:f>
        <x:v>0</x:v>
      </x:c>
      <x:c r="Q439" s="1" t="n">
        <x:f>F439*Dashboard!$L$5*MAX(0,Dashboard!$I$5-D439)/30.4375</x:f>
        <x:v>44.34874743326489</x:v>
      </x:c>
      <x:c r="R439" s="1" t="n">
        <x:f>MAX(0,E439+P439-Q439)</x:f>
        <x:v>1355.6512525667351</x:v>
      </x:c>
      <x:c r="S439" s="1" t="n">
        <x:f>MAX(0,Q439-E439-P439)</x:f>
        <x:v>0</x:v>
      </x:c>
      <x:c r="T439" s="1" t="str">
        <x:f>IF(L439=1,MAX(0,I439+AB439-MIN(Q439,E439+P439)),"n.a.")</x:f>
        <x:v>n.a.</x:v>
      </x:c>
      <x:c r="U439" s="9" t="str">
        <x:f>IF(ISNUMBER(T439),T439*G439,"n.a.")</x:f>
        <x:v>n.a.</x:v>
      </x:c>
      <x:c r="V439" s="25" t="n">
        <x:f>IF(Dashboard!$I$6="Flat %",1,IF(ISNUMBER(H439),1,0))</x:f>
        <x:v>1</x:v>
      </x:c>
      <x:c r="W439" s="9" t="n">
        <x:f>IF(Dashboard!$I$6="Flat %",G439*(1+Dashboard!$L$6),H439)</x:f>
        <x:v>0.025284</x:v>
      </x:c>
      <x:c r="X439" s="9" t="n">
        <x:f>IF(V439=1,R439*(W439-G439),"n.a.")</x:f>
        <x:v>4.994219214455852</x:v>
      </x:c>
      <x:c r="Y439" s="9" t="n">
        <x:f>IF(V439=1,R439*W439,"n.a.")</x:f>
        <x:v>34.276286269897334</x:v>
      </x:c>
      <x:c r="Z439" s="1" t="str">
        <x:f>IF(ISNUMBER(T439),R439-T439,"n.a.")</x:f>
        <x:v>n.a.</x:v>
      </x:c>
      <x:c r="AA439" s="1" t="str">
        <x:f>'Inventory inputs'!R439</x:f>
        <x:v>Review receipt reconciliation or original PO baseline</x:v>
      </x:c>
      <x:c r="AB439" s="1" t="str">
        <x:f>IF(L439=1,SUMIFS('Incoming POs'!$P$2:$P$305,'Incoming POs'!$A$2:$A$305,A439,'Incoming POs'!$B$2:$B$305,B439,'Incoming POs'!$C$2:$C$305,C439,'Incoming POs'!$G$2:$G$305,"&gt;="&amp;D439,'Incoming POs'!$G$2:$G$305,"&lt;"&amp;Dashboard!$I$5,'Incoming POs'!$Q$2:$Q$305,"&lt;="&amp;('Inventory inputs'!P439/'Inventory inputs'!J439*1.01)),"n.a.")</x:f>
        <x:v>n.a.</x:v>
      </x:c>
      <x:c r="AC439" s="9" t="n">
        <x:f>I439*G439</x:f>
        <x:v>0</x:v>
      </x:c>
      <x:c r="AD439" s="9" t="n">
        <x:f>J439*G439</x:f>
        <x:v>0</x:v>
      </x:c>
      <x:c r="AE439" s="9" t="n">
        <x:f>K439*G439</x:f>
        <x:v>30.240000000000002</x:v>
      </x:c>
      <x:c r="AF439" s="9" t="n">
        <x:f>R439*G439</x:f>
        <x:v>29.28206705544148</x:v>
      </x:c>
    </x:row>
    <x:row r="440" ht="21" customHeight="1">
      <x:c r="A440" s="1" t="str">
        <x:f>'Inventory inputs'!A440</x:f>
        <x:v>PLAS</x:v>
      </x:c>
      <x:c r="B440" s="1" t="str">
        <x:f>'Inventory inputs'!B440</x:f>
        <x:v>60</x:v>
      </x:c>
      <x:c r="C440" s="1" t="str">
        <x:f>'Inventory inputs'!C440</x:f>
        <x:v>51619RWBFG</x:v>
      </x:c>
      <x:c r="D440" s="7" t="n">
        <x:f>'Inventory inputs'!E440</x:f>
        <x:v>46303</x:v>
      </x:c>
      <x:c r="E440" s="1" t="n">
        <x:f>'Inventory inputs'!F440</x:f>
        <x:v>1400</x:v>
      </x:c>
      <x:c r="F440" s="1" t="n">
        <x:f>'Inventory inputs'!G440</x:f>
        <x:v>33.33</x:v>
      </x:c>
      <x:c r="G440" s="1" t="n">
        <x:f>'Inventory inputs'!H440/'Inventory inputs'!J440</x:f>
        <x:v>0.0216</x:v>
      </x:c>
      <x:c r="H440" s="1" t="n">
        <x:f>IF('Inventory inputs'!I440&gt;0,'Inventory inputs'!I440*'Inventory inputs'!K440/'Inventory inputs'!J440,"n.a.")</x:f>
        <x:v>0.025284</x:v>
      </x:c>
      <x:c r="I440" s="1" t="n">
        <x:f>'Inventory inputs'!L440</x:f>
        <x:v>0</x:v>
      </x:c>
      <x:c r="J440" s="1" t="n">
        <x:f>'Inventory inputs'!M440</x:f>
        <x:v>0</x:v>
      </x:c>
      <x:c r="K440" s="1" t="n">
        <x:f>'Inventory inputs'!N440</x:f>
        <x:v>1400</x:v>
      </x:c>
      <x:c r="L440" s="1" t="n">
        <x:f>'Inventory inputs'!O440</x:f>
        <x:v>0</x:v>
      </x:c>
      <x:c r="M440" s="9" t="n">
        <x:f>E440*G440</x:f>
        <x:v>30.240000000000002</x:v>
      </x:c>
      <x:c r="N440" s="9" t="n">
        <x:f>'Inventory inputs'!Q440</x:f>
        <x:v>30.240000000000002</x:v>
      </x:c>
      <x:c r="O440" s="9" t="n">
        <x:f>N440-M440</x:f>
        <x:v>0</x:v>
      </x:c>
      <x:c r="P440" s="1" t="n">
        <x:f>SUMIFS('Incoming POs'!$P$2:$P$305,'Incoming POs'!$A$2:$A$305,A440,'Incoming POs'!$B$2:$B$305,B440,'Incoming POs'!$C$2:$C$305,C440,'Incoming POs'!$G$2:$G$305,"&gt;="&amp;D440,'Incoming POs'!$G$2:$G$305,"&lt;"&amp;Dashboard!$I$5)</x:f>
        <x:v>0</x:v>
      </x:c>
      <x:c r="Q440" s="1" t="n">
        <x:f>F440*Dashboard!$L$5*MAX(0,Dashboard!$I$5-D440)/30.4375</x:f>
        <x:v>44.34874743326489</x:v>
      </x:c>
      <x:c r="R440" s="1" t="n">
        <x:f>MAX(0,E440+P440-Q440)</x:f>
        <x:v>1355.6512525667351</x:v>
      </x:c>
      <x:c r="S440" s="1" t="n">
        <x:f>MAX(0,Q440-E440-P440)</x:f>
        <x:v>0</x:v>
      </x:c>
      <x:c r="T440" s="1" t="str">
        <x:f>IF(L440=1,MAX(0,I440+AB440-MIN(Q440,E440+P440)),"n.a.")</x:f>
        <x:v>n.a.</x:v>
      </x:c>
      <x:c r="U440" s="9" t="str">
        <x:f>IF(ISNUMBER(T440),T440*G440,"n.a.")</x:f>
        <x:v>n.a.</x:v>
      </x:c>
      <x:c r="V440" s="25" t="n">
        <x:f>IF(Dashboard!$I$6="Flat %",1,IF(ISNUMBER(H440),1,0))</x:f>
        <x:v>1</x:v>
      </x:c>
      <x:c r="W440" s="9" t="n">
        <x:f>IF(Dashboard!$I$6="Flat %",G440*(1+Dashboard!$L$6),H440)</x:f>
        <x:v>0.025284</x:v>
      </x:c>
      <x:c r="X440" s="9" t="n">
        <x:f>IF(V440=1,R440*(W440-G440),"n.a.")</x:f>
        <x:v>4.994219214455852</x:v>
      </x:c>
      <x:c r="Y440" s="9" t="n">
        <x:f>IF(V440=1,R440*W440,"n.a.")</x:f>
        <x:v>34.276286269897334</x:v>
      </x:c>
      <x:c r="Z440" s="1" t="str">
        <x:f>IF(ISNUMBER(T440),R440-T440,"n.a.")</x:f>
        <x:v>n.a.</x:v>
      </x:c>
      <x:c r="AA440" s="1" t="str">
        <x:f>'Inventory inputs'!R440</x:f>
        <x:v>Review receipt reconciliation or original PO baseline</x:v>
      </x:c>
      <x:c r="AB440" s="1" t="str">
        <x:f>IF(L440=1,SUMIFS('Incoming POs'!$P$2:$P$305,'Incoming POs'!$A$2:$A$305,A440,'Incoming POs'!$B$2:$B$305,B440,'Incoming POs'!$C$2:$C$305,C440,'Incoming POs'!$G$2:$G$305,"&gt;="&amp;D440,'Incoming POs'!$G$2:$G$305,"&lt;"&amp;Dashboard!$I$5,'Incoming POs'!$Q$2:$Q$305,"&lt;="&amp;('Inventory inputs'!P440/'Inventory inputs'!J440*1.01)),"n.a.")</x:f>
        <x:v>n.a.</x:v>
      </x:c>
      <x:c r="AC440" s="9" t="n">
        <x:f>I440*G440</x:f>
        <x:v>0</x:v>
      </x:c>
      <x:c r="AD440" s="9" t="n">
        <x:f>J440*G440</x:f>
        <x:v>0</x:v>
      </x:c>
      <x:c r="AE440" s="9" t="n">
        <x:f>K440*G440</x:f>
        <x:v>30.240000000000002</x:v>
      </x:c>
      <x:c r="AF440" s="9" t="n">
        <x:f>R440*G440</x:f>
        <x:v>29.28206705544148</x:v>
      </x:c>
    </x:row>
    <x:row r="441" ht="21" customHeight="1">
      <x:c r="A441" s="1" t="str">
        <x:f>'Inventory inputs'!A441</x:f>
        <x:v>PLAS</x:v>
      </x:c>
      <x:c r="B441" s="1" t="str">
        <x:f>'Inventory inputs'!B441</x:f>
        <x:v>10</x:v>
      </x:c>
      <x:c r="C441" s="1" t="str">
        <x:f>'Inventory inputs'!C441</x:f>
        <x:v>91615RWBWHT</x:v>
      </x:c>
      <x:c r="D441" s="7" t="n">
        <x:f>'Inventory inputs'!E441</x:f>
        <x:v>46303</x:v>
      </x:c>
      <x:c r="E441" s="1" t="n">
        <x:f>'Inventory inputs'!F441</x:f>
        <x:v>12420</x:v>
      </x:c>
      <x:c r="F441" s="1" t="n">
        <x:f>'Inventory inputs'!G441</x:f>
        <x:v>31.67</x:v>
      </x:c>
      <x:c r="G441" s="1" t="n">
        <x:f>'Inventory inputs'!H441/'Inventory inputs'!J441</x:f>
        <x:v>0.0291</x:v>
      </x:c>
      <x:c r="H441" s="1" t="n">
        <x:f>IF('Inventory inputs'!I441&gt;0,'Inventory inputs'!I441*'Inventory inputs'!K441/'Inventory inputs'!J441,"n.a.")</x:f>
        <x:v>0.034103999999999995</x:v>
      </x:c>
      <x:c r="I441" s="1" t="n">
        <x:f>'Inventory inputs'!L441</x:f>
        <x:v>0</x:v>
      </x:c>
      <x:c r="J441" s="1" t="n">
        <x:f>'Inventory inputs'!M441</x:f>
        <x:v>0</x:v>
      </x:c>
      <x:c r="K441" s="1" t="n">
        <x:f>'Inventory inputs'!N441</x:f>
        <x:v>12420</x:v>
      </x:c>
      <x:c r="L441" s="1" t="n">
        <x:f>'Inventory inputs'!O441</x:f>
        <x:v>0</x:v>
      </x:c>
      <x:c r="M441" s="9" t="n">
        <x:f>E441*G441</x:f>
        <x:v>361.422</x:v>
      </x:c>
      <x:c r="N441" s="9" t="n">
        <x:f>'Inventory inputs'!Q441</x:f>
        <x:v>361.422</x:v>
      </x:c>
      <x:c r="O441" s="9" t="n">
        <x:f>N441-M441</x:f>
        <x:v>0</x:v>
      </x:c>
      <x:c r="P441" s="1" t="n">
        <x:f>SUMIFS('Incoming POs'!$P$2:$P$305,'Incoming POs'!$A$2:$A$305,A441,'Incoming POs'!$B$2:$B$305,B441,'Incoming POs'!$C$2:$C$305,C441,'Incoming POs'!$G$2:$G$305,"&gt;="&amp;D441,'Incoming POs'!$G$2:$G$305,"&lt;"&amp;Dashboard!$I$5)</x:f>
        <x:v>0</x:v>
      </x:c>
      <x:c r="Q441" s="1" t="n">
        <x:f>F441*Dashboard!$L$5*MAX(0,Dashboard!$I$5-D441)/30.4375</x:f>
        <x:v>42.139958932238194</x:v>
      </x:c>
      <x:c r="R441" s="1" t="n">
        <x:f>MAX(0,E441+P441-Q441)</x:f>
        <x:v>12377.86004106776</x:v>
      </x:c>
      <x:c r="S441" s="1" t="n">
        <x:f>MAX(0,Q441-E441-P441)</x:f>
        <x:v>0</x:v>
      </x:c>
      <x:c r="T441" s="1" t="str">
        <x:f>IF(L441=1,MAX(0,I441+AB441-MIN(Q441,E441+P441)),"n.a.")</x:f>
        <x:v>n.a.</x:v>
      </x:c>
      <x:c r="U441" s="9" t="str">
        <x:f>IF(ISNUMBER(T441),T441*G441,"n.a.")</x:f>
        <x:v>n.a.</x:v>
      </x:c>
      <x:c r="V441" s="25" t="n">
        <x:f>IF(Dashboard!$I$6="Flat %",1,IF(ISNUMBER(H441),1,0))</x:f>
        <x:v>1</x:v>
      </x:c>
      <x:c r="W441" s="9" t="n">
        <x:f>IF(Dashboard!$I$6="Flat %",G441*(1+Dashboard!$L$6),H441)</x:f>
        <x:v>0.034103999999999995</x:v>
      </x:c>
      <x:c r="X441" s="9" t="n">
        <x:f>IF(V441=1,R441*(W441-G441),"n.a.")</x:f>
        <x:v>61.93881164550301</x:v>
      </x:c>
      <x:c r="Y441" s="9" t="n">
        <x:f>IF(V441=1,R441*W441,"n.a.")</x:f>
        <x:v>422.13453884057486</x:v>
      </x:c>
      <x:c r="Z441" s="1" t="str">
        <x:f>IF(ISNUMBER(T441),R441-T441,"n.a.")</x:f>
        <x:v>n.a.</x:v>
      </x:c>
      <x:c r="AA441" s="1" t="str">
        <x:f>'Inventory inputs'!R441</x:f>
        <x:v>Review receipt reconciliation or original PO baseline</x:v>
      </x:c>
      <x:c r="AB441" s="1" t="str">
        <x:f>IF(L441=1,SUMIFS('Incoming POs'!$P$2:$P$305,'Incoming POs'!$A$2:$A$305,A441,'Incoming POs'!$B$2:$B$305,B441,'Incoming POs'!$C$2:$C$305,C441,'Incoming POs'!$G$2:$G$305,"&gt;="&amp;D441,'Incoming POs'!$G$2:$G$305,"&lt;"&amp;Dashboard!$I$5,'Incoming POs'!$Q$2:$Q$305,"&lt;="&amp;('Inventory inputs'!P441/'Inventory inputs'!J441*1.01)),"n.a.")</x:f>
        <x:v>n.a.</x:v>
      </x:c>
      <x:c r="AC441" s="9" t="n">
        <x:f>I441*G441</x:f>
        <x:v>0</x:v>
      </x:c>
      <x:c r="AD441" s="9" t="n">
        <x:f>J441*G441</x:f>
        <x:v>0</x:v>
      </x:c>
      <x:c r="AE441" s="9" t="n">
        <x:f>K441*G441</x:f>
        <x:v>361.422</x:v>
      </x:c>
      <x:c r="AF441" s="9" t="n">
        <x:f>R441*G441</x:f>
        <x:v>360.19572719507187</x:v>
      </x:c>
    </x:row>
    <x:row r="442" ht="21" customHeight="1">
      <x:c r="A442" s="1" t="str">
        <x:f>'Inventory inputs'!A442</x:f>
        <x:v>PLAS</x:v>
      </x:c>
      <x:c r="B442" s="1" t="str">
        <x:f>'Inventory inputs'!B442</x:f>
        <x:v>10</x:v>
      </x:c>
      <x:c r="C442" s="1" t="str">
        <x:f>'Inventory inputs'!C442</x:f>
        <x:v>00219RSLCLR</x:v>
      </x:c>
      <x:c r="D442" s="7" t="n">
        <x:f>'Inventory inputs'!E442</x:f>
        <x:v>46303</x:v>
      </x:c>
      <x:c r="E442" s="1" t="n">
        <x:f>'Inventory inputs'!F442</x:f>
        <x:v>360</x:v>
      </x:c>
      <x:c r="F442" s="1" t="n">
        <x:f>'Inventory inputs'!G442</x:f>
        <x:v>30.42</x:v>
      </x:c>
      <x:c r="G442" s="1" t="n">
        <x:f>'Inventory inputs'!H442/'Inventory inputs'!J442</x:f>
        <x:v>0.1477</x:v>
      </x:c>
      <x:c r="H442" s="1" t="n">
        <x:f>IF('Inventory inputs'!I442&gt;0,'Inventory inputs'!I442*'Inventory inputs'!K442/'Inventory inputs'!J442,"n.a.")</x:f>
        <x:v>0.172872</x:v>
      </x:c>
      <x:c r="I442" s="1" t="n">
        <x:f>'Inventory inputs'!L442</x:f>
        <x:v>360</x:v>
      </x:c>
      <x:c r="J442" s="1" t="n">
        <x:f>'Inventory inputs'!M442</x:f>
        <x:v>0</x:v>
      </x:c>
      <x:c r="K442" s="1" t="n">
        <x:f>'Inventory inputs'!N442</x:f>
        <x:v>0</x:v>
      </x:c>
      <x:c r="L442" s="1" t="n">
        <x:f>'Inventory inputs'!O442</x:f>
        <x:v>1</x:v>
      </x:c>
      <x:c r="M442" s="9" t="n">
        <x:f>E442*G442</x:f>
        <x:v>53.172</x:v>
      </x:c>
      <x:c r="N442" s="9" t="n">
        <x:f>'Inventory inputs'!Q442</x:f>
        <x:v>53.172</x:v>
      </x:c>
      <x:c r="O442" s="9" t="n">
        <x:f>N442-M442</x:f>
        <x:v>0</x:v>
      </x:c>
      <x:c r="P442" s="1" t="n">
        <x:f>SUMIFS('Incoming POs'!$P$2:$P$305,'Incoming POs'!$A$2:$A$305,A442,'Incoming POs'!$B$2:$B$305,B442,'Incoming POs'!$C$2:$C$305,C442,'Incoming POs'!$G$2:$G$305,"&gt;="&amp;D442,'Incoming POs'!$G$2:$G$305,"&lt;"&amp;Dashboard!$I$5)</x:f>
        <x:v>0</x:v>
      </x:c>
      <x:c r="Q442" s="1" t="n">
        <x:f>F442*Dashboard!$L$5*MAX(0,Dashboard!$I$5-D442)/30.4375</x:f>
        <x:v>40.47671457905544</x:v>
      </x:c>
      <x:c r="R442" s="1" t="n">
        <x:f>MAX(0,E442+P442-Q442)</x:f>
        <x:v>319.52328542094455</x:v>
      </x:c>
      <x:c r="S442" s="1" t="n">
        <x:f>MAX(0,Q442-E442-P442)</x:f>
        <x:v>0</x:v>
      </x:c>
      <x:c r="T442" s="1" t="n">
        <x:f>IF(L442=1,MAX(0,I442+AB442-MIN(Q442,E442+P442)),"n.a.")</x:f>
        <x:v>319.52328542094455</x:v>
      </x:c>
      <x:c r="U442" s="9" t="n">
        <x:f>IF(ISNUMBER(T442),T442*G442,"n.a.")</x:f>
        <x:v>47.19358925667351</x:v>
      </x:c>
      <x:c r="V442" s="25" t="n">
        <x:f>IF(Dashboard!$I$6="Flat %",1,IF(ISNUMBER(H442),1,0))</x:f>
        <x:v>1</x:v>
      </x:c>
      <x:c r="W442" s="9" t="n">
        <x:f>IF(Dashboard!$I$6="Flat %",G442*(1+Dashboard!$L$6),H442)</x:f>
        <x:v>0.172872</x:v>
      </x:c>
      <x:c r="X442" s="9" t="n">
        <x:f>IF(V442=1,R442*(W442-G442),"n.a.")</x:f>
        <x:v>8.043040140616016</x:v>
      </x:c>
      <x:c r="Y442" s="9" t="n">
        <x:f>IF(V442=1,R442*W442,"n.a.")</x:f>
        <x:v>55.236629397289526</x:v>
      </x:c>
      <x:c r="Z442" s="1" t="n">
        <x:f>IF(ISNUMBER(T442),R442-T442,"n.a.")</x:f>
        <x:v>0</x:v>
      </x:c>
      <x:c r="AA442" s="1" t="str">
        <x:f>'Inventory inputs'!R442</x:f>
        <x:v>Classified</x:v>
      </x:c>
      <x:c r="AB442" s="1" t="n">
        <x:f>IF(L442=1,SUMIFS('Incoming POs'!$P$2:$P$305,'Incoming POs'!$A$2:$A$305,A442,'Incoming POs'!$B$2:$B$305,B442,'Incoming POs'!$C$2:$C$305,C442,'Incoming POs'!$G$2:$G$305,"&gt;="&amp;D442,'Incoming POs'!$G$2:$G$305,"&lt;"&amp;Dashboard!$I$5,'Incoming POs'!$Q$2:$Q$305,"&lt;="&amp;('Inventory inputs'!P442/'Inventory inputs'!J442*1.01)),"n.a.")</x:f>
        <x:v>0</x:v>
      </x:c>
      <x:c r="AC442" s="9" t="n">
        <x:f>I442*G442</x:f>
        <x:v>53.172</x:v>
      </x:c>
      <x:c r="AD442" s="9" t="n">
        <x:f>J442*G442</x:f>
        <x:v>0</x:v>
      </x:c>
      <x:c r="AE442" s="9" t="n">
        <x:f>K442*G442</x:f>
        <x:v>0</x:v>
      </x:c>
      <x:c r="AF442" s="9" t="n">
        <x:f>R442*G442</x:f>
        <x:v>47.19358925667351</x:v>
      </x:c>
    </x:row>
    <x:row r="443" ht="21" customHeight="1">
      <x:c r="A443" s="1" t="str">
        <x:f>'Inventory inputs'!A443</x:f>
        <x:v>PLAS</x:v>
      </x:c>
      <x:c r="B443" s="1" t="str">
        <x:f>'Inventory inputs'!B443</x:f>
        <x:v>10</x:v>
      </x:c>
      <x:c r="C443" s="1" t="str">
        <x:f>'Inventory inputs'!C443</x:f>
        <x:v>00219RSLFG</x:v>
      </x:c>
      <x:c r="D443" s="7" t="n">
        <x:f>'Inventory inputs'!E443</x:f>
        <x:v>46303</x:v>
      </x:c>
      <x:c r="E443" s="1" t="n">
        <x:f>'Inventory inputs'!F443</x:f>
        <x:v>880</x:v>
      </x:c>
      <x:c r="F443" s="1" t="n">
        <x:f>'Inventory inputs'!G443</x:f>
        <x:v>30</x:v>
      </x:c>
      <x:c r="G443" s="1" t="n">
        <x:f>'Inventory inputs'!H443/'Inventory inputs'!J443</x:f>
        <x:v>0.1477</x:v>
      </x:c>
      <x:c r="H443" s="1" t="n">
        <x:f>IF('Inventory inputs'!I443&gt;0,'Inventory inputs'!I443*'Inventory inputs'!K443/'Inventory inputs'!J443,"n.a.")</x:f>
        <x:v>0.172872</x:v>
      </x:c>
      <x:c r="I443" s="1" t="n">
        <x:f>'Inventory inputs'!L443</x:f>
        <x:v>0</x:v>
      </x:c>
      <x:c r="J443" s="1" t="n">
        <x:f>'Inventory inputs'!M443</x:f>
        <x:v>0</x:v>
      </x:c>
      <x:c r="K443" s="1" t="n">
        <x:f>'Inventory inputs'!N443</x:f>
        <x:v>880</x:v>
      </x:c>
      <x:c r="L443" s="1" t="n">
        <x:f>'Inventory inputs'!O443</x:f>
        <x:v>0</x:v>
      </x:c>
      <x:c r="M443" s="9" t="n">
        <x:f>E443*G443</x:f>
        <x:v>129.976</x:v>
      </x:c>
      <x:c r="N443" s="9" t="n">
        <x:f>'Inventory inputs'!Q443</x:f>
        <x:v>129.976</x:v>
      </x:c>
      <x:c r="O443" s="9" t="n">
        <x:f>N443-M443</x:f>
        <x:v>0</x:v>
      </x:c>
      <x:c r="P443" s="1" t="n">
        <x:f>SUMIFS('Incoming POs'!$P$2:$P$305,'Incoming POs'!$A$2:$A$305,A443,'Incoming POs'!$B$2:$B$305,B443,'Incoming POs'!$C$2:$C$305,C443,'Incoming POs'!$G$2:$G$305,"&gt;="&amp;D443,'Incoming POs'!$G$2:$G$305,"&lt;"&amp;Dashboard!$I$5)</x:f>
        <x:v>800</x:v>
      </x:c>
      <x:c r="Q443" s="1" t="n">
        <x:f>F443*Dashboard!$L$5*MAX(0,Dashboard!$I$5-D443)/30.4375</x:f>
        <x:v>39.917864476386036</x:v>
      </x:c>
      <x:c r="R443" s="1" t="n">
        <x:f>MAX(0,E443+P443-Q443)</x:f>
        <x:v>1640.082135523614</x:v>
      </x:c>
      <x:c r="S443" s="1" t="n">
        <x:f>MAX(0,Q443-E443-P443)</x:f>
        <x:v>0</x:v>
      </x:c>
      <x:c r="T443" s="1" t="str">
        <x:f>IF(L443=1,MAX(0,I443+AB443-MIN(Q443,E443+P443)),"n.a.")</x:f>
        <x:v>n.a.</x:v>
      </x:c>
      <x:c r="U443" s="9" t="str">
        <x:f>IF(ISNUMBER(T443),T443*G443,"n.a.")</x:f>
        <x:v>n.a.</x:v>
      </x:c>
      <x:c r="V443" s="25" t="n">
        <x:f>IF(Dashboard!$I$6="Flat %",1,IF(ISNUMBER(H443),1,0))</x:f>
        <x:v>1</x:v>
      </x:c>
      <x:c r="W443" s="9" t="n">
        <x:f>IF(Dashboard!$I$6="Flat %",G443*(1+Dashboard!$L$6),H443)</x:f>
        <x:v>0.172872</x:v>
      </x:c>
      <x:c r="X443" s="9" t="n">
        <x:f>IF(V443=1,R443*(W443-G443),"n.a.")</x:f>
        <x:v>41.28414751540041</x:v>
      </x:c>
      <x:c r="Y443" s="9" t="n">
        <x:f>IF(V443=1,R443*W443,"n.a.")</x:f>
        <x:v>283.5242789322382</x:v>
      </x:c>
      <x:c r="Z443" s="1" t="str">
        <x:f>IF(ISNUMBER(T443),R443-T443,"n.a.")</x:f>
        <x:v>n.a.</x:v>
      </x:c>
      <x:c r="AA443" s="1" t="str">
        <x:f>'Inventory inputs'!R443</x:f>
        <x:v>Review receipt reconciliation or original PO baseline</x:v>
      </x:c>
      <x:c r="AB443" s="1" t="str">
        <x:f>IF(L443=1,SUMIFS('Incoming POs'!$P$2:$P$305,'Incoming POs'!$A$2:$A$305,A443,'Incoming POs'!$B$2:$B$305,B443,'Incoming POs'!$C$2:$C$305,C443,'Incoming POs'!$G$2:$G$305,"&gt;="&amp;D443,'Incoming POs'!$G$2:$G$305,"&lt;"&amp;Dashboard!$I$5,'Incoming POs'!$Q$2:$Q$305,"&lt;="&amp;('Inventory inputs'!P443/'Inventory inputs'!J443*1.01)),"n.a.")</x:f>
        <x:v>n.a.</x:v>
      </x:c>
      <x:c r="AC443" s="9" t="n">
        <x:f>I443*G443</x:f>
        <x:v>0</x:v>
      </x:c>
      <x:c r="AD443" s="9" t="n">
        <x:f>J443*G443</x:f>
        <x:v>0</x:v>
      </x:c>
      <x:c r="AE443" s="9" t="n">
        <x:f>K443*G443</x:f>
        <x:v>129.976</x:v>
      </x:c>
      <x:c r="AF443" s="9" t="n">
        <x:f>R443*G443</x:f>
        <x:v>242.24013141683778</x:v>
      </x:c>
    </x:row>
    <x:row r="444" ht="21" customHeight="1">
      <x:c r="A444" s="1" t="str">
        <x:f>'Inventory inputs'!A444</x:f>
        <x:v>PLAS</x:v>
      </x:c>
      <x:c r="B444" s="1" t="str">
        <x:f>'Inventory inputs'!B444</x:f>
        <x:v>10</x:v>
      </x:c>
      <x:c r="C444" s="1" t="str">
        <x:f>'Inventory inputs'!C444</x:f>
        <x:v>03815RWBBLU</x:v>
      </x:c>
      <x:c r="D444" s="7" t="n">
        <x:f>'Inventory inputs'!E444</x:f>
        <x:v>46303</x:v>
      </x:c>
      <x:c r="E444" s="1" t="n">
        <x:f>'Inventory inputs'!F444</x:f>
        <x:v>1700</x:v>
      </x:c>
      <x:c r="F444" s="1" t="n">
        <x:f>'Inventory inputs'!G444</x:f>
        <x:v>25</x:v>
      </x:c>
      <x:c r="G444" s="1" t="n">
        <x:f>'Inventory inputs'!H444/'Inventory inputs'!J444</x:f>
        <x:v>0.0125</x:v>
      </x:c>
      <x:c r="H444" s="1" t="n">
        <x:f>IF('Inventory inputs'!I444&gt;0,'Inventory inputs'!I444*'Inventory inputs'!K444/'Inventory inputs'!J444,"n.a.")</x:f>
        <x:v>0.018963</x:v>
      </x:c>
      <x:c r="I444" s="1" t="n">
        <x:f>'Inventory inputs'!L444</x:f>
        <x:v>0</x:v>
      </x:c>
      <x:c r="J444" s="1" t="n">
        <x:f>'Inventory inputs'!M444</x:f>
        <x:v>0</x:v>
      </x:c>
      <x:c r="K444" s="1" t="n">
        <x:f>'Inventory inputs'!N444</x:f>
        <x:v>1700</x:v>
      </x:c>
      <x:c r="L444" s="1" t="n">
        <x:f>'Inventory inputs'!O444</x:f>
        <x:v>0</x:v>
      </x:c>
      <x:c r="M444" s="9" t="n">
        <x:f>E444*G444</x:f>
        <x:v>21.25</x:v>
      </x:c>
      <x:c r="N444" s="9" t="n">
        <x:f>'Inventory inputs'!Q444</x:f>
        <x:v>21.25</x:v>
      </x:c>
      <x:c r="O444" s="9" t="n">
        <x:f>N444-M444</x:f>
        <x:v>0</x:v>
      </x:c>
      <x:c r="P444" s="1" t="n">
        <x:f>SUMIFS('Incoming POs'!$P$2:$P$305,'Incoming POs'!$A$2:$A$305,A444,'Incoming POs'!$B$2:$B$305,B444,'Incoming POs'!$C$2:$C$305,C444,'Incoming POs'!$G$2:$G$305,"&gt;="&amp;D444,'Incoming POs'!$G$2:$G$305,"&lt;"&amp;Dashboard!$I$5)</x:f>
        <x:v>0</x:v>
      </x:c>
      <x:c r="Q444" s="1" t="n">
        <x:f>F444*Dashboard!$L$5*MAX(0,Dashboard!$I$5-D444)/30.4375</x:f>
        <x:v>33.26488706365503</x:v>
      </x:c>
      <x:c r="R444" s="1" t="n">
        <x:f>MAX(0,E444+P444-Q444)</x:f>
        <x:v>1666.7351129363449</x:v>
      </x:c>
      <x:c r="S444" s="1" t="n">
        <x:f>MAX(0,Q444-E444-P444)</x:f>
        <x:v>0</x:v>
      </x:c>
      <x:c r="T444" s="1" t="str">
        <x:f>IF(L444=1,MAX(0,I444+AB444-MIN(Q444,E444+P444)),"n.a.")</x:f>
        <x:v>n.a.</x:v>
      </x:c>
      <x:c r="U444" s="9" t="str">
        <x:f>IF(ISNUMBER(T444),T444*G444,"n.a.")</x:f>
        <x:v>n.a.</x:v>
      </x:c>
      <x:c r="V444" s="25" t="n">
        <x:f>IF(Dashboard!$I$6="Flat %",1,IF(ISNUMBER(H444),1,0))</x:f>
        <x:v>1</x:v>
      </x:c>
      <x:c r="W444" s="9" t="n">
        <x:f>IF(Dashboard!$I$6="Flat %",G444*(1+Dashboard!$L$6),H444)</x:f>
        <x:v>0.018963</x:v>
      </x:c>
      <x:c r="X444" s="9" t="n">
        <x:f>IF(V444=1,R444*(W444-G444),"n.a.")</x:f>
        <x:v>10.772109034907597</x:v>
      </x:c>
      <x:c r="Y444" s="9" t="n">
        <x:f>IF(V444=1,R444*W444,"n.a.")</x:f>
        <x:v>31.60629794661191</x:v>
      </x:c>
      <x:c r="Z444" s="1" t="str">
        <x:f>IF(ISNUMBER(T444),R444-T444,"n.a.")</x:f>
        <x:v>n.a.</x:v>
      </x:c>
      <x:c r="AA444" s="1" t="str">
        <x:f>'Inventory inputs'!R444</x:f>
        <x:v>Review receipt reconciliation or original PO baseline</x:v>
      </x:c>
      <x:c r="AB444" s="1" t="str">
        <x:f>IF(L444=1,SUMIFS('Incoming POs'!$P$2:$P$305,'Incoming POs'!$A$2:$A$305,A444,'Incoming POs'!$B$2:$B$305,B444,'Incoming POs'!$C$2:$C$305,C444,'Incoming POs'!$G$2:$G$305,"&gt;="&amp;D444,'Incoming POs'!$G$2:$G$305,"&lt;"&amp;Dashboard!$I$5,'Incoming POs'!$Q$2:$Q$305,"&lt;="&amp;('Inventory inputs'!P444/'Inventory inputs'!J444*1.01)),"n.a.")</x:f>
        <x:v>n.a.</x:v>
      </x:c>
      <x:c r="AC444" s="9" t="n">
        <x:f>I444*G444</x:f>
        <x:v>0</x:v>
      </x:c>
      <x:c r="AD444" s="9" t="n">
        <x:f>J444*G444</x:f>
        <x:v>0</x:v>
      </x:c>
      <x:c r="AE444" s="9" t="n">
        <x:f>K444*G444</x:f>
        <x:v>21.25</x:v>
      </x:c>
      <x:c r="AF444" s="9" t="n">
        <x:f>R444*G444</x:f>
        <x:v>20.834188911704313</x:v>
      </x:c>
    </x:row>
    <x:row r="445" ht="21" customHeight="1">
      <x:c r="A445" s="1" t="str">
        <x:f>'Inventory inputs'!A445</x:f>
        <x:v>PLAS</x:v>
      </x:c>
      <x:c r="B445" s="1" t="str">
        <x:f>'Inventory inputs'!B445</x:f>
        <x:v>10</x:v>
      </x:c>
      <x:c r="C445" s="1" t="str">
        <x:f>'Inventory inputs'!C445</x:f>
        <x:v>07819RWBCLR</x:v>
      </x:c>
      <x:c r="D445" s="7" t="n">
        <x:f>'Inventory inputs'!E445</x:f>
        <x:v>46303</x:v>
      </x:c>
      <x:c r="E445" s="1" t="n">
        <x:f>'Inventory inputs'!F445</x:f>
        <x:v>1700</x:v>
      </x:c>
      <x:c r="F445" s="1" t="n">
        <x:f>'Inventory inputs'!G445</x:f>
        <x:v>25</x:v>
      </x:c>
      <x:c r="G445" s="1" t="n">
        <x:f>'Inventory inputs'!H445/'Inventory inputs'!J445</x:f>
        <x:v>0.0797</x:v>
      </x:c>
      <x:c r="H445" s="1" t="n">
        <x:f>IF('Inventory inputs'!I445&gt;0,'Inventory inputs'!I445*'Inventory inputs'!K445/'Inventory inputs'!J445,"n.a.")</x:f>
        <x:v>0.09319799999999999</x:v>
      </x:c>
      <x:c r="I445" s="1" t="n">
        <x:f>'Inventory inputs'!L445</x:f>
        <x:v>0</x:v>
      </x:c>
      <x:c r="J445" s="1" t="n">
        <x:f>'Inventory inputs'!M445</x:f>
        <x:v>0</x:v>
      </x:c>
      <x:c r="K445" s="1" t="n">
        <x:f>'Inventory inputs'!N445</x:f>
        <x:v>1700</x:v>
      </x:c>
      <x:c r="L445" s="1" t="n">
        <x:f>'Inventory inputs'!O445</x:f>
        <x:v>0</x:v>
      </x:c>
      <x:c r="M445" s="9" t="n">
        <x:f>E445*G445</x:f>
        <x:v>135.48999999999998</x:v>
      </x:c>
      <x:c r="N445" s="9" t="n">
        <x:f>'Inventory inputs'!Q445</x:f>
        <x:v>135.49</x:v>
      </x:c>
      <x:c r="O445" s="9" t="n">
        <x:f>N445-M445</x:f>
        <x:v>2.842170943040401e-14</x:v>
      </x:c>
      <x:c r="P445" s="1" t="n">
        <x:f>SUMIFS('Incoming POs'!$P$2:$P$305,'Incoming POs'!$A$2:$A$305,A445,'Incoming POs'!$B$2:$B$305,B445,'Incoming POs'!$C$2:$C$305,C445,'Incoming POs'!$G$2:$G$305,"&gt;="&amp;D445,'Incoming POs'!$G$2:$G$305,"&lt;"&amp;Dashboard!$I$5)</x:f>
        <x:v>0</x:v>
      </x:c>
      <x:c r="Q445" s="1" t="n">
        <x:f>F445*Dashboard!$L$5*MAX(0,Dashboard!$I$5-D445)/30.4375</x:f>
        <x:v>33.26488706365503</x:v>
      </x:c>
      <x:c r="R445" s="1" t="n">
        <x:f>MAX(0,E445+P445-Q445)</x:f>
        <x:v>1666.7351129363449</x:v>
      </x:c>
      <x:c r="S445" s="1" t="n">
        <x:f>MAX(0,Q445-E445-P445)</x:f>
        <x:v>0</x:v>
      </x:c>
      <x:c r="T445" s="1" t="str">
        <x:f>IF(L445=1,MAX(0,I445+AB445-MIN(Q445,E445+P445)),"n.a.")</x:f>
        <x:v>n.a.</x:v>
      </x:c>
      <x:c r="U445" s="9" t="str">
        <x:f>IF(ISNUMBER(T445),T445*G445,"n.a.")</x:f>
        <x:v>n.a.</x:v>
      </x:c>
      <x:c r="V445" s="25" t="n">
        <x:f>IF(Dashboard!$I$6="Flat %",1,IF(ISNUMBER(H445),1,0))</x:f>
        <x:v>1</x:v>
      </x:c>
      <x:c r="W445" s="9" t="n">
        <x:f>IF(Dashboard!$I$6="Flat %",G445*(1+Dashboard!$L$6),H445)</x:f>
        <x:v>0.09319799999999999</x:v>
      </x:c>
      <x:c r="X445" s="9" t="n">
        <x:f>IF(V445=1,R445*(W445-G445),"n.a.")</x:f>
        <x:v>22.497590554414778</x:v>
      </x:c>
      <x:c r="Y445" s="9" t="n">
        <x:f>IF(V445=1,R445*W445,"n.a.")</x:f>
        <x:v>155.33637905544145</x:v>
      </x:c>
      <x:c r="Z445" s="1" t="str">
        <x:f>IF(ISNUMBER(T445),R445-T445,"n.a.")</x:f>
        <x:v>n.a.</x:v>
      </x:c>
      <x:c r="AA445" s="1" t="str">
        <x:f>'Inventory inputs'!R445</x:f>
        <x:v>Review receipt reconciliation or original PO baseline</x:v>
      </x:c>
      <x:c r="AB445" s="1" t="str">
        <x:f>IF(L445=1,SUMIFS('Incoming POs'!$P$2:$P$305,'Incoming POs'!$A$2:$A$305,A445,'Incoming POs'!$B$2:$B$305,B445,'Incoming POs'!$C$2:$C$305,C445,'Incoming POs'!$G$2:$G$305,"&gt;="&amp;D445,'Incoming POs'!$G$2:$G$305,"&lt;"&amp;Dashboard!$I$5,'Incoming POs'!$Q$2:$Q$305,"&lt;="&amp;('Inventory inputs'!P445/'Inventory inputs'!J445*1.01)),"n.a.")</x:f>
        <x:v>n.a.</x:v>
      </x:c>
      <x:c r="AC445" s="9" t="n">
        <x:f>I445*G445</x:f>
        <x:v>0</x:v>
      </x:c>
      <x:c r="AD445" s="9" t="n">
        <x:f>J445*G445</x:f>
        <x:v>0</x:v>
      </x:c>
      <x:c r="AE445" s="9" t="n">
        <x:f>K445*G445</x:f>
        <x:v>135.48999999999998</x:v>
      </x:c>
      <x:c r="AF445" s="9" t="n">
        <x:f>R445*G445</x:f>
        <x:v>132.83878850102667</x:v>
      </x:c>
    </x:row>
    <x:row r="446" ht="21" customHeight="1">
      <x:c r="A446" s="1" t="str">
        <x:f>'Inventory inputs'!A446</x:f>
        <x:v>PLAS</x:v>
      </x:c>
      <x:c r="B446" s="1" t="str">
        <x:f>'Inventory inputs'!B446</x:f>
        <x:v>10</x:v>
      </x:c>
      <x:c r="C446" s="1" t="str">
        <x:f>'Inventory inputs'!C446</x:f>
        <x:v>11215RSLBLK</x:v>
      </x:c>
      <x:c r="D446" s="7" t="n">
        <x:f>'Inventory inputs'!E446</x:f>
        <x:v>46303</x:v>
      </x:c>
      <x:c r="E446" s="1" t="n">
        <x:f>'Inventory inputs'!F446</x:f>
        <x:v>3938</x:v>
      </x:c>
      <x:c r="F446" s="1" t="n">
        <x:f>'Inventory inputs'!G446</x:f>
        <x:v>25</x:v>
      </x:c>
      <x:c r="G446" s="1" t="n">
        <x:f>'Inventory inputs'!H446/'Inventory inputs'!J446</x:f>
        <x:v>0.0886</x:v>
      </x:c>
      <x:c r="H446" s="1" t="n">
        <x:f>IF('Inventory inputs'!I446&gt;0,'Inventory inputs'!I446*'Inventory inputs'!K446/'Inventory inputs'!J446,"n.a.")</x:f>
        <x:v>0.103782</x:v>
      </x:c>
      <x:c r="I446" s="1" t="n">
        <x:f>'Inventory inputs'!L446</x:f>
        <x:v>0</x:v>
      </x:c>
      <x:c r="J446" s="1" t="n">
        <x:f>'Inventory inputs'!M446</x:f>
        <x:v>0</x:v>
      </x:c>
      <x:c r="K446" s="1" t="n">
        <x:f>'Inventory inputs'!N446</x:f>
        <x:v>3938</x:v>
      </x:c>
      <x:c r="L446" s="1" t="n">
        <x:f>'Inventory inputs'!O446</x:f>
        <x:v>0</x:v>
      </x:c>
      <x:c r="M446" s="9" t="n">
        <x:f>E446*G446</x:f>
        <x:v>348.9068</x:v>
      </x:c>
      <x:c r="N446" s="9" t="n">
        <x:f>'Inventory inputs'!Q446</x:f>
        <x:v>348.90680000000003</x:v>
      </x:c>
      <x:c r="O446" s="9" t="n">
        <x:f>N446-M446</x:f>
        <x:v>5.684341886080802e-14</x:v>
      </x:c>
      <x:c r="P446" s="1" t="n">
        <x:f>SUMIFS('Incoming POs'!$P$2:$P$305,'Incoming POs'!$A$2:$A$305,A446,'Incoming POs'!$B$2:$B$305,B446,'Incoming POs'!$C$2:$C$305,C446,'Incoming POs'!$G$2:$G$305,"&gt;="&amp;D446,'Incoming POs'!$G$2:$G$305,"&lt;"&amp;Dashboard!$I$5)</x:f>
        <x:v>0</x:v>
      </x:c>
      <x:c r="Q446" s="1" t="n">
        <x:f>F446*Dashboard!$L$5*MAX(0,Dashboard!$I$5-D446)/30.4375</x:f>
        <x:v>33.26488706365503</x:v>
      </x:c>
      <x:c r="R446" s="1" t="n">
        <x:f>MAX(0,E446+P446-Q446)</x:f>
        <x:v>3904.735112936345</x:v>
      </x:c>
      <x:c r="S446" s="1" t="n">
        <x:f>MAX(0,Q446-E446-P446)</x:f>
        <x:v>0</x:v>
      </x:c>
      <x:c r="T446" s="1" t="str">
        <x:f>IF(L446=1,MAX(0,I446+AB446-MIN(Q446,E446+P446)),"n.a.")</x:f>
        <x:v>n.a.</x:v>
      </x:c>
      <x:c r="U446" s="9" t="str">
        <x:f>IF(ISNUMBER(T446),T446*G446,"n.a.")</x:f>
        <x:v>n.a.</x:v>
      </x:c>
      <x:c r="V446" s="25" t="n">
        <x:f>IF(Dashboard!$I$6="Flat %",1,IF(ISNUMBER(H446),1,0))</x:f>
        <x:v>1</x:v>
      </x:c>
      <x:c r="W446" s="9" t="n">
        <x:f>IF(Dashboard!$I$6="Flat %",G446*(1+Dashboard!$L$6),H446)</x:f>
        <x:v>0.103782</x:v>
      </x:c>
      <x:c r="X446" s="9" t="n">
        <x:f>IF(V446=1,R446*(W446-G446),"n.a.")</x:f>
        <x:v>59.2816884845996</x:v>
      </x:c>
      <x:c r="Y446" s="9" t="n">
        <x:f>IF(V446=1,R446*W446,"n.a.")</x:f>
        <x:v>405.24121949075976</x:v>
      </x:c>
      <x:c r="Z446" s="1" t="str">
        <x:f>IF(ISNUMBER(T446),R446-T446,"n.a.")</x:f>
        <x:v>n.a.</x:v>
      </x:c>
      <x:c r="AA446" s="1" t="str">
        <x:f>'Inventory inputs'!R446</x:f>
        <x:v>Review receipt reconciliation or original PO baseline</x:v>
      </x:c>
      <x:c r="AB446" s="1" t="str">
        <x:f>IF(L446=1,SUMIFS('Incoming POs'!$P$2:$P$305,'Incoming POs'!$A$2:$A$305,A446,'Incoming POs'!$B$2:$B$305,B446,'Incoming POs'!$C$2:$C$305,C446,'Incoming POs'!$G$2:$G$305,"&gt;="&amp;D446,'Incoming POs'!$G$2:$G$305,"&lt;"&amp;Dashboard!$I$5,'Incoming POs'!$Q$2:$Q$305,"&lt;="&amp;('Inventory inputs'!P446/'Inventory inputs'!J446*1.01)),"n.a.")</x:f>
        <x:v>n.a.</x:v>
      </x:c>
      <x:c r="AC446" s="9" t="n">
        <x:f>I446*G446</x:f>
        <x:v>0</x:v>
      </x:c>
      <x:c r="AD446" s="9" t="n">
        <x:f>J446*G446</x:f>
        <x:v>0</x:v>
      </x:c>
      <x:c r="AE446" s="9" t="n">
        <x:f>K446*G446</x:f>
        <x:v>348.9068</x:v>
      </x:c>
      <x:c r="AF446" s="9" t="n">
        <x:f>R446*G446</x:f>
        <x:v>345.95953100616015</x:v>
      </x:c>
    </x:row>
    <x:row r="447" ht="21" customHeight="1">
      <x:c r="A447" s="1" t="str">
        <x:f>'Inventory inputs'!A447</x:f>
        <x:v>PLAS</x:v>
      </x:c>
      <x:c r="B447" s="1" t="str">
        <x:f>'Inventory inputs'!B447</x:f>
        <x:v>10</x:v>
      </x:c>
      <x:c r="C447" s="1" t="str">
        <x:f>'Inventory inputs'!C447</x:f>
        <x:v>13419RSLBLU</x:v>
      </x:c>
      <x:c r="D447" s="7" t="n">
        <x:f>'Inventory inputs'!E447</x:f>
        <x:v>46303</x:v>
      </x:c>
      <x:c r="E447" s="1" t="n">
        <x:f>'Inventory inputs'!F447</x:f>
        <x:v>950</x:v>
      </x:c>
      <x:c r="F447" s="1" t="n">
        <x:f>'Inventory inputs'!G447</x:f>
        <x:v>25</x:v>
      </x:c>
      <x:c r="G447" s="1" t="n">
        <x:f>'Inventory inputs'!H447/'Inventory inputs'!J447</x:f>
        <x:v>0.1457</x:v>
      </x:c>
      <x:c r="H447" s="1" t="n">
        <x:f>IF('Inventory inputs'!I447&gt;0,'Inventory inputs'!I447*'Inventory inputs'!K447/'Inventory inputs'!J447,"n.a.")</x:f>
        <x:v>0.170373</x:v>
      </x:c>
      <x:c r="I447" s="1" t="n">
        <x:f>'Inventory inputs'!L447</x:f>
        <x:v>0</x:v>
      </x:c>
      <x:c r="J447" s="1" t="n">
        <x:f>'Inventory inputs'!M447</x:f>
        <x:v>0</x:v>
      </x:c>
      <x:c r="K447" s="1" t="n">
        <x:f>'Inventory inputs'!N447</x:f>
        <x:v>950</x:v>
      </x:c>
      <x:c r="L447" s="1" t="n">
        <x:f>'Inventory inputs'!O447</x:f>
        <x:v>0</x:v>
      </x:c>
      <x:c r="M447" s="9" t="n">
        <x:f>E447*G447</x:f>
        <x:v>138.415</x:v>
      </x:c>
      <x:c r="N447" s="9" t="n">
        <x:f>'Inventory inputs'!Q447</x:f>
        <x:v>138.415</x:v>
      </x:c>
      <x:c r="O447" s="9" t="n">
        <x:f>N447-M447</x:f>
        <x:v>0</x:v>
      </x:c>
      <x:c r="P447" s="1" t="n">
        <x:f>SUMIFS('Incoming POs'!$P$2:$P$305,'Incoming POs'!$A$2:$A$305,A447,'Incoming POs'!$B$2:$B$305,B447,'Incoming POs'!$C$2:$C$305,C447,'Incoming POs'!$G$2:$G$305,"&gt;="&amp;D447,'Incoming POs'!$G$2:$G$305,"&lt;"&amp;Dashboard!$I$5)</x:f>
        <x:v>0</x:v>
      </x:c>
      <x:c r="Q447" s="1" t="n">
        <x:f>F447*Dashboard!$L$5*MAX(0,Dashboard!$I$5-D447)/30.4375</x:f>
        <x:v>33.26488706365503</x:v>
      </x:c>
      <x:c r="R447" s="1" t="n">
        <x:f>MAX(0,E447+P447-Q447)</x:f>
        <x:v>916.735112936345</x:v>
      </x:c>
      <x:c r="S447" s="1" t="n">
        <x:f>MAX(0,Q447-E447-P447)</x:f>
        <x:v>0</x:v>
      </x:c>
      <x:c r="T447" s="1" t="str">
        <x:f>IF(L447=1,MAX(0,I447+AB447-MIN(Q447,E447+P447)),"n.a.")</x:f>
        <x:v>n.a.</x:v>
      </x:c>
      <x:c r="U447" s="9" t="str">
        <x:f>IF(ISNUMBER(T447),T447*G447,"n.a.")</x:f>
        <x:v>n.a.</x:v>
      </x:c>
      <x:c r="V447" s="25" t="n">
        <x:f>IF(Dashboard!$I$6="Flat %",1,IF(ISNUMBER(H447),1,0))</x:f>
        <x:v>1</x:v>
      </x:c>
      <x:c r="W447" s="9" t="n">
        <x:f>IF(Dashboard!$I$6="Flat %",G447*(1+Dashboard!$L$6),H447)</x:f>
        <x:v>0.170373</x:v>
      </x:c>
      <x:c r="X447" s="9" t="n">
        <x:f>IF(V447=1,R447*(W447-G447),"n.a.")</x:f>
        <x:v>22.61860544147844</x:v>
      </x:c>
      <x:c r="Y447" s="9" t="n">
        <x:f>IF(V447=1,R447*W447,"n.a.")</x:f>
        <x:v>156.1869113963039</x:v>
      </x:c>
      <x:c r="Z447" s="1" t="str">
        <x:f>IF(ISNUMBER(T447),R447-T447,"n.a.")</x:f>
        <x:v>n.a.</x:v>
      </x:c>
      <x:c r="AA447" s="1" t="str">
        <x:f>'Inventory inputs'!R447</x:f>
        <x:v>Review receipt reconciliation or original PO baseline</x:v>
      </x:c>
      <x:c r="AB447" s="1" t="str">
        <x:f>IF(L447=1,SUMIFS('Incoming POs'!$P$2:$P$305,'Incoming POs'!$A$2:$A$305,A447,'Incoming POs'!$B$2:$B$305,B447,'Incoming POs'!$C$2:$C$305,C447,'Incoming POs'!$G$2:$G$305,"&gt;="&amp;D447,'Incoming POs'!$G$2:$G$305,"&lt;"&amp;Dashboard!$I$5,'Incoming POs'!$Q$2:$Q$305,"&lt;="&amp;('Inventory inputs'!P447/'Inventory inputs'!J447*1.01)),"n.a.")</x:f>
        <x:v>n.a.</x:v>
      </x:c>
      <x:c r="AC447" s="9" t="n">
        <x:f>I447*G447</x:f>
        <x:v>0</x:v>
      </x:c>
      <x:c r="AD447" s="9" t="n">
        <x:f>J447*G447</x:f>
        <x:v>0</x:v>
      </x:c>
      <x:c r="AE447" s="9" t="n">
        <x:f>K447*G447</x:f>
        <x:v>138.415</x:v>
      </x:c>
      <x:c r="AF447" s="9" t="n">
        <x:f>R447*G447</x:f>
        <x:v>133.56830595482546</x:v>
      </x:c>
    </x:row>
    <x:row r="448" ht="21" customHeight="1">
      <x:c r="A448" s="1" t="str">
        <x:f>'Inventory inputs'!A448</x:f>
        <x:v>PLAS</x:v>
      </x:c>
      <x:c r="B448" s="1" t="str">
        <x:f>'Inventory inputs'!B448</x:f>
        <x:v>60</x:v>
      </x:c>
      <x:c r="C448" s="1" t="str">
        <x:f>'Inventory inputs'!C448</x:f>
        <x:v>00119RWBFG</x:v>
      </x:c>
      <x:c r="D448" s="7" t="n">
        <x:f>'Inventory inputs'!E448</x:f>
        <x:v>46303</x:v>
      </x:c>
      <x:c r="E448" s="1" t="n">
        <x:f>'Inventory inputs'!F448</x:f>
        <x:v>350</x:v>
      </x:c>
      <x:c r="F448" s="1" t="n">
        <x:f>'Inventory inputs'!G448</x:f>
        <x:v>25</x:v>
      </x:c>
      <x:c r="G448" s="1" t="n">
        <x:f>'Inventory inputs'!H448/'Inventory inputs'!J448</x:f>
        <x:v>0.1054</x:v>
      </x:c>
      <x:c r="H448" s="1" t="n">
        <x:f>IF('Inventory inputs'!I448&gt;0,'Inventory inputs'!I448*'Inventory inputs'!K448/'Inventory inputs'!J448,"n.a.")</x:f>
        <x:v>0.12333300000000001</x:v>
      </x:c>
      <x:c r="I448" s="1" t="n">
        <x:f>'Inventory inputs'!L448</x:f>
        <x:v>0</x:v>
      </x:c>
      <x:c r="J448" s="1" t="n">
        <x:f>'Inventory inputs'!M448</x:f>
        <x:v>0</x:v>
      </x:c>
      <x:c r="K448" s="1" t="n">
        <x:f>'Inventory inputs'!N448</x:f>
        <x:v>350</x:v>
      </x:c>
      <x:c r="L448" s="1" t="n">
        <x:f>'Inventory inputs'!O448</x:f>
        <x:v>0</x:v>
      </x:c>
      <x:c r="M448" s="9" t="n">
        <x:f>E448*G448</x:f>
        <x:v>36.89</x:v>
      </x:c>
      <x:c r="N448" s="9" t="n">
        <x:f>'Inventory inputs'!Q448</x:f>
        <x:v>36.88999999999999</x:v>
      </x:c>
      <x:c r="O448" s="9" t="n">
        <x:f>N448-M448</x:f>
        <x:v>-7.105427357601002e-15</x:v>
      </x:c>
      <x:c r="P448" s="1" t="n">
        <x:f>SUMIFS('Incoming POs'!$P$2:$P$305,'Incoming POs'!$A$2:$A$305,A448,'Incoming POs'!$B$2:$B$305,B448,'Incoming POs'!$C$2:$C$305,C448,'Incoming POs'!$G$2:$G$305,"&gt;="&amp;D448,'Incoming POs'!$G$2:$G$305,"&lt;"&amp;Dashboard!$I$5)</x:f>
        <x:v>0</x:v>
      </x:c>
      <x:c r="Q448" s="1" t="n">
        <x:f>F448*Dashboard!$L$5*MAX(0,Dashboard!$I$5-D448)/30.4375</x:f>
        <x:v>33.26488706365503</x:v>
      </x:c>
      <x:c r="R448" s="1" t="n">
        <x:f>MAX(0,E448+P448-Q448)</x:f>
        <x:v>316.735112936345</x:v>
      </x:c>
      <x:c r="S448" s="1" t="n">
        <x:f>MAX(0,Q448-E448-P448)</x:f>
        <x:v>0</x:v>
      </x:c>
      <x:c r="T448" s="1" t="str">
        <x:f>IF(L448=1,MAX(0,I448+AB448-MIN(Q448,E448+P448)),"n.a.")</x:f>
        <x:v>n.a.</x:v>
      </x:c>
      <x:c r="U448" s="9" t="str">
        <x:f>IF(ISNUMBER(T448),T448*G448,"n.a.")</x:f>
        <x:v>n.a.</x:v>
      </x:c>
      <x:c r="V448" s="25" t="n">
        <x:f>IF(Dashboard!$I$6="Flat %",1,IF(ISNUMBER(H448),1,0))</x:f>
        <x:v>1</x:v>
      </x:c>
      <x:c r="W448" s="9" t="n">
        <x:f>IF(Dashboard!$I$6="Flat %",G448*(1+Dashboard!$L$6),H448)</x:f>
        <x:v>0.12333300000000001</x:v>
      </x:c>
      <x:c r="X448" s="9" t="n">
        <x:f>IF(V448=1,R448*(W448-G448),"n.a.")</x:f>
        <x:v>5.68001078028748</x:v>
      </x:c>
      <x:c r="Y448" s="9" t="n">
        <x:f>IF(V448=1,R448*W448,"n.a.")</x:f>
        <x:v>39.06389168377824</x:v>
      </x:c>
      <x:c r="Z448" s="1" t="str">
        <x:f>IF(ISNUMBER(T448),R448-T448,"n.a.")</x:f>
        <x:v>n.a.</x:v>
      </x:c>
      <x:c r="AA448" s="1" t="str">
        <x:f>'Inventory inputs'!R448</x:f>
        <x:v>Review receipt reconciliation or original PO baseline</x:v>
      </x:c>
      <x:c r="AB448" s="1" t="str">
        <x:f>IF(L448=1,SUMIFS('Incoming POs'!$P$2:$P$305,'Incoming POs'!$A$2:$A$305,A448,'Incoming POs'!$B$2:$B$305,B448,'Incoming POs'!$C$2:$C$305,C448,'Incoming POs'!$G$2:$G$305,"&gt;="&amp;D448,'Incoming POs'!$G$2:$G$305,"&lt;"&amp;Dashboard!$I$5,'Incoming POs'!$Q$2:$Q$305,"&lt;="&amp;('Inventory inputs'!P448/'Inventory inputs'!J448*1.01)),"n.a.")</x:f>
        <x:v>n.a.</x:v>
      </x:c>
      <x:c r="AC448" s="9" t="n">
        <x:f>I448*G448</x:f>
        <x:v>0</x:v>
      </x:c>
      <x:c r="AD448" s="9" t="n">
        <x:f>J448*G448</x:f>
        <x:v>0</x:v>
      </x:c>
      <x:c r="AE448" s="9" t="n">
        <x:f>K448*G448</x:f>
        <x:v>36.89</x:v>
      </x:c>
      <x:c r="AF448" s="9" t="n">
        <x:f>R448*G448</x:f>
        <x:v>33.38388090349076</x:v>
      </x:c>
    </x:row>
    <x:row r="449" ht="21" customHeight="1">
      <x:c r="A449" s="1" t="str">
        <x:f>'Inventory inputs'!A449</x:f>
        <x:v>PLAS</x:v>
      </x:c>
      <x:c r="B449" s="1" t="str">
        <x:f>'Inventory inputs'!B449</x:f>
        <x:v>60</x:v>
      </x:c>
      <x:c r="C449" s="1" t="str">
        <x:f>'Inventory inputs'!C449</x:f>
        <x:v>13419RSLWHT</x:v>
      </x:c>
      <x:c r="D449" s="7" t="n">
        <x:f>'Inventory inputs'!E449</x:f>
        <x:v>46303</x:v>
      </x:c>
      <x:c r="E449" s="1" t="n">
        <x:f>'Inventory inputs'!F449</x:f>
        <x:v>1000</x:v>
      </x:c>
      <x:c r="F449" s="1" t="n">
        <x:f>'Inventory inputs'!G449</x:f>
        <x:v>25</x:v>
      </x:c>
      <x:c r="G449" s="1" t="n">
        <x:f>'Inventory inputs'!H449/'Inventory inputs'!J449</x:f>
        <x:v>0.1457</x:v>
      </x:c>
      <x:c r="H449" s="1" t="n">
        <x:f>IF('Inventory inputs'!I449&gt;0,'Inventory inputs'!I449*'Inventory inputs'!K449/'Inventory inputs'!J449,"n.a.")</x:f>
        <x:v>0.170373</x:v>
      </x:c>
      <x:c r="I449" s="1" t="n">
        <x:f>'Inventory inputs'!L449</x:f>
        <x:v>0</x:v>
      </x:c>
      <x:c r="J449" s="1" t="n">
        <x:f>'Inventory inputs'!M449</x:f>
        <x:v>0</x:v>
      </x:c>
      <x:c r="K449" s="1" t="n">
        <x:f>'Inventory inputs'!N449</x:f>
        <x:v>1000</x:v>
      </x:c>
      <x:c r="L449" s="1" t="n">
        <x:f>'Inventory inputs'!O449</x:f>
        <x:v>0</x:v>
      </x:c>
      <x:c r="M449" s="9" t="n">
        <x:f>E449*G449</x:f>
        <x:v>145.7</x:v>
      </x:c>
      <x:c r="N449" s="9" t="n">
        <x:f>'Inventory inputs'!Q449</x:f>
        <x:v>145.70000000000002</x:v>
      </x:c>
      <x:c r="O449" s="9" t="n">
        <x:f>N449-M449</x:f>
        <x:v>2.842170943040401e-14</x:v>
      </x:c>
      <x:c r="P449" s="1" t="n">
        <x:f>SUMIFS('Incoming POs'!$P$2:$P$305,'Incoming POs'!$A$2:$A$305,A449,'Incoming POs'!$B$2:$B$305,B449,'Incoming POs'!$C$2:$C$305,C449,'Incoming POs'!$G$2:$G$305,"&gt;="&amp;D449,'Incoming POs'!$G$2:$G$305,"&lt;"&amp;Dashboard!$I$5)</x:f>
        <x:v>0</x:v>
      </x:c>
      <x:c r="Q449" s="1" t="n">
        <x:f>F449*Dashboard!$L$5*MAX(0,Dashboard!$I$5-D449)/30.4375</x:f>
        <x:v>33.26488706365503</x:v>
      </x:c>
      <x:c r="R449" s="1" t="n">
        <x:f>MAX(0,E449+P449-Q449)</x:f>
        <x:v>966.735112936345</x:v>
      </x:c>
      <x:c r="S449" s="1" t="n">
        <x:f>MAX(0,Q449-E449-P449)</x:f>
        <x:v>0</x:v>
      </x:c>
      <x:c r="T449" s="1" t="str">
        <x:f>IF(L449=1,MAX(0,I449+AB449-MIN(Q449,E449+P449)),"n.a.")</x:f>
        <x:v>n.a.</x:v>
      </x:c>
      <x:c r="U449" s="9" t="str">
        <x:f>IF(ISNUMBER(T449),T449*G449,"n.a.")</x:f>
        <x:v>n.a.</x:v>
      </x:c>
      <x:c r="V449" s="25" t="n">
        <x:f>IF(Dashboard!$I$6="Flat %",1,IF(ISNUMBER(H449),1,0))</x:f>
        <x:v>1</x:v>
      </x:c>
      <x:c r="W449" s="9" t="n">
        <x:f>IF(Dashboard!$I$6="Flat %",G449*(1+Dashboard!$L$6),H449)</x:f>
        <x:v>0.170373</x:v>
      </x:c>
      <x:c r="X449" s="9" t="n">
        <x:f>IF(V449=1,R449*(W449-G449),"n.a.")</x:f>
        <x:v>23.85225544147844</x:v>
      </x:c>
      <x:c r="Y449" s="9" t="n">
        <x:f>IF(V449=1,R449*W449,"n.a.")</x:f>
        <x:v>164.7055613963039</x:v>
      </x:c>
      <x:c r="Z449" s="1" t="str">
        <x:f>IF(ISNUMBER(T449),R449-T449,"n.a.")</x:f>
        <x:v>n.a.</x:v>
      </x:c>
      <x:c r="AA449" s="1" t="str">
        <x:f>'Inventory inputs'!R449</x:f>
        <x:v>Review receipt reconciliation or original PO baseline</x:v>
      </x:c>
      <x:c r="AB449" s="1" t="str">
        <x:f>IF(L449=1,SUMIFS('Incoming POs'!$P$2:$P$305,'Incoming POs'!$A$2:$A$305,A449,'Incoming POs'!$B$2:$B$305,B449,'Incoming POs'!$C$2:$C$305,C449,'Incoming POs'!$G$2:$G$305,"&gt;="&amp;D449,'Incoming POs'!$G$2:$G$305,"&lt;"&amp;Dashboard!$I$5,'Incoming POs'!$Q$2:$Q$305,"&lt;="&amp;('Inventory inputs'!P449/'Inventory inputs'!J449*1.01)),"n.a.")</x:f>
        <x:v>n.a.</x:v>
      </x:c>
      <x:c r="AC449" s="9" t="n">
        <x:f>I449*G449</x:f>
        <x:v>0</x:v>
      </x:c>
      <x:c r="AD449" s="9" t="n">
        <x:f>J449*G449</x:f>
        <x:v>0</x:v>
      </x:c>
      <x:c r="AE449" s="9" t="n">
        <x:f>K449*G449</x:f>
        <x:v>145.7</x:v>
      </x:c>
      <x:c r="AF449" s="9" t="n">
        <x:f>R449*G449</x:f>
        <x:v>140.85330595482546</x:v>
      </x:c>
    </x:row>
    <x:row r="450" ht="21" customHeight="1">
      <x:c r="A450" s="1" t="str">
        <x:f>'Inventory inputs'!A450</x:f>
        <x:v>PLAS</x:v>
      </x:c>
      <x:c r="B450" s="1" t="str">
        <x:f>'Inventory inputs'!B450</x:f>
        <x:v>10</x:v>
      </x:c>
      <x:c r="C450" s="1" t="str">
        <x:f>'Inventory inputs'!C450</x:f>
        <x:v>13421RSLBLK</x:v>
      </x:c>
      <x:c r="D450" s="7" t="n">
        <x:f>'Inventory inputs'!E450</x:f>
        <x:v>46303</x:v>
      </x:c>
      <x:c r="E450" s="1" t="n">
        <x:f>'Inventory inputs'!F450</x:f>
        <x:v>1725</x:v>
      </x:c>
      <x:c r="F450" s="1" t="n">
        <x:f>'Inventory inputs'!G450</x:f>
        <x:v>21.5</x:v>
      </x:c>
      <x:c r="G450" s="1" t="n">
        <x:f>'Inventory inputs'!H450/'Inventory inputs'!J450</x:f>
        <x:v>0.1421</x:v>
      </x:c>
      <x:c r="H450" s="1" t="n">
        <x:f>IF('Inventory inputs'!I450&gt;0,'Inventory inputs'!I450*'Inventory inputs'!K450/'Inventory inputs'!J450,"n.a.")</x:f>
        <x:v>0.16625700000000002</x:v>
      </x:c>
      <x:c r="I450" s="1" t="n">
        <x:f>'Inventory inputs'!L450</x:f>
        <x:v>0</x:v>
      </x:c>
      <x:c r="J450" s="1" t="n">
        <x:f>'Inventory inputs'!M450</x:f>
        <x:v>0</x:v>
      </x:c>
      <x:c r="K450" s="1" t="n">
        <x:f>'Inventory inputs'!N450</x:f>
        <x:v>1725</x:v>
      </x:c>
      <x:c r="L450" s="1" t="n">
        <x:f>'Inventory inputs'!O450</x:f>
        <x:v>0</x:v>
      </x:c>
      <x:c r="M450" s="9" t="n">
        <x:f>E450*G450</x:f>
        <x:v>245.1225</x:v>
      </x:c>
      <x:c r="N450" s="9" t="n">
        <x:f>'Inventory inputs'!Q450</x:f>
        <x:v>245.1225</x:v>
      </x:c>
      <x:c r="O450" s="9" t="n">
        <x:f>N450-M450</x:f>
        <x:v>0</x:v>
      </x:c>
      <x:c r="P450" s="1" t="n">
        <x:f>SUMIFS('Incoming POs'!$P$2:$P$305,'Incoming POs'!$A$2:$A$305,A450,'Incoming POs'!$B$2:$B$305,B450,'Incoming POs'!$C$2:$C$305,C450,'Incoming POs'!$G$2:$G$305,"&gt;="&amp;D450,'Incoming POs'!$G$2:$G$305,"&lt;"&amp;Dashboard!$I$5)</x:f>
        <x:v>0</x:v>
      </x:c>
      <x:c r="Q450" s="1" t="n">
        <x:f>F450*Dashboard!$L$5*MAX(0,Dashboard!$I$5-D450)/30.4375</x:f>
        <x:v>28.607802874743328</x:v>
      </x:c>
      <x:c r="R450" s="1" t="n">
        <x:f>MAX(0,E450+P450-Q450)</x:f>
        <x:v>1696.3921971252566</x:v>
      </x:c>
      <x:c r="S450" s="1" t="n">
        <x:f>MAX(0,Q450-E450-P450)</x:f>
        <x:v>0</x:v>
      </x:c>
      <x:c r="T450" s="1" t="str">
        <x:f>IF(L450=1,MAX(0,I450+AB450-MIN(Q450,E450+P450)),"n.a.")</x:f>
        <x:v>n.a.</x:v>
      </x:c>
      <x:c r="U450" s="9" t="str">
        <x:f>IF(ISNUMBER(T450),T450*G450,"n.a.")</x:f>
        <x:v>n.a.</x:v>
      </x:c>
      <x:c r="V450" s="25" t="n">
        <x:f>IF(Dashboard!$I$6="Flat %",1,IF(ISNUMBER(H450),1,0))</x:f>
        <x:v>1</x:v>
      </x:c>
      <x:c r="W450" s="9" t="n">
        <x:f>IF(Dashboard!$I$6="Flat %",G450*(1+Dashboard!$L$6),H450)</x:f>
        <x:v>0.16625700000000002</x:v>
      </x:c>
      <x:c r="X450" s="9" t="n">
        <x:f>IF(V450=1,R450*(W450-G450),"n.a.")</x:f>
        <x:v>40.97974630595485</x:v>
      </x:c>
      <x:c r="Y450" s="9" t="n">
        <x:f>IF(V450=1,R450*W450,"n.a.")</x:f>
        <x:v>282.03707751745384</x:v>
      </x:c>
      <x:c r="Z450" s="1" t="str">
        <x:f>IF(ISNUMBER(T450),R450-T450,"n.a.")</x:f>
        <x:v>n.a.</x:v>
      </x:c>
      <x:c r="AA450" s="1" t="str">
        <x:f>'Inventory inputs'!R450</x:f>
        <x:v>Review receipt reconciliation or original PO baseline</x:v>
      </x:c>
      <x:c r="AB450" s="1" t="str">
        <x:f>IF(L450=1,SUMIFS('Incoming POs'!$P$2:$P$305,'Incoming POs'!$A$2:$A$305,A450,'Incoming POs'!$B$2:$B$305,B450,'Incoming POs'!$C$2:$C$305,C450,'Incoming POs'!$G$2:$G$305,"&gt;="&amp;D450,'Incoming POs'!$G$2:$G$305,"&lt;"&amp;Dashboard!$I$5,'Incoming POs'!$Q$2:$Q$305,"&lt;="&amp;('Inventory inputs'!P450/'Inventory inputs'!J450*1.01)),"n.a.")</x:f>
        <x:v>n.a.</x:v>
      </x:c>
      <x:c r="AC450" s="9" t="n">
        <x:f>I450*G450</x:f>
        <x:v>0</x:v>
      </x:c>
      <x:c r="AD450" s="9" t="n">
        <x:f>J450*G450</x:f>
        <x:v>0</x:v>
      </x:c>
      <x:c r="AE450" s="9" t="n">
        <x:f>K450*G450</x:f>
        <x:v>245.1225</x:v>
      </x:c>
      <x:c r="AF450" s="9" t="n">
        <x:f>R450*G450</x:f>
        <x:v>241.05733121149896</x:v>
      </x:c>
    </x:row>
    <x:row r="451" ht="21" customHeight="1">
      <x:c r="A451" s="1" t="str">
        <x:f>'Inventory inputs'!A451</x:f>
        <x:v>PLAS</x:v>
      </x:c>
      <x:c r="B451" s="1" t="str">
        <x:f>'Inventory inputs'!B451</x:f>
        <x:v>10</x:v>
      </x:c>
      <x:c r="C451" s="1" t="str">
        <x:f>'Inventory inputs'!C451</x:f>
        <x:v>13419RSLRED</x:v>
      </x:c>
      <x:c r="D451" s="7" t="n">
        <x:f>'Inventory inputs'!E451</x:f>
        <x:v>46303</x:v>
      </x:c>
      <x:c r="E451" s="1" t="n">
        <x:f>'Inventory inputs'!F451</x:f>
        <x:v>1150</x:v>
      </x:c>
      <x:c r="F451" s="1" t="n">
        <x:f>'Inventory inputs'!G451</x:f>
        <x:v>20.84</x:v>
      </x:c>
      <x:c r="G451" s="1" t="n">
        <x:f>'Inventory inputs'!H451/'Inventory inputs'!J451</x:f>
        <x:v>0.1457</x:v>
      </x:c>
      <x:c r="H451" s="1" t="n">
        <x:f>IF('Inventory inputs'!I451&gt;0,'Inventory inputs'!I451*'Inventory inputs'!K451/'Inventory inputs'!J451,"n.a.")</x:f>
        <x:v>0.170373</x:v>
      </x:c>
      <x:c r="I451" s="1" t="n">
        <x:f>'Inventory inputs'!L451</x:f>
        <x:v>0</x:v>
      </x:c>
      <x:c r="J451" s="1" t="n">
        <x:f>'Inventory inputs'!M451</x:f>
        <x:v>0</x:v>
      </x:c>
      <x:c r="K451" s="1" t="n">
        <x:f>'Inventory inputs'!N451</x:f>
        <x:v>1150</x:v>
      </x:c>
      <x:c r="L451" s="1" t="n">
        <x:f>'Inventory inputs'!O451</x:f>
        <x:v>0</x:v>
      </x:c>
      <x:c r="M451" s="9" t="n">
        <x:f>E451*G451</x:f>
        <x:v>167.555</x:v>
      </x:c>
      <x:c r="N451" s="9" t="n">
        <x:f>'Inventory inputs'!Q451</x:f>
        <x:v>167.555</x:v>
      </x:c>
      <x:c r="O451" s="9" t="n">
        <x:f>N451-M451</x:f>
        <x:v>0</x:v>
      </x:c>
      <x:c r="P451" s="1" t="n">
        <x:f>SUMIFS('Incoming POs'!$P$2:$P$305,'Incoming POs'!$A$2:$A$305,A451,'Incoming POs'!$B$2:$B$305,B451,'Incoming POs'!$C$2:$C$305,C451,'Incoming POs'!$G$2:$G$305,"&gt;="&amp;D451,'Incoming POs'!$G$2:$G$305,"&lt;"&amp;Dashboard!$I$5)</x:f>
        <x:v>0</x:v>
      </x:c>
      <x:c r="Q451" s="1" t="n">
        <x:f>F451*Dashboard!$L$5*MAX(0,Dashboard!$I$5-D451)/30.4375</x:f>
        <x:v>27.729609856262833</x:v>
      </x:c>
      <x:c r="R451" s="1" t="n">
        <x:f>MAX(0,E451+P451-Q451)</x:f>
        <x:v>1122.2703901437371</x:v>
      </x:c>
      <x:c r="S451" s="1" t="n">
        <x:f>MAX(0,Q451-E451-P451)</x:f>
        <x:v>0</x:v>
      </x:c>
      <x:c r="T451" s="1" t="str">
        <x:f>IF(L451=1,MAX(0,I451+AB451-MIN(Q451,E451+P451)),"n.a.")</x:f>
        <x:v>n.a.</x:v>
      </x:c>
      <x:c r="U451" s="9" t="str">
        <x:f>IF(ISNUMBER(T451),T451*G451,"n.a.")</x:f>
        <x:v>n.a.</x:v>
      </x:c>
      <x:c r="V451" s="25" t="n">
        <x:f>IF(Dashboard!$I$6="Flat %",1,IF(ISNUMBER(H451),1,0))</x:f>
        <x:v>1</x:v>
      </x:c>
      <x:c r="W451" s="9" t="n">
        <x:f>IF(Dashboard!$I$6="Flat %",G451*(1+Dashboard!$L$6),H451)</x:f>
        <x:v>0.170373</x:v>
      </x:c>
      <x:c r="X451" s="9" t="n">
        <x:f>IF(V451=1,R451*(W451-G451),"n.a.")</x:f>
        <x:v>27.689777336016427</x:v>
      </x:c>
      <x:c r="Y451" s="9" t="n">
        <x:f>IF(V451=1,R451*W451,"n.a.")</x:f>
        <x:v>191.2045731799589</x:v>
      </x:c>
      <x:c r="Z451" s="1" t="str">
        <x:f>IF(ISNUMBER(T451),R451-T451,"n.a.")</x:f>
        <x:v>n.a.</x:v>
      </x:c>
      <x:c r="AA451" s="1" t="str">
        <x:f>'Inventory inputs'!R451</x:f>
        <x:v>Review receipt reconciliation or original PO baseline</x:v>
      </x:c>
      <x:c r="AB451" s="1" t="str">
        <x:f>IF(L451=1,SUMIFS('Incoming POs'!$P$2:$P$305,'Incoming POs'!$A$2:$A$305,A451,'Incoming POs'!$B$2:$B$305,B451,'Incoming POs'!$C$2:$C$305,C451,'Incoming POs'!$G$2:$G$305,"&gt;="&amp;D451,'Incoming POs'!$G$2:$G$305,"&lt;"&amp;Dashboard!$I$5,'Incoming POs'!$Q$2:$Q$305,"&lt;="&amp;('Inventory inputs'!P451/'Inventory inputs'!J451*1.01)),"n.a.")</x:f>
        <x:v>n.a.</x:v>
      </x:c>
      <x:c r="AC451" s="9" t="n">
        <x:f>I451*G451</x:f>
        <x:v>0</x:v>
      </x:c>
      <x:c r="AD451" s="9" t="n">
        <x:f>J451*G451</x:f>
        <x:v>0</x:v>
      </x:c>
      <x:c r="AE451" s="9" t="n">
        <x:f>K451*G451</x:f>
        <x:v>167.555</x:v>
      </x:c>
      <x:c r="AF451" s="9" t="n">
        <x:f>R451*G451</x:f>
        <x:v>163.5147958439425</x:v>
      </x:c>
    </x:row>
    <x:row r="452" ht="21" customHeight="1">
      <x:c r="A452" s="1" t="str">
        <x:f>'Inventory inputs'!A452</x:f>
        <x:v>PLAS</x:v>
      </x:c>
      <x:c r="B452" s="1" t="str">
        <x:f>'Inventory inputs'!B452</x:f>
        <x:v>10</x:v>
      </x:c>
      <x:c r="C452" s="1" t="str">
        <x:f>'Inventory inputs'!C452</x:f>
        <x:v>13419RSLMAR</x:v>
      </x:c>
      <x:c r="D452" s="7" t="n">
        <x:f>'Inventory inputs'!E452</x:f>
        <x:v>46303</x:v>
      </x:c>
      <x:c r="E452" s="1" t="n">
        <x:f>'Inventory inputs'!F452</x:f>
        <x:v>150</x:v>
      </x:c>
      <x:c r="F452" s="1" t="n">
        <x:f>'Inventory inputs'!G452</x:f>
        <x:v>20.83</x:v>
      </x:c>
      <x:c r="G452" s="1" t="n">
        <x:f>'Inventory inputs'!H452/'Inventory inputs'!J452</x:f>
        <x:v>0.1457</x:v>
      </x:c>
      <x:c r="H452" s="1" t="n">
        <x:f>IF('Inventory inputs'!I452&gt;0,'Inventory inputs'!I452*'Inventory inputs'!K452/'Inventory inputs'!J452,"n.a.")</x:f>
        <x:v>0.170373</x:v>
      </x:c>
      <x:c r="I452" s="1" t="n">
        <x:f>'Inventory inputs'!L452</x:f>
        <x:v>0</x:v>
      </x:c>
      <x:c r="J452" s="1" t="n">
        <x:f>'Inventory inputs'!M452</x:f>
        <x:v>0</x:v>
      </x:c>
      <x:c r="K452" s="1" t="n">
        <x:f>'Inventory inputs'!N452</x:f>
        <x:v>150</x:v>
      </x:c>
      <x:c r="L452" s="1" t="n">
        <x:f>'Inventory inputs'!O452</x:f>
        <x:v>0</x:v>
      </x:c>
      <x:c r="M452" s="9" t="n">
        <x:f>E452*G452</x:f>
        <x:v>21.855</x:v>
      </x:c>
      <x:c r="N452" s="9" t="n">
        <x:f>'Inventory inputs'!Q452</x:f>
        <x:v>21.855</x:v>
      </x:c>
      <x:c r="O452" s="9" t="n">
        <x:f>N452-M452</x:f>
        <x:v>0</x:v>
      </x:c>
      <x:c r="P452" s="1" t="n">
        <x:f>SUMIFS('Incoming POs'!$P$2:$P$305,'Incoming POs'!$A$2:$A$305,A452,'Incoming POs'!$B$2:$B$305,B452,'Incoming POs'!$C$2:$C$305,C452,'Incoming POs'!$G$2:$G$305,"&gt;="&amp;D452,'Incoming POs'!$G$2:$G$305,"&lt;"&amp;Dashboard!$I$5)</x:f>
        <x:v>1000</x:v>
      </x:c>
      <x:c r="Q452" s="1" t="n">
        <x:f>F452*Dashboard!$L$5*MAX(0,Dashboard!$I$5-D452)/30.4375</x:f>
        <x:v>27.716303901437367</x:v>
      </x:c>
      <x:c r="R452" s="1" t="n">
        <x:f>MAX(0,E452+P452-Q452)</x:f>
        <x:v>1122.2836960985626</x:v>
      </x:c>
      <x:c r="S452" s="1" t="n">
        <x:f>MAX(0,Q452-E452-P452)</x:f>
        <x:v>0</x:v>
      </x:c>
      <x:c r="T452" s="1" t="str">
        <x:f>IF(L452=1,MAX(0,I452+AB452-MIN(Q452,E452+P452)),"n.a.")</x:f>
        <x:v>n.a.</x:v>
      </x:c>
      <x:c r="U452" s="9" t="str">
        <x:f>IF(ISNUMBER(T452),T452*G452,"n.a.")</x:f>
        <x:v>n.a.</x:v>
      </x:c>
      <x:c r="V452" s="25" t="n">
        <x:f>IF(Dashboard!$I$6="Flat %",1,IF(ISNUMBER(H452),1,0))</x:f>
        <x:v>1</x:v>
      </x:c>
      <x:c r="W452" s="9" t="n">
        <x:f>IF(Dashboard!$I$6="Flat %",G452*(1+Dashboard!$L$6),H452)</x:f>
        <x:v>0.170373</x:v>
      </x:c>
      <x:c r="X452" s="9" t="n">
        <x:f>IF(V452=1,R452*(W452-G452),"n.a.")</x:f>
        <x:v>27.690105633839835</x:v>
      </x:c>
      <x:c r="Y452" s="9" t="n">
        <x:f>IF(V452=1,R452*W452,"n.a.")</x:f>
        <x:v>191.2068401554004</x:v>
      </x:c>
      <x:c r="Z452" s="1" t="str">
        <x:f>IF(ISNUMBER(T452),R452-T452,"n.a.")</x:f>
        <x:v>n.a.</x:v>
      </x:c>
      <x:c r="AA452" s="1" t="str">
        <x:f>'Inventory inputs'!R452</x:f>
        <x:v>Review receipt reconciliation or original PO baseline</x:v>
      </x:c>
      <x:c r="AB452" s="1" t="str">
        <x:f>IF(L452=1,SUMIFS('Incoming POs'!$P$2:$P$305,'Incoming POs'!$A$2:$A$305,A452,'Incoming POs'!$B$2:$B$305,B452,'Incoming POs'!$C$2:$C$305,C452,'Incoming POs'!$G$2:$G$305,"&gt;="&amp;D452,'Incoming POs'!$G$2:$G$305,"&lt;"&amp;Dashboard!$I$5,'Incoming POs'!$Q$2:$Q$305,"&lt;="&amp;('Inventory inputs'!P452/'Inventory inputs'!J452*1.01)),"n.a.")</x:f>
        <x:v>n.a.</x:v>
      </x:c>
      <x:c r="AC452" s="9" t="n">
        <x:f>I452*G452</x:f>
        <x:v>0</x:v>
      </x:c>
      <x:c r="AD452" s="9" t="n">
        <x:f>J452*G452</x:f>
        <x:v>0</x:v>
      </x:c>
      <x:c r="AE452" s="9" t="n">
        <x:f>K452*G452</x:f>
        <x:v>21.855</x:v>
      </x:c>
      <x:c r="AF452" s="9" t="n">
        <x:f>R452*G452</x:f>
        <x:v>163.51673452156055</x:v>
      </x:c>
    </x:row>
    <x:row r="453" ht="21" customHeight="1">
      <x:c r="A453" s="1" t="str">
        <x:f>'Inventory inputs'!A453</x:f>
        <x:v>PLAS</x:v>
      </x:c>
      <x:c r="B453" s="1" t="str">
        <x:f>'Inventory inputs'!B453</x:f>
        <x:v>10</x:v>
      </x:c>
      <x:c r="C453" s="1" t="str">
        <x:f>'Inventory inputs'!C453</x:f>
        <x:v>71621RWBBLK</x:v>
      </x:c>
      <x:c r="D453" s="7" t="n">
        <x:f>'Inventory inputs'!E453</x:f>
        <x:v>46303</x:v>
      </x:c>
      <x:c r="E453" s="1" t="n">
        <x:f>'Inventory inputs'!F453</x:f>
        <x:v>2050</x:v>
      </x:c>
      <x:c r="F453" s="1" t="n">
        <x:f>'Inventory inputs'!G453</x:f>
        <x:v>18.33</x:v>
      </x:c>
      <x:c r="G453" s="1" t="n">
        <x:f>'Inventory inputs'!H453/'Inventory inputs'!J453</x:f>
        <x:v>0.030899999999999997</x:v>
      </x:c>
      <x:c r="H453" s="1" t="n">
        <x:f>IF('Inventory inputs'!I453&gt;0,'Inventory inputs'!I453*'Inventory inputs'!K453/'Inventory inputs'!J453,"n.a.")</x:f>
        <x:v>0.036162</x:v>
      </x:c>
      <x:c r="I453" s="1" t="n">
        <x:f>'Inventory inputs'!L453</x:f>
        <x:v>0</x:v>
      </x:c>
      <x:c r="J453" s="1" t="n">
        <x:f>'Inventory inputs'!M453</x:f>
        <x:v>0</x:v>
      </x:c>
      <x:c r="K453" s="1" t="n">
        <x:f>'Inventory inputs'!N453</x:f>
        <x:v>2050</x:v>
      </x:c>
      <x:c r="L453" s="1" t="n">
        <x:f>'Inventory inputs'!O453</x:f>
        <x:v>0</x:v>
      </x:c>
      <x:c r="M453" s="9" t="n">
        <x:f>E453*G453</x:f>
        <x:v>63.34499999999999</x:v>
      </x:c>
      <x:c r="N453" s="9" t="n">
        <x:f>'Inventory inputs'!Q453</x:f>
        <x:v>63.345</x:v>
      </x:c>
      <x:c r="O453" s="9" t="n">
        <x:f>N453-M453</x:f>
        <x:v>7.105427357601002e-15</x:v>
      </x:c>
      <x:c r="P453" s="1" t="n">
        <x:f>SUMIFS('Incoming POs'!$P$2:$P$305,'Incoming POs'!$A$2:$A$305,A453,'Incoming POs'!$B$2:$B$305,B453,'Incoming POs'!$C$2:$C$305,C453,'Incoming POs'!$G$2:$G$305,"&gt;="&amp;D453,'Incoming POs'!$G$2:$G$305,"&lt;"&amp;Dashboard!$I$5)</x:f>
        <x:v>0</x:v>
      </x:c>
      <x:c r="Q453" s="1" t="n">
        <x:f>F453*Dashboard!$L$5*MAX(0,Dashboard!$I$5-D453)/30.4375</x:f>
        <x:v>24.389815195071865</x:v>
      </x:c>
      <x:c r="R453" s="1" t="n">
        <x:f>MAX(0,E453+P453-Q453)</x:f>
        <x:v>2025.6101848049282</x:v>
      </x:c>
      <x:c r="S453" s="1" t="n">
        <x:f>MAX(0,Q453-E453-P453)</x:f>
        <x:v>0</x:v>
      </x:c>
      <x:c r="T453" s="1" t="str">
        <x:f>IF(L453=1,MAX(0,I453+AB453-MIN(Q453,E453+P453)),"n.a.")</x:f>
        <x:v>n.a.</x:v>
      </x:c>
      <x:c r="U453" s="9" t="str">
        <x:f>IF(ISNUMBER(T453),T453*G453,"n.a.")</x:f>
        <x:v>n.a.</x:v>
      </x:c>
      <x:c r="V453" s="25" t="n">
        <x:f>IF(Dashboard!$I$6="Flat %",1,IF(ISNUMBER(H453),1,0))</x:f>
        <x:v>1</x:v>
      </x:c>
      <x:c r="W453" s="9" t="n">
        <x:f>IF(Dashboard!$I$6="Flat %",G453*(1+Dashboard!$L$6),H453)</x:f>
        <x:v>0.036162</x:v>
      </x:c>
      <x:c r="X453" s="9" t="n">
        <x:f>IF(V453=1,R453*(W453-G453),"n.a.")</x:f>
        <x:v>10.658760792443537</x:v>
      </x:c>
      <x:c r="Y453" s="9" t="n">
        <x:f>IF(V453=1,R453*W453,"n.a.")</x:f>
        <x:v>73.25011550291582</x:v>
      </x:c>
      <x:c r="Z453" s="1" t="str">
        <x:f>IF(ISNUMBER(T453),R453-T453,"n.a.")</x:f>
        <x:v>n.a.</x:v>
      </x:c>
      <x:c r="AA453" s="1" t="str">
        <x:f>'Inventory inputs'!R453</x:f>
        <x:v>Review receipt reconciliation or original PO baseline</x:v>
      </x:c>
      <x:c r="AB453" s="1" t="str">
        <x:f>IF(L453=1,SUMIFS('Incoming POs'!$P$2:$P$305,'Incoming POs'!$A$2:$A$305,A453,'Incoming POs'!$B$2:$B$305,B453,'Incoming POs'!$C$2:$C$305,C453,'Incoming POs'!$G$2:$G$305,"&gt;="&amp;D453,'Incoming POs'!$G$2:$G$305,"&lt;"&amp;Dashboard!$I$5,'Incoming POs'!$Q$2:$Q$305,"&lt;="&amp;('Inventory inputs'!P453/'Inventory inputs'!J453*1.01)),"n.a.")</x:f>
        <x:v>n.a.</x:v>
      </x:c>
      <x:c r="AC453" s="9" t="n">
        <x:f>I453*G453</x:f>
        <x:v>0</x:v>
      </x:c>
      <x:c r="AD453" s="9" t="n">
        <x:f>J453*G453</x:f>
        <x:v>0</x:v>
      </x:c>
      <x:c r="AE453" s="9" t="n">
        <x:f>K453*G453</x:f>
        <x:v>63.34499999999999</x:v>
      </x:c>
      <x:c r="AF453" s="9" t="n">
        <x:f>R453*G453</x:f>
        <x:v>62.591354710472274</x:v>
      </x:c>
    </x:row>
    <x:row r="454" ht="21" customHeight="1">
      <x:c r="A454" s="1" t="str">
        <x:f>'Inventory inputs'!A454</x:f>
        <x:v>PLAS</x:v>
      </x:c>
      <x:c r="B454" s="1" t="str">
        <x:f>'Inventory inputs'!B454</x:f>
        <x:v>10</x:v>
      </x:c>
      <x:c r="C454" s="1" t="str">
        <x:f>'Inventory inputs'!C454</x:f>
        <x:v>00215RSLBLK</x:v>
      </x:c>
      <x:c r="D454" s="7" t="n">
        <x:f>'Inventory inputs'!E454</x:f>
        <x:v>46303</x:v>
      </x:c>
      <x:c r="E454" s="1" t="n">
        <x:f>'Inventory inputs'!F454</x:f>
        <x:v>1920</x:v>
      </x:c>
      <x:c r="F454" s="1" t="n">
        <x:f>'Inventory inputs'!G454</x:f>
        <x:v>16.67</x:v>
      </x:c>
      <x:c r="G454" s="1" t="n">
        <x:f>'Inventory inputs'!H454/'Inventory inputs'!J454</x:f>
        <x:v>0.10189999999999999</x:v>
      </x:c>
      <x:c r="H454" s="1" t="n">
        <x:f>IF('Inventory inputs'!I454&gt;0,'Inventory inputs'!I454*'Inventory inputs'!K454/'Inventory inputs'!J454,"n.a.")</x:f>
        <x:v>0.11921699999999999</x:v>
      </x:c>
      <x:c r="I454" s="1" t="n">
        <x:f>'Inventory inputs'!L454</x:f>
        <x:v>0</x:v>
      </x:c>
      <x:c r="J454" s="1" t="n">
        <x:f>'Inventory inputs'!M454</x:f>
        <x:v>0</x:v>
      </x:c>
      <x:c r="K454" s="1" t="n">
        <x:f>'Inventory inputs'!N454</x:f>
        <x:v>1920</x:v>
      </x:c>
      <x:c r="L454" s="1" t="n">
        <x:f>'Inventory inputs'!O454</x:f>
        <x:v>0</x:v>
      </x:c>
      <x:c r="M454" s="9" t="n">
        <x:f>E454*G454</x:f>
        <x:v>195.64799999999997</x:v>
      </x:c>
      <x:c r="N454" s="9" t="n">
        <x:f>'Inventory inputs'!Q454</x:f>
        <x:v>195.648</x:v>
      </x:c>
      <x:c r="O454" s="9" t="n">
        <x:f>N454-M454</x:f>
        <x:v>2.842170943040401e-14</x:v>
      </x:c>
      <x:c r="P454" s="1" t="n">
        <x:f>SUMIFS('Incoming POs'!$P$2:$P$305,'Incoming POs'!$A$2:$A$305,A454,'Incoming POs'!$B$2:$B$305,B454,'Incoming POs'!$C$2:$C$305,C454,'Incoming POs'!$G$2:$G$305,"&gt;="&amp;D454,'Incoming POs'!$G$2:$G$305,"&lt;"&amp;Dashboard!$I$5)</x:f>
        <x:v>0</x:v>
      </x:c>
      <x:c r="Q454" s="1" t="n">
        <x:f>F454*Dashboard!$L$5*MAX(0,Dashboard!$I$5-D454)/30.4375</x:f>
        <x:v>22.18102669404518</x:v>
      </x:c>
      <x:c r="R454" s="1" t="n">
        <x:f>MAX(0,E454+P454-Q454)</x:f>
        <x:v>1897.8189733059548</x:v>
      </x:c>
      <x:c r="S454" s="1" t="n">
        <x:f>MAX(0,Q454-E454-P454)</x:f>
        <x:v>0</x:v>
      </x:c>
      <x:c r="T454" s="1" t="str">
        <x:f>IF(L454=1,MAX(0,I454+AB454-MIN(Q454,E454+P454)),"n.a.")</x:f>
        <x:v>n.a.</x:v>
      </x:c>
      <x:c r="U454" s="9" t="str">
        <x:f>IF(ISNUMBER(T454),T454*G454,"n.a.")</x:f>
        <x:v>n.a.</x:v>
      </x:c>
      <x:c r="V454" s="25" t="n">
        <x:f>IF(Dashboard!$I$6="Flat %",1,IF(ISNUMBER(H454),1,0))</x:f>
        <x:v>1</x:v>
      </x:c>
      <x:c r="W454" s="9" t="n">
        <x:f>IF(Dashboard!$I$6="Flat %",G454*(1+Dashboard!$L$6),H454)</x:f>
        <x:v>0.11921699999999999</x:v>
      </x:c>
      <x:c r="X454" s="9" t="n">
        <x:f>IF(V454=1,R454*(W454-G454),"n.a.")</x:f>
        <x:v>32.86453116073922</x:v>
      </x:c>
      <x:c r="Y454" s="9" t="n">
        <x:f>IF(V454=1,R454*W454,"n.a.")</x:f>
        <x:v>226.252284540616</x:v>
      </x:c>
      <x:c r="Z454" s="1" t="str">
        <x:f>IF(ISNUMBER(T454),R454-T454,"n.a.")</x:f>
        <x:v>n.a.</x:v>
      </x:c>
      <x:c r="AA454" s="1" t="str">
        <x:f>'Inventory inputs'!R454</x:f>
        <x:v>Review receipt reconciliation or original PO baseline</x:v>
      </x:c>
      <x:c r="AB454" s="1" t="str">
        <x:f>IF(L454=1,SUMIFS('Incoming POs'!$P$2:$P$305,'Incoming POs'!$A$2:$A$305,A454,'Incoming POs'!$B$2:$B$305,B454,'Incoming POs'!$C$2:$C$305,C454,'Incoming POs'!$G$2:$G$305,"&gt;="&amp;D454,'Incoming POs'!$G$2:$G$305,"&lt;"&amp;Dashboard!$I$5,'Incoming POs'!$Q$2:$Q$305,"&lt;="&amp;('Inventory inputs'!P454/'Inventory inputs'!J454*1.01)),"n.a.")</x:f>
        <x:v>n.a.</x:v>
      </x:c>
      <x:c r="AC454" s="9" t="n">
        <x:f>I454*G454</x:f>
        <x:v>0</x:v>
      </x:c>
      <x:c r="AD454" s="9" t="n">
        <x:f>J454*G454</x:f>
        <x:v>0</x:v>
      </x:c>
      <x:c r="AE454" s="9" t="n">
        <x:f>K454*G454</x:f>
        <x:v>195.64799999999997</x:v>
      </x:c>
      <x:c r="AF454" s="9" t="n">
        <x:f>R454*G454</x:f>
        <x:v>193.38775337987678</x:v>
      </x:c>
    </x:row>
    <x:row r="455" ht="21" customHeight="1">
      <x:c r="A455" s="1" t="str">
        <x:f>'Inventory inputs'!A455</x:f>
        <x:v>PLAS</x:v>
      </x:c>
      <x:c r="B455" s="1" t="str">
        <x:f>'Inventory inputs'!B455</x:f>
        <x:v>10</x:v>
      </x:c>
      <x:c r="C455" s="1" t="str">
        <x:f>'Inventory inputs'!C455</x:f>
        <x:v>03815RWBFG</x:v>
      </x:c>
      <x:c r="D455" s="7" t="n">
        <x:f>'Inventory inputs'!E455</x:f>
        <x:v>46303</x:v>
      </x:c>
      <x:c r="E455" s="1" t="n">
        <x:f>'Inventory inputs'!F455</x:f>
        <x:v>10000</x:v>
      </x:c>
      <x:c r="F455" s="1" t="n">
        <x:f>'Inventory inputs'!G455</x:f>
        <x:v>16.67</x:v>
      </x:c>
      <x:c r="G455" s="1" t="n">
        <x:f>'Inventory inputs'!H455/'Inventory inputs'!J455</x:f>
        <x:v>0.0125</x:v>
      </x:c>
      <x:c r="H455" s="1" t="n">
        <x:f>IF('Inventory inputs'!I455&gt;0,'Inventory inputs'!I455*'Inventory inputs'!K455/'Inventory inputs'!J455,"n.a.")</x:f>
        <x:v>0.018963</x:v>
      </x:c>
      <x:c r="I455" s="1" t="n">
        <x:f>'Inventory inputs'!L455</x:f>
        <x:v>0</x:v>
      </x:c>
      <x:c r="J455" s="1" t="n">
        <x:f>'Inventory inputs'!M455</x:f>
        <x:v>0</x:v>
      </x:c>
      <x:c r="K455" s="1" t="n">
        <x:f>'Inventory inputs'!N455</x:f>
        <x:v>10000</x:v>
      </x:c>
      <x:c r="L455" s="1" t="n">
        <x:f>'Inventory inputs'!O455</x:f>
        <x:v>0</x:v>
      </x:c>
      <x:c r="M455" s="9" t="n">
        <x:f>E455*G455</x:f>
        <x:v>125</x:v>
      </x:c>
      <x:c r="N455" s="9" t="n">
        <x:f>'Inventory inputs'!Q455</x:f>
        <x:v>125</x:v>
      </x:c>
      <x:c r="O455" s="9" t="n">
        <x:f>N455-M455</x:f>
        <x:v>0</x:v>
      </x:c>
      <x:c r="P455" s="1" t="n">
        <x:f>SUMIFS('Incoming POs'!$P$2:$P$305,'Incoming POs'!$A$2:$A$305,A455,'Incoming POs'!$B$2:$B$305,B455,'Incoming POs'!$C$2:$C$305,C455,'Incoming POs'!$G$2:$G$305,"&gt;="&amp;D455,'Incoming POs'!$G$2:$G$305,"&lt;"&amp;Dashboard!$I$5)</x:f>
        <x:v>0</x:v>
      </x:c>
      <x:c r="Q455" s="1" t="n">
        <x:f>F455*Dashboard!$L$5*MAX(0,Dashboard!$I$5-D455)/30.4375</x:f>
        <x:v>22.18102669404518</x:v>
      </x:c>
      <x:c r="R455" s="1" t="n">
        <x:f>MAX(0,E455+P455-Q455)</x:f>
        <x:v>9977.818973305955</x:v>
      </x:c>
      <x:c r="S455" s="1" t="n">
        <x:f>MAX(0,Q455-E455-P455)</x:f>
        <x:v>0</x:v>
      </x:c>
      <x:c r="T455" s="1" t="str">
        <x:f>IF(L455=1,MAX(0,I455+AB455-MIN(Q455,E455+P455)),"n.a.")</x:f>
        <x:v>n.a.</x:v>
      </x:c>
      <x:c r="U455" s="9" t="str">
        <x:f>IF(ISNUMBER(T455),T455*G455,"n.a.")</x:f>
        <x:v>n.a.</x:v>
      </x:c>
      <x:c r="V455" s="25" t="n">
        <x:f>IF(Dashboard!$I$6="Flat %",1,IF(ISNUMBER(H455),1,0))</x:f>
        <x:v>1</x:v>
      </x:c>
      <x:c r="W455" s="9" t="n">
        <x:f>IF(Dashboard!$I$6="Flat %",G455*(1+Dashboard!$L$6),H455)</x:f>
        <x:v>0.018963</x:v>
      </x:c>
      <x:c r="X455" s="9" t="n">
        <x:f>IF(V455=1,R455*(W455-G455),"n.a.")</x:f>
        <x:v>64.48664402447639</x:v>
      </x:c>
      <x:c r="Y455" s="9" t="n">
        <x:f>IF(V455=1,R455*W455,"n.a.")</x:f>
        <x:v>189.20938119080083</x:v>
      </x:c>
      <x:c r="Z455" s="1" t="str">
        <x:f>IF(ISNUMBER(T455),R455-T455,"n.a.")</x:f>
        <x:v>n.a.</x:v>
      </x:c>
      <x:c r="AA455" s="1" t="str">
        <x:f>'Inventory inputs'!R455</x:f>
        <x:v>Review receipt reconciliation or original PO baseline</x:v>
      </x:c>
      <x:c r="AB455" s="1" t="str">
        <x:f>IF(L455=1,SUMIFS('Incoming POs'!$P$2:$P$305,'Incoming POs'!$A$2:$A$305,A455,'Incoming POs'!$B$2:$B$305,B455,'Incoming POs'!$C$2:$C$305,C455,'Incoming POs'!$G$2:$G$305,"&gt;="&amp;D455,'Incoming POs'!$G$2:$G$305,"&lt;"&amp;Dashboard!$I$5,'Incoming POs'!$Q$2:$Q$305,"&lt;="&amp;('Inventory inputs'!P455/'Inventory inputs'!J455*1.01)),"n.a.")</x:f>
        <x:v>n.a.</x:v>
      </x:c>
      <x:c r="AC455" s="9" t="n">
        <x:f>I455*G455</x:f>
        <x:v>0</x:v>
      </x:c>
      <x:c r="AD455" s="9" t="n">
        <x:f>J455*G455</x:f>
        <x:v>0</x:v>
      </x:c>
      <x:c r="AE455" s="9" t="n">
        <x:f>K455*G455</x:f>
        <x:v>125</x:v>
      </x:c>
      <x:c r="AF455" s="9" t="n">
        <x:f>R455*G455</x:f>
        <x:v>124.72273716632445</x:v>
      </x:c>
    </x:row>
    <x:row r="456" ht="21" customHeight="1">
      <x:c r="A456" s="1" t="str">
        <x:f>'Inventory inputs'!A456</x:f>
        <x:v>PLAS</x:v>
      </x:c>
      <x:c r="B456" s="1" t="str">
        <x:f>'Inventory inputs'!B456</x:f>
        <x:v>10</x:v>
      </x:c>
      <x:c r="C456" s="1" t="str">
        <x:f>'Inventory inputs'!C456</x:f>
        <x:v>03821RWBWHT</x:v>
      </x:c>
      <x:c r="D456" s="7" t="n">
        <x:f>'Inventory inputs'!E456</x:f>
        <x:v>46303</x:v>
      </x:c>
      <x:c r="E456" s="1" t="n">
        <x:f>'Inventory inputs'!F456</x:f>
        <x:v>1217</x:v>
      </x:c>
      <x:c r="F456" s="1" t="n">
        <x:f>'Inventory inputs'!G456</x:f>
        <x:v>16.67</x:v>
      </x:c>
      <x:c r="G456" s="1" t="n">
        <x:f>'Inventory inputs'!H456/'Inventory inputs'!J456</x:f>
        <x:v>0.0229</x:v>
      </x:c>
      <x:c r="H456" s="1" t="n">
        <x:f>IF('Inventory inputs'!I456&gt;0,'Inventory inputs'!I456*'Inventory inputs'!K456/'Inventory inputs'!J456,"n.a.")</x:f>
        <x:v>0.026901</x:v>
      </x:c>
      <x:c r="I456" s="1" t="n">
        <x:f>'Inventory inputs'!L456</x:f>
        <x:v>0</x:v>
      </x:c>
      <x:c r="J456" s="1" t="n">
        <x:f>'Inventory inputs'!M456</x:f>
        <x:v>0</x:v>
      </x:c>
      <x:c r="K456" s="1" t="n">
        <x:f>'Inventory inputs'!N456</x:f>
        <x:v>1217</x:v>
      </x:c>
      <x:c r="L456" s="1" t="n">
        <x:f>'Inventory inputs'!O456</x:f>
        <x:v>0</x:v>
      </x:c>
      <x:c r="M456" s="9" t="n">
        <x:f>E456*G456</x:f>
        <x:v>27.8693</x:v>
      </x:c>
      <x:c r="N456" s="9" t="n">
        <x:f>'Inventory inputs'!Q456</x:f>
        <x:v>27.8693</x:v>
      </x:c>
      <x:c r="O456" s="9" t="n">
        <x:f>N456-M456</x:f>
        <x:v>0</x:v>
      </x:c>
      <x:c r="P456" s="1" t="n">
        <x:f>SUMIFS('Incoming POs'!$P$2:$P$305,'Incoming POs'!$A$2:$A$305,A456,'Incoming POs'!$B$2:$B$305,B456,'Incoming POs'!$C$2:$C$305,C456,'Incoming POs'!$G$2:$G$305,"&gt;="&amp;D456,'Incoming POs'!$G$2:$G$305,"&lt;"&amp;Dashboard!$I$5)</x:f>
        <x:v>0</x:v>
      </x:c>
      <x:c r="Q456" s="1" t="n">
        <x:f>F456*Dashboard!$L$5*MAX(0,Dashboard!$I$5-D456)/30.4375</x:f>
        <x:v>22.18102669404518</x:v>
      </x:c>
      <x:c r="R456" s="1" t="n">
        <x:f>MAX(0,E456+P456-Q456)</x:f>
        <x:v>1194.8189733059548</x:v>
      </x:c>
      <x:c r="S456" s="1" t="n">
        <x:f>MAX(0,Q456-E456-P456)</x:f>
        <x:v>0</x:v>
      </x:c>
      <x:c r="T456" s="1" t="str">
        <x:f>IF(L456=1,MAX(0,I456+AB456-MIN(Q456,E456+P456)),"n.a.")</x:f>
        <x:v>n.a.</x:v>
      </x:c>
      <x:c r="U456" s="9" t="str">
        <x:f>IF(ISNUMBER(T456),T456*G456,"n.a.")</x:f>
        <x:v>n.a.</x:v>
      </x:c>
      <x:c r="V456" s="25" t="n">
        <x:f>IF(Dashboard!$I$6="Flat %",1,IF(ISNUMBER(H456),1,0))</x:f>
        <x:v>1</x:v>
      </x:c>
      <x:c r="W456" s="9" t="n">
        <x:f>IF(Dashboard!$I$6="Flat %",G456*(1+Dashboard!$L$6),H456)</x:f>
        <x:v>0.026901</x:v>
      </x:c>
      <x:c r="X456" s="9" t="n">
        <x:f>IF(V456=1,R456*(W456-G456),"n.a.")</x:f>
        <x:v>4.780470712197126</x:v>
      </x:c>
      <x:c r="Y456" s="9" t="n">
        <x:f>IF(V456=1,R456*W456,"n.a.")</x:f>
        <x:v>32.14182520090349</x:v>
      </x:c>
      <x:c r="Z456" s="1" t="str">
        <x:f>IF(ISNUMBER(T456),R456-T456,"n.a.")</x:f>
        <x:v>n.a.</x:v>
      </x:c>
      <x:c r="AA456" s="1" t="str">
        <x:f>'Inventory inputs'!R456</x:f>
        <x:v>Review receipt reconciliation or original PO baseline</x:v>
      </x:c>
      <x:c r="AB456" s="1" t="str">
        <x:f>IF(L456=1,SUMIFS('Incoming POs'!$P$2:$P$305,'Incoming POs'!$A$2:$A$305,A456,'Incoming POs'!$B$2:$B$305,B456,'Incoming POs'!$C$2:$C$305,C456,'Incoming POs'!$G$2:$G$305,"&gt;="&amp;D456,'Incoming POs'!$G$2:$G$305,"&lt;"&amp;Dashboard!$I$5,'Incoming POs'!$Q$2:$Q$305,"&lt;="&amp;('Inventory inputs'!P456/'Inventory inputs'!J456*1.01)),"n.a.")</x:f>
        <x:v>n.a.</x:v>
      </x:c>
      <x:c r="AC456" s="9" t="n">
        <x:f>I456*G456</x:f>
        <x:v>0</x:v>
      </x:c>
      <x:c r="AD456" s="9" t="n">
        <x:f>J456*G456</x:f>
        <x:v>0</x:v>
      </x:c>
      <x:c r="AE456" s="9" t="n">
        <x:f>K456*G456</x:f>
        <x:v>27.8693</x:v>
      </x:c>
      <x:c r="AF456" s="9" t="n">
        <x:f>R456*G456</x:f>
        <x:v>27.361354488706365</x:v>
      </x:c>
    </x:row>
    <x:row r="457" ht="21" customHeight="1">
      <x:c r="A457" s="1" t="str">
        <x:f>'Inventory inputs'!A457</x:f>
        <x:v>PLAS</x:v>
      </x:c>
      <x:c r="B457" s="1" t="str">
        <x:f>'Inventory inputs'!B457</x:f>
        <x:v>10</x:v>
      </x:c>
      <x:c r="C457" s="1" t="str">
        <x:f>'Inventory inputs'!C457</x:f>
        <x:v>11215RSLWHT</x:v>
      </x:c>
      <x:c r="D457" s="7" t="n">
        <x:f>'Inventory inputs'!E457</x:f>
        <x:v>46303</x:v>
      </x:c>
      <x:c r="E457" s="1" t="n">
        <x:f>'Inventory inputs'!F457</x:f>
        <x:v>4555</x:v>
      </x:c>
      <x:c r="F457" s="1" t="n">
        <x:f>'Inventory inputs'!G457</x:f>
        <x:v>16.67</x:v>
      </x:c>
      <x:c r="G457" s="1" t="n">
        <x:f>'Inventory inputs'!H457/'Inventory inputs'!J457</x:f>
        <x:v>0.0886</x:v>
      </x:c>
      <x:c r="H457" s="1" t="n">
        <x:f>IF('Inventory inputs'!I457&gt;0,'Inventory inputs'!I457*'Inventory inputs'!K457/'Inventory inputs'!J457,"n.a.")</x:f>
        <x:v>0.103782</x:v>
      </x:c>
      <x:c r="I457" s="1" t="n">
        <x:f>'Inventory inputs'!L457</x:f>
        <x:v>3555</x:v>
      </x:c>
      <x:c r="J457" s="1" t="n">
        <x:f>'Inventory inputs'!M457</x:f>
        <x:v>1000</x:v>
      </x:c>
      <x:c r="K457" s="1" t="n">
        <x:f>'Inventory inputs'!N457</x:f>
        <x:v>0</x:v>
      </x:c>
      <x:c r="L457" s="1" t="n">
        <x:f>'Inventory inputs'!O457</x:f>
        <x:v>1</x:v>
      </x:c>
      <x:c r="M457" s="9" t="n">
        <x:f>E457*G457</x:f>
        <x:v>403.573</x:v>
      </x:c>
      <x:c r="N457" s="9" t="n">
        <x:f>'Inventory inputs'!Q457</x:f>
        <x:v>403.573</x:v>
      </x:c>
      <x:c r="O457" s="9" t="n">
        <x:f>N457-M457</x:f>
        <x:v>0</x:v>
      </x:c>
      <x:c r="P457" s="1" t="n">
        <x:f>SUMIFS('Incoming POs'!$P$2:$P$305,'Incoming POs'!$A$2:$A$305,A457,'Incoming POs'!$B$2:$B$305,B457,'Incoming POs'!$C$2:$C$305,C457,'Incoming POs'!$G$2:$G$305,"&gt;="&amp;D457,'Incoming POs'!$G$2:$G$305,"&lt;"&amp;Dashboard!$I$5)</x:f>
        <x:v>0</x:v>
      </x:c>
      <x:c r="Q457" s="1" t="n">
        <x:f>F457*Dashboard!$L$5*MAX(0,Dashboard!$I$5-D457)/30.4375</x:f>
        <x:v>22.18102669404518</x:v>
      </x:c>
      <x:c r="R457" s="1" t="n">
        <x:f>MAX(0,E457+P457-Q457)</x:f>
        <x:v>4532.818973305954</x:v>
      </x:c>
      <x:c r="S457" s="1" t="n">
        <x:f>MAX(0,Q457-E457-P457)</x:f>
        <x:v>0</x:v>
      </x:c>
      <x:c r="T457" s="1" t="n">
        <x:f>IF(L457=1,MAX(0,I457+AB457-MIN(Q457,E457+P457)),"n.a.")</x:f>
        <x:v>3532.818973305955</x:v>
      </x:c>
      <x:c r="U457" s="9" t="n">
        <x:f>IF(ISNUMBER(T457),T457*G457,"n.a.")</x:f>
        <x:v>313.0077610349076</x:v>
      </x:c>
      <x:c r="V457" s="25" t="n">
        <x:f>IF(Dashboard!$I$6="Flat %",1,IF(ISNUMBER(H457),1,0))</x:f>
        <x:v>1</x:v>
      </x:c>
      <x:c r="W457" s="9" t="n">
        <x:f>IF(Dashboard!$I$6="Flat %",G457*(1+Dashboard!$L$6),H457)</x:f>
        <x:v>0.103782</x:v>
      </x:c>
      <x:c r="X457" s="9" t="n">
        <x:f>IF(V457=1,R457*(W457-G457),"n.a.")</x:f>
        <x:v>68.817257652731</x:v>
      </x:c>
      <x:c r="Y457" s="9" t="n">
        <x:f>IF(V457=1,R457*W457,"n.a.")</x:f>
        <x:v>470.42501868763856</x:v>
      </x:c>
      <x:c r="Z457" s="1" t="n">
        <x:f>IF(ISNUMBER(T457),R457-T457,"n.a.")</x:f>
        <x:v>999.9999999999995</x:v>
      </x:c>
      <x:c r="AA457" s="1" t="str">
        <x:f>'Inventory inputs'!R457</x:f>
        <x:v>Classified</x:v>
      </x:c>
      <x:c r="AB457" s="1" t="n">
        <x:f>IF(L457=1,SUMIFS('Incoming POs'!$P$2:$P$305,'Incoming POs'!$A$2:$A$305,A457,'Incoming POs'!$B$2:$B$305,B457,'Incoming POs'!$C$2:$C$305,C457,'Incoming POs'!$G$2:$G$305,"&gt;="&amp;D457,'Incoming POs'!$G$2:$G$305,"&lt;"&amp;Dashboard!$I$5,'Incoming POs'!$Q$2:$Q$305,"&lt;="&amp;('Inventory inputs'!P457/'Inventory inputs'!J457*1.01)),"n.a.")</x:f>
        <x:v>0</x:v>
      </x:c>
      <x:c r="AC457" s="9" t="n">
        <x:f>I457*G457</x:f>
        <x:v>314.973</x:v>
      </x:c>
      <x:c r="AD457" s="9" t="n">
        <x:f>J457*G457</x:f>
        <x:v>88.6</x:v>
      </x:c>
      <x:c r="AE457" s="9" t="n">
        <x:f>K457*G457</x:f>
        <x:v>0</x:v>
      </x:c>
      <x:c r="AF457" s="9" t="n">
        <x:f>R457*G457</x:f>
        <x:v>401.6077610349075</x:v>
      </x:c>
    </x:row>
    <x:row r="458" ht="21" customHeight="1">
      <x:c r="A458" s="1" t="str">
        <x:f>'Inventory inputs'!A458</x:f>
        <x:v>PLAS</x:v>
      </x:c>
      <x:c r="B458" s="1" t="str">
        <x:f>'Inventory inputs'!B458</x:f>
        <x:v>10</x:v>
      </x:c>
      <x:c r="C458" s="1" t="str">
        <x:f>'Inventory inputs'!C458</x:f>
        <x:v>11219RSLCLR</x:v>
      </x:c>
      <x:c r="D458" s="7" t="n">
        <x:f>'Inventory inputs'!E458</x:f>
        <x:v>46303</x:v>
      </x:c>
      <x:c r="E458" s="1" t="n">
        <x:f>'Inventory inputs'!F458</x:f>
        <x:v>1300</x:v>
      </x:c>
      <x:c r="F458" s="1" t="n">
        <x:f>'Inventory inputs'!G458</x:f>
        <x:v>16.67</x:v>
      </x:c>
      <x:c r="G458" s="1" t="n">
        <x:f>'Inventory inputs'!H458/'Inventory inputs'!J458</x:f>
        <x:v>0.1298</x:v>
      </x:c>
      <x:c r="H458" s="1" t="n">
        <x:f>IF('Inventory inputs'!I458&gt;0,'Inventory inputs'!I458*'Inventory inputs'!K458/'Inventory inputs'!J458,"n.a.")</x:f>
        <x:v>0.151851</x:v>
      </x:c>
      <x:c r="I458" s="1" t="n">
        <x:f>'Inventory inputs'!L458</x:f>
        <x:v>1300</x:v>
      </x:c>
      <x:c r="J458" s="1" t="n">
        <x:f>'Inventory inputs'!M458</x:f>
        <x:v>0</x:v>
      </x:c>
      <x:c r="K458" s="1" t="n">
        <x:f>'Inventory inputs'!N458</x:f>
        <x:v>0</x:v>
      </x:c>
      <x:c r="L458" s="1" t="n">
        <x:f>'Inventory inputs'!O458</x:f>
        <x:v>1</x:v>
      </x:c>
      <x:c r="M458" s="9" t="n">
        <x:f>E458*G458</x:f>
        <x:v>168.74</x:v>
      </x:c>
      <x:c r="N458" s="9" t="n">
        <x:f>'Inventory inputs'!Q458</x:f>
        <x:v>168.74</x:v>
      </x:c>
      <x:c r="O458" s="9" t="n">
        <x:f>N458-M458</x:f>
        <x:v>0</x:v>
      </x:c>
      <x:c r="P458" s="1" t="n">
        <x:f>SUMIFS('Incoming POs'!$P$2:$P$305,'Incoming POs'!$A$2:$A$305,A458,'Incoming POs'!$B$2:$B$305,B458,'Incoming POs'!$C$2:$C$305,C458,'Incoming POs'!$G$2:$G$305,"&gt;="&amp;D458,'Incoming POs'!$G$2:$G$305,"&lt;"&amp;Dashboard!$I$5)</x:f>
        <x:v>0</x:v>
      </x:c>
      <x:c r="Q458" s="1" t="n">
        <x:f>F458*Dashboard!$L$5*MAX(0,Dashboard!$I$5-D458)/30.4375</x:f>
        <x:v>22.18102669404518</x:v>
      </x:c>
      <x:c r="R458" s="1" t="n">
        <x:f>MAX(0,E458+P458-Q458)</x:f>
        <x:v>1277.8189733059548</x:v>
      </x:c>
      <x:c r="S458" s="1" t="n">
        <x:f>MAX(0,Q458-E458-P458)</x:f>
        <x:v>0</x:v>
      </x:c>
      <x:c r="T458" s="1" t="n">
        <x:f>IF(L458=1,MAX(0,I458+AB458-MIN(Q458,E458+P458)),"n.a.")</x:f>
        <x:v>1277.8189733059548</x:v>
      </x:c>
      <x:c r="U458" s="9" t="n">
        <x:f>IF(ISNUMBER(T458),T458*G458,"n.a.")</x:f>
        <x:v>165.86090273511294</x:v>
      </x:c>
      <x:c r="V458" s="25" t="n">
        <x:f>IF(Dashboard!$I$6="Flat %",1,IF(ISNUMBER(H458),1,0))</x:f>
        <x:v>1</x:v>
      </x:c>
      <x:c r="W458" s="9" t="n">
        <x:f>IF(Dashboard!$I$6="Flat %",G458*(1+Dashboard!$L$6),H458)</x:f>
        <x:v>0.151851</x:v>
      </x:c>
      <x:c r="X458" s="9" t="n">
        <x:f>IF(V458=1,R458*(W458-G458),"n.a.")</x:f>
        <x:v>28.17718618036963</x:v>
      </x:c>
      <x:c r="Y458" s="9" t="n">
        <x:f>IF(V458=1,R458*W458,"n.a.")</x:f>
        <x:v>194.03808891548258</x:v>
      </x:c>
      <x:c r="Z458" s="1" t="n">
        <x:f>IF(ISNUMBER(T458),R458-T458,"n.a.")</x:f>
        <x:v>0</x:v>
      </x:c>
      <x:c r="AA458" s="1" t="str">
        <x:f>'Inventory inputs'!R458</x:f>
        <x:v>Classified</x:v>
      </x:c>
      <x:c r="AB458" s="1" t="n">
        <x:f>IF(L458=1,SUMIFS('Incoming POs'!$P$2:$P$305,'Incoming POs'!$A$2:$A$305,A458,'Incoming POs'!$B$2:$B$305,B458,'Incoming POs'!$C$2:$C$305,C458,'Incoming POs'!$G$2:$G$305,"&gt;="&amp;D458,'Incoming POs'!$G$2:$G$305,"&lt;"&amp;Dashboard!$I$5,'Incoming POs'!$Q$2:$Q$305,"&lt;="&amp;('Inventory inputs'!P458/'Inventory inputs'!J458*1.01)),"n.a.")</x:f>
        <x:v>0</x:v>
      </x:c>
      <x:c r="AC458" s="9" t="n">
        <x:f>I458*G458</x:f>
        <x:v>168.74</x:v>
      </x:c>
      <x:c r="AD458" s="9" t="n">
        <x:f>J458*G458</x:f>
        <x:v>0</x:v>
      </x:c>
      <x:c r="AE458" s="9" t="n">
        <x:f>K458*G458</x:f>
        <x:v>0</x:v>
      </x:c>
      <x:c r="AF458" s="9" t="n">
        <x:f>R458*G458</x:f>
        <x:v>165.86090273511294</x:v>
      </x:c>
    </x:row>
    <x:row r="459" ht="21" customHeight="1">
      <x:c r="A459" s="1" t="str">
        <x:f>'Inventory inputs'!A459</x:f>
        <x:v>PLAS</x:v>
      </x:c>
      <x:c r="B459" s="1" t="str">
        <x:f>'Inventory inputs'!B459</x:f>
        <x:v>10</x:v>
      </x:c>
      <x:c r="C459" s="1" t="str">
        <x:f>'Inventory inputs'!C459</x:f>
        <x:v>11419RSLMAR</x:v>
      </x:c>
      <x:c r="D459" s="7" t="n">
        <x:f>'Inventory inputs'!E459</x:f>
        <x:v>46303</x:v>
      </x:c>
      <x:c r="E459" s="1" t="n">
        <x:f>'Inventory inputs'!F459</x:f>
        <x:v>2550</x:v>
      </x:c>
      <x:c r="F459" s="1" t="n">
        <x:f>'Inventory inputs'!G459</x:f>
        <x:v>16.67</x:v>
      </x:c>
      <x:c r="G459" s="1" t="n">
        <x:f>'Inventory inputs'!H459/'Inventory inputs'!J459</x:f>
        <x:v>0.111</x:v>
      </x:c>
      <x:c r="H459" s="1" t="n">
        <x:f>IF('Inventory inputs'!I459&gt;0,'Inventory inputs'!I459*'Inventory inputs'!K459/'Inventory inputs'!J459,"n.a.")</x:f>
        <x:v>0.129801</x:v>
      </x:c>
      <x:c r="I459" s="1" t="n">
        <x:f>'Inventory inputs'!L459</x:f>
        <x:v>0</x:v>
      </x:c>
      <x:c r="J459" s="1" t="n">
        <x:f>'Inventory inputs'!M459</x:f>
        <x:v>0</x:v>
      </x:c>
      <x:c r="K459" s="1" t="n">
        <x:f>'Inventory inputs'!N459</x:f>
        <x:v>2550</x:v>
      </x:c>
      <x:c r="L459" s="1" t="n">
        <x:f>'Inventory inputs'!O459</x:f>
        <x:v>0</x:v>
      </x:c>
      <x:c r="M459" s="9" t="n">
        <x:f>E459*G459</x:f>
        <x:v>283.05</x:v>
      </x:c>
      <x:c r="N459" s="9" t="n">
        <x:f>'Inventory inputs'!Q459</x:f>
        <x:v>283.05</x:v>
      </x:c>
      <x:c r="O459" s="9" t="n">
        <x:f>N459-M459</x:f>
        <x:v>0</x:v>
      </x:c>
      <x:c r="P459" s="1" t="n">
        <x:f>SUMIFS('Incoming POs'!$P$2:$P$305,'Incoming POs'!$A$2:$A$305,A459,'Incoming POs'!$B$2:$B$305,B459,'Incoming POs'!$C$2:$C$305,C459,'Incoming POs'!$G$2:$G$305,"&gt;="&amp;D459,'Incoming POs'!$G$2:$G$305,"&lt;"&amp;Dashboard!$I$5)</x:f>
        <x:v>0</x:v>
      </x:c>
      <x:c r="Q459" s="1" t="n">
        <x:f>F459*Dashboard!$L$5*MAX(0,Dashboard!$I$5-D459)/30.4375</x:f>
        <x:v>22.18102669404518</x:v>
      </x:c>
      <x:c r="R459" s="1" t="n">
        <x:f>MAX(0,E459+P459-Q459)</x:f>
        <x:v>2527.818973305955</x:v>
      </x:c>
      <x:c r="S459" s="1" t="n">
        <x:f>MAX(0,Q459-E459-P459)</x:f>
        <x:v>0</x:v>
      </x:c>
      <x:c r="T459" s="1" t="str">
        <x:f>IF(L459=1,MAX(0,I459+AB459-MIN(Q459,E459+P459)),"n.a.")</x:f>
        <x:v>n.a.</x:v>
      </x:c>
      <x:c r="U459" s="9" t="str">
        <x:f>IF(ISNUMBER(T459),T459*G459,"n.a.")</x:f>
        <x:v>n.a.</x:v>
      </x:c>
      <x:c r="V459" s="25" t="n">
        <x:f>IF(Dashboard!$I$6="Flat %",1,IF(ISNUMBER(H459),1,0))</x:f>
        <x:v>1</x:v>
      </x:c>
      <x:c r="W459" s="9" t="n">
        <x:f>IF(Dashboard!$I$6="Flat %",G459*(1+Dashboard!$L$6),H459)</x:f>
        <x:v>0.129801</x:v>
      </x:c>
      <x:c r="X459" s="9" t="n">
        <x:f>IF(V459=1,R459*(W459-G459),"n.a.")</x:f>
        <x:v>47.525524517125255</x:v>
      </x:c>
      <x:c r="Y459" s="9" t="n">
        <x:f>IF(V459=1,R459*W459,"n.a.")</x:f>
        <x:v>328.1134305540862</x:v>
      </x:c>
      <x:c r="Z459" s="1" t="str">
        <x:f>IF(ISNUMBER(T459),R459-T459,"n.a.")</x:f>
        <x:v>n.a.</x:v>
      </x:c>
      <x:c r="AA459" s="1" t="str">
        <x:f>'Inventory inputs'!R459</x:f>
        <x:v>Review receipt reconciliation or original PO baseline</x:v>
      </x:c>
      <x:c r="AB459" s="1" t="str">
        <x:f>IF(L459=1,SUMIFS('Incoming POs'!$P$2:$P$305,'Incoming POs'!$A$2:$A$305,A459,'Incoming POs'!$B$2:$B$305,B459,'Incoming POs'!$C$2:$C$305,C459,'Incoming POs'!$G$2:$G$305,"&gt;="&amp;D459,'Incoming POs'!$G$2:$G$305,"&lt;"&amp;Dashboard!$I$5,'Incoming POs'!$Q$2:$Q$305,"&lt;="&amp;('Inventory inputs'!P459/'Inventory inputs'!J459*1.01)),"n.a.")</x:f>
        <x:v>n.a.</x:v>
      </x:c>
      <x:c r="AC459" s="9" t="n">
        <x:f>I459*G459</x:f>
        <x:v>0</x:v>
      </x:c>
      <x:c r="AD459" s="9" t="n">
        <x:f>J459*G459</x:f>
        <x:v>0</x:v>
      </x:c>
      <x:c r="AE459" s="9" t="n">
        <x:f>K459*G459</x:f>
        <x:v>283.05</x:v>
      </x:c>
      <x:c r="AF459" s="9" t="n">
        <x:f>R459*G459</x:f>
        <x:v>280.587906036961</x:v>
      </x:c>
    </x:row>
    <x:row r="460" ht="21" customHeight="1">
      <x:c r="A460" s="1" t="str">
        <x:f>'Inventory inputs'!A460</x:f>
        <x:v>PLAS</x:v>
      </x:c>
      <x:c r="B460" s="1" t="str">
        <x:f>'Inventory inputs'!B460</x:f>
        <x:v>10</x:v>
      </x:c>
      <x:c r="C460" s="1" t="str">
        <x:f>'Inventory inputs'!C460</x:f>
        <x:v>13415RSLMAR</x:v>
      </x:c>
      <x:c r="D460" s="7" t="n">
        <x:f>'Inventory inputs'!E460</x:f>
        <x:v>46303</x:v>
      </x:c>
      <x:c r="E460" s="1" t="n">
        <x:f>'Inventory inputs'!F460</x:f>
        <x:v>600</x:v>
      </x:c>
      <x:c r="F460" s="1" t="n">
        <x:f>'Inventory inputs'!G460</x:f>
        <x:v>16.67</x:v>
      </x:c>
      <x:c r="G460" s="1" t="n">
        <x:f>'Inventory inputs'!H460/'Inventory inputs'!J460</x:f>
        <x:v>0.081</x:v>
      </x:c>
      <x:c r="H460" s="1" t="n">
        <x:f>IF('Inventory inputs'!I460&gt;0,'Inventory inputs'!I460*'Inventory inputs'!K460/'Inventory inputs'!J460,"n.a.")</x:f>
        <x:v>0.1176</x:v>
      </x:c>
      <x:c r="I460" s="1" t="n">
        <x:f>'Inventory inputs'!L460</x:f>
        <x:v>0</x:v>
      </x:c>
      <x:c r="J460" s="1" t="n">
        <x:f>'Inventory inputs'!M460</x:f>
        <x:v>0</x:v>
      </x:c>
      <x:c r="K460" s="1" t="n">
        <x:f>'Inventory inputs'!N460</x:f>
        <x:v>600</x:v>
      </x:c>
      <x:c r="L460" s="1" t="n">
        <x:f>'Inventory inputs'!O460</x:f>
        <x:v>0</x:v>
      </x:c>
      <x:c r="M460" s="9" t="n">
        <x:f>E460*G460</x:f>
        <x:v>48.6</x:v>
      </x:c>
      <x:c r="N460" s="9" t="n">
        <x:f>'Inventory inputs'!Q460</x:f>
        <x:v>48.6</x:v>
      </x:c>
      <x:c r="O460" s="9" t="n">
        <x:f>N460-M460</x:f>
        <x:v>0</x:v>
      </x:c>
      <x:c r="P460" s="1" t="n">
        <x:f>SUMIFS('Incoming POs'!$P$2:$P$305,'Incoming POs'!$A$2:$A$305,A460,'Incoming POs'!$B$2:$B$305,B460,'Incoming POs'!$C$2:$C$305,C460,'Incoming POs'!$G$2:$G$305,"&gt;="&amp;D460,'Incoming POs'!$G$2:$G$305,"&lt;"&amp;Dashboard!$I$5)</x:f>
        <x:v>0</x:v>
      </x:c>
      <x:c r="Q460" s="1" t="n">
        <x:f>F460*Dashboard!$L$5*MAX(0,Dashboard!$I$5-D460)/30.4375</x:f>
        <x:v>22.18102669404518</x:v>
      </x:c>
      <x:c r="R460" s="1" t="n">
        <x:f>MAX(0,E460+P460-Q460)</x:f>
        <x:v>577.8189733059548</x:v>
      </x:c>
      <x:c r="S460" s="1" t="n">
        <x:f>MAX(0,Q460-E460-P460)</x:f>
        <x:v>0</x:v>
      </x:c>
      <x:c r="T460" s="1" t="str">
        <x:f>IF(L460=1,MAX(0,I460+AB460-MIN(Q460,E460+P460)),"n.a.")</x:f>
        <x:v>n.a.</x:v>
      </x:c>
      <x:c r="U460" s="9" t="str">
        <x:f>IF(ISNUMBER(T460),T460*G460,"n.a.")</x:f>
        <x:v>n.a.</x:v>
      </x:c>
      <x:c r="V460" s="25" t="n">
        <x:f>IF(Dashboard!$I$6="Flat %",1,IF(ISNUMBER(H460),1,0))</x:f>
        <x:v>1</x:v>
      </x:c>
      <x:c r="W460" s="9" t="n">
        <x:f>IF(Dashboard!$I$6="Flat %",G460*(1+Dashboard!$L$6),H460)</x:f>
        <x:v>0.1176</x:v>
      </x:c>
      <x:c r="X460" s="9" t="n">
        <x:f>IF(V460=1,R460*(W460-G460),"n.a.")</x:f>
        <x:v>21.148174422997943</x:v>
      </x:c>
      <x:c r="Y460" s="9" t="n">
        <x:f>IF(V460=1,R460*W460,"n.a.")</x:f>
        <x:v>67.9515112607803</x:v>
      </x:c>
      <x:c r="Z460" s="1" t="str">
        <x:f>IF(ISNUMBER(T460),R460-T460,"n.a.")</x:f>
        <x:v>n.a.</x:v>
      </x:c>
      <x:c r="AA460" s="1" t="str">
        <x:f>'Inventory inputs'!R460</x:f>
        <x:v>Review receipt reconciliation or original PO baseline</x:v>
      </x:c>
      <x:c r="AB460" s="1" t="str">
        <x:f>IF(L460=1,SUMIFS('Incoming POs'!$P$2:$P$305,'Incoming POs'!$A$2:$A$305,A460,'Incoming POs'!$B$2:$B$305,B460,'Incoming POs'!$C$2:$C$305,C460,'Incoming POs'!$G$2:$G$305,"&gt;="&amp;D460,'Incoming POs'!$G$2:$G$305,"&lt;"&amp;Dashboard!$I$5,'Incoming POs'!$Q$2:$Q$305,"&lt;="&amp;('Inventory inputs'!P460/'Inventory inputs'!J460*1.01)),"n.a.")</x:f>
        <x:v>n.a.</x:v>
      </x:c>
      <x:c r="AC460" s="9" t="n">
        <x:f>I460*G460</x:f>
        <x:v>0</x:v>
      </x:c>
      <x:c r="AD460" s="9" t="n">
        <x:f>J460*G460</x:f>
        <x:v>0</x:v>
      </x:c>
      <x:c r="AE460" s="9" t="n">
        <x:f>K460*G460</x:f>
        <x:v>48.6</x:v>
      </x:c>
      <x:c r="AF460" s="9" t="n">
        <x:f>R460*G460</x:f>
        <x:v>46.803336837782346</x:v>
      </x:c>
    </x:row>
    <x:row r="461" ht="21" customHeight="1">
      <x:c r="A461" s="1" t="str">
        <x:f>'Inventory inputs'!A461</x:f>
        <x:v>PLAS</x:v>
      </x:c>
      <x:c r="B461" s="1" t="str">
        <x:f>'Inventory inputs'!B461</x:f>
        <x:v>30</x:v>
      </x:c>
      <x:c r="C461" s="1" t="str">
        <x:f>'Inventory inputs'!C461</x:f>
        <x:v>00119RWBCLR</x:v>
      </x:c>
      <x:c r="D461" s="7" t="n">
        <x:f>'Inventory inputs'!E461</x:f>
        <x:v>46303</x:v>
      </x:c>
      <x:c r="E461" s="1" t="n">
        <x:f>'Inventory inputs'!F461</x:f>
        <x:v>250</x:v>
      </x:c>
      <x:c r="F461" s="1" t="n">
        <x:f>'Inventory inputs'!G461</x:f>
        <x:v>16.67</x:v>
      </x:c>
      <x:c r="G461" s="1" t="n">
        <x:f>'Inventory inputs'!H461/'Inventory inputs'!J461</x:f>
        <x:v>0.1054</x:v>
      </x:c>
      <x:c r="H461" s="1" t="n">
        <x:f>IF('Inventory inputs'!I461&gt;0,'Inventory inputs'!I461*'Inventory inputs'!K461/'Inventory inputs'!J461,"n.a.")</x:f>
        <x:v>0.12333300000000001</x:v>
      </x:c>
      <x:c r="I461" s="1" t="n">
        <x:f>'Inventory inputs'!L461</x:f>
        <x:v>0</x:v>
      </x:c>
      <x:c r="J461" s="1" t="n">
        <x:f>'Inventory inputs'!M461</x:f>
        <x:v>0</x:v>
      </x:c>
      <x:c r="K461" s="1" t="n">
        <x:f>'Inventory inputs'!N461</x:f>
        <x:v>250</x:v>
      </x:c>
      <x:c r="L461" s="1" t="n">
        <x:f>'Inventory inputs'!O461</x:f>
        <x:v>0</x:v>
      </x:c>
      <x:c r="M461" s="9" t="n">
        <x:f>E461*G461</x:f>
        <x:v>26.349999999999998</x:v>
      </x:c>
      <x:c r="N461" s="9" t="n">
        <x:f>'Inventory inputs'!Q461</x:f>
        <x:v>26.35</x:v>
      </x:c>
      <x:c r="O461" s="9" t="n">
        <x:f>N461-M461</x:f>
        <x:v>3.552713678800501e-15</x:v>
      </x:c>
      <x:c r="P461" s="1" t="n">
        <x:f>SUMIFS('Incoming POs'!$P$2:$P$305,'Incoming POs'!$A$2:$A$305,A461,'Incoming POs'!$B$2:$B$305,B461,'Incoming POs'!$C$2:$C$305,C461,'Incoming POs'!$G$2:$G$305,"&gt;="&amp;D461,'Incoming POs'!$G$2:$G$305,"&lt;"&amp;Dashboard!$I$5)</x:f>
        <x:v>0</x:v>
      </x:c>
      <x:c r="Q461" s="1" t="n">
        <x:f>F461*Dashboard!$L$5*MAX(0,Dashboard!$I$5-D461)/30.4375</x:f>
        <x:v>22.18102669404518</x:v>
      </x:c>
      <x:c r="R461" s="1" t="n">
        <x:f>MAX(0,E461+P461-Q461)</x:f>
        <x:v>227.8189733059548</x:v>
      </x:c>
      <x:c r="S461" s="1" t="n">
        <x:f>MAX(0,Q461-E461-P461)</x:f>
        <x:v>0</x:v>
      </x:c>
      <x:c r="T461" s="1" t="str">
        <x:f>IF(L461=1,MAX(0,I461+AB461-MIN(Q461,E461+P461)),"n.a.")</x:f>
        <x:v>n.a.</x:v>
      </x:c>
      <x:c r="U461" s="9" t="str">
        <x:f>IF(ISNUMBER(T461),T461*G461,"n.a.")</x:f>
        <x:v>n.a.</x:v>
      </x:c>
      <x:c r="V461" s="25" t="n">
        <x:f>IF(Dashboard!$I$6="Flat %",1,IF(ISNUMBER(H461),1,0))</x:f>
        <x:v>1</x:v>
      </x:c>
      <x:c r="W461" s="9" t="n">
        <x:f>IF(Dashboard!$I$6="Flat %",G461*(1+Dashboard!$L$6),H461)</x:f>
        <x:v>0.12333300000000001</x:v>
      </x:c>
      <x:c r="X461" s="9" t="n">
        <x:f>IF(V461=1,R461*(W461-G461),"n.a.")</x:f>
        <x:v>4.085477648295692</x:v>
      </x:c>
      <x:c r="Y461" s="9" t="n">
        <x:f>IF(V461=1,R461*W461,"n.a.")</x:f>
        <x:v>28.097597434743328</x:v>
      </x:c>
      <x:c r="Z461" s="1" t="str">
        <x:f>IF(ISNUMBER(T461),R461-T461,"n.a.")</x:f>
        <x:v>n.a.</x:v>
      </x:c>
      <x:c r="AA461" s="1" t="str">
        <x:f>'Inventory inputs'!R461</x:f>
        <x:v>Review receipt reconciliation or original PO baseline</x:v>
      </x:c>
      <x:c r="AB461" s="1" t="str">
        <x:f>IF(L461=1,SUMIFS('Incoming POs'!$P$2:$P$305,'Incoming POs'!$A$2:$A$305,A461,'Incoming POs'!$B$2:$B$305,B461,'Incoming POs'!$C$2:$C$305,C461,'Incoming POs'!$G$2:$G$305,"&gt;="&amp;D461,'Incoming POs'!$G$2:$G$305,"&lt;"&amp;Dashboard!$I$5,'Incoming POs'!$Q$2:$Q$305,"&lt;="&amp;('Inventory inputs'!P461/'Inventory inputs'!J461*1.01)),"n.a.")</x:f>
        <x:v>n.a.</x:v>
      </x:c>
      <x:c r="AC461" s="9" t="n">
        <x:f>I461*G461</x:f>
        <x:v>0</x:v>
      </x:c>
      <x:c r="AD461" s="9" t="n">
        <x:f>J461*G461</x:f>
        <x:v>0</x:v>
      </x:c>
      <x:c r="AE461" s="9" t="n">
        <x:f>K461*G461</x:f>
        <x:v>26.349999999999998</x:v>
      </x:c>
      <x:c r="AF461" s="9" t="n">
        <x:f>R461*G461</x:f>
        <x:v>24.012119786447634</x:v>
      </x:c>
    </x:row>
    <x:row r="462" ht="21" customHeight="1">
      <x:c r="A462" s="1" t="str">
        <x:f>'Inventory inputs'!A462</x:f>
        <x:v>PLAS</x:v>
      </x:c>
      <x:c r="B462" s="1" t="str">
        <x:f>'Inventory inputs'!B462</x:f>
        <x:v>30</x:v>
      </x:c>
      <x:c r="C462" s="1" t="str">
        <x:f>'Inventory inputs'!C462</x:f>
        <x:v>00119RWBRED</x:v>
      </x:c>
      <x:c r="D462" s="7" t="n">
        <x:f>'Inventory inputs'!E462</x:f>
        <x:v>46303</x:v>
      </x:c>
      <x:c r="E462" s="1" t="n">
        <x:f>'Inventory inputs'!F462</x:f>
        <x:v>550</x:v>
      </x:c>
      <x:c r="F462" s="1" t="n">
        <x:f>'Inventory inputs'!G462</x:f>
        <x:v>16.67</x:v>
      </x:c>
      <x:c r="G462" s="1" t="n">
        <x:f>'Inventory inputs'!H462/'Inventory inputs'!J462</x:f>
        <x:v>0.1054</x:v>
      </x:c>
      <x:c r="H462" s="1" t="n">
        <x:f>IF('Inventory inputs'!I462&gt;0,'Inventory inputs'!I462*'Inventory inputs'!K462/'Inventory inputs'!J462,"n.a.")</x:f>
        <x:v>0.12333300000000001</x:v>
      </x:c>
      <x:c r="I462" s="1" t="n">
        <x:f>'Inventory inputs'!L462</x:f>
        <x:v>0</x:v>
      </x:c>
      <x:c r="J462" s="1" t="n">
        <x:f>'Inventory inputs'!M462</x:f>
        <x:v>0</x:v>
      </x:c>
      <x:c r="K462" s="1" t="n">
        <x:f>'Inventory inputs'!N462</x:f>
        <x:v>550</x:v>
      </x:c>
      <x:c r="L462" s="1" t="n">
        <x:f>'Inventory inputs'!O462</x:f>
        <x:v>0</x:v>
      </x:c>
      <x:c r="M462" s="9" t="n">
        <x:f>E462*G462</x:f>
        <x:v>57.97</x:v>
      </x:c>
      <x:c r="N462" s="9" t="n">
        <x:f>'Inventory inputs'!Q462</x:f>
        <x:v>57.96999999999999</x:v>
      </x:c>
      <x:c r="O462" s="9" t="n">
        <x:f>N462-M462</x:f>
        <x:v>-7.105427357601002e-15</x:v>
      </x:c>
      <x:c r="P462" s="1" t="n">
        <x:f>SUMIFS('Incoming POs'!$P$2:$P$305,'Incoming POs'!$A$2:$A$305,A462,'Incoming POs'!$B$2:$B$305,B462,'Incoming POs'!$C$2:$C$305,C462,'Incoming POs'!$G$2:$G$305,"&gt;="&amp;D462,'Incoming POs'!$G$2:$G$305,"&lt;"&amp;Dashboard!$I$5)</x:f>
        <x:v>0</x:v>
      </x:c>
      <x:c r="Q462" s="1" t="n">
        <x:f>F462*Dashboard!$L$5*MAX(0,Dashboard!$I$5-D462)/30.4375</x:f>
        <x:v>22.18102669404518</x:v>
      </x:c>
      <x:c r="R462" s="1" t="n">
        <x:f>MAX(0,E462+P462-Q462)</x:f>
        <x:v>527.8189733059548</x:v>
      </x:c>
      <x:c r="S462" s="1" t="n">
        <x:f>MAX(0,Q462-E462-P462)</x:f>
        <x:v>0</x:v>
      </x:c>
      <x:c r="T462" s="1" t="str">
        <x:f>IF(L462=1,MAX(0,I462+AB462-MIN(Q462,E462+P462)),"n.a.")</x:f>
        <x:v>n.a.</x:v>
      </x:c>
      <x:c r="U462" s="9" t="str">
        <x:f>IF(ISNUMBER(T462),T462*G462,"n.a.")</x:f>
        <x:v>n.a.</x:v>
      </x:c>
      <x:c r="V462" s="25" t="n">
        <x:f>IF(Dashboard!$I$6="Flat %",1,IF(ISNUMBER(H462),1,0))</x:f>
        <x:v>1</x:v>
      </x:c>
      <x:c r="W462" s="9" t="n">
        <x:f>IF(Dashboard!$I$6="Flat %",G462*(1+Dashboard!$L$6),H462)</x:f>
        <x:v>0.12333300000000001</x:v>
      </x:c>
      <x:c r="X462" s="9" t="n">
        <x:f>IF(V462=1,R462*(W462-G462),"n.a.")</x:f>
        <x:v>9.465377648295698</x:v>
      </x:c>
      <x:c r="Y462" s="9" t="n">
        <x:f>IF(V462=1,R462*W462,"n.a.")</x:f>
        <x:v>65.09749743474333</x:v>
      </x:c>
      <x:c r="Z462" s="1" t="str">
        <x:f>IF(ISNUMBER(T462),R462-T462,"n.a.")</x:f>
        <x:v>n.a.</x:v>
      </x:c>
      <x:c r="AA462" s="1" t="str">
        <x:f>'Inventory inputs'!R462</x:f>
        <x:v>Review receipt reconciliation or original PO baseline</x:v>
      </x:c>
      <x:c r="AB462" s="1" t="str">
        <x:f>IF(L462=1,SUMIFS('Incoming POs'!$P$2:$P$305,'Incoming POs'!$A$2:$A$305,A462,'Incoming POs'!$B$2:$B$305,B462,'Incoming POs'!$C$2:$C$305,C462,'Incoming POs'!$G$2:$G$305,"&gt;="&amp;D462,'Incoming POs'!$G$2:$G$305,"&lt;"&amp;Dashboard!$I$5,'Incoming POs'!$Q$2:$Q$305,"&lt;="&amp;('Inventory inputs'!P462/'Inventory inputs'!J462*1.01)),"n.a.")</x:f>
        <x:v>n.a.</x:v>
      </x:c>
      <x:c r="AC462" s="9" t="n">
        <x:f>I462*G462</x:f>
        <x:v>0</x:v>
      </x:c>
      <x:c r="AD462" s="9" t="n">
        <x:f>J462*G462</x:f>
        <x:v>0</x:v>
      </x:c>
      <x:c r="AE462" s="9" t="n">
        <x:f>K462*G462</x:f>
        <x:v>57.97</x:v>
      </x:c>
      <x:c r="AF462" s="9" t="n">
        <x:f>R462*G462</x:f>
        <x:v>55.63211978644764</x:v>
      </x:c>
    </x:row>
    <x:row r="463" ht="21" customHeight="1">
      <x:c r="A463" s="1" t="str">
        <x:f>'Inventory inputs'!A463</x:f>
        <x:v>PLAS</x:v>
      </x:c>
      <x:c r="B463" s="1" t="str">
        <x:f>'Inventory inputs'!B463</x:f>
        <x:v>30</x:v>
      </x:c>
      <x:c r="C463" s="1" t="str">
        <x:f>'Inventory inputs'!C463</x:f>
        <x:v>00215RSLBLK</x:v>
      </x:c>
      <x:c r="D463" s="7" t="n">
        <x:f>'Inventory inputs'!E463</x:f>
        <x:v>46303</x:v>
      </x:c>
      <x:c r="E463" s="1" t="n">
        <x:f>'Inventory inputs'!F463</x:f>
        <x:v>680</x:v>
      </x:c>
      <x:c r="F463" s="1" t="n">
        <x:f>'Inventory inputs'!G463</x:f>
        <x:v>16.67</x:v>
      </x:c>
      <x:c r="G463" s="1" t="n">
        <x:f>'Inventory inputs'!H463/'Inventory inputs'!J463</x:f>
        <x:v>0.10189999999999999</x:v>
      </x:c>
      <x:c r="H463" s="1" t="n">
        <x:f>IF('Inventory inputs'!I463&gt;0,'Inventory inputs'!I463*'Inventory inputs'!K463/'Inventory inputs'!J463,"n.a.")</x:f>
        <x:v>0.11921699999999999</x:v>
      </x:c>
      <x:c r="I463" s="1" t="n">
        <x:f>'Inventory inputs'!L463</x:f>
        <x:v>0</x:v>
      </x:c>
      <x:c r="J463" s="1" t="n">
        <x:f>'Inventory inputs'!M463</x:f>
        <x:v>0</x:v>
      </x:c>
      <x:c r="K463" s="1" t="n">
        <x:f>'Inventory inputs'!N463</x:f>
        <x:v>680</x:v>
      </x:c>
      <x:c r="L463" s="1" t="n">
        <x:f>'Inventory inputs'!O463</x:f>
        <x:v>0</x:v>
      </x:c>
      <x:c r="M463" s="9" t="n">
        <x:f>E463*G463</x:f>
        <x:v>69.29199999999999</x:v>
      </x:c>
      <x:c r="N463" s="9" t="n">
        <x:f>'Inventory inputs'!Q463</x:f>
        <x:v>69.292</x:v>
      </x:c>
      <x:c r="O463" s="9" t="n">
        <x:f>N463-M463</x:f>
        <x:v>1.4210854715202004e-14</x:v>
      </x:c>
      <x:c r="P463" s="1" t="n">
        <x:f>SUMIFS('Incoming POs'!$P$2:$P$305,'Incoming POs'!$A$2:$A$305,A463,'Incoming POs'!$B$2:$B$305,B463,'Incoming POs'!$C$2:$C$305,C463,'Incoming POs'!$G$2:$G$305,"&gt;="&amp;D463,'Incoming POs'!$G$2:$G$305,"&lt;"&amp;Dashboard!$I$5)</x:f>
        <x:v>0</x:v>
      </x:c>
      <x:c r="Q463" s="1" t="n">
        <x:f>F463*Dashboard!$L$5*MAX(0,Dashboard!$I$5-D463)/30.4375</x:f>
        <x:v>22.18102669404518</x:v>
      </x:c>
      <x:c r="R463" s="1" t="n">
        <x:f>MAX(0,E463+P463-Q463)</x:f>
        <x:v>657.8189733059548</x:v>
      </x:c>
      <x:c r="S463" s="1" t="n">
        <x:f>MAX(0,Q463-E463-P463)</x:f>
        <x:v>0</x:v>
      </x:c>
      <x:c r="T463" s="1" t="str">
        <x:f>IF(L463=1,MAX(0,I463+AB463-MIN(Q463,E463+P463)),"n.a.")</x:f>
        <x:v>n.a.</x:v>
      </x:c>
      <x:c r="U463" s="9" t="str">
        <x:f>IF(ISNUMBER(T463),T463*G463,"n.a.")</x:f>
        <x:v>n.a.</x:v>
      </x:c>
      <x:c r="V463" s="25" t="n">
        <x:f>IF(Dashboard!$I$6="Flat %",1,IF(ISNUMBER(H463),1,0))</x:f>
        <x:v>1</x:v>
      </x:c>
      <x:c r="W463" s="9" t="n">
        <x:f>IF(Dashboard!$I$6="Flat %",G463*(1+Dashboard!$L$6),H463)</x:f>
        <x:v>0.11921699999999999</x:v>
      </x:c>
      <x:c r="X463" s="9" t="n">
        <x:f>IF(V463=1,R463*(W463-G463),"n.a.")</x:f>
        <x:v>11.39145116073922</x:v>
      </x:c>
      <x:c r="Y463" s="9" t="n">
        <x:f>IF(V463=1,R463*W463,"n.a.")</x:f>
        <x:v>78.42320454061601</x:v>
      </x:c>
      <x:c r="Z463" s="1" t="str">
        <x:f>IF(ISNUMBER(T463),R463-T463,"n.a.")</x:f>
        <x:v>n.a.</x:v>
      </x:c>
      <x:c r="AA463" s="1" t="str">
        <x:f>'Inventory inputs'!R463</x:f>
        <x:v>Review receipt reconciliation or original PO baseline</x:v>
      </x:c>
      <x:c r="AB463" s="1" t="str">
        <x:f>IF(L463=1,SUMIFS('Incoming POs'!$P$2:$P$305,'Incoming POs'!$A$2:$A$305,A463,'Incoming POs'!$B$2:$B$305,B463,'Incoming POs'!$C$2:$C$305,C463,'Incoming POs'!$G$2:$G$305,"&gt;="&amp;D463,'Incoming POs'!$G$2:$G$305,"&lt;"&amp;Dashboard!$I$5,'Incoming POs'!$Q$2:$Q$305,"&lt;="&amp;('Inventory inputs'!P463/'Inventory inputs'!J463*1.01)),"n.a.")</x:f>
        <x:v>n.a.</x:v>
      </x:c>
      <x:c r="AC463" s="9" t="n">
        <x:f>I463*G463</x:f>
        <x:v>0</x:v>
      </x:c>
      <x:c r="AD463" s="9" t="n">
        <x:f>J463*G463</x:f>
        <x:v>0</x:v>
      </x:c>
      <x:c r="AE463" s="9" t="n">
        <x:f>K463*G463</x:f>
        <x:v>69.29199999999999</x:v>
      </x:c>
      <x:c r="AF463" s="9" t="n">
        <x:f>R463*G463</x:f>
        <x:v>67.03175337987679</x:v>
      </x:c>
    </x:row>
    <x:row r="464" ht="21" customHeight="1">
      <x:c r="A464" s="1" t="str">
        <x:f>'Inventory inputs'!A464</x:f>
        <x:v>PLAS</x:v>
      </x:c>
      <x:c r="B464" s="1" t="str">
        <x:f>'Inventory inputs'!B464</x:f>
        <x:v>30</x:v>
      </x:c>
      <x:c r="C464" s="1" t="str">
        <x:f>'Inventory inputs'!C464</x:f>
        <x:v>03419RWBBLU</x:v>
      </x:c>
      <x:c r="D464" s="7" t="n">
        <x:f>'Inventory inputs'!E464</x:f>
        <x:v>46303</x:v>
      </x:c>
      <x:c r="E464" s="1" t="n">
        <x:f>'Inventory inputs'!F464</x:f>
        <x:v>800</x:v>
      </x:c>
      <x:c r="F464" s="1" t="n">
        <x:f>'Inventory inputs'!G464</x:f>
        <x:v>16.67</x:v>
      </x:c>
      <x:c r="G464" s="1" t="n">
        <x:f>'Inventory inputs'!H464/'Inventory inputs'!J464</x:f>
        <x:v>0.0625</x:v>
      </x:c>
      <x:c r="H464" s="1" t="n">
        <x:f>IF('Inventory inputs'!I464&gt;0,'Inventory inputs'!I464*'Inventory inputs'!K464/'Inventory inputs'!J464,"n.a.")</x:f>
        <x:v>0.073059</x:v>
      </x:c>
      <x:c r="I464" s="1" t="n">
        <x:f>'Inventory inputs'!L464</x:f>
        <x:v>0</x:v>
      </x:c>
      <x:c r="J464" s="1" t="n">
        <x:f>'Inventory inputs'!M464</x:f>
        <x:v>0</x:v>
      </x:c>
      <x:c r="K464" s="1" t="n">
        <x:f>'Inventory inputs'!N464</x:f>
        <x:v>800</x:v>
      </x:c>
      <x:c r="L464" s="1" t="n">
        <x:f>'Inventory inputs'!O464</x:f>
        <x:v>0</x:v>
      </x:c>
      <x:c r="M464" s="9" t="n">
        <x:f>E464*G464</x:f>
        <x:v>50</x:v>
      </x:c>
      <x:c r="N464" s="9" t="n">
        <x:f>'Inventory inputs'!Q464</x:f>
        <x:v>50</x:v>
      </x:c>
      <x:c r="O464" s="9" t="n">
        <x:f>N464-M464</x:f>
        <x:v>0</x:v>
      </x:c>
      <x:c r="P464" s="1" t="n">
        <x:f>SUMIFS('Incoming POs'!$P$2:$P$305,'Incoming POs'!$A$2:$A$305,A464,'Incoming POs'!$B$2:$B$305,B464,'Incoming POs'!$C$2:$C$305,C464,'Incoming POs'!$G$2:$G$305,"&gt;="&amp;D464,'Incoming POs'!$G$2:$G$305,"&lt;"&amp;Dashboard!$I$5)</x:f>
        <x:v>0</x:v>
      </x:c>
      <x:c r="Q464" s="1" t="n">
        <x:f>F464*Dashboard!$L$5*MAX(0,Dashboard!$I$5-D464)/30.4375</x:f>
        <x:v>22.18102669404518</x:v>
      </x:c>
      <x:c r="R464" s="1" t="n">
        <x:f>MAX(0,E464+P464-Q464)</x:f>
        <x:v>777.8189733059548</x:v>
      </x:c>
      <x:c r="S464" s="1" t="n">
        <x:f>MAX(0,Q464-E464-P464)</x:f>
        <x:v>0</x:v>
      </x:c>
      <x:c r="T464" s="1" t="str">
        <x:f>IF(L464=1,MAX(0,I464+AB464-MIN(Q464,E464+P464)),"n.a.")</x:f>
        <x:v>n.a.</x:v>
      </x:c>
      <x:c r="U464" s="9" t="str">
        <x:f>IF(ISNUMBER(T464),T464*G464,"n.a.")</x:f>
        <x:v>n.a.</x:v>
      </x:c>
      <x:c r="V464" s="25" t="n">
        <x:f>IF(Dashboard!$I$6="Flat %",1,IF(ISNUMBER(H464),1,0))</x:f>
        <x:v>1</x:v>
      </x:c>
      <x:c r="W464" s="9" t="n">
        <x:f>IF(Dashboard!$I$6="Flat %",G464*(1+Dashboard!$L$6),H464)</x:f>
        <x:v>0.073059</x:v>
      </x:c>
      <x:c r="X464" s="9" t="n">
        <x:f>IF(V464=1,R464*(W464-G464),"n.a.")</x:f>
        <x:v>8.212990539137577</x:v>
      </x:c>
      <x:c r="Y464" s="9" t="n">
        <x:f>IF(V464=1,R464*W464,"n.a.")</x:f>
        <x:v>56.826676370759756</x:v>
      </x:c>
      <x:c r="Z464" s="1" t="str">
        <x:f>IF(ISNUMBER(T464),R464-T464,"n.a.")</x:f>
        <x:v>n.a.</x:v>
      </x:c>
      <x:c r="AA464" s="1" t="str">
        <x:f>'Inventory inputs'!R464</x:f>
        <x:v>Review receipt reconciliation or original PO baseline</x:v>
      </x:c>
      <x:c r="AB464" s="1" t="str">
        <x:f>IF(L464=1,SUMIFS('Incoming POs'!$P$2:$P$305,'Incoming POs'!$A$2:$A$305,A464,'Incoming POs'!$B$2:$B$305,B464,'Incoming POs'!$C$2:$C$305,C464,'Incoming POs'!$G$2:$G$305,"&gt;="&amp;D464,'Incoming POs'!$G$2:$G$305,"&lt;"&amp;Dashboard!$I$5,'Incoming POs'!$Q$2:$Q$305,"&lt;="&amp;('Inventory inputs'!P464/'Inventory inputs'!J464*1.01)),"n.a.")</x:f>
        <x:v>n.a.</x:v>
      </x:c>
      <x:c r="AC464" s="9" t="n">
        <x:f>I464*G464</x:f>
        <x:v>0</x:v>
      </x:c>
      <x:c r="AD464" s="9" t="n">
        <x:f>J464*G464</x:f>
        <x:v>0</x:v>
      </x:c>
      <x:c r="AE464" s="9" t="n">
        <x:f>K464*G464</x:f>
        <x:v>50</x:v>
      </x:c>
      <x:c r="AF464" s="9" t="n">
        <x:f>R464*G464</x:f>
        <x:v>48.61368583162218</x:v>
      </x:c>
    </x:row>
    <x:row r="465" ht="21" customHeight="1">
      <x:c r="A465" s="1" t="str">
        <x:f>'Inventory inputs'!A465</x:f>
        <x:v>PLAS</x:v>
      </x:c>
      <x:c r="B465" s="1" t="str">
        <x:f>'Inventory inputs'!B465</x:f>
        <x:v>30</x:v>
      </x:c>
      <x:c r="C465" s="1" t="str">
        <x:f>'Inventory inputs'!C465</x:f>
        <x:v>03819RWBCLR</x:v>
      </x:c>
      <x:c r="D465" s="7" t="n">
        <x:f>'Inventory inputs'!E465</x:f>
        <x:v>46303</x:v>
      </x:c>
      <x:c r="E465" s="1" t="n">
        <x:f>'Inventory inputs'!F465</x:f>
        <x:v>900</x:v>
      </x:c>
      <x:c r="F465" s="1" t="n">
        <x:f>'Inventory inputs'!G465</x:f>
        <x:v>16.67</x:v>
      </x:c>
      <x:c r="G465" s="1" t="n">
        <x:f>'Inventory inputs'!H465/'Inventory inputs'!J465</x:f>
        <x:v>0.0248</x:v>
      </x:c>
      <x:c r="H465" s="1" t="n">
        <x:f>IF('Inventory inputs'!I465&gt;0,'Inventory inputs'!I465*'Inventory inputs'!K465/'Inventory inputs'!J465,"n.a.")</x:f>
        <x:v>0.029106</x:v>
      </x:c>
      <x:c r="I465" s="1" t="n">
        <x:f>'Inventory inputs'!L465</x:f>
        <x:v>0</x:v>
      </x:c>
      <x:c r="J465" s="1" t="n">
        <x:f>'Inventory inputs'!M465</x:f>
        <x:v>0</x:v>
      </x:c>
      <x:c r="K465" s="1" t="n">
        <x:f>'Inventory inputs'!N465</x:f>
        <x:v>900</x:v>
      </x:c>
      <x:c r="L465" s="1" t="n">
        <x:f>'Inventory inputs'!O465</x:f>
        <x:v>0</x:v>
      </x:c>
      <x:c r="M465" s="9" t="n">
        <x:f>E465*G465</x:f>
        <x:v>22.32</x:v>
      </x:c>
      <x:c r="N465" s="9" t="n">
        <x:f>'Inventory inputs'!Q465</x:f>
        <x:v>22.32</x:v>
      </x:c>
      <x:c r="O465" s="9" t="n">
        <x:f>N465-M465</x:f>
        <x:v>0</x:v>
      </x:c>
      <x:c r="P465" s="1" t="n">
        <x:f>SUMIFS('Incoming POs'!$P$2:$P$305,'Incoming POs'!$A$2:$A$305,A465,'Incoming POs'!$B$2:$B$305,B465,'Incoming POs'!$C$2:$C$305,C465,'Incoming POs'!$G$2:$G$305,"&gt;="&amp;D465,'Incoming POs'!$G$2:$G$305,"&lt;"&amp;Dashboard!$I$5)</x:f>
        <x:v>0</x:v>
      </x:c>
      <x:c r="Q465" s="1" t="n">
        <x:f>F465*Dashboard!$L$5*MAX(0,Dashboard!$I$5-D465)/30.4375</x:f>
        <x:v>22.18102669404518</x:v>
      </x:c>
      <x:c r="R465" s="1" t="n">
        <x:f>MAX(0,E465+P465-Q465)</x:f>
        <x:v>877.8189733059548</x:v>
      </x:c>
      <x:c r="S465" s="1" t="n">
        <x:f>MAX(0,Q465-E465-P465)</x:f>
        <x:v>0</x:v>
      </x:c>
      <x:c r="T465" s="1" t="str">
        <x:f>IF(L465=1,MAX(0,I465+AB465-MIN(Q465,E465+P465)),"n.a.")</x:f>
        <x:v>n.a.</x:v>
      </x:c>
      <x:c r="U465" s="9" t="str">
        <x:f>IF(ISNUMBER(T465),T465*G465,"n.a.")</x:f>
        <x:v>n.a.</x:v>
      </x:c>
      <x:c r="V465" s="25" t="n">
        <x:f>IF(Dashboard!$I$6="Flat %",1,IF(ISNUMBER(H465),1,0))</x:f>
        <x:v>1</x:v>
      </x:c>
      <x:c r="W465" s="9" t="n">
        <x:f>IF(Dashboard!$I$6="Flat %",G465*(1+Dashboard!$L$6),H465)</x:f>
        <x:v>0.029106</x:v>
      </x:c>
      <x:c r="X465" s="9" t="n">
        <x:f>IF(V465=1,R465*(W465-G465),"n.a.")</x:f>
        <x:v>3.7798884990554424</x:v>
      </x:c>
      <x:c r="Y465" s="9" t="n">
        <x:f>IF(V465=1,R465*W465,"n.a.")</x:f>
        <x:v>25.549799037043122</x:v>
      </x:c>
      <x:c r="Z465" s="1" t="str">
        <x:f>IF(ISNUMBER(T465),R465-T465,"n.a.")</x:f>
        <x:v>n.a.</x:v>
      </x:c>
      <x:c r="AA465" s="1" t="str">
        <x:f>'Inventory inputs'!R465</x:f>
        <x:v>Review receipt reconciliation or original PO baseline</x:v>
      </x:c>
      <x:c r="AB465" s="1" t="str">
        <x:f>IF(L465=1,SUMIFS('Incoming POs'!$P$2:$P$305,'Incoming POs'!$A$2:$A$305,A465,'Incoming POs'!$B$2:$B$305,B465,'Incoming POs'!$C$2:$C$305,C465,'Incoming POs'!$G$2:$G$305,"&gt;="&amp;D465,'Incoming POs'!$G$2:$G$305,"&lt;"&amp;Dashboard!$I$5,'Incoming POs'!$Q$2:$Q$305,"&lt;="&amp;('Inventory inputs'!P465/'Inventory inputs'!J465*1.01)),"n.a.")</x:f>
        <x:v>n.a.</x:v>
      </x:c>
      <x:c r="AC465" s="9" t="n">
        <x:f>I465*G465</x:f>
        <x:v>0</x:v>
      </x:c>
      <x:c r="AD465" s="9" t="n">
        <x:f>J465*G465</x:f>
        <x:v>0</x:v>
      </x:c>
      <x:c r="AE465" s="9" t="n">
        <x:f>K465*G465</x:f>
        <x:v>22.32</x:v>
      </x:c>
      <x:c r="AF465" s="9" t="n">
        <x:f>R465*G465</x:f>
        <x:v>21.76991053798768</x:v>
      </x:c>
    </x:row>
    <x:row r="466" ht="21" customHeight="1">
      <x:c r="A466" s="1" t="str">
        <x:f>'Inventory inputs'!A466</x:f>
        <x:v>PLAS</x:v>
      </x:c>
      <x:c r="B466" s="1" t="str">
        <x:f>'Inventory inputs'!B466</x:f>
        <x:v>30</x:v>
      </x:c>
      <x:c r="C466" s="1" t="str">
        <x:f>'Inventory inputs'!C466</x:f>
        <x:v>05819RWBBLU</x:v>
      </x:c>
      <x:c r="D466" s="7" t="n">
        <x:f>'Inventory inputs'!E466</x:f>
        <x:v>46303</x:v>
      </x:c>
      <x:c r="E466" s="1" t="n">
        <x:f>'Inventory inputs'!F466</x:f>
        <x:v>0</x:v>
      </x:c>
      <x:c r="F466" s="1" t="n">
        <x:f>'Inventory inputs'!G466</x:f>
        <x:v>16.67</x:v>
      </x:c>
      <x:c r="G466" s="1" t="n">
        <x:f>'Inventory inputs'!H466/'Inventory inputs'!J466</x:f>
        <x:v>0.045599999999999995</x:v>
      </x:c>
      <x:c r="H466" s="1" t="n">
        <x:f>IF('Inventory inputs'!I466&gt;0,'Inventory inputs'!I466*'Inventory inputs'!K466/'Inventory inputs'!J466,"n.a.")</x:f>
        <x:v>0.053361</x:v>
      </x:c>
      <x:c r="I466" s="1" t="n">
        <x:f>'Inventory inputs'!L466</x:f>
        <x:v>0</x:v>
      </x:c>
      <x:c r="J466" s="1" t="n">
        <x:f>'Inventory inputs'!M466</x:f>
        <x:v>0</x:v>
      </x:c>
      <x:c r="K466" s="1" t="n">
        <x:f>'Inventory inputs'!N466</x:f>
        <x:v>0</x:v>
      </x:c>
      <x:c r="L466" s="1" t="n">
        <x:f>'Inventory inputs'!O466</x:f>
        <x:v>1</x:v>
      </x:c>
      <x:c r="M466" s="9" t="n">
        <x:f>E466*G466</x:f>
        <x:v>0</x:v>
      </x:c>
      <x:c r="N466" s="9" t="n">
        <x:f>'Inventory inputs'!Q466</x:f>
        <x:v>0</x:v>
      </x:c>
      <x:c r="O466" s="9" t="n">
        <x:f>N466-M466</x:f>
        <x:v>0</x:v>
      </x:c>
      <x:c r="P466" s="1" t="n">
        <x:f>SUMIFS('Incoming POs'!$P$2:$P$305,'Incoming POs'!$A$2:$A$305,A466,'Incoming POs'!$B$2:$B$305,B466,'Incoming POs'!$C$2:$C$305,C466,'Incoming POs'!$G$2:$G$305,"&gt;="&amp;D466,'Incoming POs'!$G$2:$G$305,"&lt;"&amp;Dashboard!$I$5)</x:f>
        <x:v>0</x:v>
      </x:c>
      <x:c r="Q466" s="1" t="n">
        <x:f>F466*Dashboard!$L$5*MAX(0,Dashboard!$I$5-D466)/30.4375</x:f>
        <x:v>22.18102669404518</x:v>
      </x:c>
      <x:c r="R466" s="1" t="n">
        <x:f>MAX(0,E466+P466-Q466)</x:f>
        <x:v>0</x:v>
      </x:c>
      <x:c r="S466" s="1" t="n">
        <x:f>MAX(0,Q466-E466-P466)</x:f>
        <x:v>22.18102669404518</x:v>
      </x:c>
      <x:c r="T466" s="1" t="n">
        <x:f>IF(L466=1,MAX(0,I466+AB466-MIN(Q466,E466+P466)),"n.a.")</x:f>
        <x:v>0</x:v>
      </x:c>
      <x:c r="U466" s="9" t="n">
        <x:f>IF(ISNUMBER(T466),T466*G466,"n.a.")</x:f>
        <x:v>0</x:v>
      </x:c>
      <x:c r="V466" s="25" t="n">
        <x:f>IF(Dashboard!$I$6="Flat %",1,IF(ISNUMBER(H466),1,0))</x:f>
        <x:v>1</x:v>
      </x:c>
      <x:c r="W466" s="9" t="n">
        <x:f>IF(Dashboard!$I$6="Flat %",G466*(1+Dashboard!$L$6),H466)</x:f>
        <x:v>0.053361</x:v>
      </x:c>
      <x:c r="X466" s="9" t="n">
        <x:f>IF(V466=1,R466*(W466-G466),"n.a.")</x:f>
        <x:v>0</x:v>
      </x:c>
      <x:c r="Y466" s="9" t="n">
        <x:f>IF(V466=1,R466*W466,"n.a.")</x:f>
        <x:v>0</x:v>
      </x:c>
      <x:c r="Z466" s="1" t="n">
        <x:f>IF(ISNUMBER(T466),R466-T466,"n.a.")</x:f>
        <x:v>0</x:v>
      </x:c>
      <x:c r="AA466" s="1" t="str">
        <x:f>'Inventory inputs'!R466</x:f>
        <x:v>Classified</x:v>
      </x:c>
      <x:c r="AB466" s="1" t="n">
        <x:f>IF(L466=1,SUMIFS('Incoming POs'!$P$2:$P$305,'Incoming POs'!$A$2:$A$305,A466,'Incoming POs'!$B$2:$B$305,B466,'Incoming POs'!$C$2:$C$305,C466,'Incoming POs'!$G$2:$G$305,"&gt;="&amp;D466,'Incoming POs'!$G$2:$G$305,"&lt;"&amp;Dashboard!$I$5,'Incoming POs'!$Q$2:$Q$305,"&lt;="&amp;('Inventory inputs'!P466/'Inventory inputs'!J466*1.01)),"n.a.")</x:f>
        <x:v>0</x:v>
      </x:c>
      <x:c r="AC466" s="9" t="n">
        <x:f>I466*G466</x:f>
        <x:v>0</x:v>
      </x:c>
      <x:c r="AD466" s="9" t="n">
        <x:f>J466*G466</x:f>
        <x:v>0</x:v>
      </x:c>
      <x:c r="AE466" s="9" t="n">
        <x:f>K466*G466</x:f>
        <x:v>0</x:v>
      </x:c>
      <x:c r="AF466" s="9" t="n">
        <x:f>R466*G466</x:f>
        <x:v>0</x:v>
      </x:c>
    </x:row>
    <x:row r="467" ht="21" customHeight="1">
      <x:c r="A467" s="1" t="str">
        <x:f>'Inventory inputs'!A467</x:f>
        <x:v>PLAS</x:v>
      </x:c>
      <x:c r="B467" s="1" t="str">
        <x:f>'Inventory inputs'!B467</x:f>
        <x:v>30</x:v>
      </x:c>
      <x:c r="C467" s="1" t="str">
        <x:f>'Inventory inputs'!C467</x:f>
        <x:v>05819RWBCLR</x:v>
      </x:c>
      <x:c r="D467" s="7" t="n">
        <x:f>'Inventory inputs'!E467</x:f>
        <x:v>46303</x:v>
      </x:c>
      <x:c r="E467" s="1" t="n">
        <x:f>'Inventory inputs'!F467</x:f>
        <x:v>900</x:v>
      </x:c>
      <x:c r="F467" s="1" t="n">
        <x:f>'Inventory inputs'!G467</x:f>
        <x:v>16.67</x:v>
      </x:c>
      <x:c r="G467" s="1" t="n">
        <x:f>'Inventory inputs'!H467/'Inventory inputs'!J467</x:f>
        <x:v>0.045599999999999995</x:v>
      </x:c>
      <x:c r="H467" s="1" t="n">
        <x:f>IF('Inventory inputs'!I467&gt;0,'Inventory inputs'!I467*'Inventory inputs'!K467/'Inventory inputs'!J467,"n.a.")</x:f>
        <x:v>0.053361</x:v>
      </x:c>
      <x:c r="I467" s="1" t="n">
        <x:f>'Inventory inputs'!L467</x:f>
        <x:v>0</x:v>
      </x:c>
      <x:c r="J467" s="1" t="n">
        <x:f>'Inventory inputs'!M467</x:f>
        <x:v>0</x:v>
      </x:c>
      <x:c r="K467" s="1" t="n">
        <x:f>'Inventory inputs'!N467</x:f>
        <x:v>900</x:v>
      </x:c>
      <x:c r="L467" s="1" t="n">
        <x:f>'Inventory inputs'!O467</x:f>
        <x:v>0</x:v>
      </x:c>
      <x:c r="M467" s="9" t="n">
        <x:f>E467*G467</x:f>
        <x:v>41.03999999999999</x:v>
      </x:c>
      <x:c r="N467" s="9" t="n">
        <x:f>'Inventory inputs'!Q467</x:f>
        <x:v>41.04</x:v>
      </x:c>
      <x:c r="O467" s="9" t="n">
        <x:f>N467-M467</x:f>
        <x:v>7.105427357601002e-15</x:v>
      </x:c>
      <x:c r="P467" s="1" t="n">
        <x:f>SUMIFS('Incoming POs'!$P$2:$P$305,'Incoming POs'!$A$2:$A$305,A467,'Incoming POs'!$B$2:$B$305,B467,'Incoming POs'!$C$2:$C$305,C467,'Incoming POs'!$G$2:$G$305,"&gt;="&amp;D467,'Incoming POs'!$G$2:$G$305,"&lt;"&amp;Dashboard!$I$5)</x:f>
        <x:v>0</x:v>
      </x:c>
      <x:c r="Q467" s="1" t="n">
        <x:f>F467*Dashboard!$L$5*MAX(0,Dashboard!$I$5-D467)/30.4375</x:f>
        <x:v>22.18102669404518</x:v>
      </x:c>
      <x:c r="R467" s="1" t="n">
        <x:f>MAX(0,E467+P467-Q467)</x:f>
        <x:v>877.8189733059548</x:v>
      </x:c>
      <x:c r="S467" s="1" t="n">
        <x:f>MAX(0,Q467-E467-P467)</x:f>
        <x:v>0</x:v>
      </x:c>
      <x:c r="T467" s="1" t="str">
        <x:f>IF(L467=1,MAX(0,I467+AB467-MIN(Q467,E467+P467)),"n.a.")</x:f>
        <x:v>n.a.</x:v>
      </x:c>
      <x:c r="U467" s="9" t="str">
        <x:f>IF(ISNUMBER(T467),T467*G467,"n.a.")</x:f>
        <x:v>n.a.</x:v>
      </x:c>
      <x:c r="V467" s="25" t="n">
        <x:f>IF(Dashboard!$I$6="Flat %",1,IF(ISNUMBER(H467),1,0))</x:f>
        <x:v>1</x:v>
      </x:c>
      <x:c r="W467" s="9" t="n">
        <x:f>IF(Dashboard!$I$6="Flat %",G467*(1+Dashboard!$L$6),H467)</x:f>
        <x:v>0.053361</x:v>
      </x:c>
      <x:c r="X467" s="9" t="n">
        <x:f>IF(V467=1,R467*(W467-G467),"n.a.")</x:f>
        <x:v>6.812753051827519</x:v>
      </x:c>
      <x:c r="Y467" s="9" t="n">
        <x:f>IF(V467=1,R467*W467,"n.a.")</x:f>
        <x:v>46.84129823457906</x:v>
      </x:c>
      <x:c r="Z467" s="1" t="str">
        <x:f>IF(ISNUMBER(T467),R467-T467,"n.a.")</x:f>
        <x:v>n.a.</x:v>
      </x:c>
      <x:c r="AA467" s="1" t="str">
        <x:f>'Inventory inputs'!R467</x:f>
        <x:v>Review receipt reconciliation or original PO baseline</x:v>
      </x:c>
      <x:c r="AB467" s="1" t="str">
        <x:f>IF(L467=1,SUMIFS('Incoming POs'!$P$2:$P$305,'Incoming POs'!$A$2:$A$305,A467,'Incoming POs'!$B$2:$B$305,B467,'Incoming POs'!$C$2:$C$305,C467,'Incoming POs'!$G$2:$G$305,"&gt;="&amp;D467,'Incoming POs'!$G$2:$G$305,"&lt;"&amp;Dashboard!$I$5,'Incoming POs'!$Q$2:$Q$305,"&lt;="&amp;('Inventory inputs'!P467/'Inventory inputs'!J467*1.01)),"n.a.")</x:f>
        <x:v>n.a.</x:v>
      </x:c>
      <x:c r="AC467" s="9" t="n">
        <x:f>I467*G467</x:f>
        <x:v>0</x:v>
      </x:c>
      <x:c r="AD467" s="9" t="n">
        <x:f>J467*G467</x:f>
        <x:v>0</x:v>
      </x:c>
      <x:c r="AE467" s="9" t="n">
        <x:f>K467*G467</x:f>
        <x:v>41.03999999999999</x:v>
      </x:c>
      <x:c r="AF467" s="9" t="n">
        <x:f>R467*G467</x:f>
        <x:v>40.028545182751536</x:v>
      </x:c>
    </x:row>
    <x:row r="468" ht="21" customHeight="1">
      <x:c r="A468" s="1" t="str">
        <x:f>'Inventory inputs'!A468</x:f>
        <x:v>PLAS</x:v>
      </x:c>
      <x:c r="B468" s="1" t="str">
        <x:f>'Inventory inputs'!B468</x:f>
        <x:v>30</x:v>
      </x:c>
      <x:c r="C468" s="1" t="str">
        <x:f>'Inventory inputs'!C468</x:f>
        <x:v>07819RWBFG</x:v>
      </x:c>
      <x:c r="D468" s="7" t="n">
        <x:f>'Inventory inputs'!E468</x:f>
        <x:v>46303</x:v>
      </x:c>
      <x:c r="E468" s="1" t="n">
        <x:f>'Inventory inputs'!F468</x:f>
        <x:v>1500</x:v>
      </x:c>
      <x:c r="F468" s="1" t="n">
        <x:f>'Inventory inputs'!G468</x:f>
        <x:v>16.67</x:v>
      </x:c>
      <x:c r="G468" s="1" t="n">
        <x:f>'Inventory inputs'!H468/'Inventory inputs'!J468</x:f>
        <x:v>0.0797</x:v>
      </x:c>
      <x:c r="H468" s="1" t="n">
        <x:f>IF('Inventory inputs'!I468&gt;0,'Inventory inputs'!I468*'Inventory inputs'!K468/'Inventory inputs'!J468,"n.a.")</x:f>
        <x:v>0.09319799999999999</x:v>
      </x:c>
      <x:c r="I468" s="1" t="n">
        <x:f>'Inventory inputs'!L468</x:f>
        <x:v>0</x:v>
      </x:c>
      <x:c r="J468" s="1" t="n">
        <x:f>'Inventory inputs'!M468</x:f>
        <x:v>0</x:v>
      </x:c>
      <x:c r="K468" s="1" t="n">
        <x:f>'Inventory inputs'!N468</x:f>
        <x:v>1500</x:v>
      </x:c>
      <x:c r="L468" s="1" t="n">
        <x:f>'Inventory inputs'!O468</x:f>
        <x:v>0</x:v>
      </x:c>
      <x:c r="M468" s="9" t="n">
        <x:f>E468*G468</x:f>
        <x:v>119.54999999999998</x:v>
      </x:c>
      <x:c r="N468" s="9" t="n">
        <x:f>'Inventory inputs'!Q468</x:f>
        <x:v>119.55</x:v>
      </x:c>
      <x:c r="O468" s="9" t="n">
        <x:f>N468-M468</x:f>
        <x:v>1.4210854715202004e-14</x:v>
      </x:c>
      <x:c r="P468" s="1" t="n">
        <x:f>SUMIFS('Incoming POs'!$P$2:$P$305,'Incoming POs'!$A$2:$A$305,A468,'Incoming POs'!$B$2:$B$305,B468,'Incoming POs'!$C$2:$C$305,C468,'Incoming POs'!$G$2:$G$305,"&gt;="&amp;D468,'Incoming POs'!$G$2:$G$305,"&lt;"&amp;Dashboard!$I$5)</x:f>
        <x:v>0</x:v>
      </x:c>
      <x:c r="Q468" s="1" t="n">
        <x:f>F468*Dashboard!$L$5*MAX(0,Dashboard!$I$5-D468)/30.4375</x:f>
        <x:v>22.18102669404518</x:v>
      </x:c>
      <x:c r="R468" s="1" t="n">
        <x:f>MAX(0,E468+P468-Q468)</x:f>
        <x:v>1477.8189733059548</x:v>
      </x:c>
      <x:c r="S468" s="1" t="n">
        <x:f>MAX(0,Q468-E468-P468)</x:f>
        <x:v>0</x:v>
      </x:c>
      <x:c r="T468" s="1" t="str">
        <x:f>IF(L468=1,MAX(0,I468+AB468-MIN(Q468,E468+P468)),"n.a.")</x:f>
        <x:v>n.a.</x:v>
      </x:c>
      <x:c r="U468" s="9" t="str">
        <x:f>IF(ISNUMBER(T468),T468*G468,"n.a.")</x:f>
        <x:v>n.a.</x:v>
      </x:c>
      <x:c r="V468" s="25" t="n">
        <x:f>IF(Dashboard!$I$6="Flat %",1,IF(ISNUMBER(H468),1,0))</x:f>
        <x:v>1</x:v>
      </x:c>
      <x:c r="W468" s="9" t="n">
        <x:f>IF(Dashboard!$I$6="Flat %",G468*(1+Dashboard!$L$6),H468)</x:f>
        <x:v>0.09319799999999999</x:v>
      </x:c>
      <x:c r="X468" s="9" t="n">
        <x:f>IF(V468=1,R468*(W468-G468),"n.a.")</x:f>
        <x:v>19.947600501683773</x:v>
      </x:c>
      <x:c r="Y468" s="9" t="n">
        <x:f>IF(V468=1,R468*W468,"n.a.")</x:f>
        <x:v>137.72977267416837</x:v>
      </x:c>
      <x:c r="Z468" s="1" t="str">
        <x:f>IF(ISNUMBER(T468),R468-T468,"n.a.")</x:f>
        <x:v>n.a.</x:v>
      </x:c>
      <x:c r="AA468" s="1" t="str">
        <x:f>'Inventory inputs'!R468</x:f>
        <x:v>Review receipt reconciliation or original PO baseline</x:v>
      </x:c>
      <x:c r="AB468" s="1" t="str">
        <x:f>IF(L468=1,SUMIFS('Incoming POs'!$P$2:$P$305,'Incoming POs'!$A$2:$A$305,A468,'Incoming POs'!$B$2:$B$305,B468,'Incoming POs'!$C$2:$C$305,C468,'Incoming POs'!$G$2:$G$305,"&gt;="&amp;D468,'Incoming POs'!$G$2:$G$305,"&lt;"&amp;Dashboard!$I$5,'Incoming POs'!$Q$2:$Q$305,"&lt;="&amp;('Inventory inputs'!P468/'Inventory inputs'!J468*1.01)),"n.a.")</x:f>
        <x:v>n.a.</x:v>
      </x:c>
      <x:c r="AC468" s="9" t="n">
        <x:f>I468*G468</x:f>
        <x:v>0</x:v>
      </x:c>
      <x:c r="AD468" s="9" t="n">
        <x:f>J468*G468</x:f>
        <x:v>0</x:v>
      </x:c>
      <x:c r="AE468" s="9" t="n">
        <x:f>K468*G468</x:f>
        <x:v>119.54999999999998</x:v>
      </x:c>
      <x:c r="AF468" s="9" t="n">
        <x:f>R468*G468</x:f>
        <x:v>117.7821721724846</x:v>
      </x:c>
    </x:row>
    <x:row r="469" ht="21" customHeight="1">
      <x:c r="A469" s="1" t="str">
        <x:f>'Inventory inputs'!A469</x:f>
        <x:v>PLAS</x:v>
      </x:c>
      <x:c r="B469" s="1" t="str">
        <x:f>'Inventory inputs'!B469</x:f>
        <x:v>30</x:v>
      </x:c>
      <x:c r="C469" s="1" t="str">
        <x:f>'Inventory inputs'!C469</x:f>
        <x:v>11219RSLRED</x:v>
      </x:c>
      <x:c r="D469" s="7" t="n">
        <x:f>'Inventory inputs'!E469</x:f>
        <x:v>46303</x:v>
      </x:c>
      <x:c r="E469" s="1" t="n">
        <x:f>'Inventory inputs'!F469</x:f>
        <x:v>250</x:v>
      </x:c>
      <x:c r="F469" s="1" t="n">
        <x:f>'Inventory inputs'!G469</x:f>
        <x:v>16.67</x:v>
      </x:c>
      <x:c r="G469" s="1" t="n">
        <x:f>'Inventory inputs'!H469/'Inventory inputs'!J469</x:f>
        <x:v>0.1298</x:v>
      </x:c>
      <x:c r="H469" s="1" t="n">
        <x:f>IF('Inventory inputs'!I469&gt;0,'Inventory inputs'!I469*'Inventory inputs'!K469/'Inventory inputs'!J469,"n.a.")</x:f>
        <x:v>0.151851</x:v>
      </x:c>
      <x:c r="I469" s="1" t="n">
        <x:f>'Inventory inputs'!L469</x:f>
        <x:v>0</x:v>
      </x:c>
      <x:c r="J469" s="1" t="n">
        <x:f>'Inventory inputs'!M469</x:f>
        <x:v>0</x:v>
      </x:c>
      <x:c r="K469" s="1" t="n">
        <x:f>'Inventory inputs'!N469</x:f>
        <x:v>250</x:v>
      </x:c>
      <x:c r="L469" s="1" t="n">
        <x:f>'Inventory inputs'!O469</x:f>
        <x:v>0</x:v>
      </x:c>
      <x:c r="M469" s="9" t="n">
        <x:f>E469*G469</x:f>
        <x:v>32.45</x:v>
      </x:c>
      <x:c r="N469" s="9" t="n">
        <x:f>'Inventory inputs'!Q469</x:f>
        <x:v>32.45</x:v>
      </x:c>
      <x:c r="O469" s="9" t="n">
        <x:f>N469-M469</x:f>
        <x:v>0</x:v>
      </x:c>
      <x:c r="P469" s="1" t="n">
        <x:f>SUMIFS('Incoming POs'!$P$2:$P$305,'Incoming POs'!$A$2:$A$305,A469,'Incoming POs'!$B$2:$B$305,B469,'Incoming POs'!$C$2:$C$305,C469,'Incoming POs'!$G$2:$G$305,"&gt;="&amp;D469,'Incoming POs'!$G$2:$G$305,"&lt;"&amp;Dashboard!$I$5)</x:f>
        <x:v>0</x:v>
      </x:c>
      <x:c r="Q469" s="1" t="n">
        <x:f>F469*Dashboard!$L$5*MAX(0,Dashboard!$I$5-D469)/30.4375</x:f>
        <x:v>22.18102669404518</x:v>
      </x:c>
      <x:c r="R469" s="1" t="n">
        <x:f>MAX(0,E469+P469-Q469)</x:f>
        <x:v>227.8189733059548</x:v>
      </x:c>
      <x:c r="S469" s="1" t="n">
        <x:f>MAX(0,Q469-E469-P469)</x:f>
        <x:v>0</x:v>
      </x:c>
      <x:c r="T469" s="1" t="str">
        <x:f>IF(L469=1,MAX(0,I469+AB469-MIN(Q469,E469+P469)),"n.a.")</x:f>
        <x:v>n.a.</x:v>
      </x:c>
      <x:c r="U469" s="9" t="str">
        <x:f>IF(ISNUMBER(T469),T469*G469,"n.a.")</x:f>
        <x:v>n.a.</x:v>
      </x:c>
      <x:c r="V469" s="25" t="n">
        <x:f>IF(Dashboard!$I$6="Flat %",1,IF(ISNUMBER(H469),1,0))</x:f>
        <x:v>1</x:v>
      </x:c>
      <x:c r="W469" s="9" t="n">
        <x:f>IF(Dashboard!$I$6="Flat %",G469*(1+Dashboard!$L$6),H469)</x:f>
        <x:v>0.151851</x:v>
      </x:c>
      <x:c r="X469" s="9" t="n">
        <x:f>IF(V469=1,R469*(W469-G469),"n.a.")</x:f>
        <x:v>5.023636180369613</x:v>
      </x:c>
      <x:c r="Y469" s="9" t="n">
        <x:f>IF(V469=1,R469*W469,"n.a.")</x:f>
        <x:v>34.594538915482545</x:v>
      </x:c>
      <x:c r="Z469" s="1" t="str">
        <x:f>IF(ISNUMBER(T469),R469-T469,"n.a.")</x:f>
        <x:v>n.a.</x:v>
      </x:c>
      <x:c r="AA469" s="1" t="str">
        <x:f>'Inventory inputs'!R469</x:f>
        <x:v>Review receipt reconciliation or original PO baseline</x:v>
      </x:c>
      <x:c r="AB469" s="1" t="str">
        <x:f>IF(L469=1,SUMIFS('Incoming POs'!$P$2:$P$305,'Incoming POs'!$A$2:$A$305,A469,'Incoming POs'!$B$2:$B$305,B469,'Incoming POs'!$C$2:$C$305,C469,'Incoming POs'!$G$2:$G$305,"&gt;="&amp;D469,'Incoming POs'!$G$2:$G$305,"&lt;"&amp;Dashboard!$I$5,'Incoming POs'!$Q$2:$Q$305,"&lt;="&amp;('Inventory inputs'!P469/'Inventory inputs'!J469*1.01)),"n.a.")</x:f>
        <x:v>n.a.</x:v>
      </x:c>
      <x:c r="AC469" s="9" t="n">
        <x:f>I469*G469</x:f>
        <x:v>0</x:v>
      </x:c>
      <x:c r="AD469" s="9" t="n">
        <x:f>J469*G469</x:f>
        <x:v>0</x:v>
      </x:c>
      <x:c r="AE469" s="9" t="n">
        <x:f>K469*G469</x:f>
        <x:v>32.45</x:v>
      </x:c>
      <x:c r="AF469" s="9" t="n">
        <x:f>R469*G469</x:f>
        <x:v>29.570902735112934</x:v>
      </x:c>
    </x:row>
    <x:row r="470" ht="21" customHeight="1">
      <x:c r="A470" s="1" t="str">
        <x:f>'Inventory inputs'!A470</x:f>
        <x:v>PLAS</x:v>
      </x:c>
      <x:c r="B470" s="1" t="str">
        <x:f>'Inventory inputs'!B470</x:f>
        <x:v>30</x:v>
      </x:c>
      <x:c r="C470" s="1" t="str">
        <x:f>'Inventory inputs'!C470</x:f>
        <x:v>11819RWBRED</x:v>
      </x:c>
      <x:c r="D470" s="7" t="n">
        <x:f>'Inventory inputs'!E470</x:f>
        <x:v>46303</x:v>
      </x:c>
      <x:c r="E470" s="1" t="n">
        <x:f>'Inventory inputs'!F470</x:f>
        <x:v>550</x:v>
      </x:c>
      <x:c r="F470" s="1" t="n">
        <x:f>'Inventory inputs'!G470</x:f>
        <x:v>16.67</x:v>
      </x:c>
      <x:c r="G470" s="1" t="n">
        <x:f>'Inventory inputs'!H470/'Inventory inputs'!J470</x:f>
        <x:v>0.1323</x:v>
      </x:c>
      <x:c r="H470" s="1" t="n">
        <x:f>IF('Inventory inputs'!I470&gt;0,'Inventory inputs'!I470*'Inventory inputs'!K470/'Inventory inputs'!J470,"n.a.")</x:f>
        <x:v>0.15479099999999998</x:v>
      </x:c>
      <x:c r="I470" s="1" t="n">
        <x:f>'Inventory inputs'!L470</x:f>
        <x:v>0</x:v>
      </x:c>
      <x:c r="J470" s="1" t="n">
        <x:f>'Inventory inputs'!M470</x:f>
        <x:v>0</x:v>
      </x:c>
      <x:c r="K470" s="1" t="n">
        <x:f>'Inventory inputs'!N470</x:f>
        <x:v>550</x:v>
      </x:c>
      <x:c r="L470" s="1" t="n">
        <x:f>'Inventory inputs'!O470</x:f>
        <x:v>0</x:v>
      </x:c>
      <x:c r="M470" s="9" t="n">
        <x:f>E470*G470</x:f>
        <x:v>72.765</x:v>
      </x:c>
      <x:c r="N470" s="9" t="n">
        <x:f>'Inventory inputs'!Q470</x:f>
        <x:v>72.765</x:v>
      </x:c>
      <x:c r="O470" s="9" t="n">
        <x:f>N470-M470</x:f>
        <x:v>0</x:v>
      </x:c>
      <x:c r="P470" s="1" t="n">
        <x:f>SUMIFS('Incoming POs'!$P$2:$P$305,'Incoming POs'!$A$2:$A$305,A470,'Incoming POs'!$B$2:$B$305,B470,'Incoming POs'!$C$2:$C$305,C470,'Incoming POs'!$G$2:$G$305,"&gt;="&amp;D470,'Incoming POs'!$G$2:$G$305,"&lt;"&amp;Dashboard!$I$5)</x:f>
        <x:v>0</x:v>
      </x:c>
      <x:c r="Q470" s="1" t="n">
        <x:f>F470*Dashboard!$L$5*MAX(0,Dashboard!$I$5-D470)/30.4375</x:f>
        <x:v>22.18102669404518</x:v>
      </x:c>
      <x:c r="R470" s="1" t="n">
        <x:f>MAX(0,E470+P470-Q470)</x:f>
        <x:v>527.8189733059548</x:v>
      </x:c>
      <x:c r="S470" s="1" t="n">
        <x:f>MAX(0,Q470-E470-P470)</x:f>
        <x:v>0</x:v>
      </x:c>
      <x:c r="T470" s="1" t="str">
        <x:f>IF(L470=1,MAX(0,I470+AB470-MIN(Q470,E470+P470)),"n.a.")</x:f>
        <x:v>n.a.</x:v>
      </x:c>
      <x:c r="U470" s="9" t="str">
        <x:f>IF(ISNUMBER(T470),T470*G470,"n.a.")</x:f>
        <x:v>n.a.</x:v>
      </x:c>
      <x:c r="V470" s="25" t="n">
        <x:f>IF(Dashboard!$I$6="Flat %",1,IF(ISNUMBER(H470),1,0))</x:f>
        <x:v>1</x:v>
      </x:c>
      <x:c r="W470" s="9" t="n">
        <x:f>IF(Dashboard!$I$6="Flat %",G470*(1+Dashboard!$L$6),H470)</x:f>
        <x:v>0.15479099999999998</x:v>
      </x:c>
      <x:c r="X470" s="9" t="n">
        <x:f>IF(V470=1,R470*(W470-G470),"n.a.")</x:f>
        <x:v>11.871176528624222</x:v>
      </x:c>
      <x:c r="Y470" s="9" t="n">
        <x:f>IF(V470=1,R470*W470,"n.a.")</x:f>
        <x:v>81.70162669700204</x:v>
      </x:c>
      <x:c r="Z470" s="1" t="str">
        <x:f>IF(ISNUMBER(T470),R470-T470,"n.a.")</x:f>
        <x:v>n.a.</x:v>
      </x:c>
      <x:c r="AA470" s="1" t="str">
        <x:f>'Inventory inputs'!R470</x:f>
        <x:v>Review receipt reconciliation or original PO baseline</x:v>
      </x:c>
      <x:c r="AB470" s="1" t="str">
        <x:f>IF(L470=1,SUMIFS('Incoming POs'!$P$2:$P$305,'Incoming POs'!$A$2:$A$305,A470,'Incoming POs'!$B$2:$B$305,B470,'Incoming POs'!$C$2:$C$305,C470,'Incoming POs'!$G$2:$G$305,"&gt;="&amp;D470,'Incoming POs'!$G$2:$G$305,"&lt;"&amp;Dashboard!$I$5,'Incoming POs'!$Q$2:$Q$305,"&lt;="&amp;('Inventory inputs'!P470/'Inventory inputs'!J470*1.01)),"n.a.")</x:f>
        <x:v>n.a.</x:v>
      </x:c>
      <x:c r="AC470" s="9" t="n">
        <x:f>I470*G470</x:f>
        <x:v>0</x:v>
      </x:c>
      <x:c r="AD470" s="9" t="n">
        <x:f>J470*G470</x:f>
        <x:v>0</x:v>
      </x:c>
      <x:c r="AE470" s="9" t="n">
        <x:f>K470*G470</x:f>
        <x:v>72.765</x:v>
      </x:c>
      <x:c r="AF470" s="9" t="n">
        <x:f>R470*G470</x:f>
        <x:v>69.83045016837782</x:v>
      </x:c>
    </x:row>
    <x:row r="471" ht="21" customHeight="1">
      <x:c r="A471" s="1" t="str">
        <x:f>'Inventory inputs'!A471</x:f>
        <x:v>PLAS</x:v>
      </x:c>
      <x:c r="B471" s="1" t="str">
        <x:f>'Inventory inputs'!B471</x:f>
        <x:v>30</x:v>
      </x:c>
      <x:c r="C471" s="1" t="str">
        <x:f>'Inventory inputs'!C471</x:f>
        <x:v>13419RSLNAV</x:v>
      </x:c>
      <x:c r="D471" s="7" t="n">
        <x:f>'Inventory inputs'!E471</x:f>
        <x:v>46303</x:v>
      </x:c>
      <x:c r="E471" s="1" t="n">
        <x:f>'Inventory inputs'!F471</x:f>
        <x:v>150</x:v>
      </x:c>
      <x:c r="F471" s="1" t="n">
        <x:f>'Inventory inputs'!G471</x:f>
        <x:v>16.67</x:v>
      </x:c>
      <x:c r="G471" s="1" t="n">
        <x:f>'Inventory inputs'!H471/'Inventory inputs'!J471</x:f>
        <x:v>0.1457</x:v>
      </x:c>
      <x:c r="H471" s="1" t="n">
        <x:f>IF('Inventory inputs'!I471&gt;0,'Inventory inputs'!I471*'Inventory inputs'!K471/'Inventory inputs'!J471,"n.a.")</x:f>
        <x:v>0.170373</x:v>
      </x:c>
      <x:c r="I471" s="1" t="n">
        <x:f>'Inventory inputs'!L471</x:f>
        <x:v>0</x:v>
      </x:c>
      <x:c r="J471" s="1" t="n">
        <x:f>'Inventory inputs'!M471</x:f>
        <x:v>0</x:v>
      </x:c>
      <x:c r="K471" s="1" t="n">
        <x:f>'Inventory inputs'!N471</x:f>
        <x:v>150</x:v>
      </x:c>
      <x:c r="L471" s="1" t="n">
        <x:f>'Inventory inputs'!O471</x:f>
        <x:v>0</x:v>
      </x:c>
      <x:c r="M471" s="9" t="n">
        <x:f>E471*G471</x:f>
        <x:v>21.855</x:v>
      </x:c>
      <x:c r="N471" s="9" t="n">
        <x:f>'Inventory inputs'!Q471</x:f>
        <x:v>21.855</x:v>
      </x:c>
      <x:c r="O471" s="9" t="n">
        <x:f>N471-M471</x:f>
        <x:v>0</x:v>
      </x:c>
      <x:c r="P471" s="1" t="n">
        <x:f>SUMIFS('Incoming POs'!$P$2:$P$305,'Incoming POs'!$A$2:$A$305,A471,'Incoming POs'!$B$2:$B$305,B471,'Incoming POs'!$C$2:$C$305,C471,'Incoming POs'!$G$2:$G$305,"&gt;="&amp;D471,'Incoming POs'!$G$2:$G$305,"&lt;"&amp;Dashboard!$I$5)</x:f>
        <x:v>0</x:v>
      </x:c>
      <x:c r="Q471" s="1" t="n">
        <x:f>F471*Dashboard!$L$5*MAX(0,Dashboard!$I$5-D471)/30.4375</x:f>
        <x:v>22.18102669404518</x:v>
      </x:c>
      <x:c r="R471" s="1" t="n">
        <x:f>MAX(0,E471+P471-Q471)</x:f>
        <x:v>127.81897330595481</x:v>
      </x:c>
      <x:c r="S471" s="1" t="n">
        <x:f>MAX(0,Q471-E471-P471)</x:f>
        <x:v>0</x:v>
      </x:c>
      <x:c r="T471" s="1" t="str">
        <x:f>IF(L471=1,MAX(0,I471+AB471-MIN(Q471,E471+P471)),"n.a.")</x:f>
        <x:v>n.a.</x:v>
      </x:c>
      <x:c r="U471" s="9" t="str">
        <x:f>IF(ISNUMBER(T471),T471*G471,"n.a.")</x:f>
        <x:v>n.a.</x:v>
      </x:c>
      <x:c r="V471" s="25" t="n">
        <x:f>IF(Dashboard!$I$6="Flat %",1,IF(ISNUMBER(H471),1,0))</x:f>
        <x:v>1</x:v>
      </x:c>
      <x:c r="W471" s="9" t="n">
        <x:f>IF(Dashboard!$I$6="Flat %",G471*(1+Dashboard!$L$6),H471)</x:f>
        <x:v>0.170373</x:v>
      </x:c>
      <x:c r="X471" s="9" t="n">
        <x:f>IF(V471=1,R471*(W471-G471),"n.a.")</x:f>
        <x:v>3.1536775283778233</x:v>
      </x:c>
      <x:c r="Y471" s="9" t="n">
        <x:f>IF(V471=1,R471*W471,"n.a.")</x:f>
        <x:v>21.77690193905544</x:v>
      </x:c>
      <x:c r="Z471" s="1" t="str">
        <x:f>IF(ISNUMBER(T471),R471-T471,"n.a.")</x:f>
        <x:v>n.a.</x:v>
      </x:c>
      <x:c r="AA471" s="1" t="str">
        <x:f>'Inventory inputs'!R471</x:f>
        <x:v>Review receipt reconciliation or original PO baseline</x:v>
      </x:c>
      <x:c r="AB471" s="1" t="str">
        <x:f>IF(L471=1,SUMIFS('Incoming POs'!$P$2:$P$305,'Incoming POs'!$A$2:$A$305,A471,'Incoming POs'!$B$2:$B$305,B471,'Incoming POs'!$C$2:$C$305,C471,'Incoming POs'!$G$2:$G$305,"&gt;="&amp;D471,'Incoming POs'!$G$2:$G$305,"&lt;"&amp;Dashboard!$I$5,'Incoming POs'!$Q$2:$Q$305,"&lt;="&amp;('Inventory inputs'!P471/'Inventory inputs'!J471*1.01)),"n.a.")</x:f>
        <x:v>n.a.</x:v>
      </x:c>
      <x:c r="AC471" s="9" t="n">
        <x:f>I471*G471</x:f>
        <x:v>0</x:v>
      </x:c>
      <x:c r="AD471" s="9" t="n">
        <x:f>J471*G471</x:f>
        <x:v>0</x:v>
      </x:c>
      <x:c r="AE471" s="9" t="n">
        <x:f>K471*G471</x:f>
        <x:v>21.855</x:v>
      </x:c>
      <x:c r="AF471" s="9" t="n">
        <x:f>R471*G471</x:f>
        <x:v>18.623224410677615</x:v>
      </x:c>
    </x:row>
    <x:row r="472" ht="21" customHeight="1">
      <x:c r="A472" s="1" t="str">
        <x:f>'Inventory inputs'!A472</x:f>
        <x:v>PLAS</x:v>
      </x:c>
      <x:c r="B472" s="1" t="str">
        <x:f>'Inventory inputs'!B472</x:f>
        <x:v>30</x:v>
      </x:c>
      <x:c r="C472" s="1" t="str">
        <x:f>'Inventory inputs'!C472</x:f>
        <x:v>13419RSLRED</x:v>
      </x:c>
      <x:c r="D472" s="7" t="n">
        <x:f>'Inventory inputs'!E472</x:f>
        <x:v>46303</x:v>
      </x:c>
      <x:c r="E472" s="1" t="n">
        <x:f>'Inventory inputs'!F472</x:f>
        <x:v>700</x:v>
      </x:c>
      <x:c r="F472" s="1" t="n">
        <x:f>'Inventory inputs'!G472</x:f>
        <x:v>16.67</x:v>
      </x:c>
      <x:c r="G472" s="1" t="n">
        <x:f>'Inventory inputs'!H472/'Inventory inputs'!J472</x:f>
        <x:v>0.1457</x:v>
      </x:c>
      <x:c r="H472" s="1" t="n">
        <x:f>IF('Inventory inputs'!I472&gt;0,'Inventory inputs'!I472*'Inventory inputs'!K472/'Inventory inputs'!J472,"n.a.")</x:f>
        <x:v>0.170373</x:v>
      </x:c>
      <x:c r="I472" s="1" t="n">
        <x:f>'Inventory inputs'!L472</x:f>
        <x:v>0</x:v>
      </x:c>
      <x:c r="J472" s="1" t="n">
        <x:f>'Inventory inputs'!M472</x:f>
        <x:v>0</x:v>
      </x:c>
      <x:c r="K472" s="1" t="n">
        <x:f>'Inventory inputs'!N472</x:f>
        <x:v>700</x:v>
      </x:c>
      <x:c r="L472" s="1" t="n">
        <x:f>'Inventory inputs'!O472</x:f>
        <x:v>0</x:v>
      </x:c>
      <x:c r="M472" s="9" t="n">
        <x:f>E472*G472</x:f>
        <x:v>101.99</x:v>
      </x:c>
      <x:c r="N472" s="9" t="n">
        <x:f>'Inventory inputs'!Q472</x:f>
        <x:v>101.99000000000001</x:v>
      </x:c>
      <x:c r="O472" s="9" t="n">
        <x:f>N472-M472</x:f>
        <x:v>1.4210854715202004e-14</x:v>
      </x:c>
      <x:c r="P472" s="1" t="n">
        <x:f>SUMIFS('Incoming POs'!$P$2:$P$305,'Incoming POs'!$A$2:$A$305,A472,'Incoming POs'!$B$2:$B$305,B472,'Incoming POs'!$C$2:$C$305,C472,'Incoming POs'!$G$2:$G$305,"&gt;="&amp;D472,'Incoming POs'!$G$2:$G$305,"&lt;"&amp;Dashboard!$I$5)</x:f>
        <x:v>0</x:v>
      </x:c>
      <x:c r="Q472" s="1" t="n">
        <x:f>F472*Dashboard!$L$5*MAX(0,Dashboard!$I$5-D472)/30.4375</x:f>
        <x:v>22.18102669404518</x:v>
      </x:c>
      <x:c r="R472" s="1" t="n">
        <x:f>MAX(0,E472+P472-Q472)</x:f>
        <x:v>677.8189733059548</x:v>
      </x:c>
      <x:c r="S472" s="1" t="n">
        <x:f>MAX(0,Q472-E472-P472)</x:f>
        <x:v>0</x:v>
      </x:c>
      <x:c r="T472" s="1" t="str">
        <x:f>IF(L472=1,MAX(0,I472+AB472-MIN(Q472,E472+P472)),"n.a.")</x:f>
        <x:v>n.a.</x:v>
      </x:c>
      <x:c r="U472" s="9" t="str">
        <x:f>IF(ISNUMBER(T472),T472*G472,"n.a.")</x:f>
        <x:v>n.a.</x:v>
      </x:c>
      <x:c r="V472" s="25" t="n">
        <x:f>IF(Dashboard!$I$6="Flat %",1,IF(ISNUMBER(H472),1,0))</x:f>
        <x:v>1</x:v>
      </x:c>
      <x:c r="W472" s="9" t="n">
        <x:f>IF(Dashboard!$I$6="Flat %",G472*(1+Dashboard!$L$6),H472)</x:f>
        <x:v>0.170373</x:v>
      </x:c>
      <x:c r="X472" s="9" t="n">
        <x:f>IF(V472=1,R472*(W472-G472),"n.a.")</x:f>
        <x:v>16.723827528377825</x:v>
      </x:c>
      <x:c r="Y472" s="9" t="n">
        <x:f>IF(V472=1,R472*W472,"n.a.")</x:f>
        <x:v>115.48205193905544</x:v>
      </x:c>
      <x:c r="Z472" s="1" t="str">
        <x:f>IF(ISNUMBER(T472),R472-T472,"n.a.")</x:f>
        <x:v>n.a.</x:v>
      </x:c>
      <x:c r="AA472" s="1" t="str">
        <x:f>'Inventory inputs'!R472</x:f>
        <x:v>Review receipt reconciliation or original PO baseline</x:v>
      </x:c>
      <x:c r="AB472" s="1" t="str">
        <x:f>IF(L472=1,SUMIFS('Incoming POs'!$P$2:$P$305,'Incoming POs'!$A$2:$A$305,A472,'Incoming POs'!$B$2:$B$305,B472,'Incoming POs'!$C$2:$C$305,C472,'Incoming POs'!$G$2:$G$305,"&gt;="&amp;D472,'Incoming POs'!$G$2:$G$305,"&lt;"&amp;Dashboard!$I$5,'Incoming POs'!$Q$2:$Q$305,"&lt;="&amp;('Inventory inputs'!P472/'Inventory inputs'!J472*1.01)),"n.a.")</x:f>
        <x:v>n.a.</x:v>
      </x:c>
      <x:c r="AC472" s="9" t="n">
        <x:f>I472*G472</x:f>
        <x:v>0</x:v>
      </x:c>
      <x:c r="AD472" s="9" t="n">
        <x:f>J472*G472</x:f>
        <x:v>0</x:v>
      </x:c>
      <x:c r="AE472" s="9" t="n">
        <x:f>K472*G472</x:f>
        <x:v>101.99</x:v>
      </x:c>
      <x:c r="AF472" s="9" t="n">
        <x:f>R472*G472</x:f>
        <x:v>98.75822441067761</x:v>
      </x:c>
    </x:row>
    <x:row r="473" ht="21" customHeight="1">
      <x:c r="A473" s="1" t="str">
        <x:f>'Inventory inputs'!A473</x:f>
        <x:v>PLAS</x:v>
      </x:c>
      <x:c r="B473" s="1" t="str">
        <x:f>'Inventory inputs'!B473</x:f>
        <x:v>30</x:v>
      </x:c>
      <x:c r="C473" s="1" t="str">
        <x:f>'Inventory inputs'!C473</x:f>
        <x:v>91619RWBRED</x:v>
      </x:c>
      <x:c r="D473" s="7" t="n">
        <x:f>'Inventory inputs'!E473</x:f>
        <x:v>46303</x:v>
      </x:c>
      <x:c r="E473" s="1" t="n">
        <x:f>'Inventory inputs'!F473</x:f>
        <x:v>1100</x:v>
      </x:c>
      <x:c r="F473" s="1" t="n">
        <x:f>'Inventory inputs'!G473</x:f>
        <x:v>16.67</x:v>
      </x:c>
      <x:c r="G473" s="1" t="n">
        <x:f>'Inventory inputs'!H473/'Inventory inputs'!J473</x:f>
        <x:v>0.042800000000000005</x:v>
      </x:c>
      <x:c r="H473" s="1" t="n">
        <x:f>IF('Inventory inputs'!I473&gt;0,'Inventory inputs'!I473*'Inventory inputs'!K473/'Inventory inputs'!J473,"n.a.")</x:f>
        <x:v>0.049980000000000004</x:v>
      </x:c>
      <x:c r="I473" s="1" t="n">
        <x:f>'Inventory inputs'!L473</x:f>
        <x:v>0</x:v>
      </x:c>
      <x:c r="J473" s="1" t="n">
        <x:f>'Inventory inputs'!M473</x:f>
        <x:v>0</x:v>
      </x:c>
      <x:c r="K473" s="1" t="n">
        <x:f>'Inventory inputs'!N473</x:f>
        <x:v>1100</x:v>
      </x:c>
      <x:c r="L473" s="1" t="n">
        <x:f>'Inventory inputs'!O473</x:f>
        <x:v>0</x:v>
      </x:c>
      <x:c r="M473" s="9" t="n">
        <x:f>E473*G473</x:f>
        <x:v>47.080000000000005</x:v>
      </x:c>
      <x:c r="N473" s="9" t="n">
        <x:f>'Inventory inputs'!Q473</x:f>
        <x:v>47.08</x:v>
      </x:c>
      <x:c r="O473" s="9" t="n">
        <x:f>N473-M473</x:f>
        <x:v>-7.105427357601002e-15</x:v>
      </x:c>
      <x:c r="P473" s="1" t="n">
        <x:f>SUMIFS('Incoming POs'!$P$2:$P$305,'Incoming POs'!$A$2:$A$305,A473,'Incoming POs'!$B$2:$B$305,B473,'Incoming POs'!$C$2:$C$305,C473,'Incoming POs'!$G$2:$G$305,"&gt;="&amp;D473,'Incoming POs'!$G$2:$G$305,"&lt;"&amp;Dashboard!$I$5)</x:f>
        <x:v>0</x:v>
      </x:c>
      <x:c r="Q473" s="1" t="n">
        <x:f>F473*Dashboard!$L$5*MAX(0,Dashboard!$I$5-D473)/30.4375</x:f>
        <x:v>22.18102669404518</x:v>
      </x:c>
      <x:c r="R473" s="1" t="n">
        <x:f>MAX(0,E473+P473-Q473)</x:f>
        <x:v>1077.8189733059548</x:v>
      </x:c>
      <x:c r="S473" s="1" t="n">
        <x:f>MAX(0,Q473-E473-P473)</x:f>
        <x:v>0</x:v>
      </x:c>
      <x:c r="T473" s="1" t="str">
        <x:f>IF(L473=1,MAX(0,I473+AB473-MIN(Q473,E473+P473)),"n.a.")</x:f>
        <x:v>n.a.</x:v>
      </x:c>
      <x:c r="U473" s="9" t="str">
        <x:f>IF(ISNUMBER(T473),T473*G473,"n.a.")</x:f>
        <x:v>n.a.</x:v>
      </x:c>
      <x:c r="V473" s="25" t="n">
        <x:f>IF(Dashboard!$I$6="Flat %",1,IF(ISNUMBER(H473),1,0))</x:f>
        <x:v>1</x:v>
      </x:c>
      <x:c r="W473" s="9" t="n">
        <x:f>IF(Dashboard!$I$6="Flat %",G473*(1+Dashboard!$L$6),H473)</x:f>
        <x:v>0.049980000000000004</x:v>
      </x:c>
      <x:c r="X473" s="9" t="n">
        <x:f>IF(V473=1,R473*(W473-G473),"n.a.")</x:f>
        <x:v>7.738740228336755</x:v>
      </x:c>
      <x:c r="Y473" s="9" t="n">
        <x:f>IF(V473=1,R473*W473,"n.a.")</x:f>
        <x:v>53.86939228583163</x:v>
      </x:c>
      <x:c r="Z473" s="1" t="str">
        <x:f>IF(ISNUMBER(T473),R473-T473,"n.a.")</x:f>
        <x:v>n.a.</x:v>
      </x:c>
      <x:c r="AA473" s="1" t="str">
        <x:f>'Inventory inputs'!R473</x:f>
        <x:v>Review receipt reconciliation or original PO baseline</x:v>
      </x:c>
      <x:c r="AB473" s="1" t="str">
        <x:f>IF(L473=1,SUMIFS('Incoming POs'!$P$2:$P$305,'Incoming POs'!$A$2:$A$305,A473,'Incoming POs'!$B$2:$B$305,B473,'Incoming POs'!$C$2:$C$305,C473,'Incoming POs'!$G$2:$G$305,"&gt;="&amp;D473,'Incoming POs'!$G$2:$G$305,"&lt;"&amp;Dashboard!$I$5,'Incoming POs'!$Q$2:$Q$305,"&lt;="&amp;('Inventory inputs'!P473/'Inventory inputs'!J473*1.01)),"n.a.")</x:f>
        <x:v>n.a.</x:v>
      </x:c>
      <x:c r="AC473" s="9" t="n">
        <x:f>I473*G473</x:f>
        <x:v>0</x:v>
      </x:c>
      <x:c r="AD473" s="9" t="n">
        <x:f>J473*G473</x:f>
        <x:v>0</x:v>
      </x:c>
      <x:c r="AE473" s="9" t="n">
        <x:f>K473*G473</x:f>
        <x:v>47.080000000000005</x:v>
      </x:c>
      <x:c r="AF473" s="9" t="n">
        <x:f>R473*G473</x:f>
        <x:v>46.13065205749487</x:v>
      </x:c>
    </x:row>
    <x:row r="474" ht="21" customHeight="1">
      <x:c r="A474" s="1" t="str">
        <x:f>'Inventory inputs'!A474</x:f>
        <x:v>PLAS</x:v>
      </x:c>
      <x:c r="B474" s="1" t="str">
        <x:f>'Inventory inputs'!B474</x:f>
        <x:v>60</x:v>
      </x:c>
      <x:c r="C474" s="1" t="str">
        <x:f>'Inventory inputs'!C474</x:f>
        <x:v>00119RWBBLU</x:v>
      </x:c>
      <x:c r="D474" s="7" t="n">
        <x:f>'Inventory inputs'!E474</x:f>
        <x:v>46303</x:v>
      </x:c>
      <x:c r="E474" s="1" t="n">
        <x:f>'Inventory inputs'!F474</x:f>
        <x:v>200</x:v>
      </x:c>
      <x:c r="F474" s="1" t="n">
        <x:f>'Inventory inputs'!G474</x:f>
        <x:v>16.67</x:v>
      </x:c>
      <x:c r="G474" s="1" t="n">
        <x:f>'Inventory inputs'!H474/'Inventory inputs'!J474</x:f>
        <x:v>0.1054</x:v>
      </x:c>
      <x:c r="H474" s="1" t="n">
        <x:f>IF('Inventory inputs'!I474&gt;0,'Inventory inputs'!I474*'Inventory inputs'!K474/'Inventory inputs'!J474,"n.a.")</x:f>
        <x:v>0.12333300000000001</x:v>
      </x:c>
      <x:c r="I474" s="1" t="n">
        <x:f>'Inventory inputs'!L474</x:f>
        <x:v>0</x:v>
      </x:c>
      <x:c r="J474" s="1" t="n">
        <x:f>'Inventory inputs'!M474</x:f>
        <x:v>0</x:v>
      </x:c>
      <x:c r="K474" s="1" t="n">
        <x:f>'Inventory inputs'!N474</x:f>
        <x:v>200</x:v>
      </x:c>
      <x:c r="L474" s="1" t="n">
        <x:f>'Inventory inputs'!O474</x:f>
        <x:v>0</x:v>
      </x:c>
      <x:c r="M474" s="9" t="n">
        <x:f>E474*G474</x:f>
        <x:v>21.08</x:v>
      </x:c>
      <x:c r="N474" s="9" t="n">
        <x:f>'Inventory inputs'!Q474</x:f>
        <x:v>21.080000000000002</x:v>
      </x:c>
      <x:c r="O474" s="9" t="n">
        <x:f>N474-M474</x:f>
        <x:v>3.552713678800501e-15</x:v>
      </x:c>
      <x:c r="P474" s="1" t="n">
        <x:f>SUMIFS('Incoming POs'!$P$2:$P$305,'Incoming POs'!$A$2:$A$305,A474,'Incoming POs'!$B$2:$B$305,B474,'Incoming POs'!$C$2:$C$305,C474,'Incoming POs'!$G$2:$G$305,"&gt;="&amp;D474,'Incoming POs'!$G$2:$G$305,"&lt;"&amp;Dashboard!$I$5)</x:f>
        <x:v>0</x:v>
      </x:c>
      <x:c r="Q474" s="1" t="n">
        <x:f>F474*Dashboard!$L$5*MAX(0,Dashboard!$I$5-D474)/30.4375</x:f>
        <x:v>22.18102669404518</x:v>
      </x:c>
      <x:c r="R474" s="1" t="n">
        <x:f>MAX(0,E474+P474-Q474)</x:f>
        <x:v>177.8189733059548</x:v>
      </x:c>
      <x:c r="S474" s="1" t="n">
        <x:f>MAX(0,Q474-E474-P474)</x:f>
        <x:v>0</x:v>
      </x:c>
      <x:c r="T474" s="1" t="str">
        <x:f>IF(L474=1,MAX(0,I474+AB474-MIN(Q474,E474+P474)),"n.a.")</x:f>
        <x:v>n.a.</x:v>
      </x:c>
      <x:c r="U474" s="9" t="str">
        <x:f>IF(ISNUMBER(T474),T474*G474,"n.a.")</x:f>
        <x:v>n.a.</x:v>
      </x:c>
      <x:c r="V474" s="25" t="n">
        <x:f>IF(Dashboard!$I$6="Flat %",1,IF(ISNUMBER(H474),1,0))</x:f>
        <x:v>1</x:v>
      </x:c>
      <x:c r="W474" s="9" t="n">
        <x:f>IF(Dashboard!$I$6="Flat %",G474*(1+Dashboard!$L$6),H474)</x:f>
        <x:v>0.12333300000000001</x:v>
      </x:c>
      <x:c r="X474" s="9" t="n">
        <x:f>IF(V474=1,R474*(W474-G474),"n.a.")</x:f>
        <x:v>3.1888276482956908</x:v>
      </x:c>
      <x:c r="Y474" s="9" t="n">
        <x:f>IF(V474=1,R474*W474,"n.a.")</x:f>
        <x:v>21.930947434743327</x:v>
      </x:c>
      <x:c r="Z474" s="1" t="str">
        <x:f>IF(ISNUMBER(T474),R474-T474,"n.a.")</x:f>
        <x:v>n.a.</x:v>
      </x:c>
      <x:c r="AA474" s="1" t="str">
        <x:f>'Inventory inputs'!R474</x:f>
        <x:v>Review receipt reconciliation or original PO baseline</x:v>
      </x:c>
      <x:c r="AB474" s="1" t="str">
        <x:f>IF(L474=1,SUMIFS('Incoming POs'!$P$2:$P$305,'Incoming POs'!$A$2:$A$305,A474,'Incoming POs'!$B$2:$B$305,B474,'Incoming POs'!$C$2:$C$305,C474,'Incoming POs'!$G$2:$G$305,"&gt;="&amp;D474,'Incoming POs'!$G$2:$G$305,"&lt;"&amp;Dashboard!$I$5,'Incoming POs'!$Q$2:$Q$305,"&lt;="&amp;('Inventory inputs'!P474/'Inventory inputs'!J474*1.01)),"n.a.")</x:f>
        <x:v>n.a.</x:v>
      </x:c>
      <x:c r="AC474" s="9" t="n">
        <x:f>I474*G474</x:f>
        <x:v>0</x:v>
      </x:c>
      <x:c r="AD474" s="9" t="n">
        <x:f>J474*G474</x:f>
        <x:v>0</x:v>
      </x:c>
      <x:c r="AE474" s="9" t="n">
        <x:f>K474*G474</x:f>
        <x:v>21.08</x:v>
      </x:c>
      <x:c r="AF474" s="9" t="n">
        <x:f>R474*G474</x:f>
        <x:v>18.742119786447635</x:v>
      </x:c>
    </x:row>
    <x:row r="475" ht="21" customHeight="1">
      <x:c r="A475" s="1" t="str">
        <x:f>'Inventory inputs'!A475</x:f>
        <x:v>PLAS</x:v>
      </x:c>
      <x:c r="B475" s="1" t="str">
        <x:f>'Inventory inputs'!B475</x:f>
        <x:v>60</x:v>
      </x:c>
      <x:c r="C475" s="1" t="str">
        <x:f>'Inventory inputs'!C475</x:f>
        <x:v>03819RWBRED</x:v>
      </x:c>
      <x:c r="D475" s="7" t="n">
        <x:f>'Inventory inputs'!E475</x:f>
        <x:v>46303</x:v>
      </x:c>
      <x:c r="E475" s="1" t="n">
        <x:f>'Inventory inputs'!F475</x:f>
        <x:v>500</x:v>
      </x:c>
      <x:c r="F475" s="1" t="n">
        <x:f>'Inventory inputs'!G475</x:f>
        <x:v>16.67</x:v>
      </x:c>
      <x:c r="G475" s="1" t="n">
        <x:f>'Inventory inputs'!H475/'Inventory inputs'!J475</x:f>
        <x:v>0.0248</x:v>
      </x:c>
      <x:c r="H475" s="1" t="n">
        <x:f>IF('Inventory inputs'!I475&gt;0,'Inventory inputs'!I475*'Inventory inputs'!K475/'Inventory inputs'!J475,"n.a.")</x:f>
        <x:v>0.029106</x:v>
      </x:c>
      <x:c r="I475" s="1" t="n">
        <x:f>'Inventory inputs'!L475</x:f>
        <x:v>0</x:v>
      </x:c>
      <x:c r="J475" s="1" t="n">
        <x:f>'Inventory inputs'!M475</x:f>
        <x:v>0</x:v>
      </x:c>
      <x:c r="K475" s="1" t="n">
        <x:f>'Inventory inputs'!N475</x:f>
        <x:v>500</x:v>
      </x:c>
      <x:c r="L475" s="1" t="n">
        <x:f>'Inventory inputs'!O475</x:f>
        <x:v>0</x:v>
      </x:c>
      <x:c r="M475" s="9" t="n">
        <x:f>E475*G475</x:f>
        <x:v>12.4</x:v>
      </x:c>
      <x:c r="N475" s="9" t="n">
        <x:f>'Inventory inputs'!Q475</x:f>
        <x:v>12.4</x:v>
      </x:c>
      <x:c r="O475" s="9" t="n">
        <x:f>N475-M475</x:f>
        <x:v>0</x:v>
      </x:c>
      <x:c r="P475" s="1" t="n">
        <x:f>SUMIFS('Incoming POs'!$P$2:$P$305,'Incoming POs'!$A$2:$A$305,A475,'Incoming POs'!$B$2:$B$305,B475,'Incoming POs'!$C$2:$C$305,C475,'Incoming POs'!$G$2:$G$305,"&gt;="&amp;D475,'Incoming POs'!$G$2:$G$305,"&lt;"&amp;Dashboard!$I$5)</x:f>
        <x:v>0</x:v>
      </x:c>
      <x:c r="Q475" s="1" t="n">
        <x:f>F475*Dashboard!$L$5*MAX(0,Dashboard!$I$5-D475)/30.4375</x:f>
        <x:v>22.18102669404518</x:v>
      </x:c>
      <x:c r="R475" s="1" t="n">
        <x:f>MAX(0,E475+P475-Q475)</x:f>
        <x:v>477.81897330595484</x:v>
      </x:c>
      <x:c r="S475" s="1" t="n">
        <x:f>MAX(0,Q475-E475-P475)</x:f>
        <x:v>0</x:v>
      </x:c>
      <x:c r="T475" s="1" t="str">
        <x:f>IF(L475=1,MAX(0,I475+AB475-MIN(Q475,E475+P475)),"n.a.")</x:f>
        <x:v>n.a.</x:v>
      </x:c>
      <x:c r="U475" s="9" t="str">
        <x:f>IF(ISNUMBER(T475),T475*G475,"n.a.")</x:f>
        <x:v>n.a.</x:v>
      </x:c>
      <x:c r="V475" s="25" t="n">
        <x:f>IF(Dashboard!$I$6="Flat %",1,IF(ISNUMBER(H475),1,0))</x:f>
        <x:v>1</x:v>
      </x:c>
      <x:c r="W475" s="9" t="n">
        <x:f>IF(Dashboard!$I$6="Flat %",G475*(1+Dashboard!$L$6),H475)</x:f>
        <x:v>0.029106</x:v>
      </x:c>
      <x:c r="X475" s="9" t="n">
        <x:f>IF(V475=1,R475*(W475-G475),"n.a.")</x:f>
        <x:v>2.057488499055442</x:v>
      </x:c>
      <x:c r="Y475" s="9" t="n">
        <x:f>IF(V475=1,R475*W475,"n.a.")</x:f>
        <x:v>13.907399037043122</x:v>
      </x:c>
      <x:c r="Z475" s="1" t="str">
        <x:f>IF(ISNUMBER(T475),R475-T475,"n.a.")</x:f>
        <x:v>n.a.</x:v>
      </x:c>
      <x:c r="AA475" s="1" t="str">
        <x:f>'Inventory inputs'!R475</x:f>
        <x:v>Review receipt reconciliation or original PO baseline</x:v>
      </x:c>
      <x:c r="AB475" s="1" t="str">
        <x:f>IF(L475=1,SUMIFS('Incoming POs'!$P$2:$P$305,'Incoming POs'!$A$2:$A$305,A475,'Incoming POs'!$B$2:$B$305,B475,'Incoming POs'!$C$2:$C$305,C475,'Incoming POs'!$G$2:$G$305,"&gt;="&amp;D475,'Incoming POs'!$G$2:$G$305,"&lt;"&amp;Dashboard!$I$5,'Incoming POs'!$Q$2:$Q$305,"&lt;="&amp;('Inventory inputs'!P475/'Inventory inputs'!J475*1.01)),"n.a.")</x:f>
        <x:v>n.a.</x:v>
      </x:c>
      <x:c r="AC475" s="9" t="n">
        <x:f>I475*G475</x:f>
        <x:v>0</x:v>
      </x:c>
      <x:c r="AD475" s="9" t="n">
        <x:f>J475*G475</x:f>
        <x:v>0</x:v>
      </x:c>
      <x:c r="AE475" s="9" t="n">
        <x:f>K475*G475</x:f>
        <x:v>12.4</x:v>
      </x:c>
      <x:c r="AF475" s="9" t="n">
        <x:f>R475*G475</x:f>
        <x:v>11.849910537987679</x:v>
      </x:c>
    </x:row>
    <x:row r="476" ht="21" customHeight="1">
      <x:c r="A476" s="1" t="str">
        <x:f>'Inventory inputs'!A476</x:f>
        <x:v>PLAS</x:v>
      </x:c>
      <x:c r="B476" s="1" t="str">
        <x:f>'Inventory inputs'!B476</x:f>
        <x:v>60</x:v>
      </x:c>
      <x:c r="C476" s="1" t="str">
        <x:f>'Inventory inputs'!C476</x:f>
        <x:v>05819RWBFG</x:v>
      </x:c>
      <x:c r="D476" s="7" t="n">
        <x:f>'Inventory inputs'!E476</x:f>
        <x:v>46303</x:v>
      </x:c>
      <x:c r="E476" s="1" t="n">
        <x:f>'Inventory inputs'!F476</x:f>
        <x:v>1700</x:v>
      </x:c>
      <x:c r="F476" s="1" t="n">
        <x:f>'Inventory inputs'!G476</x:f>
        <x:v>16.67</x:v>
      </x:c>
      <x:c r="G476" s="1" t="n">
        <x:f>'Inventory inputs'!H476/'Inventory inputs'!J476</x:f>
        <x:v>0.045599999999999995</x:v>
      </x:c>
      <x:c r="H476" s="1" t="n">
        <x:f>IF('Inventory inputs'!I476&gt;0,'Inventory inputs'!I476*'Inventory inputs'!K476/'Inventory inputs'!J476,"n.a.")</x:f>
        <x:v>0.053361</x:v>
      </x:c>
      <x:c r="I476" s="1" t="n">
        <x:f>'Inventory inputs'!L476</x:f>
        <x:v>0</x:v>
      </x:c>
      <x:c r="J476" s="1" t="n">
        <x:f>'Inventory inputs'!M476</x:f>
        <x:v>0</x:v>
      </x:c>
      <x:c r="K476" s="1" t="n">
        <x:f>'Inventory inputs'!N476</x:f>
        <x:v>1700</x:v>
      </x:c>
      <x:c r="L476" s="1" t="n">
        <x:f>'Inventory inputs'!O476</x:f>
        <x:v>0</x:v>
      </x:c>
      <x:c r="M476" s="9" t="n">
        <x:f>E476*G476</x:f>
        <x:v>77.52</x:v>
      </x:c>
      <x:c r="N476" s="9" t="n">
        <x:f>'Inventory inputs'!Q476</x:f>
        <x:v>77.52</x:v>
      </x:c>
      <x:c r="O476" s="9" t="n">
        <x:f>N476-M476</x:f>
        <x:v>0</x:v>
      </x:c>
      <x:c r="P476" s="1" t="n">
        <x:f>SUMIFS('Incoming POs'!$P$2:$P$305,'Incoming POs'!$A$2:$A$305,A476,'Incoming POs'!$B$2:$B$305,B476,'Incoming POs'!$C$2:$C$305,C476,'Incoming POs'!$G$2:$G$305,"&gt;="&amp;D476,'Incoming POs'!$G$2:$G$305,"&lt;"&amp;Dashboard!$I$5)</x:f>
        <x:v>0</x:v>
      </x:c>
      <x:c r="Q476" s="1" t="n">
        <x:f>F476*Dashboard!$L$5*MAX(0,Dashboard!$I$5-D476)/30.4375</x:f>
        <x:v>22.18102669404518</x:v>
      </x:c>
      <x:c r="R476" s="1" t="n">
        <x:f>MAX(0,E476+P476-Q476)</x:f>
        <x:v>1677.8189733059548</x:v>
      </x:c>
      <x:c r="S476" s="1" t="n">
        <x:f>MAX(0,Q476-E476-P476)</x:f>
        <x:v>0</x:v>
      </x:c>
      <x:c r="T476" s="1" t="str">
        <x:f>IF(L476=1,MAX(0,I476+AB476-MIN(Q476,E476+P476)),"n.a.")</x:f>
        <x:v>n.a.</x:v>
      </x:c>
      <x:c r="U476" s="9" t="str">
        <x:f>IF(ISNUMBER(T476),T476*G476,"n.a.")</x:f>
        <x:v>n.a.</x:v>
      </x:c>
      <x:c r="V476" s="25" t="n">
        <x:f>IF(Dashboard!$I$6="Flat %",1,IF(ISNUMBER(H476),1,0))</x:f>
        <x:v>1</x:v>
      </x:c>
      <x:c r="W476" s="9" t="n">
        <x:f>IF(Dashboard!$I$6="Flat %",G476*(1+Dashboard!$L$6),H476)</x:f>
        <x:v>0.053361</x:v>
      </x:c>
      <x:c r="X476" s="9" t="n">
        <x:f>IF(V476=1,R476*(W476-G476),"n.a.")</x:f>
        <x:v>13.021553051827523</x:v>
      </x:c>
      <x:c r="Y476" s="9" t="n">
        <x:f>IF(V476=1,R476*W476,"n.a.")</x:f>
        <x:v>89.53009823457906</x:v>
      </x:c>
      <x:c r="Z476" s="1" t="str">
        <x:f>IF(ISNUMBER(T476),R476-T476,"n.a.")</x:f>
        <x:v>n.a.</x:v>
      </x:c>
      <x:c r="AA476" s="1" t="str">
        <x:f>'Inventory inputs'!R476</x:f>
        <x:v>Review receipt reconciliation or original PO baseline</x:v>
      </x:c>
      <x:c r="AB476" s="1" t="str">
        <x:f>IF(L476=1,SUMIFS('Incoming POs'!$P$2:$P$305,'Incoming POs'!$A$2:$A$305,A476,'Incoming POs'!$B$2:$B$305,B476,'Incoming POs'!$C$2:$C$305,C476,'Incoming POs'!$G$2:$G$305,"&gt;="&amp;D476,'Incoming POs'!$G$2:$G$305,"&lt;"&amp;Dashboard!$I$5,'Incoming POs'!$Q$2:$Q$305,"&lt;="&amp;('Inventory inputs'!P476/'Inventory inputs'!J476*1.01)),"n.a.")</x:f>
        <x:v>n.a.</x:v>
      </x:c>
      <x:c r="AC476" s="9" t="n">
        <x:f>I476*G476</x:f>
        <x:v>0</x:v>
      </x:c>
      <x:c r="AD476" s="9" t="n">
        <x:f>J476*G476</x:f>
        <x:v>0</x:v>
      </x:c>
      <x:c r="AE476" s="9" t="n">
        <x:f>K476*G476</x:f>
        <x:v>77.52</x:v>
      </x:c>
      <x:c r="AF476" s="9" t="n">
        <x:f>R476*G476</x:f>
        <x:v>76.50854518275153</x:v>
      </x:c>
    </x:row>
    <x:row r="477" ht="21" customHeight="1">
      <x:c r="A477" s="1" t="str">
        <x:f>'Inventory inputs'!A477</x:f>
        <x:v>PLAS</x:v>
      </x:c>
      <x:c r="B477" s="1" t="str">
        <x:f>'Inventory inputs'!B477</x:f>
        <x:v>60</x:v>
      </x:c>
      <x:c r="C477" s="1" t="str">
        <x:f>'Inventory inputs'!C477</x:f>
        <x:v>07819RWBMAR</x:v>
      </x:c>
      <x:c r="D477" s="7" t="n">
        <x:f>'Inventory inputs'!E477</x:f>
        <x:v>46303</x:v>
      </x:c>
      <x:c r="E477" s="1" t="n">
        <x:f>'Inventory inputs'!F477</x:f>
        <x:v>900</x:v>
      </x:c>
      <x:c r="F477" s="1" t="n">
        <x:f>'Inventory inputs'!G477</x:f>
        <x:v>16.67</x:v>
      </x:c>
      <x:c r="G477" s="1" t="n">
        <x:f>'Inventory inputs'!H477/'Inventory inputs'!J477</x:f>
        <x:v>0.0797</x:v>
      </x:c>
      <x:c r="H477" s="1" t="n">
        <x:f>IF('Inventory inputs'!I477&gt;0,'Inventory inputs'!I477*'Inventory inputs'!K477/'Inventory inputs'!J477,"n.a.")</x:f>
        <x:v>0.09319799999999999</x:v>
      </x:c>
      <x:c r="I477" s="1" t="n">
        <x:f>'Inventory inputs'!L477</x:f>
        <x:v>0</x:v>
      </x:c>
      <x:c r="J477" s="1" t="n">
        <x:f>'Inventory inputs'!M477</x:f>
        <x:v>0</x:v>
      </x:c>
      <x:c r="K477" s="1" t="n">
        <x:f>'Inventory inputs'!N477</x:f>
        <x:v>900</x:v>
      </x:c>
      <x:c r="L477" s="1" t="n">
        <x:f>'Inventory inputs'!O477</x:f>
        <x:v>0</x:v>
      </x:c>
      <x:c r="M477" s="9" t="n">
        <x:f>E477*G477</x:f>
        <x:v>71.72999999999999</x:v>
      </x:c>
      <x:c r="N477" s="9" t="n">
        <x:f>'Inventory inputs'!Q477</x:f>
        <x:v>71.73</x:v>
      </x:c>
      <x:c r="O477" s="9" t="n">
        <x:f>N477-M477</x:f>
        <x:v>1.4210854715202004e-14</x:v>
      </x:c>
      <x:c r="P477" s="1" t="n">
        <x:f>SUMIFS('Incoming POs'!$P$2:$P$305,'Incoming POs'!$A$2:$A$305,A477,'Incoming POs'!$B$2:$B$305,B477,'Incoming POs'!$C$2:$C$305,C477,'Incoming POs'!$G$2:$G$305,"&gt;="&amp;D477,'Incoming POs'!$G$2:$G$305,"&lt;"&amp;Dashboard!$I$5)</x:f>
        <x:v>0</x:v>
      </x:c>
      <x:c r="Q477" s="1" t="n">
        <x:f>F477*Dashboard!$L$5*MAX(0,Dashboard!$I$5-D477)/30.4375</x:f>
        <x:v>22.18102669404518</x:v>
      </x:c>
      <x:c r="R477" s="1" t="n">
        <x:f>MAX(0,E477+P477-Q477)</x:f>
        <x:v>877.8189733059548</x:v>
      </x:c>
      <x:c r="S477" s="1" t="n">
        <x:f>MAX(0,Q477-E477-P477)</x:f>
        <x:v>0</x:v>
      </x:c>
      <x:c r="T477" s="1" t="str">
        <x:f>IF(L477=1,MAX(0,I477+AB477-MIN(Q477,E477+P477)),"n.a.")</x:f>
        <x:v>n.a.</x:v>
      </x:c>
      <x:c r="U477" s="9" t="str">
        <x:f>IF(ISNUMBER(T477),T477*G477,"n.a.")</x:f>
        <x:v>n.a.</x:v>
      </x:c>
      <x:c r="V477" s="25" t="n">
        <x:f>IF(Dashboard!$I$6="Flat %",1,IF(ISNUMBER(H477),1,0))</x:f>
        <x:v>1</x:v>
      </x:c>
      <x:c r="W477" s="9" t="n">
        <x:f>IF(Dashboard!$I$6="Flat %",G477*(1+Dashboard!$L$6),H477)</x:f>
        <x:v>0.09319799999999999</x:v>
      </x:c>
      <x:c r="X477" s="9" t="n">
        <x:f>IF(V477=1,R477*(W477-G477),"n.a.")</x:f>
        <x:v>11.848800501683774</x:v>
      </x:c>
      <x:c r="Y477" s="9" t="n">
        <x:f>IF(V477=1,R477*W477,"n.a.")</x:f>
        <x:v>81.81097267416837</x:v>
      </x:c>
      <x:c r="Z477" s="1" t="str">
        <x:f>IF(ISNUMBER(T477),R477-T477,"n.a.")</x:f>
        <x:v>n.a.</x:v>
      </x:c>
      <x:c r="AA477" s="1" t="str">
        <x:f>'Inventory inputs'!R477</x:f>
        <x:v>Review receipt reconciliation or original PO baseline</x:v>
      </x:c>
      <x:c r="AB477" s="1" t="str">
        <x:f>IF(L477=1,SUMIFS('Incoming POs'!$P$2:$P$305,'Incoming POs'!$A$2:$A$305,A477,'Incoming POs'!$B$2:$B$305,B477,'Incoming POs'!$C$2:$C$305,C477,'Incoming POs'!$G$2:$G$305,"&gt;="&amp;D477,'Incoming POs'!$G$2:$G$305,"&lt;"&amp;Dashboard!$I$5,'Incoming POs'!$Q$2:$Q$305,"&lt;="&amp;('Inventory inputs'!P477/'Inventory inputs'!J477*1.01)),"n.a.")</x:f>
        <x:v>n.a.</x:v>
      </x:c>
      <x:c r="AC477" s="9" t="n">
        <x:f>I477*G477</x:f>
        <x:v>0</x:v>
      </x:c>
      <x:c r="AD477" s="9" t="n">
        <x:f>J477*G477</x:f>
        <x:v>0</x:v>
      </x:c>
      <x:c r="AE477" s="9" t="n">
        <x:f>K477*G477</x:f>
        <x:v>71.72999999999999</x:v>
      </x:c>
      <x:c r="AF477" s="9" t="n">
        <x:f>R477*G477</x:f>
        <x:v>69.9621721724846</x:v>
      </x:c>
    </x:row>
    <x:row r="478" ht="21" customHeight="1">
      <x:c r="A478" s="1" t="str">
        <x:f>'Inventory inputs'!A478</x:f>
        <x:v>PLAS</x:v>
      </x:c>
      <x:c r="B478" s="1" t="str">
        <x:f>'Inventory inputs'!B478</x:f>
        <x:v>60</x:v>
      </x:c>
      <x:c r="C478" s="1" t="str">
        <x:f>'Inventory inputs'!C478</x:f>
        <x:v>11419RSLMAR</x:v>
      </x:c>
      <x:c r="D478" s="7" t="n">
        <x:f>'Inventory inputs'!E478</x:f>
        <x:v>46303</x:v>
      </x:c>
      <x:c r="E478" s="1" t="n">
        <x:f>'Inventory inputs'!F478</x:f>
        <x:v>300</x:v>
      </x:c>
      <x:c r="F478" s="1" t="n">
        <x:f>'Inventory inputs'!G478</x:f>
        <x:v>16.67</x:v>
      </x:c>
      <x:c r="G478" s="1" t="n">
        <x:f>'Inventory inputs'!H478/'Inventory inputs'!J478</x:f>
        <x:v>0.111</x:v>
      </x:c>
      <x:c r="H478" s="1" t="n">
        <x:f>IF('Inventory inputs'!I478&gt;0,'Inventory inputs'!I478*'Inventory inputs'!K478/'Inventory inputs'!J478,"n.a.")</x:f>
        <x:v>0.129801</x:v>
      </x:c>
      <x:c r="I478" s="1" t="n">
        <x:f>'Inventory inputs'!L478</x:f>
        <x:v>0</x:v>
      </x:c>
      <x:c r="J478" s="1" t="n">
        <x:f>'Inventory inputs'!M478</x:f>
        <x:v>0</x:v>
      </x:c>
      <x:c r="K478" s="1" t="n">
        <x:f>'Inventory inputs'!N478</x:f>
        <x:v>300</x:v>
      </x:c>
      <x:c r="L478" s="1" t="n">
        <x:f>'Inventory inputs'!O478</x:f>
        <x:v>0</x:v>
      </x:c>
      <x:c r="M478" s="9" t="n">
        <x:f>E478*G478</x:f>
        <x:v>33.3</x:v>
      </x:c>
      <x:c r="N478" s="9" t="n">
        <x:f>'Inventory inputs'!Q478</x:f>
        <x:v>33.3</x:v>
      </x:c>
      <x:c r="O478" s="9" t="n">
        <x:f>N478-M478</x:f>
        <x:v>0</x:v>
      </x:c>
      <x:c r="P478" s="1" t="n">
        <x:f>SUMIFS('Incoming POs'!$P$2:$P$305,'Incoming POs'!$A$2:$A$305,A478,'Incoming POs'!$B$2:$B$305,B478,'Incoming POs'!$C$2:$C$305,C478,'Incoming POs'!$G$2:$G$305,"&gt;="&amp;D478,'Incoming POs'!$G$2:$G$305,"&lt;"&amp;Dashboard!$I$5)</x:f>
        <x:v>0</x:v>
      </x:c>
      <x:c r="Q478" s="1" t="n">
        <x:f>F478*Dashboard!$L$5*MAX(0,Dashboard!$I$5-D478)/30.4375</x:f>
        <x:v>22.18102669404518</x:v>
      </x:c>
      <x:c r="R478" s="1" t="n">
        <x:f>MAX(0,E478+P478-Q478)</x:f>
        <x:v>277.81897330595484</x:v>
      </x:c>
      <x:c r="S478" s="1" t="n">
        <x:f>MAX(0,Q478-E478-P478)</x:f>
        <x:v>0</x:v>
      </x:c>
      <x:c r="T478" s="1" t="str">
        <x:f>IF(L478=1,MAX(0,I478+AB478-MIN(Q478,E478+P478)),"n.a.")</x:f>
        <x:v>n.a.</x:v>
      </x:c>
      <x:c r="U478" s="9" t="str">
        <x:f>IF(ISNUMBER(T478),T478*G478,"n.a.")</x:f>
        <x:v>n.a.</x:v>
      </x:c>
      <x:c r="V478" s="25" t="n">
        <x:f>IF(Dashboard!$I$6="Flat %",1,IF(ISNUMBER(H478),1,0))</x:f>
        <x:v>1</x:v>
      </x:c>
      <x:c r="W478" s="9" t="n">
        <x:f>IF(Dashboard!$I$6="Flat %",G478*(1+Dashboard!$L$6),H478)</x:f>
        <x:v>0.129801</x:v>
      </x:c>
      <x:c r="X478" s="9" t="n">
        <x:f>IF(V478=1,R478*(W478-G478),"n.a.")</x:f>
        <x:v>5.223274517125256</x:v>
      </x:c>
      <x:c r="Y478" s="9" t="n">
        <x:f>IF(V478=1,R478*W478,"n.a.")</x:f>
        <x:v>36.06118055408624</x:v>
      </x:c>
      <x:c r="Z478" s="1" t="str">
        <x:f>IF(ISNUMBER(T478),R478-T478,"n.a.")</x:f>
        <x:v>n.a.</x:v>
      </x:c>
      <x:c r="AA478" s="1" t="str">
        <x:f>'Inventory inputs'!R478</x:f>
        <x:v>Review receipt reconciliation or original PO baseline</x:v>
      </x:c>
      <x:c r="AB478" s="1" t="str">
        <x:f>IF(L478=1,SUMIFS('Incoming POs'!$P$2:$P$305,'Incoming POs'!$A$2:$A$305,A478,'Incoming POs'!$B$2:$B$305,B478,'Incoming POs'!$C$2:$C$305,C478,'Incoming POs'!$G$2:$G$305,"&gt;="&amp;D478,'Incoming POs'!$G$2:$G$305,"&lt;"&amp;Dashboard!$I$5,'Incoming POs'!$Q$2:$Q$305,"&lt;="&amp;('Inventory inputs'!P478/'Inventory inputs'!J478*1.01)),"n.a.")</x:f>
        <x:v>n.a.</x:v>
      </x:c>
      <x:c r="AC478" s="9" t="n">
        <x:f>I478*G478</x:f>
        <x:v>0</x:v>
      </x:c>
      <x:c r="AD478" s="9" t="n">
        <x:f>J478*G478</x:f>
        <x:v>0</x:v>
      </x:c>
      <x:c r="AE478" s="9" t="n">
        <x:f>K478*G478</x:f>
        <x:v>33.3</x:v>
      </x:c>
      <x:c r="AF478" s="9" t="n">
        <x:f>R478*G478</x:f>
        <x:v>30.837906036960987</x:v>
      </x:c>
    </x:row>
    <x:row r="479" ht="21" customHeight="1">
      <x:c r="A479" s="1" t="str">
        <x:f>'Inventory inputs'!A479</x:f>
        <x:v>PLAS</x:v>
      </x:c>
      <x:c r="B479" s="1" t="str">
        <x:f>'Inventory inputs'!B479</x:f>
        <x:v>60</x:v>
      </x:c>
      <x:c r="C479" s="1" t="str">
        <x:f>'Inventory inputs'!C479</x:f>
        <x:v>91619RWBMAR</x:v>
      </x:c>
      <x:c r="D479" s="7" t="n">
        <x:f>'Inventory inputs'!E479</x:f>
        <x:v>46303</x:v>
      </x:c>
      <x:c r="E479" s="1" t="n">
        <x:f>'Inventory inputs'!F479</x:f>
        <x:v>200</x:v>
      </x:c>
      <x:c r="F479" s="1" t="n">
        <x:f>'Inventory inputs'!G479</x:f>
        <x:v>16.67</x:v>
      </x:c>
      <x:c r="G479" s="1" t="n">
        <x:f>'Inventory inputs'!H479/'Inventory inputs'!J479</x:f>
        <x:v>0.042800000000000005</x:v>
      </x:c>
      <x:c r="H479" s="1" t="n">
        <x:f>IF('Inventory inputs'!I479&gt;0,'Inventory inputs'!I479*'Inventory inputs'!K479/'Inventory inputs'!J479,"n.a.")</x:f>
        <x:v>0.049980000000000004</x:v>
      </x:c>
      <x:c r="I479" s="1" t="n">
        <x:f>'Inventory inputs'!L479</x:f>
        <x:v>0</x:v>
      </x:c>
      <x:c r="J479" s="1" t="n">
        <x:f>'Inventory inputs'!M479</x:f>
        <x:v>0</x:v>
      </x:c>
      <x:c r="K479" s="1" t="n">
        <x:f>'Inventory inputs'!N479</x:f>
        <x:v>200</x:v>
      </x:c>
      <x:c r="L479" s="1" t="n">
        <x:f>'Inventory inputs'!O479</x:f>
        <x:v>0</x:v>
      </x:c>
      <x:c r="M479" s="9" t="n">
        <x:f>E479*G479</x:f>
        <x:v>8.56</x:v>
      </x:c>
      <x:c r="N479" s="9" t="n">
        <x:f>'Inventory inputs'!Q479</x:f>
        <x:v>8.56</x:v>
      </x:c>
      <x:c r="O479" s="9" t="n">
        <x:f>N479-M479</x:f>
        <x:v>0</x:v>
      </x:c>
      <x:c r="P479" s="1" t="n">
        <x:f>SUMIFS('Incoming POs'!$P$2:$P$305,'Incoming POs'!$A$2:$A$305,A479,'Incoming POs'!$B$2:$B$305,B479,'Incoming POs'!$C$2:$C$305,C479,'Incoming POs'!$G$2:$G$305,"&gt;="&amp;D479,'Incoming POs'!$G$2:$G$305,"&lt;"&amp;Dashboard!$I$5)</x:f>
        <x:v>0</x:v>
      </x:c>
      <x:c r="Q479" s="1" t="n">
        <x:f>F479*Dashboard!$L$5*MAX(0,Dashboard!$I$5-D479)/30.4375</x:f>
        <x:v>22.18102669404518</x:v>
      </x:c>
      <x:c r="R479" s="1" t="n">
        <x:f>MAX(0,E479+P479-Q479)</x:f>
        <x:v>177.8189733059548</x:v>
      </x:c>
      <x:c r="S479" s="1" t="n">
        <x:f>MAX(0,Q479-E479-P479)</x:f>
        <x:v>0</x:v>
      </x:c>
      <x:c r="T479" s="1" t="str">
        <x:f>IF(L479=1,MAX(0,I479+AB479-MIN(Q479,E479+P479)),"n.a.")</x:f>
        <x:v>n.a.</x:v>
      </x:c>
      <x:c r="U479" s="9" t="str">
        <x:f>IF(ISNUMBER(T479),T479*G479,"n.a.")</x:f>
        <x:v>n.a.</x:v>
      </x:c>
      <x:c r="V479" s="25" t="n">
        <x:f>IF(Dashboard!$I$6="Flat %",1,IF(ISNUMBER(H479),1,0))</x:f>
        <x:v>1</x:v>
      </x:c>
      <x:c r="W479" s="9" t="n">
        <x:f>IF(Dashboard!$I$6="Flat %",G479*(1+Dashboard!$L$6),H479)</x:f>
        <x:v>0.049980000000000004</x:v>
      </x:c>
      <x:c r="X479" s="9" t="n">
        <x:f>IF(V479=1,R479*(W479-G479),"n.a.")</x:f>
        <x:v>1.2767402283367553</x:v>
      </x:c>
      <x:c r="Y479" s="9" t="n">
        <x:f>IF(V479=1,R479*W479,"n.a.")</x:f>
        <x:v>8.887392285831622</x:v>
      </x:c>
      <x:c r="Z479" s="1" t="str">
        <x:f>IF(ISNUMBER(T479),R479-T479,"n.a.")</x:f>
        <x:v>n.a.</x:v>
      </x:c>
      <x:c r="AA479" s="1" t="str">
        <x:f>'Inventory inputs'!R479</x:f>
        <x:v>Review receipt reconciliation or original PO baseline</x:v>
      </x:c>
      <x:c r="AB479" s="1" t="str">
        <x:f>IF(L479=1,SUMIFS('Incoming POs'!$P$2:$P$305,'Incoming POs'!$A$2:$A$305,A479,'Incoming POs'!$B$2:$B$305,B479,'Incoming POs'!$C$2:$C$305,C479,'Incoming POs'!$G$2:$G$305,"&gt;="&amp;D479,'Incoming POs'!$G$2:$G$305,"&lt;"&amp;Dashboard!$I$5,'Incoming POs'!$Q$2:$Q$305,"&lt;="&amp;('Inventory inputs'!P479/'Inventory inputs'!J479*1.01)),"n.a.")</x:f>
        <x:v>n.a.</x:v>
      </x:c>
      <x:c r="AC479" s="9" t="n">
        <x:f>I479*G479</x:f>
        <x:v>0</x:v>
      </x:c>
      <x:c r="AD479" s="9" t="n">
        <x:f>J479*G479</x:f>
        <x:v>0</x:v>
      </x:c>
      <x:c r="AE479" s="9" t="n">
        <x:f>K479*G479</x:f>
        <x:v>8.56</x:v>
      </x:c>
      <x:c r="AF479" s="9" t="n">
        <x:f>R479*G479</x:f>
        <x:v>7.610652057494867</x:v>
      </x:c>
    </x:row>
    <x:row r="480" ht="21" customHeight="1">
      <x:c r="A480" s="1" t="str">
        <x:f>'Inventory inputs'!A480</x:f>
        <x:v>PLAS</x:v>
      </x:c>
      <x:c r="B480" s="1" t="str">
        <x:f>'Inventory inputs'!B480</x:f>
        <x:v>60</x:v>
      </x:c>
      <x:c r="C480" s="1" t="str">
        <x:f>'Inventory inputs'!C480</x:f>
        <x:v>91619RWBRED</x:v>
      </x:c>
      <x:c r="D480" s="7" t="n">
        <x:f>'Inventory inputs'!E480</x:f>
        <x:v>46303</x:v>
      </x:c>
      <x:c r="E480" s="1" t="n">
        <x:f>'Inventory inputs'!F480</x:f>
        <x:v>1800</x:v>
      </x:c>
      <x:c r="F480" s="1" t="n">
        <x:f>'Inventory inputs'!G480</x:f>
        <x:v>16.67</x:v>
      </x:c>
      <x:c r="G480" s="1" t="n">
        <x:f>'Inventory inputs'!H480/'Inventory inputs'!J480</x:f>
        <x:v>0.042800000000000005</x:v>
      </x:c>
      <x:c r="H480" s="1" t="n">
        <x:f>IF('Inventory inputs'!I480&gt;0,'Inventory inputs'!I480*'Inventory inputs'!K480/'Inventory inputs'!J480,"n.a.")</x:f>
        <x:v>0.049980000000000004</x:v>
      </x:c>
      <x:c r="I480" s="1" t="n">
        <x:f>'Inventory inputs'!L480</x:f>
        <x:v>0</x:v>
      </x:c>
      <x:c r="J480" s="1" t="n">
        <x:f>'Inventory inputs'!M480</x:f>
        <x:v>0</x:v>
      </x:c>
      <x:c r="K480" s="1" t="n">
        <x:f>'Inventory inputs'!N480</x:f>
        <x:v>1800</x:v>
      </x:c>
      <x:c r="L480" s="1" t="n">
        <x:f>'Inventory inputs'!O480</x:f>
        <x:v>0</x:v>
      </x:c>
      <x:c r="M480" s="9" t="n">
        <x:f>E480*G480</x:f>
        <x:v>77.04</x:v>
      </x:c>
      <x:c r="N480" s="9" t="n">
        <x:f>'Inventory inputs'!Q480</x:f>
        <x:v>77.04</x:v>
      </x:c>
      <x:c r="O480" s="9" t="n">
        <x:f>N480-M480</x:f>
        <x:v>0</x:v>
      </x:c>
      <x:c r="P480" s="1" t="n">
        <x:f>SUMIFS('Incoming POs'!$P$2:$P$305,'Incoming POs'!$A$2:$A$305,A480,'Incoming POs'!$B$2:$B$305,B480,'Incoming POs'!$C$2:$C$305,C480,'Incoming POs'!$G$2:$G$305,"&gt;="&amp;D480,'Incoming POs'!$G$2:$G$305,"&lt;"&amp;Dashboard!$I$5)</x:f>
        <x:v>0</x:v>
      </x:c>
      <x:c r="Q480" s="1" t="n">
        <x:f>F480*Dashboard!$L$5*MAX(0,Dashboard!$I$5-D480)/30.4375</x:f>
        <x:v>22.18102669404518</x:v>
      </x:c>
      <x:c r="R480" s="1" t="n">
        <x:f>MAX(0,E480+P480-Q480)</x:f>
        <x:v>1777.8189733059548</x:v>
      </x:c>
      <x:c r="S480" s="1" t="n">
        <x:f>MAX(0,Q480-E480-P480)</x:f>
        <x:v>0</x:v>
      </x:c>
      <x:c r="T480" s="1" t="str">
        <x:f>IF(L480=1,MAX(0,I480+AB480-MIN(Q480,E480+P480)),"n.a.")</x:f>
        <x:v>n.a.</x:v>
      </x:c>
      <x:c r="U480" s="9" t="str">
        <x:f>IF(ISNUMBER(T480),T480*G480,"n.a.")</x:f>
        <x:v>n.a.</x:v>
      </x:c>
      <x:c r="V480" s="25" t="n">
        <x:f>IF(Dashboard!$I$6="Flat %",1,IF(ISNUMBER(H480),1,0))</x:f>
        <x:v>1</x:v>
      </x:c>
      <x:c r="W480" s="9" t="n">
        <x:f>IF(Dashboard!$I$6="Flat %",G480*(1+Dashboard!$L$6),H480)</x:f>
        <x:v>0.049980000000000004</x:v>
      </x:c>
      <x:c r="X480" s="9" t="n">
        <x:f>IF(V480=1,R480*(W480-G480),"n.a.")</x:f>
        <x:v>12.764740228336754</x:v>
      </x:c>
      <x:c r="Y480" s="9" t="n">
        <x:f>IF(V480=1,R480*W480,"n.a.")</x:f>
        <x:v>88.85539228583163</x:v>
      </x:c>
      <x:c r="Z480" s="1" t="str">
        <x:f>IF(ISNUMBER(T480),R480-T480,"n.a.")</x:f>
        <x:v>n.a.</x:v>
      </x:c>
      <x:c r="AA480" s="1" t="str">
        <x:f>'Inventory inputs'!R480</x:f>
        <x:v>Review receipt reconciliation or original PO baseline</x:v>
      </x:c>
      <x:c r="AB480" s="1" t="str">
        <x:f>IF(L480=1,SUMIFS('Incoming POs'!$P$2:$P$305,'Incoming POs'!$A$2:$A$305,A480,'Incoming POs'!$B$2:$B$305,B480,'Incoming POs'!$C$2:$C$305,C480,'Incoming POs'!$G$2:$G$305,"&gt;="&amp;D480,'Incoming POs'!$G$2:$G$305,"&lt;"&amp;Dashboard!$I$5,'Incoming POs'!$Q$2:$Q$305,"&lt;="&amp;('Inventory inputs'!P480/'Inventory inputs'!J480*1.01)),"n.a.")</x:f>
        <x:v>n.a.</x:v>
      </x:c>
      <x:c r="AC480" s="9" t="n">
        <x:f>I480*G480</x:f>
        <x:v>0</x:v>
      </x:c>
      <x:c r="AD480" s="9" t="n">
        <x:f>J480*G480</x:f>
        <x:v>0</x:v>
      </x:c>
      <x:c r="AE480" s="9" t="n">
        <x:f>K480*G480</x:f>
        <x:v>77.04</x:v>
      </x:c>
      <x:c r="AF480" s="9" t="n">
        <x:f>R480*G480</x:f>
        <x:v>76.09065205749488</x:v>
      </x:c>
    </x:row>
    <x:row r="481" ht="21" customHeight="1">
      <x:c r="A481" s="1" t="str">
        <x:f>'Inventory inputs'!A481</x:f>
        <x:v>PLAS</x:v>
      </x:c>
      <x:c r="B481" s="1" t="str">
        <x:f>'Inventory inputs'!B481</x:f>
        <x:v>30</x:v>
      </x:c>
      <x:c r="C481" s="1" t="str">
        <x:f>'Inventory inputs'!C481</x:f>
        <x:v>00219RSLNAV</x:v>
      </x:c>
      <x:c r="D481" s="7" t="n">
        <x:f>'Inventory inputs'!E481</x:f>
        <x:v>46303</x:v>
      </x:c>
      <x:c r="E481" s="1" t="n">
        <x:f>'Inventory inputs'!F481</x:f>
        <x:v>400</x:v>
      </x:c>
      <x:c r="F481" s="1" t="n">
        <x:f>'Inventory inputs'!G481</x:f>
        <x:v>13.33</x:v>
      </x:c>
      <x:c r="G481" s="1" t="n">
        <x:f>'Inventory inputs'!H481/'Inventory inputs'!J481</x:f>
        <x:v>0.1477</x:v>
      </x:c>
      <x:c r="H481" s="1" t="n">
        <x:f>IF('Inventory inputs'!I481&gt;0,'Inventory inputs'!I481*'Inventory inputs'!K481/'Inventory inputs'!J481,"n.a.")</x:f>
        <x:v>0.172872</x:v>
      </x:c>
      <x:c r="I481" s="1" t="n">
        <x:f>'Inventory inputs'!L481</x:f>
        <x:v>0</x:v>
      </x:c>
      <x:c r="J481" s="1" t="n">
        <x:f>'Inventory inputs'!M481</x:f>
        <x:v>0</x:v>
      </x:c>
      <x:c r="K481" s="1" t="n">
        <x:f>'Inventory inputs'!N481</x:f>
        <x:v>400</x:v>
      </x:c>
      <x:c r="L481" s="1" t="n">
        <x:f>'Inventory inputs'!O481</x:f>
        <x:v>0</x:v>
      </x:c>
      <x:c r="M481" s="9" t="n">
        <x:f>E481*G481</x:f>
        <x:v>59.08</x:v>
      </x:c>
      <x:c r="N481" s="9" t="n">
        <x:f>'Inventory inputs'!Q481</x:f>
        <x:v>59.08</x:v>
      </x:c>
      <x:c r="O481" s="9" t="n">
        <x:f>N481-M481</x:f>
        <x:v>0</x:v>
      </x:c>
      <x:c r="P481" s="1" t="n">
        <x:f>SUMIFS('Incoming POs'!$P$2:$P$305,'Incoming POs'!$A$2:$A$305,A481,'Incoming POs'!$B$2:$B$305,B481,'Incoming POs'!$C$2:$C$305,C481,'Incoming POs'!$G$2:$G$305,"&gt;="&amp;D481,'Incoming POs'!$G$2:$G$305,"&lt;"&amp;Dashboard!$I$5)</x:f>
        <x:v>0</x:v>
      </x:c>
      <x:c r="Q481" s="1" t="n">
        <x:f>F481*Dashboard!$L$5*MAX(0,Dashboard!$I$5-D481)/30.4375</x:f>
        <x:v>17.736837782340864</x:v>
      </x:c>
      <x:c r="R481" s="1" t="n">
        <x:f>MAX(0,E481+P481-Q481)</x:f>
        <x:v>382.26316221765916</x:v>
      </x:c>
      <x:c r="S481" s="1" t="n">
        <x:f>MAX(0,Q481-E481-P481)</x:f>
        <x:v>0</x:v>
      </x:c>
      <x:c r="T481" s="1" t="str">
        <x:f>IF(L481=1,MAX(0,I481+AB481-MIN(Q481,E481+P481)),"n.a.")</x:f>
        <x:v>n.a.</x:v>
      </x:c>
      <x:c r="U481" s="9" t="str">
        <x:f>IF(ISNUMBER(T481),T481*G481,"n.a.")</x:f>
        <x:v>n.a.</x:v>
      </x:c>
      <x:c r="V481" s="25" t="n">
        <x:f>IF(Dashboard!$I$6="Flat %",1,IF(ISNUMBER(H481),1,0))</x:f>
        <x:v>1</x:v>
      </x:c>
      <x:c r="W481" s="9" t="n">
        <x:f>IF(Dashboard!$I$6="Flat %",G481*(1+Dashboard!$L$6),H481)</x:f>
        <x:v>0.172872</x:v>
      </x:c>
      <x:c r="X481" s="9" t="n">
        <x:f>IF(V481=1,R481*(W481-G481),"n.a.")</x:f>
        <x:v>9.622328319342916</x:v>
      </x:c>
      <x:c r="Y481" s="9" t="n">
        <x:f>IF(V481=1,R481*W481,"n.a.")</x:f>
        <x:v>66.08259737889118</x:v>
      </x:c>
      <x:c r="Z481" s="1" t="str">
        <x:f>IF(ISNUMBER(T481),R481-T481,"n.a.")</x:f>
        <x:v>n.a.</x:v>
      </x:c>
      <x:c r="AA481" s="1" t="str">
        <x:f>'Inventory inputs'!R481</x:f>
        <x:v>Review receipt reconciliation or original PO baseline</x:v>
      </x:c>
      <x:c r="AB481" s="1" t="str">
        <x:f>IF(L481=1,SUMIFS('Incoming POs'!$P$2:$P$305,'Incoming POs'!$A$2:$A$305,A481,'Incoming POs'!$B$2:$B$305,B481,'Incoming POs'!$C$2:$C$305,C481,'Incoming POs'!$G$2:$G$305,"&gt;="&amp;D481,'Incoming POs'!$G$2:$G$305,"&lt;"&amp;Dashboard!$I$5,'Incoming POs'!$Q$2:$Q$305,"&lt;="&amp;('Inventory inputs'!P481/'Inventory inputs'!J481*1.01)),"n.a.")</x:f>
        <x:v>n.a.</x:v>
      </x:c>
      <x:c r="AC481" s="9" t="n">
        <x:f>I481*G481</x:f>
        <x:v>0</x:v>
      </x:c>
      <x:c r="AD481" s="9" t="n">
        <x:f>J481*G481</x:f>
        <x:v>0</x:v>
      </x:c>
      <x:c r="AE481" s="9" t="n">
        <x:f>K481*G481</x:f>
        <x:v>59.08</x:v>
      </x:c>
      <x:c r="AF481" s="9" t="n">
        <x:f>R481*G481</x:f>
        <x:v>56.46026905954826</x:v>
      </x:c>
    </x:row>
    <x:row r="482" ht="21" customHeight="1">
      <x:c r="A482" s="1" t="str">
        <x:f>'Inventory inputs'!A482</x:f>
        <x:v>PLAS</x:v>
      </x:c>
      <x:c r="B482" s="1" t="str">
        <x:f>'Inventory inputs'!B482</x:f>
        <x:v>10</x:v>
      </x:c>
      <x:c r="C482" s="1" t="str">
        <x:f>'Inventory inputs'!C482</x:f>
        <x:v>11819RWBBLU</x:v>
      </x:c>
      <x:c r="D482" s="7" t="n">
        <x:f>'Inventory inputs'!E482</x:f>
        <x:v>46303</x:v>
      </x:c>
      <x:c r="E482" s="1" t="n">
        <x:f>'Inventory inputs'!F482</x:f>
        <x:v>1400</x:v>
      </x:c>
      <x:c r="F482" s="1" t="n">
        <x:f>'Inventory inputs'!G482</x:f>
        <x:v>12.5</x:v>
      </x:c>
      <x:c r="G482" s="1" t="n">
        <x:f>'Inventory inputs'!H482/'Inventory inputs'!J482</x:f>
        <x:v>0.1323</x:v>
      </x:c>
      <x:c r="H482" s="1" t="n">
        <x:f>IF('Inventory inputs'!I482&gt;0,'Inventory inputs'!I482*'Inventory inputs'!K482/'Inventory inputs'!J482,"n.a.")</x:f>
        <x:v>0.15479099999999998</x:v>
      </x:c>
      <x:c r="I482" s="1" t="n">
        <x:f>'Inventory inputs'!L482</x:f>
        <x:v>0</x:v>
      </x:c>
      <x:c r="J482" s="1" t="n">
        <x:f>'Inventory inputs'!M482</x:f>
        <x:v>0</x:v>
      </x:c>
      <x:c r="K482" s="1" t="n">
        <x:f>'Inventory inputs'!N482</x:f>
        <x:v>1400</x:v>
      </x:c>
      <x:c r="L482" s="1" t="n">
        <x:f>'Inventory inputs'!O482</x:f>
        <x:v>0</x:v>
      </x:c>
      <x:c r="M482" s="9" t="n">
        <x:f>E482*G482</x:f>
        <x:v>185.22</x:v>
      </x:c>
      <x:c r="N482" s="9" t="n">
        <x:f>'Inventory inputs'!Q482</x:f>
        <x:v>185.22</x:v>
      </x:c>
      <x:c r="O482" s="9" t="n">
        <x:f>N482-M482</x:f>
        <x:v>0</x:v>
      </x:c>
      <x:c r="P482" s="1" t="n">
        <x:f>SUMIFS('Incoming POs'!$P$2:$P$305,'Incoming POs'!$A$2:$A$305,A482,'Incoming POs'!$B$2:$B$305,B482,'Incoming POs'!$C$2:$C$305,C482,'Incoming POs'!$G$2:$G$305,"&gt;="&amp;D482,'Incoming POs'!$G$2:$G$305,"&lt;"&amp;Dashboard!$I$5)</x:f>
        <x:v>1000</x:v>
      </x:c>
      <x:c r="Q482" s="1" t="n">
        <x:f>F482*Dashboard!$L$5*MAX(0,Dashboard!$I$5-D482)/30.4375</x:f>
        <x:v>16.632443531827516</x:v>
      </x:c>
      <x:c r="R482" s="1" t="n">
        <x:f>MAX(0,E482+P482-Q482)</x:f>
        <x:v>2383.3675564681726</x:v>
      </x:c>
      <x:c r="S482" s="1" t="n">
        <x:f>MAX(0,Q482-E482-P482)</x:f>
        <x:v>0</x:v>
      </x:c>
      <x:c r="T482" s="1" t="str">
        <x:f>IF(L482=1,MAX(0,I482+AB482-MIN(Q482,E482+P482)),"n.a.")</x:f>
        <x:v>n.a.</x:v>
      </x:c>
      <x:c r="U482" s="9" t="str">
        <x:f>IF(ISNUMBER(T482),T482*G482,"n.a.")</x:f>
        <x:v>n.a.</x:v>
      </x:c>
      <x:c r="V482" s="25" t="n">
        <x:f>IF(Dashboard!$I$6="Flat %",1,IF(ISNUMBER(H482),1,0))</x:f>
        <x:v>1</x:v>
      </x:c>
      <x:c r="W482" s="9" t="n">
        <x:f>IF(Dashboard!$I$6="Flat %",G482*(1+Dashboard!$L$6),H482)</x:f>
        <x:v>0.15479099999999998</x:v>
      </x:c>
      <x:c r="X482" s="9" t="n">
        <x:f>IF(V482=1,R482*(W482-G482),"n.a.")</x:f>
        <x:v>53.60431971252563</x:v>
      </x:c>
      <x:c r="Y482" s="9" t="n">
        <x:f>IF(V482=1,R482*W482,"n.a.")</x:f>
        <x:v>368.9238474332649</x:v>
      </x:c>
      <x:c r="Z482" s="1" t="str">
        <x:f>IF(ISNUMBER(T482),R482-T482,"n.a.")</x:f>
        <x:v>n.a.</x:v>
      </x:c>
      <x:c r="AA482" s="1" t="str">
        <x:f>'Inventory inputs'!R482</x:f>
        <x:v>Review receipt reconciliation or original PO baseline</x:v>
      </x:c>
      <x:c r="AB482" s="1" t="str">
        <x:f>IF(L482=1,SUMIFS('Incoming POs'!$P$2:$P$305,'Incoming POs'!$A$2:$A$305,A482,'Incoming POs'!$B$2:$B$305,B482,'Incoming POs'!$C$2:$C$305,C482,'Incoming POs'!$G$2:$G$305,"&gt;="&amp;D482,'Incoming POs'!$G$2:$G$305,"&lt;"&amp;Dashboard!$I$5,'Incoming POs'!$Q$2:$Q$305,"&lt;="&amp;('Inventory inputs'!P482/'Inventory inputs'!J482*1.01)),"n.a.")</x:f>
        <x:v>n.a.</x:v>
      </x:c>
      <x:c r="AC482" s="9" t="n">
        <x:f>I482*G482</x:f>
        <x:v>0</x:v>
      </x:c>
      <x:c r="AD482" s="9" t="n">
        <x:f>J482*G482</x:f>
        <x:v>0</x:v>
      </x:c>
      <x:c r="AE482" s="9" t="n">
        <x:f>K482*G482</x:f>
        <x:v>185.22</x:v>
      </x:c>
      <x:c r="AF482" s="9" t="n">
        <x:f>R482*G482</x:f>
        <x:v>315.31952772073925</x:v>
      </x:c>
    </x:row>
    <x:row r="483" ht="21" customHeight="1">
      <x:c r="A483" s="1" t="str">
        <x:f>'Inventory inputs'!A483</x:f>
        <x:v>PLAS</x:v>
      </x:c>
      <x:c r="B483" s="1" t="str">
        <x:f>'Inventory inputs'!B483</x:f>
        <x:v>10</x:v>
      </x:c>
      <x:c r="C483" s="1" t="str">
        <x:f>'Inventory inputs'!C483</x:f>
        <x:v>13419RSLCLR</x:v>
      </x:c>
      <x:c r="D483" s="7" t="n">
        <x:f>'Inventory inputs'!E483</x:f>
        <x:v>46303</x:v>
      </x:c>
      <x:c r="E483" s="1" t="n">
        <x:f>'Inventory inputs'!F483</x:f>
        <x:v>2000</x:v>
      </x:c>
      <x:c r="F483" s="1" t="n">
        <x:f>'Inventory inputs'!G483</x:f>
        <x:v>12.5</x:v>
      </x:c>
      <x:c r="G483" s="1" t="n">
        <x:f>'Inventory inputs'!H483/'Inventory inputs'!J483</x:f>
        <x:v>0.1457</x:v>
      </x:c>
      <x:c r="H483" s="1" t="n">
        <x:f>IF('Inventory inputs'!I483&gt;0,'Inventory inputs'!I483*'Inventory inputs'!K483/'Inventory inputs'!J483,"n.a.")</x:f>
        <x:v>0.170373</x:v>
      </x:c>
      <x:c r="I483" s="1" t="n">
        <x:f>'Inventory inputs'!L483</x:f>
        <x:v>0</x:v>
      </x:c>
      <x:c r="J483" s="1" t="n">
        <x:f>'Inventory inputs'!M483</x:f>
        <x:v>0</x:v>
      </x:c>
      <x:c r="K483" s="1" t="n">
        <x:f>'Inventory inputs'!N483</x:f>
        <x:v>2000</x:v>
      </x:c>
      <x:c r="L483" s="1" t="n">
        <x:f>'Inventory inputs'!O483</x:f>
        <x:v>0</x:v>
      </x:c>
      <x:c r="M483" s="9" t="n">
        <x:f>E483*G483</x:f>
        <x:v>291.4</x:v>
      </x:c>
      <x:c r="N483" s="9" t="n">
        <x:f>'Inventory inputs'!Q483</x:f>
        <x:v>291.40000000000003</x:v>
      </x:c>
      <x:c r="O483" s="9" t="n">
        <x:f>N483-M483</x:f>
        <x:v>5.684341886080802e-14</x:v>
      </x:c>
      <x:c r="P483" s="1" t="n">
        <x:f>SUMIFS('Incoming POs'!$P$2:$P$305,'Incoming POs'!$A$2:$A$305,A483,'Incoming POs'!$B$2:$B$305,B483,'Incoming POs'!$C$2:$C$305,C483,'Incoming POs'!$G$2:$G$305,"&gt;="&amp;D483,'Incoming POs'!$G$2:$G$305,"&lt;"&amp;Dashboard!$I$5)</x:f>
        <x:v>0</x:v>
      </x:c>
      <x:c r="Q483" s="1" t="n">
        <x:f>F483*Dashboard!$L$5*MAX(0,Dashboard!$I$5-D483)/30.4375</x:f>
        <x:v>16.632443531827516</x:v>
      </x:c>
      <x:c r="R483" s="1" t="n">
        <x:f>MAX(0,E483+P483-Q483)</x:f>
        <x:v>1983.3675564681726</x:v>
      </x:c>
      <x:c r="S483" s="1" t="n">
        <x:f>MAX(0,Q483-E483-P483)</x:f>
        <x:v>0</x:v>
      </x:c>
      <x:c r="T483" s="1" t="str">
        <x:f>IF(L483=1,MAX(0,I483+AB483-MIN(Q483,E483+P483)),"n.a.")</x:f>
        <x:v>n.a.</x:v>
      </x:c>
      <x:c r="U483" s="9" t="str">
        <x:f>IF(ISNUMBER(T483),T483*G483,"n.a.")</x:f>
        <x:v>n.a.</x:v>
      </x:c>
      <x:c r="V483" s="25" t="n">
        <x:f>IF(Dashboard!$I$6="Flat %",1,IF(ISNUMBER(H483),1,0))</x:f>
        <x:v>1</x:v>
      </x:c>
      <x:c r="W483" s="9" t="n">
        <x:f>IF(Dashboard!$I$6="Flat %",G483*(1+Dashboard!$L$6),H483)</x:f>
        <x:v>0.170373</x:v>
      </x:c>
      <x:c r="X483" s="9" t="n">
        <x:f>IF(V483=1,R483*(W483-G483),"n.a.")</x:f>
        <x:v>48.93562772073922</x:v>
      </x:c>
      <x:c r="Y483" s="9" t="n">
        <x:f>IF(V483=1,R483*W483,"n.a.")</x:f>
        <x:v>337.91228069815196</x:v>
      </x:c>
      <x:c r="Z483" s="1" t="str">
        <x:f>IF(ISNUMBER(T483),R483-T483,"n.a.")</x:f>
        <x:v>n.a.</x:v>
      </x:c>
      <x:c r="AA483" s="1" t="str">
        <x:f>'Inventory inputs'!R483</x:f>
        <x:v>Review receipt reconciliation or original PO baseline</x:v>
      </x:c>
      <x:c r="AB483" s="1" t="str">
        <x:f>IF(L483=1,SUMIFS('Incoming POs'!$P$2:$P$305,'Incoming POs'!$A$2:$A$305,A483,'Incoming POs'!$B$2:$B$305,B483,'Incoming POs'!$C$2:$C$305,C483,'Incoming POs'!$G$2:$G$305,"&gt;="&amp;D483,'Incoming POs'!$G$2:$G$305,"&lt;"&amp;Dashboard!$I$5,'Incoming POs'!$Q$2:$Q$305,"&lt;="&amp;('Inventory inputs'!P483/'Inventory inputs'!J483*1.01)),"n.a.")</x:f>
        <x:v>n.a.</x:v>
      </x:c>
      <x:c r="AC483" s="9" t="n">
        <x:f>I483*G483</x:f>
        <x:v>0</x:v>
      </x:c>
      <x:c r="AD483" s="9" t="n">
        <x:f>J483*G483</x:f>
        <x:v>0</x:v>
      </x:c>
      <x:c r="AE483" s="9" t="n">
        <x:f>K483*G483</x:f>
        <x:v>291.4</x:v>
      </x:c>
      <x:c r="AF483" s="9" t="n">
        <x:f>R483*G483</x:f>
        <x:v>288.97665297741275</x:v>
      </x:c>
    </x:row>
    <x:row r="484" ht="21" customHeight="1">
      <x:c r="A484" s="1" t="str">
        <x:f>'Inventory inputs'!A484</x:f>
        <x:v>PLAS</x:v>
      </x:c>
      <x:c r="B484" s="1" t="str">
        <x:f>'Inventory inputs'!B484</x:f>
        <x:v>10</x:v>
      </x:c>
      <x:c r="C484" s="1" t="str">
        <x:f>'Inventory inputs'!C484</x:f>
        <x:v>11419RSLCLR</x:v>
      </x:c>
      <x:c r="D484" s="7" t="n">
        <x:f>'Inventory inputs'!E484</x:f>
        <x:v>46303</x:v>
      </x:c>
      <x:c r="E484" s="1" t="n">
        <x:f>'Inventory inputs'!F484</x:f>
        <x:v>1196</x:v>
      </x:c>
      <x:c r="F484" s="1" t="n">
        <x:f>'Inventory inputs'!G484</x:f>
        <x:v>11.25</x:v>
      </x:c>
      <x:c r="G484" s="1" t="n">
        <x:f>'Inventory inputs'!H484/'Inventory inputs'!J484</x:f>
        <x:v>0.111</x:v>
      </x:c>
      <x:c r="H484" s="1" t="n">
        <x:f>IF('Inventory inputs'!I484&gt;0,'Inventory inputs'!I484*'Inventory inputs'!K484/'Inventory inputs'!J484,"n.a.")</x:f>
        <x:v>0.129801</x:v>
      </x:c>
      <x:c r="I484" s="1" t="n">
        <x:f>'Inventory inputs'!L484</x:f>
        <x:v>0</x:v>
      </x:c>
      <x:c r="J484" s="1" t="n">
        <x:f>'Inventory inputs'!M484</x:f>
        <x:v>0</x:v>
      </x:c>
      <x:c r="K484" s="1" t="n">
        <x:f>'Inventory inputs'!N484</x:f>
        <x:v>1196</x:v>
      </x:c>
      <x:c r="L484" s="1" t="n">
        <x:f>'Inventory inputs'!O484</x:f>
        <x:v>0</x:v>
      </x:c>
      <x:c r="M484" s="9" t="n">
        <x:f>E484*G484</x:f>
        <x:v>132.756</x:v>
      </x:c>
      <x:c r="N484" s="9" t="n">
        <x:f>'Inventory inputs'!Q484</x:f>
        <x:v>132.756</x:v>
      </x:c>
      <x:c r="O484" s="9" t="n">
        <x:f>N484-M484</x:f>
        <x:v>0</x:v>
      </x:c>
      <x:c r="P484" s="1" t="n">
        <x:f>SUMIFS('Incoming POs'!$P$2:$P$305,'Incoming POs'!$A$2:$A$305,A484,'Incoming POs'!$B$2:$B$305,B484,'Incoming POs'!$C$2:$C$305,C484,'Incoming POs'!$G$2:$G$305,"&gt;="&amp;D484,'Incoming POs'!$G$2:$G$305,"&lt;"&amp;Dashboard!$I$5)</x:f>
        <x:v>0</x:v>
      </x:c>
      <x:c r="Q484" s="1" t="n">
        <x:f>F484*Dashboard!$L$5*MAX(0,Dashboard!$I$5-D484)/30.4375</x:f>
        <x:v>14.969199178644764</x:v>
      </x:c>
      <x:c r="R484" s="1" t="n">
        <x:f>MAX(0,E484+P484-Q484)</x:f>
        <x:v>1181.0308008213553</x:v>
      </x:c>
      <x:c r="S484" s="1" t="n">
        <x:f>MAX(0,Q484-E484-P484)</x:f>
        <x:v>0</x:v>
      </x:c>
      <x:c r="T484" s="1" t="str">
        <x:f>IF(L484=1,MAX(0,I484+AB484-MIN(Q484,E484+P484)),"n.a.")</x:f>
        <x:v>n.a.</x:v>
      </x:c>
      <x:c r="U484" s="9" t="str">
        <x:f>IF(ISNUMBER(T484),T484*G484,"n.a.")</x:f>
        <x:v>n.a.</x:v>
      </x:c>
      <x:c r="V484" s="25" t="n">
        <x:f>IF(Dashboard!$I$6="Flat %",1,IF(ISNUMBER(H484),1,0))</x:f>
        <x:v>1</x:v>
      </x:c>
      <x:c r="W484" s="9" t="n">
        <x:f>IF(Dashboard!$I$6="Flat %",G484*(1+Dashboard!$L$6),H484)</x:f>
        <x:v>0.129801</x:v>
      </x:c>
      <x:c r="X484" s="9" t="n">
        <x:f>IF(V484=1,R484*(W484-G484),"n.a.")</x:f>
        <x:v>22.2045600862423</x:v>
      </x:c>
      <x:c r="Y484" s="9" t="n">
        <x:f>IF(V484=1,R484*W484,"n.a.")</x:f>
        <x:v>153.29897897741273</x:v>
      </x:c>
      <x:c r="Z484" s="1" t="str">
        <x:f>IF(ISNUMBER(T484),R484-T484,"n.a.")</x:f>
        <x:v>n.a.</x:v>
      </x:c>
      <x:c r="AA484" s="1" t="str">
        <x:f>'Inventory inputs'!R484</x:f>
        <x:v>Review receipt reconciliation or original PO baseline</x:v>
      </x:c>
      <x:c r="AB484" s="1" t="str">
        <x:f>IF(L484=1,SUMIFS('Incoming POs'!$P$2:$P$305,'Incoming POs'!$A$2:$A$305,A484,'Incoming POs'!$B$2:$B$305,B484,'Incoming POs'!$C$2:$C$305,C484,'Incoming POs'!$G$2:$G$305,"&gt;="&amp;D484,'Incoming POs'!$G$2:$G$305,"&lt;"&amp;Dashboard!$I$5,'Incoming POs'!$Q$2:$Q$305,"&lt;="&amp;('Inventory inputs'!P484/'Inventory inputs'!J484*1.01)),"n.a.")</x:f>
        <x:v>n.a.</x:v>
      </x:c>
      <x:c r="AC484" s="9" t="n">
        <x:f>I484*G484</x:f>
        <x:v>0</x:v>
      </x:c>
      <x:c r="AD484" s="9" t="n">
        <x:f>J484*G484</x:f>
        <x:v>0</x:v>
      </x:c>
      <x:c r="AE484" s="9" t="n">
        <x:f>K484*G484</x:f>
        <x:v>132.756</x:v>
      </x:c>
      <x:c r="AF484" s="9" t="n">
        <x:f>R484*G484</x:f>
        <x:v>131.09441889117045</x:v>
      </x:c>
    </x:row>
    <x:row r="485" ht="21" customHeight="1">
      <x:c r="A485" s="1" t="str">
        <x:f>'Inventory inputs'!A485</x:f>
        <x:v>PLAS</x:v>
      </x:c>
      <x:c r="B485" s="1" t="str">
        <x:f>'Inventory inputs'!B485</x:f>
        <x:v>10</x:v>
      </x:c>
      <x:c r="C485" s="1" t="str">
        <x:f>'Inventory inputs'!C485</x:f>
        <x:v>01215RWBRED</x:v>
      </x:c>
      <x:c r="D485" s="7" t="n">
        <x:f>'Inventory inputs'!E485</x:f>
        <x:v>46303</x:v>
      </x:c>
      <x:c r="E485" s="1" t="n">
        <x:f>'Inventory inputs'!F485</x:f>
        <x:v>5900</x:v>
      </x:c>
      <x:c r="F485" s="1" t="n">
        <x:f>'Inventory inputs'!G485</x:f>
        <x:v>8.33</x:v>
      </x:c>
      <x:c r="G485" s="1" t="n">
        <x:f>'Inventory inputs'!H485/'Inventory inputs'!J485</x:f>
        <x:v>0.025</x:v>
      </x:c>
      <x:c r="H485" s="1" t="n">
        <x:f>IF('Inventory inputs'!I485&gt;0,'Inventory inputs'!I485*'Inventory inputs'!K485/'Inventory inputs'!J485,"n.a.")</x:f>
        <x:v>0.029253</x:v>
      </x:c>
      <x:c r="I485" s="1" t="n">
        <x:f>'Inventory inputs'!L485</x:f>
        <x:v>5900</x:v>
      </x:c>
      <x:c r="J485" s="1" t="n">
        <x:f>'Inventory inputs'!M485</x:f>
        <x:v>0</x:v>
      </x:c>
      <x:c r="K485" s="1" t="n">
        <x:f>'Inventory inputs'!N485</x:f>
        <x:v>0</x:v>
      </x:c>
      <x:c r="L485" s="1" t="n">
        <x:f>'Inventory inputs'!O485</x:f>
        <x:v>1</x:v>
      </x:c>
      <x:c r="M485" s="9" t="n">
        <x:f>E485*G485</x:f>
        <x:v>147.5</x:v>
      </x:c>
      <x:c r="N485" s="9" t="n">
        <x:f>'Inventory inputs'!Q485</x:f>
        <x:v>147.5</x:v>
      </x:c>
      <x:c r="O485" s="9" t="n">
        <x:f>N485-M485</x:f>
        <x:v>0</x:v>
      </x:c>
      <x:c r="P485" s="1" t="n">
        <x:f>SUMIFS('Incoming POs'!$P$2:$P$305,'Incoming POs'!$A$2:$A$305,A485,'Incoming POs'!$B$2:$B$305,B485,'Incoming POs'!$C$2:$C$305,C485,'Incoming POs'!$G$2:$G$305,"&gt;="&amp;D485,'Incoming POs'!$G$2:$G$305,"&lt;"&amp;Dashboard!$I$5)</x:f>
        <x:v>0</x:v>
      </x:c>
      <x:c r="Q485" s="1" t="n">
        <x:f>F485*Dashboard!$L$5*MAX(0,Dashboard!$I$5-D485)/30.4375</x:f>
        <x:v>11.083860369609857</x:v>
      </x:c>
      <x:c r="R485" s="1" t="n">
        <x:f>MAX(0,E485+P485-Q485)</x:f>
        <x:v>5888.91613963039</x:v>
      </x:c>
      <x:c r="S485" s="1" t="n">
        <x:f>MAX(0,Q485-E485-P485)</x:f>
        <x:v>0</x:v>
      </x:c>
      <x:c r="T485" s="1" t="n">
        <x:f>IF(L485=1,MAX(0,I485+AB485-MIN(Q485,E485+P485)),"n.a.")</x:f>
        <x:v>5888.91613963039</x:v>
      </x:c>
      <x:c r="U485" s="9" t="n">
        <x:f>IF(ISNUMBER(T485),T485*G485,"n.a.")</x:f>
        <x:v>147.22290349075976</x:v>
      </x:c>
      <x:c r="V485" s="25" t="n">
        <x:f>IF(Dashboard!$I$6="Flat %",1,IF(ISNUMBER(H485),1,0))</x:f>
        <x:v>1</x:v>
      </x:c>
      <x:c r="W485" s="9" t="n">
        <x:f>IF(Dashboard!$I$6="Flat %",G485*(1+Dashboard!$L$6),H485)</x:f>
        <x:v>0.029253</x:v>
      </x:c>
      <x:c r="X485" s="9" t="n">
        <x:f>IF(V485=1,R485*(W485-G485),"n.a.")</x:f>
        <x:v>25.04556034184805</x:v>
      </x:c>
      <x:c r="Y485" s="9" t="n">
        <x:f>IF(V485=1,R485*W485,"n.a.")</x:f>
        <x:v>172.2684638326078</x:v>
      </x:c>
      <x:c r="Z485" s="1" t="n">
        <x:f>IF(ISNUMBER(T485),R485-T485,"n.a.")</x:f>
        <x:v>0</x:v>
      </x:c>
      <x:c r="AA485" s="1" t="str">
        <x:f>'Inventory inputs'!R485</x:f>
        <x:v>Classified</x:v>
      </x:c>
      <x:c r="AB485" s="1" t="n">
        <x:f>IF(L485=1,SUMIFS('Incoming POs'!$P$2:$P$305,'Incoming POs'!$A$2:$A$305,A485,'Incoming POs'!$B$2:$B$305,B485,'Incoming POs'!$C$2:$C$305,C485,'Incoming POs'!$G$2:$G$305,"&gt;="&amp;D485,'Incoming POs'!$G$2:$G$305,"&lt;"&amp;Dashboard!$I$5,'Incoming POs'!$Q$2:$Q$305,"&lt;="&amp;('Inventory inputs'!P485/'Inventory inputs'!J485*1.01)),"n.a.")</x:f>
        <x:v>0</x:v>
      </x:c>
      <x:c r="AC485" s="9" t="n">
        <x:f>I485*G485</x:f>
        <x:v>147.5</x:v>
      </x:c>
      <x:c r="AD485" s="9" t="n">
        <x:f>J485*G485</x:f>
        <x:v>0</x:v>
      </x:c>
      <x:c r="AE485" s="9" t="n">
        <x:f>K485*G485</x:f>
        <x:v>0</x:v>
      </x:c>
      <x:c r="AF485" s="9" t="n">
        <x:f>R485*G485</x:f>
        <x:v>147.22290349075976</x:v>
      </x:c>
    </x:row>
    <x:row r="486" ht="21" customHeight="1">
      <x:c r="A486" s="1" t="str">
        <x:f>'Inventory inputs'!A486</x:f>
        <x:v>PLAS</x:v>
      </x:c>
      <x:c r="B486" s="1" t="str">
        <x:f>'Inventory inputs'!B486</x:f>
        <x:v>10</x:v>
      </x:c>
      <x:c r="C486" s="1" t="str">
        <x:f>'Inventory inputs'!C486</x:f>
        <x:v>03821RWBBLK</x:v>
      </x:c>
      <x:c r="D486" s="7" t="n">
        <x:f>'Inventory inputs'!E486</x:f>
        <x:v>46303</x:v>
      </x:c>
      <x:c r="E486" s="1" t="n">
        <x:f>'Inventory inputs'!F486</x:f>
        <x:v>4545</x:v>
      </x:c>
      <x:c r="F486" s="1" t="n">
        <x:f>'Inventory inputs'!G486</x:f>
        <x:v>8.33</x:v>
      </x:c>
      <x:c r="G486" s="1" t="n">
        <x:f>'Inventory inputs'!H486/'Inventory inputs'!J486</x:f>
        <x:v>0.0229</x:v>
      </x:c>
      <x:c r="H486" s="1" t="n">
        <x:f>IF('Inventory inputs'!I486&gt;0,'Inventory inputs'!I486*'Inventory inputs'!K486/'Inventory inputs'!J486,"n.a.")</x:f>
        <x:v>0.026901</x:v>
      </x:c>
      <x:c r="I486" s="1" t="n">
        <x:f>'Inventory inputs'!L486</x:f>
        <x:v>0</x:v>
      </x:c>
      <x:c r="J486" s="1" t="n">
        <x:f>'Inventory inputs'!M486</x:f>
        <x:v>0</x:v>
      </x:c>
      <x:c r="K486" s="1" t="n">
        <x:f>'Inventory inputs'!N486</x:f>
        <x:v>4545</x:v>
      </x:c>
      <x:c r="L486" s="1" t="n">
        <x:f>'Inventory inputs'!O486</x:f>
        <x:v>0</x:v>
      </x:c>
      <x:c r="M486" s="9" t="n">
        <x:f>E486*G486</x:f>
        <x:v>104.0805</x:v>
      </x:c>
      <x:c r="N486" s="9" t="n">
        <x:f>'Inventory inputs'!Q486</x:f>
        <x:v>104.0805</x:v>
      </x:c>
      <x:c r="O486" s="9" t="n">
        <x:f>N486-M486</x:f>
        <x:v>0</x:v>
      </x:c>
      <x:c r="P486" s="1" t="n">
        <x:f>SUMIFS('Incoming POs'!$P$2:$P$305,'Incoming POs'!$A$2:$A$305,A486,'Incoming POs'!$B$2:$B$305,B486,'Incoming POs'!$C$2:$C$305,C486,'Incoming POs'!$G$2:$G$305,"&gt;="&amp;D486,'Incoming POs'!$G$2:$G$305,"&lt;"&amp;Dashboard!$I$5)</x:f>
        <x:v>0</x:v>
      </x:c>
      <x:c r="Q486" s="1" t="n">
        <x:f>F486*Dashboard!$L$5*MAX(0,Dashboard!$I$5-D486)/30.4375</x:f>
        <x:v>11.083860369609857</x:v>
      </x:c>
      <x:c r="R486" s="1" t="n">
        <x:f>MAX(0,E486+P486-Q486)</x:f>
        <x:v>4533.91613963039</x:v>
      </x:c>
      <x:c r="S486" s="1" t="n">
        <x:f>MAX(0,Q486-E486-P486)</x:f>
        <x:v>0</x:v>
      </x:c>
      <x:c r="T486" s="1" t="str">
        <x:f>IF(L486=1,MAX(0,I486+AB486-MIN(Q486,E486+P486)),"n.a.")</x:f>
        <x:v>n.a.</x:v>
      </x:c>
      <x:c r="U486" s="9" t="str">
        <x:f>IF(ISNUMBER(T486),T486*G486,"n.a.")</x:f>
        <x:v>n.a.</x:v>
      </x:c>
      <x:c r="V486" s="25" t="n">
        <x:f>IF(Dashboard!$I$6="Flat %",1,IF(ISNUMBER(H486),1,0))</x:f>
        <x:v>1</x:v>
      </x:c>
      <x:c r="W486" s="9" t="n">
        <x:f>IF(Dashboard!$I$6="Flat %",G486*(1+Dashboard!$L$6),H486)</x:f>
        <x:v>0.026901</x:v>
      </x:c>
      <x:c r="X486" s="9" t="n">
        <x:f>IF(V486=1,R486*(W486-G486),"n.a.")</x:f>
        <x:v>18.140198474661194</x:v>
      </x:c>
      <x:c r="Y486" s="9" t="n">
        <x:f>IF(V486=1,R486*W486,"n.a.")</x:f>
        <x:v>121.96687807219712</x:v>
      </x:c>
      <x:c r="Z486" s="1" t="str">
        <x:f>IF(ISNUMBER(T486),R486-T486,"n.a.")</x:f>
        <x:v>n.a.</x:v>
      </x:c>
      <x:c r="AA486" s="1" t="str">
        <x:f>'Inventory inputs'!R486</x:f>
        <x:v>Review receipt reconciliation or original PO baseline</x:v>
      </x:c>
      <x:c r="AB486" s="1" t="str">
        <x:f>IF(L486=1,SUMIFS('Incoming POs'!$P$2:$P$305,'Incoming POs'!$A$2:$A$305,A486,'Incoming POs'!$B$2:$B$305,B486,'Incoming POs'!$C$2:$C$305,C486,'Incoming POs'!$G$2:$G$305,"&gt;="&amp;D486,'Incoming POs'!$G$2:$G$305,"&lt;"&amp;Dashboard!$I$5,'Incoming POs'!$Q$2:$Q$305,"&lt;="&amp;('Inventory inputs'!P486/'Inventory inputs'!J486*1.01)),"n.a.")</x:f>
        <x:v>n.a.</x:v>
      </x:c>
      <x:c r="AC486" s="9" t="n">
        <x:f>I486*G486</x:f>
        <x:v>0</x:v>
      </x:c>
      <x:c r="AD486" s="9" t="n">
        <x:f>J486*G486</x:f>
        <x:v>0</x:v>
      </x:c>
      <x:c r="AE486" s="9" t="n">
        <x:f>K486*G486</x:f>
        <x:v>104.0805</x:v>
      </x:c>
      <x:c r="AF486" s="9" t="n">
        <x:f>R486*G486</x:f>
        <x:v>103.82667959753593</x:v>
      </x:c>
    </x:row>
    <x:row r="487" ht="21" customHeight="1">
      <x:c r="A487" s="1" t="str">
        <x:f>'Inventory inputs'!A487</x:f>
        <x:v>PLAS</x:v>
      </x:c>
      <x:c r="B487" s="1" t="str">
        <x:f>'Inventory inputs'!B487</x:f>
        <x:v>10</x:v>
      </x:c>
      <x:c r="C487" s="1" t="str">
        <x:f>'Inventory inputs'!C487</x:f>
        <x:v>11219RSLMAR</x:v>
      </x:c>
      <x:c r="D487" s="7" t="n">
        <x:f>'Inventory inputs'!E487</x:f>
        <x:v>46303</x:v>
      </x:c>
      <x:c r="E487" s="1" t="n">
        <x:f>'Inventory inputs'!F487</x:f>
        <x:v>450</x:v>
      </x:c>
      <x:c r="F487" s="1" t="n">
        <x:f>'Inventory inputs'!G487</x:f>
        <x:v>8.33</x:v>
      </x:c>
      <x:c r="G487" s="1" t="n">
        <x:f>'Inventory inputs'!H487/'Inventory inputs'!J487</x:f>
        <x:v>0.1298</x:v>
      </x:c>
      <x:c r="H487" s="1" t="n">
        <x:f>IF('Inventory inputs'!I487&gt;0,'Inventory inputs'!I487*'Inventory inputs'!K487/'Inventory inputs'!J487,"n.a.")</x:f>
        <x:v>0.151851</x:v>
      </x:c>
      <x:c r="I487" s="1" t="n">
        <x:f>'Inventory inputs'!L487</x:f>
        <x:v>450</x:v>
      </x:c>
      <x:c r="J487" s="1" t="n">
        <x:f>'Inventory inputs'!M487</x:f>
        <x:v>0</x:v>
      </x:c>
      <x:c r="K487" s="1" t="n">
        <x:f>'Inventory inputs'!N487</x:f>
        <x:v>0</x:v>
      </x:c>
      <x:c r="L487" s="1" t="n">
        <x:f>'Inventory inputs'!O487</x:f>
        <x:v>1</x:v>
      </x:c>
      <x:c r="M487" s="9" t="n">
        <x:f>E487*G487</x:f>
        <x:v>58.41</x:v>
      </x:c>
      <x:c r="N487" s="9" t="n">
        <x:f>'Inventory inputs'!Q487</x:f>
        <x:v>58.410000000000004</x:v>
      </x:c>
      <x:c r="O487" s="9" t="n">
        <x:f>N487-M487</x:f>
        <x:v>7.105427357601002e-15</x:v>
      </x:c>
      <x:c r="P487" s="1" t="n">
        <x:f>SUMIFS('Incoming POs'!$P$2:$P$305,'Incoming POs'!$A$2:$A$305,A487,'Incoming POs'!$B$2:$B$305,B487,'Incoming POs'!$C$2:$C$305,C487,'Incoming POs'!$G$2:$G$305,"&gt;="&amp;D487,'Incoming POs'!$G$2:$G$305,"&lt;"&amp;Dashboard!$I$5)</x:f>
        <x:v>0</x:v>
      </x:c>
      <x:c r="Q487" s="1" t="n">
        <x:f>F487*Dashboard!$L$5*MAX(0,Dashboard!$I$5-D487)/30.4375</x:f>
        <x:v>11.083860369609857</x:v>
      </x:c>
      <x:c r="R487" s="1" t="n">
        <x:f>MAX(0,E487+P487-Q487)</x:f>
        <x:v>438.91613963039015</x:v>
      </x:c>
      <x:c r="S487" s="1" t="n">
        <x:f>MAX(0,Q487-E487-P487)</x:f>
        <x:v>0</x:v>
      </x:c>
      <x:c r="T487" s="1" t="n">
        <x:f>IF(L487=1,MAX(0,I487+AB487-MIN(Q487,E487+P487)),"n.a.")</x:f>
        <x:v>438.91613963039015</x:v>
      </x:c>
      <x:c r="U487" s="9" t="n">
        <x:f>IF(ISNUMBER(T487),T487*G487,"n.a.")</x:f>
        <x:v>56.97131492402464</x:v>
      </x:c>
      <x:c r="V487" s="25" t="n">
        <x:f>IF(Dashboard!$I$6="Flat %",1,IF(ISNUMBER(H487),1,0))</x:f>
        <x:v>1</x:v>
      </x:c>
      <x:c r="W487" s="9" t="n">
        <x:f>IF(Dashboard!$I$6="Flat %",G487*(1+Dashboard!$L$6),H487)</x:f>
        <x:v>0.151851</x:v>
      </x:c>
      <x:c r="X487" s="9" t="n">
        <x:f>IF(V487=1,R487*(W487-G487),"n.a.")</x:f>
        <x:v>9.67853979498974</x:v>
      </x:c>
      <x:c r="Y487" s="9" t="n">
        <x:f>IF(V487=1,R487*W487,"n.a.")</x:f>
        <x:v>66.64985471901439</x:v>
      </x:c>
      <x:c r="Z487" s="1" t="n">
        <x:f>IF(ISNUMBER(T487),R487-T487,"n.a.")</x:f>
        <x:v>0</x:v>
      </x:c>
      <x:c r="AA487" s="1" t="str">
        <x:f>'Inventory inputs'!R487</x:f>
        <x:v>Classified</x:v>
      </x:c>
      <x:c r="AB487" s="1" t="n">
        <x:f>IF(L487=1,SUMIFS('Incoming POs'!$P$2:$P$305,'Incoming POs'!$A$2:$A$305,A487,'Incoming POs'!$B$2:$B$305,B487,'Incoming POs'!$C$2:$C$305,C487,'Incoming POs'!$G$2:$G$305,"&gt;="&amp;D487,'Incoming POs'!$G$2:$G$305,"&lt;"&amp;Dashboard!$I$5,'Incoming POs'!$Q$2:$Q$305,"&lt;="&amp;('Inventory inputs'!P487/'Inventory inputs'!J487*1.01)),"n.a.")</x:f>
        <x:v>0</x:v>
      </x:c>
      <x:c r="AC487" s="9" t="n">
        <x:f>I487*G487</x:f>
        <x:v>58.41</x:v>
      </x:c>
      <x:c r="AD487" s="9" t="n">
        <x:f>J487*G487</x:f>
        <x:v>0</x:v>
      </x:c>
      <x:c r="AE487" s="9" t="n">
        <x:f>K487*G487</x:f>
        <x:v>0</x:v>
      </x:c>
      <x:c r="AF487" s="9" t="n">
        <x:f>R487*G487</x:f>
        <x:v>56.97131492402464</x:v>
      </x:c>
    </x:row>
    <x:row r="488" ht="21" customHeight="1">
      <x:c r="A488" s="1" t="str">
        <x:f>'Inventory inputs'!A488</x:f>
        <x:v>PLAS</x:v>
      </x:c>
      <x:c r="B488" s="1" t="str">
        <x:f>'Inventory inputs'!B488</x:f>
        <x:v>10</x:v>
      </x:c>
      <x:c r="C488" s="1" t="str">
        <x:f>'Inventory inputs'!C488</x:f>
        <x:v>11419RSLRED</x:v>
      </x:c>
      <x:c r="D488" s="7" t="n">
        <x:f>'Inventory inputs'!E488</x:f>
        <x:v>46303</x:v>
      </x:c>
      <x:c r="E488" s="1" t="n">
        <x:f>'Inventory inputs'!F488</x:f>
        <x:v>1600</x:v>
      </x:c>
      <x:c r="F488" s="1" t="n">
        <x:f>'Inventory inputs'!G488</x:f>
        <x:v>8.33</x:v>
      </x:c>
      <x:c r="G488" s="1" t="n">
        <x:f>'Inventory inputs'!H488/'Inventory inputs'!J488</x:f>
        <x:v>0.111</x:v>
      </x:c>
      <x:c r="H488" s="1" t="n">
        <x:f>IF('Inventory inputs'!I488&gt;0,'Inventory inputs'!I488*'Inventory inputs'!K488/'Inventory inputs'!J488,"n.a.")</x:f>
        <x:v>0.129801</x:v>
      </x:c>
      <x:c r="I488" s="1" t="n">
        <x:f>'Inventory inputs'!L488</x:f>
        <x:v>0</x:v>
      </x:c>
      <x:c r="J488" s="1" t="n">
        <x:f>'Inventory inputs'!M488</x:f>
        <x:v>0</x:v>
      </x:c>
      <x:c r="K488" s="1" t="n">
        <x:f>'Inventory inputs'!N488</x:f>
        <x:v>1600</x:v>
      </x:c>
      <x:c r="L488" s="1" t="n">
        <x:f>'Inventory inputs'!O488</x:f>
        <x:v>0</x:v>
      </x:c>
      <x:c r="M488" s="9" t="n">
        <x:f>E488*G488</x:f>
        <x:v>177.6</x:v>
      </x:c>
      <x:c r="N488" s="9" t="n">
        <x:f>'Inventory inputs'!Q488</x:f>
        <x:v>177.6</x:v>
      </x:c>
      <x:c r="O488" s="9" t="n">
        <x:f>N488-M488</x:f>
        <x:v>0</x:v>
      </x:c>
      <x:c r="P488" s="1" t="n">
        <x:f>SUMIFS('Incoming POs'!$P$2:$P$305,'Incoming POs'!$A$2:$A$305,A488,'Incoming POs'!$B$2:$B$305,B488,'Incoming POs'!$C$2:$C$305,C488,'Incoming POs'!$G$2:$G$305,"&gt;="&amp;D488,'Incoming POs'!$G$2:$G$305,"&lt;"&amp;Dashboard!$I$5)</x:f>
        <x:v>0</x:v>
      </x:c>
      <x:c r="Q488" s="1" t="n">
        <x:f>F488*Dashboard!$L$5*MAX(0,Dashboard!$I$5-D488)/30.4375</x:f>
        <x:v>11.083860369609857</x:v>
      </x:c>
      <x:c r="R488" s="1" t="n">
        <x:f>MAX(0,E488+P488-Q488)</x:f>
        <x:v>1588.91613963039</x:v>
      </x:c>
      <x:c r="S488" s="1" t="n">
        <x:f>MAX(0,Q488-E488-P488)</x:f>
        <x:v>0</x:v>
      </x:c>
      <x:c r="T488" s="1" t="str">
        <x:f>IF(L488=1,MAX(0,I488+AB488-MIN(Q488,E488+P488)),"n.a.")</x:f>
        <x:v>n.a.</x:v>
      </x:c>
      <x:c r="U488" s="9" t="str">
        <x:f>IF(ISNUMBER(T488),T488*G488,"n.a.")</x:f>
        <x:v>n.a.</x:v>
      </x:c>
      <x:c r="V488" s="25" t="n">
        <x:f>IF(Dashboard!$I$6="Flat %",1,IF(ISNUMBER(H488),1,0))</x:f>
        <x:v>1</x:v>
      </x:c>
      <x:c r="W488" s="9" t="n">
        <x:f>IF(Dashboard!$I$6="Flat %",G488*(1+Dashboard!$L$6),H488)</x:f>
        <x:v>0.129801</x:v>
      </x:c>
      <x:c r="X488" s="9" t="n">
        <x:f>IF(V488=1,R488*(W488-G488),"n.a.")</x:f>
        <x:v>29.87321234119096</x:v>
      </x:c>
      <x:c r="Y488" s="9" t="n">
        <x:f>IF(V488=1,R488*W488,"n.a.")</x:f>
        <x:v>206.24290384016425</x:v>
      </x:c>
      <x:c r="Z488" s="1" t="str">
        <x:f>IF(ISNUMBER(T488),R488-T488,"n.a.")</x:f>
        <x:v>n.a.</x:v>
      </x:c>
      <x:c r="AA488" s="1" t="str">
        <x:f>'Inventory inputs'!R488</x:f>
        <x:v>Review receipt reconciliation or original PO baseline</x:v>
      </x:c>
      <x:c r="AB488" s="1" t="str">
        <x:f>IF(L488=1,SUMIFS('Incoming POs'!$P$2:$P$305,'Incoming POs'!$A$2:$A$305,A488,'Incoming POs'!$B$2:$B$305,B488,'Incoming POs'!$C$2:$C$305,C488,'Incoming POs'!$G$2:$G$305,"&gt;="&amp;D488,'Incoming POs'!$G$2:$G$305,"&lt;"&amp;Dashboard!$I$5,'Incoming POs'!$Q$2:$Q$305,"&lt;="&amp;('Inventory inputs'!P488/'Inventory inputs'!J488*1.01)),"n.a.")</x:f>
        <x:v>n.a.</x:v>
      </x:c>
      <x:c r="AC488" s="9" t="n">
        <x:f>I488*G488</x:f>
        <x:v>0</x:v>
      </x:c>
      <x:c r="AD488" s="9" t="n">
        <x:f>J488*G488</x:f>
        <x:v>0</x:v>
      </x:c>
      <x:c r="AE488" s="9" t="n">
        <x:f>K488*G488</x:f>
        <x:v>177.6</x:v>
      </x:c>
      <x:c r="AF488" s="9" t="n">
        <x:f>R488*G488</x:f>
        <x:v>176.3696914989733</x:v>
      </x:c>
    </x:row>
    <x:row r="489" ht="21" customHeight="1">
      <x:c r="A489" s="1" t="str">
        <x:f>'Inventory inputs'!A489</x:f>
        <x:v>PLAS</x:v>
      </x:c>
      <x:c r="B489" s="1" t="str">
        <x:f>'Inventory inputs'!B489</x:f>
        <x:v>10</x:v>
      </x:c>
      <x:c r="C489" s="1" t="str">
        <x:f>'Inventory inputs'!C489</x:f>
        <x:v>11480ROVBLK</x:v>
      </x:c>
      <x:c r="D489" s="7" t="n">
        <x:f>'Inventory inputs'!E489</x:f>
        <x:v>46303</x:v>
      </x:c>
      <x:c r="E489" s="1" t="n">
        <x:f>'Inventory inputs'!F489</x:f>
        <x:v>2367</x:v>
      </x:c>
      <x:c r="F489" s="1" t="n">
        <x:f>'Inventory inputs'!G489</x:f>
        <x:v>8.33</x:v>
      </x:c>
      <x:c r="G489" s="1" t="n">
        <x:f>'Inventory inputs'!H489/'Inventory inputs'!J489</x:f>
        <x:v>0.47509999999999997</x:v>
      </x:c>
      <x:c r="H489" s="1" t="n">
        <x:f>IF('Inventory inputs'!I489&gt;0,'Inventory inputs'!I489*'Inventory inputs'!K489/'Inventory inputs'!J489,"n.a.")</x:f>
        <x:v>0.555807</x:v>
      </x:c>
      <x:c r="I489" s="1" t="n">
        <x:f>'Inventory inputs'!L489</x:f>
        <x:v>1167</x:v>
      </x:c>
      <x:c r="J489" s="1" t="n">
        <x:f>'Inventory inputs'!M489</x:f>
        <x:v>1200</x:v>
      </x:c>
      <x:c r="K489" s="1" t="n">
        <x:f>'Inventory inputs'!N489</x:f>
        <x:v>0</x:v>
      </x:c>
      <x:c r="L489" s="1" t="n">
        <x:f>'Inventory inputs'!O489</x:f>
        <x:v>1</x:v>
      </x:c>
      <x:c r="M489" s="9" t="n">
        <x:f>E489*G489</x:f>
        <x:v>1124.5617</x:v>
      </x:c>
      <x:c r="N489" s="9" t="n">
        <x:f>'Inventory inputs'!Q489</x:f>
        <x:v>1124.5617</x:v>
      </x:c>
      <x:c r="O489" s="9" t="n">
        <x:f>N489-M489</x:f>
        <x:v>0</x:v>
      </x:c>
      <x:c r="P489" s="1" t="n">
        <x:f>SUMIFS('Incoming POs'!$P$2:$P$305,'Incoming POs'!$A$2:$A$305,A489,'Incoming POs'!$B$2:$B$305,B489,'Incoming POs'!$C$2:$C$305,C489,'Incoming POs'!$G$2:$G$305,"&gt;="&amp;D489,'Incoming POs'!$G$2:$G$305,"&lt;"&amp;Dashboard!$I$5)</x:f>
        <x:v>0</x:v>
      </x:c>
      <x:c r="Q489" s="1" t="n">
        <x:f>F489*Dashboard!$L$5*MAX(0,Dashboard!$I$5-D489)/30.4375</x:f>
        <x:v>11.083860369609857</x:v>
      </x:c>
      <x:c r="R489" s="1" t="n">
        <x:f>MAX(0,E489+P489-Q489)</x:f>
        <x:v>2355.9161396303903</x:v>
      </x:c>
      <x:c r="S489" s="1" t="n">
        <x:f>MAX(0,Q489-E489-P489)</x:f>
        <x:v>0</x:v>
      </x:c>
      <x:c r="T489" s="1" t="n">
        <x:f>IF(L489=1,MAX(0,I489+AB489-MIN(Q489,E489+P489)),"n.a.")</x:f>
        <x:v>1155.91613963039</x:v>
      </x:c>
      <x:c r="U489" s="9" t="n">
        <x:f>IF(ISNUMBER(T489),T489*G489,"n.a.")</x:f>
        <x:v>549.1757579383983</x:v>
      </x:c>
      <x:c r="V489" s="25" t="n">
        <x:f>IF(Dashboard!$I$6="Flat %",1,IF(ISNUMBER(H489),1,0))</x:f>
        <x:v>1</x:v>
      </x:c>
      <x:c r="W489" s="9" t="n">
        <x:f>IF(Dashboard!$I$6="Flat %",G489*(1+Dashboard!$L$6),H489)</x:f>
        <x:v>0.555807</x:v>
      </x:c>
      <x:c r="X489" s="9" t="n">
        <x:f>IF(V489=1,R489*(W489-G489),"n.a.")</x:f>
        <x:v>190.1389238811501</x:v>
      </x:c>
      <x:c r="Y489" s="9" t="n">
        <x:f>IF(V489=1,R489*W489,"n.a.")</x:f>
        <x:v>1309.4346818195484</x:v>
      </x:c>
      <x:c r="Z489" s="1" t="n">
        <x:f>IF(ISNUMBER(T489),R489-T489,"n.a.")</x:f>
        <x:v>1200.0000000000002</x:v>
      </x:c>
      <x:c r="AA489" s="1" t="str">
        <x:f>'Inventory inputs'!R489</x:f>
        <x:v>Classified</x:v>
      </x:c>
      <x:c r="AB489" s="1" t="n">
        <x:f>IF(L489=1,SUMIFS('Incoming POs'!$P$2:$P$305,'Incoming POs'!$A$2:$A$305,A489,'Incoming POs'!$B$2:$B$305,B489,'Incoming POs'!$C$2:$C$305,C489,'Incoming POs'!$G$2:$G$305,"&gt;="&amp;D489,'Incoming POs'!$G$2:$G$305,"&lt;"&amp;Dashboard!$I$5,'Incoming POs'!$Q$2:$Q$305,"&lt;="&amp;('Inventory inputs'!P489/'Inventory inputs'!J489*1.01)),"n.a.")</x:f>
        <x:v>0</x:v>
      </x:c>
      <x:c r="AC489" s="9" t="n">
        <x:f>I489*G489</x:f>
        <x:v>554.4417</x:v>
      </x:c>
      <x:c r="AD489" s="9" t="n">
        <x:f>J489*G489</x:f>
        <x:v>570.12</x:v>
      </x:c>
      <x:c r="AE489" s="9" t="n">
        <x:f>K489*G489</x:f>
        <x:v>0</x:v>
      </x:c>
      <x:c r="AF489" s="9" t="n">
        <x:f>R489*G489</x:f>
        <x:v>1119.2957579383983</x:v>
      </x:c>
    </x:row>
    <x:row r="490" ht="21" customHeight="1">
      <x:c r="A490" s="1" t="str">
        <x:f>'Inventory inputs'!A490</x:f>
        <x:v>PLAS</x:v>
      </x:c>
      <x:c r="B490" s="1" t="str">
        <x:f>'Inventory inputs'!B490</x:f>
        <x:v>10</x:v>
      </x:c>
      <x:c r="C490" s="1" t="str">
        <x:f>'Inventory inputs'!C490</x:f>
        <x:v>51621RWBBLK</x:v>
      </x:c>
      <x:c r="D490" s="7" t="n">
        <x:f>'Inventory inputs'!E490</x:f>
        <x:v>46303</x:v>
      </x:c>
      <x:c r="E490" s="1" t="n">
        <x:f>'Inventory inputs'!F490</x:f>
        <x:v>8300</x:v>
      </x:c>
      <x:c r="F490" s="1" t="n">
        <x:f>'Inventory inputs'!G490</x:f>
        <x:v>8.33</x:v>
      </x:c>
      <x:c r="G490" s="1" t="n">
        <x:f>'Inventory inputs'!H490/'Inventory inputs'!J490</x:f>
        <x:v>0.018799999999999997</x:v>
      </x:c>
      <x:c r="H490" s="1" t="n">
        <x:f>IF('Inventory inputs'!I490&gt;0,'Inventory inputs'!I490*'Inventory inputs'!K490/'Inventory inputs'!J490,"n.a.")</x:f>
        <x:v>0.02205</x:v>
      </x:c>
      <x:c r="I490" s="1" t="n">
        <x:f>'Inventory inputs'!L490</x:f>
        <x:v>0</x:v>
      </x:c>
      <x:c r="J490" s="1" t="n">
        <x:f>'Inventory inputs'!M490</x:f>
        <x:v>0</x:v>
      </x:c>
      <x:c r="K490" s="1" t="n">
        <x:f>'Inventory inputs'!N490</x:f>
        <x:v>8300</x:v>
      </x:c>
      <x:c r="L490" s="1" t="n">
        <x:f>'Inventory inputs'!O490</x:f>
        <x:v>0</x:v>
      </x:c>
      <x:c r="M490" s="9" t="n">
        <x:f>E490*G490</x:f>
        <x:v>156.03999999999996</x:v>
      </x:c>
      <x:c r="N490" s="9" t="n">
        <x:f>'Inventory inputs'!Q490</x:f>
        <x:v>156.04</x:v>
      </x:c>
      <x:c r="O490" s="9" t="n">
        <x:f>N490-M490</x:f>
        <x:v>2.842170943040401e-14</x:v>
      </x:c>
      <x:c r="P490" s="1" t="n">
        <x:f>SUMIFS('Incoming POs'!$P$2:$P$305,'Incoming POs'!$A$2:$A$305,A490,'Incoming POs'!$B$2:$B$305,B490,'Incoming POs'!$C$2:$C$305,C490,'Incoming POs'!$G$2:$G$305,"&gt;="&amp;D490,'Incoming POs'!$G$2:$G$305,"&lt;"&amp;Dashboard!$I$5)</x:f>
        <x:v>0</x:v>
      </x:c>
      <x:c r="Q490" s="1" t="n">
        <x:f>F490*Dashboard!$L$5*MAX(0,Dashboard!$I$5-D490)/30.4375</x:f>
        <x:v>11.083860369609857</x:v>
      </x:c>
      <x:c r="R490" s="1" t="n">
        <x:f>MAX(0,E490+P490-Q490)</x:f>
        <x:v>8288.91613963039</x:v>
      </x:c>
      <x:c r="S490" s="1" t="n">
        <x:f>MAX(0,Q490-E490-P490)</x:f>
        <x:v>0</x:v>
      </x:c>
      <x:c r="T490" s="1" t="str">
        <x:f>IF(L490=1,MAX(0,I490+AB490-MIN(Q490,E490+P490)),"n.a.")</x:f>
        <x:v>n.a.</x:v>
      </x:c>
      <x:c r="U490" s="9" t="str">
        <x:f>IF(ISNUMBER(T490),T490*G490,"n.a.")</x:f>
        <x:v>n.a.</x:v>
      </x:c>
      <x:c r="V490" s="25" t="n">
        <x:f>IF(Dashboard!$I$6="Flat %",1,IF(ISNUMBER(H490),1,0))</x:f>
        <x:v>1</x:v>
      </x:c>
      <x:c r="W490" s="9" t="n">
        <x:f>IF(Dashboard!$I$6="Flat %",G490*(1+Dashboard!$L$6),H490)</x:f>
        <x:v>0.02205</x:v>
      </x:c>
      <x:c r="X490" s="9" t="n">
        <x:f>IF(V490=1,R490*(W490-G490),"n.a.")</x:f>
        <x:v>26.938977453798792</x:v>
      </x:c>
      <x:c r="Y490" s="9" t="n">
        <x:f>IF(V490=1,R490*W490,"n.a.")</x:f>
        <x:v>182.7706008788501</x:v>
      </x:c>
      <x:c r="Z490" s="1" t="str">
        <x:f>IF(ISNUMBER(T490),R490-T490,"n.a.")</x:f>
        <x:v>n.a.</x:v>
      </x:c>
      <x:c r="AA490" s="1" t="str">
        <x:f>'Inventory inputs'!R490</x:f>
        <x:v>Review receipt reconciliation or original PO baseline</x:v>
      </x:c>
      <x:c r="AB490" s="1" t="str">
        <x:f>IF(L490=1,SUMIFS('Incoming POs'!$P$2:$P$305,'Incoming POs'!$A$2:$A$305,A490,'Incoming POs'!$B$2:$B$305,B490,'Incoming POs'!$C$2:$C$305,C490,'Incoming POs'!$G$2:$G$305,"&gt;="&amp;D490,'Incoming POs'!$G$2:$G$305,"&lt;"&amp;Dashboard!$I$5,'Incoming POs'!$Q$2:$Q$305,"&lt;="&amp;('Inventory inputs'!P490/'Inventory inputs'!J490*1.01)),"n.a.")</x:f>
        <x:v>n.a.</x:v>
      </x:c>
      <x:c r="AC490" s="9" t="n">
        <x:f>I490*G490</x:f>
        <x:v>0</x:v>
      </x:c>
      <x:c r="AD490" s="9" t="n">
        <x:f>J490*G490</x:f>
        <x:v>0</x:v>
      </x:c>
      <x:c r="AE490" s="9" t="n">
        <x:f>K490*G490</x:f>
        <x:v>156.03999999999996</x:v>
      </x:c>
      <x:c r="AF490" s="9" t="n">
        <x:f>R490*G490</x:f>
        <x:v>155.8316234250513</x:v>
      </x:c>
    </x:row>
    <x:row r="491" ht="21" customHeight="1">
      <x:c r="A491" s="1" t="str">
        <x:f>'Inventory inputs'!A491</x:f>
        <x:v>PLAS</x:v>
      </x:c>
      <x:c r="B491" s="1" t="str">
        <x:f>'Inventory inputs'!B491</x:f>
        <x:v>60</x:v>
      </x:c>
      <x:c r="C491" s="1" t="str">
        <x:f>'Inventory inputs'!C491</x:f>
        <x:v>11219RSLRED</x:v>
      </x:c>
      <x:c r="D491" s="7" t="n">
        <x:f>'Inventory inputs'!E491</x:f>
        <x:v>46303</x:v>
      </x:c>
      <x:c r="E491" s="1" t="n">
        <x:f>'Inventory inputs'!F491</x:f>
        <x:v>300</x:v>
      </x:c>
      <x:c r="F491" s="1" t="n">
        <x:f>'Inventory inputs'!G491</x:f>
        <x:v>8.33</x:v>
      </x:c>
      <x:c r="G491" s="1" t="n">
        <x:f>'Inventory inputs'!H491/'Inventory inputs'!J491</x:f>
        <x:v>0.1298</x:v>
      </x:c>
      <x:c r="H491" s="1" t="n">
        <x:f>IF('Inventory inputs'!I491&gt;0,'Inventory inputs'!I491*'Inventory inputs'!K491/'Inventory inputs'!J491,"n.a.")</x:f>
        <x:v>0.151851</x:v>
      </x:c>
      <x:c r="I491" s="1" t="n">
        <x:f>'Inventory inputs'!L491</x:f>
        <x:v>0</x:v>
      </x:c>
      <x:c r="J491" s="1" t="n">
        <x:f>'Inventory inputs'!M491</x:f>
        <x:v>0</x:v>
      </x:c>
      <x:c r="K491" s="1" t="n">
        <x:f>'Inventory inputs'!N491</x:f>
        <x:v>300</x:v>
      </x:c>
      <x:c r="L491" s="1" t="n">
        <x:f>'Inventory inputs'!O491</x:f>
        <x:v>0</x:v>
      </x:c>
      <x:c r="M491" s="9" t="n">
        <x:f>E491*G491</x:f>
        <x:v>38.94</x:v>
      </x:c>
      <x:c r="N491" s="9" t="n">
        <x:f>'Inventory inputs'!Q491</x:f>
        <x:v>38.94</x:v>
      </x:c>
      <x:c r="O491" s="9" t="n">
        <x:f>N491-M491</x:f>
        <x:v>0</x:v>
      </x:c>
      <x:c r="P491" s="1" t="n">
        <x:f>SUMIFS('Incoming POs'!$P$2:$P$305,'Incoming POs'!$A$2:$A$305,A491,'Incoming POs'!$B$2:$B$305,B491,'Incoming POs'!$C$2:$C$305,C491,'Incoming POs'!$G$2:$G$305,"&gt;="&amp;D491,'Incoming POs'!$G$2:$G$305,"&lt;"&amp;Dashboard!$I$5)</x:f>
        <x:v>0</x:v>
      </x:c>
      <x:c r="Q491" s="1" t="n">
        <x:f>F491*Dashboard!$L$5*MAX(0,Dashboard!$I$5-D491)/30.4375</x:f>
        <x:v>11.083860369609857</x:v>
      </x:c>
      <x:c r="R491" s="1" t="n">
        <x:f>MAX(0,E491+P491-Q491)</x:f>
        <x:v>288.91613963039015</x:v>
      </x:c>
      <x:c r="S491" s="1" t="n">
        <x:f>MAX(0,Q491-E491-P491)</x:f>
        <x:v>0</x:v>
      </x:c>
      <x:c r="T491" s="1" t="str">
        <x:f>IF(L491=1,MAX(0,I491+AB491-MIN(Q491,E491+P491)),"n.a.")</x:f>
        <x:v>n.a.</x:v>
      </x:c>
      <x:c r="U491" s="9" t="str">
        <x:f>IF(ISNUMBER(T491),T491*G491,"n.a.")</x:f>
        <x:v>n.a.</x:v>
      </x:c>
      <x:c r="V491" s="25" t="n">
        <x:f>IF(Dashboard!$I$6="Flat %",1,IF(ISNUMBER(H491),1,0))</x:f>
        <x:v>1</x:v>
      </x:c>
      <x:c r="W491" s="9" t="n">
        <x:f>IF(Dashboard!$I$6="Flat %",G491*(1+Dashboard!$L$6),H491)</x:f>
        <x:v>0.151851</x:v>
      </x:c>
      <x:c r="X491" s="9" t="n">
        <x:f>IF(V491=1,R491*(W491-G491),"n.a.")</x:f>
        <x:v>6.370889794989737</x:v>
      </x:c>
      <x:c r="Y491" s="9" t="n">
        <x:f>IF(V491=1,R491*W491,"n.a.")</x:f>
        <x:v>43.87220471901438</x:v>
      </x:c>
      <x:c r="Z491" s="1" t="str">
        <x:f>IF(ISNUMBER(T491),R491-T491,"n.a.")</x:f>
        <x:v>n.a.</x:v>
      </x:c>
      <x:c r="AA491" s="1" t="str">
        <x:f>'Inventory inputs'!R491</x:f>
        <x:v>Review receipt reconciliation or original PO baseline</x:v>
      </x:c>
      <x:c r="AB491" s="1" t="str">
        <x:f>IF(L491=1,SUMIFS('Incoming POs'!$P$2:$P$305,'Incoming POs'!$A$2:$A$305,A491,'Incoming POs'!$B$2:$B$305,B491,'Incoming POs'!$C$2:$C$305,C491,'Incoming POs'!$G$2:$G$305,"&gt;="&amp;D491,'Incoming POs'!$G$2:$G$305,"&lt;"&amp;Dashboard!$I$5,'Incoming POs'!$Q$2:$Q$305,"&lt;="&amp;('Inventory inputs'!P491/'Inventory inputs'!J491*1.01)),"n.a.")</x:f>
        <x:v>n.a.</x:v>
      </x:c>
      <x:c r="AC491" s="9" t="n">
        <x:f>I491*G491</x:f>
        <x:v>0</x:v>
      </x:c>
      <x:c r="AD491" s="9" t="n">
        <x:f>J491*G491</x:f>
        <x:v>0</x:v>
      </x:c>
      <x:c r="AE491" s="9" t="n">
        <x:f>K491*G491</x:f>
        <x:v>38.94</x:v>
      </x:c>
      <x:c r="AF491" s="9" t="n">
        <x:f>R491*G491</x:f>
        <x:v>37.50131492402464</x:v>
      </x:c>
    </x:row>
    <x:row r="492" ht="21" customHeight="1">
      <x:c r="A492" s="1" t="str">
        <x:f>'Inventory inputs'!A492</x:f>
        <x:v>PLAS</x:v>
      </x:c>
      <x:c r="B492" s="1" t="str">
        <x:f>'Inventory inputs'!B492</x:f>
        <x:v>60</x:v>
      </x:c>
      <x:c r="C492" s="1" t="str">
        <x:f>'Inventory inputs'!C492</x:f>
        <x:v>11419RSLFG</x:v>
      </x:c>
      <x:c r="D492" s="7" t="n">
        <x:f>'Inventory inputs'!E492</x:f>
        <x:v>46303</x:v>
      </x:c>
      <x:c r="E492" s="1" t="n">
        <x:f>'Inventory inputs'!F492</x:f>
        <x:v>250</x:v>
      </x:c>
      <x:c r="F492" s="1" t="n">
        <x:f>'Inventory inputs'!G492</x:f>
        <x:v>8.33</x:v>
      </x:c>
      <x:c r="G492" s="1" t="n">
        <x:f>'Inventory inputs'!H492/'Inventory inputs'!J492</x:f>
        <x:v>0.111</x:v>
      </x:c>
      <x:c r="H492" s="1" t="n">
        <x:f>IF('Inventory inputs'!I492&gt;0,'Inventory inputs'!I492*'Inventory inputs'!K492/'Inventory inputs'!J492,"n.a.")</x:f>
        <x:v>0.129801</x:v>
      </x:c>
      <x:c r="I492" s="1" t="n">
        <x:f>'Inventory inputs'!L492</x:f>
        <x:v>0</x:v>
      </x:c>
      <x:c r="J492" s="1" t="n">
        <x:f>'Inventory inputs'!M492</x:f>
        <x:v>0</x:v>
      </x:c>
      <x:c r="K492" s="1" t="n">
        <x:f>'Inventory inputs'!N492</x:f>
        <x:v>250</x:v>
      </x:c>
      <x:c r="L492" s="1" t="n">
        <x:f>'Inventory inputs'!O492</x:f>
        <x:v>0</x:v>
      </x:c>
      <x:c r="M492" s="9" t="n">
        <x:f>E492*G492</x:f>
        <x:v>27.75</x:v>
      </x:c>
      <x:c r="N492" s="9" t="n">
        <x:f>'Inventory inputs'!Q492</x:f>
        <x:v>27.75</x:v>
      </x:c>
      <x:c r="O492" s="9" t="n">
        <x:f>N492-M492</x:f>
        <x:v>0</x:v>
      </x:c>
      <x:c r="P492" s="1" t="n">
        <x:f>SUMIFS('Incoming POs'!$P$2:$P$305,'Incoming POs'!$A$2:$A$305,A492,'Incoming POs'!$B$2:$B$305,B492,'Incoming POs'!$C$2:$C$305,C492,'Incoming POs'!$G$2:$G$305,"&gt;="&amp;D492,'Incoming POs'!$G$2:$G$305,"&lt;"&amp;Dashboard!$I$5)</x:f>
        <x:v>0</x:v>
      </x:c>
      <x:c r="Q492" s="1" t="n">
        <x:f>F492*Dashboard!$L$5*MAX(0,Dashboard!$I$5-D492)/30.4375</x:f>
        <x:v>11.083860369609857</x:v>
      </x:c>
      <x:c r="R492" s="1" t="n">
        <x:f>MAX(0,E492+P492-Q492)</x:f>
        <x:v>238.91613963039015</x:v>
      </x:c>
      <x:c r="S492" s="1" t="n">
        <x:f>MAX(0,Q492-E492-P492)</x:f>
        <x:v>0</x:v>
      </x:c>
      <x:c r="T492" s="1" t="str">
        <x:f>IF(L492=1,MAX(0,I492+AB492-MIN(Q492,E492+P492)),"n.a.")</x:f>
        <x:v>n.a.</x:v>
      </x:c>
      <x:c r="U492" s="9" t="str">
        <x:f>IF(ISNUMBER(T492),T492*G492,"n.a.")</x:f>
        <x:v>n.a.</x:v>
      </x:c>
      <x:c r="V492" s="25" t="n">
        <x:f>IF(Dashboard!$I$6="Flat %",1,IF(ISNUMBER(H492),1,0))</x:f>
        <x:v>1</x:v>
      </x:c>
      <x:c r="W492" s="9" t="n">
        <x:f>IF(Dashboard!$I$6="Flat %",G492*(1+Dashboard!$L$6),H492)</x:f>
        <x:v>0.129801</x:v>
      </x:c>
      <x:c r="X492" s="9" t="n">
        <x:f>IF(V492=1,R492*(W492-G492),"n.a.")</x:f>
        <x:v>4.491862341190965</x:v>
      </x:c>
      <x:c r="Y492" s="9" t="n">
        <x:f>IF(V492=1,R492*W492,"n.a.")</x:f>
        <x:v>31.01155384016427</x:v>
      </x:c>
      <x:c r="Z492" s="1" t="str">
        <x:f>IF(ISNUMBER(T492),R492-T492,"n.a.")</x:f>
        <x:v>n.a.</x:v>
      </x:c>
      <x:c r="AA492" s="1" t="str">
        <x:f>'Inventory inputs'!R492</x:f>
        <x:v>Review receipt reconciliation or original PO baseline</x:v>
      </x:c>
      <x:c r="AB492" s="1" t="str">
        <x:f>IF(L492=1,SUMIFS('Incoming POs'!$P$2:$P$305,'Incoming POs'!$A$2:$A$305,A492,'Incoming POs'!$B$2:$B$305,B492,'Incoming POs'!$C$2:$C$305,C492,'Incoming POs'!$G$2:$G$305,"&gt;="&amp;D492,'Incoming POs'!$G$2:$G$305,"&lt;"&amp;Dashboard!$I$5,'Incoming POs'!$Q$2:$Q$305,"&lt;="&amp;('Inventory inputs'!P492/'Inventory inputs'!J492*1.01)),"n.a.")</x:f>
        <x:v>n.a.</x:v>
      </x:c>
      <x:c r="AC492" s="9" t="n">
        <x:f>I492*G492</x:f>
        <x:v>0</x:v>
      </x:c>
      <x:c r="AD492" s="9" t="n">
        <x:f>J492*G492</x:f>
        <x:v>0</x:v>
      </x:c>
      <x:c r="AE492" s="9" t="n">
        <x:f>K492*G492</x:f>
        <x:v>27.75</x:v>
      </x:c>
      <x:c r="AF492" s="9" t="n">
        <x:f>R492*G492</x:f>
        <x:v>26.519691498973305</x:v>
      </x:c>
    </x:row>
    <x:row r="493" ht="21" customHeight="1">
      <x:c r="A493" s="1" t="str">
        <x:f>'Inventory inputs'!A493</x:f>
        <x:v>PLAS</x:v>
      </x:c>
      <x:c r="B493" s="1" t="str">
        <x:f>'Inventory inputs'!B493</x:f>
        <x:v>60</x:v>
      </x:c>
      <x:c r="C493" s="1" t="str">
        <x:f>'Inventory inputs'!C493</x:f>
        <x:v>13419RSLBLU</x:v>
      </x:c>
      <x:c r="D493" s="7" t="n">
        <x:f>'Inventory inputs'!E493</x:f>
        <x:v>46303</x:v>
      </x:c>
      <x:c r="E493" s="1" t="n">
        <x:f>'Inventory inputs'!F493</x:f>
        <x:v>400</x:v>
      </x:c>
      <x:c r="F493" s="1" t="n">
        <x:f>'Inventory inputs'!G493</x:f>
        <x:v>8.33</x:v>
      </x:c>
      <x:c r="G493" s="1" t="n">
        <x:f>'Inventory inputs'!H493/'Inventory inputs'!J493</x:f>
        <x:v>0.1457</x:v>
      </x:c>
      <x:c r="H493" s="1" t="n">
        <x:f>IF('Inventory inputs'!I493&gt;0,'Inventory inputs'!I493*'Inventory inputs'!K493/'Inventory inputs'!J493,"n.a.")</x:f>
        <x:v>0.170373</x:v>
      </x:c>
      <x:c r="I493" s="1" t="n">
        <x:f>'Inventory inputs'!L493</x:f>
        <x:v>0</x:v>
      </x:c>
      <x:c r="J493" s="1" t="n">
        <x:f>'Inventory inputs'!M493</x:f>
        <x:v>0</x:v>
      </x:c>
      <x:c r="K493" s="1" t="n">
        <x:f>'Inventory inputs'!N493</x:f>
        <x:v>400</x:v>
      </x:c>
      <x:c r="L493" s="1" t="n">
        <x:f>'Inventory inputs'!O493</x:f>
        <x:v>0</x:v>
      </x:c>
      <x:c r="M493" s="9" t="n">
        <x:f>E493*G493</x:f>
        <x:v>58.28</x:v>
      </x:c>
      <x:c r="N493" s="9" t="n">
        <x:f>'Inventory inputs'!Q493</x:f>
        <x:v>58.28</x:v>
      </x:c>
      <x:c r="O493" s="9" t="n">
        <x:f>N493-M493</x:f>
        <x:v>0</x:v>
      </x:c>
      <x:c r="P493" s="1" t="n">
        <x:f>SUMIFS('Incoming POs'!$P$2:$P$305,'Incoming POs'!$A$2:$A$305,A493,'Incoming POs'!$B$2:$B$305,B493,'Incoming POs'!$C$2:$C$305,C493,'Incoming POs'!$G$2:$G$305,"&gt;="&amp;D493,'Incoming POs'!$G$2:$G$305,"&lt;"&amp;Dashboard!$I$5)</x:f>
        <x:v>0</x:v>
      </x:c>
      <x:c r="Q493" s="1" t="n">
        <x:f>F493*Dashboard!$L$5*MAX(0,Dashboard!$I$5-D493)/30.4375</x:f>
        <x:v>11.083860369609857</x:v>
      </x:c>
      <x:c r="R493" s="1" t="n">
        <x:f>MAX(0,E493+P493-Q493)</x:f>
        <x:v>388.91613963039015</x:v>
      </x:c>
      <x:c r="S493" s="1" t="n">
        <x:f>MAX(0,Q493-E493-P493)</x:f>
        <x:v>0</x:v>
      </x:c>
      <x:c r="T493" s="1" t="str">
        <x:f>IF(L493=1,MAX(0,I493+AB493-MIN(Q493,E493+P493)),"n.a.")</x:f>
        <x:v>n.a.</x:v>
      </x:c>
      <x:c r="U493" s="9" t="str">
        <x:f>IF(ISNUMBER(T493),T493*G493,"n.a.")</x:f>
        <x:v>n.a.</x:v>
      </x:c>
      <x:c r="V493" s="25" t="n">
        <x:f>IF(Dashboard!$I$6="Flat %",1,IF(ISNUMBER(H493),1,0))</x:f>
        <x:v>1</x:v>
      </x:c>
      <x:c r="W493" s="9" t="n">
        <x:f>IF(Dashboard!$I$6="Flat %",G493*(1+Dashboard!$L$6),H493)</x:f>
        <x:v>0.170373</x:v>
      </x:c>
      <x:c r="X493" s="9" t="n">
        <x:f>IF(V493=1,R493*(W493-G493),"n.a.")</x:f>
        <x:v>9.595727913100616</x:v>
      </x:c>
      <x:c r="Y493" s="9" t="n">
        <x:f>IF(V493=1,R493*W493,"n.a.")</x:f>
        <x:v>66.26080945724846</x:v>
      </x:c>
      <x:c r="Z493" s="1" t="str">
        <x:f>IF(ISNUMBER(T493),R493-T493,"n.a.")</x:f>
        <x:v>n.a.</x:v>
      </x:c>
      <x:c r="AA493" s="1" t="str">
        <x:f>'Inventory inputs'!R493</x:f>
        <x:v>Review receipt reconciliation or original PO baseline</x:v>
      </x:c>
      <x:c r="AB493" s="1" t="str">
        <x:f>IF(L493=1,SUMIFS('Incoming POs'!$P$2:$P$305,'Incoming POs'!$A$2:$A$305,A493,'Incoming POs'!$B$2:$B$305,B493,'Incoming POs'!$C$2:$C$305,C493,'Incoming POs'!$G$2:$G$305,"&gt;="&amp;D493,'Incoming POs'!$G$2:$G$305,"&lt;"&amp;Dashboard!$I$5,'Incoming POs'!$Q$2:$Q$305,"&lt;="&amp;('Inventory inputs'!P493/'Inventory inputs'!J493*1.01)),"n.a.")</x:f>
        <x:v>n.a.</x:v>
      </x:c>
      <x:c r="AC493" s="9" t="n">
        <x:f>I493*G493</x:f>
        <x:v>0</x:v>
      </x:c>
      <x:c r="AD493" s="9" t="n">
        <x:f>J493*G493</x:f>
        <x:v>0</x:v>
      </x:c>
      <x:c r="AE493" s="9" t="n">
        <x:f>K493*G493</x:f>
        <x:v>58.28</x:v>
      </x:c>
      <x:c r="AF493" s="9" t="n">
        <x:f>R493*G493</x:f>
        <x:v>56.665081544147846</x:v>
      </x:c>
    </x:row>
    <x:row r="494" ht="21" customHeight="1">
      <x:c r="A494" s="1" t="str">
        <x:f>'Inventory inputs'!A494</x:f>
        <x:v>PLAS</x:v>
      </x:c>
      <x:c r="B494" s="1" t="str">
        <x:f>'Inventory inputs'!B494</x:f>
        <x:v>30</x:v>
      </x:c>
      <x:c r="C494" s="1" t="str">
        <x:f>'Inventory inputs'!C494</x:f>
        <x:v>00219RSLRED</x:v>
      </x:c>
      <x:c r="D494" s="7" t="n">
        <x:f>'Inventory inputs'!E494</x:f>
        <x:v>46303</x:v>
      </x:c>
      <x:c r="E494" s="1" t="n">
        <x:f>'Inventory inputs'!F494</x:f>
        <x:v>400</x:v>
      </x:c>
      <x:c r="F494" s="1" t="n">
        <x:f>'Inventory inputs'!G494</x:f>
        <x:v>6.67</x:v>
      </x:c>
      <x:c r="G494" s="1" t="n">
        <x:f>'Inventory inputs'!H494/'Inventory inputs'!J494</x:f>
        <x:v>0.1477</x:v>
      </x:c>
      <x:c r="H494" s="1" t="n">
        <x:f>IF('Inventory inputs'!I494&gt;0,'Inventory inputs'!I494*'Inventory inputs'!K494/'Inventory inputs'!J494,"n.a.")</x:f>
        <x:v>0.172872</x:v>
      </x:c>
      <x:c r="I494" s="1" t="n">
        <x:f>'Inventory inputs'!L494</x:f>
        <x:v>0</x:v>
      </x:c>
      <x:c r="J494" s="1" t="n">
        <x:f>'Inventory inputs'!M494</x:f>
        <x:v>0</x:v>
      </x:c>
      <x:c r="K494" s="1" t="n">
        <x:f>'Inventory inputs'!N494</x:f>
        <x:v>400</x:v>
      </x:c>
      <x:c r="L494" s="1" t="n">
        <x:f>'Inventory inputs'!O494</x:f>
        <x:v>0</x:v>
      </x:c>
      <x:c r="M494" s="9" t="n">
        <x:f>E494*G494</x:f>
        <x:v>59.08</x:v>
      </x:c>
      <x:c r="N494" s="9" t="n">
        <x:f>'Inventory inputs'!Q494</x:f>
        <x:v>59.08</x:v>
      </x:c>
      <x:c r="O494" s="9" t="n">
        <x:f>N494-M494</x:f>
        <x:v>0</x:v>
      </x:c>
      <x:c r="P494" s="1" t="n">
        <x:f>SUMIFS('Incoming POs'!$P$2:$P$305,'Incoming POs'!$A$2:$A$305,A494,'Incoming POs'!$B$2:$B$305,B494,'Incoming POs'!$C$2:$C$305,C494,'Incoming POs'!$G$2:$G$305,"&gt;="&amp;D494,'Incoming POs'!$G$2:$G$305,"&lt;"&amp;Dashboard!$I$5)</x:f>
        <x:v>0</x:v>
      </x:c>
      <x:c r="Q494" s="1" t="n">
        <x:f>F494*Dashboard!$L$5*MAX(0,Dashboard!$I$5-D494)/30.4375</x:f>
        <x:v>8.875071868583161</x:v>
      </x:c>
      <x:c r="R494" s="1" t="n">
        <x:f>MAX(0,E494+P494-Q494)</x:f>
        <x:v>391.1249281314168</x:v>
      </x:c>
      <x:c r="S494" s="1" t="n">
        <x:f>MAX(0,Q494-E494-P494)</x:f>
        <x:v>0</x:v>
      </x:c>
      <x:c r="T494" s="1" t="str">
        <x:f>IF(L494=1,MAX(0,I494+AB494-MIN(Q494,E494+P494)),"n.a.")</x:f>
        <x:v>n.a.</x:v>
      </x:c>
      <x:c r="U494" s="9" t="str">
        <x:f>IF(ISNUMBER(T494),T494*G494,"n.a.")</x:f>
        <x:v>n.a.</x:v>
      </x:c>
      <x:c r="V494" s="25" t="n">
        <x:f>IF(Dashboard!$I$6="Flat %",1,IF(ISNUMBER(H494),1,0))</x:f>
        <x:v>1</x:v>
      </x:c>
      <x:c r="W494" s="9" t="n">
        <x:f>IF(Dashboard!$I$6="Flat %",G494*(1+Dashboard!$L$6),H494)</x:f>
        <x:v>0.172872</x:v>
      </x:c>
      <x:c r="X494" s="9" t="n">
        <x:f>IF(V494=1,R494*(W494-G494),"n.a.")</x:f>
        <x:v>9.845396690924025</x:v>
      </x:c>
      <x:c r="Y494" s="9" t="n">
        <x:f>IF(V494=1,R494*W494,"n.a.")</x:f>
        <x:v>67.6145485759343</x:v>
      </x:c>
      <x:c r="Z494" s="1" t="str">
        <x:f>IF(ISNUMBER(T494),R494-T494,"n.a.")</x:f>
        <x:v>n.a.</x:v>
      </x:c>
      <x:c r="AA494" s="1" t="str">
        <x:f>'Inventory inputs'!R494</x:f>
        <x:v>Review receipt reconciliation or original PO baseline</x:v>
      </x:c>
      <x:c r="AB494" s="1" t="str">
        <x:f>IF(L494=1,SUMIFS('Incoming POs'!$P$2:$P$305,'Incoming POs'!$A$2:$A$305,A494,'Incoming POs'!$B$2:$B$305,B494,'Incoming POs'!$C$2:$C$305,C494,'Incoming POs'!$G$2:$G$305,"&gt;="&amp;D494,'Incoming POs'!$G$2:$G$305,"&lt;"&amp;Dashboard!$I$5,'Incoming POs'!$Q$2:$Q$305,"&lt;="&amp;('Inventory inputs'!P494/'Inventory inputs'!J494*1.01)),"n.a.")</x:f>
        <x:v>n.a.</x:v>
      </x:c>
      <x:c r="AC494" s="9" t="n">
        <x:f>I494*G494</x:f>
        <x:v>0</x:v>
      </x:c>
      <x:c r="AD494" s="9" t="n">
        <x:f>J494*G494</x:f>
        <x:v>0</x:v>
      </x:c>
      <x:c r="AE494" s="9" t="n">
        <x:f>K494*G494</x:f>
        <x:v>59.08</x:v>
      </x:c>
      <x:c r="AF494" s="9" t="n">
        <x:f>R494*G494</x:f>
        <x:v>57.76915188501027</x:v>
      </x:c>
    </x:row>
    <x:row r="495" ht="21" customHeight="1">
      <x:c r="A495" s="1" t="str">
        <x:f>'Inventory inputs'!A495</x:f>
        <x:v>PLAS</x:v>
      </x:c>
      <x:c r="B495" s="1" t="str">
        <x:f>'Inventory inputs'!B495</x:f>
        <x:v>10</x:v>
      </x:c>
      <x:c r="C495" s="1" t="str">
        <x:f>'Inventory inputs'!C495</x:f>
        <x:v>00115ROVBLK</x:v>
      </x:c>
      <x:c r="D495" s="7" t="n">
        <x:f>'Inventory inputs'!E495</x:f>
        <x:v>46303</x:v>
      </x:c>
      <x:c r="E495" s="1" t="n">
        <x:f>'Inventory inputs'!F495</x:f>
        <x:v>6785</x:v>
      </x:c>
      <x:c r="F495" s="1" t="n">
        <x:f>'Inventory inputs'!G495</x:f>
        <x:v>0</x:v>
      </x:c>
      <x:c r="G495" s="1" t="n">
        <x:f>'Inventory inputs'!H495/'Inventory inputs'!J495</x:f>
        <x:v>0.08449999999999999</x:v>
      </x:c>
      <x:c r="H495" s="1" t="n">
        <x:f>IF('Inventory inputs'!I495&gt;0,'Inventory inputs'!I495*'Inventory inputs'!K495/'Inventory inputs'!J495,"n.a.")</x:f>
        <x:v>0.098931</x:v>
      </x:c>
      <x:c r="I495" s="1" t="n">
        <x:f>'Inventory inputs'!L495</x:f>
        <x:v>0</x:v>
      </x:c>
      <x:c r="J495" s="1" t="n">
        <x:f>'Inventory inputs'!M495</x:f>
        <x:v>0</x:v>
      </x:c>
      <x:c r="K495" s="1" t="n">
        <x:f>'Inventory inputs'!N495</x:f>
        <x:v>6785</x:v>
      </x:c>
      <x:c r="L495" s="1" t="n">
        <x:f>'Inventory inputs'!O495</x:f>
        <x:v>0</x:v>
      </x:c>
      <x:c r="M495" s="9" t="n">
        <x:f>E495*G495</x:f>
        <x:v>573.3325</x:v>
      </x:c>
      <x:c r="N495" s="9" t="n">
        <x:f>'Inventory inputs'!Q495</x:f>
        <x:v>573.3325</x:v>
      </x:c>
      <x:c r="O495" s="9" t="n">
        <x:f>N495-M495</x:f>
        <x:v>0</x:v>
      </x:c>
      <x:c r="P495" s="1" t="n">
        <x:f>SUMIFS('Incoming POs'!$P$2:$P$305,'Incoming POs'!$A$2:$A$305,A495,'Incoming POs'!$B$2:$B$305,B495,'Incoming POs'!$C$2:$C$305,C495,'Incoming POs'!$G$2:$G$305,"&gt;="&amp;D495,'Incoming POs'!$G$2:$G$305,"&lt;"&amp;Dashboard!$I$5)</x:f>
        <x:v>0</x:v>
      </x:c>
      <x:c r="Q495" s="1" t="n">
        <x:f>F495*Dashboard!$L$5*MAX(0,Dashboard!$I$5-D495)/30.4375</x:f>
        <x:v>0</x:v>
      </x:c>
      <x:c r="R495" s="1" t="n">
        <x:f>MAX(0,E495+P495-Q495)</x:f>
        <x:v>6785</x:v>
      </x:c>
      <x:c r="S495" s="1" t="n">
        <x:f>MAX(0,Q495-E495-P495)</x:f>
        <x:v>0</x:v>
      </x:c>
      <x:c r="T495" s="1" t="str">
        <x:f>IF(L495=1,MAX(0,I495+AB495-MIN(Q495,E495+P495)),"n.a.")</x:f>
        <x:v>n.a.</x:v>
      </x:c>
      <x:c r="U495" s="9" t="str">
        <x:f>IF(ISNUMBER(T495),T495*G495,"n.a.")</x:f>
        <x:v>n.a.</x:v>
      </x:c>
      <x:c r="V495" s="25" t="n">
        <x:f>IF(Dashboard!$I$6="Flat %",1,IF(ISNUMBER(H495),1,0))</x:f>
        <x:v>1</x:v>
      </x:c>
      <x:c r="W495" s="9" t="n">
        <x:f>IF(Dashboard!$I$6="Flat %",G495*(1+Dashboard!$L$6),H495)</x:f>
        <x:v>0.098931</x:v>
      </x:c>
      <x:c r="X495" s="9" t="n">
        <x:f>IF(V495=1,R495*(W495-G495),"n.a.")</x:f>
        <x:v>97.9143350000001</x:v>
      </x:c>
      <x:c r="Y495" s="9" t="n">
        <x:f>IF(V495=1,R495*W495,"n.a.")</x:f>
        <x:v>671.246835</x:v>
      </x:c>
      <x:c r="Z495" s="1" t="str">
        <x:f>IF(ISNUMBER(T495),R495-T495,"n.a.")</x:f>
        <x:v>n.a.</x:v>
      </x:c>
      <x:c r="AA495" s="1" t="str">
        <x:f>'Inventory inputs'!R495</x:f>
        <x:v>Review receipt reconciliation or original PO baseline</x:v>
      </x:c>
      <x:c r="AB495" s="1" t="str">
        <x:f>IF(L495=1,SUMIFS('Incoming POs'!$P$2:$P$305,'Incoming POs'!$A$2:$A$305,A495,'Incoming POs'!$B$2:$B$305,B495,'Incoming POs'!$C$2:$C$305,C495,'Incoming POs'!$G$2:$G$305,"&gt;="&amp;D495,'Incoming POs'!$G$2:$G$305,"&lt;"&amp;Dashboard!$I$5,'Incoming POs'!$Q$2:$Q$305,"&lt;="&amp;('Inventory inputs'!P495/'Inventory inputs'!J495*1.01)),"n.a.")</x:f>
        <x:v>n.a.</x:v>
      </x:c>
      <x:c r="AC495" s="9" t="n">
        <x:f>I495*G495</x:f>
        <x:v>0</x:v>
      </x:c>
      <x:c r="AD495" s="9" t="n">
        <x:f>J495*G495</x:f>
        <x:v>0</x:v>
      </x:c>
      <x:c r="AE495" s="9" t="n">
        <x:f>K495*G495</x:f>
        <x:v>573.3325</x:v>
      </x:c>
      <x:c r="AF495" s="9" t="n">
        <x:f>R495*G495</x:f>
        <x:v>573.3325</x:v>
      </x:c>
    </x:row>
    <x:row r="496" ht="21" customHeight="1">
      <x:c r="A496" s="1" t="str">
        <x:f>'Inventory inputs'!A496</x:f>
        <x:v>PLAS</x:v>
      </x:c>
      <x:c r="B496" s="1" t="str">
        <x:f>'Inventory inputs'!B496</x:f>
        <x:v>10</x:v>
      </x:c>
      <x:c r="C496" s="1" t="str">
        <x:f>'Inventory inputs'!C496</x:f>
        <x:v>00115ROVBRN</x:v>
      </x:c>
      <x:c r="D496" s="7" t="n">
        <x:f>'Inventory inputs'!E496</x:f>
        <x:v>46303</x:v>
      </x:c>
      <x:c r="E496" s="1" t="n">
        <x:f>'Inventory inputs'!F496</x:f>
        <x:v>2500</x:v>
      </x:c>
      <x:c r="F496" s="1" t="n">
        <x:f>'Inventory inputs'!G496</x:f>
        <x:v>0</x:v>
      </x:c>
      <x:c r="G496" s="1" t="n">
        <x:f>'Inventory inputs'!H496/'Inventory inputs'!J496</x:f>
        <x:v>0.08449999999999999</x:v>
      </x:c>
      <x:c r="H496" s="1" t="n">
        <x:f>IF('Inventory inputs'!I496&gt;0,'Inventory inputs'!I496*'Inventory inputs'!K496/'Inventory inputs'!J496,"n.a.")</x:f>
        <x:v>0.098931</x:v>
      </x:c>
      <x:c r="I496" s="1" t="n">
        <x:f>'Inventory inputs'!L496</x:f>
        <x:v>0</x:v>
      </x:c>
      <x:c r="J496" s="1" t="n">
        <x:f>'Inventory inputs'!M496</x:f>
        <x:v>0</x:v>
      </x:c>
      <x:c r="K496" s="1" t="n">
        <x:f>'Inventory inputs'!N496</x:f>
        <x:v>2500</x:v>
      </x:c>
      <x:c r="L496" s="1" t="n">
        <x:f>'Inventory inputs'!O496</x:f>
        <x:v>0</x:v>
      </x:c>
      <x:c r="M496" s="9" t="n">
        <x:f>E496*G496</x:f>
        <x:v>211.24999999999997</x:v>
      </x:c>
      <x:c r="N496" s="9" t="n">
        <x:f>'Inventory inputs'!Q496</x:f>
        <x:v>211.25</x:v>
      </x:c>
      <x:c r="O496" s="9" t="n">
        <x:f>N496-M496</x:f>
        <x:v>2.842170943040401e-14</x:v>
      </x:c>
      <x:c r="P496" s="1" t="n">
        <x:f>SUMIFS('Incoming POs'!$P$2:$P$305,'Incoming POs'!$A$2:$A$305,A496,'Incoming POs'!$B$2:$B$305,B496,'Incoming POs'!$C$2:$C$305,C496,'Incoming POs'!$G$2:$G$305,"&gt;="&amp;D496,'Incoming POs'!$G$2:$G$305,"&lt;"&amp;Dashboard!$I$5)</x:f>
        <x:v>0</x:v>
      </x:c>
      <x:c r="Q496" s="1" t="n">
        <x:f>F496*Dashboard!$L$5*MAX(0,Dashboard!$I$5-D496)/30.4375</x:f>
        <x:v>0</x:v>
      </x:c>
      <x:c r="R496" s="1" t="n">
        <x:f>MAX(0,E496+P496-Q496)</x:f>
        <x:v>2500</x:v>
      </x:c>
      <x:c r="S496" s="1" t="n">
        <x:f>MAX(0,Q496-E496-P496)</x:f>
        <x:v>0</x:v>
      </x:c>
      <x:c r="T496" s="1" t="str">
        <x:f>IF(L496=1,MAX(0,I496+AB496-MIN(Q496,E496+P496)),"n.a.")</x:f>
        <x:v>n.a.</x:v>
      </x:c>
      <x:c r="U496" s="9" t="str">
        <x:f>IF(ISNUMBER(T496),T496*G496,"n.a.")</x:f>
        <x:v>n.a.</x:v>
      </x:c>
      <x:c r="V496" s="25" t="n">
        <x:f>IF(Dashboard!$I$6="Flat %",1,IF(ISNUMBER(H496),1,0))</x:f>
        <x:v>1</x:v>
      </x:c>
      <x:c r="W496" s="9" t="n">
        <x:f>IF(Dashboard!$I$6="Flat %",G496*(1+Dashboard!$L$6),H496)</x:f>
        <x:v>0.098931</x:v>
      </x:c>
      <x:c r="X496" s="9" t="n">
        <x:f>IF(V496=1,R496*(W496-G496),"n.a.")</x:f>
        <x:v>36.077500000000036</x:v>
      </x:c>
      <x:c r="Y496" s="9" t="n">
        <x:f>IF(V496=1,R496*W496,"n.a.")</x:f>
        <x:v>247.32750000000001</x:v>
      </x:c>
      <x:c r="Z496" s="1" t="str">
        <x:f>IF(ISNUMBER(T496),R496-T496,"n.a.")</x:f>
        <x:v>n.a.</x:v>
      </x:c>
      <x:c r="AA496" s="1" t="str">
        <x:f>'Inventory inputs'!R496</x:f>
        <x:v>Review receipt reconciliation or original PO baseline</x:v>
      </x:c>
      <x:c r="AB496" s="1" t="str">
        <x:f>IF(L496=1,SUMIFS('Incoming POs'!$P$2:$P$305,'Incoming POs'!$A$2:$A$305,A496,'Incoming POs'!$B$2:$B$305,B496,'Incoming POs'!$C$2:$C$305,C496,'Incoming POs'!$G$2:$G$305,"&gt;="&amp;D496,'Incoming POs'!$G$2:$G$305,"&lt;"&amp;Dashboard!$I$5,'Incoming POs'!$Q$2:$Q$305,"&lt;="&amp;('Inventory inputs'!P496/'Inventory inputs'!J496*1.01)),"n.a.")</x:f>
        <x:v>n.a.</x:v>
      </x:c>
      <x:c r="AC496" s="9" t="n">
        <x:f>I496*G496</x:f>
        <x:v>0</x:v>
      </x:c>
      <x:c r="AD496" s="9" t="n">
        <x:f>J496*G496</x:f>
        <x:v>0</x:v>
      </x:c>
      <x:c r="AE496" s="9" t="n">
        <x:f>K496*G496</x:f>
        <x:v>211.24999999999997</x:v>
      </x:c>
      <x:c r="AF496" s="9" t="n">
        <x:f>R496*G496</x:f>
        <x:v>211.24999999999997</x:v>
      </x:c>
    </x:row>
    <x:row r="497" ht="21" customHeight="1">
      <x:c r="A497" s="1" t="str">
        <x:f>'Inventory inputs'!A497</x:f>
        <x:v>PLAS</x:v>
      </x:c>
      <x:c r="B497" s="1" t="str">
        <x:f>'Inventory inputs'!B497</x:f>
        <x:v>10</x:v>
      </x:c>
      <x:c r="C497" s="1" t="str">
        <x:f>'Inventory inputs'!C497</x:f>
        <x:v>00115ROVFG</x:v>
      </x:c>
      <x:c r="D497" s="7" t="n">
        <x:f>'Inventory inputs'!E497</x:f>
        <x:v>46303</x:v>
      </x:c>
      <x:c r="E497" s="1" t="n">
        <x:f>'Inventory inputs'!F497</x:f>
        <x:v>1440</x:v>
      </x:c>
      <x:c r="F497" s="1" t="n">
        <x:f>'Inventory inputs'!G497</x:f>
        <x:v>0</x:v>
      </x:c>
      <x:c r="G497" s="1" t="n">
        <x:f>'Inventory inputs'!H497/'Inventory inputs'!J497</x:f>
        <x:v>0.08449999999999999</x:v>
      </x:c>
      <x:c r="H497" s="1" t="n">
        <x:f>IF('Inventory inputs'!I497&gt;0,'Inventory inputs'!I497*'Inventory inputs'!K497/'Inventory inputs'!J497,"n.a.")</x:f>
        <x:v>0.098931</x:v>
      </x:c>
      <x:c r="I497" s="1" t="n">
        <x:f>'Inventory inputs'!L497</x:f>
        <x:v>0</x:v>
      </x:c>
      <x:c r="J497" s="1" t="n">
        <x:f>'Inventory inputs'!M497</x:f>
        <x:v>0</x:v>
      </x:c>
      <x:c r="K497" s="1" t="n">
        <x:f>'Inventory inputs'!N497</x:f>
        <x:v>1440</x:v>
      </x:c>
      <x:c r="L497" s="1" t="n">
        <x:f>'Inventory inputs'!O497</x:f>
        <x:v>0</x:v>
      </x:c>
      <x:c r="M497" s="9" t="n">
        <x:f>E497*G497</x:f>
        <x:v>121.67999999999999</x:v>
      </x:c>
      <x:c r="N497" s="9" t="n">
        <x:f>'Inventory inputs'!Q497</x:f>
        <x:v>121.67999999999998</x:v>
      </x:c>
      <x:c r="O497" s="9" t="n">
        <x:f>N497-M497</x:f>
        <x:v>-1.4210854715202004e-14</x:v>
      </x:c>
      <x:c r="P497" s="1" t="n">
        <x:f>SUMIFS('Incoming POs'!$P$2:$P$305,'Incoming POs'!$A$2:$A$305,A497,'Incoming POs'!$B$2:$B$305,B497,'Incoming POs'!$C$2:$C$305,C497,'Incoming POs'!$G$2:$G$305,"&gt;="&amp;D497,'Incoming POs'!$G$2:$G$305,"&lt;"&amp;Dashboard!$I$5)</x:f>
        <x:v>0</x:v>
      </x:c>
      <x:c r="Q497" s="1" t="n">
        <x:f>F497*Dashboard!$L$5*MAX(0,Dashboard!$I$5-D497)/30.4375</x:f>
        <x:v>0</x:v>
      </x:c>
      <x:c r="R497" s="1" t="n">
        <x:f>MAX(0,E497+P497-Q497)</x:f>
        <x:v>1440</x:v>
      </x:c>
      <x:c r="S497" s="1" t="n">
        <x:f>MAX(0,Q497-E497-P497)</x:f>
        <x:v>0</x:v>
      </x:c>
      <x:c r="T497" s="1" t="str">
        <x:f>IF(L497=1,MAX(0,I497+AB497-MIN(Q497,E497+P497)),"n.a.")</x:f>
        <x:v>n.a.</x:v>
      </x:c>
      <x:c r="U497" s="9" t="str">
        <x:f>IF(ISNUMBER(T497),T497*G497,"n.a.")</x:f>
        <x:v>n.a.</x:v>
      </x:c>
      <x:c r="V497" s="25" t="n">
        <x:f>IF(Dashboard!$I$6="Flat %",1,IF(ISNUMBER(H497),1,0))</x:f>
        <x:v>1</x:v>
      </x:c>
      <x:c r="W497" s="9" t="n">
        <x:f>IF(Dashboard!$I$6="Flat %",G497*(1+Dashboard!$L$6),H497)</x:f>
        <x:v>0.098931</x:v>
      </x:c>
      <x:c r="X497" s="9" t="n">
        <x:f>IF(V497=1,R497*(W497-G497),"n.a.")</x:f>
        <x:v>20.78064000000002</x:v>
      </x:c>
      <x:c r="Y497" s="9" t="n">
        <x:f>IF(V497=1,R497*W497,"n.a.")</x:f>
        <x:v>142.46064</x:v>
      </x:c>
      <x:c r="Z497" s="1" t="str">
        <x:f>IF(ISNUMBER(T497),R497-T497,"n.a.")</x:f>
        <x:v>n.a.</x:v>
      </x:c>
      <x:c r="AA497" s="1" t="str">
        <x:f>'Inventory inputs'!R497</x:f>
        <x:v>Review receipt reconciliation or original PO baseline</x:v>
      </x:c>
      <x:c r="AB497" s="1" t="str">
        <x:f>IF(L497=1,SUMIFS('Incoming POs'!$P$2:$P$305,'Incoming POs'!$A$2:$A$305,A497,'Incoming POs'!$B$2:$B$305,B497,'Incoming POs'!$C$2:$C$305,C497,'Incoming POs'!$G$2:$G$305,"&gt;="&amp;D497,'Incoming POs'!$G$2:$G$305,"&lt;"&amp;Dashboard!$I$5,'Incoming POs'!$Q$2:$Q$305,"&lt;="&amp;('Inventory inputs'!P497/'Inventory inputs'!J497*1.01)),"n.a.")</x:f>
        <x:v>n.a.</x:v>
      </x:c>
      <x:c r="AC497" s="9" t="n">
        <x:f>I497*G497</x:f>
        <x:v>0</x:v>
      </x:c>
      <x:c r="AD497" s="9" t="n">
        <x:f>J497*G497</x:f>
        <x:v>0</x:v>
      </x:c>
      <x:c r="AE497" s="9" t="n">
        <x:f>K497*G497</x:f>
        <x:v>121.67999999999999</x:v>
      </x:c>
      <x:c r="AF497" s="9" t="n">
        <x:f>R497*G497</x:f>
        <x:v>121.67999999999999</x:v>
      </x:c>
    </x:row>
    <x:row r="498" ht="21" customHeight="1">
      <x:c r="A498" s="1" t="str">
        <x:f>'Inventory inputs'!A498</x:f>
        <x:v>PLAS</x:v>
      </x:c>
      <x:c r="B498" s="1" t="str">
        <x:f>'Inventory inputs'!B498</x:f>
        <x:v>10</x:v>
      </x:c>
      <x:c r="C498" s="1" t="str">
        <x:f>'Inventory inputs'!C498</x:f>
        <x:v>00115ROVMAR</x:v>
      </x:c>
      <x:c r="D498" s="7" t="n">
        <x:f>'Inventory inputs'!E498</x:f>
        <x:v>46303</x:v>
      </x:c>
      <x:c r="E498" s="1" t="n">
        <x:f>'Inventory inputs'!F498</x:f>
        <x:v>2500</x:v>
      </x:c>
      <x:c r="F498" s="1" t="n">
        <x:f>'Inventory inputs'!G498</x:f>
        <x:v>0</x:v>
      </x:c>
      <x:c r="G498" s="1" t="n">
        <x:f>'Inventory inputs'!H498/'Inventory inputs'!J498</x:f>
        <x:v>0.08449999999999999</x:v>
      </x:c>
      <x:c r="H498" s="1" t="n">
        <x:f>IF('Inventory inputs'!I498&gt;0,'Inventory inputs'!I498*'Inventory inputs'!K498/'Inventory inputs'!J498,"n.a.")</x:f>
        <x:v>0.098931</x:v>
      </x:c>
      <x:c r="I498" s="1" t="n">
        <x:f>'Inventory inputs'!L498</x:f>
        <x:v>0</x:v>
      </x:c>
      <x:c r="J498" s="1" t="n">
        <x:f>'Inventory inputs'!M498</x:f>
        <x:v>0</x:v>
      </x:c>
      <x:c r="K498" s="1" t="n">
        <x:f>'Inventory inputs'!N498</x:f>
        <x:v>2500</x:v>
      </x:c>
      <x:c r="L498" s="1" t="n">
        <x:f>'Inventory inputs'!O498</x:f>
        <x:v>0</x:v>
      </x:c>
      <x:c r="M498" s="9" t="n">
        <x:f>E498*G498</x:f>
        <x:v>211.24999999999997</x:v>
      </x:c>
      <x:c r="N498" s="9" t="n">
        <x:f>'Inventory inputs'!Q498</x:f>
        <x:v>211.25</x:v>
      </x:c>
      <x:c r="O498" s="9" t="n">
        <x:f>N498-M498</x:f>
        <x:v>2.842170943040401e-14</x:v>
      </x:c>
      <x:c r="P498" s="1" t="n">
        <x:f>SUMIFS('Incoming POs'!$P$2:$P$305,'Incoming POs'!$A$2:$A$305,A498,'Incoming POs'!$B$2:$B$305,B498,'Incoming POs'!$C$2:$C$305,C498,'Incoming POs'!$G$2:$G$305,"&gt;="&amp;D498,'Incoming POs'!$G$2:$G$305,"&lt;"&amp;Dashboard!$I$5)</x:f>
        <x:v>0</x:v>
      </x:c>
      <x:c r="Q498" s="1" t="n">
        <x:f>F498*Dashboard!$L$5*MAX(0,Dashboard!$I$5-D498)/30.4375</x:f>
        <x:v>0</x:v>
      </x:c>
      <x:c r="R498" s="1" t="n">
        <x:f>MAX(0,E498+P498-Q498)</x:f>
        <x:v>2500</x:v>
      </x:c>
      <x:c r="S498" s="1" t="n">
        <x:f>MAX(0,Q498-E498-P498)</x:f>
        <x:v>0</x:v>
      </x:c>
      <x:c r="T498" s="1" t="str">
        <x:f>IF(L498=1,MAX(0,I498+AB498-MIN(Q498,E498+P498)),"n.a.")</x:f>
        <x:v>n.a.</x:v>
      </x:c>
      <x:c r="U498" s="9" t="str">
        <x:f>IF(ISNUMBER(T498),T498*G498,"n.a.")</x:f>
        <x:v>n.a.</x:v>
      </x:c>
      <x:c r="V498" s="25" t="n">
        <x:f>IF(Dashboard!$I$6="Flat %",1,IF(ISNUMBER(H498),1,0))</x:f>
        <x:v>1</x:v>
      </x:c>
      <x:c r="W498" s="9" t="n">
        <x:f>IF(Dashboard!$I$6="Flat %",G498*(1+Dashboard!$L$6),H498)</x:f>
        <x:v>0.098931</x:v>
      </x:c>
      <x:c r="X498" s="9" t="n">
        <x:f>IF(V498=1,R498*(W498-G498),"n.a.")</x:f>
        <x:v>36.077500000000036</x:v>
      </x:c>
      <x:c r="Y498" s="9" t="n">
        <x:f>IF(V498=1,R498*W498,"n.a.")</x:f>
        <x:v>247.32750000000001</x:v>
      </x:c>
      <x:c r="Z498" s="1" t="str">
        <x:f>IF(ISNUMBER(T498),R498-T498,"n.a.")</x:f>
        <x:v>n.a.</x:v>
      </x:c>
      <x:c r="AA498" s="1" t="str">
        <x:f>'Inventory inputs'!R498</x:f>
        <x:v>Review receipt reconciliation or original PO baseline</x:v>
      </x:c>
      <x:c r="AB498" s="1" t="str">
        <x:f>IF(L498=1,SUMIFS('Incoming POs'!$P$2:$P$305,'Incoming POs'!$A$2:$A$305,A498,'Incoming POs'!$B$2:$B$305,B498,'Incoming POs'!$C$2:$C$305,C498,'Incoming POs'!$G$2:$G$305,"&gt;="&amp;D498,'Incoming POs'!$G$2:$G$305,"&lt;"&amp;Dashboard!$I$5,'Incoming POs'!$Q$2:$Q$305,"&lt;="&amp;('Inventory inputs'!P498/'Inventory inputs'!J498*1.01)),"n.a.")</x:f>
        <x:v>n.a.</x:v>
      </x:c>
      <x:c r="AC498" s="9" t="n">
        <x:f>I498*G498</x:f>
        <x:v>0</x:v>
      </x:c>
      <x:c r="AD498" s="9" t="n">
        <x:f>J498*G498</x:f>
        <x:v>0</x:v>
      </x:c>
      <x:c r="AE498" s="9" t="n">
        <x:f>K498*G498</x:f>
        <x:v>211.24999999999997</x:v>
      </x:c>
      <x:c r="AF498" s="9" t="n">
        <x:f>R498*G498</x:f>
        <x:v>211.24999999999997</x:v>
      </x:c>
    </x:row>
    <x:row r="499" ht="21" customHeight="1">
      <x:c r="A499" s="1" t="str">
        <x:f>'Inventory inputs'!A499</x:f>
        <x:v>PLAS</x:v>
      </x:c>
      <x:c r="B499" s="1" t="str">
        <x:f>'Inventory inputs'!B499</x:f>
        <x:v>10</x:v>
      </x:c>
      <x:c r="C499" s="1" t="str">
        <x:f>'Inventory inputs'!C499</x:f>
        <x:v>00115ROVNAV</x:v>
      </x:c>
      <x:c r="D499" s="7" t="n">
        <x:f>'Inventory inputs'!E499</x:f>
        <x:v>46303</x:v>
      </x:c>
      <x:c r="E499" s="1" t="n">
        <x:f>'Inventory inputs'!F499</x:f>
        <x:v>1150</x:v>
      </x:c>
      <x:c r="F499" s="1" t="n">
        <x:f>'Inventory inputs'!G499</x:f>
        <x:v>0</x:v>
      </x:c>
      <x:c r="G499" s="1" t="n">
        <x:f>'Inventory inputs'!H499/'Inventory inputs'!J499</x:f>
        <x:v>0.08449999999999999</x:v>
      </x:c>
      <x:c r="H499" s="1" t="n">
        <x:f>IF('Inventory inputs'!I499&gt;0,'Inventory inputs'!I499*'Inventory inputs'!K499/'Inventory inputs'!J499,"n.a.")</x:f>
        <x:v>0.098931</x:v>
      </x:c>
      <x:c r="I499" s="1" t="n">
        <x:f>'Inventory inputs'!L499</x:f>
        <x:v>0</x:v>
      </x:c>
      <x:c r="J499" s="1" t="n">
        <x:f>'Inventory inputs'!M499</x:f>
        <x:v>0</x:v>
      </x:c>
      <x:c r="K499" s="1" t="n">
        <x:f>'Inventory inputs'!N499</x:f>
        <x:v>1150</x:v>
      </x:c>
      <x:c r="L499" s="1" t="n">
        <x:f>'Inventory inputs'!O499</x:f>
        <x:v>0</x:v>
      </x:c>
      <x:c r="M499" s="9" t="n">
        <x:f>E499*G499</x:f>
        <x:v>97.175</x:v>
      </x:c>
      <x:c r="N499" s="9" t="n">
        <x:f>'Inventory inputs'!Q499</x:f>
        <x:v>97.175</x:v>
      </x:c>
      <x:c r="O499" s="9" t="n">
        <x:f>N499-M499</x:f>
        <x:v>0</x:v>
      </x:c>
      <x:c r="P499" s="1" t="n">
        <x:f>SUMIFS('Incoming POs'!$P$2:$P$305,'Incoming POs'!$A$2:$A$305,A499,'Incoming POs'!$B$2:$B$305,B499,'Incoming POs'!$C$2:$C$305,C499,'Incoming POs'!$G$2:$G$305,"&gt;="&amp;D499,'Incoming POs'!$G$2:$G$305,"&lt;"&amp;Dashboard!$I$5)</x:f>
        <x:v>0</x:v>
      </x:c>
      <x:c r="Q499" s="1" t="n">
        <x:f>F499*Dashboard!$L$5*MAX(0,Dashboard!$I$5-D499)/30.4375</x:f>
        <x:v>0</x:v>
      </x:c>
      <x:c r="R499" s="1" t="n">
        <x:f>MAX(0,E499+P499-Q499)</x:f>
        <x:v>1150</x:v>
      </x:c>
      <x:c r="S499" s="1" t="n">
        <x:f>MAX(0,Q499-E499-P499)</x:f>
        <x:v>0</x:v>
      </x:c>
      <x:c r="T499" s="1" t="str">
        <x:f>IF(L499=1,MAX(0,I499+AB499-MIN(Q499,E499+P499)),"n.a.")</x:f>
        <x:v>n.a.</x:v>
      </x:c>
      <x:c r="U499" s="9" t="str">
        <x:f>IF(ISNUMBER(T499),T499*G499,"n.a.")</x:f>
        <x:v>n.a.</x:v>
      </x:c>
      <x:c r="V499" s="25" t="n">
        <x:f>IF(Dashboard!$I$6="Flat %",1,IF(ISNUMBER(H499),1,0))</x:f>
        <x:v>1</x:v>
      </x:c>
      <x:c r="W499" s="9" t="n">
        <x:f>IF(Dashboard!$I$6="Flat %",G499*(1+Dashboard!$L$6),H499)</x:f>
        <x:v>0.098931</x:v>
      </x:c>
      <x:c r="X499" s="9" t="n">
        <x:f>IF(V499=1,R499*(W499-G499),"n.a.")</x:f>
        <x:v>16.595650000000017</x:v>
      </x:c>
      <x:c r="Y499" s="9" t="n">
        <x:f>IF(V499=1,R499*W499,"n.a.")</x:f>
        <x:v>113.77065</x:v>
      </x:c>
      <x:c r="Z499" s="1" t="str">
        <x:f>IF(ISNUMBER(T499),R499-T499,"n.a.")</x:f>
        <x:v>n.a.</x:v>
      </x:c>
      <x:c r="AA499" s="1" t="str">
        <x:f>'Inventory inputs'!R499</x:f>
        <x:v>Review receipt reconciliation or original PO baseline</x:v>
      </x:c>
      <x:c r="AB499" s="1" t="str">
        <x:f>IF(L499=1,SUMIFS('Incoming POs'!$P$2:$P$305,'Incoming POs'!$A$2:$A$305,A499,'Incoming POs'!$B$2:$B$305,B499,'Incoming POs'!$C$2:$C$305,C499,'Incoming POs'!$G$2:$G$305,"&gt;="&amp;D499,'Incoming POs'!$G$2:$G$305,"&lt;"&amp;Dashboard!$I$5,'Incoming POs'!$Q$2:$Q$305,"&lt;="&amp;('Inventory inputs'!P499/'Inventory inputs'!J499*1.01)),"n.a.")</x:f>
        <x:v>n.a.</x:v>
      </x:c>
      <x:c r="AC499" s="9" t="n">
        <x:f>I499*G499</x:f>
        <x:v>0</x:v>
      </x:c>
      <x:c r="AD499" s="9" t="n">
        <x:f>J499*G499</x:f>
        <x:v>0</x:v>
      </x:c>
      <x:c r="AE499" s="9" t="n">
        <x:f>K499*G499</x:f>
        <x:v>97.175</x:v>
      </x:c>
      <x:c r="AF499" s="9" t="n">
        <x:f>R499*G499</x:f>
        <x:v>97.175</x:v>
      </x:c>
    </x:row>
    <x:row r="500" ht="21" customHeight="1">
      <x:c r="A500" s="1" t="str">
        <x:f>'Inventory inputs'!A500</x:f>
        <x:v>PLAS</x:v>
      </x:c>
      <x:c r="B500" s="1" t="str">
        <x:f>'Inventory inputs'!B500</x:f>
        <x:v>10</x:v>
      </x:c>
      <x:c r="C500" s="1" t="str">
        <x:f>'Inventory inputs'!C500</x:f>
        <x:v>00115ROVRED</x:v>
      </x:c>
      <x:c r="D500" s="7" t="n">
        <x:f>'Inventory inputs'!E500</x:f>
        <x:v>46303</x:v>
      </x:c>
      <x:c r="E500" s="1" t="n">
        <x:f>'Inventory inputs'!F500</x:f>
        <x:v>2000</x:v>
      </x:c>
      <x:c r="F500" s="1" t="n">
        <x:f>'Inventory inputs'!G500</x:f>
        <x:v>0</x:v>
      </x:c>
      <x:c r="G500" s="1" t="n">
        <x:f>'Inventory inputs'!H500/'Inventory inputs'!J500</x:f>
        <x:v>0.08449999999999999</x:v>
      </x:c>
      <x:c r="H500" s="1" t="n">
        <x:f>IF('Inventory inputs'!I500&gt;0,'Inventory inputs'!I500*'Inventory inputs'!K500/'Inventory inputs'!J500,"n.a.")</x:f>
        <x:v>0.098931</x:v>
      </x:c>
      <x:c r="I500" s="1" t="n">
        <x:f>'Inventory inputs'!L500</x:f>
        <x:v>2000</x:v>
      </x:c>
      <x:c r="J500" s="1" t="n">
        <x:f>'Inventory inputs'!M500</x:f>
        <x:v>0</x:v>
      </x:c>
      <x:c r="K500" s="1" t="n">
        <x:f>'Inventory inputs'!N500</x:f>
        <x:v>0</x:v>
      </x:c>
      <x:c r="L500" s="1" t="n">
        <x:f>'Inventory inputs'!O500</x:f>
        <x:v>1</x:v>
      </x:c>
      <x:c r="M500" s="9" t="n">
        <x:f>E500*G500</x:f>
        <x:v>168.99999999999997</x:v>
      </x:c>
      <x:c r="N500" s="9" t="n">
        <x:f>'Inventory inputs'!Q500</x:f>
        <x:v>169</x:v>
      </x:c>
      <x:c r="O500" s="9" t="n">
        <x:f>N500-M500</x:f>
        <x:v>2.842170943040401e-14</x:v>
      </x:c>
      <x:c r="P500" s="1" t="n">
        <x:f>SUMIFS('Incoming POs'!$P$2:$P$305,'Incoming POs'!$A$2:$A$305,A500,'Incoming POs'!$B$2:$B$305,B500,'Incoming POs'!$C$2:$C$305,C500,'Incoming POs'!$G$2:$G$305,"&gt;="&amp;D500,'Incoming POs'!$G$2:$G$305,"&lt;"&amp;Dashboard!$I$5)</x:f>
        <x:v>0</x:v>
      </x:c>
      <x:c r="Q500" s="1" t="n">
        <x:f>F500*Dashboard!$L$5*MAX(0,Dashboard!$I$5-D500)/30.4375</x:f>
        <x:v>0</x:v>
      </x:c>
      <x:c r="R500" s="1" t="n">
        <x:f>MAX(0,E500+P500-Q500)</x:f>
        <x:v>2000</x:v>
      </x:c>
      <x:c r="S500" s="1" t="n">
        <x:f>MAX(0,Q500-E500-P500)</x:f>
        <x:v>0</x:v>
      </x:c>
      <x:c r="T500" s="1" t="n">
        <x:f>IF(L500=1,MAX(0,I500+AB500-MIN(Q500,E500+P500)),"n.a.")</x:f>
        <x:v>2000</x:v>
      </x:c>
      <x:c r="U500" s="9" t="n">
        <x:f>IF(ISNUMBER(T500),T500*G500,"n.a.")</x:f>
        <x:v>168.99999999999997</x:v>
      </x:c>
      <x:c r="V500" s="25" t="n">
        <x:f>IF(Dashboard!$I$6="Flat %",1,IF(ISNUMBER(H500),1,0))</x:f>
        <x:v>1</x:v>
      </x:c>
      <x:c r="W500" s="9" t="n">
        <x:f>IF(Dashboard!$I$6="Flat %",G500*(1+Dashboard!$L$6),H500)</x:f>
        <x:v>0.098931</x:v>
      </x:c>
      <x:c r="X500" s="9" t="n">
        <x:f>IF(V500=1,R500*(W500-G500),"n.a.")</x:f>
        <x:v>28.862000000000027</x:v>
      </x:c>
      <x:c r="Y500" s="9" t="n">
        <x:f>IF(V500=1,R500*W500,"n.a.")</x:f>
        <x:v>197.86200000000002</x:v>
      </x:c>
      <x:c r="Z500" s="1" t="n">
        <x:f>IF(ISNUMBER(T500),R500-T500,"n.a.")</x:f>
        <x:v>0</x:v>
      </x:c>
      <x:c r="AA500" s="1" t="str">
        <x:f>'Inventory inputs'!R500</x:f>
        <x:v>Classified</x:v>
      </x:c>
      <x:c r="AB500" s="1" t="n">
        <x:f>IF(L500=1,SUMIFS('Incoming POs'!$P$2:$P$305,'Incoming POs'!$A$2:$A$305,A500,'Incoming POs'!$B$2:$B$305,B500,'Incoming POs'!$C$2:$C$305,C500,'Incoming POs'!$G$2:$G$305,"&gt;="&amp;D500,'Incoming POs'!$G$2:$G$305,"&lt;"&amp;Dashboard!$I$5,'Incoming POs'!$Q$2:$Q$305,"&lt;="&amp;('Inventory inputs'!P500/'Inventory inputs'!J500*1.01)),"n.a.")</x:f>
        <x:v>0</x:v>
      </x:c>
      <x:c r="AC500" s="9" t="n">
        <x:f>I500*G500</x:f>
        <x:v>168.99999999999997</x:v>
      </x:c>
      <x:c r="AD500" s="9" t="n">
        <x:f>J500*G500</x:f>
        <x:v>0</x:v>
      </x:c>
      <x:c r="AE500" s="9" t="n">
        <x:f>K500*G500</x:f>
        <x:v>0</x:v>
      </x:c>
      <x:c r="AF500" s="9" t="n">
        <x:f>R500*G500</x:f>
        <x:v>168.99999999999997</x:v>
      </x:c>
    </x:row>
    <x:row r="501" ht="21" customHeight="1">
      <x:c r="A501" s="1" t="str">
        <x:f>'Inventory inputs'!A501</x:f>
        <x:v>PLAS</x:v>
      </x:c>
      <x:c r="B501" s="1" t="str">
        <x:f>'Inventory inputs'!B501</x:f>
        <x:v>10</x:v>
      </x:c>
      <x:c r="C501" s="1" t="str">
        <x:f>'Inventory inputs'!C501</x:f>
        <x:v>00115ROVWHT</x:v>
      </x:c>
      <x:c r="D501" s="7" t="n">
        <x:f>'Inventory inputs'!E501</x:f>
        <x:v>46303</x:v>
      </x:c>
      <x:c r="E501" s="1" t="n">
        <x:f>'Inventory inputs'!F501</x:f>
        <x:v>3500</x:v>
      </x:c>
      <x:c r="F501" s="1" t="n">
        <x:f>'Inventory inputs'!G501</x:f>
        <x:v>0</x:v>
      </x:c>
      <x:c r="G501" s="1" t="n">
        <x:f>'Inventory inputs'!H501/'Inventory inputs'!J501</x:f>
        <x:v>0.08449999999999999</x:v>
      </x:c>
      <x:c r="H501" s="1" t="n">
        <x:f>IF('Inventory inputs'!I501&gt;0,'Inventory inputs'!I501*'Inventory inputs'!K501/'Inventory inputs'!J501,"n.a.")</x:f>
        <x:v>0.098931</x:v>
      </x:c>
      <x:c r="I501" s="1" t="n">
        <x:f>'Inventory inputs'!L501</x:f>
        <x:v>3500</x:v>
      </x:c>
      <x:c r="J501" s="1" t="n">
        <x:f>'Inventory inputs'!M501</x:f>
        <x:v>0</x:v>
      </x:c>
      <x:c r="K501" s="1" t="n">
        <x:f>'Inventory inputs'!N501</x:f>
        <x:v>0</x:v>
      </x:c>
      <x:c r="L501" s="1" t="n">
        <x:f>'Inventory inputs'!O501</x:f>
        <x:v>1</x:v>
      </x:c>
      <x:c r="M501" s="9" t="n">
        <x:f>E501*G501</x:f>
        <x:v>295.74999999999994</x:v>
      </x:c>
      <x:c r="N501" s="9" t="n">
        <x:f>'Inventory inputs'!Q501</x:f>
        <x:v>295.74999999999994</x:v>
      </x:c>
      <x:c r="O501" s="9" t="n">
        <x:f>N501-M501</x:f>
        <x:v>0</x:v>
      </x:c>
      <x:c r="P501" s="1" t="n">
        <x:f>SUMIFS('Incoming POs'!$P$2:$P$305,'Incoming POs'!$A$2:$A$305,A501,'Incoming POs'!$B$2:$B$305,B501,'Incoming POs'!$C$2:$C$305,C501,'Incoming POs'!$G$2:$G$305,"&gt;="&amp;D501,'Incoming POs'!$G$2:$G$305,"&lt;"&amp;Dashboard!$I$5)</x:f>
        <x:v>0</x:v>
      </x:c>
      <x:c r="Q501" s="1" t="n">
        <x:f>F501*Dashboard!$L$5*MAX(0,Dashboard!$I$5-D501)/30.4375</x:f>
        <x:v>0</x:v>
      </x:c>
      <x:c r="R501" s="1" t="n">
        <x:f>MAX(0,E501+P501-Q501)</x:f>
        <x:v>3500</x:v>
      </x:c>
      <x:c r="S501" s="1" t="n">
        <x:f>MAX(0,Q501-E501-P501)</x:f>
        <x:v>0</x:v>
      </x:c>
      <x:c r="T501" s="1" t="n">
        <x:f>IF(L501=1,MAX(0,I501+AB501-MIN(Q501,E501+P501)),"n.a.")</x:f>
        <x:v>3500</x:v>
      </x:c>
      <x:c r="U501" s="9" t="n">
        <x:f>IF(ISNUMBER(T501),T501*G501,"n.a.")</x:f>
        <x:v>295.74999999999994</x:v>
      </x:c>
      <x:c r="V501" s="25" t="n">
        <x:f>IF(Dashboard!$I$6="Flat %",1,IF(ISNUMBER(H501),1,0))</x:f>
        <x:v>1</x:v>
      </x:c>
      <x:c r="W501" s="9" t="n">
        <x:f>IF(Dashboard!$I$6="Flat %",G501*(1+Dashboard!$L$6),H501)</x:f>
        <x:v>0.098931</x:v>
      </x:c>
      <x:c r="X501" s="9" t="n">
        <x:f>IF(V501=1,R501*(W501-G501),"n.a.")</x:f>
        <x:v>50.50850000000005</x:v>
      </x:c>
      <x:c r="Y501" s="9" t="n">
        <x:f>IF(V501=1,R501*W501,"n.a.")</x:f>
        <x:v>346.2585</x:v>
      </x:c>
      <x:c r="Z501" s="1" t="n">
        <x:f>IF(ISNUMBER(T501),R501-T501,"n.a.")</x:f>
        <x:v>0</x:v>
      </x:c>
      <x:c r="AA501" s="1" t="str">
        <x:f>'Inventory inputs'!R501</x:f>
        <x:v>Classified</x:v>
      </x:c>
      <x:c r="AB501" s="1" t="n">
        <x:f>IF(L501=1,SUMIFS('Incoming POs'!$P$2:$P$305,'Incoming POs'!$A$2:$A$305,A501,'Incoming POs'!$B$2:$B$305,B501,'Incoming POs'!$C$2:$C$305,C501,'Incoming POs'!$G$2:$G$305,"&gt;="&amp;D501,'Incoming POs'!$G$2:$G$305,"&lt;"&amp;Dashboard!$I$5,'Incoming POs'!$Q$2:$Q$305,"&lt;="&amp;('Inventory inputs'!P501/'Inventory inputs'!J501*1.01)),"n.a.")</x:f>
        <x:v>0</x:v>
      </x:c>
      <x:c r="AC501" s="9" t="n">
        <x:f>I501*G501</x:f>
        <x:v>295.74999999999994</x:v>
      </x:c>
      <x:c r="AD501" s="9" t="n">
        <x:f>J501*G501</x:f>
        <x:v>0</x:v>
      </x:c>
      <x:c r="AE501" s="9" t="n">
        <x:f>K501*G501</x:f>
        <x:v>0</x:v>
      </x:c>
      <x:c r="AF501" s="9" t="n">
        <x:f>R501*G501</x:f>
        <x:v>295.74999999999994</x:v>
      </x:c>
    </x:row>
    <x:row r="502" ht="21" customHeight="1">
      <x:c r="A502" s="1" t="str">
        <x:f>'Inventory inputs'!A502</x:f>
        <x:v>PLAS</x:v>
      </x:c>
      <x:c r="B502" s="1" t="str">
        <x:f>'Inventory inputs'!B502</x:f>
        <x:v>10</x:v>
      </x:c>
      <x:c r="C502" s="1" t="str">
        <x:f>'Inventory inputs'!C502</x:f>
        <x:v>00115RWBBRN</x:v>
      </x:c>
      <x:c r="D502" s="7" t="n">
        <x:f>'Inventory inputs'!E502</x:f>
        <x:v>46303</x:v>
      </x:c>
      <x:c r="E502" s="1" t="n">
        <x:f>'Inventory inputs'!F502</x:f>
        <x:v>3500</x:v>
      </x:c>
      <x:c r="F502" s="1" t="n">
        <x:f>'Inventory inputs'!G502</x:f>
        <x:v>0</x:v>
      </x:c>
      <x:c r="G502" s="1" t="n">
        <x:f>'Inventory inputs'!H502/'Inventory inputs'!J502</x:f>
        <x:v>0.0736</x:v>
      </x:c>
      <x:c r="H502" s="1" t="n">
        <x:f>IF('Inventory inputs'!I502&gt;0,'Inventory inputs'!I502*'Inventory inputs'!K502/'Inventory inputs'!J502,"n.a.")</x:f>
        <x:v>0.086142</x:v>
      </x:c>
      <x:c r="I502" s="1" t="n">
        <x:f>'Inventory inputs'!L502</x:f>
        <x:v>3500</x:v>
      </x:c>
      <x:c r="J502" s="1" t="n">
        <x:f>'Inventory inputs'!M502</x:f>
        <x:v>0</x:v>
      </x:c>
      <x:c r="K502" s="1" t="n">
        <x:f>'Inventory inputs'!N502</x:f>
        <x:v>0</x:v>
      </x:c>
      <x:c r="L502" s="1" t="n">
        <x:f>'Inventory inputs'!O502</x:f>
        <x:v>1</x:v>
      </x:c>
      <x:c r="M502" s="9" t="n">
        <x:f>E502*G502</x:f>
        <x:v>257.6</x:v>
      </x:c>
      <x:c r="N502" s="9" t="n">
        <x:f>'Inventory inputs'!Q502</x:f>
        <x:v>257.6</x:v>
      </x:c>
      <x:c r="O502" s="9" t="n">
        <x:f>N502-M502</x:f>
        <x:v>0</x:v>
      </x:c>
      <x:c r="P502" s="1" t="n">
        <x:f>SUMIFS('Incoming POs'!$P$2:$P$305,'Incoming POs'!$A$2:$A$305,A502,'Incoming POs'!$B$2:$B$305,B502,'Incoming POs'!$C$2:$C$305,C502,'Incoming POs'!$G$2:$G$305,"&gt;="&amp;D502,'Incoming POs'!$G$2:$G$305,"&lt;"&amp;Dashboard!$I$5)</x:f>
        <x:v>0</x:v>
      </x:c>
      <x:c r="Q502" s="1" t="n">
        <x:f>F502*Dashboard!$L$5*MAX(0,Dashboard!$I$5-D502)/30.4375</x:f>
        <x:v>0</x:v>
      </x:c>
      <x:c r="R502" s="1" t="n">
        <x:f>MAX(0,E502+P502-Q502)</x:f>
        <x:v>3500</x:v>
      </x:c>
      <x:c r="S502" s="1" t="n">
        <x:f>MAX(0,Q502-E502-P502)</x:f>
        <x:v>0</x:v>
      </x:c>
      <x:c r="T502" s="1" t="n">
        <x:f>IF(L502=1,MAX(0,I502+AB502-MIN(Q502,E502+P502)),"n.a.")</x:f>
        <x:v>3500</x:v>
      </x:c>
      <x:c r="U502" s="9" t="n">
        <x:f>IF(ISNUMBER(T502),T502*G502,"n.a.")</x:f>
        <x:v>257.6</x:v>
      </x:c>
      <x:c r="V502" s="25" t="n">
        <x:f>IF(Dashboard!$I$6="Flat %",1,IF(ISNUMBER(H502),1,0))</x:f>
        <x:v>1</x:v>
      </x:c>
      <x:c r="W502" s="9" t="n">
        <x:f>IF(Dashboard!$I$6="Flat %",G502*(1+Dashboard!$L$6),H502)</x:f>
        <x:v>0.086142</x:v>
      </x:c>
      <x:c r="X502" s="9" t="n">
        <x:f>IF(V502=1,R502*(W502-G502),"n.a.")</x:f>
        <x:v>43.89699999999999</x:v>
      </x:c>
      <x:c r="Y502" s="9" t="n">
        <x:f>IF(V502=1,R502*W502,"n.a.")</x:f>
        <x:v>301.497</x:v>
      </x:c>
      <x:c r="Z502" s="1" t="n">
        <x:f>IF(ISNUMBER(T502),R502-T502,"n.a.")</x:f>
        <x:v>0</x:v>
      </x:c>
      <x:c r="AA502" s="1" t="str">
        <x:f>'Inventory inputs'!R502</x:f>
        <x:v>Classified</x:v>
      </x:c>
      <x:c r="AB502" s="1" t="n">
        <x:f>IF(L502=1,SUMIFS('Incoming POs'!$P$2:$P$305,'Incoming POs'!$A$2:$A$305,A502,'Incoming POs'!$B$2:$B$305,B502,'Incoming POs'!$C$2:$C$305,C502,'Incoming POs'!$G$2:$G$305,"&gt;="&amp;D502,'Incoming POs'!$G$2:$G$305,"&lt;"&amp;Dashboard!$I$5,'Incoming POs'!$Q$2:$Q$305,"&lt;="&amp;('Inventory inputs'!P502/'Inventory inputs'!J502*1.01)),"n.a.")</x:f>
        <x:v>0</x:v>
      </x:c>
      <x:c r="AC502" s="9" t="n">
        <x:f>I502*G502</x:f>
        <x:v>257.6</x:v>
      </x:c>
      <x:c r="AD502" s="9" t="n">
        <x:f>J502*G502</x:f>
        <x:v>0</x:v>
      </x:c>
      <x:c r="AE502" s="9" t="n">
        <x:f>K502*G502</x:f>
        <x:v>0</x:v>
      </x:c>
      <x:c r="AF502" s="9" t="n">
        <x:f>R502*G502</x:f>
        <x:v>257.6</x:v>
      </x:c>
    </x:row>
    <x:row r="503" ht="21" customHeight="1">
      <x:c r="A503" s="1" t="str">
        <x:f>'Inventory inputs'!A503</x:f>
        <x:v>PLAS</x:v>
      </x:c>
      <x:c r="B503" s="1" t="str">
        <x:f>'Inventory inputs'!B503</x:f>
        <x:v>10</x:v>
      </x:c>
      <x:c r="C503" s="1" t="str">
        <x:f>'Inventory inputs'!C503</x:f>
        <x:v>00115RWBMAR</x:v>
      </x:c>
      <x:c r="D503" s="7" t="n">
        <x:f>'Inventory inputs'!E503</x:f>
        <x:v>46303</x:v>
      </x:c>
      <x:c r="E503" s="1" t="n">
        <x:f>'Inventory inputs'!F503</x:f>
        <x:v>770</x:v>
      </x:c>
      <x:c r="F503" s="1" t="n">
        <x:f>'Inventory inputs'!G503</x:f>
        <x:v>0</x:v>
      </x:c>
      <x:c r="G503" s="1" t="n">
        <x:f>'Inventory inputs'!H503/'Inventory inputs'!J503</x:f>
        <x:v>0.0736</x:v>
      </x:c>
      <x:c r="H503" s="1" t="n">
        <x:f>IF('Inventory inputs'!I503&gt;0,'Inventory inputs'!I503*'Inventory inputs'!K503/'Inventory inputs'!J503,"n.a.")</x:f>
        <x:v>0.086142</x:v>
      </x:c>
      <x:c r="I503" s="1" t="n">
        <x:f>'Inventory inputs'!L503</x:f>
        <x:v>0</x:v>
      </x:c>
      <x:c r="J503" s="1" t="n">
        <x:f>'Inventory inputs'!M503</x:f>
        <x:v>0</x:v>
      </x:c>
      <x:c r="K503" s="1" t="n">
        <x:f>'Inventory inputs'!N503</x:f>
        <x:v>770</x:v>
      </x:c>
      <x:c r="L503" s="1" t="n">
        <x:f>'Inventory inputs'!O503</x:f>
        <x:v>0</x:v>
      </x:c>
      <x:c r="M503" s="9" t="n">
        <x:f>E503*G503</x:f>
        <x:v>56.672</x:v>
      </x:c>
      <x:c r="N503" s="9" t="n">
        <x:f>'Inventory inputs'!Q503</x:f>
        <x:v>56.672</x:v>
      </x:c>
      <x:c r="O503" s="9" t="n">
        <x:f>N503-M503</x:f>
        <x:v>0</x:v>
      </x:c>
      <x:c r="P503" s="1" t="n">
        <x:f>SUMIFS('Incoming POs'!$P$2:$P$305,'Incoming POs'!$A$2:$A$305,A503,'Incoming POs'!$B$2:$B$305,B503,'Incoming POs'!$C$2:$C$305,C503,'Incoming POs'!$G$2:$G$305,"&gt;="&amp;D503,'Incoming POs'!$G$2:$G$305,"&lt;"&amp;Dashboard!$I$5)</x:f>
        <x:v>0</x:v>
      </x:c>
      <x:c r="Q503" s="1" t="n">
        <x:f>F503*Dashboard!$L$5*MAX(0,Dashboard!$I$5-D503)/30.4375</x:f>
        <x:v>0</x:v>
      </x:c>
      <x:c r="R503" s="1" t="n">
        <x:f>MAX(0,E503+P503-Q503)</x:f>
        <x:v>770</x:v>
      </x:c>
      <x:c r="S503" s="1" t="n">
        <x:f>MAX(0,Q503-E503-P503)</x:f>
        <x:v>0</x:v>
      </x:c>
      <x:c r="T503" s="1" t="str">
        <x:f>IF(L503=1,MAX(0,I503+AB503-MIN(Q503,E503+P503)),"n.a.")</x:f>
        <x:v>n.a.</x:v>
      </x:c>
      <x:c r="U503" s="9" t="str">
        <x:f>IF(ISNUMBER(T503),T503*G503,"n.a.")</x:f>
        <x:v>n.a.</x:v>
      </x:c>
      <x:c r="V503" s="25" t="n">
        <x:f>IF(Dashboard!$I$6="Flat %",1,IF(ISNUMBER(H503),1,0))</x:f>
        <x:v>1</x:v>
      </x:c>
      <x:c r="W503" s="9" t="n">
        <x:f>IF(Dashboard!$I$6="Flat %",G503*(1+Dashboard!$L$6),H503)</x:f>
        <x:v>0.086142</x:v>
      </x:c>
      <x:c r="X503" s="9" t="n">
        <x:f>IF(V503=1,R503*(W503-G503),"n.a.")</x:f>
        <x:v>9.657339999999998</x:v>
      </x:c>
      <x:c r="Y503" s="9" t="n">
        <x:f>IF(V503=1,R503*W503,"n.a.")</x:f>
        <x:v>66.32934</x:v>
      </x:c>
      <x:c r="Z503" s="1" t="str">
        <x:f>IF(ISNUMBER(T503),R503-T503,"n.a.")</x:f>
        <x:v>n.a.</x:v>
      </x:c>
      <x:c r="AA503" s="1" t="str">
        <x:f>'Inventory inputs'!R503</x:f>
        <x:v>Review receipt reconciliation or original PO baseline</x:v>
      </x:c>
      <x:c r="AB503" s="1" t="str">
        <x:f>IF(L503=1,SUMIFS('Incoming POs'!$P$2:$P$305,'Incoming POs'!$A$2:$A$305,A503,'Incoming POs'!$B$2:$B$305,B503,'Incoming POs'!$C$2:$C$305,C503,'Incoming POs'!$G$2:$G$305,"&gt;="&amp;D503,'Incoming POs'!$G$2:$G$305,"&lt;"&amp;Dashboard!$I$5,'Incoming POs'!$Q$2:$Q$305,"&lt;="&amp;('Inventory inputs'!P503/'Inventory inputs'!J503*1.01)),"n.a.")</x:f>
        <x:v>n.a.</x:v>
      </x:c>
      <x:c r="AC503" s="9" t="n">
        <x:f>I503*G503</x:f>
        <x:v>0</x:v>
      </x:c>
      <x:c r="AD503" s="9" t="n">
        <x:f>J503*G503</x:f>
        <x:v>0</x:v>
      </x:c>
      <x:c r="AE503" s="9" t="n">
        <x:f>K503*G503</x:f>
        <x:v>56.672</x:v>
      </x:c>
      <x:c r="AF503" s="9" t="n">
        <x:f>R503*G503</x:f>
        <x:v>56.672</x:v>
      </x:c>
    </x:row>
    <x:row r="504" ht="21" customHeight="1">
      <x:c r="A504" s="1" t="str">
        <x:f>'Inventory inputs'!A504</x:f>
        <x:v>PLAS</x:v>
      </x:c>
      <x:c r="B504" s="1" t="str">
        <x:f>'Inventory inputs'!B504</x:f>
        <x:v>10</x:v>
      </x:c>
      <x:c r="C504" s="1" t="str">
        <x:f>'Inventory inputs'!C504</x:f>
        <x:v>00115RWBNAV</x:v>
      </x:c>
      <x:c r="D504" s="7" t="n">
        <x:f>'Inventory inputs'!E504</x:f>
        <x:v>46303</x:v>
      </x:c>
      <x:c r="E504" s="1" t="n">
        <x:f>'Inventory inputs'!F504</x:f>
        <x:v>5250</x:v>
      </x:c>
      <x:c r="F504" s="1" t="n">
        <x:f>'Inventory inputs'!G504</x:f>
        <x:v>0</x:v>
      </x:c>
      <x:c r="G504" s="1" t="n">
        <x:f>'Inventory inputs'!H504/'Inventory inputs'!J504</x:f>
        <x:v>0.0629</x:v>
      </x:c>
      <x:c r="H504" s="1" t="n">
        <x:f>IF('Inventory inputs'!I504&gt;0,'Inventory inputs'!I504*'Inventory inputs'!K504/'Inventory inputs'!J504,"n.a.")</x:f>
        <x:v>0.086142</x:v>
      </x:c>
      <x:c r="I504" s="1" t="n">
        <x:f>'Inventory inputs'!L504</x:f>
        <x:v>0</x:v>
      </x:c>
      <x:c r="J504" s="1" t="n">
        <x:f>'Inventory inputs'!M504</x:f>
        <x:v>0</x:v>
      </x:c>
      <x:c r="K504" s="1" t="n">
        <x:f>'Inventory inputs'!N504</x:f>
        <x:v>5250</x:v>
      </x:c>
      <x:c r="L504" s="1" t="n">
        <x:f>'Inventory inputs'!O504</x:f>
        <x:v>0</x:v>
      </x:c>
      <x:c r="M504" s="9" t="n">
        <x:f>E504*G504</x:f>
        <x:v>330.22499999999997</x:v>
      </x:c>
      <x:c r="N504" s="9" t="n">
        <x:f>'Inventory inputs'!Q504</x:f>
        <x:v>330.225</x:v>
      </x:c>
      <x:c r="O504" s="9" t="n">
        <x:f>N504-M504</x:f>
        <x:v>5.684341886080802e-14</x:v>
      </x:c>
      <x:c r="P504" s="1" t="n">
        <x:f>SUMIFS('Incoming POs'!$P$2:$P$305,'Incoming POs'!$A$2:$A$305,A504,'Incoming POs'!$B$2:$B$305,B504,'Incoming POs'!$C$2:$C$305,C504,'Incoming POs'!$G$2:$G$305,"&gt;="&amp;D504,'Incoming POs'!$G$2:$G$305,"&lt;"&amp;Dashboard!$I$5)</x:f>
        <x:v>0</x:v>
      </x:c>
      <x:c r="Q504" s="1" t="n">
        <x:f>F504*Dashboard!$L$5*MAX(0,Dashboard!$I$5-D504)/30.4375</x:f>
        <x:v>0</x:v>
      </x:c>
      <x:c r="R504" s="1" t="n">
        <x:f>MAX(0,E504+P504-Q504)</x:f>
        <x:v>5250</x:v>
      </x:c>
      <x:c r="S504" s="1" t="n">
        <x:f>MAX(0,Q504-E504-P504)</x:f>
        <x:v>0</x:v>
      </x:c>
      <x:c r="T504" s="1" t="str">
        <x:f>IF(L504=1,MAX(0,I504+AB504-MIN(Q504,E504+P504)),"n.a.")</x:f>
        <x:v>n.a.</x:v>
      </x:c>
      <x:c r="U504" s="9" t="str">
        <x:f>IF(ISNUMBER(T504),T504*G504,"n.a.")</x:f>
        <x:v>n.a.</x:v>
      </x:c>
      <x:c r="V504" s="25" t="n">
        <x:f>IF(Dashboard!$I$6="Flat %",1,IF(ISNUMBER(H504),1,0))</x:f>
        <x:v>1</x:v>
      </x:c>
      <x:c r="W504" s="9" t="n">
        <x:f>IF(Dashboard!$I$6="Flat %",G504*(1+Dashboard!$L$6),H504)</x:f>
        <x:v>0.086142</x:v>
      </x:c>
      <x:c r="X504" s="9" t="n">
        <x:f>IF(V504=1,R504*(W504-G504),"n.a.")</x:f>
        <x:v>122.0205</x:v>
      </x:c>
      <x:c r="Y504" s="9" t="n">
        <x:f>IF(V504=1,R504*W504,"n.a.")</x:f>
        <x:v>452.2455</x:v>
      </x:c>
      <x:c r="Z504" s="1" t="str">
        <x:f>IF(ISNUMBER(T504),R504-T504,"n.a.")</x:f>
        <x:v>n.a.</x:v>
      </x:c>
      <x:c r="AA504" s="1" t="str">
        <x:f>'Inventory inputs'!R504</x:f>
        <x:v>Review receipt reconciliation or original PO baseline</x:v>
      </x:c>
      <x:c r="AB504" s="1" t="str">
        <x:f>IF(L504=1,SUMIFS('Incoming POs'!$P$2:$P$305,'Incoming POs'!$A$2:$A$305,A504,'Incoming POs'!$B$2:$B$305,B504,'Incoming POs'!$C$2:$C$305,C504,'Incoming POs'!$G$2:$G$305,"&gt;="&amp;D504,'Incoming POs'!$G$2:$G$305,"&lt;"&amp;Dashboard!$I$5,'Incoming POs'!$Q$2:$Q$305,"&lt;="&amp;('Inventory inputs'!P504/'Inventory inputs'!J504*1.01)),"n.a.")</x:f>
        <x:v>n.a.</x:v>
      </x:c>
      <x:c r="AC504" s="9" t="n">
        <x:f>I504*G504</x:f>
        <x:v>0</x:v>
      </x:c>
      <x:c r="AD504" s="9" t="n">
        <x:f>J504*G504</x:f>
        <x:v>0</x:v>
      </x:c>
      <x:c r="AE504" s="9" t="n">
        <x:f>K504*G504</x:f>
        <x:v>330.22499999999997</x:v>
      </x:c>
      <x:c r="AF504" s="9" t="n">
        <x:f>R504*G504</x:f>
        <x:v>330.22499999999997</x:v>
      </x:c>
    </x:row>
    <x:row r="505" ht="21" customHeight="1">
      <x:c r="A505" s="1" t="str">
        <x:f>'Inventory inputs'!A505</x:f>
        <x:v>PLAS</x:v>
      </x:c>
      <x:c r="B505" s="1" t="str">
        <x:f>'Inventory inputs'!B505</x:f>
        <x:v>10</x:v>
      </x:c>
      <x:c r="C505" s="1" t="str">
        <x:f>'Inventory inputs'!C505</x:f>
        <x:v>00115RWBRED</x:v>
      </x:c>
      <x:c r="D505" s="7" t="n">
        <x:f>'Inventory inputs'!E505</x:f>
        <x:v>46303</x:v>
      </x:c>
      <x:c r="E505" s="1" t="n">
        <x:f>'Inventory inputs'!F505</x:f>
        <x:v>3000</x:v>
      </x:c>
      <x:c r="F505" s="1" t="n">
        <x:f>'Inventory inputs'!G505</x:f>
        <x:v>0</x:v>
      </x:c>
      <x:c r="G505" s="1" t="n">
        <x:f>'Inventory inputs'!H505/'Inventory inputs'!J505</x:f>
        <x:v>0.0736</x:v>
      </x:c>
      <x:c r="H505" s="1" t="n">
        <x:f>IF('Inventory inputs'!I505&gt;0,'Inventory inputs'!I505*'Inventory inputs'!K505/'Inventory inputs'!J505,"n.a.")</x:f>
        <x:v>0.086142</x:v>
      </x:c>
      <x:c r="I505" s="1" t="n">
        <x:f>'Inventory inputs'!L505</x:f>
        <x:v>0</x:v>
      </x:c>
      <x:c r="J505" s="1" t="n">
        <x:f>'Inventory inputs'!M505</x:f>
        <x:v>0</x:v>
      </x:c>
      <x:c r="K505" s="1" t="n">
        <x:f>'Inventory inputs'!N505</x:f>
        <x:v>3000</x:v>
      </x:c>
      <x:c r="L505" s="1" t="n">
        <x:f>'Inventory inputs'!O505</x:f>
        <x:v>0</x:v>
      </x:c>
      <x:c r="M505" s="9" t="n">
        <x:f>E505*G505</x:f>
        <x:v>220.79999999999998</x:v>
      </x:c>
      <x:c r="N505" s="9" t="n">
        <x:f>'Inventory inputs'!Q505</x:f>
        <x:v>220.8</x:v>
      </x:c>
      <x:c r="O505" s="9" t="n">
        <x:f>N505-M505</x:f>
        <x:v>2.842170943040401e-14</x:v>
      </x:c>
      <x:c r="P505" s="1" t="n">
        <x:f>SUMIFS('Incoming POs'!$P$2:$P$305,'Incoming POs'!$A$2:$A$305,A505,'Incoming POs'!$B$2:$B$305,B505,'Incoming POs'!$C$2:$C$305,C505,'Incoming POs'!$G$2:$G$305,"&gt;="&amp;D505,'Incoming POs'!$G$2:$G$305,"&lt;"&amp;Dashboard!$I$5)</x:f>
        <x:v>0</x:v>
      </x:c>
      <x:c r="Q505" s="1" t="n">
        <x:f>F505*Dashboard!$L$5*MAX(0,Dashboard!$I$5-D505)/30.4375</x:f>
        <x:v>0</x:v>
      </x:c>
      <x:c r="R505" s="1" t="n">
        <x:f>MAX(0,E505+P505-Q505)</x:f>
        <x:v>3000</x:v>
      </x:c>
      <x:c r="S505" s="1" t="n">
        <x:f>MAX(0,Q505-E505-P505)</x:f>
        <x:v>0</x:v>
      </x:c>
      <x:c r="T505" s="1" t="str">
        <x:f>IF(L505=1,MAX(0,I505+AB505-MIN(Q505,E505+P505)),"n.a.")</x:f>
        <x:v>n.a.</x:v>
      </x:c>
      <x:c r="U505" s="9" t="str">
        <x:f>IF(ISNUMBER(T505),T505*G505,"n.a.")</x:f>
        <x:v>n.a.</x:v>
      </x:c>
      <x:c r="V505" s="25" t="n">
        <x:f>IF(Dashboard!$I$6="Flat %",1,IF(ISNUMBER(H505),1,0))</x:f>
        <x:v>1</x:v>
      </x:c>
      <x:c r="W505" s="9" t="n">
        <x:f>IF(Dashboard!$I$6="Flat %",G505*(1+Dashboard!$L$6),H505)</x:f>
        <x:v>0.086142</x:v>
      </x:c>
      <x:c r="X505" s="9" t="n">
        <x:f>IF(V505=1,R505*(W505-G505),"n.a.")</x:f>
        <x:v>37.62599999999999</x:v>
      </x:c>
      <x:c r="Y505" s="9" t="n">
        <x:f>IF(V505=1,R505*W505,"n.a.")</x:f>
        <x:v>258.426</x:v>
      </x:c>
      <x:c r="Z505" s="1" t="str">
        <x:f>IF(ISNUMBER(T505),R505-T505,"n.a.")</x:f>
        <x:v>n.a.</x:v>
      </x:c>
      <x:c r="AA505" s="1" t="str">
        <x:f>'Inventory inputs'!R505</x:f>
        <x:v>Review receipt reconciliation or original PO baseline</x:v>
      </x:c>
      <x:c r="AB505" s="1" t="str">
        <x:f>IF(L505=1,SUMIFS('Incoming POs'!$P$2:$P$305,'Incoming POs'!$A$2:$A$305,A505,'Incoming POs'!$B$2:$B$305,B505,'Incoming POs'!$C$2:$C$305,C505,'Incoming POs'!$G$2:$G$305,"&gt;="&amp;D505,'Incoming POs'!$G$2:$G$305,"&lt;"&amp;Dashboard!$I$5,'Incoming POs'!$Q$2:$Q$305,"&lt;="&amp;('Inventory inputs'!P505/'Inventory inputs'!J505*1.01)),"n.a.")</x:f>
        <x:v>n.a.</x:v>
      </x:c>
      <x:c r="AC505" s="9" t="n">
        <x:f>I505*G505</x:f>
        <x:v>0</x:v>
      </x:c>
      <x:c r="AD505" s="9" t="n">
        <x:f>J505*G505</x:f>
        <x:v>0</x:v>
      </x:c>
      <x:c r="AE505" s="9" t="n">
        <x:f>K505*G505</x:f>
        <x:v>220.79999999999998</x:v>
      </x:c>
      <x:c r="AF505" s="9" t="n">
        <x:f>R505*G505</x:f>
        <x:v>220.79999999999998</x:v>
      </x:c>
    </x:row>
    <x:row r="506" ht="21" customHeight="1">
      <x:c r="A506" s="1" t="str">
        <x:f>'Inventory inputs'!A506</x:f>
        <x:v>PLAS</x:v>
      </x:c>
      <x:c r="B506" s="1" t="str">
        <x:f>'Inventory inputs'!B506</x:f>
        <x:v>10</x:v>
      </x:c>
      <x:c r="C506" s="1" t="str">
        <x:f>'Inventory inputs'!C506</x:f>
        <x:v>00180RWBBLK</x:v>
      </x:c>
      <x:c r="D506" s="7" t="n">
        <x:f>'Inventory inputs'!E506</x:f>
        <x:v>46303</x:v>
      </x:c>
      <x:c r="E506" s="1" t="n">
        <x:f>'Inventory inputs'!F506</x:f>
        <x:v>510</x:v>
      </x:c>
      <x:c r="F506" s="1" t="n">
        <x:f>'Inventory inputs'!G506</x:f>
        <x:v>0</x:v>
      </x:c>
      <x:c r="G506" s="1" t="n">
        <x:f>'Inventory inputs'!H506/'Inventory inputs'!J506</x:f>
        <x:v>0.4125</x:v>
      </x:c>
      <x:c r="H506" s="1" t="n">
        <x:f>IF('Inventory inputs'!I506&gt;0,'Inventory inputs'!I506*'Inventory inputs'!K506/'Inventory inputs'!J506,"n.a.")</x:f>
        <x:v>0.48260099999999995</x:v>
      </x:c>
      <x:c r="I506" s="1" t="n">
        <x:f>'Inventory inputs'!L506</x:f>
        <x:v>0</x:v>
      </x:c>
      <x:c r="J506" s="1" t="n">
        <x:f>'Inventory inputs'!M506</x:f>
        <x:v>510</x:v>
      </x:c>
      <x:c r="K506" s="1" t="n">
        <x:f>'Inventory inputs'!N506</x:f>
        <x:v>0</x:v>
      </x:c>
      <x:c r="L506" s="1" t="n">
        <x:f>'Inventory inputs'!O506</x:f>
        <x:v>1</x:v>
      </x:c>
      <x:c r="M506" s="9" t="n">
        <x:f>E506*G506</x:f>
        <x:v>210.375</x:v>
      </x:c>
      <x:c r="N506" s="9" t="n">
        <x:f>'Inventory inputs'!Q506</x:f>
        <x:v>210.375</x:v>
      </x:c>
      <x:c r="O506" s="9" t="n">
        <x:f>N506-M506</x:f>
        <x:v>0</x:v>
      </x:c>
      <x:c r="P506" s="1" t="n">
        <x:f>SUMIFS('Incoming POs'!$P$2:$P$305,'Incoming POs'!$A$2:$A$305,A506,'Incoming POs'!$B$2:$B$305,B506,'Incoming POs'!$C$2:$C$305,C506,'Incoming POs'!$G$2:$G$305,"&gt;="&amp;D506,'Incoming POs'!$G$2:$G$305,"&lt;"&amp;Dashboard!$I$5)</x:f>
        <x:v>1200</x:v>
      </x:c>
      <x:c r="Q506" s="1" t="n">
        <x:f>F506*Dashboard!$L$5*MAX(0,Dashboard!$I$5-D506)/30.4375</x:f>
        <x:v>0</x:v>
      </x:c>
      <x:c r="R506" s="1" t="n">
        <x:f>MAX(0,E506+P506-Q506)</x:f>
        <x:v>1710</x:v>
      </x:c>
      <x:c r="S506" s="1" t="n">
        <x:f>MAX(0,Q506-E506-P506)</x:f>
        <x:v>0</x:v>
      </x:c>
      <x:c r="T506" s="1" t="n">
        <x:f>IF(L506=1,MAX(0,I506+AB506-MIN(Q506,E506+P506)),"n.a.")</x:f>
        <x:v>0</x:v>
      </x:c>
      <x:c r="U506" s="9" t="n">
        <x:f>IF(ISNUMBER(T506),T506*G506,"n.a.")</x:f>
        <x:v>0</x:v>
      </x:c>
      <x:c r="V506" s="25" t="n">
        <x:f>IF(Dashboard!$I$6="Flat %",1,IF(ISNUMBER(H506),1,0))</x:f>
        <x:v>1</x:v>
      </x:c>
      <x:c r="W506" s="9" t="n">
        <x:f>IF(Dashboard!$I$6="Flat %",G506*(1+Dashboard!$L$6),H506)</x:f>
        <x:v>0.48260099999999995</x:v>
      </x:c>
      <x:c r="X506" s="9" t="n">
        <x:f>IF(V506=1,R506*(W506-G506),"n.a.")</x:f>
        <x:v>119.87270999999994</x:v>
      </x:c>
      <x:c r="Y506" s="9" t="n">
        <x:f>IF(V506=1,R506*W506,"n.a.")</x:f>
        <x:v>825.2477099999999</x:v>
      </x:c>
      <x:c r="Z506" s="1" t="n">
        <x:f>IF(ISNUMBER(T506),R506-T506,"n.a.")</x:f>
        <x:v>1710</x:v>
      </x:c>
      <x:c r="AA506" s="1" t="str">
        <x:f>'Inventory inputs'!R506</x:f>
        <x:v>Classified</x:v>
      </x:c>
      <x:c r="AB506" s="1" t="n">
        <x:f>IF(L506=1,SUMIFS('Incoming POs'!$P$2:$P$305,'Incoming POs'!$A$2:$A$305,A506,'Incoming POs'!$B$2:$B$305,B506,'Incoming POs'!$C$2:$C$305,C506,'Incoming POs'!$G$2:$G$305,"&gt;="&amp;D506,'Incoming POs'!$G$2:$G$305,"&lt;"&amp;Dashboard!$I$5,'Incoming POs'!$Q$2:$Q$305,"&lt;="&amp;('Inventory inputs'!P506/'Inventory inputs'!J506*1.01)),"n.a.")</x:f>
        <x:v>0</x:v>
      </x:c>
      <x:c r="AC506" s="9" t="n">
        <x:f>I506*G506</x:f>
        <x:v>0</x:v>
      </x:c>
      <x:c r="AD506" s="9" t="n">
        <x:f>J506*G506</x:f>
        <x:v>210.375</x:v>
      </x:c>
      <x:c r="AE506" s="9" t="n">
        <x:f>K506*G506</x:f>
        <x:v>0</x:v>
      </x:c>
      <x:c r="AF506" s="9" t="n">
        <x:f>R506*G506</x:f>
        <x:v>705.375</x:v>
      </x:c>
    </x:row>
    <x:row r="507" ht="21" customHeight="1">
      <x:c r="A507" s="1" t="str">
        <x:f>'Inventory inputs'!A507</x:f>
        <x:v>PLAS</x:v>
      </x:c>
      <x:c r="B507" s="1" t="str">
        <x:f>'Inventory inputs'!B507</x:f>
        <x:v>10</x:v>
      </x:c>
      <x:c r="C507" s="1" t="str">
        <x:f>'Inventory inputs'!C507</x:f>
        <x:v>00180RWBBLU</x:v>
      </x:c>
      <x:c r="D507" s="7" t="n">
        <x:f>'Inventory inputs'!E507</x:f>
        <x:v>46303</x:v>
      </x:c>
      <x:c r="E507" s="1" t="n">
        <x:f>'Inventory inputs'!F507</x:f>
        <x:v>524</x:v>
      </x:c>
      <x:c r="F507" s="1" t="n">
        <x:f>'Inventory inputs'!G507</x:f>
        <x:v>0</x:v>
      </x:c>
      <x:c r="G507" s="1" t="n">
        <x:f>'Inventory inputs'!H507/'Inventory inputs'!J507</x:f>
        <x:v>0.32</x:v>
      </x:c>
      <x:c r="H507" s="1" t="str">
        <x:f>IF('Inventory inputs'!I507&gt;0,'Inventory inputs'!I507*'Inventory inputs'!K507/'Inventory inputs'!J507,"n.a.")</x:f>
        <x:v>n.a.</x:v>
      </x:c>
      <x:c r="I507" s="1" t="n">
        <x:f>'Inventory inputs'!L507</x:f>
        <x:v>0</x:v>
      </x:c>
      <x:c r="J507" s="1" t="n">
        <x:f>'Inventory inputs'!M507</x:f>
        <x:v>0</x:v>
      </x:c>
      <x:c r="K507" s="1" t="n">
        <x:f>'Inventory inputs'!N507</x:f>
        <x:v>524</x:v>
      </x:c>
      <x:c r="L507" s="1" t="n">
        <x:f>'Inventory inputs'!O507</x:f>
        <x:v>0</x:v>
      </x:c>
      <x:c r="M507" s="9" t="n">
        <x:f>E507*G507</x:f>
        <x:v>167.68</x:v>
      </x:c>
      <x:c r="N507" s="9" t="n">
        <x:f>'Inventory inputs'!Q507</x:f>
        <x:v>167.68</x:v>
      </x:c>
      <x:c r="O507" s="9" t="n">
        <x:f>N507-M507</x:f>
        <x:v>0</x:v>
      </x:c>
      <x:c r="P507" s="1" t="n">
        <x:f>SUMIFS('Incoming POs'!$P$2:$P$305,'Incoming POs'!$A$2:$A$305,A507,'Incoming POs'!$B$2:$B$305,B507,'Incoming POs'!$C$2:$C$305,C507,'Incoming POs'!$G$2:$G$305,"&gt;="&amp;D507,'Incoming POs'!$G$2:$G$305,"&lt;"&amp;Dashboard!$I$5)</x:f>
        <x:v>0</x:v>
      </x:c>
      <x:c r="Q507" s="1" t="n">
        <x:f>F507*Dashboard!$L$5*MAX(0,Dashboard!$I$5-D507)/30.4375</x:f>
        <x:v>0</x:v>
      </x:c>
      <x:c r="R507" s="1" t="n">
        <x:f>MAX(0,E507+P507-Q507)</x:f>
        <x:v>524</x:v>
      </x:c>
      <x:c r="S507" s="1" t="n">
        <x:f>MAX(0,Q507-E507-P507)</x:f>
        <x:v>0</x:v>
      </x:c>
      <x:c r="T507" s="1" t="str">
        <x:f>IF(L507=1,MAX(0,I507+AB507-MIN(Q507,E507+P507)),"n.a.")</x:f>
        <x:v>n.a.</x:v>
      </x:c>
      <x:c r="U507" s="9" t="str">
        <x:f>IF(ISNUMBER(T507),T507*G507,"n.a.")</x:f>
        <x:v>n.a.</x:v>
      </x:c>
      <x:c r="V507" s="25" t="n">
        <x:f>IF(Dashboard!$I$6="Flat %",1,IF(ISNUMBER(H507),1,0))</x:f>
        <x:v>0</x:v>
      </x:c>
      <x:c r="W507" s="9" t="str">
        <x:f>IF(Dashboard!$I$6="Flat %",G507*(1+Dashboard!$L$6),H507)</x:f>
        <x:v>n.a.</x:v>
      </x:c>
      <x:c r="X507" s="9" t="str">
        <x:f>IF(V507=1,R507*(W507-G507),"n.a.")</x:f>
        <x:v>n.a.</x:v>
      </x:c>
      <x:c r="Y507" s="9" t="str">
        <x:f>IF(V507=1,R507*W507,"n.a.")</x:f>
        <x:v>n.a.</x:v>
      </x:c>
      <x:c r="Z507" s="1" t="str">
        <x:f>IF(ISNUMBER(T507),R507-T507,"n.a.")</x:f>
        <x:v>n.a.</x:v>
      </x:c>
      <x:c r="AA507" s="1" t="str">
        <x:f>'Inventory inputs'!R507</x:f>
        <x:v>Review receipt reconciliation or original PO baseline</x:v>
      </x:c>
      <x:c r="AB507" s="1" t="str">
        <x:f>IF(L507=1,SUMIFS('Incoming POs'!$P$2:$P$305,'Incoming POs'!$A$2:$A$305,A507,'Incoming POs'!$B$2:$B$305,B507,'Incoming POs'!$C$2:$C$305,C507,'Incoming POs'!$G$2:$G$305,"&gt;="&amp;D507,'Incoming POs'!$G$2:$G$305,"&lt;"&amp;Dashboard!$I$5,'Incoming POs'!$Q$2:$Q$305,"&lt;="&amp;('Inventory inputs'!P507/'Inventory inputs'!J507*1.01)),"n.a.")</x:f>
        <x:v>n.a.</x:v>
      </x:c>
      <x:c r="AC507" s="9" t="n">
        <x:f>I507*G507</x:f>
        <x:v>0</x:v>
      </x:c>
      <x:c r="AD507" s="9" t="n">
        <x:f>J507*G507</x:f>
        <x:v>0</x:v>
      </x:c>
      <x:c r="AE507" s="9" t="n">
        <x:f>K507*G507</x:f>
        <x:v>167.68</x:v>
      </x:c>
      <x:c r="AF507" s="9" t="n">
        <x:f>R507*G507</x:f>
        <x:v>167.68</x:v>
      </x:c>
    </x:row>
    <x:row r="508" ht="21" customHeight="1">
      <x:c r="A508" s="1" t="str">
        <x:f>'Inventory inputs'!A508</x:f>
        <x:v>PLAS</x:v>
      </x:c>
      <x:c r="B508" s="1" t="str">
        <x:f>'Inventory inputs'!B508</x:f>
        <x:v>10</x:v>
      </x:c>
      <x:c r="C508" s="1" t="str">
        <x:f>'Inventory inputs'!C508</x:f>
        <x:v>00180RWBCLR</x:v>
      </x:c>
      <x:c r="D508" s="7" t="n">
        <x:f>'Inventory inputs'!E508</x:f>
        <x:v>46303</x:v>
      </x:c>
      <x:c r="E508" s="1" t="n">
        <x:f>'Inventory inputs'!F508</x:f>
        <x:v>616</x:v>
      </x:c>
      <x:c r="F508" s="1" t="n">
        <x:f>'Inventory inputs'!G508</x:f>
        <x:v>0</x:v>
      </x:c>
      <x:c r="G508" s="1" t="n">
        <x:f>'Inventory inputs'!H508/'Inventory inputs'!J508</x:f>
        <x:v>0.4125</x:v>
      </x:c>
      <x:c r="H508" s="1" t="n">
        <x:f>IF('Inventory inputs'!I508&gt;0,'Inventory inputs'!I508*'Inventory inputs'!K508/'Inventory inputs'!J508,"n.a.")</x:f>
        <x:v>0.48260099999999995</x:v>
      </x:c>
      <x:c r="I508" s="1" t="n">
        <x:f>'Inventory inputs'!L508</x:f>
        <x:v>0</x:v>
      </x:c>
      <x:c r="J508" s="1" t="n">
        <x:f>'Inventory inputs'!M508</x:f>
        <x:v>0</x:v>
      </x:c>
      <x:c r="K508" s="1" t="n">
        <x:f>'Inventory inputs'!N508</x:f>
        <x:v>616</x:v>
      </x:c>
      <x:c r="L508" s="1" t="n">
        <x:f>'Inventory inputs'!O508</x:f>
        <x:v>0</x:v>
      </x:c>
      <x:c r="M508" s="9" t="n">
        <x:f>E508*G508</x:f>
        <x:v>254.1</x:v>
      </x:c>
      <x:c r="N508" s="9" t="n">
        <x:f>'Inventory inputs'!Q508</x:f>
        <x:v>254.1</x:v>
      </x:c>
      <x:c r="O508" s="9" t="n">
        <x:f>N508-M508</x:f>
        <x:v>0</x:v>
      </x:c>
      <x:c r="P508" s="1" t="n">
        <x:f>SUMIFS('Incoming POs'!$P$2:$P$305,'Incoming POs'!$A$2:$A$305,A508,'Incoming POs'!$B$2:$B$305,B508,'Incoming POs'!$C$2:$C$305,C508,'Incoming POs'!$G$2:$G$305,"&gt;="&amp;D508,'Incoming POs'!$G$2:$G$305,"&lt;"&amp;Dashboard!$I$5)</x:f>
        <x:v>0</x:v>
      </x:c>
      <x:c r="Q508" s="1" t="n">
        <x:f>F508*Dashboard!$L$5*MAX(0,Dashboard!$I$5-D508)/30.4375</x:f>
        <x:v>0</x:v>
      </x:c>
      <x:c r="R508" s="1" t="n">
        <x:f>MAX(0,E508+P508-Q508)</x:f>
        <x:v>616</x:v>
      </x:c>
      <x:c r="S508" s="1" t="n">
        <x:f>MAX(0,Q508-E508-P508)</x:f>
        <x:v>0</x:v>
      </x:c>
      <x:c r="T508" s="1" t="str">
        <x:f>IF(L508=1,MAX(0,I508+AB508-MIN(Q508,E508+P508)),"n.a.")</x:f>
        <x:v>n.a.</x:v>
      </x:c>
      <x:c r="U508" s="9" t="str">
        <x:f>IF(ISNUMBER(T508),T508*G508,"n.a.")</x:f>
        <x:v>n.a.</x:v>
      </x:c>
      <x:c r="V508" s="25" t="n">
        <x:f>IF(Dashboard!$I$6="Flat %",1,IF(ISNUMBER(H508),1,0))</x:f>
        <x:v>1</x:v>
      </x:c>
      <x:c r="W508" s="9" t="n">
        <x:f>IF(Dashboard!$I$6="Flat %",G508*(1+Dashboard!$L$6),H508)</x:f>
        <x:v>0.48260099999999995</x:v>
      </x:c>
      <x:c r="X508" s="9" t="n">
        <x:f>IF(V508=1,R508*(W508-G508),"n.a.")</x:f>
        <x:v>43.18221599999998</x:v>
      </x:c>
      <x:c r="Y508" s="9" t="n">
        <x:f>IF(V508=1,R508*W508,"n.a.")</x:f>
        <x:v>297.28221599999995</x:v>
      </x:c>
      <x:c r="Z508" s="1" t="str">
        <x:f>IF(ISNUMBER(T508),R508-T508,"n.a.")</x:f>
        <x:v>n.a.</x:v>
      </x:c>
      <x:c r="AA508" s="1" t="str">
        <x:f>'Inventory inputs'!R508</x:f>
        <x:v>Review receipt reconciliation or original PO baseline</x:v>
      </x:c>
      <x:c r="AB508" s="1" t="str">
        <x:f>IF(L508=1,SUMIFS('Incoming POs'!$P$2:$P$305,'Incoming POs'!$A$2:$A$305,A508,'Incoming POs'!$B$2:$B$305,B508,'Incoming POs'!$C$2:$C$305,C508,'Incoming POs'!$G$2:$G$305,"&gt;="&amp;D508,'Incoming POs'!$G$2:$G$305,"&lt;"&amp;Dashboard!$I$5,'Incoming POs'!$Q$2:$Q$305,"&lt;="&amp;('Inventory inputs'!P508/'Inventory inputs'!J508*1.01)),"n.a.")</x:f>
        <x:v>n.a.</x:v>
      </x:c>
      <x:c r="AC508" s="9" t="n">
        <x:f>I508*G508</x:f>
        <x:v>0</x:v>
      </x:c>
      <x:c r="AD508" s="9" t="n">
        <x:f>J508*G508</x:f>
        <x:v>0</x:v>
      </x:c>
      <x:c r="AE508" s="9" t="n">
        <x:f>K508*G508</x:f>
        <x:v>254.1</x:v>
      </x:c>
      <x:c r="AF508" s="9" t="n">
        <x:f>R508*G508</x:f>
        <x:v>254.1</x:v>
      </x:c>
    </x:row>
    <x:row r="509" ht="21" customHeight="1">
      <x:c r="A509" s="1" t="str">
        <x:f>'Inventory inputs'!A509</x:f>
        <x:v>PLAS</x:v>
      </x:c>
      <x:c r="B509" s="1" t="str">
        <x:f>'Inventory inputs'!B509</x:f>
        <x:v>10</x:v>
      </x:c>
      <x:c r="C509" s="1" t="str">
        <x:f>'Inventory inputs'!C509</x:f>
        <x:v>00180RWBFG</x:v>
      </x:c>
      <x:c r="D509" s="7" t="n">
        <x:f>'Inventory inputs'!E509</x:f>
        <x:v>46303</x:v>
      </x:c>
      <x:c r="E509" s="1" t="n">
        <x:f>'Inventory inputs'!F509</x:f>
        <x:v>910</x:v>
      </x:c>
      <x:c r="F509" s="1" t="n">
        <x:f>'Inventory inputs'!G509</x:f>
        <x:v>0</x:v>
      </x:c>
      <x:c r="G509" s="1" t="n">
        <x:f>'Inventory inputs'!H509/'Inventory inputs'!J509</x:f>
        <x:v>0.4125</x:v>
      </x:c>
      <x:c r="H509" s="1" t="n">
        <x:f>IF('Inventory inputs'!I509&gt;0,'Inventory inputs'!I509*'Inventory inputs'!K509/'Inventory inputs'!J509,"n.a.")</x:f>
        <x:v>0.48260099999999995</x:v>
      </x:c>
      <x:c r="I509" s="1" t="n">
        <x:f>'Inventory inputs'!L509</x:f>
        <x:v>0</x:v>
      </x:c>
      <x:c r="J509" s="1" t="n">
        <x:f>'Inventory inputs'!M509</x:f>
        <x:v>0</x:v>
      </x:c>
      <x:c r="K509" s="1" t="n">
        <x:f>'Inventory inputs'!N509</x:f>
        <x:v>910</x:v>
      </x:c>
      <x:c r="L509" s="1" t="n">
        <x:f>'Inventory inputs'!O509</x:f>
        <x:v>0</x:v>
      </x:c>
      <x:c r="M509" s="9" t="n">
        <x:f>E509*G509</x:f>
        <x:v>375.375</x:v>
      </x:c>
      <x:c r="N509" s="9" t="n">
        <x:f>'Inventory inputs'!Q509</x:f>
        <x:v>375.375</x:v>
      </x:c>
      <x:c r="O509" s="9" t="n">
        <x:f>N509-M509</x:f>
        <x:v>0</x:v>
      </x:c>
      <x:c r="P509" s="1" t="n">
        <x:f>SUMIFS('Incoming POs'!$P$2:$P$305,'Incoming POs'!$A$2:$A$305,A509,'Incoming POs'!$B$2:$B$305,B509,'Incoming POs'!$C$2:$C$305,C509,'Incoming POs'!$G$2:$G$305,"&gt;="&amp;D509,'Incoming POs'!$G$2:$G$305,"&lt;"&amp;Dashboard!$I$5)</x:f>
        <x:v>0</x:v>
      </x:c>
      <x:c r="Q509" s="1" t="n">
        <x:f>F509*Dashboard!$L$5*MAX(0,Dashboard!$I$5-D509)/30.4375</x:f>
        <x:v>0</x:v>
      </x:c>
      <x:c r="R509" s="1" t="n">
        <x:f>MAX(0,E509+P509-Q509)</x:f>
        <x:v>910</x:v>
      </x:c>
      <x:c r="S509" s="1" t="n">
        <x:f>MAX(0,Q509-E509-P509)</x:f>
        <x:v>0</x:v>
      </x:c>
      <x:c r="T509" s="1" t="str">
        <x:f>IF(L509=1,MAX(0,I509+AB509-MIN(Q509,E509+P509)),"n.a.")</x:f>
        <x:v>n.a.</x:v>
      </x:c>
      <x:c r="U509" s="9" t="str">
        <x:f>IF(ISNUMBER(T509),T509*G509,"n.a.")</x:f>
        <x:v>n.a.</x:v>
      </x:c>
      <x:c r="V509" s="25" t="n">
        <x:f>IF(Dashboard!$I$6="Flat %",1,IF(ISNUMBER(H509),1,0))</x:f>
        <x:v>1</x:v>
      </x:c>
      <x:c r="W509" s="9" t="n">
        <x:f>IF(Dashboard!$I$6="Flat %",G509*(1+Dashboard!$L$6),H509)</x:f>
        <x:v>0.48260099999999995</x:v>
      </x:c>
      <x:c r="X509" s="9" t="n">
        <x:f>IF(V509=1,R509*(W509-G509),"n.a.")</x:f>
        <x:v>63.79190999999997</x:v>
      </x:c>
      <x:c r="Y509" s="9" t="n">
        <x:f>IF(V509=1,R509*W509,"n.a.")</x:f>
        <x:v>439.16691</x:v>
      </x:c>
      <x:c r="Z509" s="1" t="str">
        <x:f>IF(ISNUMBER(T509),R509-T509,"n.a.")</x:f>
        <x:v>n.a.</x:v>
      </x:c>
      <x:c r="AA509" s="1" t="str">
        <x:f>'Inventory inputs'!R509</x:f>
        <x:v>Review receipt reconciliation or original PO baseline</x:v>
      </x:c>
      <x:c r="AB509" s="1" t="str">
        <x:f>IF(L509=1,SUMIFS('Incoming POs'!$P$2:$P$305,'Incoming POs'!$A$2:$A$305,A509,'Incoming POs'!$B$2:$B$305,B509,'Incoming POs'!$C$2:$C$305,C509,'Incoming POs'!$G$2:$G$305,"&gt;="&amp;D509,'Incoming POs'!$G$2:$G$305,"&lt;"&amp;Dashboard!$I$5,'Incoming POs'!$Q$2:$Q$305,"&lt;="&amp;('Inventory inputs'!P509/'Inventory inputs'!J509*1.01)),"n.a.")</x:f>
        <x:v>n.a.</x:v>
      </x:c>
      <x:c r="AC509" s="9" t="n">
        <x:f>I509*G509</x:f>
        <x:v>0</x:v>
      </x:c>
      <x:c r="AD509" s="9" t="n">
        <x:f>J509*G509</x:f>
        <x:v>0</x:v>
      </x:c>
      <x:c r="AE509" s="9" t="n">
        <x:f>K509*G509</x:f>
        <x:v>375.375</x:v>
      </x:c>
      <x:c r="AF509" s="9" t="n">
        <x:f>R509*G509</x:f>
        <x:v>375.375</x:v>
      </x:c>
    </x:row>
    <x:row r="510" ht="21" customHeight="1">
      <x:c r="A510" s="1" t="str">
        <x:f>'Inventory inputs'!A510</x:f>
        <x:v>PLAS</x:v>
      </x:c>
      <x:c r="B510" s="1" t="str">
        <x:f>'Inventory inputs'!B510</x:f>
        <x:v>10</x:v>
      </x:c>
      <x:c r="C510" s="1" t="str">
        <x:f>'Inventory inputs'!C510</x:f>
        <x:v>00180RWBMAR</x:v>
      </x:c>
      <x:c r="D510" s="7" t="n">
        <x:f>'Inventory inputs'!E510</x:f>
        <x:v>46303</x:v>
      </x:c>
      <x:c r="E510" s="1" t="n">
        <x:f>'Inventory inputs'!F510</x:f>
        <x:v>629</x:v>
      </x:c>
      <x:c r="F510" s="1" t="n">
        <x:f>'Inventory inputs'!G510</x:f>
        <x:v>0</x:v>
      </x:c>
      <x:c r="G510" s="1" t="n">
        <x:f>'Inventory inputs'!H510/'Inventory inputs'!J510</x:f>
        <x:v>0.32</x:v>
      </x:c>
      <x:c r="H510" s="1" t="str">
        <x:f>IF('Inventory inputs'!I510&gt;0,'Inventory inputs'!I510*'Inventory inputs'!K510/'Inventory inputs'!J510,"n.a.")</x:f>
        <x:v>n.a.</x:v>
      </x:c>
      <x:c r="I510" s="1" t="n">
        <x:f>'Inventory inputs'!L510</x:f>
        <x:v>0</x:v>
      </x:c>
      <x:c r="J510" s="1" t="n">
        <x:f>'Inventory inputs'!M510</x:f>
        <x:v>0</x:v>
      </x:c>
      <x:c r="K510" s="1" t="n">
        <x:f>'Inventory inputs'!N510</x:f>
        <x:v>629</x:v>
      </x:c>
      <x:c r="L510" s="1" t="n">
        <x:f>'Inventory inputs'!O510</x:f>
        <x:v>0</x:v>
      </x:c>
      <x:c r="M510" s="9" t="n">
        <x:f>E510*G510</x:f>
        <x:v>201.28</x:v>
      </x:c>
      <x:c r="N510" s="9" t="n">
        <x:f>'Inventory inputs'!Q510</x:f>
        <x:v>201.28</x:v>
      </x:c>
      <x:c r="O510" s="9" t="n">
        <x:f>N510-M510</x:f>
        <x:v>0</x:v>
      </x:c>
      <x:c r="P510" s="1" t="n">
        <x:f>SUMIFS('Incoming POs'!$P$2:$P$305,'Incoming POs'!$A$2:$A$305,A510,'Incoming POs'!$B$2:$B$305,B510,'Incoming POs'!$C$2:$C$305,C510,'Incoming POs'!$G$2:$G$305,"&gt;="&amp;D510,'Incoming POs'!$G$2:$G$305,"&lt;"&amp;Dashboard!$I$5)</x:f>
        <x:v>0</x:v>
      </x:c>
      <x:c r="Q510" s="1" t="n">
        <x:f>F510*Dashboard!$L$5*MAX(0,Dashboard!$I$5-D510)/30.4375</x:f>
        <x:v>0</x:v>
      </x:c>
      <x:c r="R510" s="1" t="n">
        <x:f>MAX(0,E510+P510-Q510)</x:f>
        <x:v>629</x:v>
      </x:c>
      <x:c r="S510" s="1" t="n">
        <x:f>MAX(0,Q510-E510-P510)</x:f>
        <x:v>0</x:v>
      </x:c>
      <x:c r="T510" s="1" t="str">
        <x:f>IF(L510=1,MAX(0,I510+AB510-MIN(Q510,E510+P510)),"n.a.")</x:f>
        <x:v>n.a.</x:v>
      </x:c>
      <x:c r="U510" s="9" t="str">
        <x:f>IF(ISNUMBER(T510),T510*G510,"n.a.")</x:f>
        <x:v>n.a.</x:v>
      </x:c>
      <x:c r="V510" s="25" t="n">
        <x:f>IF(Dashboard!$I$6="Flat %",1,IF(ISNUMBER(H510),1,0))</x:f>
        <x:v>0</x:v>
      </x:c>
      <x:c r="W510" s="9" t="str">
        <x:f>IF(Dashboard!$I$6="Flat %",G510*(1+Dashboard!$L$6),H510)</x:f>
        <x:v>n.a.</x:v>
      </x:c>
      <x:c r="X510" s="9" t="str">
        <x:f>IF(V510=1,R510*(W510-G510),"n.a.")</x:f>
        <x:v>n.a.</x:v>
      </x:c>
      <x:c r="Y510" s="9" t="str">
        <x:f>IF(V510=1,R510*W510,"n.a.")</x:f>
        <x:v>n.a.</x:v>
      </x:c>
      <x:c r="Z510" s="1" t="str">
        <x:f>IF(ISNUMBER(T510),R510-T510,"n.a.")</x:f>
        <x:v>n.a.</x:v>
      </x:c>
      <x:c r="AA510" s="1" t="str">
        <x:f>'Inventory inputs'!R510</x:f>
        <x:v>Review receipt reconciliation or original PO baseline</x:v>
      </x:c>
      <x:c r="AB510" s="1" t="str">
        <x:f>IF(L510=1,SUMIFS('Incoming POs'!$P$2:$P$305,'Incoming POs'!$A$2:$A$305,A510,'Incoming POs'!$B$2:$B$305,B510,'Incoming POs'!$C$2:$C$305,C510,'Incoming POs'!$G$2:$G$305,"&gt;="&amp;D510,'Incoming POs'!$G$2:$G$305,"&lt;"&amp;Dashboard!$I$5,'Incoming POs'!$Q$2:$Q$305,"&lt;="&amp;('Inventory inputs'!P510/'Inventory inputs'!J510*1.01)),"n.a.")</x:f>
        <x:v>n.a.</x:v>
      </x:c>
      <x:c r="AC510" s="9" t="n">
        <x:f>I510*G510</x:f>
        <x:v>0</x:v>
      </x:c>
      <x:c r="AD510" s="9" t="n">
        <x:f>J510*G510</x:f>
        <x:v>0</x:v>
      </x:c>
      <x:c r="AE510" s="9" t="n">
        <x:f>K510*G510</x:f>
        <x:v>201.28</x:v>
      </x:c>
      <x:c r="AF510" s="9" t="n">
        <x:f>R510*G510</x:f>
        <x:v>201.28</x:v>
      </x:c>
    </x:row>
    <x:row r="511" ht="21" customHeight="1">
      <x:c r="A511" s="1" t="str">
        <x:f>'Inventory inputs'!A511</x:f>
        <x:v>PLAS</x:v>
      </x:c>
      <x:c r="B511" s="1" t="str">
        <x:f>'Inventory inputs'!B511</x:f>
        <x:v>10</x:v>
      </x:c>
      <x:c r="C511" s="1" t="str">
        <x:f>'Inventory inputs'!C511</x:f>
        <x:v>00180RWBNAV</x:v>
      </x:c>
      <x:c r="D511" s="7" t="n">
        <x:f>'Inventory inputs'!E511</x:f>
        <x:v>46303</x:v>
      </x:c>
      <x:c r="E511" s="1" t="n">
        <x:f>'Inventory inputs'!F511</x:f>
        <x:v>670</x:v>
      </x:c>
      <x:c r="F511" s="1" t="n">
        <x:f>'Inventory inputs'!G511</x:f>
        <x:v>0</x:v>
      </x:c>
      <x:c r="G511" s="1" t="n">
        <x:f>'Inventory inputs'!H511/'Inventory inputs'!J511</x:f>
        <x:v>0.4125</x:v>
      </x:c>
      <x:c r="H511" s="1" t="n">
        <x:f>IF('Inventory inputs'!I511&gt;0,'Inventory inputs'!I511*'Inventory inputs'!K511/'Inventory inputs'!J511,"n.a.")</x:f>
        <x:v>0.48260099999999995</x:v>
      </x:c>
      <x:c r="I511" s="1" t="n">
        <x:f>'Inventory inputs'!L511</x:f>
        <x:v>0</x:v>
      </x:c>
      <x:c r="J511" s="1" t="n">
        <x:f>'Inventory inputs'!M511</x:f>
        <x:v>0</x:v>
      </x:c>
      <x:c r="K511" s="1" t="n">
        <x:f>'Inventory inputs'!N511</x:f>
        <x:v>670</x:v>
      </x:c>
      <x:c r="L511" s="1" t="n">
        <x:f>'Inventory inputs'!O511</x:f>
        <x:v>0</x:v>
      </x:c>
      <x:c r="M511" s="9" t="n">
        <x:f>E511*G511</x:f>
        <x:v>276.375</x:v>
      </x:c>
      <x:c r="N511" s="9" t="n">
        <x:f>'Inventory inputs'!Q511</x:f>
        <x:v>276.375</x:v>
      </x:c>
      <x:c r="O511" s="9" t="n">
        <x:f>N511-M511</x:f>
        <x:v>0</x:v>
      </x:c>
      <x:c r="P511" s="1" t="n">
        <x:f>SUMIFS('Incoming POs'!$P$2:$P$305,'Incoming POs'!$A$2:$A$305,A511,'Incoming POs'!$B$2:$B$305,B511,'Incoming POs'!$C$2:$C$305,C511,'Incoming POs'!$G$2:$G$305,"&gt;="&amp;D511,'Incoming POs'!$G$2:$G$305,"&lt;"&amp;Dashboard!$I$5)</x:f>
        <x:v>0</x:v>
      </x:c>
      <x:c r="Q511" s="1" t="n">
        <x:f>F511*Dashboard!$L$5*MAX(0,Dashboard!$I$5-D511)/30.4375</x:f>
        <x:v>0</x:v>
      </x:c>
      <x:c r="R511" s="1" t="n">
        <x:f>MAX(0,E511+P511-Q511)</x:f>
        <x:v>670</x:v>
      </x:c>
      <x:c r="S511" s="1" t="n">
        <x:f>MAX(0,Q511-E511-P511)</x:f>
        <x:v>0</x:v>
      </x:c>
      <x:c r="T511" s="1" t="str">
        <x:f>IF(L511=1,MAX(0,I511+AB511-MIN(Q511,E511+P511)),"n.a.")</x:f>
        <x:v>n.a.</x:v>
      </x:c>
      <x:c r="U511" s="9" t="str">
        <x:f>IF(ISNUMBER(T511),T511*G511,"n.a.")</x:f>
        <x:v>n.a.</x:v>
      </x:c>
      <x:c r="V511" s="25" t="n">
        <x:f>IF(Dashboard!$I$6="Flat %",1,IF(ISNUMBER(H511),1,0))</x:f>
        <x:v>1</x:v>
      </x:c>
      <x:c r="W511" s="9" t="n">
        <x:f>IF(Dashboard!$I$6="Flat %",G511*(1+Dashboard!$L$6),H511)</x:f>
        <x:v>0.48260099999999995</x:v>
      </x:c>
      <x:c r="X511" s="9" t="n">
        <x:f>IF(V511=1,R511*(W511-G511),"n.a.")</x:f>
        <x:v>46.96766999999998</x:v>
      </x:c>
      <x:c r="Y511" s="9" t="n">
        <x:f>IF(V511=1,R511*W511,"n.a.")</x:f>
        <x:v>323.34266999999994</x:v>
      </x:c>
      <x:c r="Z511" s="1" t="str">
        <x:f>IF(ISNUMBER(T511),R511-T511,"n.a.")</x:f>
        <x:v>n.a.</x:v>
      </x:c>
      <x:c r="AA511" s="1" t="str">
        <x:f>'Inventory inputs'!R511</x:f>
        <x:v>Review receipt reconciliation or original PO baseline</x:v>
      </x:c>
      <x:c r="AB511" s="1" t="str">
        <x:f>IF(L511=1,SUMIFS('Incoming POs'!$P$2:$P$305,'Incoming POs'!$A$2:$A$305,A511,'Incoming POs'!$B$2:$B$305,B511,'Incoming POs'!$C$2:$C$305,C511,'Incoming POs'!$G$2:$G$305,"&gt;="&amp;D511,'Incoming POs'!$G$2:$G$305,"&lt;"&amp;Dashboard!$I$5,'Incoming POs'!$Q$2:$Q$305,"&lt;="&amp;('Inventory inputs'!P511/'Inventory inputs'!J511*1.01)),"n.a.")</x:f>
        <x:v>n.a.</x:v>
      </x:c>
      <x:c r="AC511" s="9" t="n">
        <x:f>I511*G511</x:f>
        <x:v>0</x:v>
      </x:c>
      <x:c r="AD511" s="9" t="n">
        <x:f>J511*G511</x:f>
        <x:v>0</x:v>
      </x:c>
      <x:c r="AE511" s="9" t="n">
        <x:f>K511*G511</x:f>
        <x:v>276.375</x:v>
      </x:c>
      <x:c r="AF511" s="9" t="n">
        <x:f>R511*G511</x:f>
        <x:v>276.375</x:v>
      </x:c>
    </x:row>
    <x:row r="512" ht="21" customHeight="1">
      <x:c r="A512" s="1" t="str">
        <x:f>'Inventory inputs'!A512</x:f>
        <x:v>PLAS</x:v>
      </x:c>
      <x:c r="B512" s="1" t="str">
        <x:f>'Inventory inputs'!B512</x:f>
        <x:v>10</x:v>
      </x:c>
      <x:c r="C512" s="1" t="str">
        <x:f>'Inventory inputs'!C512</x:f>
        <x:v>00180RWBRED</x:v>
      </x:c>
      <x:c r="D512" s="7" t="n">
        <x:f>'Inventory inputs'!E512</x:f>
        <x:v>46303</x:v>
      </x:c>
      <x:c r="E512" s="1" t="n">
        <x:f>'Inventory inputs'!F512</x:f>
        <x:v>711</x:v>
      </x:c>
      <x:c r="F512" s="1" t="n">
        <x:f>'Inventory inputs'!G512</x:f>
        <x:v>0</x:v>
      </x:c>
      <x:c r="G512" s="1" t="n">
        <x:f>'Inventory inputs'!H512/'Inventory inputs'!J512</x:f>
        <x:v>0.4125</x:v>
      </x:c>
      <x:c r="H512" s="1" t="n">
        <x:f>IF('Inventory inputs'!I512&gt;0,'Inventory inputs'!I512*'Inventory inputs'!K512/'Inventory inputs'!J512,"n.a.")</x:f>
        <x:v>0.48260099999999995</x:v>
      </x:c>
      <x:c r="I512" s="1" t="n">
        <x:f>'Inventory inputs'!L512</x:f>
        <x:v>0</x:v>
      </x:c>
      <x:c r="J512" s="1" t="n">
        <x:f>'Inventory inputs'!M512</x:f>
        <x:v>0</x:v>
      </x:c>
      <x:c r="K512" s="1" t="n">
        <x:f>'Inventory inputs'!N512</x:f>
        <x:v>711</x:v>
      </x:c>
      <x:c r="L512" s="1" t="n">
        <x:f>'Inventory inputs'!O512</x:f>
        <x:v>0</x:v>
      </x:c>
      <x:c r="M512" s="9" t="n">
        <x:f>E512*G512</x:f>
        <x:v>293.28749999999997</x:v>
      </x:c>
      <x:c r="N512" s="9" t="n">
        <x:f>'Inventory inputs'!Q512</x:f>
        <x:v>293.2875</x:v>
      </x:c>
      <x:c r="O512" s="9" t="n">
        <x:f>N512-M512</x:f>
        <x:v>5.684341886080802e-14</x:v>
      </x:c>
      <x:c r="P512" s="1" t="n">
        <x:f>SUMIFS('Incoming POs'!$P$2:$P$305,'Incoming POs'!$A$2:$A$305,A512,'Incoming POs'!$B$2:$B$305,B512,'Incoming POs'!$C$2:$C$305,C512,'Incoming POs'!$G$2:$G$305,"&gt;="&amp;D512,'Incoming POs'!$G$2:$G$305,"&lt;"&amp;Dashboard!$I$5)</x:f>
        <x:v>0</x:v>
      </x:c>
      <x:c r="Q512" s="1" t="n">
        <x:f>F512*Dashboard!$L$5*MAX(0,Dashboard!$I$5-D512)/30.4375</x:f>
        <x:v>0</x:v>
      </x:c>
      <x:c r="R512" s="1" t="n">
        <x:f>MAX(0,E512+P512-Q512)</x:f>
        <x:v>711</x:v>
      </x:c>
      <x:c r="S512" s="1" t="n">
        <x:f>MAX(0,Q512-E512-P512)</x:f>
        <x:v>0</x:v>
      </x:c>
      <x:c r="T512" s="1" t="str">
        <x:f>IF(L512=1,MAX(0,I512+AB512-MIN(Q512,E512+P512)),"n.a.")</x:f>
        <x:v>n.a.</x:v>
      </x:c>
      <x:c r="U512" s="9" t="str">
        <x:f>IF(ISNUMBER(T512),T512*G512,"n.a.")</x:f>
        <x:v>n.a.</x:v>
      </x:c>
      <x:c r="V512" s="25" t="n">
        <x:f>IF(Dashboard!$I$6="Flat %",1,IF(ISNUMBER(H512),1,0))</x:f>
        <x:v>1</x:v>
      </x:c>
      <x:c r="W512" s="9" t="n">
        <x:f>IF(Dashboard!$I$6="Flat %",G512*(1+Dashboard!$L$6),H512)</x:f>
        <x:v>0.48260099999999995</x:v>
      </x:c>
      <x:c r="X512" s="9" t="n">
        <x:f>IF(V512=1,R512*(W512-G512),"n.a.")</x:f>
        <x:v>49.84181099999998</x:v>
      </x:c>
      <x:c r="Y512" s="9" t="n">
        <x:f>IF(V512=1,R512*W512,"n.a.")</x:f>
        <x:v>343.129311</x:v>
      </x:c>
      <x:c r="Z512" s="1" t="str">
        <x:f>IF(ISNUMBER(T512),R512-T512,"n.a.")</x:f>
        <x:v>n.a.</x:v>
      </x:c>
      <x:c r="AA512" s="1" t="str">
        <x:f>'Inventory inputs'!R512</x:f>
        <x:v>Review receipt reconciliation or original PO baseline</x:v>
      </x:c>
      <x:c r="AB512" s="1" t="str">
        <x:f>IF(L512=1,SUMIFS('Incoming POs'!$P$2:$P$305,'Incoming POs'!$A$2:$A$305,A512,'Incoming POs'!$B$2:$B$305,B512,'Incoming POs'!$C$2:$C$305,C512,'Incoming POs'!$G$2:$G$305,"&gt;="&amp;D512,'Incoming POs'!$G$2:$G$305,"&lt;"&amp;Dashboard!$I$5,'Incoming POs'!$Q$2:$Q$305,"&lt;="&amp;('Inventory inputs'!P512/'Inventory inputs'!J512*1.01)),"n.a.")</x:f>
        <x:v>n.a.</x:v>
      </x:c>
      <x:c r="AC512" s="9" t="n">
        <x:f>I512*G512</x:f>
        <x:v>0</x:v>
      </x:c>
      <x:c r="AD512" s="9" t="n">
        <x:f>J512*G512</x:f>
        <x:v>0</x:v>
      </x:c>
      <x:c r="AE512" s="9" t="n">
        <x:f>K512*G512</x:f>
        <x:v>293.28749999999997</x:v>
      </x:c>
      <x:c r="AF512" s="9" t="n">
        <x:f>R512*G512</x:f>
        <x:v>293.28749999999997</x:v>
      </x:c>
    </x:row>
    <x:row r="513" ht="21" customHeight="1">
      <x:c r="A513" s="1" t="str">
        <x:f>'Inventory inputs'!A513</x:f>
        <x:v>PLAS</x:v>
      </x:c>
      <x:c r="B513" s="1" t="str">
        <x:f>'Inventory inputs'!B513</x:f>
        <x:v>10</x:v>
      </x:c>
      <x:c r="C513" s="1" t="str">
        <x:f>'Inventory inputs'!C513</x:f>
        <x:v>00180RWBWHT</x:v>
      </x:c>
      <x:c r="D513" s="7" t="n">
        <x:f>'Inventory inputs'!E513</x:f>
        <x:v>46303</x:v>
      </x:c>
      <x:c r="E513" s="1" t="n">
        <x:f>'Inventory inputs'!F513</x:f>
        <x:v>1827</x:v>
      </x:c>
      <x:c r="F513" s="1" t="n">
        <x:f>'Inventory inputs'!G513</x:f>
        <x:v>0</x:v>
      </x:c>
      <x:c r="G513" s="1" t="n">
        <x:f>'Inventory inputs'!H513/'Inventory inputs'!J513</x:f>
        <x:v>0.4125</x:v>
      </x:c>
      <x:c r="H513" s="1" t="n">
        <x:f>IF('Inventory inputs'!I513&gt;0,'Inventory inputs'!I513*'Inventory inputs'!K513/'Inventory inputs'!J513,"n.a.")</x:f>
        <x:v>0.48260099999999995</x:v>
      </x:c>
      <x:c r="I513" s="1" t="n">
        <x:f>'Inventory inputs'!L513</x:f>
        <x:v>0</x:v>
      </x:c>
      <x:c r="J513" s="1" t="n">
        <x:f>'Inventory inputs'!M513</x:f>
        <x:v>0</x:v>
      </x:c>
      <x:c r="K513" s="1" t="n">
        <x:f>'Inventory inputs'!N513</x:f>
        <x:v>1827</x:v>
      </x:c>
      <x:c r="L513" s="1" t="n">
        <x:f>'Inventory inputs'!O513</x:f>
        <x:v>0</x:v>
      </x:c>
      <x:c r="M513" s="9" t="n">
        <x:f>E513*G513</x:f>
        <x:v>753.6374999999999</x:v>
      </x:c>
      <x:c r="N513" s="9" t="n">
        <x:f>'Inventory inputs'!Q513</x:f>
        <x:v>753.6375</x:v>
      </x:c>
      <x:c r="O513" s="9" t="n">
        <x:f>N513-M513</x:f>
        <x:v>1.1368683772161603e-13</x:v>
      </x:c>
      <x:c r="P513" s="1" t="n">
        <x:f>SUMIFS('Incoming POs'!$P$2:$P$305,'Incoming POs'!$A$2:$A$305,A513,'Incoming POs'!$B$2:$B$305,B513,'Incoming POs'!$C$2:$C$305,C513,'Incoming POs'!$G$2:$G$305,"&gt;="&amp;D513,'Incoming POs'!$G$2:$G$305,"&lt;"&amp;Dashboard!$I$5)</x:f>
        <x:v>0</x:v>
      </x:c>
      <x:c r="Q513" s="1" t="n">
        <x:f>F513*Dashboard!$L$5*MAX(0,Dashboard!$I$5-D513)/30.4375</x:f>
        <x:v>0</x:v>
      </x:c>
      <x:c r="R513" s="1" t="n">
        <x:f>MAX(0,E513+P513-Q513)</x:f>
        <x:v>1827</x:v>
      </x:c>
      <x:c r="S513" s="1" t="n">
        <x:f>MAX(0,Q513-E513-P513)</x:f>
        <x:v>0</x:v>
      </x:c>
      <x:c r="T513" s="1" t="str">
        <x:f>IF(L513=1,MAX(0,I513+AB513-MIN(Q513,E513+P513)),"n.a.")</x:f>
        <x:v>n.a.</x:v>
      </x:c>
      <x:c r="U513" s="9" t="str">
        <x:f>IF(ISNUMBER(T513),T513*G513,"n.a.")</x:f>
        <x:v>n.a.</x:v>
      </x:c>
      <x:c r="V513" s="25" t="n">
        <x:f>IF(Dashboard!$I$6="Flat %",1,IF(ISNUMBER(H513),1,0))</x:f>
        <x:v>1</x:v>
      </x:c>
      <x:c r="W513" s="9" t="n">
        <x:f>IF(Dashboard!$I$6="Flat %",G513*(1+Dashboard!$L$6),H513)</x:f>
        <x:v>0.48260099999999995</x:v>
      </x:c>
      <x:c r="X513" s="9" t="n">
        <x:f>IF(V513=1,R513*(W513-G513),"n.a.")</x:f>
        <x:v>128.07452699999993</x:v>
      </x:c>
      <x:c r="Y513" s="9" t="n">
        <x:f>IF(V513=1,R513*W513,"n.a.")</x:f>
        <x:v>881.7120269999999</x:v>
      </x:c>
      <x:c r="Z513" s="1" t="str">
        <x:f>IF(ISNUMBER(T513),R513-T513,"n.a.")</x:f>
        <x:v>n.a.</x:v>
      </x:c>
      <x:c r="AA513" s="1" t="str">
        <x:f>'Inventory inputs'!R513</x:f>
        <x:v>Review receipt reconciliation or original PO baseline</x:v>
      </x:c>
      <x:c r="AB513" s="1" t="str">
        <x:f>IF(L513=1,SUMIFS('Incoming POs'!$P$2:$P$305,'Incoming POs'!$A$2:$A$305,A513,'Incoming POs'!$B$2:$B$305,B513,'Incoming POs'!$C$2:$C$305,C513,'Incoming POs'!$G$2:$G$305,"&gt;="&amp;D513,'Incoming POs'!$G$2:$G$305,"&lt;"&amp;Dashboard!$I$5,'Incoming POs'!$Q$2:$Q$305,"&lt;="&amp;('Inventory inputs'!P513/'Inventory inputs'!J513*1.01)),"n.a.")</x:f>
        <x:v>n.a.</x:v>
      </x:c>
      <x:c r="AC513" s="9" t="n">
        <x:f>I513*G513</x:f>
        <x:v>0</x:v>
      </x:c>
      <x:c r="AD513" s="9" t="n">
        <x:f>J513*G513</x:f>
        <x:v>0</x:v>
      </x:c>
      <x:c r="AE513" s="9" t="n">
        <x:f>K513*G513</x:f>
        <x:v>753.6374999999999</x:v>
      </x:c>
      <x:c r="AF513" s="9" t="n">
        <x:f>R513*G513</x:f>
        <x:v>753.6374999999999</x:v>
      </x:c>
    </x:row>
    <x:row r="514" ht="21" customHeight="1">
      <x:c r="A514" s="1" t="str">
        <x:f>'Inventory inputs'!A514</x:f>
        <x:v>PLAS</x:v>
      </x:c>
      <x:c r="B514" s="1" t="str">
        <x:f>'Inventory inputs'!B514</x:f>
        <x:v>10</x:v>
      </x:c>
      <x:c r="C514" s="1" t="str">
        <x:f>'Inventory inputs'!C514</x:f>
        <x:v>00215RSLBRN</x:v>
      </x:c>
      <x:c r="D514" s="7" t="n">
        <x:f>'Inventory inputs'!E514</x:f>
        <x:v>46303</x:v>
      </x:c>
      <x:c r="E514" s="1" t="n">
        <x:f>'Inventory inputs'!F514</x:f>
        <x:v>1280</x:v>
      </x:c>
      <x:c r="F514" s="1" t="n">
        <x:f>'Inventory inputs'!G514</x:f>
        <x:v>0</x:v>
      </x:c>
      <x:c r="G514" s="1" t="n">
        <x:f>'Inventory inputs'!H514/'Inventory inputs'!J514</x:f>
        <x:v>0.08439999999999999</x:v>
      </x:c>
      <x:c r="H514" s="1" t="str">
        <x:f>IF('Inventory inputs'!I514&gt;0,'Inventory inputs'!I514*'Inventory inputs'!K514/'Inventory inputs'!J514,"n.a.")</x:f>
        <x:v>n.a.</x:v>
      </x:c>
      <x:c r="I514" s="1" t="n">
        <x:f>'Inventory inputs'!L514</x:f>
        <x:v>0</x:v>
      </x:c>
      <x:c r="J514" s="1" t="n">
        <x:f>'Inventory inputs'!M514</x:f>
        <x:v>0</x:v>
      </x:c>
      <x:c r="K514" s="1" t="n">
        <x:f>'Inventory inputs'!N514</x:f>
        <x:v>1280</x:v>
      </x:c>
      <x:c r="L514" s="1" t="n">
        <x:f>'Inventory inputs'!O514</x:f>
        <x:v>0</x:v>
      </x:c>
      <x:c r="M514" s="9" t="n">
        <x:f>E514*G514</x:f>
        <x:v>108.03199999999998</x:v>
      </x:c>
      <x:c r="N514" s="9" t="n">
        <x:f>'Inventory inputs'!Q514</x:f>
        <x:v>108.032</x:v>
      </x:c>
      <x:c r="O514" s="9" t="n">
        <x:f>N514-M514</x:f>
        <x:v>1.4210854715202004e-14</x:v>
      </x:c>
      <x:c r="P514" s="1" t="n">
        <x:f>SUMIFS('Incoming POs'!$P$2:$P$305,'Incoming POs'!$A$2:$A$305,A514,'Incoming POs'!$B$2:$B$305,B514,'Incoming POs'!$C$2:$C$305,C514,'Incoming POs'!$G$2:$G$305,"&gt;="&amp;D514,'Incoming POs'!$G$2:$G$305,"&lt;"&amp;Dashboard!$I$5)</x:f>
        <x:v>0</x:v>
      </x:c>
      <x:c r="Q514" s="1" t="n">
        <x:f>F514*Dashboard!$L$5*MAX(0,Dashboard!$I$5-D514)/30.4375</x:f>
        <x:v>0</x:v>
      </x:c>
      <x:c r="R514" s="1" t="n">
        <x:f>MAX(0,E514+P514-Q514)</x:f>
        <x:v>1280</x:v>
      </x:c>
      <x:c r="S514" s="1" t="n">
        <x:f>MAX(0,Q514-E514-P514)</x:f>
        <x:v>0</x:v>
      </x:c>
      <x:c r="T514" s="1" t="str">
        <x:f>IF(L514=1,MAX(0,I514+AB514-MIN(Q514,E514+P514)),"n.a.")</x:f>
        <x:v>n.a.</x:v>
      </x:c>
      <x:c r="U514" s="9" t="str">
        <x:f>IF(ISNUMBER(T514),T514*G514,"n.a.")</x:f>
        <x:v>n.a.</x:v>
      </x:c>
      <x:c r="V514" s="25" t="n">
        <x:f>IF(Dashboard!$I$6="Flat %",1,IF(ISNUMBER(H514),1,0))</x:f>
        <x:v>0</x:v>
      </x:c>
      <x:c r="W514" s="9" t="str">
        <x:f>IF(Dashboard!$I$6="Flat %",G514*(1+Dashboard!$L$6),H514)</x:f>
        <x:v>n.a.</x:v>
      </x:c>
      <x:c r="X514" s="9" t="str">
        <x:f>IF(V514=1,R514*(W514-G514),"n.a.")</x:f>
        <x:v>n.a.</x:v>
      </x:c>
      <x:c r="Y514" s="9" t="str">
        <x:f>IF(V514=1,R514*W514,"n.a.")</x:f>
        <x:v>n.a.</x:v>
      </x:c>
      <x:c r="Z514" s="1" t="str">
        <x:f>IF(ISNUMBER(T514),R514-T514,"n.a.")</x:f>
        <x:v>n.a.</x:v>
      </x:c>
      <x:c r="AA514" s="1" t="str">
        <x:f>'Inventory inputs'!R514</x:f>
        <x:v>Review receipt reconciliation or original PO baseline</x:v>
      </x:c>
      <x:c r="AB514" s="1" t="str">
        <x:f>IF(L514=1,SUMIFS('Incoming POs'!$P$2:$P$305,'Incoming POs'!$A$2:$A$305,A514,'Incoming POs'!$B$2:$B$305,B514,'Incoming POs'!$C$2:$C$305,C514,'Incoming POs'!$G$2:$G$305,"&gt;="&amp;D514,'Incoming POs'!$G$2:$G$305,"&lt;"&amp;Dashboard!$I$5,'Incoming POs'!$Q$2:$Q$305,"&lt;="&amp;('Inventory inputs'!P514/'Inventory inputs'!J514*1.01)),"n.a.")</x:f>
        <x:v>n.a.</x:v>
      </x:c>
      <x:c r="AC514" s="9" t="n">
        <x:f>I514*G514</x:f>
        <x:v>0</x:v>
      </x:c>
      <x:c r="AD514" s="9" t="n">
        <x:f>J514*G514</x:f>
        <x:v>0</x:v>
      </x:c>
      <x:c r="AE514" s="9" t="n">
        <x:f>K514*G514</x:f>
        <x:v>108.03199999999998</x:v>
      </x:c>
      <x:c r="AF514" s="9" t="n">
        <x:f>R514*G514</x:f>
        <x:v>108.03199999999998</x:v>
      </x:c>
    </x:row>
    <x:row r="515" ht="21" customHeight="1">
      <x:c r="A515" s="1" t="str">
        <x:f>'Inventory inputs'!A515</x:f>
        <x:v>PLAS</x:v>
      </x:c>
      <x:c r="B515" s="1" t="str">
        <x:f>'Inventory inputs'!B515</x:f>
        <x:v>10</x:v>
      </x:c>
      <x:c r="C515" s="1" t="str">
        <x:f>'Inventory inputs'!C515</x:f>
        <x:v>00215RSLFG</x:v>
      </x:c>
      <x:c r="D515" s="7" t="n">
        <x:f>'Inventory inputs'!E515</x:f>
        <x:v>46303</x:v>
      </x:c>
      <x:c r="E515" s="1" t="n">
        <x:f>'Inventory inputs'!F515</x:f>
        <x:v>1700</x:v>
      </x:c>
      <x:c r="F515" s="1" t="n">
        <x:f>'Inventory inputs'!G515</x:f>
        <x:v>0</x:v>
      </x:c>
      <x:c r="G515" s="1" t="n">
        <x:f>'Inventory inputs'!H515/'Inventory inputs'!J515</x:f>
        <x:v>0.08439999999999999</x:v>
      </x:c>
      <x:c r="H515" s="1" t="n">
        <x:f>IF('Inventory inputs'!I515&gt;0,'Inventory inputs'!I515*'Inventory inputs'!K515/'Inventory inputs'!J515,"n.a.")</x:f>
        <x:v>0.11921699999999999</x:v>
      </x:c>
      <x:c r="I515" s="1" t="n">
        <x:f>'Inventory inputs'!L515</x:f>
        <x:v>0</x:v>
      </x:c>
      <x:c r="J515" s="1" t="n">
        <x:f>'Inventory inputs'!M515</x:f>
        <x:v>0</x:v>
      </x:c>
      <x:c r="K515" s="1" t="n">
        <x:f>'Inventory inputs'!N515</x:f>
        <x:v>1700</x:v>
      </x:c>
      <x:c r="L515" s="1" t="n">
        <x:f>'Inventory inputs'!O515</x:f>
        <x:v>0</x:v>
      </x:c>
      <x:c r="M515" s="9" t="n">
        <x:f>E515*G515</x:f>
        <x:v>143.48</x:v>
      </x:c>
      <x:c r="N515" s="9" t="n">
        <x:f>'Inventory inputs'!Q515</x:f>
        <x:v>143.48</x:v>
      </x:c>
      <x:c r="O515" s="9" t="n">
        <x:f>N515-M515</x:f>
        <x:v>0</x:v>
      </x:c>
      <x:c r="P515" s="1" t="n">
        <x:f>SUMIFS('Incoming POs'!$P$2:$P$305,'Incoming POs'!$A$2:$A$305,A515,'Incoming POs'!$B$2:$B$305,B515,'Incoming POs'!$C$2:$C$305,C515,'Incoming POs'!$G$2:$G$305,"&gt;="&amp;D515,'Incoming POs'!$G$2:$G$305,"&lt;"&amp;Dashboard!$I$5)</x:f>
        <x:v>0</x:v>
      </x:c>
      <x:c r="Q515" s="1" t="n">
        <x:f>F515*Dashboard!$L$5*MAX(0,Dashboard!$I$5-D515)/30.4375</x:f>
        <x:v>0</x:v>
      </x:c>
      <x:c r="R515" s="1" t="n">
        <x:f>MAX(0,E515+P515-Q515)</x:f>
        <x:v>1700</x:v>
      </x:c>
      <x:c r="S515" s="1" t="n">
        <x:f>MAX(0,Q515-E515-P515)</x:f>
        <x:v>0</x:v>
      </x:c>
      <x:c r="T515" s="1" t="str">
        <x:f>IF(L515=1,MAX(0,I515+AB515-MIN(Q515,E515+P515)),"n.a.")</x:f>
        <x:v>n.a.</x:v>
      </x:c>
      <x:c r="U515" s="9" t="str">
        <x:f>IF(ISNUMBER(T515),T515*G515,"n.a.")</x:f>
        <x:v>n.a.</x:v>
      </x:c>
      <x:c r="V515" s="25" t="n">
        <x:f>IF(Dashboard!$I$6="Flat %",1,IF(ISNUMBER(H515),1,0))</x:f>
        <x:v>1</x:v>
      </x:c>
      <x:c r="W515" s="9" t="n">
        <x:f>IF(Dashboard!$I$6="Flat %",G515*(1+Dashboard!$L$6),H515)</x:f>
        <x:v>0.11921699999999999</x:v>
      </x:c>
      <x:c r="X515" s="9" t="n">
        <x:f>IF(V515=1,R515*(W515-G515),"n.a.")</x:f>
        <x:v>59.188900000000004</x:v>
      </x:c>
      <x:c r="Y515" s="9" t="n">
        <x:f>IF(V515=1,R515*W515,"n.a.")</x:f>
        <x:v>202.66889999999998</x:v>
      </x:c>
      <x:c r="Z515" s="1" t="str">
        <x:f>IF(ISNUMBER(T515),R515-T515,"n.a.")</x:f>
        <x:v>n.a.</x:v>
      </x:c>
      <x:c r="AA515" s="1" t="str">
        <x:f>'Inventory inputs'!R515</x:f>
        <x:v>Review receipt reconciliation or original PO baseline</x:v>
      </x:c>
      <x:c r="AB515" s="1" t="str">
        <x:f>IF(L515=1,SUMIFS('Incoming POs'!$P$2:$P$305,'Incoming POs'!$A$2:$A$305,A515,'Incoming POs'!$B$2:$B$305,B515,'Incoming POs'!$C$2:$C$305,C515,'Incoming POs'!$G$2:$G$305,"&gt;="&amp;D515,'Incoming POs'!$G$2:$G$305,"&lt;"&amp;Dashboard!$I$5,'Incoming POs'!$Q$2:$Q$305,"&lt;="&amp;('Inventory inputs'!P515/'Inventory inputs'!J515*1.01)),"n.a.")</x:f>
        <x:v>n.a.</x:v>
      </x:c>
      <x:c r="AC515" s="9" t="n">
        <x:f>I515*G515</x:f>
        <x:v>0</x:v>
      </x:c>
      <x:c r="AD515" s="9" t="n">
        <x:f>J515*G515</x:f>
        <x:v>0</x:v>
      </x:c>
      <x:c r="AE515" s="9" t="n">
        <x:f>K515*G515</x:f>
        <x:v>143.48</x:v>
      </x:c>
      <x:c r="AF515" s="9" t="n">
        <x:f>R515*G515</x:f>
        <x:v>143.48</x:v>
      </x:c>
    </x:row>
    <x:row r="516" ht="21" customHeight="1">
      <x:c r="A516" s="1" t="str">
        <x:f>'Inventory inputs'!A516</x:f>
        <x:v>PLAS</x:v>
      </x:c>
      <x:c r="B516" s="1" t="str">
        <x:f>'Inventory inputs'!B516</x:f>
        <x:v>10</x:v>
      </x:c>
      <x:c r="C516" s="1" t="str">
        <x:f>'Inventory inputs'!C516</x:f>
        <x:v>00215RSLMAR</x:v>
      </x:c>
      <x:c r="D516" s="7" t="n">
        <x:f>'Inventory inputs'!E516</x:f>
        <x:v>46303</x:v>
      </x:c>
      <x:c r="E516" s="1" t="n">
        <x:f>'Inventory inputs'!F516</x:f>
        <x:v>900</x:v>
      </x:c>
      <x:c r="F516" s="1" t="n">
        <x:f>'Inventory inputs'!G516</x:f>
        <x:v>0</x:v>
      </x:c>
      <x:c r="G516" s="1" t="n">
        <x:f>'Inventory inputs'!H516/'Inventory inputs'!J516</x:f>
        <x:v>0.08439999999999999</x:v>
      </x:c>
      <x:c r="H516" s="1" t="n">
        <x:f>IF('Inventory inputs'!I516&gt;0,'Inventory inputs'!I516*'Inventory inputs'!K516/'Inventory inputs'!J516,"n.a.")</x:f>
        <x:v>0.11921699999999999</x:v>
      </x:c>
      <x:c r="I516" s="1" t="n">
        <x:f>'Inventory inputs'!L516</x:f>
        <x:v>0</x:v>
      </x:c>
      <x:c r="J516" s="1" t="n">
        <x:f>'Inventory inputs'!M516</x:f>
        <x:v>0</x:v>
      </x:c>
      <x:c r="K516" s="1" t="n">
        <x:f>'Inventory inputs'!N516</x:f>
        <x:v>900</x:v>
      </x:c>
      <x:c r="L516" s="1" t="n">
        <x:f>'Inventory inputs'!O516</x:f>
        <x:v>0</x:v>
      </x:c>
      <x:c r="M516" s="9" t="n">
        <x:f>E516*G516</x:f>
        <x:v>75.96</x:v>
      </x:c>
      <x:c r="N516" s="9" t="n">
        <x:f>'Inventory inputs'!Q516</x:f>
        <x:v>75.96000000000001</x:v>
      </x:c>
      <x:c r="O516" s="9" t="n">
        <x:f>N516-M516</x:f>
        <x:v>1.4210854715202004e-14</x:v>
      </x:c>
      <x:c r="P516" s="1" t="n">
        <x:f>SUMIFS('Incoming POs'!$P$2:$P$305,'Incoming POs'!$A$2:$A$305,A516,'Incoming POs'!$B$2:$B$305,B516,'Incoming POs'!$C$2:$C$305,C516,'Incoming POs'!$G$2:$G$305,"&gt;="&amp;D516,'Incoming POs'!$G$2:$G$305,"&lt;"&amp;Dashboard!$I$5)</x:f>
        <x:v>0</x:v>
      </x:c>
      <x:c r="Q516" s="1" t="n">
        <x:f>F516*Dashboard!$L$5*MAX(0,Dashboard!$I$5-D516)/30.4375</x:f>
        <x:v>0</x:v>
      </x:c>
      <x:c r="R516" s="1" t="n">
        <x:f>MAX(0,E516+P516-Q516)</x:f>
        <x:v>900</x:v>
      </x:c>
      <x:c r="S516" s="1" t="n">
        <x:f>MAX(0,Q516-E516-P516)</x:f>
        <x:v>0</x:v>
      </x:c>
      <x:c r="T516" s="1" t="str">
        <x:f>IF(L516=1,MAX(0,I516+AB516-MIN(Q516,E516+P516)),"n.a.")</x:f>
        <x:v>n.a.</x:v>
      </x:c>
      <x:c r="U516" s="9" t="str">
        <x:f>IF(ISNUMBER(T516),T516*G516,"n.a.")</x:f>
        <x:v>n.a.</x:v>
      </x:c>
      <x:c r="V516" s="25" t="n">
        <x:f>IF(Dashboard!$I$6="Flat %",1,IF(ISNUMBER(H516),1,0))</x:f>
        <x:v>1</x:v>
      </x:c>
      <x:c r="W516" s="9" t="n">
        <x:f>IF(Dashboard!$I$6="Flat %",G516*(1+Dashboard!$L$6),H516)</x:f>
        <x:v>0.11921699999999999</x:v>
      </x:c>
      <x:c r="X516" s="9" t="n">
        <x:f>IF(V516=1,R516*(W516-G516),"n.a.")</x:f>
        <x:v>31.3353</x:v>
      </x:c>
      <x:c r="Y516" s="9" t="n">
        <x:f>IF(V516=1,R516*W516,"n.a.")</x:f>
        <x:v>107.2953</x:v>
      </x:c>
      <x:c r="Z516" s="1" t="str">
        <x:f>IF(ISNUMBER(T516),R516-T516,"n.a.")</x:f>
        <x:v>n.a.</x:v>
      </x:c>
      <x:c r="AA516" s="1" t="str">
        <x:f>'Inventory inputs'!R516</x:f>
        <x:v>Review receipt reconciliation or original PO baseline</x:v>
      </x:c>
      <x:c r="AB516" s="1" t="str">
        <x:f>IF(L516=1,SUMIFS('Incoming POs'!$P$2:$P$305,'Incoming POs'!$A$2:$A$305,A516,'Incoming POs'!$B$2:$B$305,B516,'Incoming POs'!$C$2:$C$305,C516,'Incoming POs'!$G$2:$G$305,"&gt;="&amp;D516,'Incoming POs'!$G$2:$G$305,"&lt;"&amp;Dashboard!$I$5,'Incoming POs'!$Q$2:$Q$305,"&lt;="&amp;('Inventory inputs'!P516/'Inventory inputs'!J516*1.01)),"n.a.")</x:f>
        <x:v>n.a.</x:v>
      </x:c>
      <x:c r="AC516" s="9" t="n">
        <x:f>I516*G516</x:f>
        <x:v>0</x:v>
      </x:c>
      <x:c r="AD516" s="9" t="n">
        <x:f>J516*G516</x:f>
        <x:v>0</x:v>
      </x:c>
      <x:c r="AE516" s="9" t="n">
        <x:f>K516*G516</x:f>
        <x:v>75.96</x:v>
      </x:c>
      <x:c r="AF516" s="9" t="n">
        <x:f>R516*G516</x:f>
        <x:v>75.96</x:v>
      </x:c>
    </x:row>
    <x:row r="517" ht="21" customHeight="1">
      <x:c r="A517" s="1" t="str">
        <x:f>'Inventory inputs'!A517</x:f>
        <x:v>PLAS</x:v>
      </x:c>
      <x:c r="B517" s="1" t="str">
        <x:f>'Inventory inputs'!B517</x:f>
        <x:v>10</x:v>
      </x:c>
      <x:c r="C517" s="1" t="str">
        <x:f>'Inventory inputs'!C517</x:f>
        <x:v>00215RSLNAV</x:v>
      </x:c>
      <x:c r="D517" s="7" t="n">
        <x:f>'Inventory inputs'!E517</x:f>
        <x:v>46303</x:v>
      </x:c>
      <x:c r="E517" s="1" t="n">
        <x:f>'Inventory inputs'!F517</x:f>
        <x:v>1000</x:v>
      </x:c>
      <x:c r="F517" s="1" t="n">
        <x:f>'Inventory inputs'!G517</x:f>
        <x:v>0</x:v>
      </x:c>
      <x:c r="G517" s="1" t="n">
        <x:f>'Inventory inputs'!H517/'Inventory inputs'!J517</x:f>
        <x:v>0.08439999999999999</x:v>
      </x:c>
      <x:c r="H517" s="1" t="n">
        <x:f>IF('Inventory inputs'!I517&gt;0,'Inventory inputs'!I517*'Inventory inputs'!K517/'Inventory inputs'!J517,"n.a.")</x:f>
        <x:v>0.11921699999999999</x:v>
      </x:c>
      <x:c r="I517" s="1" t="n">
        <x:f>'Inventory inputs'!L517</x:f>
        <x:v>0</x:v>
      </x:c>
      <x:c r="J517" s="1" t="n">
        <x:f>'Inventory inputs'!M517</x:f>
        <x:v>0</x:v>
      </x:c>
      <x:c r="K517" s="1" t="n">
        <x:f>'Inventory inputs'!N517</x:f>
        <x:v>1000</x:v>
      </x:c>
      <x:c r="L517" s="1" t="n">
        <x:f>'Inventory inputs'!O517</x:f>
        <x:v>0</x:v>
      </x:c>
      <x:c r="M517" s="9" t="n">
        <x:f>E517*G517</x:f>
        <x:v>84.39999999999999</x:v>
      </x:c>
      <x:c r="N517" s="9" t="n">
        <x:f>'Inventory inputs'!Q517</x:f>
        <x:v>84.4</x:v>
      </x:c>
      <x:c r="O517" s="9" t="n">
        <x:f>N517-M517</x:f>
        <x:v>1.4210854715202004e-14</x:v>
      </x:c>
      <x:c r="P517" s="1" t="n">
        <x:f>SUMIFS('Incoming POs'!$P$2:$P$305,'Incoming POs'!$A$2:$A$305,A517,'Incoming POs'!$B$2:$B$305,B517,'Incoming POs'!$C$2:$C$305,C517,'Incoming POs'!$G$2:$G$305,"&gt;="&amp;D517,'Incoming POs'!$G$2:$G$305,"&lt;"&amp;Dashboard!$I$5)</x:f>
        <x:v>0</x:v>
      </x:c>
      <x:c r="Q517" s="1" t="n">
        <x:f>F517*Dashboard!$L$5*MAX(0,Dashboard!$I$5-D517)/30.4375</x:f>
        <x:v>0</x:v>
      </x:c>
      <x:c r="R517" s="1" t="n">
        <x:f>MAX(0,E517+P517-Q517)</x:f>
        <x:v>1000</x:v>
      </x:c>
      <x:c r="S517" s="1" t="n">
        <x:f>MAX(0,Q517-E517-P517)</x:f>
        <x:v>0</x:v>
      </x:c>
      <x:c r="T517" s="1" t="str">
        <x:f>IF(L517=1,MAX(0,I517+AB517-MIN(Q517,E517+P517)),"n.a.")</x:f>
        <x:v>n.a.</x:v>
      </x:c>
      <x:c r="U517" s="9" t="str">
        <x:f>IF(ISNUMBER(T517),T517*G517,"n.a.")</x:f>
        <x:v>n.a.</x:v>
      </x:c>
      <x:c r="V517" s="25" t="n">
        <x:f>IF(Dashboard!$I$6="Flat %",1,IF(ISNUMBER(H517),1,0))</x:f>
        <x:v>1</x:v>
      </x:c>
      <x:c r="W517" s="9" t="n">
        <x:f>IF(Dashboard!$I$6="Flat %",G517*(1+Dashboard!$L$6),H517)</x:f>
        <x:v>0.11921699999999999</x:v>
      </x:c>
      <x:c r="X517" s="9" t="n">
        <x:f>IF(V517=1,R517*(W517-G517),"n.a.")</x:f>
        <x:v>34.817</x:v>
      </x:c>
      <x:c r="Y517" s="9" t="n">
        <x:f>IF(V517=1,R517*W517,"n.a.")</x:f>
        <x:v>119.21699999999998</x:v>
      </x:c>
      <x:c r="Z517" s="1" t="str">
        <x:f>IF(ISNUMBER(T517),R517-T517,"n.a.")</x:f>
        <x:v>n.a.</x:v>
      </x:c>
      <x:c r="AA517" s="1" t="str">
        <x:f>'Inventory inputs'!R517</x:f>
        <x:v>Review receipt reconciliation or original PO baseline</x:v>
      </x:c>
      <x:c r="AB517" s="1" t="str">
        <x:f>IF(L517=1,SUMIFS('Incoming POs'!$P$2:$P$305,'Incoming POs'!$A$2:$A$305,A517,'Incoming POs'!$B$2:$B$305,B517,'Incoming POs'!$C$2:$C$305,C517,'Incoming POs'!$G$2:$G$305,"&gt;="&amp;D517,'Incoming POs'!$G$2:$G$305,"&lt;"&amp;Dashboard!$I$5,'Incoming POs'!$Q$2:$Q$305,"&lt;="&amp;('Inventory inputs'!P517/'Inventory inputs'!J517*1.01)),"n.a.")</x:f>
        <x:v>n.a.</x:v>
      </x:c>
      <x:c r="AC517" s="9" t="n">
        <x:f>I517*G517</x:f>
        <x:v>0</x:v>
      </x:c>
      <x:c r="AD517" s="9" t="n">
        <x:f>J517*G517</x:f>
        <x:v>0</x:v>
      </x:c>
      <x:c r="AE517" s="9" t="n">
        <x:f>K517*G517</x:f>
        <x:v>84.39999999999999</x:v>
      </x:c>
      <x:c r="AF517" s="9" t="n">
        <x:f>R517*G517</x:f>
        <x:v>84.39999999999999</x:v>
      </x:c>
    </x:row>
    <x:row r="518" ht="21" customHeight="1">
      <x:c r="A518" s="1" t="str">
        <x:f>'Inventory inputs'!A518</x:f>
        <x:v>PLAS</x:v>
      </x:c>
      <x:c r="B518" s="1" t="str">
        <x:f>'Inventory inputs'!B518</x:f>
        <x:v>10</x:v>
      </x:c>
      <x:c r="C518" s="1" t="str">
        <x:f>'Inventory inputs'!C518</x:f>
        <x:v>00215RSLRED</x:v>
      </x:c>
      <x:c r="D518" s="7" t="n">
        <x:f>'Inventory inputs'!E518</x:f>
        <x:v>46303</x:v>
      </x:c>
      <x:c r="E518" s="1" t="n">
        <x:f>'Inventory inputs'!F518</x:f>
        <x:v>1000</x:v>
      </x:c>
      <x:c r="F518" s="1" t="n">
        <x:f>'Inventory inputs'!G518</x:f>
        <x:v>0</x:v>
      </x:c>
      <x:c r="G518" s="1" t="n">
        <x:f>'Inventory inputs'!H518/'Inventory inputs'!J518</x:f>
        <x:v>0.08439999999999999</x:v>
      </x:c>
      <x:c r="H518" s="1" t="n">
        <x:f>IF('Inventory inputs'!I518&gt;0,'Inventory inputs'!I518*'Inventory inputs'!K518/'Inventory inputs'!J518,"n.a.")</x:f>
        <x:v>0.11921699999999999</x:v>
      </x:c>
      <x:c r="I518" s="1" t="n">
        <x:f>'Inventory inputs'!L518</x:f>
        <x:v>0</x:v>
      </x:c>
      <x:c r="J518" s="1" t="n">
        <x:f>'Inventory inputs'!M518</x:f>
        <x:v>0</x:v>
      </x:c>
      <x:c r="K518" s="1" t="n">
        <x:f>'Inventory inputs'!N518</x:f>
        <x:v>1000</x:v>
      </x:c>
      <x:c r="L518" s="1" t="n">
        <x:f>'Inventory inputs'!O518</x:f>
        <x:v>0</x:v>
      </x:c>
      <x:c r="M518" s="9" t="n">
        <x:f>E518*G518</x:f>
        <x:v>84.39999999999999</x:v>
      </x:c>
      <x:c r="N518" s="9" t="n">
        <x:f>'Inventory inputs'!Q518</x:f>
        <x:v>84.4</x:v>
      </x:c>
      <x:c r="O518" s="9" t="n">
        <x:f>N518-M518</x:f>
        <x:v>1.4210854715202004e-14</x:v>
      </x:c>
      <x:c r="P518" s="1" t="n">
        <x:f>SUMIFS('Incoming POs'!$P$2:$P$305,'Incoming POs'!$A$2:$A$305,A518,'Incoming POs'!$B$2:$B$305,B518,'Incoming POs'!$C$2:$C$305,C518,'Incoming POs'!$G$2:$G$305,"&gt;="&amp;D518,'Incoming POs'!$G$2:$G$305,"&lt;"&amp;Dashboard!$I$5)</x:f>
        <x:v>0</x:v>
      </x:c>
      <x:c r="Q518" s="1" t="n">
        <x:f>F518*Dashboard!$L$5*MAX(0,Dashboard!$I$5-D518)/30.4375</x:f>
        <x:v>0</x:v>
      </x:c>
      <x:c r="R518" s="1" t="n">
        <x:f>MAX(0,E518+P518-Q518)</x:f>
        <x:v>1000</x:v>
      </x:c>
      <x:c r="S518" s="1" t="n">
        <x:f>MAX(0,Q518-E518-P518)</x:f>
        <x:v>0</x:v>
      </x:c>
      <x:c r="T518" s="1" t="str">
        <x:f>IF(L518=1,MAX(0,I518+AB518-MIN(Q518,E518+P518)),"n.a.")</x:f>
        <x:v>n.a.</x:v>
      </x:c>
      <x:c r="U518" s="9" t="str">
        <x:f>IF(ISNUMBER(T518),T518*G518,"n.a.")</x:f>
        <x:v>n.a.</x:v>
      </x:c>
      <x:c r="V518" s="25" t="n">
        <x:f>IF(Dashboard!$I$6="Flat %",1,IF(ISNUMBER(H518),1,0))</x:f>
        <x:v>1</x:v>
      </x:c>
      <x:c r="W518" s="9" t="n">
        <x:f>IF(Dashboard!$I$6="Flat %",G518*(1+Dashboard!$L$6),H518)</x:f>
        <x:v>0.11921699999999999</x:v>
      </x:c>
      <x:c r="X518" s="9" t="n">
        <x:f>IF(V518=1,R518*(W518-G518),"n.a.")</x:f>
        <x:v>34.817</x:v>
      </x:c>
      <x:c r="Y518" s="9" t="n">
        <x:f>IF(V518=1,R518*W518,"n.a.")</x:f>
        <x:v>119.21699999999998</x:v>
      </x:c>
      <x:c r="Z518" s="1" t="str">
        <x:f>IF(ISNUMBER(T518),R518-T518,"n.a.")</x:f>
        <x:v>n.a.</x:v>
      </x:c>
      <x:c r="AA518" s="1" t="str">
        <x:f>'Inventory inputs'!R518</x:f>
        <x:v>Review receipt reconciliation or original PO baseline</x:v>
      </x:c>
      <x:c r="AB518" s="1" t="str">
        <x:f>IF(L518=1,SUMIFS('Incoming POs'!$P$2:$P$305,'Incoming POs'!$A$2:$A$305,A518,'Incoming POs'!$B$2:$B$305,B518,'Incoming POs'!$C$2:$C$305,C518,'Incoming POs'!$G$2:$G$305,"&gt;="&amp;D518,'Incoming POs'!$G$2:$G$305,"&lt;"&amp;Dashboard!$I$5,'Incoming POs'!$Q$2:$Q$305,"&lt;="&amp;('Inventory inputs'!P518/'Inventory inputs'!J518*1.01)),"n.a.")</x:f>
        <x:v>n.a.</x:v>
      </x:c>
      <x:c r="AC518" s="9" t="n">
        <x:f>I518*G518</x:f>
        <x:v>0</x:v>
      </x:c>
      <x:c r="AD518" s="9" t="n">
        <x:f>J518*G518</x:f>
        <x:v>0</x:v>
      </x:c>
      <x:c r="AE518" s="9" t="n">
        <x:f>K518*G518</x:f>
        <x:v>84.39999999999999</x:v>
      </x:c>
      <x:c r="AF518" s="9" t="n">
        <x:f>R518*G518</x:f>
        <x:v>84.39999999999999</x:v>
      </x:c>
    </x:row>
    <x:row r="519" ht="21" customHeight="1">
      <x:c r="A519" s="1" t="str">
        <x:f>'Inventory inputs'!A519</x:f>
        <x:v>PLAS</x:v>
      </x:c>
      <x:c r="B519" s="1" t="str">
        <x:f>'Inventory inputs'!B519</x:f>
        <x:v>10</x:v>
      </x:c>
      <x:c r="C519" s="1" t="str">
        <x:f>'Inventory inputs'!C519</x:f>
        <x:v>00215RSLWHT</x:v>
      </x:c>
      <x:c r="D519" s="7" t="n">
        <x:f>'Inventory inputs'!E519</x:f>
        <x:v>46303</x:v>
      </x:c>
      <x:c r="E519" s="1" t="n">
        <x:f>'Inventory inputs'!F519</x:f>
        <x:v>400</x:v>
      </x:c>
      <x:c r="F519" s="1" t="n">
        <x:f>'Inventory inputs'!G519</x:f>
        <x:v>0</x:v>
      </x:c>
      <x:c r="G519" s="1" t="n">
        <x:f>'Inventory inputs'!H519/'Inventory inputs'!J519</x:f>
        <x:v>0.10189999999999999</x:v>
      </x:c>
      <x:c r="H519" s="1" t="n">
        <x:f>IF('Inventory inputs'!I519&gt;0,'Inventory inputs'!I519*'Inventory inputs'!K519/'Inventory inputs'!J519,"n.a.")</x:f>
        <x:v>0.11921699999999999</x:v>
      </x:c>
      <x:c r="I519" s="1" t="n">
        <x:f>'Inventory inputs'!L519</x:f>
        <x:v>0</x:v>
      </x:c>
      <x:c r="J519" s="1" t="n">
        <x:f>'Inventory inputs'!M519</x:f>
        <x:v>0</x:v>
      </x:c>
      <x:c r="K519" s="1" t="n">
        <x:f>'Inventory inputs'!N519</x:f>
        <x:v>400</x:v>
      </x:c>
      <x:c r="L519" s="1" t="n">
        <x:f>'Inventory inputs'!O519</x:f>
        <x:v>0</x:v>
      </x:c>
      <x:c r="M519" s="9" t="n">
        <x:f>E519*G519</x:f>
        <x:v>40.76</x:v>
      </x:c>
      <x:c r="N519" s="9" t="n">
        <x:f>'Inventory inputs'!Q519</x:f>
        <x:v>40.76</x:v>
      </x:c>
      <x:c r="O519" s="9" t="n">
        <x:f>N519-M519</x:f>
        <x:v>0</x:v>
      </x:c>
      <x:c r="P519" s="1" t="n">
        <x:f>SUMIFS('Incoming POs'!$P$2:$P$305,'Incoming POs'!$A$2:$A$305,A519,'Incoming POs'!$B$2:$B$305,B519,'Incoming POs'!$C$2:$C$305,C519,'Incoming POs'!$G$2:$G$305,"&gt;="&amp;D519,'Incoming POs'!$G$2:$G$305,"&lt;"&amp;Dashboard!$I$5)</x:f>
        <x:v>0</x:v>
      </x:c>
      <x:c r="Q519" s="1" t="n">
        <x:f>F519*Dashboard!$L$5*MAX(0,Dashboard!$I$5-D519)/30.4375</x:f>
        <x:v>0</x:v>
      </x:c>
      <x:c r="R519" s="1" t="n">
        <x:f>MAX(0,E519+P519-Q519)</x:f>
        <x:v>400</x:v>
      </x:c>
      <x:c r="S519" s="1" t="n">
        <x:f>MAX(0,Q519-E519-P519)</x:f>
        <x:v>0</x:v>
      </x:c>
      <x:c r="T519" s="1" t="str">
        <x:f>IF(L519=1,MAX(0,I519+AB519-MIN(Q519,E519+P519)),"n.a.")</x:f>
        <x:v>n.a.</x:v>
      </x:c>
      <x:c r="U519" s="9" t="str">
        <x:f>IF(ISNUMBER(T519),T519*G519,"n.a.")</x:f>
        <x:v>n.a.</x:v>
      </x:c>
      <x:c r="V519" s="25" t="n">
        <x:f>IF(Dashboard!$I$6="Flat %",1,IF(ISNUMBER(H519),1,0))</x:f>
        <x:v>1</x:v>
      </x:c>
      <x:c r="W519" s="9" t="n">
        <x:f>IF(Dashboard!$I$6="Flat %",G519*(1+Dashboard!$L$6),H519)</x:f>
        <x:v>0.11921699999999999</x:v>
      </x:c>
      <x:c r="X519" s="9" t="n">
        <x:f>IF(V519=1,R519*(W519-G519),"n.a.")</x:f>
        <x:v>6.9268</x:v>
      </x:c>
      <x:c r="Y519" s="9" t="n">
        <x:f>IF(V519=1,R519*W519,"n.a.")</x:f>
        <x:v>47.6868</x:v>
      </x:c>
      <x:c r="Z519" s="1" t="str">
        <x:f>IF(ISNUMBER(T519),R519-T519,"n.a.")</x:f>
        <x:v>n.a.</x:v>
      </x:c>
      <x:c r="AA519" s="1" t="str">
        <x:f>'Inventory inputs'!R519</x:f>
        <x:v>Review receipt reconciliation or original PO baseline</x:v>
      </x:c>
      <x:c r="AB519" s="1" t="str">
        <x:f>IF(L519=1,SUMIFS('Incoming POs'!$P$2:$P$305,'Incoming POs'!$A$2:$A$305,A519,'Incoming POs'!$B$2:$B$305,B519,'Incoming POs'!$C$2:$C$305,C519,'Incoming POs'!$G$2:$G$305,"&gt;="&amp;D519,'Incoming POs'!$G$2:$G$305,"&lt;"&amp;Dashboard!$I$5,'Incoming POs'!$Q$2:$Q$305,"&lt;="&amp;('Inventory inputs'!P519/'Inventory inputs'!J519*1.01)),"n.a.")</x:f>
        <x:v>n.a.</x:v>
      </x:c>
      <x:c r="AC519" s="9" t="n">
        <x:f>I519*G519</x:f>
        <x:v>0</x:v>
      </x:c>
      <x:c r="AD519" s="9" t="n">
        <x:f>J519*G519</x:f>
        <x:v>0</x:v>
      </x:c>
      <x:c r="AE519" s="9" t="n">
        <x:f>K519*G519</x:f>
        <x:v>40.76</x:v>
      </x:c>
      <x:c r="AF519" s="9" t="n">
        <x:f>R519*G519</x:f>
        <x:v>40.76</x:v>
      </x:c>
    </x:row>
    <x:row r="520" ht="21" customHeight="1">
      <x:c r="A520" s="1" t="str">
        <x:f>'Inventory inputs'!A520</x:f>
        <x:v>PLAS</x:v>
      </x:c>
      <x:c r="B520" s="1" t="str">
        <x:f>'Inventory inputs'!B520</x:f>
        <x:v>10</x:v>
      </x:c>
      <x:c r="C520" s="1" t="str">
        <x:f>'Inventory inputs'!C520</x:f>
        <x:v>00216RSLBLK</x:v>
      </x:c>
      <x:c r="D520" s="7" t="n">
        <x:f>'Inventory inputs'!E520</x:f>
        <x:v>46303</x:v>
      </x:c>
      <x:c r="E520" s="1" t="n">
        <x:f>'Inventory inputs'!F520</x:f>
        <x:v>1000</x:v>
      </x:c>
      <x:c r="F520" s="1" t="n">
        <x:f>'Inventory inputs'!G520</x:f>
        <x:v>0</x:v>
      </x:c>
      <x:c r="G520" s="1" t="n">
        <x:f>'Inventory inputs'!H520/'Inventory inputs'!J520</x:f>
        <x:v>0.09</x:v>
      </x:c>
      <x:c r="H520" s="1" t="str">
        <x:f>IF('Inventory inputs'!I520&gt;0,'Inventory inputs'!I520*'Inventory inputs'!K520/'Inventory inputs'!J520,"n.a.")</x:f>
        <x:v>n.a.</x:v>
      </x:c>
      <x:c r="I520" s="1" t="n">
        <x:f>'Inventory inputs'!L520</x:f>
        <x:v>0</x:v>
      </x:c>
      <x:c r="J520" s="1" t="n">
        <x:f>'Inventory inputs'!M520</x:f>
        <x:v>0</x:v>
      </x:c>
      <x:c r="K520" s="1" t="n">
        <x:f>'Inventory inputs'!N520</x:f>
        <x:v>1000</x:v>
      </x:c>
      <x:c r="L520" s="1" t="n">
        <x:f>'Inventory inputs'!O520</x:f>
        <x:v>0</x:v>
      </x:c>
      <x:c r="M520" s="9" t="n">
        <x:f>E520*G520</x:f>
        <x:v>90</x:v>
      </x:c>
      <x:c r="N520" s="9" t="n">
        <x:f>'Inventory inputs'!Q520</x:f>
        <x:v>90</x:v>
      </x:c>
      <x:c r="O520" s="9" t="n">
        <x:f>N520-M520</x:f>
        <x:v>0</x:v>
      </x:c>
      <x:c r="P520" s="1" t="n">
        <x:f>SUMIFS('Incoming POs'!$P$2:$P$305,'Incoming POs'!$A$2:$A$305,A520,'Incoming POs'!$B$2:$B$305,B520,'Incoming POs'!$C$2:$C$305,C520,'Incoming POs'!$G$2:$G$305,"&gt;="&amp;D520,'Incoming POs'!$G$2:$G$305,"&lt;"&amp;Dashboard!$I$5)</x:f>
        <x:v>0</x:v>
      </x:c>
      <x:c r="Q520" s="1" t="n">
        <x:f>F520*Dashboard!$L$5*MAX(0,Dashboard!$I$5-D520)/30.4375</x:f>
        <x:v>0</x:v>
      </x:c>
      <x:c r="R520" s="1" t="n">
        <x:f>MAX(0,E520+P520-Q520)</x:f>
        <x:v>1000</x:v>
      </x:c>
      <x:c r="S520" s="1" t="n">
        <x:f>MAX(0,Q520-E520-P520)</x:f>
        <x:v>0</x:v>
      </x:c>
      <x:c r="T520" s="1" t="str">
        <x:f>IF(L520=1,MAX(0,I520+AB520-MIN(Q520,E520+P520)),"n.a.")</x:f>
        <x:v>n.a.</x:v>
      </x:c>
      <x:c r="U520" s="9" t="str">
        <x:f>IF(ISNUMBER(T520),T520*G520,"n.a.")</x:f>
        <x:v>n.a.</x:v>
      </x:c>
      <x:c r="V520" s="25" t="n">
        <x:f>IF(Dashboard!$I$6="Flat %",1,IF(ISNUMBER(H520),1,0))</x:f>
        <x:v>0</x:v>
      </x:c>
      <x:c r="W520" s="9" t="str">
        <x:f>IF(Dashboard!$I$6="Flat %",G520*(1+Dashboard!$L$6),H520)</x:f>
        <x:v>n.a.</x:v>
      </x:c>
      <x:c r="X520" s="9" t="str">
        <x:f>IF(V520=1,R520*(W520-G520),"n.a.")</x:f>
        <x:v>n.a.</x:v>
      </x:c>
      <x:c r="Y520" s="9" t="str">
        <x:f>IF(V520=1,R520*W520,"n.a.")</x:f>
        <x:v>n.a.</x:v>
      </x:c>
      <x:c r="Z520" s="1" t="str">
        <x:f>IF(ISNUMBER(T520),R520-T520,"n.a.")</x:f>
        <x:v>n.a.</x:v>
      </x:c>
      <x:c r="AA520" s="1" t="str">
        <x:f>'Inventory inputs'!R520</x:f>
        <x:v>Review receipt reconciliation or original PO baseline</x:v>
      </x:c>
      <x:c r="AB520" s="1" t="str">
        <x:f>IF(L520=1,SUMIFS('Incoming POs'!$P$2:$P$305,'Incoming POs'!$A$2:$A$305,A520,'Incoming POs'!$B$2:$B$305,B520,'Incoming POs'!$C$2:$C$305,C520,'Incoming POs'!$G$2:$G$305,"&gt;="&amp;D520,'Incoming POs'!$G$2:$G$305,"&lt;"&amp;Dashboard!$I$5,'Incoming POs'!$Q$2:$Q$305,"&lt;="&amp;('Inventory inputs'!P520/'Inventory inputs'!J520*1.01)),"n.a.")</x:f>
        <x:v>n.a.</x:v>
      </x:c>
      <x:c r="AC520" s="9" t="n">
        <x:f>I520*G520</x:f>
        <x:v>0</x:v>
      </x:c>
      <x:c r="AD520" s="9" t="n">
        <x:f>J520*G520</x:f>
        <x:v>0</x:v>
      </x:c>
      <x:c r="AE520" s="9" t="n">
        <x:f>K520*G520</x:f>
        <x:v>90</x:v>
      </x:c>
      <x:c r="AF520" s="9" t="n">
        <x:f>R520*G520</x:f>
        <x:v>90</x:v>
      </x:c>
    </x:row>
    <x:row r="521" ht="21" customHeight="1">
      <x:c r="A521" s="1" t="str">
        <x:f>'Inventory inputs'!A521</x:f>
        <x:v>PLAS</x:v>
      </x:c>
      <x:c r="B521" s="1" t="str">
        <x:f>'Inventory inputs'!B521</x:f>
        <x:v>10</x:v>
      </x:c>
      <x:c r="C521" s="1" t="str">
        <x:f>'Inventory inputs'!C521</x:f>
        <x:v>00221RSLWHT</x:v>
      </x:c>
      <x:c r="D521" s="7" t="n">
        <x:f>'Inventory inputs'!E521</x:f>
        <x:v>46303</x:v>
      </x:c>
      <x:c r="E521" s="1" t="n">
        <x:f>'Inventory inputs'!F521</x:f>
        <x:v>500</x:v>
      </x:c>
      <x:c r="F521" s="1" t="n">
        <x:f>'Inventory inputs'!G521</x:f>
        <x:v>0</x:v>
      </x:c>
      <x:c r="G521" s="1" t="n">
        <x:f>'Inventory inputs'!H521/'Inventory inputs'!J521</x:f>
        <x:v>0.1433</x:v>
      </x:c>
      <x:c r="H521" s="1" t="n">
        <x:f>IF('Inventory inputs'!I521&gt;0,'Inventory inputs'!I521*'Inventory inputs'!K521/'Inventory inputs'!J521,"n.a.")</x:f>
        <x:v>0.16772700000000001</x:v>
      </x:c>
      <x:c r="I521" s="1" t="n">
        <x:f>'Inventory inputs'!L521</x:f>
        <x:v>0</x:v>
      </x:c>
      <x:c r="J521" s="1" t="n">
        <x:f>'Inventory inputs'!M521</x:f>
        <x:v>0</x:v>
      </x:c>
      <x:c r="K521" s="1" t="n">
        <x:f>'Inventory inputs'!N521</x:f>
        <x:v>500</x:v>
      </x:c>
      <x:c r="L521" s="1" t="n">
        <x:f>'Inventory inputs'!O521</x:f>
        <x:v>0</x:v>
      </x:c>
      <x:c r="M521" s="9" t="n">
        <x:f>E521*G521</x:f>
        <x:v>71.65</x:v>
      </x:c>
      <x:c r="N521" s="9" t="n">
        <x:f>'Inventory inputs'!Q521</x:f>
        <x:v>71.65</x:v>
      </x:c>
      <x:c r="O521" s="9" t="n">
        <x:f>N521-M521</x:f>
        <x:v>0</x:v>
      </x:c>
      <x:c r="P521" s="1" t="n">
        <x:f>SUMIFS('Incoming POs'!$P$2:$P$305,'Incoming POs'!$A$2:$A$305,A521,'Incoming POs'!$B$2:$B$305,B521,'Incoming POs'!$C$2:$C$305,C521,'Incoming POs'!$G$2:$G$305,"&gt;="&amp;D521,'Incoming POs'!$G$2:$G$305,"&lt;"&amp;Dashboard!$I$5)</x:f>
        <x:v>0</x:v>
      </x:c>
      <x:c r="Q521" s="1" t="n">
        <x:f>F521*Dashboard!$L$5*MAX(0,Dashboard!$I$5-D521)/30.4375</x:f>
        <x:v>0</x:v>
      </x:c>
      <x:c r="R521" s="1" t="n">
        <x:f>MAX(0,E521+P521-Q521)</x:f>
        <x:v>500</x:v>
      </x:c>
      <x:c r="S521" s="1" t="n">
        <x:f>MAX(0,Q521-E521-P521)</x:f>
        <x:v>0</x:v>
      </x:c>
      <x:c r="T521" s="1" t="str">
        <x:f>IF(L521=1,MAX(0,I521+AB521-MIN(Q521,E521+P521)),"n.a.")</x:f>
        <x:v>n.a.</x:v>
      </x:c>
      <x:c r="U521" s="9" t="str">
        <x:f>IF(ISNUMBER(T521),T521*G521,"n.a.")</x:f>
        <x:v>n.a.</x:v>
      </x:c>
      <x:c r="V521" s="25" t="n">
        <x:f>IF(Dashboard!$I$6="Flat %",1,IF(ISNUMBER(H521),1,0))</x:f>
        <x:v>1</x:v>
      </x:c>
      <x:c r="W521" s="9" t="n">
        <x:f>IF(Dashboard!$I$6="Flat %",G521*(1+Dashboard!$L$6),H521)</x:f>
        <x:v>0.16772700000000001</x:v>
      </x:c>
      <x:c r="X521" s="9" t="n">
        <x:f>IF(V521=1,R521*(W521-G521),"n.a.")</x:f>
        <x:v>12.213500000000002</x:v>
      </x:c>
      <x:c r="Y521" s="9" t="n">
        <x:f>IF(V521=1,R521*W521,"n.a.")</x:f>
        <x:v>83.8635</x:v>
      </x:c>
      <x:c r="Z521" s="1" t="str">
        <x:f>IF(ISNUMBER(T521),R521-T521,"n.a.")</x:f>
        <x:v>n.a.</x:v>
      </x:c>
      <x:c r="AA521" s="1" t="str">
        <x:f>'Inventory inputs'!R521</x:f>
        <x:v>Review receipt reconciliation or original PO baseline</x:v>
      </x:c>
      <x:c r="AB521" s="1" t="str">
        <x:f>IF(L521=1,SUMIFS('Incoming POs'!$P$2:$P$305,'Incoming POs'!$A$2:$A$305,A521,'Incoming POs'!$B$2:$B$305,B521,'Incoming POs'!$C$2:$C$305,C521,'Incoming POs'!$G$2:$G$305,"&gt;="&amp;D521,'Incoming POs'!$G$2:$G$305,"&lt;"&amp;Dashboard!$I$5,'Incoming POs'!$Q$2:$Q$305,"&lt;="&amp;('Inventory inputs'!P521/'Inventory inputs'!J521*1.01)),"n.a.")</x:f>
        <x:v>n.a.</x:v>
      </x:c>
      <x:c r="AC521" s="9" t="n">
        <x:f>I521*G521</x:f>
        <x:v>0</x:v>
      </x:c>
      <x:c r="AD521" s="9" t="n">
        <x:f>J521*G521</x:f>
        <x:v>0</x:v>
      </x:c>
      <x:c r="AE521" s="9" t="n">
        <x:f>K521*G521</x:f>
        <x:v>71.65</x:v>
      </x:c>
      <x:c r="AF521" s="9" t="n">
        <x:f>R521*G521</x:f>
        <x:v>71.65</x:v>
      </x:c>
    </x:row>
    <x:row r="522" ht="21" customHeight="1">
      <x:c r="A522" s="1" t="str">
        <x:f>'Inventory inputs'!A522</x:f>
        <x:v>PLAS</x:v>
      </x:c>
      <x:c r="B522" s="1" t="str">
        <x:f>'Inventory inputs'!B522</x:f>
        <x:v>10</x:v>
      </x:c>
      <x:c r="C522" s="1" t="str">
        <x:f>'Inventory inputs'!C522</x:f>
        <x:v>01221RWBWHT</x:v>
      </x:c>
      <x:c r="D522" s="7" t="n">
        <x:f>'Inventory inputs'!E522</x:f>
        <x:v>46303</x:v>
      </x:c>
      <x:c r="E522" s="1" t="n">
        <x:f>'Inventory inputs'!F522</x:f>
        <x:v>13395</x:v>
      </x:c>
      <x:c r="F522" s="1" t="n">
        <x:f>'Inventory inputs'!G522</x:f>
        <x:v>0</x:v>
      </x:c>
      <x:c r="G522" s="1" t="n">
        <x:f>'Inventory inputs'!H522/'Inventory inputs'!J522</x:f>
        <x:v>0.0354</x:v>
      </x:c>
      <x:c r="H522" s="1" t="n">
        <x:f>IF('Inventory inputs'!I522&gt;0,'Inventory inputs'!I522*'Inventory inputs'!K522/'Inventory inputs'!J522,"n.a.")</x:f>
        <x:v>0.041454</x:v>
      </x:c>
      <x:c r="I522" s="1" t="n">
        <x:f>'Inventory inputs'!L522</x:f>
        <x:v>13395</x:v>
      </x:c>
      <x:c r="J522" s="1" t="n">
        <x:f>'Inventory inputs'!M522</x:f>
        <x:v>0</x:v>
      </x:c>
      <x:c r="K522" s="1" t="n">
        <x:f>'Inventory inputs'!N522</x:f>
        <x:v>0</x:v>
      </x:c>
      <x:c r="L522" s="1" t="n">
        <x:f>'Inventory inputs'!O522</x:f>
        <x:v>1</x:v>
      </x:c>
      <x:c r="M522" s="9" t="n">
        <x:f>E522*G522</x:f>
        <x:v>474.183</x:v>
      </x:c>
      <x:c r="N522" s="9" t="n">
        <x:f>'Inventory inputs'!Q522</x:f>
        <x:v>474.18300000000005</x:v>
      </x:c>
      <x:c r="O522" s="9" t="n">
        <x:f>N522-M522</x:f>
        <x:v>5.684341886080802e-14</x:v>
      </x:c>
      <x:c r="P522" s="1" t="n">
        <x:f>SUMIFS('Incoming POs'!$P$2:$P$305,'Incoming POs'!$A$2:$A$305,A522,'Incoming POs'!$B$2:$B$305,B522,'Incoming POs'!$C$2:$C$305,C522,'Incoming POs'!$G$2:$G$305,"&gt;="&amp;D522,'Incoming POs'!$G$2:$G$305,"&lt;"&amp;Dashboard!$I$5)</x:f>
        <x:v>0</x:v>
      </x:c>
      <x:c r="Q522" s="1" t="n">
        <x:f>F522*Dashboard!$L$5*MAX(0,Dashboard!$I$5-D522)/30.4375</x:f>
        <x:v>0</x:v>
      </x:c>
      <x:c r="R522" s="1" t="n">
        <x:f>MAX(0,E522+P522-Q522)</x:f>
        <x:v>13395</x:v>
      </x:c>
      <x:c r="S522" s="1" t="n">
        <x:f>MAX(0,Q522-E522-P522)</x:f>
        <x:v>0</x:v>
      </x:c>
      <x:c r="T522" s="1" t="n">
        <x:f>IF(L522=1,MAX(0,I522+AB522-MIN(Q522,E522+P522)),"n.a.")</x:f>
        <x:v>13395</x:v>
      </x:c>
      <x:c r="U522" s="9" t="n">
        <x:f>IF(ISNUMBER(T522),T522*G522,"n.a.")</x:f>
        <x:v>474.183</x:v>
      </x:c>
      <x:c r="V522" s="25" t="n">
        <x:f>IF(Dashboard!$I$6="Flat %",1,IF(ISNUMBER(H522),1,0))</x:f>
        <x:v>1</x:v>
      </x:c>
      <x:c r="W522" s="9" t="n">
        <x:f>IF(Dashboard!$I$6="Flat %",G522*(1+Dashboard!$L$6),H522)</x:f>
        <x:v>0.041454</x:v>
      </x:c>
      <x:c r="X522" s="9" t="n">
        <x:f>IF(V522=1,R522*(W522-G522),"n.a.")</x:f>
        <x:v>81.09332999999995</x:v>
      </x:c>
      <x:c r="Y522" s="9" t="n">
        <x:f>IF(V522=1,R522*W522,"n.a.")</x:f>
        <x:v>555.2763299999999</x:v>
      </x:c>
      <x:c r="Z522" s="1" t="n">
        <x:f>IF(ISNUMBER(T522),R522-T522,"n.a.")</x:f>
        <x:v>0</x:v>
      </x:c>
      <x:c r="AA522" s="1" t="str">
        <x:f>'Inventory inputs'!R522</x:f>
        <x:v>Classified</x:v>
      </x:c>
      <x:c r="AB522" s="1" t="n">
        <x:f>IF(L522=1,SUMIFS('Incoming POs'!$P$2:$P$305,'Incoming POs'!$A$2:$A$305,A522,'Incoming POs'!$B$2:$B$305,B522,'Incoming POs'!$C$2:$C$305,C522,'Incoming POs'!$G$2:$G$305,"&gt;="&amp;D522,'Incoming POs'!$G$2:$G$305,"&lt;"&amp;Dashboard!$I$5,'Incoming POs'!$Q$2:$Q$305,"&lt;="&amp;('Inventory inputs'!P522/'Inventory inputs'!J522*1.01)),"n.a.")</x:f>
        <x:v>0</x:v>
      </x:c>
      <x:c r="AC522" s="9" t="n">
        <x:f>I522*G522</x:f>
        <x:v>474.183</x:v>
      </x:c>
      <x:c r="AD522" s="9" t="n">
        <x:f>J522*G522</x:f>
        <x:v>0</x:v>
      </x:c>
      <x:c r="AE522" s="9" t="n">
        <x:f>K522*G522</x:f>
        <x:v>0</x:v>
      </x:c>
      <x:c r="AF522" s="9" t="n">
        <x:f>R522*G522</x:f>
        <x:v>474.183</x:v>
      </x:c>
    </x:row>
    <x:row r="523" ht="21" customHeight="1">
      <x:c r="A523" s="1" t="str">
        <x:f>'Inventory inputs'!A523</x:f>
        <x:v>PLAS</x:v>
      </x:c>
      <x:c r="B523" s="1" t="str">
        <x:f>'Inventory inputs'!B523</x:f>
        <x:v>10</x:v>
      </x:c>
      <x:c r="C523" s="1" t="str">
        <x:f>'Inventory inputs'!C523</x:f>
        <x:v>01280RWBBLK</x:v>
      </x:c>
      <x:c r="D523" s="7" t="n">
        <x:f>'Inventory inputs'!E523</x:f>
        <x:v>46303</x:v>
      </x:c>
      <x:c r="E523" s="1" t="n">
        <x:f>'Inventory inputs'!F523</x:f>
        <x:v>3747</x:v>
      </x:c>
      <x:c r="F523" s="1" t="n">
        <x:f>'Inventory inputs'!G523</x:f>
        <x:v>0</x:v>
      </x:c>
      <x:c r="G523" s="1" t="n">
        <x:f>'Inventory inputs'!H523/'Inventory inputs'!J523</x:f>
        <x:v>0.1386</x:v>
      </x:c>
      <x:c r="H523" s="1" t="n">
        <x:f>IF('Inventory inputs'!I523&gt;0,'Inventory inputs'!I523*'Inventory inputs'!K523/'Inventory inputs'!J523,"n.a.")</x:f>
        <x:v>0.16214099999999998</x:v>
      </x:c>
      <x:c r="I523" s="1" t="n">
        <x:f>'Inventory inputs'!L523</x:f>
        <x:v>3747</x:v>
      </x:c>
      <x:c r="J523" s="1" t="n">
        <x:f>'Inventory inputs'!M523</x:f>
        <x:v>0</x:v>
      </x:c>
      <x:c r="K523" s="1" t="n">
        <x:f>'Inventory inputs'!N523</x:f>
        <x:v>0</x:v>
      </x:c>
      <x:c r="L523" s="1" t="n">
        <x:f>'Inventory inputs'!O523</x:f>
        <x:v>1</x:v>
      </x:c>
      <x:c r="M523" s="9" t="n">
        <x:f>E523*G523</x:f>
        <x:v>519.3342</x:v>
      </x:c>
      <x:c r="N523" s="9" t="n">
        <x:f>'Inventory inputs'!Q523</x:f>
        <x:v>519.3342</x:v>
      </x:c>
      <x:c r="O523" s="9" t="n">
        <x:f>N523-M523</x:f>
        <x:v>0</x:v>
      </x:c>
      <x:c r="P523" s="1" t="n">
        <x:f>SUMIFS('Incoming POs'!$P$2:$P$305,'Incoming POs'!$A$2:$A$305,A523,'Incoming POs'!$B$2:$B$305,B523,'Incoming POs'!$C$2:$C$305,C523,'Incoming POs'!$G$2:$G$305,"&gt;="&amp;D523,'Incoming POs'!$G$2:$G$305,"&lt;"&amp;Dashboard!$I$5)</x:f>
        <x:v>0</x:v>
      </x:c>
      <x:c r="Q523" s="1" t="n">
        <x:f>F523*Dashboard!$L$5*MAX(0,Dashboard!$I$5-D523)/30.4375</x:f>
        <x:v>0</x:v>
      </x:c>
      <x:c r="R523" s="1" t="n">
        <x:f>MAX(0,E523+P523-Q523)</x:f>
        <x:v>3747</x:v>
      </x:c>
      <x:c r="S523" s="1" t="n">
        <x:f>MAX(0,Q523-E523-P523)</x:f>
        <x:v>0</x:v>
      </x:c>
      <x:c r="T523" s="1" t="n">
        <x:f>IF(L523=1,MAX(0,I523+AB523-MIN(Q523,E523+P523)),"n.a.")</x:f>
        <x:v>3747</x:v>
      </x:c>
      <x:c r="U523" s="9" t="n">
        <x:f>IF(ISNUMBER(T523),T523*G523,"n.a.")</x:f>
        <x:v>519.3342</x:v>
      </x:c>
      <x:c r="V523" s="25" t="n">
        <x:f>IF(Dashboard!$I$6="Flat %",1,IF(ISNUMBER(H523),1,0))</x:f>
        <x:v>1</x:v>
      </x:c>
      <x:c r="W523" s="9" t="n">
        <x:f>IF(Dashboard!$I$6="Flat %",G523*(1+Dashboard!$L$6),H523)</x:f>
        <x:v>0.16214099999999998</x:v>
      </x:c>
      <x:c r="X523" s="9" t="n">
        <x:f>IF(V523=1,R523*(W523-G523),"n.a.")</x:f>
        <x:v>88.20812699999992</x:v>
      </x:c>
      <x:c r="Y523" s="9" t="n">
        <x:f>IF(V523=1,R523*W523,"n.a.")</x:f>
        <x:v>607.5423269999999</x:v>
      </x:c>
      <x:c r="Z523" s="1" t="n">
        <x:f>IF(ISNUMBER(T523),R523-T523,"n.a.")</x:f>
        <x:v>0</x:v>
      </x:c>
      <x:c r="AA523" s="1" t="str">
        <x:f>'Inventory inputs'!R523</x:f>
        <x:v>Classified</x:v>
      </x:c>
      <x:c r="AB523" s="1" t="n">
        <x:f>IF(L523=1,SUMIFS('Incoming POs'!$P$2:$P$305,'Incoming POs'!$A$2:$A$305,A523,'Incoming POs'!$B$2:$B$305,B523,'Incoming POs'!$C$2:$C$305,C523,'Incoming POs'!$G$2:$G$305,"&gt;="&amp;D523,'Incoming POs'!$G$2:$G$305,"&lt;"&amp;Dashboard!$I$5,'Incoming POs'!$Q$2:$Q$305,"&lt;="&amp;('Inventory inputs'!P523/'Inventory inputs'!J523*1.01)),"n.a.")</x:f>
        <x:v>0</x:v>
      </x:c>
      <x:c r="AC523" s="9" t="n">
        <x:f>I523*G523</x:f>
        <x:v>519.3342</x:v>
      </x:c>
      <x:c r="AD523" s="9" t="n">
        <x:f>J523*G523</x:f>
        <x:v>0</x:v>
      </x:c>
      <x:c r="AE523" s="9" t="n">
        <x:f>K523*G523</x:f>
        <x:v>0</x:v>
      </x:c>
      <x:c r="AF523" s="9" t="n">
        <x:f>R523*G523</x:f>
        <x:v>519.3342</x:v>
      </x:c>
    </x:row>
    <x:row r="524" ht="21" customHeight="1">
      <x:c r="A524" s="1" t="str">
        <x:f>'Inventory inputs'!A524</x:f>
        <x:v>PLAS</x:v>
      </x:c>
      <x:c r="B524" s="1" t="str">
        <x:f>'Inventory inputs'!B524</x:f>
        <x:v>10</x:v>
      </x:c>
      <x:c r="C524" s="1" t="str">
        <x:f>'Inventory inputs'!C524</x:f>
        <x:v>01280RWBBLU</x:v>
      </x:c>
      <x:c r="D524" s="7" t="n">
        <x:f>'Inventory inputs'!E524</x:f>
        <x:v>46303</x:v>
      </x:c>
      <x:c r="E524" s="1" t="n">
        <x:f>'Inventory inputs'!F524</x:f>
        <x:v>474</x:v>
      </x:c>
      <x:c r="F524" s="1" t="n">
        <x:f>'Inventory inputs'!G524</x:f>
        <x:v>0</x:v>
      </x:c>
      <x:c r="G524" s="1" t="n">
        <x:f>'Inventory inputs'!H524/'Inventory inputs'!J524</x:f>
        <x:v>0.10619999999999999</x:v>
      </x:c>
      <x:c r="H524" s="1" t="str">
        <x:f>IF('Inventory inputs'!I524&gt;0,'Inventory inputs'!I524*'Inventory inputs'!K524/'Inventory inputs'!J524,"n.a.")</x:f>
        <x:v>n.a.</x:v>
      </x:c>
      <x:c r="I524" s="1" t="n">
        <x:f>'Inventory inputs'!L524</x:f>
        <x:v>0</x:v>
      </x:c>
      <x:c r="J524" s="1" t="n">
        <x:f>'Inventory inputs'!M524</x:f>
        <x:v>0</x:v>
      </x:c>
      <x:c r="K524" s="1" t="n">
        <x:f>'Inventory inputs'!N524</x:f>
        <x:v>474</x:v>
      </x:c>
      <x:c r="L524" s="1" t="n">
        <x:f>'Inventory inputs'!O524</x:f>
        <x:v>0</x:v>
      </x:c>
      <x:c r="M524" s="9" t="n">
        <x:f>E524*G524</x:f>
        <x:v>50.33879999999999</x:v>
      </x:c>
      <x:c r="N524" s="9" t="n">
        <x:f>'Inventory inputs'!Q524</x:f>
        <x:v>50.33879999999999</x:v>
      </x:c>
      <x:c r="O524" s="9" t="n">
        <x:f>N524-M524</x:f>
        <x:v>0</x:v>
      </x:c>
      <x:c r="P524" s="1" t="n">
        <x:f>SUMIFS('Incoming POs'!$P$2:$P$305,'Incoming POs'!$A$2:$A$305,A524,'Incoming POs'!$B$2:$B$305,B524,'Incoming POs'!$C$2:$C$305,C524,'Incoming POs'!$G$2:$G$305,"&gt;="&amp;D524,'Incoming POs'!$G$2:$G$305,"&lt;"&amp;Dashboard!$I$5)</x:f>
        <x:v>0</x:v>
      </x:c>
      <x:c r="Q524" s="1" t="n">
        <x:f>F524*Dashboard!$L$5*MAX(0,Dashboard!$I$5-D524)/30.4375</x:f>
        <x:v>0</x:v>
      </x:c>
      <x:c r="R524" s="1" t="n">
        <x:f>MAX(0,E524+P524-Q524)</x:f>
        <x:v>474</x:v>
      </x:c>
      <x:c r="S524" s="1" t="n">
        <x:f>MAX(0,Q524-E524-P524)</x:f>
        <x:v>0</x:v>
      </x:c>
      <x:c r="T524" s="1" t="str">
        <x:f>IF(L524=1,MAX(0,I524+AB524-MIN(Q524,E524+P524)),"n.a.")</x:f>
        <x:v>n.a.</x:v>
      </x:c>
      <x:c r="U524" s="9" t="str">
        <x:f>IF(ISNUMBER(T524),T524*G524,"n.a.")</x:f>
        <x:v>n.a.</x:v>
      </x:c>
      <x:c r="V524" s="25" t="n">
        <x:f>IF(Dashboard!$I$6="Flat %",1,IF(ISNUMBER(H524),1,0))</x:f>
        <x:v>0</x:v>
      </x:c>
      <x:c r="W524" s="9" t="str">
        <x:f>IF(Dashboard!$I$6="Flat %",G524*(1+Dashboard!$L$6),H524)</x:f>
        <x:v>n.a.</x:v>
      </x:c>
      <x:c r="X524" s="9" t="str">
        <x:f>IF(V524=1,R524*(W524-G524),"n.a.")</x:f>
        <x:v>n.a.</x:v>
      </x:c>
      <x:c r="Y524" s="9" t="str">
        <x:f>IF(V524=1,R524*W524,"n.a.")</x:f>
        <x:v>n.a.</x:v>
      </x:c>
      <x:c r="Z524" s="1" t="str">
        <x:f>IF(ISNUMBER(T524),R524-T524,"n.a.")</x:f>
        <x:v>n.a.</x:v>
      </x:c>
      <x:c r="AA524" s="1" t="str">
        <x:f>'Inventory inputs'!R524</x:f>
        <x:v>Review receipt reconciliation or original PO baseline</x:v>
      </x:c>
      <x:c r="AB524" s="1" t="str">
        <x:f>IF(L524=1,SUMIFS('Incoming POs'!$P$2:$P$305,'Incoming POs'!$A$2:$A$305,A524,'Incoming POs'!$B$2:$B$305,B524,'Incoming POs'!$C$2:$C$305,C524,'Incoming POs'!$G$2:$G$305,"&gt;="&amp;D524,'Incoming POs'!$G$2:$G$305,"&lt;"&amp;Dashboard!$I$5,'Incoming POs'!$Q$2:$Q$305,"&lt;="&amp;('Inventory inputs'!P524/'Inventory inputs'!J524*1.01)),"n.a.")</x:f>
        <x:v>n.a.</x:v>
      </x:c>
      <x:c r="AC524" s="9" t="n">
        <x:f>I524*G524</x:f>
        <x:v>0</x:v>
      </x:c>
      <x:c r="AD524" s="9" t="n">
        <x:f>J524*G524</x:f>
        <x:v>0</x:v>
      </x:c>
      <x:c r="AE524" s="9" t="n">
        <x:f>K524*G524</x:f>
        <x:v>50.33879999999999</x:v>
      </x:c>
      <x:c r="AF524" s="9" t="n">
        <x:f>R524*G524</x:f>
        <x:v>50.33879999999999</x:v>
      </x:c>
    </x:row>
    <x:row r="525" ht="21" customHeight="1">
      <x:c r="A525" s="1" t="str">
        <x:f>'Inventory inputs'!A525</x:f>
        <x:v>PLAS</x:v>
      </x:c>
      <x:c r="B525" s="1" t="str">
        <x:f>'Inventory inputs'!B525</x:f>
        <x:v>10</x:v>
      </x:c>
      <x:c r="C525" s="1" t="str">
        <x:f>'Inventory inputs'!C525</x:f>
        <x:v>01280RWBCLR</x:v>
      </x:c>
      <x:c r="D525" s="7" t="n">
        <x:f>'Inventory inputs'!E525</x:f>
        <x:v>46303</x:v>
      </x:c>
      <x:c r="E525" s="1" t="n">
        <x:f>'Inventory inputs'!F525</x:f>
        <x:v>1070</x:v>
      </x:c>
      <x:c r="F525" s="1" t="n">
        <x:f>'Inventory inputs'!G525</x:f>
        <x:v>0</x:v>
      </x:c>
      <x:c r="G525" s="1" t="n">
        <x:f>'Inventory inputs'!H525/'Inventory inputs'!J525</x:f>
        <x:v>0.10619999999999999</x:v>
      </x:c>
      <x:c r="H525" s="1" t="str">
        <x:f>IF('Inventory inputs'!I525&gt;0,'Inventory inputs'!I525*'Inventory inputs'!K525/'Inventory inputs'!J525,"n.a.")</x:f>
        <x:v>n.a.</x:v>
      </x:c>
      <x:c r="I525" s="1" t="n">
        <x:f>'Inventory inputs'!L525</x:f>
        <x:v>0</x:v>
      </x:c>
      <x:c r="J525" s="1" t="n">
        <x:f>'Inventory inputs'!M525</x:f>
        <x:v>0</x:v>
      </x:c>
      <x:c r="K525" s="1" t="n">
        <x:f>'Inventory inputs'!N525</x:f>
        <x:v>1070</x:v>
      </x:c>
      <x:c r="L525" s="1" t="n">
        <x:f>'Inventory inputs'!O525</x:f>
        <x:v>0</x:v>
      </x:c>
      <x:c r="M525" s="9" t="n">
        <x:f>E525*G525</x:f>
        <x:v>113.63399999999999</x:v>
      </x:c>
      <x:c r="N525" s="9" t="n">
        <x:f>'Inventory inputs'!Q525</x:f>
        <x:v>113.634</x:v>
      </x:c>
      <x:c r="O525" s="9" t="n">
        <x:f>N525-M525</x:f>
        <x:v>1.4210854715202004e-14</x:v>
      </x:c>
      <x:c r="P525" s="1" t="n">
        <x:f>SUMIFS('Incoming POs'!$P$2:$P$305,'Incoming POs'!$A$2:$A$305,A525,'Incoming POs'!$B$2:$B$305,B525,'Incoming POs'!$C$2:$C$305,C525,'Incoming POs'!$G$2:$G$305,"&gt;="&amp;D525,'Incoming POs'!$G$2:$G$305,"&lt;"&amp;Dashboard!$I$5)</x:f>
        <x:v>0</x:v>
      </x:c>
      <x:c r="Q525" s="1" t="n">
        <x:f>F525*Dashboard!$L$5*MAX(0,Dashboard!$I$5-D525)/30.4375</x:f>
        <x:v>0</x:v>
      </x:c>
      <x:c r="R525" s="1" t="n">
        <x:f>MAX(0,E525+P525-Q525)</x:f>
        <x:v>1070</x:v>
      </x:c>
      <x:c r="S525" s="1" t="n">
        <x:f>MAX(0,Q525-E525-P525)</x:f>
        <x:v>0</x:v>
      </x:c>
      <x:c r="T525" s="1" t="str">
        <x:f>IF(L525=1,MAX(0,I525+AB525-MIN(Q525,E525+P525)),"n.a.")</x:f>
        <x:v>n.a.</x:v>
      </x:c>
      <x:c r="U525" s="9" t="str">
        <x:f>IF(ISNUMBER(T525),T525*G525,"n.a.")</x:f>
        <x:v>n.a.</x:v>
      </x:c>
      <x:c r="V525" s="25" t="n">
        <x:f>IF(Dashboard!$I$6="Flat %",1,IF(ISNUMBER(H525),1,0))</x:f>
        <x:v>0</x:v>
      </x:c>
      <x:c r="W525" s="9" t="str">
        <x:f>IF(Dashboard!$I$6="Flat %",G525*(1+Dashboard!$L$6),H525)</x:f>
        <x:v>n.a.</x:v>
      </x:c>
      <x:c r="X525" s="9" t="str">
        <x:f>IF(V525=1,R525*(W525-G525),"n.a.")</x:f>
        <x:v>n.a.</x:v>
      </x:c>
      <x:c r="Y525" s="9" t="str">
        <x:f>IF(V525=1,R525*W525,"n.a.")</x:f>
        <x:v>n.a.</x:v>
      </x:c>
      <x:c r="Z525" s="1" t="str">
        <x:f>IF(ISNUMBER(T525),R525-T525,"n.a.")</x:f>
        <x:v>n.a.</x:v>
      </x:c>
      <x:c r="AA525" s="1" t="str">
        <x:f>'Inventory inputs'!R525</x:f>
        <x:v>Review receipt reconciliation or original PO baseline</x:v>
      </x:c>
      <x:c r="AB525" s="1" t="str">
        <x:f>IF(L525=1,SUMIFS('Incoming POs'!$P$2:$P$305,'Incoming POs'!$A$2:$A$305,A525,'Incoming POs'!$B$2:$B$305,B525,'Incoming POs'!$C$2:$C$305,C525,'Incoming POs'!$G$2:$G$305,"&gt;="&amp;D525,'Incoming POs'!$G$2:$G$305,"&lt;"&amp;Dashboard!$I$5,'Incoming POs'!$Q$2:$Q$305,"&lt;="&amp;('Inventory inputs'!P525/'Inventory inputs'!J525*1.01)),"n.a.")</x:f>
        <x:v>n.a.</x:v>
      </x:c>
      <x:c r="AC525" s="9" t="n">
        <x:f>I525*G525</x:f>
        <x:v>0</x:v>
      </x:c>
      <x:c r="AD525" s="9" t="n">
        <x:f>J525*G525</x:f>
        <x:v>0</x:v>
      </x:c>
      <x:c r="AE525" s="9" t="n">
        <x:f>K525*G525</x:f>
        <x:v>113.63399999999999</x:v>
      </x:c>
      <x:c r="AF525" s="9" t="n">
        <x:f>R525*G525</x:f>
        <x:v>113.63399999999999</x:v>
      </x:c>
    </x:row>
    <x:row r="526" ht="21" customHeight="1">
      <x:c r="A526" s="1" t="str">
        <x:f>'Inventory inputs'!A526</x:f>
        <x:v>PLAS</x:v>
      </x:c>
      <x:c r="B526" s="1" t="str">
        <x:f>'Inventory inputs'!B526</x:f>
        <x:v>10</x:v>
      </x:c>
      <x:c r="C526" s="1" t="str">
        <x:f>'Inventory inputs'!C526</x:f>
        <x:v>01280RWBFG</x:v>
      </x:c>
      <x:c r="D526" s="7" t="n">
        <x:f>'Inventory inputs'!E526</x:f>
        <x:v>46303</x:v>
      </x:c>
      <x:c r="E526" s="1" t="n">
        <x:f>'Inventory inputs'!F526</x:f>
        <x:v>1250</x:v>
      </x:c>
      <x:c r="F526" s="1" t="n">
        <x:f>'Inventory inputs'!G526</x:f>
        <x:v>0</x:v>
      </x:c>
      <x:c r="G526" s="1" t="n">
        <x:f>'Inventory inputs'!H526/'Inventory inputs'!J526</x:f>
        <x:v>0.10619999999999999</x:v>
      </x:c>
      <x:c r="H526" s="1" t="str">
        <x:f>IF('Inventory inputs'!I526&gt;0,'Inventory inputs'!I526*'Inventory inputs'!K526/'Inventory inputs'!J526,"n.a.")</x:f>
        <x:v>n.a.</x:v>
      </x:c>
      <x:c r="I526" s="1" t="n">
        <x:f>'Inventory inputs'!L526</x:f>
        <x:v>0</x:v>
      </x:c>
      <x:c r="J526" s="1" t="n">
        <x:f>'Inventory inputs'!M526</x:f>
        <x:v>0</x:v>
      </x:c>
      <x:c r="K526" s="1" t="n">
        <x:f>'Inventory inputs'!N526</x:f>
        <x:v>1250</x:v>
      </x:c>
      <x:c r="L526" s="1" t="n">
        <x:f>'Inventory inputs'!O526</x:f>
        <x:v>0</x:v>
      </x:c>
      <x:c r="M526" s="9" t="n">
        <x:f>E526*G526</x:f>
        <x:v>132.75</x:v>
      </x:c>
      <x:c r="N526" s="9" t="n">
        <x:f>'Inventory inputs'!Q526</x:f>
        <x:v>132.74999999999997</x:v>
      </x:c>
      <x:c r="O526" s="9" t="n">
        <x:f>N526-M526</x:f>
        <x:v>-2.842170943040401e-14</x:v>
      </x:c>
      <x:c r="P526" s="1" t="n">
        <x:f>SUMIFS('Incoming POs'!$P$2:$P$305,'Incoming POs'!$A$2:$A$305,A526,'Incoming POs'!$B$2:$B$305,B526,'Incoming POs'!$C$2:$C$305,C526,'Incoming POs'!$G$2:$G$305,"&gt;="&amp;D526,'Incoming POs'!$G$2:$G$305,"&lt;"&amp;Dashboard!$I$5)</x:f>
        <x:v>0</x:v>
      </x:c>
      <x:c r="Q526" s="1" t="n">
        <x:f>F526*Dashboard!$L$5*MAX(0,Dashboard!$I$5-D526)/30.4375</x:f>
        <x:v>0</x:v>
      </x:c>
      <x:c r="R526" s="1" t="n">
        <x:f>MAX(0,E526+P526-Q526)</x:f>
        <x:v>1250</x:v>
      </x:c>
      <x:c r="S526" s="1" t="n">
        <x:f>MAX(0,Q526-E526-P526)</x:f>
        <x:v>0</x:v>
      </x:c>
      <x:c r="T526" s="1" t="str">
        <x:f>IF(L526=1,MAX(0,I526+AB526-MIN(Q526,E526+P526)),"n.a.")</x:f>
        <x:v>n.a.</x:v>
      </x:c>
      <x:c r="U526" s="9" t="str">
        <x:f>IF(ISNUMBER(T526),T526*G526,"n.a.")</x:f>
        <x:v>n.a.</x:v>
      </x:c>
      <x:c r="V526" s="25" t="n">
        <x:f>IF(Dashboard!$I$6="Flat %",1,IF(ISNUMBER(H526),1,0))</x:f>
        <x:v>0</x:v>
      </x:c>
      <x:c r="W526" s="9" t="str">
        <x:f>IF(Dashboard!$I$6="Flat %",G526*(1+Dashboard!$L$6),H526)</x:f>
        <x:v>n.a.</x:v>
      </x:c>
      <x:c r="X526" s="9" t="str">
        <x:f>IF(V526=1,R526*(W526-G526),"n.a.")</x:f>
        <x:v>n.a.</x:v>
      </x:c>
      <x:c r="Y526" s="9" t="str">
        <x:f>IF(V526=1,R526*W526,"n.a.")</x:f>
        <x:v>n.a.</x:v>
      </x:c>
      <x:c r="Z526" s="1" t="str">
        <x:f>IF(ISNUMBER(T526),R526-T526,"n.a.")</x:f>
        <x:v>n.a.</x:v>
      </x:c>
      <x:c r="AA526" s="1" t="str">
        <x:f>'Inventory inputs'!R526</x:f>
        <x:v>Review receipt reconciliation or original PO baseline</x:v>
      </x:c>
      <x:c r="AB526" s="1" t="str">
        <x:f>IF(L526=1,SUMIFS('Incoming POs'!$P$2:$P$305,'Incoming POs'!$A$2:$A$305,A526,'Incoming POs'!$B$2:$B$305,B526,'Incoming POs'!$C$2:$C$305,C526,'Incoming POs'!$G$2:$G$305,"&gt;="&amp;D526,'Incoming POs'!$G$2:$G$305,"&lt;"&amp;Dashboard!$I$5,'Incoming POs'!$Q$2:$Q$305,"&lt;="&amp;('Inventory inputs'!P526/'Inventory inputs'!J526*1.01)),"n.a.")</x:f>
        <x:v>n.a.</x:v>
      </x:c>
      <x:c r="AC526" s="9" t="n">
        <x:f>I526*G526</x:f>
        <x:v>0</x:v>
      </x:c>
      <x:c r="AD526" s="9" t="n">
        <x:f>J526*G526</x:f>
        <x:v>0</x:v>
      </x:c>
      <x:c r="AE526" s="9" t="n">
        <x:f>K526*G526</x:f>
        <x:v>132.75</x:v>
      </x:c>
      <x:c r="AF526" s="9" t="n">
        <x:f>R526*G526</x:f>
        <x:v>132.75</x:v>
      </x:c>
    </x:row>
    <x:row r="527" ht="21" customHeight="1">
      <x:c r="A527" s="1" t="str">
        <x:f>'Inventory inputs'!A527</x:f>
        <x:v>PLAS</x:v>
      </x:c>
      <x:c r="B527" s="1" t="str">
        <x:f>'Inventory inputs'!B527</x:f>
        <x:v>10</x:v>
      </x:c>
      <x:c r="C527" s="1" t="str">
        <x:f>'Inventory inputs'!C527</x:f>
        <x:v>01280RWBMAR</x:v>
      </x:c>
      <x:c r="D527" s="7" t="n">
        <x:f>'Inventory inputs'!E527</x:f>
        <x:v>46303</x:v>
      </x:c>
      <x:c r="E527" s="1" t="n">
        <x:f>'Inventory inputs'!F527</x:f>
        <x:v>804</x:v>
      </x:c>
      <x:c r="F527" s="1" t="n">
        <x:f>'Inventory inputs'!G527</x:f>
        <x:v>0</x:v>
      </x:c>
      <x:c r="G527" s="1" t="n">
        <x:f>'Inventory inputs'!H527/'Inventory inputs'!J527</x:f>
        <x:v>0.10619999999999999</x:v>
      </x:c>
      <x:c r="H527" s="1" t="str">
        <x:f>IF('Inventory inputs'!I527&gt;0,'Inventory inputs'!I527*'Inventory inputs'!K527/'Inventory inputs'!J527,"n.a.")</x:f>
        <x:v>n.a.</x:v>
      </x:c>
      <x:c r="I527" s="1" t="n">
        <x:f>'Inventory inputs'!L527</x:f>
        <x:v>0</x:v>
      </x:c>
      <x:c r="J527" s="1" t="n">
        <x:f>'Inventory inputs'!M527</x:f>
        <x:v>0</x:v>
      </x:c>
      <x:c r="K527" s="1" t="n">
        <x:f>'Inventory inputs'!N527</x:f>
        <x:v>804</x:v>
      </x:c>
      <x:c r="L527" s="1" t="n">
        <x:f>'Inventory inputs'!O527</x:f>
        <x:v>0</x:v>
      </x:c>
      <x:c r="M527" s="9" t="n">
        <x:f>E527*G527</x:f>
        <x:v>85.38479999999998</x:v>
      </x:c>
      <x:c r="N527" s="9" t="n">
        <x:f>'Inventory inputs'!Q527</x:f>
        <x:v>85.3848</x:v>
      </x:c>
      <x:c r="O527" s="9" t="n">
        <x:f>N527-M527</x:f>
        <x:v>1.4210854715202004e-14</x:v>
      </x:c>
      <x:c r="P527" s="1" t="n">
        <x:f>SUMIFS('Incoming POs'!$P$2:$P$305,'Incoming POs'!$A$2:$A$305,A527,'Incoming POs'!$B$2:$B$305,B527,'Incoming POs'!$C$2:$C$305,C527,'Incoming POs'!$G$2:$G$305,"&gt;="&amp;D527,'Incoming POs'!$G$2:$G$305,"&lt;"&amp;Dashboard!$I$5)</x:f>
        <x:v>0</x:v>
      </x:c>
      <x:c r="Q527" s="1" t="n">
        <x:f>F527*Dashboard!$L$5*MAX(0,Dashboard!$I$5-D527)/30.4375</x:f>
        <x:v>0</x:v>
      </x:c>
      <x:c r="R527" s="1" t="n">
        <x:f>MAX(0,E527+P527-Q527)</x:f>
        <x:v>804</x:v>
      </x:c>
      <x:c r="S527" s="1" t="n">
        <x:f>MAX(0,Q527-E527-P527)</x:f>
        <x:v>0</x:v>
      </x:c>
      <x:c r="T527" s="1" t="str">
        <x:f>IF(L527=1,MAX(0,I527+AB527-MIN(Q527,E527+P527)),"n.a.")</x:f>
        <x:v>n.a.</x:v>
      </x:c>
      <x:c r="U527" s="9" t="str">
        <x:f>IF(ISNUMBER(T527),T527*G527,"n.a.")</x:f>
        <x:v>n.a.</x:v>
      </x:c>
      <x:c r="V527" s="25" t="n">
        <x:f>IF(Dashboard!$I$6="Flat %",1,IF(ISNUMBER(H527),1,0))</x:f>
        <x:v>0</x:v>
      </x:c>
      <x:c r="W527" s="9" t="str">
        <x:f>IF(Dashboard!$I$6="Flat %",G527*(1+Dashboard!$L$6),H527)</x:f>
        <x:v>n.a.</x:v>
      </x:c>
      <x:c r="X527" s="9" t="str">
        <x:f>IF(V527=1,R527*(W527-G527),"n.a.")</x:f>
        <x:v>n.a.</x:v>
      </x:c>
      <x:c r="Y527" s="9" t="str">
        <x:f>IF(V527=1,R527*W527,"n.a.")</x:f>
        <x:v>n.a.</x:v>
      </x:c>
      <x:c r="Z527" s="1" t="str">
        <x:f>IF(ISNUMBER(T527),R527-T527,"n.a.")</x:f>
        <x:v>n.a.</x:v>
      </x:c>
      <x:c r="AA527" s="1" t="str">
        <x:f>'Inventory inputs'!R527</x:f>
        <x:v>Review receipt reconciliation or original PO baseline</x:v>
      </x:c>
      <x:c r="AB527" s="1" t="str">
        <x:f>IF(L527=1,SUMIFS('Incoming POs'!$P$2:$P$305,'Incoming POs'!$A$2:$A$305,A527,'Incoming POs'!$B$2:$B$305,B527,'Incoming POs'!$C$2:$C$305,C527,'Incoming POs'!$G$2:$G$305,"&gt;="&amp;D527,'Incoming POs'!$G$2:$G$305,"&lt;"&amp;Dashboard!$I$5,'Incoming POs'!$Q$2:$Q$305,"&lt;="&amp;('Inventory inputs'!P527/'Inventory inputs'!J527*1.01)),"n.a.")</x:f>
        <x:v>n.a.</x:v>
      </x:c>
      <x:c r="AC527" s="9" t="n">
        <x:f>I527*G527</x:f>
        <x:v>0</x:v>
      </x:c>
      <x:c r="AD527" s="9" t="n">
        <x:f>J527*G527</x:f>
        <x:v>0</x:v>
      </x:c>
      <x:c r="AE527" s="9" t="n">
        <x:f>K527*G527</x:f>
        <x:v>85.38479999999998</x:v>
      </x:c>
      <x:c r="AF527" s="9" t="n">
        <x:f>R527*G527</x:f>
        <x:v>85.38479999999998</x:v>
      </x:c>
    </x:row>
    <x:row r="528" ht="21" customHeight="1">
      <x:c r="A528" s="1" t="str">
        <x:f>'Inventory inputs'!A528</x:f>
        <x:v>PLAS</x:v>
      </x:c>
      <x:c r="B528" s="1" t="str">
        <x:f>'Inventory inputs'!B528</x:f>
        <x:v>10</x:v>
      </x:c>
      <x:c r="C528" s="1" t="str">
        <x:f>'Inventory inputs'!C528</x:f>
        <x:v>01280RWBNAV</x:v>
      </x:c>
      <x:c r="D528" s="7" t="n">
        <x:f>'Inventory inputs'!E528</x:f>
        <x:v>46303</x:v>
      </x:c>
      <x:c r="E528" s="1" t="n">
        <x:f>'Inventory inputs'!F528</x:f>
        <x:v>323</x:v>
      </x:c>
      <x:c r="F528" s="1" t="n">
        <x:f>'Inventory inputs'!G528</x:f>
        <x:v>0</x:v>
      </x:c>
      <x:c r="G528" s="1" t="n">
        <x:f>'Inventory inputs'!H528/'Inventory inputs'!J528</x:f>
        <x:v>0.10619999999999999</x:v>
      </x:c>
      <x:c r="H528" s="1" t="n">
        <x:f>IF('Inventory inputs'!I528&gt;0,'Inventory inputs'!I528*'Inventory inputs'!K528/'Inventory inputs'!J528,"n.a.")</x:f>
        <x:v>0.16214099999999998</x:v>
      </x:c>
      <x:c r="I528" s="1" t="n">
        <x:f>'Inventory inputs'!L528</x:f>
        <x:v>323</x:v>
      </x:c>
      <x:c r="J528" s="1" t="n">
        <x:f>'Inventory inputs'!M528</x:f>
        <x:v>0</x:v>
      </x:c>
      <x:c r="K528" s="1" t="n">
        <x:f>'Inventory inputs'!N528</x:f>
        <x:v>0</x:v>
      </x:c>
      <x:c r="L528" s="1" t="n">
        <x:f>'Inventory inputs'!O528</x:f>
        <x:v>1</x:v>
      </x:c>
      <x:c r="M528" s="9" t="n">
        <x:f>E528*G528</x:f>
        <x:v>34.3026</x:v>
      </x:c>
      <x:c r="N528" s="9" t="n">
        <x:f>'Inventory inputs'!Q528</x:f>
        <x:v>34.3026</x:v>
      </x:c>
      <x:c r="O528" s="9" t="n">
        <x:f>N528-M528</x:f>
        <x:v>0</x:v>
      </x:c>
      <x:c r="P528" s="1" t="n">
        <x:f>SUMIFS('Incoming POs'!$P$2:$P$305,'Incoming POs'!$A$2:$A$305,A528,'Incoming POs'!$B$2:$B$305,B528,'Incoming POs'!$C$2:$C$305,C528,'Incoming POs'!$G$2:$G$305,"&gt;="&amp;D528,'Incoming POs'!$G$2:$G$305,"&lt;"&amp;Dashboard!$I$5)</x:f>
        <x:v>0</x:v>
      </x:c>
      <x:c r="Q528" s="1" t="n">
        <x:f>F528*Dashboard!$L$5*MAX(0,Dashboard!$I$5-D528)/30.4375</x:f>
        <x:v>0</x:v>
      </x:c>
      <x:c r="R528" s="1" t="n">
        <x:f>MAX(0,E528+P528-Q528)</x:f>
        <x:v>323</x:v>
      </x:c>
      <x:c r="S528" s="1" t="n">
        <x:f>MAX(0,Q528-E528-P528)</x:f>
        <x:v>0</x:v>
      </x:c>
      <x:c r="T528" s="1" t="n">
        <x:f>IF(L528=1,MAX(0,I528+AB528-MIN(Q528,E528+P528)),"n.a.")</x:f>
        <x:v>323</x:v>
      </x:c>
      <x:c r="U528" s="9" t="n">
        <x:f>IF(ISNUMBER(T528),T528*G528,"n.a.")</x:f>
        <x:v>34.3026</x:v>
      </x:c>
      <x:c r="V528" s="25" t="n">
        <x:f>IF(Dashboard!$I$6="Flat %",1,IF(ISNUMBER(H528),1,0))</x:f>
        <x:v>1</x:v>
      </x:c>
      <x:c r="W528" s="9" t="n">
        <x:f>IF(Dashboard!$I$6="Flat %",G528*(1+Dashboard!$L$6),H528)</x:f>
        <x:v>0.16214099999999998</x:v>
      </x:c>
      <x:c r="X528" s="9" t="n">
        <x:f>IF(V528=1,R528*(W528-G528),"n.a.")</x:f>
        <x:v>18.068942999999997</x:v>
      </x:c>
      <x:c r="Y528" s="9" t="n">
        <x:f>IF(V528=1,R528*W528,"n.a.")</x:f>
        <x:v>52.371542999999996</x:v>
      </x:c>
      <x:c r="Z528" s="1" t="n">
        <x:f>IF(ISNUMBER(T528),R528-T528,"n.a.")</x:f>
        <x:v>0</x:v>
      </x:c>
      <x:c r="AA528" s="1" t="str">
        <x:f>'Inventory inputs'!R528</x:f>
        <x:v>Classified</x:v>
      </x:c>
      <x:c r="AB528" s="1" t="n">
        <x:f>IF(L528=1,SUMIFS('Incoming POs'!$P$2:$P$305,'Incoming POs'!$A$2:$A$305,A528,'Incoming POs'!$B$2:$B$305,B528,'Incoming POs'!$C$2:$C$305,C528,'Incoming POs'!$G$2:$G$305,"&gt;="&amp;D528,'Incoming POs'!$G$2:$G$305,"&lt;"&amp;Dashboard!$I$5,'Incoming POs'!$Q$2:$Q$305,"&lt;="&amp;('Inventory inputs'!P528/'Inventory inputs'!J528*1.01)),"n.a.")</x:f>
        <x:v>0</x:v>
      </x:c>
      <x:c r="AC528" s="9" t="n">
        <x:f>I528*G528</x:f>
        <x:v>34.3026</x:v>
      </x:c>
      <x:c r="AD528" s="9" t="n">
        <x:f>J528*G528</x:f>
        <x:v>0</x:v>
      </x:c>
      <x:c r="AE528" s="9" t="n">
        <x:f>K528*G528</x:f>
        <x:v>0</x:v>
      </x:c>
      <x:c r="AF528" s="9" t="n">
        <x:f>R528*G528</x:f>
        <x:v>34.3026</x:v>
      </x:c>
    </x:row>
    <x:row r="529" ht="21" customHeight="1">
      <x:c r="A529" s="1" t="str">
        <x:f>'Inventory inputs'!A529</x:f>
        <x:v>PLAS</x:v>
      </x:c>
      <x:c r="B529" s="1" t="str">
        <x:f>'Inventory inputs'!B529</x:f>
        <x:v>10</x:v>
      </x:c>
      <x:c r="C529" s="1" t="str">
        <x:f>'Inventory inputs'!C529</x:f>
        <x:v>01280RWBRED</x:v>
      </x:c>
      <x:c r="D529" s="7" t="n">
        <x:f>'Inventory inputs'!E529</x:f>
        <x:v>46303</x:v>
      </x:c>
      <x:c r="E529" s="1" t="n">
        <x:f>'Inventory inputs'!F529</x:f>
        <x:v>2179</x:v>
      </x:c>
      <x:c r="F529" s="1" t="n">
        <x:f>'Inventory inputs'!G529</x:f>
        <x:v>0</x:v>
      </x:c>
      <x:c r="G529" s="1" t="n">
        <x:f>'Inventory inputs'!H529/'Inventory inputs'!J529</x:f>
        <x:v>0.10619999999999999</x:v>
      </x:c>
      <x:c r="H529" s="1" t="str">
        <x:f>IF('Inventory inputs'!I529&gt;0,'Inventory inputs'!I529*'Inventory inputs'!K529/'Inventory inputs'!J529,"n.a.")</x:f>
        <x:v>n.a.</x:v>
      </x:c>
      <x:c r="I529" s="1" t="n">
        <x:f>'Inventory inputs'!L529</x:f>
        <x:v>0</x:v>
      </x:c>
      <x:c r="J529" s="1" t="n">
        <x:f>'Inventory inputs'!M529</x:f>
        <x:v>0</x:v>
      </x:c>
      <x:c r="K529" s="1" t="n">
        <x:f>'Inventory inputs'!N529</x:f>
        <x:v>2179</x:v>
      </x:c>
      <x:c r="L529" s="1" t="n">
        <x:f>'Inventory inputs'!O529</x:f>
        <x:v>0</x:v>
      </x:c>
      <x:c r="M529" s="9" t="n">
        <x:f>E529*G529</x:f>
        <x:v>231.40979999999996</x:v>
      </x:c>
      <x:c r="N529" s="9" t="n">
        <x:f>'Inventory inputs'!Q529</x:f>
        <x:v>231.4098</x:v>
      </x:c>
      <x:c r="O529" s="9" t="n">
        <x:f>N529-M529</x:f>
        <x:v>2.842170943040401e-14</x:v>
      </x:c>
      <x:c r="P529" s="1" t="n">
        <x:f>SUMIFS('Incoming POs'!$P$2:$P$305,'Incoming POs'!$A$2:$A$305,A529,'Incoming POs'!$B$2:$B$305,B529,'Incoming POs'!$C$2:$C$305,C529,'Incoming POs'!$G$2:$G$305,"&gt;="&amp;D529,'Incoming POs'!$G$2:$G$305,"&lt;"&amp;Dashboard!$I$5)</x:f>
        <x:v>0</x:v>
      </x:c>
      <x:c r="Q529" s="1" t="n">
        <x:f>F529*Dashboard!$L$5*MAX(0,Dashboard!$I$5-D529)/30.4375</x:f>
        <x:v>0</x:v>
      </x:c>
      <x:c r="R529" s="1" t="n">
        <x:f>MAX(0,E529+P529-Q529)</x:f>
        <x:v>2179</x:v>
      </x:c>
      <x:c r="S529" s="1" t="n">
        <x:f>MAX(0,Q529-E529-P529)</x:f>
        <x:v>0</x:v>
      </x:c>
      <x:c r="T529" s="1" t="str">
        <x:f>IF(L529=1,MAX(0,I529+AB529-MIN(Q529,E529+P529)),"n.a.")</x:f>
        <x:v>n.a.</x:v>
      </x:c>
      <x:c r="U529" s="9" t="str">
        <x:f>IF(ISNUMBER(T529),T529*G529,"n.a.")</x:f>
        <x:v>n.a.</x:v>
      </x:c>
      <x:c r="V529" s="25" t="n">
        <x:f>IF(Dashboard!$I$6="Flat %",1,IF(ISNUMBER(H529),1,0))</x:f>
        <x:v>0</x:v>
      </x:c>
      <x:c r="W529" s="9" t="str">
        <x:f>IF(Dashboard!$I$6="Flat %",G529*(1+Dashboard!$L$6),H529)</x:f>
        <x:v>n.a.</x:v>
      </x:c>
      <x:c r="X529" s="9" t="str">
        <x:f>IF(V529=1,R529*(W529-G529),"n.a.")</x:f>
        <x:v>n.a.</x:v>
      </x:c>
      <x:c r="Y529" s="9" t="str">
        <x:f>IF(V529=1,R529*W529,"n.a.")</x:f>
        <x:v>n.a.</x:v>
      </x:c>
      <x:c r="Z529" s="1" t="str">
        <x:f>IF(ISNUMBER(T529),R529-T529,"n.a.")</x:f>
        <x:v>n.a.</x:v>
      </x:c>
      <x:c r="AA529" s="1" t="str">
        <x:f>'Inventory inputs'!R529</x:f>
        <x:v>Review receipt reconciliation or original PO baseline</x:v>
      </x:c>
      <x:c r="AB529" s="1" t="str">
        <x:f>IF(L529=1,SUMIFS('Incoming POs'!$P$2:$P$305,'Incoming POs'!$A$2:$A$305,A529,'Incoming POs'!$B$2:$B$305,B529,'Incoming POs'!$C$2:$C$305,C529,'Incoming POs'!$G$2:$G$305,"&gt;="&amp;D529,'Incoming POs'!$G$2:$G$305,"&lt;"&amp;Dashboard!$I$5,'Incoming POs'!$Q$2:$Q$305,"&lt;="&amp;('Inventory inputs'!P529/'Inventory inputs'!J529*1.01)),"n.a.")</x:f>
        <x:v>n.a.</x:v>
      </x:c>
      <x:c r="AC529" s="9" t="n">
        <x:f>I529*G529</x:f>
        <x:v>0</x:v>
      </x:c>
      <x:c r="AD529" s="9" t="n">
        <x:f>J529*G529</x:f>
        <x:v>0</x:v>
      </x:c>
      <x:c r="AE529" s="9" t="n">
        <x:f>K529*G529</x:f>
        <x:v>231.40979999999996</x:v>
      </x:c>
      <x:c r="AF529" s="9" t="n">
        <x:f>R529*G529</x:f>
        <x:v>231.40979999999996</x:v>
      </x:c>
    </x:row>
    <x:row r="530" ht="21" customHeight="1">
      <x:c r="A530" s="1" t="str">
        <x:f>'Inventory inputs'!A530</x:f>
        <x:v>PLAS</x:v>
      </x:c>
      <x:c r="B530" s="1" t="str">
        <x:f>'Inventory inputs'!B530</x:f>
        <x:v>10</x:v>
      </x:c>
      <x:c r="C530" s="1" t="str">
        <x:f>'Inventory inputs'!C530</x:f>
        <x:v>01280RWBWHT</x:v>
      </x:c>
      <x:c r="D530" s="7" t="n">
        <x:f>'Inventory inputs'!E530</x:f>
        <x:v>46303</x:v>
      </x:c>
      <x:c r="E530" s="1" t="n">
        <x:f>'Inventory inputs'!F530</x:f>
        <x:v>518</x:v>
      </x:c>
      <x:c r="F530" s="1" t="n">
        <x:f>'Inventory inputs'!G530</x:f>
        <x:v>0</x:v>
      </x:c>
      <x:c r="G530" s="1" t="n">
        <x:f>'Inventory inputs'!H530/'Inventory inputs'!J530</x:f>
        <x:v>0.1386</x:v>
      </x:c>
      <x:c r="H530" s="1" t="n">
        <x:f>IF('Inventory inputs'!I530&gt;0,'Inventory inputs'!I530*'Inventory inputs'!K530/'Inventory inputs'!J530,"n.a.")</x:f>
        <x:v>0.16214099999999998</x:v>
      </x:c>
      <x:c r="I530" s="1" t="n">
        <x:f>'Inventory inputs'!L530</x:f>
        <x:v>518</x:v>
      </x:c>
      <x:c r="J530" s="1" t="n">
        <x:f>'Inventory inputs'!M530</x:f>
        <x:v>0</x:v>
      </x:c>
      <x:c r="K530" s="1" t="n">
        <x:f>'Inventory inputs'!N530</x:f>
        <x:v>0</x:v>
      </x:c>
      <x:c r="L530" s="1" t="n">
        <x:f>'Inventory inputs'!O530</x:f>
        <x:v>1</x:v>
      </x:c>
      <x:c r="M530" s="9" t="n">
        <x:f>E530*G530</x:f>
        <x:v>71.7948</x:v>
      </x:c>
      <x:c r="N530" s="9" t="n">
        <x:f>'Inventory inputs'!Q530</x:f>
        <x:v>71.7948</x:v>
      </x:c>
      <x:c r="O530" s="9" t="n">
        <x:f>N530-M530</x:f>
        <x:v>0</x:v>
      </x:c>
      <x:c r="P530" s="1" t="n">
        <x:f>SUMIFS('Incoming POs'!$P$2:$P$305,'Incoming POs'!$A$2:$A$305,A530,'Incoming POs'!$B$2:$B$305,B530,'Incoming POs'!$C$2:$C$305,C530,'Incoming POs'!$G$2:$G$305,"&gt;="&amp;D530,'Incoming POs'!$G$2:$G$305,"&lt;"&amp;Dashboard!$I$5)</x:f>
        <x:v>700</x:v>
      </x:c>
      <x:c r="Q530" s="1" t="n">
        <x:f>F530*Dashboard!$L$5*MAX(0,Dashboard!$I$5-D530)/30.4375</x:f>
        <x:v>0</x:v>
      </x:c>
      <x:c r="R530" s="1" t="n">
        <x:f>MAX(0,E530+P530-Q530)</x:f>
        <x:v>1218</x:v>
      </x:c>
      <x:c r="S530" s="1" t="n">
        <x:f>MAX(0,Q530-E530-P530)</x:f>
        <x:v>0</x:v>
      </x:c>
      <x:c r="T530" s="1" t="n">
        <x:f>IF(L530=1,MAX(0,I530+AB530-MIN(Q530,E530+P530)),"n.a.")</x:f>
        <x:v>518</x:v>
      </x:c>
      <x:c r="U530" s="9" t="n">
        <x:f>IF(ISNUMBER(T530),T530*G530,"n.a.")</x:f>
        <x:v>71.7948</x:v>
      </x:c>
      <x:c r="V530" s="25" t="n">
        <x:f>IF(Dashboard!$I$6="Flat %",1,IF(ISNUMBER(H530),1,0))</x:f>
        <x:v>1</x:v>
      </x:c>
      <x:c r="W530" s="9" t="n">
        <x:f>IF(Dashboard!$I$6="Flat %",G530*(1+Dashboard!$L$6),H530)</x:f>
        <x:v>0.16214099999999998</x:v>
      </x:c>
      <x:c r="X530" s="9" t="n">
        <x:f>IF(V530=1,R530*(W530-G530),"n.a.")</x:f>
        <x:v>28.672937999999974</x:v>
      </x:c>
      <x:c r="Y530" s="9" t="n">
        <x:f>IF(V530=1,R530*W530,"n.a.")</x:f>
        <x:v>197.48773799999998</x:v>
      </x:c>
      <x:c r="Z530" s="1" t="n">
        <x:f>IF(ISNUMBER(T530),R530-T530,"n.a.")</x:f>
        <x:v>700</x:v>
      </x:c>
      <x:c r="AA530" s="1" t="str">
        <x:f>'Inventory inputs'!R530</x:f>
        <x:v>Classified</x:v>
      </x:c>
      <x:c r="AB530" s="1" t="n">
        <x:f>IF(L530=1,SUMIFS('Incoming POs'!$P$2:$P$305,'Incoming POs'!$A$2:$A$305,A530,'Incoming POs'!$B$2:$B$305,B530,'Incoming POs'!$C$2:$C$305,C530,'Incoming POs'!$G$2:$G$305,"&gt;="&amp;D530,'Incoming POs'!$G$2:$G$305,"&lt;"&amp;Dashboard!$I$5,'Incoming POs'!$Q$2:$Q$305,"&lt;="&amp;('Inventory inputs'!P530/'Inventory inputs'!J530*1.01)),"n.a.")</x:f>
        <x:v>0</x:v>
      </x:c>
      <x:c r="AC530" s="9" t="n">
        <x:f>I530*G530</x:f>
        <x:v>71.7948</x:v>
      </x:c>
      <x:c r="AD530" s="9" t="n">
        <x:f>J530*G530</x:f>
        <x:v>0</x:v>
      </x:c>
      <x:c r="AE530" s="9" t="n">
        <x:f>K530*G530</x:f>
        <x:v>0</x:v>
      </x:c>
      <x:c r="AF530" s="9" t="n">
        <x:f>R530*G530</x:f>
        <x:v>168.8148</x:v>
      </x:c>
    </x:row>
    <x:row r="531" ht="21" customHeight="1">
      <x:c r="A531" s="1" t="str">
        <x:f>'Inventory inputs'!A531</x:f>
        <x:v>PLAS</x:v>
      </x:c>
      <x:c r="B531" s="1" t="str">
        <x:f>'Inventory inputs'!B531</x:f>
        <x:v>10</x:v>
      </x:c>
      <x:c r="C531" s="1" t="str">
        <x:f>'Inventory inputs'!C531</x:f>
        <x:v>01415RWBBLK</x:v>
      </x:c>
      <x:c r="D531" s="7" t="n">
        <x:f>'Inventory inputs'!E531</x:f>
        <x:v>46303</x:v>
      </x:c>
      <x:c r="E531" s="1" t="n">
        <x:f>'Inventory inputs'!F531</x:f>
        <x:v>9449</x:v>
      </x:c>
      <x:c r="F531" s="1" t="n">
        <x:f>'Inventory inputs'!G531</x:f>
        <x:v>0</x:v>
      </x:c>
      <x:c r="G531" s="1" t="n">
        <x:f>'Inventory inputs'!H531/'Inventory inputs'!J531</x:f>
        <x:v>0.0116</x:v>
      </x:c>
      <x:c r="H531" s="1" t="n">
        <x:f>IF('Inventory inputs'!I531&gt;0,'Inventory inputs'!I531*'Inventory inputs'!K531/'Inventory inputs'!J531,"n.a.")</x:f>
        <x:v>0.013524000000000001</x:v>
      </x:c>
      <x:c r="I531" s="1" t="n">
        <x:f>'Inventory inputs'!L531</x:f>
        <x:v>0</x:v>
      </x:c>
      <x:c r="J531" s="1" t="n">
        <x:f>'Inventory inputs'!M531</x:f>
        <x:v>0</x:v>
      </x:c>
      <x:c r="K531" s="1" t="n">
        <x:f>'Inventory inputs'!N531</x:f>
        <x:v>9449</x:v>
      </x:c>
      <x:c r="L531" s="1" t="n">
        <x:f>'Inventory inputs'!O531</x:f>
        <x:v>0</x:v>
      </x:c>
      <x:c r="M531" s="9" t="n">
        <x:f>E531*G531</x:f>
        <x:v>109.60839999999999</x:v>
      </x:c>
      <x:c r="N531" s="9" t="n">
        <x:f>'Inventory inputs'!Q531</x:f>
        <x:v>109.6084</x:v>
      </x:c>
      <x:c r="O531" s="9" t="n">
        <x:f>N531-M531</x:f>
        <x:v>1.4210854715202004e-14</x:v>
      </x:c>
      <x:c r="P531" s="1" t="n">
        <x:f>SUMIFS('Incoming POs'!$P$2:$P$305,'Incoming POs'!$A$2:$A$305,A531,'Incoming POs'!$B$2:$B$305,B531,'Incoming POs'!$C$2:$C$305,C531,'Incoming POs'!$G$2:$G$305,"&gt;="&amp;D531,'Incoming POs'!$G$2:$G$305,"&lt;"&amp;Dashboard!$I$5)</x:f>
        <x:v>0</x:v>
      </x:c>
      <x:c r="Q531" s="1" t="n">
        <x:f>F531*Dashboard!$L$5*MAX(0,Dashboard!$I$5-D531)/30.4375</x:f>
        <x:v>0</x:v>
      </x:c>
      <x:c r="R531" s="1" t="n">
        <x:f>MAX(0,E531+P531-Q531)</x:f>
        <x:v>9449</x:v>
      </x:c>
      <x:c r="S531" s="1" t="n">
        <x:f>MAX(0,Q531-E531-P531)</x:f>
        <x:v>0</x:v>
      </x:c>
      <x:c r="T531" s="1" t="str">
        <x:f>IF(L531=1,MAX(0,I531+AB531-MIN(Q531,E531+P531)),"n.a.")</x:f>
        <x:v>n.a.</x:v>
      </x:c>
      <x:c r="U531" s="9" t="str">
        <x:f>IF(ISNUMBER(T531),T531*G531,"n.a.")</x:f>
        <x:v>n.a.</x:v>
      </x:c>
      <x:c r="V531" s="25" t="n">
        <x:f>IF(Dashboard!$I$6="Flat %",1,IF(ISNUMBER(H531),1,0))</x:f>
        <x:v>1</x:v>
      </x:c>
      <x:c r="W531" s="9" t="n">
        <x:f>IF(Dashboard!$I$6="Flat %",G531*(1+Dashboard!$L$6),H531)</x:f>
        <x:v>0.013524000000000001</x:v>
      </x:c>
      <x:c r="X531" s="9" t="n">
        <x:f>IF(V531=1,R531*(W531-G531),"n.a.")</x:f>
        <x:v>18.17987600000002</x:v>
      </x:c>
      <x:c r="Y531" s="9" t="n">
        <x:f>IF(V531=1,R531*W531,"n.a.")</x:f>
        <x:v>127.78827600000001</x:v>
      </x:c>
      <x:c r="Z531" s="1" t="str">
        <x:f>IF(ISNUMBER(T531),R531-T531,"n.a.")</x:f>
        <x:v>n.a.</x:v>
      </x:c>
      <x:c r="AA531" s="1" t="str">
        <x:f>'Inventory inputs'!R531</x:f>
        <x:v>Review receipt reconciliation or original PO baseline</x:v>
      </x:c>
      <x:c r="AB531" s="1" t="str">
        <x:f>IF(L531=1,SUMIFS('Incoming POs'!$P$2:$P$305,'Incoming POs'!$A$2:$A$305,A531,'Incoming POs'!$B$2:$B$305,B531,'Incoming POs'!$C$2:$C$305,C531,'Incoming POs'!$G$2:$G$305,"&gt;="&amp;D531,'Incoming POs'!$G$2:$G$305,"&lt;"&amp;Dashboard!$I$5,'Incoming POs'!$Q$2:$Q$305,"&lt;="&amp;('Inventory inputs'!P531/'Inventory inputs'!J531*1.01)),"n.a.")</x:f>
        <x:v>n.a.</x:v>
      </x:c>
      <x:c r="AC531" s="9" t="n">
        <x:f>I531*G531</x:f>
        <x:v>0</x:v>
      </x:c>
      <x:c r="AD531" s="9" t="n">
        <x:f>J531*G531</x:f>
        <x:v>0</x:v>
      </x:c>
      <x:c r="AE531" s="9" t="n">
        <x:f>K531*G531</x:f>
        <x:v>109.60839999999999</x:v>
      </x:c>
      <x:c r="AF531" s="9" t="n">
        <x:f>R531*G531</x:f>
        <x:v>109.60839999999999</x:v>
      </x:c>
    </x:row>
    <x:row r="532" ht="21" customHeight="1">
      <x:c r="A532" s="1" t="str">
        <x:f>'Inventory inputs'!A532</x:f>
        <x:v>PLAS</x:v>
      </x:c>
      <x:c r="B532" s="1" t="str">
        <x:f>'Inventory inputs'!B532</x:f>
        <x:v>10</x:v>
      </x:c>
      <x:c r="C532" s="1" t="str">
        <x:f>'Inventory inputs'!C532</x:f>
        <x:v>01415RWBFG</x:v>
      </x:c>
      <x:c r="D532" s="7" t="n">
        <x:f>'Inventory inputs'!E532</x:f>
        <x:v>46303</x:v>
      </x:c>
      <x:c r="E532" s="1" t="n">
        <x:f>'Inventory inputs'!F532</x:f>
        <x:v>2595</x:v>
      </x:c>
      <x:c r="F532" s="1" t="n">
        <x:f>'Inventory inputs'!G532</x:f>
        <x:v>0</x:v>
      </x:c>
      <x:c r="G532" s="1" t="n">
        <x:f>'Inventory inputs'!H532/'Inventory inputs'!J532</x:f>
        <x:v>0.0083</x:v>
      </x:c>
      <x:c r="H532" s="1" t="n">
        <x:f>IF('Inventory inputs'!I532&gt;0,'Inventory inputs'!I532*'Inventory inputs'!K532/'Inventory inputs'!J532,"n.a.")</x:f>
        <x:v>0.013524000000000001</x:v>
      </x:c>
      <x:c r="I532" s="1" t="n">
        <x:f>'Inventory inputs'!L532</x:f>
        <x:v>0</x:v>
      </x:c>
      <x:c r="J532" s="1" t="n">
        <x:f>'Inventory inputs'!M532</x:f>
        <x:v>0</x:v>
      </x:c>
      <x:c r="K532" s="1" t="n">
        <x:f>'Inventory inputs'!N532</x:f>
        <x:v>2595</x:v>
      </x:c>
      <x:c r="L532" s="1" t="n">
        <x:f>'Inventory inputs'!O532</x:f>
        <x:v>0</x:v>
      </x:c>
      <x:c r="M532" s="9" t="n">
        <x:f>E532*G532</x:f>
        <x:v>21.5385</x:v>
      </x:c>
      <x:c r="N532" s="9" t="n">
        <x:f>'Inventory inputs'!Q532</x:f>
        <x:v>21.5385</x:v>
      </x:c>
      <x:c r="O532" s="9" t="n">
        <x:f>N532-M532</x:f>
        <x:v>0</x:v>
      </x:c>
      <x:c r="P532" s="1" t="n">
        <x:f>SUMIFS('Incoming POs'!$P$2:$P$305,'Incoming POs'!$A$2:$A$305,A532,'Incoming POs'!$B$2:$B$305,B532,'Incoming POs'!$C$2:$C$305,C532,'Incoming POs'!$G$2:$G$305,"&gt;="&amp;D532,'Incoming POs'!$G$2:$G$305,"&lt;"&amp;Dashboard!$I$5)</x:f>
        <x:v>0</x:v>
      </x:c>
      <x:c r="Q532" s="1" t="n">
        <x:f>F532*Dashboard!$L$5*MAX(0,Dashboard!$I$5-D532)/30.4375</x:f>
        <x:v>0</x:v>
      </x:c>
      <x:c r="R532" s="1" t="n">
        <x:f>MAX(0,E532+P532-Q532)</x:f>
        <x:v>2595</x:v>
      </x:c>
      <x:c r="S532" s="1" t="n">
        <x:f>MAX(0,Q532-E532-P532)</x:f>
        <x:v>0</x:v>
      </x:c>
      <x:c r="T532" s="1" t="str">
        <x:f>IF(L532=1,MAX(0,I532+AB532-MIN(Q532,E532+P532)),"n.a.")</x:f>
        <x:v>n.a.</x:v>
      </x:c>
      <x:c r="U532" s="9" t="str">
        <x:f>IF(ISNUMBER(T532),T532*G532,"n.a.")</x:f>
        <x:v>n.a.</x:v>
      </x:c>
      <x:c r="V532" s="25" t="n">
        <x:f>IF(Dashboard!$I$6="Flat %",1,IF(ISNUMBER(H532),1,0))</x:f>
        <x:v>1</x:v>
      </x:c>
      <x:c r="W532" s="9" t="n">
        <x:f>IF(Dashboard!$I$6="Flat %",G532*(1+Dashboard!$L$6),H532)</x:f>
        <x:v>0.013524000000000001</x:v>
      </x:c>
      <x:c r="X532" s="9" t="n">
        <x:f>IF(V532=1,R532*(W532-G532),"n.a.")</x:f>
        <x:v>13.556280000000003</x:v>
      </x:c>
      <x:c r="Y532" s="9" t="n">
        <x:f>IF(V532=1,R532*W532,"n.a.")</x:f>
        <x:v>35.09478</x:v>
      </x:c>
      <x:c r="Z532" s="1" t="str">
        <x:f>IF(ISNUMBER(T532),R532-T532,"n.a.")</x:f>
        <x:v>n.a.</x:v>
      </x:c>
      <x:c r="AA532" s="1" t="str">
        <x:f>'Inventory inputs'!R532</x:f>
        <x:v>Review receipt reconciliation or original PO baseline</x:v>
      </x:c>
      <x:c r="AB532" s="1" t="str">
        <x:f>IF(L532=1,SUMIFS('Incoming POs'!$P$2:$P$305,'Incoming POs'!$A$2:$A$305,A532,'Incoming POs'!$B$2:$B$305,B532,'Incoming POs'!$C$2:$C$305,C532,'Incoming POs'!$G$2:$G$305,"&gt;="&amp;D532,'Incoming POs'!$G$2:$G$305,"&lt;"&amp;Dashboard!$I$5,'Incoming POs'!$Q$2:$Q$305,"&lt;="&amp;('Inventory inputs'!P532/'Inventory inputs'!J532*1.01)),"n.a.")</x:f>
        <x:v>n.a.</x:v>
      </x:c>
      <x:c r="AC532" s="9" t="n">
        <x:f>I532*G532</x:f>
        <x:v>0</x:v>
      </x:c>
      <x:c r="AD532" s="9" t="n">
        <x:f>J532*G532</x:f>
        <x:v>0</x:v>
      </x:c>
      <x:c r="AE532" s="9" t="n">
        <x:f>K532*G532</x:f>
        <x:v>21.5385</x:v>
      </x:c>
      <x:c r="AF532" s="9" t="n">
        <x:f>R532*G532</x:f>
        <x:v>21.5385</x:v>
      </x:c>
    </x:row>
    <x:row r="533" ht="21" customHeight="1">
      <x:c r="A533" s="1" t="str">
        <x:f>'Inventory inputs'!A533</x:f>
        <x:v>PLAS</x:v>
      </x:c>
      <x:c r="B533" s="1" t="str">
        <x:f>'Inventory inputs'!B533</x:f>
        <x:v>10</x:v>
      </x:c>
      <x:c r="C533" s="1" t="str">
        <x:f>'Inventory inputs'!C533</x:f>
        <x:v>01415RWBMAR</x:v>
      </x:c>
      <x:c r="D533" s="7" t="n">
        <x:f>'Inventory inputs'!E533</x:f>
        <x:v>46303</x:v>
      </x:c>
      <x:c r="E533" s="1" t="n">
        <x:f>'Inventory inputs'!F533</x:f>
        <x:v>10000</x:v>
      </x:c>
      <x:c r="F533" s="1" t="n">
        <x:f>'Inventory inputs'!G533</x:f>
        <x:v>0</x:v>
      </x:c>
      <x:c r="G533" s="1" t="n">
        <x:f>'Inventory inputs'!H533/'Inventory inputs'!J533</x:f>
        <x:v>0.0083</x:v>
      </x:c>
      <x:c r="H533" s="1" t="n">
        <x:f>IF('Inventory inputs'!I533&gt;0,'Inventory inputs'!I533*'Inventory inputs'!K533/'Inventory inputs'!J533,"n.a.")</x:f>
        <x:v>0.013524000000000001</x:v>
      </x:c>
      <x:c r="I533" s="1" t="n">
        <x:f>'Inventory inputs'!L533</x:f>
        <x:v>0</x:v>
      </x:c>
      <x:c r="J533" s="1" t="n">
        <x:f>'Inventory inputs'!M533</x:f>
        <x:v>0</x:v>
      </x:c>
      <x:c r="K533" s="1" t="n">
        <x:f>'Inventory inputs'!N533</x:f>
        <x:v>10000</x:v>
      </x:c>
      <x:c r="L533" s="1" t="n">
        <x:f>'Inventory inputs'!O533</x:f>
        <x:v>0</x:v>
      </x:c>
      <x:c r="M533" s="9" t="n">
        <x:f>E533*G533</x:f>
        <x:v>83</x:v>
      </x:c>
      <x:c r="N533" s="9" t="n">
        <x:f>'Inventory inputs'!Q533</x:f>
        <x:v>83</x:v>
      </x:c>
      <x:c r="O533" s="9" t="n">
        <x:f>N533-M533</x:f>
        <x:v>0</x:v>
      </x:c>
      <x:c r="P533" s="1" t="n">
        <x:f>SUMIFS('Incoming POs'!$P$2:$P$305,'Incoming POs'!$A$2:$A$305,A533,'Incoming POs'!$B$2:$B$305,B533,'Incoming POs'!$C$2:$C$305,C533,'Incoming POs'!$G$2:$G$305,"&gt;="&amp;D533,'Incoming POs'!$G$2:$G$305,"&lt;"&amp;Dashboard!$I$5)</x:f>
        <x:v>0</x:v>
      </x:c>
      <x:c r="Q533" s="1" t="n">
        <x:f>F533*Dashboard!$L$5*MAX(0,Dashboard!$I$5-D533)/30.4375</x:f>
        <x:v>0</x:v>
      </x:c>
      <x:c r="R533" s="1" t="n">
        <x:f>MAX(0,E533+P533-Q533)</x:f>
        <x:v>10000</x:v>
      </x:c>
      <x:c r="S533" s="1" t="n">
        <x:f>MAX(0,Q533-E533-P533)</x:f>
        <x:v>0</x:v>
      </x:c>
      <x:c r="T533" s="1" t="str">
        <x:f>IF(L533=1,MAX(0,I533+AB533-MIN(Q533,E533+P533)),"n.a.")</x:f>
        <x:v>n.a.</x:v>
      </x:c>
      <x:c r="U533" s="9" t="str">
        <x:f>IF(ISNUMBER(T533),T533*G533,"n.a.")</x:f>
        <x:v>n.a.</x:v>
      </x:c>
      <x:c r="V533" s="25" t="n">
        <x:f>IF(Dashboard!$I$6="Flat %",1,IF(ISNUMBER(H533),1,0))</x:f>
        <x:v>1</x:v>
      </x:c>
      <x:c r="W533" s="9" t="n">
        <x:f>IF(Dashboard!$I$6="Flat %",G533*(1+Dashboard!$L$6),H533)</x:f>
        <x:v>0.013524000000000001</x:v>
      </x:c>
      <x:c r="X533" s="9" t="n">
        <x:f>IF(V533=1,R533*(W533-G533),"n.a.")</x:f>
        <x:v>52.24000000000001</x:v>
      </x:c>
      <x:c r="Y533" s="9" t="n">
        <x:f>IF(V533=1,R533*W533,"n.a.")</x:f>
        <x:v>135.24</x:v>
      </x:c>
      <x:c r="Z533" s="1" t="str">
        <x:f>IF(ISNUMBER(T533),R533-T533,"n.a.")</x:f>
        <x:v>n.a.</x:v>
      </x:c>
      <x:c r="AA533" s="1" t="str">
        <x:f>'Inventory inputs'!R533</x:f>
        <x:v>Review receipt reconciliation or original PO baseline</x:v>
      </x:c>
      <x:c r="AB533" s="1" t="str">
        <x:f>IF(L533=1,SUMIFS('Incoming POs'!$P$2:$P$305,'Incoming POs'!$A$2:$A$305,A533,'Incoming POs'!$B$2:$B$305,B533,'Incoming POs'!$C$2:$C$305,C533,'Incoming POs'!$G$2:$G$305,"&gt;="&amp;D533,'Incoming POs'!$G$2:$G$305,"&lt;"&amp;Dashboard!$I$5,'Incoming POs'!$Q$2:$Q$305,"&lt;="&amp;('Inventory inputs'!P533/'Inventory inputs'!J533*1.01)),"n.a.")</x:f>
        <x:v>n.a.</x:v>
      </x:c>
      <x:c r="AC533" s="9" t="n">
        <x:f>I533*G533</x:f>
        <x:v>0</x:v>
      </x:c>
      <x:c r="AD533" s="9" t="n">
        <x:f>J533*G533</x:f>
        <x:v>0</x:v>
      </x:c>
      <x:c r="AE533" s="9" t="n">
        <x:f>K533*G533</x:f>
        <x:v>83</x:v>
      </x:c>
      <x:c r="AF533" s="9" t="n">
        <x:f>R533*G533</x:f>
        <x:v>83</x:v>
      </x:c>
    </x:row>
    <x:row r="534" ht="21" customHeight="1">
      <x:c r="A534" s="1" t="str">
        <x:f>'Inventory inputs'!A534</x:f>
        <x:v>PLAS</x:v>
      </x:c>
      <x:c r="B534" s="1" t="str">
        <x:f>'Inventory inputs'!B534</x:f>
        <x:v>10</x:v>
      </x:c>
      <x:c r="C534" s="1" t="str">
        <x:f>'Inventory inputs'!C534</x:f>
        <x:v>01415RWBNAV</x:v>
      </x:c>
      <x:c r="D534" s="7" t="n">
        <x:f>'Inventory inputs'!E534</x:f>
        <x:v>46303</x:v>
      </x:c>
      <x:c r="E534" s="1" t="n">
        <x:f>'Inventory inputs'!F534</x:f>
        <x:v>6034</x:v>
      </x:c>
      <x:c r="F534" s="1" t="n">
        <x:f>'Inventory inputs'!G534</x:f>
        <x:v>0</x:v>
      </x:c>
      <x:c r="G534" s="1" t="n">
        <x:f>'Inventory inputs'!H534/'Inventory inputs'!J534</x:f>
        <x:v>0.0083</x:v>
      </x:c>
      <x:c r="H534" s="1" t="n">
        <x:f>IF('Inventory inputs'!I534&gt;0,'Inventory inputs'!I534*'Inventory inputs'!K534/'Inventory inputs'!J534,"n.a.")</x:f>
        <x:v>0.013524000000000001</x:v>
      </x:c>
      <x:c r="I534" s="1" t="n">
        <x:f>'Inventory inputs'!L534</x:f>
        <x:v>0</x:v>
      </x:c>
      <x:c r="J534" s="1" t="n">
        <x:f>'Inventory inputs'!M534</x:f>
        <x:v>0</x:v>
      </x:c>
      <x:c r="K534" s="1" t="n">
        <x:f>'Inventory inputs'!N534</x:f>
        <x:v>6034</x:v>
      </x:c>
      <x:c r="L534" s="1" t="n">
        <x:f>'Inventory inputs'!O534</x:f>
        <x:v>0</x:v>
      </x:c>
      <x:c r="M534" s="9" t="n">
        <x:f>E534*G534</x:f>
        <x:v>50.0822</x:v>
      </x:c>
      <x:c r="N534" s="9" t="n">
        <x:f>'Inventory inputs'!Q534</x:f>
        <x:v>50.08219999999999</x:v>
      </x:c>
      <x:c r="O534" s="9" t="n">
        <x:f>N534-M534</x:f>
        <x:v>-7.105427357601002e-15</x:v>
      </x:c>
      <x:c r="P534" s="1" t="n">
        <x:f>SUMIFS('Incoming POs'!$P$2:$P$305,'Incoming POs'!$A$2:$A$305,A534,'Incoming POs'!$B$2:$B$305,B534,'Incoming POs'!$C$2:$C$305,C534,'Incoming POs'!$G$2:$G$305,"&gt;="&amp;D534,'Incoming POs'!$G$2:$G$305,"&lt;"&amp;Dashboard!$I$5)</x:f>
        <x:v>0</x:v>
      </x:c>
      <x:c r="Q534" s="1" t="n">
        <x:f>F534*Dashboard!$L$5*MAX(0,Dashboard!$I$5-D534)/30.4375</x:f>
        <x:v>0</x:v>
      </x:c>
      <x:c r="R534" s="1" t="n">
        <x:f>MAX(0,E534+P534-Q534)</x:f>
        <x:v>6034</x:v>
      </x:c>
      <x:c r="S534" s="1" t="n">
        <x:f>MAX(0,Q534-E534-P534)</x:f>
        <x:v>0</x:v>
      </x:c>
      <x:c r="T534" s="1" t="str">
        <x:f>IF(L534=1,MAX(0,I534+AB534-MIN(Q534,E534+P534)),"n.a.")</x:f>
        <x:v>n.a.</x:v>
      </x:c>
      <x:c r="U534" s="9" t="str">
        <x:f>IF(ISNUMBER(T534),T534*G534,"n.a.")</x:f>
        <x:v>n.a.</x:v>
      </x:c>
      <x:c r="V534" s="25" t="n">
        <x:f>IF(Dashboard!$I$6="Flat %",1,IF(ISNUMBER(H534),1,0))</x:f>
        <x:v>1</x:v>
      </x:c>
      <x:c r="W534" s="9" t="n">
        <x:f>IF(Dashboard!$I$6="Flat %",G534*(1+Dashboard!$L$6),H534)</x:f>
        <x:v>0.013524000000000001</x:v>
      </x:c>
      <x:c r="X534" s="9" t="n">
        <x:f>IF(V534=1,R534*(W534-G534),"n.a.")</x:f>
        <x:v>31.52161600000001</x:v>
      </x:c>
      <x:c r="Y534" s="9" t="n">
        <x:f>IF(V534=1,R534*W534,"n.a.")</x:f>
        <x:v>81.60381600000001</x:v>
      </x:c>
      <x:c r="Z534" s="1" t="str">
        <x:f>IF(ISNUMBER(T534),R534-T534,"n.a.")</x:f>
        <x:v>n.a.</x:v>
      </x:c>
      <x:c r="AA534" s="1" t="str">
        <x:f>'Inventory inputs'!R534</x:f>
        <x:v>Review receipt reconciliation or original PO baseline</x:v>
      </x:c>
      <x:c r="AB534" s="1" t="str">
        <x:f>IF(L534=1,SUMIFS('Incoming POs'!$P$2:$P$305,'Incoming POs'!$A$2:$A$305,A534,'Incoming POs'!$B$2:$B$305,B534,'Incoming POs'!$C$2:$C$305,C534,'Incoming POs'!$G$2:$G$305,"&gt;="&amp;D534,'Incoming POs'!$G$2:$G$305,"&lt;"&amp;Dashboard!$I$5,'Incoming POs'!$Q$2:$Q$305,"&lt;="&amp;('Inventory inputs'!P534/'Inventory inputs'!J534*1.01)),"n.a.")</x:f>
        <x:v>n.a.</x:v>
      </x:c>
      <x:c r="AC534" s="9" t="n">
        <x:f>I534*G534</x:f>
        <x:v>0</x:v>
      </x:c>
      <x:c r="AD534" s="9" t="n">
        <x:f>J534*G534</x:f>
        <x:v>0</x:v>
      </x:c>
      <x:c r="AE534" s="9" t="n">
        <x:f>K534*G534</x:f>
        <x:v>50.0822</x:v>
      </x:c>
      <x:c r="AF534" s="9" t="n">
        <x:f>R534*G534</x:f>
        <x:v>50.0822</x:v>
      </x:c>
    </x:row>
    <x:row r="535" ht="21" customHeight="1">
      <x:c r="A535" s="1" t="str">
        <x:f>'Inventory inputs'!A535</x:f>
        <x:v>PLAS</x:v>
      </x:c>
      <x:c r="B535" s="1" t="str">
        <x:f>'Inventory inputs'!B535</x:f>
        <x:v>10</x:v>
      </x:c>
      <x:c r="C535" s="1" t="str">
        <x:f>'Inventory inputs'!C535</x:f>
        <x:v>01415RWBWHT</x:v>
      </x:c>
      <x:c r="D535" s="7" t="n">
        <x:f>'Inventory inputs'!E535</x:f>
        <x:v>46303</x:v>
      </x:c>
      <x:c r="E535" s="1" t="n">
        <x:f>'Inventory inputs'!F535</x:f>
        <x:v>2000</x:v>
      </x:c>
      <x:c r="F535" s="1" t="n">
        <x:f>'Inventory inputs'!G535</x:f>
        <x:v>0</x:v>
      </x:c>
      <x:c r="G535" s="1" t="n">
        <x:f>'Inventory inputs'!H535/'Inventory inputs'!J535</x:f>
        <x:v>0.0116</x:v>
      </x:c>
      <x:c r="H535" s="1" t="n">
        <x:f>IF('Inventory inputs'!I535&gt;0,'Inventory inputs'!I535*'Inventory inputs'!K535/'Inventory inputs'!J535,"n.a.")</x:f>
        <x:v>0.013524000000000001</x:v>
      </x:c>
      <x:c r="I535" s="1" t="n">
        <x:f>'Inventory inputs'!L535</x:f>
        <x:v>0</x:v>
      </x:c>
      <x:c r="J535" s="1" t="n">
        <x:f>'Inventory inputs'!M535</x:f>
        <x:v>0</x:v>
      </x:c>
      <x:c r="K535" s="1" t="n">
        <x:f>'Inventory inputs'!N535</x:f>
        <x:v>2000</x:v>
      </x:c>
      <x:c r="L535" s="1" t="n">
        <x:f>'Inventory inputs'!O535</x:f>
        <x:v>0</x:v>
      </x:c>
      <x:c r="M535" s="9" t="n">
        <x:f>E535*G535</x:f>
        <x:v>23.2</x:v>
      </x:c>
      <x:c r="N535" s="9" t="n">
        <x:f>'Inventory inputs'!Q535</x:f>
        <x:v>23.2</x:v>
      </x:c>
      <x:c r="O535" s="9" t="n">
        <x:f>N535-M535</x:f>
        <x:v>0</x:v>
      </x:c>
      <x:c r="P535" s="1" t="n">
        <x:f>SUMIFS('Incoming POs'!$P$2:$P$305,'Incoming POs'!$A$2:$A$305,A535,'Incoming POs'!$B$2:$B$305,B535,'Incoming POs'!$C$2:$C$305,C535,'Incoming POs'!$G$2:$G$305,"&gt;="&amp;D535,'Incoming POs'!$G$2:$G$305,"&lt;"&amp;Dashboard!$I$5)</x:f>
        <x:v>0</x:v>
      </x:c>
      <x:c r="Q535" s="1" t="n">
        <x:f>F535*Dashboard!$L$5*MAX(0,Dashboard!$I$5-D535)/30.4375</x:f>
        <x:v>0</x:v>
      </x:c>
      <x:c r="R535" s="1" t="n">
        <x:f>MAX(0,E535+P535-Q535)</x:f>
        <x:v>2000</x:v>
      </x:c>
      <x:c r="S535" s="1" t="n">
        <x:f>MAX(0,Q535-E535-P535)</x:f>
        <x:v>0</x:v>
      </x:c>
      <x:c r="T535" s="1" t="str">
        <x:f>IF(L535=1,MAX(0,I535+AB535-MIN(Q535,E535+P535)),"n.a.")</x:f>
        <x:v>n.a.</x:v>
      </x:c>
      <x:c r="U535" s="9" t="str">
        <x:f>IF(ISNUMBER(T535),T535*G535,"n.a.")</x:f>
        <x:v>n.a.</x:v>
      </x:c>
      <x:c r="V535" s="25" t="n">
        <x:f>IF(Dashboard!$I$6="Flat %",1,IF(ISNUMBER(H535),1,0))</x:f>
        <x:v>1</x:v>
      </x:c>
      <x:c r="W535" s="9" t="n">
        <x:f>IF(Dashboard!$I$6="Flat %",G535*(1+Dashboard!$L$6),H535)</x:f>
        <x:v>0.013524000000000001</x:v>
      </x:c>
      <x:c r="X535" s="9" t="n">
        <x:f>IF(V535=1,R535*(W535-G535),"n.a.")</x:f>
        <x:v>3.8480000000000043</x:v>
      </x:c>
      <x:c r="Y535" s="9" t="n">
        <x:f>IF(V535=1,R535*W535,"n.a.")</x:f>
        <x:v>27.048000000000002</x:v>
      </x:c>
      <x:c r="Z535" s="1" t="str">
        <x:f>IF(ISNUMBER(T535),R535-T535,"n.a.")</x:f>
        <x:v>n.a.</x:v>
      </x:c>
      <x:c r="AA535" s="1" t="str">
        <x:f>'Inventory inputs'!R535</x:f>
        <x:v>Review receipt reconciliation or original PO baseline</x:v>
      </x:c>
      <x:c r="AB535" s="1" t="str">
        <x:f>IF(L535=1,SUMIFS('Incoming POs'!$P$2:$P$305,'Incoming POs'!$A$2:$A$305,A535,'Incoming POs'!$B$2:$B$305,B535,'Incoming POs'!$C$2:$C$305,C535,'Incoming POs'!$G$2:$G$305,"&gt;="&amp;D535,'Incoming POs'!$G$2:$G$305,"&lt;"&amp;Dashboard!$I$5,'Incoming POs'!$Q$2:$Q$305,"&lt;="&amp;('Inventory inputs'!P535/'Inventory inputs'!J535*1.01)),"n.a.")</x:f>
        <x:v>n.a.</x:v>
      </x:c>
      <x:c r="AC535" s="9" t="n">
        <x:f>I535*G535</x:f>
        <x:v>0</x:v>
      </x:c>
      <x:c r="AD535" s="9" t="n">
        <x:f>J535*G535</x:f>
        <x:v>0</x:v>
      </x:c>
      <x:c r="AE535" s="9" t="n">
        <x:f>K535*G535</x:f>
        <x:v>23.2</x:v>
      </x:c>
      <x:c r="AF535" s="9" t="n">
        <x:f>R535*G535</x:f>
        <x:v>23.2</x:v>
      </x:c>
    </x:row>
    <x:row r="536" ht="21" customHeight="1">
      <x:c r="A536" s="1" t="str">
        <x:f>'Inventory inputs'!A536</x:f>
        <x:v>PLAS</x:v>
      </x:c>
      <x:c r="B536" s="1" t="str">
        <x:f>'Inventory inputs'!B536</x:f>
        <x:v>10</x:v>
      </x:c>
      <x:c r="C536" s="1" t="str">
        <x:f>'Inventory inputs'!C536</x:f>
        <x:v>01421RWBBLK</x:v>
      </x:c>
      <x:c r="D536" s="7" t="n">
        <x:f>'Inventory inputs'!E536</x:f>
        <x:v>46303</x:v>
      </x:c>
      <x:c r="E536" s="1" t="n">
        <x:f>'Inventory inputs'!F536</x:f>
        <x:v>1755</x:v>
      </x:c>
      <x:c r="F536" s="1" t="n">
        <x:f>'Inventory inputs'!G536</x:f>
        <x:v>0</x:v>
      </x:c>
      <x:c r="G536" s="1" t="n">
        <x:f>'Inventory inputs'!H536/'Inventory inputs'!J536</x:f>
        <x:v>0.016200000000000003</x:v>
      </x:c>
      <x:c r="H536" s="1" t="n">
        <x:f>IF('Inventory inputs'!I536&gt;0,'Inventory inputs'!I536*'Inventory inputs'!K536/'Inventory inputs'!J536,"n.a.")</x:f>
        <x:v>0.018963</x:v>
      </x:c>
      <x:c r="I536" s="1" t="n">
        <x:f>'Inventory inputs'!L536</x:f>
        <x:v>0</x:v>
      </x:c>
      <x:c r="J536" s="1" t="n">
        <x:f>'Inventory inputs'!M536</x:f>
        <x:v>0</x:v>
      </x:c>
      <x:c r="K536" s="1" t="n">
        <x:f>'Inventory inputs'!N536</x:f>
        <x:v>1755</x:v>
      </x:c>
      <x:c r="L536" s="1" t="n">
        <x:f>'Inventory inputs'!O536</x:f>
        <x:v>0</x:v>
      </x:c>
      <x:c r="M536" s="9" t="n">
        <x:f>E536*G536</x:f>
        <x:v>28.431000000000004</x:v>
      </x:c>
      <x:c r="N536" s="9" t="n">
        <x:f>'Inventory inputs'!Q536</x:f>
        <x:v>28.431000000000004</x:v>
      </x:c>
      <x:c r="O536" s="9" t="n">
        <x:f>N536-M536</x:f>
        <x:v>0</x:v>
      </x:c>
      <x:c r="P536" s="1" t="n">
        <x:f>SUMIFS('Incoming POs'!$P$2:$P$305,'Incoming POs'!$A$2:$A$305,A536,'Incoming POs'!$B$2:$B$305,B536,'Incoming POs'!$C$2:$C$305,C536,'Incoming POs'!$G$2:$G$305,"&gt;="&amp;D536,'Incoming POs'!$G$2:$G$305,"&lt;"&amp;Dashboard!$I$5)</x:f>
        <x:v>0</x:v>
      </x:c>
      <x:c r="Q536" s="1" t="n">
        <x:f>F536*Dashboard!$L$5*MAX(0,Dashboard!$I$5-D536)/30.4375</x:f>
        <x:v>0</x:v>
      </x:c>
      <x:c r="R536" s="1" t="n">
        <x:f>MAX(0,E536+P536-Q536)</x:f>
        <x:v>1755</x:v>
      </x:c>
      <x:c r="S536" s="1" t="n">
        <x:f>MAX(0,Q536-E536-P536)</x:f>
        <x:v>0</x:v>
      </x:c>
      <x:c r="T536" s="1" t="str">
        <x:f>IF(L536=1,MAX(0,I536+AB536-MIN(Q536,E536+P536)),"n.a.")</x:f>
        <x:v>n.a.</x:v>
      </x:c>
      <x:c r="U536" s="9" t="str">
        <x:f>IF(ISNUMBER(T536),T536*G536,"n.a.")</x:f>
        <x:v>n.a.</x:v>
      </x:c>
      <x:c r="V536" s="25" t="n">
        <x:f>IF(Dashboard!$I$6="Flat %",1,IF(ISNUMBER(H536),1,0))</x:f>
        <x:v>1</x:v>
      </x:c>
      <x:c r="W536" s="9" t="n">
        <x:f>IF(Dashboard!$I$6="Flat %",G536*(1+Dashboard!$L$6),H536)</x:f>
        <x:v>0.018963</x:v>
      </x:c>
      <x:c r="X536" s="9" t="n">
        <x:f>IF(V536=1,R536*(W536-G536),"n.a.")</x:f>
        <x:v>4.849064999999997</x:v>
      </x:c>
      <x:c r="Y536" s="9" t="n">
        <x:f>IF(V536=1,R536*W536,"n.a.")</x:f>
        <x:v>33.280065</x:v>
      </x:c>
      <x:c r="Z536" s="1" t="str">
        <x:f>IF(ISNUMBER(T536),R536-T536,"n.a.")</x:f>
        <x:v>n.a.</x:v>
      </x:c>
      <x:c r="AA536" s="1" t="str">
        <x:f>'Inventory inputs'!R536</x:f>
        <x:v>Review receipt reconciliation or original PO baseline</x:v>
      </x:c>
      <x:c r="AB536" s="1" t="str">
        <x:f>IF(L536=1,SUMIFS('Incoming POs'!$P$2:$P$305,'Incoming POs'!$A$2:$A$305,A536,'Incoming POs'!$B$2:$B$305,B536,'Incoming POs'!$C$2:$C$305,C536,'Incoming POs'!$G$2:$G$305,"&gt;="&amp;D536,'Incoming POs'!$G$2:$G$305,"&lt;"&amp;Dashboard!$I$5,'Incoming POs'!$Q$2:$Q$305,"&lt;="&amp;('Inventory inputs'!P536/'Inventory inputs'!J536*1.01)),"n.a.")</x:f>
        <x:v>n.a.</x:v>
      </x:c>
      <x:c r="AC536" s="9" t="n">
        <x:f>I536*G536</x:f>
        <x:v>0</x:v>
      </x:c>
      <x:c r="AD536" s="9" t="n">
        <x:f>J536*G536</x:f>
        <x:v>0</x:v>
      </x:c>
      <x:c r="AE536" s="9" t="n">
        <x:f>K536*G536</x:f>
        <x:v>28.431000000000004</x:v>
      </x:c>
      <x:c r="AF536" s="9" t="n">
        <x:f>R536*G536</x:f>
        <x:v>28.431000000000004</x:v>
      </x:c>
    </x:row>
    <x:row r="537" ht="21" customHeight="1">
      <x:c r="A537" s="1" t="str">
        <x:f>'Inventory inputs'!A537</x:f>
        <x:v>PLAS</x:v>
      </x:c>
      <x:c r="B537" s="1" t="str">
        <x:f>'Inventory inputs'!B537</x:f>
        <x:v>10</x:v>
      </x:c>
      <x:c r="C537" s="1" t="str">
        <x:f>'Inventory inputs'!C537</x:f>
        <x:v>01421RWBWHT</x:v>
      </x:c>
      <x:c r="D537" s="7" t="n">
        <x:f>'Inventory inputs'!E537</x:f>
        <x:v>46303</x:v>
      </x:c>
      <x:c r="E537" s="1" t="n">
        <x:f>'Inventory inputs'!F537</x:f>
        <x:v>3643</x:v>
      </x:c>
      <x:c r="F537" s="1" t="n">
        <x:f>'Inventory inputs'!G537</x:f>
        <x:v>0</x:v>
      </x:c>
      <x:c r="G537" s="1" t="n">
        <x:f>'Inventory inputs'!H537/'Inventory inputs'!J537</x:f>
        <x:v>0.016200000000000003</x:v>
      </x:c>
      <x:c r="H537" s="1" t="n">
        <x:f>IF('Inventory inputs'!I537&gt;0,'Inventory inputs'!I537*'Inventory inputs'!K537/'Inventory inputs'!J537,"n.a.")</x:f>
        <x:v>0.018963</x:v>
      </x:c>
      <x:c r="I537" s="1" t="n">
        <x:f>'Inventory inputs'!L537</x:f>
        <x:v>0</x:v>
      </x:c>
      <x:c r="J537" s="1" t="n">
        <x:f>'Inventory inputs'!M537</x:f>
        <x:v>0</x:v>
      </x:c>
      <x:c r="K537" s="1" t="n">
        <x:f>'Inventory inputs'!N537</x:f>
        <x:v>3643</x:v>
      </x:c>
      <x:c r="L537" s="1" t="n">
        <x:f>'Inventory inputs'!O537</x:f>
        <x:v>0</x:v>
      </x:c>
      <x:c r="M537" s="9" t="n">
        <x:f>E537*G537</x:f>
        <x:v>59.01660000000001</x:v>
      </x:c>
      <x:c r="N537" s="9" t="n">
        <x:f>'Inventory inputs'!Q537</x:f>
        <x:v>59.01660000000001</x:v>
      </x:c>
      <x:c r="O537" s="9" t="n">
        <x:f>N537-M537</x:f>
        <x:v>0</x:v>
      </x:c>
      <x:c r="P537" s="1" t="n">
        <x:f>SUMIFS('Incoming POs'!$P$2:$P$305,'Incoming POs'!$A$2:$A$305,A537,'Incoming POs'!$B$2:$B$305,B537,'Incoming POs'!$C$2:$C$305,C537,'Incoming POs'!$G$2:$G$305,"&gt;="&amp;D537,'Incoming POs'!$G$2:$G$305,"&lt;"&amp;Dashboard!$I$5)</x:f>
        <x:v>0</x:v>
      </x:c>
      <x:c r="Q537" s="1" t="n">
        <x:f>F537*Dashboard!$L$5*MAX(0,Dashboard!$I$5-D537)/30.4375</x:f>
        <x:v>0</x:v>
      </x:c>
      <x:c r="R537" s="1" t="n">
        <x:f>MAX(0,E537+P537-Q537)</x:f>
        <x:v>3643</x:v>
      </x:c>
      <x:c r="S537" s="1" t="n">
        <x:f>MAX(0,Q537-E537-P537)</x:f>
        <x:v>0</x:v>
      </x:c>
      <x:c r="T537" s="1" t="str">
        <x:f>IF(L537=1,MAX(0,I537+AB537-MIN(Q537,E537+P537)),"n.a.")</x:f>
        <x:v>n.a.</x:v>
      </x:c>
      <x:c r="U537" s="9" t="str">
        <x:f>IF(ISNUMBER(T537),T537*G537,"n.a.")</x:f>
        <x:v>n.a.</x:v>
      </x:c>
      <x:c r="V537" s="25" t="n">
        <x:f>IF(Dashboard!$I$6="Flat %",1,IF(ISNUMBER(H537),1,0))</x:f>
        <x:v>1</x:v>
      </x:c>
      <x:c r="W537" s="9" t="n">
        <x:f>IF(Dashboard!$I$6="Flat %",G537*(1+Dashboard!$L$6),H537)</x:f>
        <x:v>0.018963</x:v>
      </x:c>
      <x:c r="X537" s="9" t="n">
        <x:f>IF(V537=1,R537*(W537-G537),"n.a.")</x:f>
        <x:v>10.065608999999993</x:v>
      </x:c>
      <x:c r="Y537" s="9" t="n">
        <x:f>IF(V537=1,R537*W537,"n.a.")</x:f>
        <x:v>69.082209</x:v>
      </x:c>
      <x:c r="Z537" s="1" t="str">
        <x:f>IF(ISNUMBER(T537),R537-T537,"n.a.")</x:f>
        <x:v>n.a.</x:v>
      </x:c>
      <x:c r="AA537" s="1" t="str">
        <x:f>'Inventory inputs'!R537</x:f>
        <x:v>Review receipt reconciliation or original PO baseline</x:v>
      </x:c>
      <x:c r="AB537" s="1" t="str">
        <x:f>IF(L537=1,SUMIFS('Incoming POs'!$P$2:$P$305,'Incoming POs'!$A$2:$A$305,A537,'Incoming POs'!$B$2:$B$305,B537,'Incoming POs'!$C$2:$C$305,C537,'Incoming POs'!$G$2:$G$305,"&gt;="&amp;D537,'Incoming POs'!$G$2:$G$305,"&lt;"&amp;Dashboard!$I$5,'Incoming POs'!$Q$2:$Q$305,"&lt;="&amp;('Inventory inputs'!P537/'Inventory inputs'!J537*1.01)),"n.a.")</x:f>
        <x:v>n.a.</x:v>
      </x:c>
      <x:c r="AC537" s="9" t="n">
        <x:f>I537*G537</x:f>
        <x:v>0</x:v>
      </x:c>
      <x:c r="AD537" s="9" t="n">
        <x:f>J537*G537</x:f>
        <x:v>0</x:v>
      </x:c>
      <x:c r="AE537" s="9" t="n">
        <x:f>K537*G537</x:f>
        <x:v>59.01660000000001</x:v>
      </x:c>
      <x:c r="AF537" s="9" t="n">
        <x:f>R537*G537</x:f>
        <x:v>59.01660000000001</x:v>
      </x:c>
    </x:row>
    <x:row r="538" ht="21" customHeight="1">
      <x:c r="A538" s="1" t="str">
        <x:f>'Inventory inputs'!A538</x:f>
        <x:v>PLAS</x:v>
      </x:c>
      <x:c r="B538" s="1" t="str">
        <x:f>'Inventory inputs'!B538</x:f>
        <x:v>10</x:v>
      </x:c>
      <x:c r="C538" s="1" t="str">
        <x:f>'Inventory inputs'!C538</x:f>
        <x:v>01480RWBBLK</x:v>
      </x:c>
      <x:c r="D538" s="7" t="n">
        <x:f>'Inventory inputs'!E538</x:f>
        <x:v>46303</x:v>
      </x:c>
      <x:c r="E538" s="1" t="n">
        <x:f>'Inventory inputs'!F538</x:f>
        <x:v>3676</x:v>
      </x:c>
      <x:c r="F538" s="1" t="n">
        <x:f>'Inventory inputs'!G538</x:f>
        <x:v>0</x:v>
      </x:c>
      <x:c r="G538" s="1" t="n">
        <x:f>'Inventory inputs'!H538/'Inventory inputs'!J538</x:f>
        <x:v>0.0629</x:v>
      </x:c>
      <x:c r="H538" s="1" t="n">
        <x:f>IF('Inventory inputs'!I538&gt;0,'Inventory inputs'!I538*'Inventory inputs'!K538/'Inventory inputs'!J538,"n.a.")</x:f>
        <x:v>0.07364699999999999</x:v>
      </x:c>
      <x:c r="I538" s="1" t="n">
        <x:f>'Inventory inputs'!L538</x:f>
        <x:v>2176</x:v>
      </x:c>
      <x:c r="J538" s="1" t="n">
        <x:f>'Inventory inputs'!M538</x:f>
        <x:v>1500</x:v>
      </x:c>
      <x:c r="K538" s="1" t="n">
        <x:f>'Inventory inputs'!N538</x:f>
        <x:v>0</x:v>
      </x:c>
      <x:c r="L538" s="1" t="n">
        <x:f>'Inventory inputs'!O538</x:f>
        <x:v>1</x:v>
      </x:c>
      <x:c r="M538" s="9" t="n">
        <x:f>E538*G538</x:f>
        <x:v>231.22039999999998</x:v>
      </x:c>
      <x:c r="N538" s="9" t="n">
        <x:f>'Inventory inputs'!Q538</x:f>
        <x:v>231.2204</x:v>
      </x:c>
      <x:c r="O538" s="9" t="n">
        <x:f>N538-M538</x:f>
        <x:v>2.842170943040401e-14</x:v>
      </x:c>
      <x:c r="P538" s="1" t="n">
        <x:f>SUMIFS('Incoming POs'!$P$2:$P$305,'Incoming POs'!$A$2:$A$305,A538,'Incoming POs'!$B$2:$B$305,B538,'Incoming POs'!$C$2:$C$305,C538,'Incoming POs'!$G$2:$G$305,"&gt;="&amp;D538,'Incoming POs'!$G$2:$G$305,"&lt;"&amp;Dashboard!$I$5)</x:f>
        <x:v>0</x:v>
      </x:c>
      <x:c r="Q538" s="1" t="n">
        <x:f>F538*Dashboard!$L$5*MAX(0,Dashboard!$I$5-D538)/30.4375</x:f>
        <x:v>0</x:v>
      </x:c>
      <x:c r="R538" s="1" t="n">
        <x:f>MAX(0,E538+P538-Q538)</x:f>
        <x:v>3676</x:v>
      </x:c>
      <x:c r="S538" s="1" t="n">
        <x:f>MAX(0,Q538-E538-P538)</x:f>
        <x:v>0</x:v>
      </x:c>
      <x:c r="T538" s="1" t="n">
        <x:f>IF(L538=1,MAX(0,I538+AB538-MIN(Q538,E538+P538)),"n.a.")</x:f>
        <x:v>2176</x:v>
      </x:c>
      <x:c r="U538" s="9" t="n">
        <x:f>IF(ISNUMBER(T538),T538*G538,"n.a.")</x:f>
        <x:v>136.8704</x:v>
      </x:c>
      <x:c r="V538" s="25" t="n">
        <x:f>IF(Dashboard!$I$6="Flat %",1,IF(ISNUMBER(H538),1,0))</x:f>
        <x:v>1</x:v>
      </x:c>
      <x:c r="W538" s="9" t="n">
        <x:f>IF(Dashboard!$I$6="Flat %",G538*(1+Dashboard!$L$6),H538)</x:f>
        <x:v>0.07364699999999999</x:v>
      </x:c>
      <x:c r="X538" s="9" t="n">
        <x:f>IF(V538=1,R538*(W538-G538),"n.a.")</x:f>
        <x:v>39.50597199999997</x:v>
      </x:c>
      <x:c r="Y538" s="9" t="n">
        <x:f>IF(V538=1,R538*W538,"n.a.")</x:f>
        <x:v>270.72637199999997</x:v>
      </x:c>
      <x:c r="Z538" s="1" t="n">
        <x:f>IF(ISNUMBER(T538),R538-T538,"n.a.")</x:f>
        <x:v>1500</x:v>
      </x:c>
      <x:c r="AA538" s="1" t="str">
        <x:f>'Inventory inputs'!R538</x:f>
        <x:v>Classified</x:v>
      </x:c>
      <x:c r="AB538" s="1" t="n">
        <x:f>IF(L538=1,SUMIFS('Incoming POs'!$P$2:$P$305,'Incoming POs'!$A$2:$A$305,A538,'Incoming POs'!$B$2:$B$305,B538,'Incoming POs'!$C$2:$C$305,C538,'Incoming POs'!$G$2:$G$305,"&gt;="&amp;D538,'Incoming POs'!$G$2:$G$305,"&lt;"&amp;Dashboard!$I$5,'Incoming POs'!$Q$2:$Q$305,"&lt;="&amp;('Inventory inputs'!P538/'Inventory inputs'!J538*1.01)),"n.a.")</x:f>
        <x:v>0</x:v>
      </x:c>
      <x:c r="AC538" s="9" t="n">
        <x:f>I538*G538</x:f>
        <x:v>136.8704</x:v>
      </x:c>
      <x:c r="AD538" s="9" t="n">
        <x:f>J538*G538</x:f>
        <x:v>94.35</x:v>
      </x:c>
      <x:c r="AE538" s="9" t="n">
        <x:f>K538*G538</x:f>
        <x:v>0</x:v>
      </x:c>
      <x:c r="AF538" s="9" t="n">
        <x:f>R538*G538</x:f>
        <x:v>231.22039999999998</x:v>
      </x:c>
    </x:row>
    <x:row r="539" ht="21" customHeight="1">
      <x:c r="A539" s="1" t="str">
        <x:f>'Inventory inputs'!A539</x:f>
        <x:v>PLAS</x:v>
      </x:c>
      <x:c r="B539" s="1" t="str">
        <x:f>'Inventory inputs'!B539</x:f>
        <x:v>10</x:v>
      </x:c>
      <x:c r="C539" s="1" t="str">
        <x:f>'Inventory inputs'!C539</x:f>
        <x:v>01480RWBBLU</x:v>
      </x:c>
      <x:c r="D539" s="7" t="n">
        <x:f>'Inventory inputs'!E539</x:f>
        <x:v>46303</x:v>
      </x:c>
      <x:c r="E539" s="1" t="n">
        <x:f>'Inventory inputs'!F539</x:f>
        <x:v>1207</x:v>
      </x:c>
      <x:c r="F539" s="1" t="n">
        <x:f>'Inventory inputs'!G539</x:f>
        <x:v>0</x:v>
      </x:c>
      <x:c r="G539" s="1" t="n">
        <x:f>'Inventory inputs'!H539/'Inventory inputs'!J539</x:f>
        <x:v>0.04650000000000001</x:v>
      </x:c>
      <x:c r="H539" s="1" t="str">
        <x:f>IF('Inventory inputs'!I539&gt;0,'Inventory inputs'!I539*'Inventory inputs'!K539/'Inventory inputs'!J539,"n.a.")</x:f>
        <x:v>n.a.</x:v>
      </x:c>
      <x:c r="I539" s="1" t="n">
        <x:f>'Inventory inputs'!L539</x:f>
        <x:v>0</x:v>
      </x:c>
      <x:c r="J539" s="1" t="n">
        <x:f>'Inventory inputs'!M539</x:f>
        <x:v>0</x:v>
      </x:c>
      <x:c r="K539" s="1" t="n">
        <x:f>'Inventory inputs'!N539</x:f>
        <x:v>1207</x:v>
      </x:c>
      <x:c r="L539" s="1" t="n">
        <x:f>'Inventory inputs'!O539</x:f>
        <x:v>0</x:v>
      </x:c>
      <x:c r="M539" s="9" t="n">
        <x:f>E539*G539</x:f>
        <x:v>56.12550000000001</x:v>
      </x:c>
      <x:c r="N539" s="9" t="n">
        <x:f>'Inventory inputs'!Q539</x:f>
        <x:v>56.1255</x:v>
      </x:c>
      <x:c r="O539" s="9" t="n">
        <x:f>N539-M539</x:f>
        <x:v>-7.105427357601002e-15</x:v>
      </x:c>
      <x:c r="P539" s="1" t="n">
        <x:f>SUMIFS('Incoming POs'!$P$2:$P$305,'Incoming POs'!$A$2:$A$305,A539,'Incoming POs'!$B$2:$B$305,B539,'Incoming POs'!$C$2:$C$305,C539,'Incoming POs'!$G$2:$G$305,"&gt;="&amp;D539,'Incoming POs'!$G$2:$G$305,"&lt;"&amp;Dashboard!$I$5)</x:f>
        <x:v>0</x:v>
      </x:c>
      <x:c r="Q539" s="1" t="n">
        <x:f>F539*Dashboard!$L$5*MAX(0,Dashboard!$I$5-D539)/30.4375</x:f>
        <x:v>0</x:v>
      </x:c>
      <x:c r="R539" s="1" t="n">
        <x:f>MAX(0,E539+P539-Q539)</x:f>
        <x:v>1207</x:v>
      </x:c>
      <x:c r="S539" s="1" t="n">
        <x:f>MAX(0,Q539-E539-P539)</x:f>
        <x:v>0</x:v>
      </x:c>
      <x:c r="T539" s="1" t="str">
        <x:f>IF(L539=1,MAX(0,I539+AB539-MIN(Q539,E539+P539)),"n.a.")</x:f>
        <x:v>n.a.</x:v>
      </x:c>
      <x:c r="U539" s="9" t="str">
        <x:f>IF(ISNUMBER(T539),T539*G539,"n.a.")</x:f>
        <x:v>n.a.</x:v>
      </x:c>
      <x:c r="V539" s="25" t="n">
        <x:f>IF(Dashboard!$I$6="Flat %",1,IF(ISNUMBER(H539),1,0))</x:f>
        <x:v>0</x:v>
      </x:c>
      <x:c r="W539" s="9" t="str">
        <x:f>IF(Dashboard!$I$6="Flat %",G539*(1+Dashboard!$L$6),H539)</x:f>
        <x:v>n.a.</x:v>
      </x:c>
      <x:c r="X539" s="9" t="str">
        <x:f>IF(V539=1,R539*(W539-G539),"n.a.")</x:f>
        <x:v>n.a.</x:v>
      </x:c>
      <x:c r="Y539" s="9" t="str">
        <x:f>IF(V539=1,R539*W539,"n.a.")</x:f>
        <x:v>n.a.</x:v>
      </x:c>
      <x:c r="Z539" s="1" t="str">
        <x:f>IF(ISNUMBER(T539),R539-T539,"n.a.")</x:f>
        <x:v>n.a.</x:v>
      </x:c>
      <x:c r="AA539" s="1" t="str">
        <x:f>'Inventory inputs'!R539</x:f>
        <x:v>Review receipt reconciliation or original PO baseline</x:v>
      </x:c>
      <x:c r="AB539" s="1" t="str">
        <x:f>IF(L539=1,SUMIFS('Incoming POs'!$P$2:$P$305,'Incoming POs'!$A$2:$A$305,A539,'Incoming POs'!$B$2:$B$305,B539,'Incoming POs'!$C$2:$C$305,C539,'Incoming POs'!$G$2:$G$305,"&gt;="&amp;D539,'Incoming POs'!$G$2:$G$305,"&lt;"&amp;Dashboard!$I$5,'Incoming POs'!$Q$2:$Q$305,"&lt;="&amp;('Inventory inputs'!P539/'Inventory inputs'!J539*1.01)),"n.a.")</x:f>
        <x:v>n.a.</x:v>
      </x:c>
      <x:c r="AC539" s="9" t="n">
        <x:f>I539*G539</x:f>
        <x:v>0</x:v>
      </x:c>
      <x:c r="AD539" s="9" t="n">
        <x:f>J539*G539</x:f>
        <x:v>0</x:v>
      </x:c>
      <x:c r="AE539" s="9" t="n">
        <x:f>K539*G539</x:f>
        <x:v>56.12550000000001</x:v>
      </x:c>
      <x:c r="AF539" s="9" t="n">
        <x:f>R539*G539</x:f>
        <x:v>56.12550000000001</x:v>
      </x:c>
    </x:row>
    <x:row r="540" ht="21" customHeight="1">
      <x:c r="A540" s="1" t="str">
        <x:f>'Inventory inputs'!A540</x:f>
        <x:v>PLAS</x:v>
      </x:c>
      <x:c r="B540" s="1" t="str">
        <x:f>'Inventory inputs'!B540</x:f>
        <x:v>10</x:v>
      </x:c>
      <x:c r="C540" s="1" t="str">
        <x:f>'Inventory inputs'!C540</x:f>
        <x:v>01480RWBFG</x:v>
      </x:c>
      <x:c r="D540" s="7" t="n">
        <x:f>'Inventory inputs'!E540</x:f>
        <x:v>46303</x:v>
      </x:c>
      <x:c r="E540" s="1" t="n">
        <x:f>'Inventory inputs'!F540</x:f>
        <x:v>787</x:v>
      </x:c>
      <x:c r="F540" s="1" t="n">
        <x:f>'Inventory inputs'!G540</x:f>
        <x:v>0</x:v>
      </x:c>
      <x:c r="G540" s="1" t="n">
        <x:f>'Inventory inputs'!H540/'Inventory inputs'!J540</x:f>
        <x:v>0.04650000000000001</x:v>
      </x:c>
      <x:c r="H540" s="1" t="str">
        <x:f>IF('Inventory inputs'!I540&gt;0,'Inventory inputs'!I540*'Inventory inputs'!K540/'Inventory inputs'!J540,"n.a.")</x:f>
        <x:v>n.a.</x:v>
      </x:c>
      <x:c r="I540" s="1" t="n">
        <x:f>'Inventory inputs'!L540</x:f>
        <x:v>0</x:v>
      </x:c>
      <x:c r="J540" s="1" t="n">
        <x:f>'Inventory inputs'!M540</x:f>
        <x:v>0</x:v>
      </x:c>
      <x:c r="K540" s="1" t="n">
        <x:f>'Inventory inputs'!N540</x:f>
        <x:v>787</x:v>
      </x:c>
      <x:c r="L540" s="1" t="n">
        <x:f>'Inventory inputs'!O540</x:f>
        <x:v>0</x:v>
      </x:c>
      <x:c r="M540" s="9" t="n">
        <x:f>E540*G540</x:f>
        <x:v>36.59550000000001</x:v>
      </x:c>
      <x:c r="N540" s="9" t="n">
        <x:f>'Inventory inputs'!Q540</x:f>
        <x:v>36.5955</x:v>
      </x:c>
      <x:c r="O540" s="9" t="n">
        <x:f>N540-M540</x:f>
        <x:v>-7.105427357601002e-15</x:v>
      </x:c>
      <x:c r="P540" s="1" t="n">
        <x:f>SUMIFS('Incoming POs'!$P$2:$P$305,'Incoming POs'!$A$2:$A$305,A540,'Incoming POs'!$B$2:$B$305,B540,'Incoming POs'!$C$2:$C$305,C540,'Incoming POs'!$G$2:$G$305,"&gt;="&amp;D540,'Incoming POs'!$G$2:$G$305,"&lt;"&amp;Dashboard!$I$5)</x:f>
        <x:v>0</x:v>
      </x:c>
      <x:c r="Q540" s="1" t="n">
        <x:f>F540*Dashboard!$L$5*MAX(0,Dashboard!$I$5-D540)/30.4375</x:f>
        <x:v>0</x:v>
      </x:c>
      <x:c r="R540" s="1" t="n">
        <x:f>MAX(0,E540+P540-Q540)</x:f>
        <x:v>787</x:v>
      </x:c>
      <x:c r="S540" s="1" t="n">
        <x:f>MAX(0,Q540-E540-P540)</x:f>
        <x:v>0</x:v>
      </x:c>
      <x:c r="T540" s="1" t="str">
        <x:f>IF(L540=1,MAX(0,I540+AB540-MIN(Q540,E540+P540)),"n.a.")</x:f>
        <x:v>n.a.</x:v>
      </x:c>
      <x:c r="U540" s="9" t="str">
        <x:f>IF(ISNUMBER(T540),T540*G540,"n.a.")</x:f>
        <x:v>n.a.</x:v>
      </x:c>
      <x:c r="V540" s="25" t="n">
        <x:f>IF(Dashboard!$I$6="Flat %",1,IF(ISNUMBER(H540),1,0))</x:f>
        <x:v>0</x:v>
      </x:c>
      <x:c r="W540" s="9" t="str">
        <x:f>IF(Dashboard!$I$6="Flat %",G540*(1+Dashboard!$L$6),H540)</x:f>
        <x:v>n.a.</x:v>
      </x:c>
      <x:c r="X540" s="9" t="str">
        <x:f>IF(V540=1,R540*(W540-G540),"n.a.")</x:f>
        <x:v>n.a.</x:v>
      </x:c>
      <x:c r="Y540" s="9" t="str">
        <x:f>IF(V540=1,R540*W540,"n.a.")</x:f>
        <x:v>n.a.</x:v>
      </x:c>
      <x:c r="Z540" s="1" t="str">
        <x:f>IF(ISNUMBER(T540),R540-T540,"n.a.")</x:f>
        <x:v>n.a.</x:v>
      </x:c>
      <x:c r="AA540" s="1" t="str">
        <x:f>'Inventory inputs'!R540</x:f>
        <x:v>Review receipt reconciliation or original PO baseline</x:v>
      </x:c>
      <x:c r="AB540" s="1" t="str">
        <x:f>IF(L540=1,SUMIFS('Incoming POs'!$P$2:$P$305,'Incoming POs'!$A$2:$A$305,A540,'Incoming POs'!$B$2:$B$305,B540,'Incoming POs'!$C$2:$C$305,C540,'Incoming POs'!$G$2:$G$305,"&gt;="&amp;D540,'Incoming POs'!$G$2:$G$305,"&lt;"&amp;Dashboard!$I$5,'Incoming POs'!$Q$2:$Q$305,"&lt;="&amp;('Inventory inputs'!P540/'Inventory inputs'!J540*1.01)),"n.a.")</x:f>
        <x:v>n.a.</x:v>
      </x:c>
      <x:c r="AC540" s="9" t="n">
        <x:f>I540*G540</x:f>
        <x:v>0</x:v>
      </x:c>
      <x:c r="AD540" s="9" t="n">
        <x:f>J540*G540</x:f>
        <x:v>0</x:v>
      </x:c>
      <x:c r="AE540" s="9" t="n">
        <x:f>K540*G540</x:f>
        <x:v>36.59550000000001</x:v>
      </x:c>
      <x:c r="AF540" s="9" t="n">
        <x:f>R540*G540</x:f>
        <x:v>36.59550000000001</x:v>
      </x:c>
    </x:row>
    <x:row r="541" ht="21" customHeight="1">
      <x:c r="A541" s="1" t="str">
        <x:f>'Inventory inputs'!A541</x:f>
        <x:v>PLAS</x:v>
      </x:c>
      <x:c r="B541" s="1" t="str">
        <x:f>'Inventory inputs'!B541</x:f>
        <x:v>10</x:v>
      </x:c>
      <x:c r="C541" s="1" t="str">
        <x:f>'Inventory inputs'!C541</x:f>
        <x:v>01480RWBMAR</x:v>
      </x:c>
      <x:c r="D541" s="7" t="n">
        <x:f>'Inventory inputs'!E541</x:f>
        <x:v>46303</x:v>
      </x:c>
      <x:c r="E541" s="1" t="n">
        <x:f>'Inventory inputs'!F541</x:f>
        <x:v>628</x:v>
      </x:c>
      <x:c r="F541" s="1" t="n">
        <x:f>'Inventory inputs'!G541</x:f>
        <x:v>0</x:v>
      </x:c>
      <x:c r="G541" s="1" t="n">
        <x:f>'Inventory inputs'!H541/'Inventory inputs'!J541</x:f>
        <x:v>0.04650000000000001</x:v>
      </x:c>
      <x:c r="H541" s="1" t="str">
        <x:f>IF('Inventory inputs'!I541&gt;0,'Inventory inputs'!I541*'Inventory inputs'!K541/'Inventory inputs'!J541,"n.a.")</x:f>
        <x:v>n.a.</x:v>
      </x:c>
      <x:c r="I541" s="1" t="n">
        <x:f>'Inventory inputs'!L541</x:f>
        <x:v>0</x:v>
      </x:c>
      <x:c r="J541" s="1" t="n">
        <x:f>'Inventory inputs'!M541</x:f>
        <x:v>0</x:v>
      </x:c>
      <x:c r="K541" s="1" t="n">
        <x:f>'Inventory inputs'!N541</x:f>
        <x:v>628</x:v>
      </x:c>
      <x:c r="L541" s="1" t="n">
        <x:f>'Inventory inputs'!O541</x:f>
        <x:v>0</x:v>
      </x:c>
      <x:c r="M541" s="9" t="n">
        <x:f>E541*G541</x:f>
        <x:v>29.202000000000005</x:v>
      </x:c>
      <x:c r="N541" s="9" t="n">
        <x:f>'Inventory inputs'!Q541</x:f>
        <x:v>29.202</x:v>
      </x:c>
      <x:c r="O541" s="9" t="n">
        <x:f>N541-M541</x:f>
        <x:v>-3.552713678800501e-15</x:v>
      </x:c>
      <x:c r="P541" s="1" t="n">
        <x:f>SUMIFS('Incoming POs'!$P$2:$P$305,'Incoming POs'!$A$2:$A$305,A541,'Incoming POs'!$B$2:$B$305,B541,'Incoming POs'!$C$2:$C$305,C541,'Incoming POs'!$G$2:$G$305,"&gt;="&amp;D541,'Incoming POs'!$G$2:$G$305,"&lt;"&amp;Dashboard!$I$5)</x:f>
        <x:v>0</x:v>
      </x:c>
      <x:c r="Q541" s="1" t="n">
        <x:f>F541*Dashboard!$L$5*MAX(0,Dashboard!$I$5-D541)/30.4375</x:f>
        <x:v>0</x:v>
      </x:c>
      <x:c r="R541" s="1" t="n">
        <x:f>MAX(0,E541+P541-Q541)</x:f>
        <x:v>628</x:v>
      </x:c>
      <x:c r="S541" s="1" t="n">
        <x:f>MAX(0,Q541-E541-P541)</x:f>
        <x:v>0</x:v>
      </x:c>
      <x:c r="T541" s="1" t="str">
        <x:f>IF(L541=1,MAX(0,I541+AB541-MIN(Q541,E541+P541)),"n.a.")</x:f>
        <x:v>n.a.</x:v>
      </x:c>
      <x:c r="U541" s="9" t="str">
        <x:f>IF(ISNUMBER(T541),T541*G541,"n.a.")</x:f>
        <x:v>n.a.</x:v>
      </x:c>
      <x:c r="V541" s="25" t="n">
        <x:f>IF(Dashboard!$I$6="Flat %",1,IF(ISNUMBER(H541),1,0))</x:f>
        <x:v>0</x:v>
      </x:c>
      <x:c r="W541" s="9" t="str">
        <x:f>IF(Dashboard!$I$6="Flat %",G541*(1+Dashboard!$L$6),H541)</x:f>
        <x:v>n.a.</x:v>
      </x:c>
      <x:c r="X541" s="9" t="str">
        <x:f>IF(V541=1,R541*(W541-G541),"n.a.")</x:f>
        <x:v>n.a.</x:v>
      </x:c>
      <x:c r="Y541" s="9" t="str">
        <x:f>IF(V541=1,R541*W541,"n.a.")</x:f>
        <x:v>n.a.</x:v>
      </x:c>
      <x:c r="Z541" s="1" t="str">
        <x:f>IF(ISNUMBER(T541),R541-T541,"n.a.")</x:f>
        <x:v>n.a.</x:v>
      </x:c>
      <x:c r="AA541" s="1" t="str">
        <x:f>'Inventory inputs'!R541</x:f>
        <x:v>Review receipt reconciliation or original PO baseline</x:v>
      </x:c>
      <x:c r="AB541" s="1" t="str">
        <x:f>IF(L541=1,SUMIFS('Incoming POs'!$P$2:$P$305,'Incoming POs'!$A$2:$A$305,A541,'Incoming POs'!$B$2:$B$305,B541,'Incoming POs'!$C$2:$C$305,C541,'Incoming POs'!$G$2:$G$305,"&gt;="&amp;D541,'Incoming POs'!$G$2:$G$305,"&lt;"&amp;Dashboard!$I$5,'Incoming POs'!$Q$2:$Q$305,"&lt;="&amp;('Inventory inputs'!P541/'Inventory inputs'!J541*1.01)),"n.a.")</x:f>
        <x:v>n.a.</x:v>
      </x:c>
      <x:c r="AC541" s="9" t="n">
        <x:f>I541*G541</x:f>
        <x:v>0</x:v>
      </x:c>
      <x:c r="AD541" s="9" t="n">
        <x:f>J541*G541</x:f>
        <x:v>0</x:v>
      </x:c>
      <x:c r="AE541" s="9" t="n">
        <x:f>K541*G541</x:f>
        <x:v>29.202000000000005</x:v>
      </x:c>
      <x:c r="AF541" s="9" t="n">
        <x:f>R541*G541</x:f>
        <x:v>29.202000000000005</x:v>
      </x:c>
    </x:row>
    <x:row r="542" ht="21" customHeight="1">
      <x:c r="A542" s="1" t="str">
        <x:f>'Inventory inputs'!A542</x:f>
        <x:v>PLAS</x:v>
      </x:c>
      <x:c r="B542" s="1" t="str">
        <x:f>'Inventory inputs'!B542</x:f>
        <x:v>10</x:v>
      </x:c>
      <x:c r="C542" s="1" t="str">
        <x:f>'Inventory inputs'!C542</x:f>
        <x:v>01480RWBNAV</x:v>
      </x:c>
      <x:c r="D542" s="7" t="n">
        <x:f>'Inventory inputs'!E542</x:f>
        <x:v>46303</x:v>
      </x:c>
      <x:c r="E542" s="1" t="n">
        <x:f>'Inventory inputs'!F542</x:f>
        <x:v>1885</x:v>
      </x:c>
      <x:c r="F542" s="1" t="n">
        <x:f>'Inventory inputs'!G542</x:f>
        <x:v>0</x:v>
      </x:c>
      <x:c r="G542" s="1" t="n">
        <x:f>'Inventory inputs'!H542/'Inventory inputs'!J542</x:f>
        <x:v>0.04650000000000001</x:v>
      </x:c>
      <x:c r="H542" s="1" t="str">
        <x:f>IF('Inventory inputs'!I542&gt;0,'Inventory inputs'!I542*'Inventory inputs'!K542/'Inventory inputs'!J542,"n.a.")</x:f>
        <x:v>n.a.</x:v>
      </x:c>
      <x:c r="I542" s="1" t="n">
        <x:f>'Inventory inputs'!L542</x:f>
        <x:v>0</x:v>
      </x:c>
      <x:c r="J542" s="1" t="n">
        <x:f>'Inventory inputs'!M542</x:f>
        <x:v>0</x:v>
      </x:c>
      <x:c r="K542" s="1" t="n">
        <x:f>'Inventory inputs'!N542</x:f>
        <x:v>1885</x:v>
      </x:c>
      <x:c r="L542" s="1" t="n">
        <x:f>'Inventory inputs'!O542</x:f>
        <x:v>0</x:v>
      </x:c>
      <x:c r="M542" s="9" t="n">
        <x:f>E542*G542</x:f>
        <x:v>87.65250000000002</x:v>
      </x:c>
      <x:c r="N542" s="9" t="n">
        <x:f>'Inventory inputs'!Q542</x:f>
        <x:v>87.6525</x:v>
      </x:c>
      <x:c r="O542" s="9" t="n">
        <x:f>N542-M542</x:f>
        <x:v>-1.4210854715202004e-14</x:v>
      </x:c>
      <x:c r="P542" s="1" t="n">
        <x:f>SUMIFS('Incoming POs'!$P$2:$P$305,'Incoming POs'!$A$2:$A$305,A542,'Incoming POs'!$B$2:$B$305,B542,'Incoming POs'!$C$2:$C$305,C542,'Incoming POs'!$G$2:$G$305,"&gt;="&amp;D542,'Incoming POs'!$G$2:$G$305,"&lt;"&amp;Dashboard!$I$5)</x:f>
        <x:v>0</x:v>
      </x:c>
      <x:c r="Q542" s="1" t="n">
        <x:f>F542*Dashboard!$L$5*MAX(0,Dashboard!$I$5-D542)/30.4375</x:f>
        <x:v>0</x:v>
      </x:c>
      <x:c r="R542" s="1" t="n">
        <x:f>MAX(0,E542+P542-Q542)</x:f>
        <x:v>1885</x:v>
      </x:c>
      <x:c r="S542" s="1" t="n">
        <x:f>MAX(0,Q542-E542-P542)</x:f>
        <x:v>0</x:v>
      </x:c>
      <x:c r="T542" s="1" t="str">
        <x:f>IF(L542=1,MAX(0,I542+AB542-MIN(Q542,E542+P542)),"n.a.")</x:f>
        <x:v>n.a.</x:v>
      </x:c>
      <x:c r="U542" s="9" t="str">
        <x:f>IF(ISNUMBER(T542),T542*G542,"n.a.")</x:f>
        <x:v>n.a.</x:v>
      </x:c>
      <x:c r="V542" s="25" t="n">
        <x:f>IF(Dashboard!$I$6="Flat %",1,IF(ISNUMBER(H542),1,0))</x:f>
        <x:v>0</x:v>
      </x:c>
      <x:c r="W542" s="9" t="str">
        <x:f>IF(Dashboard!$I$6="Flat %",G542*(1+Dashboard!$L$6),H542)</x:f>
        <x:v>n.a.</x:v>
      </x:c>
      <x:c r="X542" s="9" t="str">
        <x:f>IF(V542=1,R542*(W542-G542),"n.a.")</x:f>
        <x:v>n.a.</x:v>
      </x:c>
      <x:c r="Y542" s="9" t="str">
        <x:f>IF(V542=1,R542*W542,"n.a.")</x:f>
        <x:v>n.a.</x:v>
      </x:c>
      <x:c r="Z542" s="1" t="str">
        <x:f>IF(ISNUMBER(T542),R542-T542,"n.a.")</x:f>
        <x:v>n.a.</x:v>
      </x:c>
      <x:c r="AA542" s="1" t="str">
        <x:f>'Inventory inputs'!R542</x:f>
        <x:v>Review receipt reconciliation or original PO baseline</x:v>
      </x:c>
      <x:c r="AB542" s="1" t="str">
        <x:f>IF(L542=1,SUMIFS('Incoming POs'!$P$2:$P$305,'Incoming POs'!$A$2:$A$305,A542,'Incoming POs'!$B$2:$B$305,B542,'Incoming POs'!$C$2:$C$305,C542,'Incoming POs'!$G$2:$G$305,"&gt;="&amp;D542,'Incoming POs'!$G$2:$G$305,"&lt;"&amp;Dashboard!$I$5,'Incoming POs'!$Q$2:$Q$305,"&lt;="&amp;('Inventory inputs'!P542/'Inventory inputs'!J542*1.01)),"n.a.")</x:f>
        <x:v>n.a.</x:v>
      </x:c>
      <x:c r="AC542" s="9" t="n">
        <x:f>I542*G542</x:f>
        <x:v>0</x:v>
      </x:c>
      <x:c r="AD542" s="9" t="n">
        <x:f>J542*G542</x:f>
        <x:v>0</x:v>
      </x:c>
      <x:c r="AE542" s="9" t="n">
        <x:f>K542*G542</x:f>
        <x:v>87.65250000000002</x:v>
      </x:c>
      <x:c r="AF542" s="9" t="n">
        <x:f>R542*G542</x:f>
        <x:v>87.65250000000002</x:v>
      </x:c>
    </x:row>
    <x:row r="543" ht="21" customHeight="1">
      <x:c r="A543" s="1" t="str">
        <x:f>'Inventory inputs'!A543</x:f>
        <x:v>PLAS</x:v>
      </x:c>
      <x:c r="B543" s="1" t="str">
        <x:f>'Inventory inputs'!B543</x:f>
        <x:v>10</x:v>
      </x:c>
      <x:c r="C543" s="1" t="str">
        <x:f>'Inventory inputs'!C543</x:f>
        <x:v>01480RWBRED</x:v>
      </x:c>
      <x:c r="D543" s="7" t="n">
        <x:f>'Inventory inputs'!E543</x:f>
        <x:v>46303</x:v>
      </x:c>
      <x:c r="E543" s="1" t="n">
        <x:f>'Inventory inputs'!F543</x:f>
        <x:v>1006</x:v>
      </x:c>
      <x:c r="F543" s="1" t="n">
        <x:f>'Inventory inputs'!G543</x:f>
        <x:v>0</x:v>
      </x:c>
      <x:c r="G543" s="1" t="n">
        <x:f>'Inventory inputs'!H543/'Inventory inputs'!J543</x:f>
        <x:v>0.04650000000000001</x:v>
      </x:c>
      <x:c r="H543" s="1" t="str">
        <x:f>IF('Inventory inputs'!I543&gt;0,'Inventory inputs'!I543*'Inventory inputs'!K543/'Inventory inputs'!J543,"n.a.")</x:f>
        <x:v>n.a.</x:v>
      </x:c>
      <x:c r="I543" s="1" t="n">
        <x:f>'Inventory inputs'!L543</x:f>
        <x:v>0</x:v>
      </x:c>
      <x:c r="J543" s="1" t="n">
        <x:f>'Inventory inputs'!M543</x:f>
        <x:v>0</x:v>
      </x:c>
      <x:c r="K543" s="1" t="n">
        <x:f>'Inventory inputs'!N543</x:f>
        <x:v>1006</x:v>
      </x:c>
      <x:c r="L543" s="1" t="n">
        <x:f>'Inventory inputs'!O543</x:f>
        <x:v>0</x:v>
      </x:c>
      <x:c r="M543" s="9" t="n">
        <x:f>E543*G543</x:f>
        <x:v>46.779</x:v>
      </x:c>
      <x:c r="N543" s="9" t="n">
        <x:f>'Inventory inputs'!Q543</x:f>
        <x:v>46.779</x:v>
      </x:c>
      <x:c r="O543" s="9" t="n">
        <x:f>N543-M543</x:f>
        <x:v>0</x:v>
      </x:c>
      <x:c r="P543" s="1" t="n">
        <x:f>SUMIFS('Incoming POs'!$P$2:$P$305,'Incoming POs'!$A$2:$A$305,A543,'Incoming POs'!$B$2:$B$305,B543,'Incoming POs'!$C$2:$C$305,C543,'Incoming POs'!$G$2:$G$305,"&gt;="&amp;D543,'Incoming POs'!$G$2:$G$305,"&lt;"&amp;Dashboard!$I$5)</x:f>
        <x:v>0</x:v>
      </x:c>
      <x:c r="Q543" s="1" t="n">
        <x:f>F543*Dashboard!$L$5*MAX(0,Dashboard!$I$5-D543)/30.4375</x:f>
        <x:v>0</x:v>
      </x:c>
      <x:c r="R543" s="1" t="n">
        <x:f>MAX(0,E543+P543-Q543)</x:f>
        <x:v>1006</x:v>
      </x:c>
      <x:c r="S543" s="1" t="n">
        <x:f>MAX(0,Q543-E543-P543)</x:f>
        <x:v>0</x:v>
      </x:c>
      <x:c r="T543" s="1" t="str">
        <x:f>IF(L543=1,MAX(0,I543+AB543-MIN(Q543,E543+P543)),"n.a.")</x:f>
        <x:v>n.a.</x:v>
      </x:c>
      <x:c r="U543" s="9" t="str">
        <x:f>IF(ISNUMBER(T543),T543*G543,"n.a.")</x:f>
        <x:v>n.a.</x:v>
      </x:c>
      <x:c r="V543" s="25" t="n">
        <x:f>IF(Dashboard!$I$6="Flat %",1,IF(ISNUMBER(H543),1,0))</x:f>
        <x:v>0</x:v>
      </x:c>
      <x:c r="W543" s="9" t="str">
        <x:f>IF(Dashboard!$I$6="Flat %",G543*(1+Dashboard!$L$6),H543)</x:f>
        <x:v>n.a.</x:v>
      </x:c>
      <x:c r="X543" s="9" t="str">
        <x:f>IF(V543=1,R543*(W543-G543),"n.a.")</x:f>
        <x:v>n.a.</x:v>
      </x:c>
      <x:c r="Y543" s="9" t="str">
        <x:f>IF(V543=1,R543*W543,"n.a.")</x:f>
        <x:v>n.a.</x:v>
      </x:c>
      <x:c r="Z543" s="1" t="str">
        <x:f>IF(ISNUMBER(T543),R543-T543,"n.a.")</x:f>
        <x:v>n.a.</x:v>
      </x:c>
      <x:c r="AA543" s="1" t="str">
        <x:f>'Inventory inputs'!R543</x:f>
        <x:v>Review receipt reconciliation or original PO baseline</x:v>
      </x:c>
      <x:c r="AB543" s="1" t="str">
        <x:f>IF(L543=1,SUMIFS('Incoming POs'!$P$2:$P$305,'Incoming POs'!$A$2:$A$305,A543,'Incoming POs'!$B$2:$B$305,B543,'Incoming POs'!$C$2:$C$305,C543,'Incoming POs'!$G$2:$G$305,"&gt;="&amp;D543,'Incoming POs'!$G$2:$G$305,"&lt;"&amp;Dashboard!$I$5,'Incoming POs'!$Q$2:$Q$305,"&lt;="&amp;('Inventory inputs'!P543/'Inventory inputs'!J543*1.01)),"n.a.")</x:f>
        <x:v>n.a.</x:v>
      </x:c>
      <x:c r="AC543" s="9" t="n">
        <x:f>I543*G543</x:f>
        <x:v>0</x:v>
      </x:c>
      <x:c r="AD543" s="9" t="n">
        <x:f>J543*G543</x:f>
        <x:v>0</x:v>
      </x:c>
      <x:c r="AE543" s="9" t="n">
        <x:f>K543*G543</x:f>
        <x:v>46.779</x:v>
      </x:c>
      <x:c r="AF543" s="9" t="n">
        <x:f>R543*G543</x:f>
        <x:v>46.779</x:v>
      </x:c>
    </x:row>
    <x:row r="544" ht="21" customHeight="1">
      <x:c r="A544" s="1" t="str">
        <x:f>'Inventory inputs'!A544</x:f>
        <x:v>PLAS</x:v>
      </x:c>
      <x:c r="B544" s="1" t="str">
        <x:f>'Inventory inputs'!B544</x:f>
        <x:v>10</x:v>
      </x:c>
      <x:c r="C544" s="1" t="str">
        <x:f>'Inventory inputs'!C544</x:f>
        <x:v>01480RWBWHT</x:v>
      </x:c>
      <x:c r="D544" s="7" t="n">
        <x:f>'Inventory inputs'!E544</x:f>
        <x:v>46303</x:v>
      </x:c>
      <x:c r="E544" s="1" t="n">
        <x:f>'Inventory inputs'!F544</x:f>
        <x:v>4309</x:v>
      </x:c>
      <x:c r="F544" s="1" t="n">
        <x:f>'Inventory inputs'!G544</x:f>
        <x:v>0</x:v>
      </x:c>
      <x:c r="G544" s="1" t="n">
        <x:f>'Inventory inputs'!H544/'Inventory inputs'!J544</x:f>
        <x:v>0.0629</x:v>
      </x:c>
      <x:c r="H544" s="1" t="n">
        <x:f>IF('Inventory inputs'!I544&gt;0,'Inventory inputs'!I544*'Inventory inputs'!K544/'Inventory inputs'!J544,"n.a.")</x:f>
        <x:v>0.07364699999999999</x:v>
      </x:c>
      <x:c r="I544" s="1" t="n">
        <x:f>'Inventory inputs'!L544</x:f>
        <x:v>0</x:v>
      </x:c>
      <x:c r="J544" s="1" t="n">
        <x:f>'Inventory inputs'!M544</x:f>
        <x:v>4309</x:v>
      </x:c>
      <x:c r="K544" s="1" t="n">
        <x:f>'Inventory inputs'!N544</x:f>
        <x:v>0</x:v>
      </x:c>
      <x:c r="L544" s="1" t="n">
        <x:f>'Inventory inputs'!O544</x:f>
        <x:v>1</x:v>
      </x:c>
      <x:c r="M544" s="9" t="n">
        <x:f>E544*G544</x:f>
        <x:v>271.0361</x:v>
      </x:c>
      <x:c r="N544" s="9" t="n">
        <x:f>'Inventory inputs'!Q544</x:f>
        <x:v>271.03610000000003</x:v>
      </x:c>
      <x:c r="O544" s="9" t="n">
        <x:f>N544-M544</x:f>
        <x:v>5.684341886080802e-14</x:v>
      </x:c>
      <x:c r="P544" s="1" t="n">
        <x:f>SUMIFS('Incoming POs'!$P$2:$P$305,'Incoming POs'!$A$2:$A$305,A544,'Incoming POs'!$B$2:$B$305,B544,'Incoming POs'!$C$2:$C$305,C544,'Incoming POs'!$G$2:$G$305,"&gt;="&amp;D544,'Incoming POs'!$G$2:$G$305,"&lt;"&amp;Dashboard!$I$5)</x:f>
        <x:v>0</x:v>
      </x:c>
      <x:c r="Q544" s="1" t="n">
        <x:f>F544*Dashboard!$L$5*MAX(0,Dashboard!$I$5-D544)/30.4375</x:f>
        <x:v>0</x:v>
      </x:c>
      <x:c r="R544" s="1" t="n">
        <x:f>MAX(0,E544+P544-Q544)</x:f>
        <x:v>4309</x:v>
      </x:c>
      <x:c r="S544" s="1" t="n">
        <x:f>MAX(0,Q544-E544-P544)</x:f>
        <x:v>0</x:v>
      </x:c>
      <x:c r="T544" s="1" t="n">
        <x:f>IF(L544=1,MAX(0,I544+AB544-MIN(Q544,E544+P544)),"n.a.")</x:f>
        <x:v>0</x:v>
      </x:c>
      <x:c r="U544" s="9" t="n">
        <x:f>IF(ISNUMBER(T544),T544*G544,"n.a.")</x:f>
        <x:v>0</x:v>
      </x:c>
      <x:c r="V544" s="25" t="n">
        <x:f>IF(Dashboard!$I$6="Flat %",1,IF(ISNUMBER(H544),1,0))</x:f>
        <x:v>1</x:v>
      </x:c>
      <x:c r="W544" s="9" t="n">
        <x:f>IF(Dashboard!$I$6="Flat %",G544*(1+Dashboard!$L$6),H544)</x:f>
        <x:v>0.07364699999999999</x:v>
      </x:c>
      <x:c r="X544" s="9" t="n">
        <x:f>IF(V544=1,R544*(W544-G544),"n.a.")</x:f>
        <x:v>46.30882299999997</x:v>
      </x:c>
      <x:c r="Y544" s="9" t="n">
        <x:f>IF(V544=1,R544*W544,"n.a.")</x:f>
        <x:v>317.34492299999994</x:v>
      </x:c>
      <x:c r="Z544" s="1" t="n">
        <x:f>IF(ISNUMBER(T544),R544-T544,"n.a.")</x:f>
        <x:v>4309</x:v>
      </x:c>
      <x:c r="AA544" s="1" t="str">
        <x:f>'Inventory inputs'!R544</x:f>
        <x:v>Classified</x:v>
      </x:c>
      <x:c r="AB544" s="1" t="n">
        <x:f>IF(L544=1,SUMIFS('Incoming POs'!$P$2:$P$305,'Incoming POs'!$A$2:$A$305,A544,'Incoming POs'!$B$2:$B$305,B544,'Incoming POs'!$C$2:$C$305,C544,'Incoming POs'!$G$2:$G$305,"&gt;="&amp;D544,'Incoming POs'!$G$2:$G$305,"&lt;"&amp;Dashboard!$I$5,'Incoming POs'!$Q$2:$Q$305,"&lt;="&amp;('Inventory inputs'!P544/'Inventory inputs'!J544*1.01)),"n.a.")</x:f>
        <x:v>0</x:v>
      </x:c>
      <x:c r="AC544" s="9" t="n">
        <x:f>I544*G544</x:f>
        <x:v>0</x:v>
      </x:c>
      <x:c r="AD544" s="9" t="n">
        <x:f>J544*G544</x:f>
        <x:v>271.0361</x:v>
      </x:c>
      <x:c r="AE544" s="9" t="n">
        <x:f>K544*G544</x:f>
        <x:v>0</x:v>
      </x:c>
      <x:c r="AF544" s="9" t="n">
        <x:f>R544*G544</x:f>
        <x:v>271.0361</x:v>
      </x:c>
    </x:row>
    <x:row r="545" ht="21" customHeight="1">
      <x:c r="A545" s="1" t="str">
        <x:f>'Inventory inputs'!A545</x:f>
        <x:v>PLAS</x:v>
      </x:c>
      <x:c r="B545" s="1" t="str">
        <x:f>'Inventory inputs'!B545</x:f>
        <x:v>10</x:v>
      </x:c>
      <x:c r="C545" s="1" t="str">
        <x:f>'Inventory inputs'!C545</x:f>
        <x:v>03415RWBCLR</x:v>
      </x:c>
      <x:c r="D545" s="7" t="n">
        <x:f>'Inventory inputs'!E545</x:f>
        <x:v>46303</x:v>
      </x:c>
      <x:c r="E545" s="1" t="n">
        <x:f>'Inventory inputs'!F545</x:f>
        <x:v>2451</x:v>
      </x:c>
      <x:c r="F545" s="1" t="n">
        <x:f>'Inventory inputs'!G545</x:f>
        <x:v>0</x:v>
      </x:c>
      <x:c r="G545" s="1" t="n">
        <x:f>'Inventory inputs'!H545/'Inventory inputs'!J545</x:f>
        <x:v>0.0373</x:v>
      </x:c>
      <x:c r="H545" s="1" t="n">
        <x:f>IF('Inventory inputs'!I545&gt;0,'Inventory inputs'!I545*'Inventory inputs'!K545/'Inventory inputs'!J545,"n.a.")</x:f>
        <x:v>0.051449999999999996</x:v>
      </x:c>
      <x:c r="I545" s="1" t="n">
        <x:f>'Inventory inputs'!L545</x:f>
        <x:v>0</x:v>
      </x:c>
      <x:c r="J545" s="1" t="n">
        <x:f>'Inventory inputs'!M545</x:f>
        <x:v>0</x:v>
      </x:c>
      <x:c r="K545" s="1" t="n">
        <x:f>'Inventory inputs'!N545</x:f>
        <x:v>2451</x:v>
      </x:c>
      <x:c r="L545" s="1" t="n">
        <x:f>'Inventory inputs'!O545</x:f>
        <x:v>0</x:v>
      </x:c>
      <x:c r="M545" s="9" t="n">
        <x:f>E545*G545</x:f>
        <x:v>91.42229999999999</x:v>
      </x:c>
      <x:c r="N545" s="9" t="n">
        <x:f>'Inventory inputs'!Q545</x:f>
        <x:v>91.42229999999999</x:v>
      </x:c>
      <x:c r="O545" s="9" t="n">
        <x:f>N545-M545</x:f>
        <x:v>0</x:v>
      </x:c>
      <x:c r="P545" s="1" t="n">
        <x:f>SUMIFS('Incoming POs'!$P$2:$P$305,'Incoming POs'!$A$2:$A$305,A545,'Incoming POs'!$B$2:$B$305,B545,'Incoming POs'!$C$2:$C$305,C545,'Incoming POs'!$G$2:$G$305,"&gt;="&amp;D545,'Incoming POs'!$G$2:$G$305,"&lt;"&amp;Dashboard!$I$5)</x:f>
        <x:v>0</x:v>
      </x:c>
      <x:c r="Q545" s="1" t="n">
        <x:f>F545*Dashboard!$L$5*MAX(0,Dashboard!$I$5-D545)/30.4375</x:f>
        <x:v>0</x:v>
      </x:c>
      <x:c r="R545" s="1" t="n">
        <x:f>MAX(0,E545+P545-Q545)</x:f>
        <x:v>2451</x:v>
      </x:c>
      <x:c r="S545" s="1" t="n">
        <x:f>MAX(0,Q545-E545-P545)</x:f>
        <x:v>0</x:v>
      </x:c>
      <x:c r="T545" s="1" t="str">
        <x:f>IF(L545=1,MAX(0,I545+AB545-MIN(Q545,E545+P545)),"n.a.")</x:f>
        <x:v>n.a.</x:v>
      </x:c>
      <x:c r="U545" s="9" t="str">
        <x:f>IF(ISNUMBER(T545),T545*G545,"n.a.")</x:f>
        <x:v>n.a.</x:v>
      </x:c>
      <x:c r="V545" s="25" t="n">
        <x:f>IF(Dashboard!$I$6="Flat %",1,IF(ISNUMBER(H545),1,0))</x:f>
        <x:v>1</x:v>
      </x:c>
      <x:c r="W545" s="9" t="n">
        <x:f>IF(Dashboard!$I$6="Flat %",G545*(1+Dashboard!$L$6),H545)</x:f>
        <x:v>0.051449999999999996</x:v>
      </x:c>
      <x:c r="X545" s="9" t="n">
        <x:f>IF(V545=1,R545*(W545-G545),"n.a.")</x:f>
        <x:v>34.68164999999999</x:v>
      </x:c>
      <x:c r="Y545" s="9" t="n">
        <x:f>IF(V545=1,R545*W545,"n.a.")</x:f>
        <x:v>126.10394999999998</x:v>
      </x:c>
      <x:c r="Z545" s="1" t="str">
        <x:f>IF(ISNUMBER(T545),R545-T545,"n.a.")</x:f>
        <x:v>n.a.</x:v>
      </x:c>
      <x:c r="AA545" s="1" t="str">
        <x:f>'Inventory inputs'!R545</x:f>
        <x:v>Review receipt reconciliation or original PO baseline</x:v>
      </x:c>
      <x:c r="AB545" s="1" t="str">
        <x:f>IF(L545=1,SUMIFS('Incoming POs'!$P$2:$P$305,'Incoming POs'!$A$2:$A$305,A545,'Incoming POs'!$B$2:$B$305,B545,'Incoming POs'!$C$2:$C$305,C545,'Incoming POs'!$G$2:$G$305,"&gt;="&amp;D545,'Incoming POs'!$G$2:$G$305,"&lt;"&amp;Dashboard!$I$5,'Incoming POs'!$Q$2:$Q$305,"&lt;="&amp;('Inventory inputs'!P545/'Inventory inputs'!J545*1.01)),"n.a.")</x:f>
        <x:v>n.a.</x:v>
      </x:c>
      <x:c r="AC545" s="9" t="n">
        <x:f>I545*G545</x:f>
        <x:v>0</x:v>
      </x:c>
      <x:c r="AD545" s="9" t="n">
        <x:f>J545*G545</x:f>
        <x:v>0</x:v>
      </x:c>
      <x:c r="AE545" s="9" t="n">
        <x:f>K545*G545</x:f>
        <x:v>91.42229999999999</x:v>
      </x:c>
      <x:c r="AF545" s="9" t="n">
        <x:f>R545*G545</x:f>
        <x:v>91.42229999999999</x:v>
      </x:c>
    </x:row>
    <x:row r="546" ht="21" customHeight="1">
      <x:c r="A546" s="1" t="str">
        <x:f>'Inventory inputs'!A546</x:f>
        <x:v>PLAS</x:v>
      </x:c>
      <x:c r="B546" s="1" t="str">
        <x:f>'Inventory inputs'!B546</x:f>
        <x:v>10</x:v>
      </x:c>
      <x:c r="C546" s="1" t="str">
        <x:f>'Inventory inputs'!C546</x:f>
        <x:v>03416RWBBLK</x:v>
      </x:c>
      <x:c r="D546" s="7" t="n">
        <x:f>'Inventory inputs'!E546</x:f>
        <x:v>46303</x:v>
      </x:c>
      <x:c r="E546" s="1" t="n">
        <x:f>'Inventory inputs'!F546</x:f>
        <x:v>8600</x:v>
      </x:c>
      <x:c r="F546" s="1" t="n">
        <x:f>'Inventory inputs'!G546</x:f>
        <x:v>0</x:v>
      </x:c>
      <x:c r="G546" s="1" t="n">
        <x:f>'Inventory inputs'!H546/'Inventory inputs'!J546</x:f>
        <x:v>0.0472</x:v>
      </x:c>
      <x:c r="H546" s="1" t="n">
        <x:f>IF('Inventory inputs'!I546&gt;0,'Inventory inputs'!I546*'Inventory inputs'!K546/'Inventory inputs'!J546,"n.a.")</x:f>
        <x:v>0.055271999999999995</x:v>
      </x:c>
      <x:c r="I546" s="1" t="n">
        <x:f>'Inventory inputs'!L546</x:f>
        <x:v>0</x:v>
      </x:c>
      <x:c r="J546" s="1" t="n">
        <x:f>'Inventory inputs'!M546</x:f>
        <x:v>0</x:v>
      </x:c>
      <x:c r="K546" s="1" t="n">
        <x:f>'Inventory inputs'!N546</x:f>
        <x:v>8600</x:v>
      </x:c>
      <x:c r="L546" s="1" t="n">
        <x:f>'Inventory inputs'!O546</x:f>
        <x:v>0</x:v>
      </x:c>
      <x:c r="M546" s="9" t="n">
        <x:f>E546*G546</x:f>
        <x:v>405.92</x:v>
      </x:c>
      <x:c r="N546" s="9" t="n">
        <x:f>'Inventory inputs'!Q546</x:f>
        <x:v>405.92</x:v>
      </x:c>
      <x:c r="O546" s="9" t="n">
        <x:f>N546-M546</x:f>
        <x:v>0</x:v>
      </x:c>
      <x:c r="P546" s="1" t="n">
        <x:f>SUMIFS('Incoming POs'!$P$2:$P$305,'Incoming POs'!$A$2:$A$305,A546,'Incoming POs'!$B$2:$B$305,B546,'Incoming POs'!$C$2:$C$305,C546,'Incoming POs'!$G$2:$G$305,"&gt;="&amp;D546,'Incoming POs'!$G$2:$G$305,"&lt;"&amp;Dashboard!$I$5)</x:f>
        <x:v>0</x:v>
      </x:c>
      <x:c r="Q546" s="1" t="n">
        <x:f>F546*Dashboard!$L$5*MAX(0,Dashboard!$I$5-D546)/30.4375</x:f>
        <x:v>0</x:v>
      </x:c>
      <x:c r="R546" s="1" t="n">
        <x:f>MAX(0,E546+P546-Q546)</x:f>
        <x:v>8600</x:v>
      </x:c>
      <x:c r="S546" s="1" t="n">
        <x:f>MAX(0,Q546-E546-P546)</x:f>
        <x:v>0</x:v>
      </x:c>
      <x:c r="T546" s="1" t="str">
        <x:f>IF(L546=1,MAX(0,I546+AB546-MIN(Q546,E546+P546)),"n.a.")</x:f>
        <x:v>n.a.</x:v>
      </x:c>
      <x:c r="U546" s="9" t="str">
        <x:f>IF(ISNUMBER(T546),T546*G546,"n.a.")</x:f>
        <x:v>n.a.</x:v>
      </x:c>
      <x:c r="V546" s="25" t="n">
        <x:f>IF(Dashboard!$I$6="Flat %",1,IF(ISNUMBER(H546),1,0))</x:f>
        <x:v>1</x:v>
      </x:c>
      <x:c r="W546" s="9" t="n">
        <x:f>IF(Dashboard!$I$6="Flat %",G546*(1+Dashboard!$L$6),H546)</x:f>
        <x:v>0.055271999999999995</x:v>
      </x:c>
      <x:c r="X546" s="9" t="n">
        <x:f>IF(V546=1,R546*(W546-G546),"n.a.")</x:f>
        <x:v>69.41919999999996</x:v>
      </x:c>
      <x:c r="Y546" s="9" t="n">
        <x:f>IF(V546=1,R546*W546,"n.a.")</x:f>
        <x:v>475.33919999999995</x:v>
      </x:c>
      <x:c r="Z546" s="1" t="str">
        <x:f>IF(ISNUMBER(T546),R546-T546,"n.a.")</x:f>
        <x:v>n.a.</x:v>
      </x:c>
      <x:c r="AA546" s="1" t="str">
        <x:f>'Inventory inputs'!R546</x:f>
        <x:v>Review receipt reconciliation or original PO baseline</x:v>
      </x:c>
      <x:c r="AB546" s="1" t="str">
        <x:f>IF(L546=1,SUMIFS('Incoming POs'!$P$2:$P$305,'Incoming POs'!$A$2:$A$305,A546,'Incoming POs'!$B$2:$B$305,B546,'Incoming POs'!$C$2:$C$305,C546,'Incoming POs'!$G$2:$G$305,"&gt;="&amp;D546,'Incoming POs'!$G$2:$G$305,"&lt;"&amp;Dashboard!$I$5,'Incoming POs'!$Q$2:$Q$305,"&lt;="&amp;('Inventory inputs'!P546/'Inventory inputs'!J546*1.01)),"n.a.")</x:f>
        <x:v>n.a.</x:v>
      </x:c>
      <x:c r="AC546" s="9" t="n">
        <x:f>I546*G546</x:f>
        <x:v>0</x:v>
      </x:c>
      <x:c r="AD546" s="9" t="n">
        <x:f>J546*G546</x:f>
        <x:v>0</x:v>
      </x:c>
      <x:c r="AE546" s="9" t="n">
        <x:f>K546*G546</x:f>
        <x:v>405.92</x:v>
      </x:c>
      <x:c r="AF546" s="9" t="n">
        <x:f>R546*G546</x:f>
        <x:v>405.92</x:v>
      </x:c>
    </x:row>
    <x:row r="547" ht="21" customHeight="1">
      <x:c r="A547" s="1" t="str">
        <x:f>'Inventory inputs'!A547</x:f>
        <x:v>PLAS</x:v>
      </x:c>
      <x:c r="B547" s="1" t="str">
        <x:f>'Inventory inputs'!B547</x:f>
        <x:v>10</x:v>
      </x:c>
      <x:c r="C547" s="1" t="str">
        <x:f>'Inventory inputs'!C547</x:f>
        <x:v>03416RWBWHT</x:v>
      </x:c>
      <x:c r="D547" s="7" t="n">
        <x:f>'Inventory inputs'!E547</x:f>
        <x:v>46303</x:v>
      </x:c>
      <x:c r="E547" s="1" t="n">
        <x:f>'Inventory inputs'!F547</x:f>
        <x:v>1470</x:v>
      </x:c>
      <x:c r="F547" s="1" t="n">
        <x:f>'Inventory inputs'!G547</x:f>
        <x:v>0</x:v>
      </x:c>
      <x:c r="G547" s="1" t="n">
        <x:f>'Inventory inputs'!H547/'Inventory inputs'!J547</x:f>
        <x:v>0.045599999999999995</x:v>
      </x:c>
      <x:c r="H547" s="1" t="str">
        <x:f>IF('Inventory inputs'!I547&gt;0,'Inventory inputs'!I547*'Inventory inputs'!K547/'Inventory inputs'!J547,"n.a.")</x:f>
        <x:v>n.a.</x:v>
      </x:c>
      <x:c r="I547" s="1" t="n">
        <x:f>'Inventory inputs'!L547</x:f>
        <x:v>0</x:v>
      </x:c>
      <x:c r="J547" s="1" t="n">
        <x:f>'Inventory inputs'!M547</x:f>
        <x:v>0</x:v>
      </x:c>
      <x:c r="K547" s="1" t="n">
        <x:f>'Inventory inputs'!N547</x:f>
        <x:v>1470</x:v>
      </x:c>
      <x:c r="L547" s="1" t="n">
        <x:f>'Inventory inputs'!O547</x:f>
        <x:v>0</x:v>
      </x:c>
      <x:c r="M547" s="9" t="n">
        <x:f>E547*G547</x:f>
        <x:v>67.032</x:v>
      </x:c>
      <x:c r="N547" s="9" t="n">
        <x:f>'Inventory inputs'!Q547</x:f>
        <x:v>67.032</x:v>
      </x:c>
      <x:c r="O547" s="9" t="n">
        <x:f>N547-M547</x:f>
        <x:v>0</x:v>
      </x:c>
      <x:c r="P547" s="1" t="n">
        <x:f>SUMIFS('Incoming POs'!$P$2:$P$305,'Incoming POs'!$A$2:$A$305,A547,'Incoming POs'!$B$2:$B$305,B547,'Incoming POs'!$C$2:$C$305,C547,'Incoming POs'!$G$2:$G$305,"&gt;="&amp;D547,'Incoming POs'!$G$2:$G$305,"&lt;"&amp;Dashboard!$I$5)</x:f>
        <x:v>0</x:v>
      </x:c>
      <x:c r="Q547" s="1" t="n">
        <x:f>F547*Dashboard!$L$5*MAX(0,Dashboard!$I$5-D547)/30.4375</x:f>
        <x:v>0</x:v>
      </x:c>
      <x:c r="R547" s="1" t="n">
        <x:f>MAX(0,E547+P547-Q547)</x:f>
        <x:v>1470</x:v>
      </x:c>
      <x:c r="S547" s="1" t="n">
        <x:f>MAX(0,Q547-E547-P547)</x:f>
        <x:v>0</x:v>
      </x:c>
      <x:c r="T547" s="1" t="str">
        <x:f>IF(L547=1,MAX(0,I547+AB547-MIN(Q547,E547+P547)),"n.a.")</x:f>
        <x:v>n.a.</x:v>
      </x:c>
      <x:c r="U547" s="9" t="str">
        <x:f>IF(ISNUMBER(T547),T547*G547,"n.a.")</x:f>
        <x:v>n.a.</x:v>
      </x:c>
      <x:c r="V547" s="25" t="n">
        <x:f>IF(Dashboard!$I$6="Flat %",1,IF(ISNUMBER(H547),1,0))</x:f>
        <x:v>0</x:v>
      </x:c>
      <x:c r="W547" s="9" t="str">
        <x:f>IF(Dashboard!$I$6="Flat %",G547*(1+Dashboard!$L$6),H547)</x:f>
        <x:v>n.a.</x:v>
      </x:c>
      <x:c r="X547" s="9" t="str">
        <x:f>IF(V547=1,R547*(W547-G547),"n.a.")</x:f>
        <x:v>n.a.</x:v>
      </x:c>
      <x:c r="Y547" s="9" t="str">
        <x:f>IF(V547=1,R547*W547,"n.a.")</x:f>
        <x:v>n.a.</x:v>
      </x:c>
      <x:c r="Z547" s="1" t="str">
        <x:f>IF(ISNUMBER(T547),R547-T547,"n.a.")</x:f>
        <x:v>n.a.</x:v>
      </x:c>
      <x:c r="AA547" s="1" t="str">
        <x:f>'Inventory inputs'!R547</x:f>
        <x:v>Review receipt reconciliation or original PO baseline</x:v>
      </x:c>
      <x:c r="AB547" s="1" t="str">
        <x:f>IF(L547=1,SUMIFS('Incoming POs'!$P$2:$P$305,'Incoming POs'!$A$2:$A$305,A547,'Incoming POs'!$B$2:$B$305,B547,'Incoming POs'!$C$2:$C$305,C547,'Incoming POs'!$G$2:$G$305,"&gt;="&amp;D547,'Incoming POs'!$G$2:$G$305,"&lt;"&amp;Dashboard!$I$5,'Incoming POs'!$Q$2:$Q$305,"&lt;="&amp;('Inventory inputs'!P547/'Inventory inputs'!J547*1.01)),"n.a.")</x:f>
        <x:v>n.a.</x:v>
      </x:c>
      <x:c r="AC547" s="9" t="n">
        <x:f>I547*G547</x:f>
        <x:v>0</x:v>
      </x:c>
      <x:c r="AD547" s="9" t="n">
        <x:f>J547*G547</x:f>
        <x:v>0</x:v>
      </x:c>
      <x:c r="AE547" s="9" t="n">
        <x:f>K547*G547</x:f>
        <x:v>67.032</x:v>
      </x:c>
      <x:c r="AF547" s="9" t="n">
        <x:f>R547*G547</x:f>
        <x:v>67.032</x:v>
      </x:c>
    </x:row>
    <x:row r="548" ht="21" customHeight="1">
      <x:c r="A548" s="1" t="str">
        <x:f>'Inventory inputs'!A548</x:f>
        <x:v>PLAS</x:v>
      </x:c>
      <x:c r="B548" s="1" t="str">
        <x:f>'Inventory inputs'!B548</x:f>
        <x:v>10</x:v>
      </x:c>
      <x:c r="C548" s="1" t="str">
        <x:f>'Inventory inputs'!C548</x:f>
        <x:v>03480RWBBLK</x:v>
      </x:c>
      <x:c r="D548" s="7" t="n">
        <x:f>'Inventory inputs'!E548</x:f>
        <x:v>46303</x:v>
      </x:c>
      <x:c r="E548" s="1" t="n">
        <x:f>'Inventory inputs'!F548</x:f>
        <x:v>2033</x:v>
      </x:c>
      <x:c r="F548" s="1" t="n">
        <x:f>'Inventory inputs'!G548</x:f>
        <x:v>0</x:v>
      </x:c>
      <x:c r="G548" s="1" t="n">
        <x:f>'Inventory inputs'!H548/'Inventory inputs'!J548</x:f>
        <x:v>0.2452</x:v>
      </x:c>
      <x:c r="H548" s="1" t="n">
        <x:f>IF('Inventory inputs'!I548&gt;0,'Inventory inputs'!I548*'Inventory inputs'!K548/'Inventory inputs'!J548,"n.a.")</x:f>
        <x:v>0.286944</x:v>
      </x:c>
      <x:c r="I548" s="1" t="n">
        <x:f>'Inventory inputs'!L548</x:f>
        <x:v>433</x:v>
      </x:c>
      <x:c r="J548" s="1" t="n">
        <x:f>'Inventory inputs'!M548</x:f>
        <x:v>1600</x:v>
      </x:c>
      <x:c r="K548" s="1" t="n">
        <x:f>'Inventory inputs'!N548</x:f>
        <x:v>0</x:v>
      </x:c>
      <x:c r="L548" s="1" t="n">
        <x:f>'Inventory inputs'!O548</x:f>
        <x:v>1</x:v>
      </x:c>
      <x:c r="M548" s="9" t="n">
        <x:f>E548*G548</x:f>
        <x:v>498.4916</x:v>
      </x:c>
      <x:c r="N548" s="9" t="n">
        <x:f>'Inventory inputs'!Q548</x:f>
        <x:v>498.49159999999995</x:v>
      </x:c>
      <x:c r="O548" s="9" t="n">
        <x:f>N548-M548</x:f>
        <x:v>-5.684341886080802e-14</x:v>
      </x:c>
      <x:c r="P548" s="1" t="n">
        <x:f>SUMIFS('Incoming POs'!$P$2:$P$305,'Incoming POs'!$A$2:$A$305,A548,'Incoming POs'!$B$2:$B$305,B548,'Incoming POs'!$C$2:$C$305,C548,'Incoming POs'!$G$2:$G$305,"&gt;="&amp;D548,'Incoming POs'!$G$2:$G$305,"&lt;"&amp;Dashboard!$I$5)</x:f>
        <x:v>0</x:v>
      </x:c>
      <x:c r="Q548" s="1" t="n">
        <x:f>F548*Dashboard!$L$5*MAX(0,Dashboard!$I$5-D548)/30.4375</x:f>
        <x:v>0</x:v>
      </x:c>
      <x:c r="R548" s="1" t="n">
        <x:f>MAX(0,E548+P548-Q548)</x:f>
        <x:v>2033</x:v>
      </x:c>
      <x:c r="S548" s="1" t="n">
        <x:f>MAX(0,Q548-E548-P548)</x:f>
        <x:v>0</x:v>
      </x:c>
      <x:c r="T548" s="1" t="n">
        <x:f>IF(L548=1,MAX(0,I548+AB548-MIN(Q548,E548+P548)),"n.a.")</x:f>
        <x:v>433</x:v>
      </x:c>
      <x:c r="U548" s="9" t="n">
        <x:f>IF(ISNUMBER(T548),T548*G548,"n.a.")</x:f>
        <x:v>106.1716</x:v>
      </x:c>
      <x:c r="V548" s="25" t="n">
        <x:f>IF(Dashboard!$I$6="Flat %",1,IF(ISNUMBER(H548),1,0))</x:f>
        <x:v>1</x:v>
      </x:c>
      <x:c r="W548" s="9" t="n">
        <x:f>IF(Dashboard!$I$6="Flat %",G548*(1+Dashboard!$L$6),H548)</x:f>
        <x:v>0.286944</x:v>
      </x:c>
      <x:c r="X548" s="9" t="n">
        <x:f>IF(V548=1,R548*(W548-G548),"n.a.")</x:f>
        <x:v>84.86555199999995</x:v>
      </x:c>
      <x:c r="Y548" s="9" t="n">
        <x:f>IF(V548=1,R548*W548,"n.a.")</x:f>
        <x:v>583.3571519999999</x:v>
      </x:c>
      <x:c r="Z548" s="1" t="n">
        <x:f>IF(ISNUMBER(T548),R548-T548,"n.a.")</x:f>
        <x:v>1600</x:v>
      </x:c>
      <x:c r="AA548" s="1" t="str">
        <x:f>'Inventory inputs'!R548</x:f>
        <x:v>Classified</x:v>
      </x:c>
      <x:c r="AB548" s="1" t="n">
        <x:f>IF(L548=1,SUMIFS('Incoming POs'!$P$2:$P$305,'Incoming POs'!$A$2:$A$305,A548,'Incoming POs'!$B$2:$B$305,B548,'Incoming POs'!$C$2:$C$305,C548,'Incoming POs'!$G$2:$G$305,"&gt;="&amp;D548,'Incoming POs'!$G$2:$G$305,"&lt;"&amp;Dashboard!$I$5,'Incoming POs'!$Q$2:$Q$305,"&lt;="&amp;('Inventory inputs'!P548/'Inventory inputs'!J548*1.01)),"n.a.")</x:f>
        <x:v>0</x:v>
      </x:c>
      <x:c r="AC548" s="9" t="n">
        <x:f>I548*G548</x:f>
        <x:v>106.1716</x:v>
      </x:c>
      <x:c r="AD548" s="9" t="n">
        <x:f>J548*G548</x:f>
        <x:v>392.32</x:v>
      </x:c>
      <x:c r="AE548" s="9" t="n">
        <x:f>K548*G548</x:f>
        <x:v>0</x:v>
      </x:c>
      <x:c r="AF548" s="9" t="n">
        <x:f>R548*G548</x:f>
        <x:v>498.4916</x:v>
      </x:c>
    </x:row>
    <x:row r="549" ht="21" customHeight="1">
      <x:c r="A549" s="1" t="str">
        <x:f>'Inventory inputs'!A549</x:f>
        <x:v>PLAS</x:v>
      </x:c>
      <x:c r="B549" s="1" t="str">
        <x:f>'Inventory inputs'!B549</x:f>
        <x:v>10</x:v>
      </x:c>
      <x:c r="C549" s="1" t="str">
        <x:f>'Inventory inputs'!C549</x:f>
        <x:v>03480RWBBLU</x:v>
      </x:c>
      <x:c r="D549" s="7" t="n">
        <x:f>'Inventory inputs'!E549</x:f>
        <x:v>46303</x:v>
      </x:c>
      <x:c r="E549" s="1" t="n">
        <x:f>'Inventory inputs'!F549</x:f>
        <x:v>206</x:v>
      </x:c>
      <x:c r="F549" s="1" t="n">
        <x:f>'Inventory inputs'!G549</x:f>
        <x:v>0</x:v>
      </x:c>
      <x:c r="G549" s="1" t="n">
        <x:f>'Inventory inputs'!H549/'Inventory inputs'!J549</x:f>
        <x:v>0.1912</x:v>
      </x:c>
      <x:c r="H549" s="1" t="str">
        <x:f>IF('Inventory inputs'!I549&gt;0,'Inventory inputs'!I549*'Inventory inputs'!K549/'Inventory inputs'!J549,"n.a.")</x:f>
        <x:v>n.a.</x:v>
      </x:c>
      <x:c r="I549" s="1" t="n">
        <x:f>'Inventory inputs'!L549</x:f>
        <x:v>0</x:v>
      </x:c>
      <x:c r="J549" s="1" t="n">
        <x:f>'Inventory inputs'!M549</x:f>
        <x:v>0</x:v>
      </x:c>
      <x:c r="K549" s="1" t="n">
        <x:f>'Inventory inputs'!N549</x:f>
        <x:v>206</x:v>
      </x:c>
      <x:c r="L549" s="1" t="n">
        <x:f>'Inventory inputs'!O549</x:f>
        <x:v>0</x:v>
      </x:c>
      <x:c r="M549" s="9" t="n">
        <x:f>E549*G549</x:f>
        <x:v>39.3872</x:v>
      </x:c>
      <x:c r="N549" s="9" t="n">
        <x:f>'Inventory inputs'!Q549</x:f>
        <x:v>39.3872</x:v>
      </x:c>
      <x:c r="O549" s="9" t="n">
        <x:f>N549-M549</x:f>
        <x:v>0</x:v>
      </x:c>
      <x:c r="P549" s="1" t="n">
        <x:f>SUMIFS('Incoming POs'!$P$2:$P$305,'Incoming POs'!$A$2:$A$305,A549,'Incoming POs'!$B$2:$B$305,B549,'Incoming POs'!$C$2:$C$305,C549,'Incoming POs'!$G$2:$G$305,"&gt;="&amp;D549,'Incoming POs'!$G$2:$G$305,"&lt;"&amp;Dashboard!$I$5)</x:f>
        <x:v>0</x:v>
      </x:c>
      <x:c r="Q549" s="1" t="n">
        <x:f>F549*Dashboard!$L$5*MAX(0,Dashboard!$I$5-D549)/30.4375</x:f>
        <x:v>0</x:v>
      </x:c>
      <x:c r="R549" s="1" t="n">
        <x:f>MAX(0,E549+P549-Q549)</x:f>
        <x:v>206</x:v>
      </x:c>
      <x:c r="S549" s="1" t="n">
        <x:f>MAX(0,Q549-E549-P549)</x:f>
        <x:v>0</x:v>
      </x:c>
      <x:c r="T549" s="1" t="str">
        <x:f>IF(L549=1,MAX(0,I549+AB549-MIN(Q549,E549+P549)),"n.a.")</x:f>
        <x:v>n.a.</x:v>
      </x:c>
      <x:c r="U549" s="9" t="str">
        <x:f>IF(ISNUMBER(T549),T549*G549,"n.a.")</x:f>
        <x:v>n.a.</x:v>
      </x:c>
      <x:c r="V549" s="25" t="n">
        <x:f>IF(Dashboard!$I$6="Flat %",1,IF(ISNUMBER(H549),1,0))</x:f>
        <x:v>0</x:v>
      </x:c>
      <x:c r="W549" s="9" t="str">
        <x:f>IF(Dashboard!$I$6="Flat %",G549*(1+Dashboard!$L$6),H549)</x:f>
        <x:v>n.a.</x:v>
      </x:c>
      <x:c r="X549" s="9" t="str">
        <x:f>IF(V549=1,R549*(W549-G549),"n.a.")</x:f>
        <x:v>n.a.</x:v>
      </x:c>
      <x:c r="Y549" s="9" t="str">
        <x:f>IF(V549=1,R549*W549,"n.a.")</x:f>
        <x:v>n.a.</x:v>
      </x:c>
      <x:c r="Z549" s="1" t="str">
        <x:f>IF(ISNUMBER(T549),R549-T549,"n.a.")</x:f>
        <x:v>n.a.</x:v>
      </x:c>
      <x:c r="AA549" s="1" t="str">
        <x:f>'Inventory inputs'!R549</x:f>
        <x:v>Review receipt reconciliation or original PO baseline</x:v>
      </x:c>
      <x:c r="AB549" s="1" t="str">
        <x:f>IF(L549=1,SUMIFS('Incoming POs'!$P$2:$P$305,'Incoming POs'!$A$2:$A$305,A549,'Incoming POs'!$B$2:$B$305,B549,'Incoming POs'!$C$2:$C$305,C549,'Incoming POs'!$G$2:$G$305,"&gt;="&amp;D549,'Incoming POs'!$G$2:$G$305,"&lt;"&amp;Dashboard!$I$5,'Incoming POs'!$Q$2:$Q$305,"&lt;="&amp;('Inventory inputs'!P549/'Inventory inputs'!J549*1.01)),"n.a.")</x:f>
        <x:v>n.a.</x:v>
      </x:c>
      <x:c r="AC549" s="9" t="n">
        <x:f>I549*G549</x:f>
        <x:v>0</x:v>
      </x:c>
      <x:c r="AD549" s="9" t="n">
        <x:f>J549*G549</x:f>
        <x:v>0</x:v>
      </x:c>
      <x:c r="AE549" s="9" t="n">
        <x:f>K549*G549</x:f>
        <x:v>39.3872</x:v>
      </x:c>
      <x:c r="AF549" s="9" t="n">
        <x:f>R549*G549</x:f>
        <x:v>39.3872</x:v>
      </x:c>
    </x:row>
    <x:row r="550" ht="21" customHeight="1">
      <x:c r="A550" s="1" t="str">
        <x:f>'Inventory inputs'!A550</x:f>
        <x:v>PLAS</x:v>
      </x:c>
      <x:c r="B550" s="1" t="str">
        <x:f>'Inventory inputs'!B550</x:f>
        <x:v>10</x:v>
      </x:c>
      <x:c r="C550" s="1" t="str">
        <x:f>'Inventory inputs'!C550</x:f>
        <x:v>03480RWBCLR</x:v>
      </x:c>
      <x:c r="D550" s="7" t="n">
        <x:f>'Inventory inputs'!E550</x:f>
        <x:v>46303</x:v>
      </x:c>
      <x:c r="E550" s="1" t="n">
        <x:f>'Inventory inputs'!F550</x:f>
        <x:v>904</x:v>
      </x:c>
      <x:c r="F550" s="1" t="n">
        <x:f>'Inventory inputs'!G550</x:f>
        <x:v>0</x:v>
      </x:c>
      <x:c r="G550" s="1" t="n">
        <x:f>'Inventory inputs'!H550/'Inventory inputs'!J550</x:f>
        <x:v>0.2452</x:v>
      </x:c>
      <x:c r="H550" s="1" t="n">
        <x:f>IF('Inventory inputs'!I550&gt;0,'Inventory inputs'!I550*'Inventory inputs'!K550/'Inventory inputs'!J550,"n.a.")</x:f>
        <x:v>0.286944</x:v>
      </x:c>
      <x:c r="I550" s="1" t="n">
        <x:f>'Inventory inputs'!L550</x:f>
        <x:v>0</x:v>
      </x:c>
      <x:c r="J550" s="1" t="n">
        <x:f>'Inventory inputs'!M550</x:f>
        <x:v>0</x:v>
      </x:c>
      <x:c r="K550" s="1" t="n">
        <x:f>'Inventory inputs'!N550</x:f>
        <x:v>904</x:v>
      </x:c>
      <x:c r="L550" s="1" t="n">
        <x:f>'Inventory inputs'!O550</x:f>
        <x:v>0</x:v>
      </x:c>
      <x:c r="M550" s="9" t="n">
        <x:f>E550*G550</x:f>
        <x:v>221.6608</x:v>
      </x:c>
      <x:c r="N550" s="9" t="n">
        <x:f>'Inventory inputs'!Q550</x:f>
        <x:v>221.6608</x:v>
      </x:c>
      <x:c r="O550" s="9" t="n">
        <x:f>N550-M550</x:f>
        <x:v>0</x:v>
      </x:c>
      <x:c r="P550" s="1" t="n">
        <x:f>SUMIFS('Incoming POs'!$P$2:$P$305,'Incoming POs'!$A$2:$A$305,A550,'Incoming POs'!$B$2:$B$305,B550,'Incoming POs'!$C$2:$C$305,C550,'Incoming POs'!$G$2:$G$305,"&gt;="&amp;D550,'Incoming POs'!$G$2:$G$305,"&lt;"&amp;Dashboard!$I$5)</x:f>
        <x:v>0</x:v>
      </x:c>
      <x:c r="Q550" s="1" t="n">
        <x:f>F550*Dashboard!$L$5*MAX(0,Dashboard!$I$5-D550)/30.4375</x:f>
        <x:v>0</x:v>
      </x:c>
      <x:c r="R550" s="1" t="n">
        <x:f>MAX(0,E550+P550-Q550)</x:f>
        <x:v>904</x:v>
      </x:c>
      <x:c r="S550" s="1" t="n">
        <x:f>MAX(0,Q550-E550-P550)</x:f>
        <x:v>0</x:v>
      </x:c>
      <x:c r="T550" s="1" t="str">
        <x:f>IF(L550=1,MAX(0,I550+AB550-MIN(Q550,E550+P550)),"n.a.")</x:f>
        <x:v>n.a.</x:v>
      </x:c>
      <x:c r="U550" s="9" t="str">
        <x:f>IF(ISNUMBER(T550),T550*G550,"n.a.")</x:f>
        <x:v>n.a.</x:v>
      </x:c>
      <x:c r="V550" s="25" t="n">
        <x:f>IF(Dashboard!$I$6="Flat %",1,IF(ISNUMBER(H550),1,0))</x:f>
        <x:v>1</x:v>
      </x:c>
      <x:c r="W550" s="9" t="n">
        <x:f>IF(Dashboard!$I$6="Flat %",G550*(1+Dashboard!$L$6),H550)</x:f>
        <x:v>0.286944</x:v>
      </x:c>
      <x:c r="X550" s="9" t="n">
        <x:f>IF(V550=1,R550*(W550-G550),"n.a.")</x:f>
        <x:v>37.73657599999998</x:v>
      </x:c>
      <x:c r="Y550" s="9" t="n">
        <x:f>IF(V550=1,R550*W550,"n.a.")</x:f>
        <x:v>259.39737599999995</x:v>
      </x:c>
      <x:c r="Z550" s="1" t="str">
        <x:f>IF(ISNUMBER(T550),R550-T550,"n.a.")</x:f>
        <x:v>n.a.</x:v>
      </x:c>
      <x:c r="AA550" s="1" t="str">
        <x:f>'Inventory inputs'!R550</x:f>
        <x:v>Review receipt reconciliation or original PO baseline</x:v>
      </x:c>
      <x:c r="AB550" s="1" t="str">
        <x:f>IF(L550=1,SUMIFS('Incoming POs'!$P$2:$P$305,'Incoming POs'!$A$2:$A$305,A550,'Incoming POs'!$B$2:$B$305,B550,'Incoming POs'!$C$2:$C$305,C550,'Incoming POs'!$G$2:$G$305,"&gt;="&amp;D550,'Incoming POs'!$G$2:$G$305,"&lt;"&amp;Dashboard!$I$5,'Incoming POs'!$Q$2:$Q$305,"&lt;="&amp;('Inventory inputs'!P550/'Inventory inputs'!J550*1.01)),"n.a.")</x:f>
        <x:v>n.a.</x:v>
      </x:c>
      <x:c r="AC550" s="9" t="n">
        <x:f>I550*G550</x:f>
        <x:v>0</x:v>
      </x:c>
      <x:c r="AD550" s="9" t="n">
        <x:f>J550*G550</x:f>
        <x:v>0</x:v>
      </x:c>
      <x:c r="AE550" s="9" t="n">
        <x:f>K550*G550</x:f>
        <x:v>221.6608</x:v>
      </x:c>
      <x:c r="AF550" s="9" t="n">
        <x:f>R550*G550</x:f>
        <x:v>221.6608</x:v>
      </x:c>
    </x:row>
    <x:row r="551" ht="21" customHeight="1">
      <x:c r="A551" s="1" t="str">
        <x:f>'Inventory inputs'!A551</x:f>
        <x:v>PLAS</x:v>
      </x:c>
      <x:c r="B551" s="1" t="str">
        <x:f>'Inventory inputs'!B551</x:f>
        <x:v>10</x:v>
      </x:c>
      <x:c r="C551" s="1" t="str">
        <x:f>'Inventory inputs'!C551</x:f>
        <x:v>03480RWBFG</x:v>
      </x:c>
      <x:c r="D551" s="7" t="n">
        <x:f>'Inventory inputs'!E551</x:f>
        <x:v>46303</x:v>
      </x:c>
      <x:c r="E551" s="1" t="n">
        <x:f>'Inventory inputs'!F551</x:f>
        <x:v>1410</x:v>
      </x:c>
      <x:c r="F551" s="1" t="n">
        <x:f>'Inventory inputs'!G551</x:f>
        <x:v>0</x:v>
      </x:c>
      <x:c r="G551" s="1" t="n">
        <x:f>'Inventory inputs'!H551/'Inventory inputs'!J551</x:f>
        <x:v>0.2452</x:v>
      </x:c>
      <x:c r="H551" s="1" t="n">
        <x:f>IF('Inventory inputs'!I551&gt;0,'Inventory inputs'!I551*'Inventory inputs'!K551/'Inventory inputs'!J551,"n.a.")</x:f>
        <x:v>0.286944</x:v>
      </x:c>
      <x:c r="I551" s="1" t="n">
        <x:f>'Inventory inputs'!L551</x:f>
        <x:v>1410</x:v>
      </x:c>
      <x:c r="J551" s="1" t="n">
        <x:f>'Inventory inputs'!M551</x:f>
        <x:v>0</x:v>
      </x:c>
      <x:c r="K551" s="1" t="n">
        <x:f>'Inventory inputs'!N551</x:f>
        <x:v>0</x:v>
      </x:c>
      <x:c r="L551" s="1" t="n">
        <x:f>'Inventory inputs'!O551</x:f>
        <x:v>1</x:v>
      </x:c>
      <x:c r="M551" s="9" t="n">
        <x:f>E551*G551</x:f>
        <x:v>345.732</x:v>
      </x:c>
      <x:c r="N551" s="9" t="n">
        <x:f>'Inventory inputs'!Q551</x:f>
        <x:v>345.73199999999997</x:v>
      </x:c>
      <x:c r="O551" s="9" t="n">
        <x:f>N551-M551</x:f>
        <x:v>-5.684341886080802e-14</x:v>
      </x:c>
      <x:c r="P551" s="1" t="n">
        <x:f>SUMIFS('Incoming POs'!$P$2:$P$305,'Incoming POs'!$A$2:$A$305,A551,'Incoming POs'!$B$2:$B$305,B551,'Incoming POs'!$C$2:$C$305,C551,'Incoming POs'!$G$2:$G$305,"&gt;="&amp;D551,'Incoming POs'!$G$2:$G$305,"&lt;"&amp;Dashboard!$I$5)</x:f>
        <x:v>0</x:v>
      </x:c>
      <x:c r="Q551" s="1" t="n">
        <x:f>F551*Dashboard!$L$5*MAX(0,Dashboard!$I$5-D551)/30.4375</x:f>
        <x:v>0</x:v>
      </x:c>
      <x:c r="R551" s="1" t="n">
        <x:f>MAX(0,E551+P551-Q551)</x:f>
        <x:v>1410</x:v>
      </x:c>
      <x:c r="S551" s="1" t="n">
        <x:f>MAX(0,Q551-E551-P551)</x:f>
        <x:v>0</x:v>
      </x:c>
      <x:c r="T551" s="1" t="n">
        <x:f>IF(L551=1,MAX(0,I551+AB551-MIN(Q551,E551+P551)),"n.a.")</x:f>
        <x:v>1410</x:v>
      </x:c>
      <x:c r="U551" s="9" t="n">
        <x:f>IF(ISNUMBER(T551),T551*G551,"n.a.")</x:f>
        <x:v>345.732</x:v>
      </x:c>
      <x:c r="V551" s="25" t="n">
        <x:f>IF(Dashboard!$I$6="Flat %",1,IF(ISNUMBER(H551),1,0))</x:f>
        <x:v>1</x:v>
      </x:c>
      <x:c r="W551" s="9" t="n">
        <x:f>IF(Dashboard!$I$6="Flat %",G551*(1+Dashboard!$L$6),H551)</x:f>
        <x:v>0.286944</x:v>
      </x:c>
      <x:c r="X551" s="9" t="n">
        <x:f>IF(V551=1,R551*(W551-G551),"n.a.")</x:f>
        <x:v>58.859039999999965</x:v>
      </x:c>
      <x:c r="Y551" s="9" t="n">
        <x:f>IF(V551=1,R551*W551,"n.a.")</x:f>
        <x:v>404.59103999999996</x:v>
      </x:c>
      <x:c r="Z551" s="1" t="n">
        <x:f>IF(ISNUMBER(T551),R551-T551,"n.a.")</x:f>
        <x:v>0</x:v>
      </x:c>
      <x:c r="AA551" s="1" t="str">
        <x:f>'Inventory inputs'!R551</x:f>
        <x:v>Classified</x:v>
      </x:c>
      <x:c r="AB551" s="1" t="n">
        <x:f>IF(L551=1,SUMIFS('Incoming POs'!$P$2:$P$305,'Incoming POs'!$A$2:$A$305,A551,'Incoming POs'!$B$2:$B$305,B551,'Incoming POs'!$C$2:$C$305,C551,'Incoming POs'!$G$2:$G$305,"&gt;="&amp;D551,'Incoming POs'!$G$2:$G$305,"&lt;"&amp;Dashboard!$I$5,'Incoming POs'!$Q$2:$Q$305,"&lt;="&amp;('Inventory inputs'!P551/'Inventory inputs'!J551*1.01)),"n.a.")</x:f>
        <x:v>0</x:v>
      </x:c>
      <x:c r="AC551" s="9" t="n">
        <x:f>I551*G551</x:f>
        <x:v>345.732</x:v>
      </x:c>
      <x:c r="AD551" s="9" t="n">
        <x:f>J551*G551</x:f>
        <x:v>0</x:v>
      </x:c>
      <x:c r="AE551" s="9" t="n">
        <x:f>K551*G551</x:f>
        <x:v>0</x:v>
      </x:c>
      <x:c r="AF551" s="9" t="n">
        <x:f>R551*G551</x:f>
        <x:v>345.732</x:v>
      </x:c>
    </x:row>
    <x:row r="552" ht="21" customHeight="1">
      <x:c r="A552" s="1" t="str">
        <x:f>'Inventory inputs'!A552</x:f>
        <x:v>PLAS</x:v>
      </x:c>
      <x:c r="B552" s="1" t="str">
        <x:f>'Inventory inputs'!B552</x:f>
        <x:v>10</x:v>
      </x:c>
      <x:c r="C552" s="1" t="str">
        <x:f>'Inventory inputs'!C552</x:f>
        <x:v>03480RWBMAR</x:v>
      </x:c>
      <x:c r="D552" s="7" t="n">
        <x:f>'Inventory inputs'!E552</x:f>
        <x:v>46303</x:v>
      </x:c>
      <x:c r="E552" s="1" t="n">
        <x:f>'Inventory inputs'!F552</x:f>
        <x:v>382</x:v>
      </x:c>
      <x:c r="F552" s="1" t="n">
        <x:f>'Inventory inputs'!G552</x:f>
        <x:v>0</x:v>
      </x:c>
      <x:c r="G552" s="1" t="n">
        <x:f>'Inventory inputs'!H552/'Inventory inputs'!J552</x:f>
        <x:v>0.1912</x:v>
      </x:c>
      <x:c r="H552" s="1" t="str">
        <x:f>IF('Inventory inputs'!I552&gt;0,'Inventory inputs'!I552*'Inventory inputs'!K552/'Inventory inputs'!J552,"n.a.")</x:f>
        <x:v>n.a.</x:v>
      </x:c>
      <x:c r="I552" s="1" t="n">
        <x:f>'Inventory inputs'!L552</x:f>
        <x:v>0</x:v>
      </x:c>
      <x:c r="J552" s="1" t="n">
        <x:f>'Inventory inputs'!M552</x:f>
        <x:v>0</x:v>
      </x:c>
      <x:c r="K552" s="1" t="n">
        <x:f>'Inventory inputs'!N552</x:f>
        <x:v>382</x:v>
      </x:c>
      <x:c r="L552" s="1" t="n">
        <x:f>'Inventory inputs'!O552</x:f>
        <x:v>0</x:v>
      </x:c>
      <x:c r="M552" s="9" t="n">
        <x:f>E552*G552</x:f>
        <x:v>73.03840000000001</x:v>
      </x:c>
      <x:c r="N552" s="9" t="n">
        <x:f>'Inventory inputs'!Q552</x:f>
        <x:v>73.03840000000001</x:v>
      </x:c>
      <x:c r="O552" s="9" t="n">
        <x:f>N552-M552</x:f>
        <x:v>0</x:v>
      </x:c>
      <x:c r="P552" s="1" t="n">
        <x:f>SUMIFS('Incoming POs'!$P$2:$P$305,'Incoming POs'!$A$2:$A$305,A552,'Incoming POs'!$B$2:$B$305,B552,'Incoming POs'!$C$2:$C$305,C552,'Incoming POs'!$G$2:$G$305,"&gt;="&amp;D552,'Incoming POs'!$G$2:$G$305,"&lt;"&amp;Dashboard!$I$5)</x:f>
        <x:v>0</x:v>
      </x:c>
      <x:c r="Q552" s="1" t="n">
        <x:f>F552*Dashboard!$L$5*MAX(0,Dashboard!$I$5-D552)/30.4375</x:f>
        <x:v>0</x:v>
      </x:c>
      <x:c r="R552" s="1" t="n">
        <x:f>MAX(0,E552+P552-Q552)</x:f>
        <x:v>382</x:v>
      </x:c>
      <x:c r="S552" s="1" t="n">
        <x:f>MAX(0,Q552-E552-P552)</x:f>
        <x:v>0</x:v>
      </x:c>
      <x:c r="T552" s="1" t="str">
        <x:f>IF(L552=1,MAX(0,I552+AB552-MIN(Q552,E552+P552)),"n.a.")</x:f>
        <x:v>n.a.</x:v>
      </x:c>
      <x:c r="U552" s="9" t="str">
        <x:f>IF(ISNUMBER(T552),T552*G552,"n.a.")</x:f>
        <x:v>n.a.</x:v>
      </x:c>
      <x:c r="V552" s="25" t="n">
        <x:f>IF(Dashboard!$I$6="Flat %",1,IF(ISNUMBER(H552),1,0))</x:f>
        <x:v>0</x:v>
      </x:c>
      <x:c r="W552" s="9" t="str">
        <x:f>IF(Dashboard!$I$6="Flat %",G552*(1+Dashboard!$L$6),H552)</x:f>
        <x:v>n.a.</x:v>
      </x:c>
      <x:c r="X552" s="9" t="str">
        <x:f>IF(V552=1,R552*(W552-G552),"n.a.")</x:f>
        <x:v>n.a.</x:v>
      </x:c>
      <x:c r="Y552" s="9" t="str">
        <x:f>IF(V552=1,R552*W552,"n.a.")</x:f>
        <x:v>n.a.</x:v>
      </x:c>
      <x:c r="Z552" s="1" t="str">
        <x:f>IF(ISNUMBER(T552),R552-T552,"n.a.")</x:f>
        <x:v>n.a.</x:v>
      </x:c>
      <x:c r="AA552" s="1" t="str">
        <x:f>'Inventory inputs'!R552</x:f>
        <x:v>Review receipt reconciliation or original PO baseline</x:v>
      </x:c>
      <x:c r="AB552" s="1" t="str">
        <x:f>IF(L552=1,SUMIFS('Incoming POs'!$P$2:$P$305,'Incoming POs'!$A$2:$A$305,A552,'Incoming POs'!$B$2:$B$305,B552,'Incoming POs'!$C$2:$C$305,C552,'Incoming POs'!$G$2:$G$305,"&gt;="&amp;D552,'Incoming POs'!$G$2:$G$305,"&lt;"&amp;Dashboard!$I$5,'Incoming POs'!$Q$2:$Q$305,"&lt;="&amp;('Inventory inputs'!P552/'Inventory inputs'!J552*1.01)),"n.a.")</x:f>
        <x:v>n.a.</x:v>
      </x:c>
      <x:c r="AC552" s="9" t="n">
        <x:f>I552*G552</x:f>
        <x:v>0</x:v>
      </x:c>
      <x:c r="AD552" s="9" t="n">
        <x:f>J552*G552</x:f>
        <x:v>0</x:v>
      </x:c>
      <x:c r="AE552" s="9" t="n">
        <x:f>K552*G552</x:f>
        <x:v>73.03840000000001</x:v>
      </x:c>
      <x:c r="AF552" s="9" t="n">
        <x:f>R552*G552</x:f>
        <x:v>73.03840000000001</x:v>
      </x:c>
    </x:row>
    <x:row r="553" ht="21" customHeight="1">
      <x:c r="A553" s="1" t="str">
        <x:f>'Inventory inputs'!A553</x:f>
        <x:v>PLAS</x:v>
      </x:c>
      <x:c r="B553" s="1" t="str">
        <x:f>'Inventory inputs'!B553</x:f>
        <x:v>10</x:v>
      </x:c>
      <x:c r="C553" s="1" t="str">
        <x:f>'Inventory inputs'!C553</x:f>
        <x:v>03480RWBNAV</x:v>
      </x:c>
      <x:c r="D553" s="7" t="n">
        <x:f>'Inventory inputs'!E553</x:f>
        <x:v>46303</x:v>
      </x:c>
      <x:c r="E553" s="1" t="n">
        <x:f>'Inventory inputs'!F553</x:f>
        <x:v>1098</x:v>
      </x:c>
      <x:c r="F553" s="1" t="n">
        <x:f>'Inventory inputs'!G553</x:f>
        <x:v>0</x:v>
      </x:c>
      <x:c r="G553" s="1" t="n">
        <x:f>'Inventory inputs'!H553/'Inventory inputs'!J553</x:f>
        <x:v>0.2452</x:v>
      </x:c>
      <x:c r="H553" s="1" t="n">
        <x:f>IF('Inventory inputs'!I553&gt;0,'Inventory inputs'!I553*'Inventory inputs'!K553/'Inventory inputs'!J553,"n.a.")</x:f>
        <x:v>0.286944</x:v>
      </x:c>
      <x:c r="I553" s="1" t="n">
        <x:f>'Inventory inputs'!L553</x:f>
        <x:v>1098</x:v>
      </x:c>
      <x:c r="J553" s="1" t="n">
        <x:f>'Inventory inputs'!M553</x:f>
        <x:v>0</x:v>
      </x:c>
      <x:c r="K553" s="1" t="n">
        <x:f>'Inventory inputs'!N553</x:f>
        <x:v>0</x:v>
      </x:c>
      <x:c r="L553" s="1" t="n">
        <x:f>'Inventory inputs'!O553</x:f>
        <x:v>1</x:v>
      </x:c>
      <x:c r="M553" s="9" t="n">
        <x:f>E553*G553</x:f>
        <x:v>269.2296</x:v>
      </x:c>
      <x:c r="N553" s="9" t="n">
        <x:f>'Inventory inputs'!Q553</x:f>
        <x:v>269.2296</x:v>
      </x:c>
      <x:c r="O553" s="9" t="n">
        <x:f>N553-M553</x:f>
        <x:v>0</x:v>
      </x:c>
      <x:c r="P553" s="1" t="n">
        <x:f>SUMIFS('Incoming POs'!$P$2:$P$305,'Incoming POs'!$A$2:$A$305,A553,'Incoming POs'!$B$2:$B$305,B553,'Incoming POs'!$C$2:$C$305,C553,'Incoming POs'!$G$2:$G$305,"&gt;="&amp;D553,'Incoming POs'!$G$2:$G$305,"&lt;"&amp;Dashboard!$I$5)</x:f>
        <x:v>0</x:v>
      </x:c>
      <x:c r="Q553" s="1" t="n">
        <x:f>F553*Dashboard!$L$5*MAX(0,Dashboard!$I$5-D553)/30.4375</x:f>
        <x:v>0</x:v>
      </x:c>
      <x:c r="R553" s="1" t="n">
        <x:f>MAX(0,E553+P553-Q553)</x:f>
        <x:v>1098</x:v>
      </x:c>
      <x:c r="S553" s="1" t="n">
        <x:f>MAX(0,Q553-E553-P553)</x:f>
        <x:v>0</x:v>
      </x:c>
      <x:c r="T553" s="1" t="n">
        <x:f>IF(L553=1,MAX(0,I553+AB553-MIN(Q553,E553+P553)),"n.a.")</x:f>
        <x:v>1098</x:v>
      </x:c>
      <x:c r="U553" s="9" t="n">
        <x:f>IF(ISNUMBER(T553),T553*G553,"n.a.")</x:f>
        <x:v>269.2296</x:v>
      </x:c>
      <x:c r="V553" s="25" t="n">
        <x:f>IF(Dashboard!$I$6="Flat %",1,IF(ISNUMBER(H553),1,0))</x:f>
        <x:v>1</x:v>
      </x:c>
      <x:c r="W553" s="9" t="n">
        <x:f>IF(Dashboard!$I$6="Flat %",G553*(1+Dashboard!$L$6),H553)</x:f>
        <x:v>0.286944</x:v>
      </x:c>
      <x:c r="X553" s="9" t="n">
        <x:f>IF(V553=1,R553*(W553-G553),"n.a.")</x:f>
        <x:v>45.834911999999974</x:v>
      </x:c>
      <x:c r="Y553" s="9" t="n">
        <x:f>IF(V553=1,R553*W553,"n.a.")</x:f>
        <x:v>315.064512</x:v>
      </x:c>
      <x:c r="Z553" s="1" t="n">
        <x:f>IF(ISNUMBER(T553),R553-T553,"n.a.")</x:f>
        <x:v>0</x:v>
      </x:c>
      <x:c r="AA553" s="1" t="str">
        <x:f>'Inventory inputs'!R553</x:f>
        <x:v>Classified</x:v>
      </x:c>
      <x:c r="AB553" s="1" t="n">
        <x:f>IF(L553=1,SUMIFS('Incoming POs'!$P$2:$P$305,'Incoming POs'!$A$2:$A$305,A553,'Incoming POs'!$B$2:$B$305,B553,'Incoming POs'!$C$2:$C$305,C553,'Incoming POs'!$G$2:$G$305,"&gt;="&amp;D553,'Incoming POs'!$G$2:$G$305,"&lt;"&amp;Dashboard!$I$5,'Incoming POs'!$Q$2:$Q$305,"&lt;="&amp;('Inventory inputs'!P553/'Inventory inputs'!J553*1.01)),"n.a.")</x:f>
        <x:v>0</x:v>
      </x:c>
      <x:c r="AC553" s="9" t="n">
        <x:f>I553*G553</x:f>
        <x:v>269.2296</x:v>
      </x:c>
      <x:c r="AD553" s="9" t="n">
        <x:f>J553*G553</x:f>
        <x:v>0</x:v>
      </x:c>
      <x:c r="AE553" s="9" t="n">
        <x:f>K553*G553</x:f>
        <x:v>0</x:v>
      </x:c>
      <x:c r="AF553" s="9" t="n">
        <x:f>R553*G553</x:f>
        <x:v>269.2296</x:v>
      </x:c>
    </x:row>
    <x:row r="554" ht="21" customHeight="1">
      <x:c r="A554" s="1" t="str">
        <x:f>'Inventory inputs'!A554</x:f>
        <x:v>PLAS</x:v>
      </x:c>
      <x:c r="B554" s="1" t="str">
        <x:f>'Inventory inputs'!B554</x:f>
        <x:v>10</x:v>
      </x:c>
      <x:c r="C554" s="1" t="str">
        <x:f>'Inventory inputs'!C554</x:f>
        <x:v>03480RWBRED</x:v>
      </x:c>
      <x:c r="D554" s="7" t="n">
        <x:f>'Inventory inputs'!E554</x:f>
        <x:v>46303</x:v>
      </x:c>
      <x:c r="E554" s="1" t="n">
        <x:f>'Inventory inputs'!F554</x:f>
        <x:v>522</x:v>
      </x:c>
      <x:c r="F554" s="1" t="n">
        <x:f>'Inventory inputs'!G554</x:f>
        <x:v>0</x:v>
      </x:c>
      <x:c r="G554" s="1" t="n">
        <x:f>'Inventory inputs'!H554/'Inventory inputs'!J554</x:f>
        <x:v>0.1912</x:v>
      </x:c>
      <x:c r="H554" s="1" t="str">
        <x:f>IF('Inventory inputs'!I554&gt;0,'Inventory inputs'!I554*'Inventory inputs'!K554/'Inventory inputs'!J554,"n.a.")</x:f>
        <x:v>n.a.</x:v>
      </x:c>
      <x:c r="I554" s="1" t="n">
        <x:f>'Inventory inputs'!L554</x:f>
        <x:v>0</x:v>
      </x:c>
      <x:c r="J554" s="1" t="n">
        <x:f>'Inventory inputs'!M554</x:f>
        <x:v>0</x:v>
      </x:c>
      <x:c r="K554" s="1" t="n">
        <x:f>'Inventory inputs'!N554</x:f>
        <x:v>522</x:v>
      </x:c>
      <x:c r="L554" s="1" t="n">
        <x:f>'Inventory inputs'!O554</x:f>
        <x:v>0</x:v>
      </x:c>
      <x:c r="M554" s="9" t="n">
        <x:f>E554*G554</x:f>
        <x:v>99.80640000000001</x:v>
      </x:c>
      <x:c r="N554" s="9" t="n">
        <x:f>'Inventory inputs'!Q554</x:f>
        <x:v>99.80640000000001</x:v>
      </x:c>
      <x:c r="O554" s="9" t="n">
        <x:f>N554-M554</x:f>
        <x:v>0</x:v>
      </x:c>
      <x:c r="P554" s="1" t="n">
        <x:f>SUMIFS('Incoming POs'!$P$2:$P$305,'Incoming POs'!$A$2:$A$305,A554,'Incoming POs'!$B$2:$B$305,B554,'Incoming POs'!$C$2:$C$305,C554,'Incoming POs'!$G$2:$G$305,"&gt;="&amp;D554,'Incoming POs'!$G$2:$G$305,"&lt;"&amp;Dashboard!$I$5)</x:f>
        <x:v>0</x:v>
      </x:c>
      <x:c r="Q554" s="1" t="n">
        <x:f>F554*Dashboard!$L$5*MAX(0,Dashboard!$I$5-D554)/30.4375</x:f>
        <x:v>0</x:v>
      </x:c>
      <x:c r="R554" s="1" t="n">
        <x:f>MAX(0,E554+P554-Q554)</x:f>
        <x:v>522</x:v>
      </x:c>
      <x:c r="S554" s="1" t="n">
        <x:f>MAX(0,Q554-E554-P554)</x:f>
        <x:v>0</x:v>
      </x:c>
      <x:c r="T554" s="1" t="str">
        <x:f>IF(L554=1,MAX(0,I554+AB554-MIN(Q554,E554+P554)),"n.a.")</x:f>
        <x:v>n.a.</x:v>
      </x:c>
      <x:c r="U554" s="9" t="str">
        <x:f>IF(ISNUMBER(T554),T554*G554,"n.a.")</x:f>
        <x:v>n.a.</x:v>
      </x:c>
      <x:c r="V554" s="25" t="n">
        <x:f>IF(Dashboard!$I$6="Flat %",1,IF(ISNUMBER(H554),1,0))</x:f>
        <x:v>0</x:v>
      </x:c>
      <x:c r="W554" s="9" t="str">
        <x:f>IF(Dashboard!$I$6="Flat %",G554*(1+Dashboard!$L$6),H554)</x:f>
        <x:v>n.a.</x:v>
      </x:c>
      <x:c r="X554" s="9" t="str">
        <x:f>IF(V554=1,R554*(W554-G554),"n.a.")</x:f>
        <x:v>n.a.</x:v>
      </x:c>
      <x:c r="Y554" s="9" t="str">
        <x:f>IF(V554=1,R554*W554,"n.a.")</x:f>
        <x:v>n.a.</x:v>
      </x:c>
      <x:c r="Z554" s="1" t="str">
        <x:f>IF(ISNUMBER(T554),R554-T554,"n.a.")</x:f>
        <x:v>n.a.</x:v>
      </x:c>
      <x:c r="AA554" s="1" t="str">
        <x:f>'Inventory inputs'!R554</x:f>
        <x:v>Review receipt reconciliation or original PO baseline</x:v>
      </x:c>
      <x:c r="AB554" s="1" t="str">
        <x:f>IF(L554=1,SUMIFS('Incoming POs'!$P$2:$P$305,'Incoming POs'!$A$2:$A$305,A554,'Incoming POs'!$B$2:$B$305,B554,'Incoming POs'!$C$2:$C$305,C554,'Incoming POs'!$G$2:$G$305,"&gt;="&amp;D554,'Incoming POs'!$G$2:$G$305,"&lt;"&amp;Dashboard!$I$5,'Incoming POs'!$Q$2:$Q$305,"&lt;="&amp;('Inventory inputs'!P554/'Inventory inputs'!J554*1.01)),"n.a.")</x:f>
        <x:v>n.a.</x:v>
      </x:c>
      <x:c r="AC554" s="9" t="n">
        <x:f>I554*G554</x:f>
        <x:v>0</x:v>
      </x:c>
      <x:c r="AD554" s="9" t="n">
        <x:f>J554*G554</x:f>
        <x:v>0</x:v>
      </x:c>
      <x:c r="AE554" s="9" t="n">
        <x:f>K554*G554</x:f>
        <x:v>99.80640000000001</x:v>
      </x:c>
      <x:c r="AF554" s="9" t="n">
        <x:f>R554*G554</x:f>
        <x:v>99.80640000000001</x:v>
      </x:c>
    </x:row>
    <x:row r="555" ht="21" customHeight="1">
      <x:c r="A555" s="1" t="str">
        <x:f>'Inventory inputs'!A555</x:f>
        <x:v>PLAS</x:v>
      </x:c>
      <x:c r="B555" s="1" t="str">
        <x:f>'Inventory inputs'!B555</x:f>
        <x:v>10</x:v>
      </x:c>
      <x:c r="C555" s="1" t="str">
        <x:f>'Inventory inputs'!C555</x:f>
        <x:v>03480RWBWHT</x:v>
      </x:c>
      <x:c r="D555" s="7" t="n">
        <x:f>'Inventory inputs'!E555</x:f>
        <x:v>46303</x:v>
      </x:c>
      <x:c r="E555" s="1" t="n">
        <x:f>'Inventory inputs'!F555</x:f>
        <x:v>3094</x:v>
      </x:c>
      <x:c r="F555" s="1" t="n">
        <x:f>'Inventory inputs'!G555</x:f>
        <x:v>0</x:v>
      </x:c>
      <x:c r="G555" s="1" t="n">
        <x:f>'Inventory inputs'!H555/'Inventory inputs'!J555</x:f>
        <x:v>0.2452</x:v>
      </x:c>
      <x:c r="H555" s="1" t="n">
        <x:f>IF('Inventory inputs'!I555&gt;0,'Inventory inputs'!I555*'Inventory inputs'!K555/'Inventory inputs'!J555,"n.a.")</x:f>
        <x:v>0.286944</x:v>
      </x:c>
      <x:c r="I555" s="1" t="n">
        <x:f>'Inventory inputs'!L555</x:f>
        <x:v>2294</x:v>
      </x:c>
      <x:c r="J555" s="1" t="n">
        <x:f>'Inventory inputs'!M555</x:f>
        <x:v>800</x:v>
      </x:c>
      <x:c r="K555" s="1" t="n">
        <x:f>'Inventory inputs'!N555</x:f>
        <x:v>0</x:v>
      </x:c>
      <x:c r="L555" s="1" t="n">
        <x:f>'Inventory inputs'!O555</x:f>
        <x:v>1</x:v>
      </x:c>
      <x:c r="M555" s="9" t="n">
        <x:f>E555*G555</x:f>
        <x:v>758.6488</x:v>
      </x:c>
      <x:c r="N555" s="9" t="n">
        <x:f>'Inventory inputs'!Q555</x:f>
        <x:v>758.6488</x:v>
      </x:c>
      <x:c r="O555" s="9" t="n">
        <x:f>N555-M555</x:f>
        <x:v>0</x:v>
      </x:c>
      <x:c r="P555" s="1" t="n">
        <x:f>SUMIFS('Incoming POs'!$P$2:$P$305,'Incoming POs'!$A$2:$A$305,A555,'Incoming POs'!$B$2:$B$305,B555,'Incoming POs'!$C$2:$C$305,C555,'Incoming POs'!$G$2:$G$305,"&gt;="&amp;D555,'Incoming POs'!$G$2:$G$305,"&lt;"&amp;Dashboard!$I$5)</x:f>
        <x:v>0</x:v>
      </x:c>
      <x:c r="Q555" s="1" t="n">
        <x:f>F555*Dashboard!$L$5*MAX(0,Dashboard!$I$5-D555)/30.4375</x:f>
        <x:v>0</x:v>
      </x:c>
      <x:c r="R555" s="1" t="n">
        <x:f>MAX(0,E555+P555-Q555)</x:f>
        <x:v>3094</x:v>
      </x:c>
      <x:c r="S555" s="1" t="n">
        <x:f>MAX(0,Q555-E555-P555)</x:f>
        <x:v>0</x:v>
      </x:c>
      <x:c r="T555" s="1" t="n">
        <x:f>IF(L555=1,MAX(0,I555+AB555-MIN(Q555,E555+P555)),"n.a.")</x:f>
        <x:v>2294</x:v>
      </x:c>
      <x:c r="U555" s="9" t="n">
        <x:f>IF(ISNUMBER(T555),T555*G555,"n.a.")</x:f>
        <x:v>562.4888</x:v>
      </x:c>
      <x:c r="V555" s="25" t="n">
        <x:f>IF(Dashboard!$I$6="Flat %",1,IF(ISNUMBER(H555),1,0))</x:f>
        <x:v>1</x:v>
      </x:c>
      <x:c r="W555" s="9" t="n">
        <x:f>IF(Dashboard!$I$6="Flat %",G555*(1+Dashboard!$L$6),H555)</x:f>
        <x:v>0.286944</x:v>
      </x:c>
      <x:c r="X555" s="9" t="n">
        <x:f>IF(V555=1,R555*(W555-G555),"n.a.")</x:f>
        <x:v>129.1559359999999</x:v>
      </x:c>
      <x:c r="Y555" s="9" t="n">
        <x:f>IF(V555=1,R555*W555,"n.a.")</x:f>
        <x:v>887.8047359999999</x:v>
      </x:c>
      <x:c r="Z555" s="1" t="n">
        <x:f>IF(ISNUMBER(T555),R555-T555,"n.a.")</x:f>
        <x:v>800</x:v>
      </x:c>
      <x:c r="AA555" s="1" t="str">
        <x:f>'Inventory inputs'!R555</x:f>
        <x:v>Classified</x:v>
      </x:c>
      <x:c r="AB555" s="1" t="n">
        <x:f>IF(L555=1,SUMIFS('Incoming POs'!$P$2:$P$305,'Incoming POs'!$A$2:$A$305,A555,'Incoming POs'!$B$2:$B$305,B555,'Incoming POs'!$C$2:$C$305,C555,'Incoming POs'!$G$2:$G$305,"&gt;="&amp;D555,'Incoming POs'!$G$2:$G$305,"&lt;"&amp;Dashboard!$I$5,'Incoming POs'!$Q$2:$Q$305,"&lt;="&amp;('Inventory inputs'!P555/'Inventory inputs'!J555*1.01)),"n.a.")</x:f>
        <x:v>0</x:v>
      </x:c>
      <x:c r="AC555" s="9" t="n">
        <x:f>I555*G555</x:f>
        <x:v>562.4888</x:v>
      </x:c>
      <x:c r="AD555" s="9" t="n">
        <x:f>J555*G555</x:f>
        <x:v>196.16</x:v>
      </x:c>
      <x:c r="AE555" s="9" t="n">
        <x:f>K555*G555</x:f>
        <x:v>0</x:v>
      </x:c>
      <x:c r="AF555" s="9" t="n">
        <x:f>R555*G555</x:f>
        <x:v>758.6488</x:v>
      </x:c>
    </x:row>
    <x:row r="556" ht="21" customHeight="1">
      <x:c r="A556" s="1" t="str">
        <x:f>'Inventory inputs'!A556</x:f>
        <x:v>PLAS</x:v>
      </x:c>
      <x:c r="B556" s="1" t="str">
        <x:f>'Inventory inputs'!B556</x:f>
        <x:v>10</x:v>
      </x:c>
      <x:c r="C556" s="1" t="str">
        <x:f>'Inventory inputs'!C556</x:f>
        <x:v>03815RWBBRN</x:v>
      </x:c>
      <x:c r="D556" s="7" t="n">
        <x:f>'Inventory inputs'!E556</x:f>
        <x:v>46303</x:v>
      </x:c>
      <x:c r="E556" s="1" t="n">
        <x:f>'Inventory inputs'!F556</x:f>
        <x:v>0</x:v>
      </x:c>
      <x:c r="F556" s="1" t="n">
        <x:f>'Inventory inputs'!G556</x:f>
        <x:v>0</x:v>
      </x:c>
      <x:c r="G556" s="1" t="n">
        <x:f>'Inventory inputs'!H556/'Inventory inputs'!J556</x:f>
        <x:v>0.0125</x:v>
      </x:c>
      <x:c r="H556" s="1" t="str">
        <x:f>IF('Inventory inputs'!I556&gt;0,'Inventory inputs'!I556*'Inventory inputs'!K556/'Inventory inputs'!J556,"n.a.")</x:f>
        <x:v>n.a.</x:v>
      </x:c>
      <x:c r="I556" s="1" t="n">
        <x:f>'Inventory inputs'!L556</x:f>
        <x:v>0</x:v>
      </x:c>
      <x:c r="J556" s="1" t="n">
        <x:f>'Inventory inputs'!M556</x:f>
        <x:v>0</x:v>
      </x:c>
      <x:c r="K556" s="1" t="n">
        <x:f>'Inventory inputs'!N556</x:f>
        <x:v>0</x:v>
      </x:c>
      <x:c r="L556" s="1" t="n">
        <x:f>'Inventory inputs'!O556</x:f>
        <x:v>0</x:v>
      </x:c>
      <x:c r="M556" s="9" t="n">
        <x:f>E556*G556</x:f>
        <x:v>0</x:v>
      </x:c>
      <x:c r="N556" s="9" t="n">
        <x:f>'Inventory inputs'!Q556</x:f>
        <x:v>0</x:v>
      </x:c>
      <x:c r="O556" s="9" t="n">
        <x:f>N556-M556</x:f>
        <x:v>0</x:v>
      </x:c>
      <x:c r="P556" s="1" t="n">
        <x:f>SUMIFS('Incoming POs'!$P$2:$P$305,'Incoming POs'!$A$2:$A$305,A556,'Incoming POs'!$B$2:$B$305,B556,'Incoming POs'!$C$2:$C$305,C556,'Incoming POs'!$G$2:$G$305,"&gt;="&amp;D556,'Incoming POs'!$G$2:$G$305,"&lt;"&amp;Dashboard!$I$5)</x:f>
        <x:v>0</x:v>
      </x:c>
      <x:c r="Q556" s="1" t="n">
        <x:f>F556*Dashboard!$L$5*MAX(0,Dashboard!$I$5-D556)/30.4375</x:f>
        <x:v>0</x:v>
      </x:c>
      <x:c r="R556" s="1" t="n">
        <x:f>MAX(0,E556+P556-Q556)</x:f>
        <x:v>0</x:v>
      </x:c>
      <x:c r="S556" s="1" t="n">
        <x:f>MAX(0,Q556-E556-P556)</x:f>
        <x:v>0</x:v>
      </x:c>
      <x:c r="T556" s="1" t="str">
        <x:f>IF(L556=1,MAX(0,I556+AB556-MIN(Q556,E556+P556)),"n.a.")</x:f>
        <x:v>n.a.</x:v>
      </x:c>
      <x:c r="U556" s="9" t="str">
        <x:f>IF(ISNUMBER(T556),T556*G556,"n.a.")</x:f>
        <x:v>n.a.</x:v>
      </x:c>
      <x:c r="V556" s="25" t="n">
        <x:f>IF(Dashboard!$I$6="Flat %",1,IF(ISNUMBER(H556),1,0))</x:f>
        <x:v>0</x:v>
      </x:c>
      <x:c r="W556" s="9" t="str">
        <x:f>IF(Dashboard!$I$6="Flat %",G556*(1+Dashboard!$L$6),H556)</x:f>
        <x:v>n.a.</x:v>
      </x:c>
      <x:c r="X556" s="9" t="str">
        <x:f>IF(V556=1,R556*(W556-G556),"n.a.")</x:f>
        <x:v>n.a.</x:v>
      </x:c>
      <x:c r="Y556" s="9" t="str">
        <x:f>IF(V556=1,R556*W556,"n.a.")</x:f>
        <x:v>n.a.</x:v>
      </x:c>
      <x:c r="Z556" s="1" t="str">
        <x:f>IF(ISNUMBER(T556),R556-T556,"n.a.")</x:f>
        <x:v>n.a.</x:v>
      </x:c>
      <x:c r="AA556" s="1" t="str">
        <x:f>'Inventory inputs'!R556</x:f>
        <x:v>Review receipt reconciliation or original PO baseline</x:v>
      </x:c>
      <x:c r="AB556" s="1" t="str">
        <x:f>IF(L556=1,SUMIFS('Incoming POs'!$P$2:$P$305,'Incoming POs'!$A$2:$A$305,A556,'Incoming POs'!$B$2:$B$305,B556,'Incoming POs'!$C$2:$C$305,C556,'Incoming POs'!$G$2:$G$305,"&gt;="&amp;D556,'Incoming POs'!$G$2:$G$305,"&lt;"&amp;Dashboard!$I$5,'Incoming POs'!$Q$2:$Q$305,"&lt;="&amp;('Inventory inputs'!P556/'Inventory inputs'!J556*1.01)),"n.a.")</x:f>
        <x:v>n.a.</x:v>
      </x:c>
      <x:c r="AC556" s="9" t="n">
        <x:f>I556*G556</x:f>
        <x:v>0</x:v>
      </x:c>
      <x:c r="AD556" s="9" t="n">
        <x:f>J556*G556</x:f>
        <x:v>0</x:v>
      </x:c>
      <x:c r="AE556" s="9" t="n">
        <x:f>K556*G556</x:f>
        <x:v>0</x:v>
      </x:c>
      <x:c r="AF556" s="9" t="n">
        <x:f>R556*G556</x:f>
        <x:v>0</x:v>
      </x:c>
    </x:row>
    <x:row r="557" ht="21" customHeight="1">
      <x:c r="A557" s="1" t="str">
        <x:f>'Inventory inputs'!A557</x:f>
        <x:v>PLAS</x:v>
      </x:c>
      <x:c r="B557" s="1" t="str">
        <x:f>'Inventory inputs'!B557</x:f>
        <x:v>10</x:v>
      </x:c>
      <x:c r="C557" s="1" t="str">
        <x:f>'Inventory inputs'!C557</x:f>
        <x:v>03815RWBNAV</x:v>
      </x:c>
      <x:c r="D557" s="7" t="n">
        <x:f>'Inventory inputs'!E557</x:f>
        <x:v>46303</x:v>
      </x:c>
      <x:c r="E557" s="1" t="n">
        <x:f>'Inventory inputs'!F557</x:f>
        <x:v>12134</x:v>
      </x:c>
      <x:c r="F557" s="1" t="n">
        <x:f>'Inventory inputs'!G557</x:f>
        <x:v>0</x:v>
      </x:c>
      <x:c r="G557" s="1" t="n">
        <x:f>'Inventory inputs'!H557/'Inventory inputs'!J557</x:f>
        <x:v>0.0125</x:v>
      </x:c>
      <x:c r="H557" s="1" t="n">
        <x:f>IF('Inventory inputs'!I557&gt;0,'Inventory inputs'!I557*'Inventory inputs'!K557/'Inventory inputs'!J557,"n.a.")</x:f>
        <x:v>0.018963</x:v>
      </x:c>
      <x:c r="I557" s="1" t="n">
        <x:f>'Inventory inputs'!L557</x:f>
        <x:v>0</x:v>
      </x:c>
      <x:c r="J557" s="1" t="n">
        <x:f>'Inventory inputs'!M557</x:f>
        <x:v>0</x:v>
      </x:c>
      <x:c r="K557" s="1" t="n">
        <x:f>'Inventory inputs'!N557</x:f>
        <x:v>12134</x:v>
      </x:c>
      <x:c r="L557" s="1" t="n">
        <x:f>'Inventory inputs'!O557</x:f>
        <x:v>0</x:v>
      </x:c>
      <x:c r="M557" s="9" t="n">
        <x:f>E557*G557</x:f>
        <x:v>151.675</x:v>
      </x:c>
      <x:c r="N557" s="9" t="n">
        <x:f>'Inventory inputs'!Q557</x:f>
        <x:v>151.675</x:v>
      </x:c>
      <x:c r="O557" s="9" t="n">
        <x:f>N557-M557</x:f>
        <x:v>0</x:v>
      </x:c>
      <x:c r="P557" s="1" t="n">
        <x:f>SUMIFS('Incoming POs'!$P$2:$P$305,'Incoming POs'!$A$2:$A$305,A557,'Incoming POs'!$B$2:$B$305,B557,'Incoming POs'!$C$2:$C$305,C557,'Incoming POs'!$G$2:$G$305,"&gt;="&amp;D557,'Incoming POs'!$G$2:$G$305,"&lt;"&amp;Dashboard!$I$5)</x:f>
        <x:v>0</x:v>
      </x:c>
      <x:c r="Q557" s="1" t="n">
        <x:f>F557*Dashboard!$L$5*MAX(0,Dashboard!$I$5-D557)/30.4375</x:f>
        <x:v>0</x:v>
      </x:c>
      <x:c r="R557" s="1" t="n">
        <x:f>MAX(0,E557+P557-Q557)</x:f>
        <x:v>12134</x:v>
      </x:c>
      <x:c r="S557" s="1" t="n">
        <x:f>MAX(0,Q557-E557-P557)</x:f>
        <x:v>0</x:v>
      </x:c>
      <x:c r="T557" s="1" t="str">
        <x:f>IF(L557=1,MAX(0,I557+AB557-MIN(Q557,E557+P557)),"n.a.")</x:f>
        <x:v>n.a.</x:v>
      </x:c>
      <x:c r="U557" s="9" t="str">
        <x:f>IF(ISNUMBER(T557),T557*G557,"n.a.")</x:f>
        <x:v>n.a.</x:v>
      </x:c>
      <x:c r="V557" s="25" t="n">
        <x:f>IF(Dashboard!$I$6="Flat %",1,IF(ISNUMBER(H557),1,0))</x:f>
        <x:v>1</x:v>
      </x:c>
      <x:c r="W557" s="9" t="n">
        <x:f>IF(Dashboard!$I$6="Flat %",G557*(1+Dashboard!$L$6),H557)</x:f>
        <x:v>0.018963</x:v>
      </x:c>
      <x:c r="X557" s="9" t="n">
        <x:f>IF(V557=1,R557*(W557-G557),"n.a.")</x:f>
        <x:v>78.422042</x:v>
      </x:c>
      <x:c r="Y557" s="9" t="n">
        <x:f>IF(V557=1,R557*W557,"n.a.")</x:f>
        <x:v>230.09704200000002</x:v>
      </x:c>
      <x:c r="Z557" s="1" t="str">
        <x:f>IF(ISNUMBER(T557),R557-T557,"n.a.")</x:f>
        <x:v>n.a.</x:v>
      </x:c>
      <x:c r="AA557" s="1" t="str">
        <x:f>'Inventory inputs'!R557</x:f>
        <x:v>Review receipt reconciliation or original PO baseline</x:v>
      </x:c>
      <x:c r="AB557" s="1" t="str">
        <x:f>IF(L557=1,SUMIFS('Incoming POs'!$P$2:$P$305,'Incoming POs'!$A$2:$A$305,A557,'Incoming POs'!$B$2:$B$305,B557,'Incoming POs'!$C$2:$C$305,C557,'Incoming POs'!$G$2:$G$305,"&gt;="&amp;D557,'Incoming POs'!$G$2:$G$305,"&lt;"&amp;Dashboard!$I$5,'Incoming POs'!$Q$2:$Q$305,"&lt;="&amp;('Inventory inputs'!P557/'Inventory inputs'!J557*1.01)),"n.a.")</x:f>
        <x:v>n.a.</x:v>
      </x:c>
      <x:c r="AC557" s="9" t="n">
        <x:f>I557*G557</x:f>
        <x:v>0</x:v>
      </x:c>
      <x:c r="AD557" s="9" t="n">
        <x:f>J557*G557</x:f>
        <x:v>0</x:v>
      </x:c>
      <x:c r="AE557" s="9" t="n">
        <x:f>K557*G557</x:f>
        <x:v>151.675</x:v>
      </x:c>
      <x:c r="AF557" s="9" t="n">
        <x:f>R557*G557</x:f>
        <x:v>151.675</x:v>
      </x:c>
    </x:row>
    <x:row r="558" ht="21" customHeight="1">
      <x:c r="A558" s="1" t="str">
        <x:f>'Inventory inputs'!A558</x:f>
        <x:v>PLAS</x:v>
      </x:c>
      <x:c r="B558" s="1" t="str">
        <x:f>'Inventory inputs'!B558</x:f>
        <x:v>10</x:v>
      </x:c>
      <x:c r="C558" s="1" t="str">
        <x:f>'Inventory inputs'!C558</x:f>
        <x:v>03880RWBBLK</x:v>
      </x:c>
      <x:c r="D558" s="7" t="n">
        <x:f>'Inventory inputs'!E558</x:f>
        <x:v>46303</x:v>
      </x:c>
      <x:c r="E558" s="1" t="n">
        <x:f>'Inventory inputs'!F558</x:f>
        <x:v>5366</x:v>
      </x:c>
      <x:c r="F558" s="1" t="n">
        <x:f>'Inventory inputs'!G558</x:f>
        <x:v>0</x:v>
      </x:c>
      <x:c r="G558" s="1" t="n">
        <x:f>'Inventory inputs'!H558/'Inventory inputs'!J558</x:f>
        <x:v>0.0907</x:v>
      </x:c>
      <x:c r="H558" s="1" t="n">
        <x:f>IF('Inventory inputs'!I558&gt;0,'Inventory inputs'!I558*'Inventory inputs'!K558/'Inventory inputs'!J558,"n.a.")</x:f>
        <x:v>0.10613399999999999</x:v>
      </x:c>
      <x:c r="I558" s="1" t="n">
        <x:f>'Inventory inputs'!L558</x:f>
        <x:v>0</x:v>
      </x:c>
      <x:c r="J558" s="1" t="n">
        <x:f>'Inventory inputs'!M558</x:f>
        <x:v>5366</x:v>
      </x:c>
      <x:c r="K558" s="1" t="n">
        <x:f>'Inventory inputs'!N558</x:f>
        <x:v>0</x:v>
      </x:c>
      <x:c r="L558" s="1" t="n">
        <x:f>'Inventory inputs'!O558</x:f>
        <x:v>1</x:v>
      </x:c>
      <x:c r="M558" s="9" t="n">
        <x:f>E558*G558</x:f>
        <x:v>486.69620000000003</x:v>
      </x:c>
      <x:c r="N558" s="9" t="n">
        <x:f>'Inventory inputs'!Q558</x:f>
        <x:v>486.69620000000003</x:v>
      </x:c>
      <x:c r="O558" s="9" t="n">
        <x:f>N558-M558</x:f>
        <x:v>0</x:v>
      </x:c>
      <x:c r="P558" s="1" t="n">
        <x:f>SUMIFS('Incoming POs'!$P$2:$P$305,'Incoming POs'!$A$2:$A$305,A558,'Incoming POs'!$B$2:$B$305,B558,'Incoming POs'!$C$2:$C$305,C558,'Incoming POs'!$G$2:$G$305,"&gt;="&amp;D558,'Incoming POs'!$G$2:$G$305,"&lt;"&amp;Dashboard!$I$5)</x:f>
        <x:v>0</x:v>
      </x:c>
      <x:c r="Q558" s="1" t="n">
        <x:f>F558*Dashboard!$L$5*MAX(0,Dashboard!$I$5-D558)/30.4375</x:f>
        <x:v>0</x:v>
      </x:c>
      <x:c r="R558" s="1" t="n">
        <x:f>MAX(0,E558+P558-Q558)</x:f>
        <x:v>5366</x:v>
      </x:c>
      <x:c r="S558" s="1" t="n">
        <x:f>MAX(0,Q558-E558-P558)</x:f>
        <x:v>0</x:v>
      </x:c>
      <x:c r="T558" s="1" t="n">
        <x:f>IF(L558=1,MAX(0,I558+AB558-MIN(Q558,E558+P558)),"n.a.")</x:f>
        <x:v>0</x:v>
      </x:c>
      <x:c r="U558" s="9" t="n">
        <x:f>IF(ISNUMBER(T558),T558*G558,"n.a.")</x:f>
        <x:v>0</x:v>
      </x:c>
      <x:c r="V558" s="25" t="n">
        <x:f>IF(Dashboard!$I$6="Flat %",1,IF(ISNUMBER(H558),1,0))</x:f>
        <x:v>1</x:v>
      </x:c>
      <x:c r="W558" s="9" t="n">
        <x:f>IF(Dashboard!$I$6="Flat %",G558*(1+Dashboard!$L$6),H558)</x:f>
        <x:v>0.10613399999999999</x:v>
      </x:c>
      <x:c r="X558" s="9" t="n">
        <x:f>IF(V558=1,R558*(W558-G558),"n.a.")</x:f>
        <x:v>82.81884399999994</x:v>
      </x:c>
      <x:c r="Y558" s="9" t="n">
        <x:f>IF(V558=1,R558*W558,"n.a.")</x:f>
        <x:v>569.515044</x:v>
      </x:c>
      <x:c r="Z558" s="1" t="n">
        <x:f>IF(ISNUMBER(T558),R558-T558,"n.a.")</x:f>
        <x:v>5366</x:v>
      </x:c>
      <x:c r="AA558" s="1" t="str">
        <x:f>'Inventory inputs'!R558</x:f>
        <x:v>Classified</x:v>
      </x:c>
      <x:c r="AB558" s="1" t="n">
        <x:f>IF(L558=1,SUMIFS('Incoming POs'!$P$2:$P$305,'Incoming POs'!$A$2:$A$305,A558,'Incoming POs'!$B$2:$B$305,B558,'Incoming POs'!$C$2:$C$305,C558,'Incoming POs'!$G$2:$G$305,"&gt;="&amp;D558,'Incoming POs'!$G$2:$G$305,"&lt;"&amp;Dashboard!$I$5,'Incoming POs'!$Q$2:$Q$305,"&lt;="&amp;('Inventory inputs'!P558/'Inventory inputs'!J558*1.01)),"n.a.")</x:f>
        <x:v>0</x:v>
      </x:c>
      <x:c r="AC558" s="9" t="n">
        <x:f>I558*G558</x:f>
        <x:v>0</x:v>
      </x:c>
      <x:c r="AD558" s="9" t="n">
        <x:f>J558*G558</x:f>
        <x:v>486.69620000000003</x:v>
      </x:c>
      <x:c r="AE558" s="9" t="n">
        <x:f>K558*G558</x:f>
        <x:v>0</x:v>
      </x:c>
      <x:c r="AF558" s="9" t="n">
        <x:f>R558*G558</x:f>
        <x:v>486.69620000000003</x:v>
      </x:c>
    </x:row>
    <x:row r="559" ht="21" customHeight="1">
      <x:c r="A559" s="1" t="str">
        <x:f>'Inventory inputs'!A559</x:f>
        <x:v>PLAS</x:v>
      </x:c>
      <x:c r="B559" s="1" t="str">
        <x:f>'Inventory inputs'!B559</x:f>
        <x:v>10</x:v>
      </x:c>
      <x:c r="C559" s="1" t="str">
        <x:f>'Inventory inputs'!C559</x:f>
        <x:v>03880RWBBLU</x:v>
      </x:c>
      <x:c r="D559" s="7" t="n">
        <x:f>'Inventory inputs'!E559</x:f>
        <x:v>46303</x:v>
      </x:c>
      <x:c r="E559" s="1" t="n">
        <x:f>'Inventory inputs'!F559</x:f>
        <x:v>1143</x:v>
      </x:c>
      <x:c r="F559" s="1" t="n">
        <x:f>'Inventory inputs'!G559</x:f>
        <x:v>0</x:v>
      </x:c>
      <x:c r="G559" s="1" t="n">
        <x:f>'Inventory inputs'!H559/'Inventory inputs'!J559</x:f>
        <x:v>0.0682</x:v>
      </x:c>
      <x:c r="H559" s="1" t="str">
        <x:f>IF('Inventory inputs'!I559&gt;0,'Inventory inputs'!I559*'Inventory inputs'!K559/'Inventory inputs'!J559,"n.a.")</x:f>
        <x:v>n.a.</x:v>
      </x:c>
      <x:c r="I559" s="1" t="n">
        <x:f>'Inventory inputs'!L559</x:f>
        <x:v>0</x:v>
      </x:c>
      <x:c r="J559" s="1" t="n">
        <x:f>'Inventory inputs'!M559</x:f>
        <x:v>0</x:v>
      </x:c>
      <x:c r="K559" s="1" t="n">
        <x:f>'Inventory inputs'!N559</x:f>
        <x:v>1143</x:v>
      </x:c>
      <x:c r="L559" s="1" t="n">
        <x:f>'Inventory inputs'!O559</x:f>
        <x:v>0</x:v>
      </x:c>
      <x:c r="M559" s="9" t="n">
        <x:f>E559*G559</x:f>
        <x:v>77.95259999999999</x:v>
      </x:c>
      <x:c r="N559" s="9" t="n">
        <x:f>'Inventory inputs'!Q559</x:f>
        <x:v>77.9526</x:v>
      </x:c>
      <x:c r="O559" s="9" t="n">
        <x:f>N559-M559</x:f>
        <x:v>1.4210854715202004e-14</x:v>
      </x:c>
      <x:c r="P559" s="1" t="n">
        <x:f>SUMIFS('Incoming POs'!$P$2:$P$305,'Incoming POs'!$A$2:$A$305,A559,'Incoming POs'!$B$2:$B$305,B559,'Incoming POs'!$C$2:$C$305,C559,'Incoming POs'!$G$2:$G$305,"&gt;="&amp;D559,'Incoming POs'!$G$2:$G$305,"&lt;"&amp;Dashboard!$I$5)</x:f>
        <x:v>0</x:v>
      </x:c>
      <x:c r="Q559" s="1" t="n">
        <x:f>F559*Dashboard!$L$5*MAX(0,Dashboard!$I$5-D559)/30.4375</x:f>
        <x:v>0</x:v>
      </x:c>
      <x:c r="R559" s="1" t="n">
        <x:f>MAX(0,E559+P559-Q559)</x:f>
        <x:v>1143</x:v>
      </x:c>
      <x:c r="S559" s="1" t="n">
        <x:f>MAX(0,Q559-E559-P559)</x:f>
        <x:v>0</x:v>
      </x:c>
      <x:c r="T559" s="1" t="str">
        <x:f>IF(L559=1,MAX(0,I559+AB559-MIN(Q559,E559+P559)),"n.a.")</x:f>
        <x:v>n.a.</x:v>
      </x:c>
      <x:c r="U559" s="9" t="str">
        <x:f>IF(ISNUMBER(T559),T559*G559,"n.a.")</x:f>
        <x:v>n.a.</x:v>
      </x:c>
      <x:c r="V559" s="25" t="n">
        <x:f>IF(Dashboard!$I$6="Flat %",1,IF(ISNUMBER(H559),1,0))</x:f>
        <x:v>0</x:v>
      </x:c>
      <x:c r="W559" s="9" t="str">
        <x:f>IF(Dashboard!$I$6="Flat %",G559*(1+Dashboard!$L$6),H559)</x:f>
        <x:v>n.a.</x:v>
      </x:c>
      <x:c r="X559" s="9" t="str">
        <x:f>IF(V559=1,R559*(W559-G559),"n.a.")</x:f>
        <x:v>n.a.</x:v>
      </x:c>
      <x:c r="Y559" s="9" t="str">
        <x:f>IF(V559=1,R559*W559,"n.a.")</x:f>
        <x:v>n.a.</x:v>
      </x:c>
      <x:c r="Z559" s="1" t="str">
        <x:f>IF(ISNUMBER(T559),R559-T559,"n.a.")</x:f>
        <x:v>n.a.</x:v>
      </x:c>
      <x:c r="AA559" s="1" t="str">
        <x:f>'Inventory inputs'!R559</x:f>
        <x:v>Review receipt reconciliation or original PO baseline</x:v>
      </x:c>
      <x:c r="AB559" s="1" t="str">
        <x:f>IF(L559=1,SUMIFS('Incoming POs'!$P$2:$P$305,'Incoming POs'!$A$2:$A$305,A559,'Incoming POs'!$B$2:$B$305,B559,'Incoming POs'!$C$2:$C$305,C559,'Incoming POs'!$G$2:$G$305,"&gt;="&amp;D559,'Incoming POs'!$G$2:$G$305,"&lt;"&amp;Dashboard!$I$5,'Incoming POs'!$Q$2:$Q$305,"&lt;="&amp;('Inventory inputs'!P559/'Inventory inputs'!J559*1.01)),"n.a.")</x:f>
        <x:v>n.a.</x:v>
      </x:c>
      <x:c r="AC559" s="9" t="n">
        <x:f>I559*G559</x:f>
        <x:v>0</x:v>
      </x:c>
      <x:c r="AD559" s="9" t="n">
        <x:f>J559*G559</x:f>
        <x:v>0</x:v>
      </x:c>
      <x:c r="AE559" s="9" t="n">
        <x:f>K559*G559</x:f>
        <x:v>77.95259999999999</x:v>
      </x:c>
      <x:c r="AF559" s="9" t="n">
        <x:f>R559*G559</x:f>
        <x:v>77.95259999999999</x:v>
      </x:c>
    </x:row>
    <x:row r="560" ht="21" customHeight="1">
      <x:c r="A560" s="1" t="str">
        <x:f>'Inventory inputs'!A560</x:f>
        <x:v>PLAS</x:v>
      </x:c>
      <x:c r="B560" s="1" t="str">
        <x:f>'Inventory inputs'!B560</x:f>
        <x:v>10</x:v>
      </x:c>
      <x:c r="C560" s="1" t="str">
        <x:f>'Inventory inputs'!C560</x:f>
        <x:v>03880RWBCLR</x:v>
      </x:c>
      <x:c r="D560" s="7" t="n">
        <x:f>'Inventory inputs'!E560</x:f>
        <x:v>46303</x:v>
      </x:c>
      <x:c r="E560" s="1" t="n">
        <x:f>'Inventory inputs'!F560</x:f>
        <x:v>1694</x:v>
      </x:c>
      <x:c r="F560" s="1" t="n">
        <x:f>'Inventory inputs'!G560</x:f>
        <x:v>0</x:v>
      </x:c>
      <x:c r="G560" s="1" t="n">
        <x:f>'Inventory inputs'!H560/'Inventory inputs'!J560</x:f>
        <x:v>0.0682</x:v>
      </x:c>
      <x:c r="H560" s="1" t="str">
        <x:f>IF('Inventory inputs'!I560&gt;0,'Inventory inputs'!I560*'Inventory inputs'!K560/'Inventory inputs'!J560,"n.a.")</x:f>
        <x:v>n.a.</x:v>
      </x:c>
      <x:c r="I560" s="1" t="n">
        <x:f>'Inventory inputs'!L560</x:f>
        <x:v>0</x:v>
      </x:c>
      <x:c r="J560" s="1" t="n">
        <x:f>'Inventory inputs'!M560</x:f>
        <x:v>0</x:v>
      </x:c>
      <x:c r="K560" s="1" t="n">
        <x:f>'Inventory inputs'!N560</x:f>
        <x:v>1694</x:v>
      </x:c>
      <x:c r="L560" s="1" t="n">
        <x:f>'Inventory inputs'!O560</x:f>
        <x:v>0</x:v>
      </x:c>
      <x:c r="M560" s="9" t="n">
        <x:f>E560*G560</x:f>
        <x:v>115.5308</x:v>
      </x:c>
      <x:c r="N560" s="9" t="n">
        <x:f>'Inventory inputs'!Q560</x:f>
        <x:v>115.5308</x:v>
      </x:c>
      <x:c r="O560" s="9" t="n">
        <x:f>N560-M560</x:f>
        <x:v>0</x:v>
      </x:c>
      <x:c r="P560" s="1" t="n">
        <x:f>SUMIFS('Incoming POs'!$P$2:$P$305,'Incoming POs'!$A$2:$A$305,A560,'Incoming POs'!$B$2:$B$305,B560,'Incoming POs'!$C$2:$C$305,C560,'Incoming POs'!$G$2:$G$305,"&gt;="&amp;D560,'Incoming POs'!$G$2:$G$305,"&lt;"&amp;Dashboard!$I$5)</x:f>
        <x:v>0</x:v>
      </x:c>
      <x:c r="Q560" s="1" t="n">
        <x:f>F560*Dashboard!$L$5*MAX(0,Dashboard!$I$5-D560)/30.4375</x:f>
        <x:v>0</x:v>
      </x:c>
      <x:c r="R560" s="1" t="n">
        <x:f>MAX(0,E560+P560-Q560)</x:f>
        <x:v>1694</x:v>
      </x:c>
      <x:c r="S560" s="1" t="n">
        <x:f>MAX(0,Q560-E560-P560)</x:f>
        <x:v>0</x:v>
      </x:c>
      <x:c r="T560" s="1" t="str">
        <x:f>IF(L560=1,MAX(0,I560+AB560-MIN(Q560,E560+P560)),"n.a.")</x:f>
        <x:v>n.a.</x:v>
      </x:c>
      <x:c r="U560" s="9" t="str">
        <x:f>IF(ISNUMBER(T560),T560*G560,"n.a.")</x:f>
        <x:v>n.a.</x:v>
      </x:c>
      <x:c r="V560" s="25" t="n">
        <x:f>IF(Dashboard!$I$6="Flat %",1,IF(ISNUMBER(H560),1,0))</x:f>
        <x:v>0</x:v>
      </x:c>
      <x:c r="W560" s="9" t="str">
        <x:f>IF(Dashboard!$I$6="Flat %",G560*(1+Dashboard!$L$6),H560)</x:f>
        <x:v>n.a.</x:v>
      </x:c>
      <x:c r="X560" s="9" t="str">
        <x:f>IF(V560=1,R560*(W560-G560),"n.a.")</x:f>
        <x:v>n.a.</x:v>
      </x:c>
      <x:c r="Y560" s="9" t="str">
        <x:f>IF(V560=1,R560*W560,"n.a.")</x:f>
        <x:v>n.a.</x:v>
      </x:c>
      <x:c r="Z560" s="1" t="str">
        <x:f>IF(ISNUMBER(T560),R560-T560,"n.a.")</x:f>
        <x:v>n.a.</x:v>
      </x:c>
      <x:c r="AA560" s="1" t="str">
        <x:f>'Inventory inputs'!R560</x:f>
        <x:v>Review receipt reconciliation or original PO baseline</x:v>
      </x:c>
      <x:c r="AB560" s="1" t="str">
        <x:f>IF(L560=1,SUMIFS('Incoming POs'!$P$2:$P$305,'Incoming POs'!$A$2:$A$305,A560,'Incoming POs'!$B$2:$B$305,B560,'Incoming POs'!$C$2:$C$305,C560,'Incoming POs'!$G$2:$G$305,"&gt;="&amp;D560,'Incoming POs'!$G$2:$G$305,"&lt;"&amp;Dashboard!$I$5,'Incoming POs'!$Q$2:$Q$305,"&lt;="&amp;('Inventory inputs'!P560/'Inventory inputs'!J560*1.01)),"n.a.")</x:f>
        <x:v>n.a.</x:v>
      </x:c>
      <x:c r="AC560" s="9" t="n">
        <x:f>I560*G560</x:f>
        <x:v>0</x:v>
      </x:c>
      <x:c r="AD560" s="9" t="n">
        <x:f>J560*G560</x:f>
        <x:v>0</x:v>
      </x:c>
      <x:c r="AE560" s="9" t="n">
        <x:f>K560*G560</x:f>
        <x:v>115.5308</x:v>
      </x:c>
      <x:c r="AF560" s="9" t="n">
        <x:f>R560*G560</x:f>
        <x:v>115.5308</x:v>
      </x:c>
    </x:row>
    <x:row r="561" ht="21" customHeight="1">
      <x:c r="A561" s="1" t="str">
        <x:f>'Inventory inputs'!A561</x:f>
        <x:v>PLAS</x:v>
      </x:c>
      <x:c r="B561" s="1" t="str">
        <x:f>'Inventory inputs'!B561</x:f>
        <x:v>10</x:v>
      </x:c>
      <x:c r="C561" s="1" t="str">
        <x:f>'Inventory inputs'!C561</x:f>
        <x:v>03880RWBFG</x:v>
      </x:c>
      <x:c r="D561" s="7" t="n">
        <x:f>'Inventory inputs'!E561</x:f>
        <x:v>46303</x:v>
      </x:c>
      <x:c r="E561" s="1" t="n">
        <x:f>'Inventory inputs'!F561</x:f>
        <x:v>2539</x:v>
      </x:c>
      <x:c r="F561" s="1" t="n">
        <x:f>'Inventory inputs'!G561</x:f>
        <x:v>0</x:v>
      </x:c>
      <x:c r="G561" s="1" t="n">
        <x:f>'Inventory inputs'!H561/'Inventory inputs'!J561</x:f>
        <x:v>0.0682</x:v>
      </x:c>
      <x:c r="H561" s="1" t="str">
        <x:f>IF('Inventory inputs'!I561&gt;0,'Inventory inputs'!I561*'Inventory inputs'!K561/'Inventory inputs'!J561,"n.a.")</x:f>
        <x:v>n.a.</x:v>
      </x:c>
      <x:c r="I561" s="1" t="n">
        <x:f>'Inventory inputs'!L561</x:f>
        <x:v>0</x:v>
      </x:c>
      <x:c r="J561" s="1" t="n">
        <x:f>'Inventory inputs'!M561</x:f>
        <x:v>0</x:v>
      </x:c>
      <x:c r="K561" s="1" t="n">
        <x:f>'Inventory inputs'!N561</x:f>
        <x:v>2539</x:v>
      </x:c>
      <x:c r="L561" s="1" t="n">
        <x:f>'Inventory inputs'!O561</x:f>
        <x:v>0</x:v>
      </x:c>
      <x:c r="M561" s="9" t="n">
        <x:f>E561*G561</x:f>
        <x:v>173.1598</x:v>
      </x:c>
      <x:c r="N561" s="9" t="n">
        <x:f>'Inventory inputs'!Q561</x:f>
        <x:v>173.1598</x:v>
      </x:c>
      <x:c r="O561" s="9" t="n">
        <x:f>N561-M561</x:f>
        <x:v>0</x:v>
      </x:c>
      <x:c r="P561" s="1" t="n">
        <x:f>SUMIFS('Incoming POs'!$P$2:$P$305,'Incoming POs'!$A$2:$A$305,A561,'Incoming POs'!$B$2:$B$305,B561,'Incoming POs'!$C$2:$C$305,C561,'Incoming POs'!$G$2:$G$305,"&gt;="&amp;D561,'Incoming POs'!$G$2:$G$305,"&lt;"&amp;Dashboard!$I$5)</x:f>
        <x:v>0</x:v>
      </x:c>
      <x:c r="Q561" s="1" t="n">
        <x:f>F561*Dashboard!$L$5*MAX(0,Dashboard!$I$5-D561)/30.4375</x:f>
        <x:v>0</x:v>
      </x:c>
      <x:c r="R561" s="1" t="n">
        <x:f>MAX(0,E561+P561-Q561)</x:f>
        <x:v>2539</x:v>
      </x:c>
      <x:c r="S561" s="1" t="n">
        <x:f>MAX(0,Q561-E561-P561)</x:f>
        <x:v>0</x:v>
      </x:c>
      <x:c r="T561" s="1" t="str">
        <x:f>IF(L561=1,MAX(0,I561+AB561-MIN(Q561,E561+P561)),"n.a.")</x:f>
        <x:v>n.a.</x:v>
      </x:c>
      <x:c r="U561" s="9" t="str">
        <x:f>IF(ISNUMBER(T561),T561*G561,"n.a.")</x:f>
        <x:v>n.a.</x:v>
      </x:c>
      <x:c r="V561" s="25" t="n">
        <x:f>IF(Dashboard!$I$6="Flat %",1,IF(ISNUMBER(H561),1,0))</x:f>
        <x:v>0</x:v>
      </x:c>
      <x:c r="W561" s="9" t="str">
        <x:f>IF(Dashboard!$I$6="Flat %",G561*(1+Dashboard!$L$6),H561)</x:f>
        <x:v>n.a.</x:v>
      </x:c>
      <x:c r="X561" s="9" t="str">
        <x:f>IF(V561=1,R561*(W561-G561),"n.a.")</x:f>
        <x:v>n.a.</x:v>
      </x:c>
      <x:c r="Y561" s="9" t="str">
        <x:f>IF(V561=1,R561*W561,"n.a.")</x:f>
        <x:v>n.a.</x:v>
      </x:c>
      <x:c r="Z561" s="1" t="str">
        <x:f>IF(ISNUMBER(T561),R561-T561,"n.a.")</x:f>
        <x:v>n.a.</x:v>
      </x:c>
      <x:c r="AA561" s="1" t="str">
        <x:f>'Inventory inputs'!R561</x:f>
        <x:v>Review receipt reconciliation or original PO baseline</x:v>
      </x:c>
      <x:c r="AB561" s="1" t="str">
        <x:f>IF(L561=1,SUMIFS('Incoming POs'!$P$2:$P$305,'Incoming POs'!$A$2:$A$305,A561,'Incoming POs'!$B$2:$B$305,B561,'Incoming POs'!$C$2:$C$305,C561,'Incoming POs'!$G$2:$G$305,"&gt;="&amp;D561,'Incoming POs'!$G$2:$G$305,"&lt;"&amp;Dashboard!$I$5,'Incoming POs'!$Q$2:$Q$305,"&lt;="&amp;('Inventory inputs'!P561/'Inventory inputs'!J561*1.01)),"n.a.")</x:f>
        <x:v>n.a.</x:v>
      </x:c>
      <x:c r="AC561" s="9" t="n">
        <x:f>I561*G561</x:f>
        <x:v>0</x:v>
      </x:c>
      <x:c r="AD561" s="9" t="n">
        <x:f>J561*G561</x:f>
        <x:v>0</x:v>
      </x:c>
      <x:c r="AE561" s="9" t="n">
        <x:f>K561*G561</x:f>
        <x:v>173.1598</x:v>
      </x:c>
      <x:c r="AF561" s="9" t="n">
        <x:f>R561*G561</x:f>
        <x:v>173.1598</x:v>
      </x:c>
    </x:row>
    <x:row r="562" ht="21" customHeight="1">
      <x:c r="A562" s="1" t="str">
        <x:f>'Inventory inputs'!A562</x:f>
        <x:v>PLAS</x:v>
      </x:c>
      <x:c r="B562" s="1" t="str">
        <x:f>'Inventory inputs'!B562</x:f>
        <x:v>10</x:v>
      </x:c>
      <x:c r="C562" s="1" t="str">
        <x:f>'Inventory inputs'!C562</x:f>
        <x:v>03880RWBMAR</x:v>
      </x:c>
      <x:c r="D562" s="7" t="n">
        <x:f>'Inventory inputs'!E562</x:f>
        <x:v>46303</x:v>
      </x:c>
      <x:c r="E562" s="1" t="n">
        <x:f>'Inventory inputs'!F562</x:f>
        <x:v>711</x:v>
      </x:c>
      <x:c r="F562" s="1" t="n">
        <x:f>'Inventory inputs'!G562</x:f>
        <x:v>0</x:v>
      </x:c>
      <x:c r="G562" s="1" t="n">
        <x:f>'Inventory inputs'!H562/'Inventory inputs'!J562</x:f>
        <x:v>0.0682</x:v>
      </x:c>
      <x:c r="H562" s="1" t="str">
        <x:f>IF('Inventory inputs'!I562&gt;0,'Inventory inputs'!I562*'Inventory inputs'!K562/'Inventory inputs'!J562,"n.a.")</x:f>
        <x:v>n.a.</x:v>
      </x:c>
      <x:c r="I562" s="1" t="n">
        <x:f>'Inventory inputs'!L562</x:f>
        <x:v>0</x:v>
      </x:c>
      <x:c r="J562" s="1" t="n">
        <x:f>'Inventory inputs'!M562</x:f>
        <x:v>0</x:v>
      </x:c>
      <x:c r="K562" s="1" t="n">
        <x:f>'Inventory inputs'!N562</x:f>
        <x:v>711</x:v>
      </x:c>
      <x:c r="L562" s="1" t="n">
        <x:f>'Inventory inputs'!O562</x:f>
        <x:v>0</x:v>
      </x:c>
      <x:c r="M562" s="9" t="n">
        <x:f>E562*G562</x:f>
        <x:v>48.490199999999994</x:v>
      </x:c>
      <x:c r="N562" s="9" t="n">
        <x:f>'Inventory inputs'!Q562</x:f>
        <x:v>48.49020000000001</x:v>
      </x:c>
      <x:c r="O562" s="9" t="n">
        <x:f>N562-M562</x:f>
        <x:v>1.4210854715202004e-14</x:v>
      </x:c>
      <x:c r="P562" s="1" t="n">
        <x:f>SUMIFS('Incoming POs'!$P$2:$P$305,'Incoming POs'!$A$2:$A$305,A562,'Incoming POs'!$B$2:$B$305,B562,'Incoming POs'!$C$2:$C$305,C562,'Incoming POs'!$G$2:$G$305,"&gt;="&amp;D562,'Incoming POs'!$G$2:$G$305,"&lt;"&amp;Dashboard!$I$5)</x:f>
        <x:v>0</x:v>
      </x:c>
      <x:c r="Q562" s="1" t="n">
        <x:f>F562*Dashboard!$L$5*MAX(0,Dashboard!$I$5-D562)/30.4375</x:f>
        <x:v>0</x:v>
      </x:c>
      <x:c r="R562" s="1" t="n">
        <x:f>MAX(0,E562+P562-Q562)</x:f>
        <x:v>711</x:v>
      </x:c>
      <x:c r="S562" s="1" t="n">
        <x:f>MAX(0,Q562-E562-P562)</x:f>
        <x:v>0</x:v>
      </x:c>
      <x:c r="T562" s="1" t="str">
        <x:f>IF(L562=1,MAX(0,I562+AB562-MIN(Q562,E562+P562)),"n.a.")</x:f>
        <x:v>n.a.</x:v>
      </x:c>
      <x:c r="U562" s="9" t="str">
        <x:f>IF(ISNUMBER(T562),T562*G562,"n.a.")</x:f>
        <x:v>n.a.</x:v>
      </x:c>
      <x:c r="V562" s="25" t="n">
        <x:f>IF(Dashboard!$I$6="Flat %",1,IF(ISNUMBER(H562),1,0))</x:f>
        <x:v>0</x:v>
      </x:c>
      <x:c r="W562" s="9" t="str">
        <x:f>IF(Dashboard!$I$6="Flat %",G562*(1+Dashboard!$L$6),H562)</x:f>
        <x:v>n.a.</x:v>
      </x:c>
      <x:c r="X562" s="9" t="str">
        <x:f>IF(V562=1,R562*(W562-G562),"n.a.")</x:f>
        <x:v>n.a.</x:v>
      </x:c>
      <x:c r="Y562" s="9" t="str">
        <x:f>IF(V562=1,R562*W562,"n.a.")</x:f>
        <x:v>n.a.</x:v>
      </x:c>
      <x:c r="Z562" s="1" t="str">
        <x:f>IF(ISNUMBER(T562),R562-T562,"n.a.")</x:f>
        <x:v>n.a.</x:v>
      </x:c>
      <x:c r="AA562" s="1" t="str">
        <x:f>'Inventory inputs'!R562</x:f>
        <x:v>Review receipt reconciliation or original PO baseline</x:v>
      </x:c>
      <x:c r="AB562" s="1" t="str">
        <x:f>IF(L562=1,SUMIFS('Incoming POs'!$P$2:$P$305,'Incoming POs'!$A$2:$A$305,A562,'Incoming POs'!$B$2:$B$305,B562,'Incoming POs'!$C$2:$C$305,C562,'Incoming POs'!$G$2:$G$305,"&gt;="&amp;D562,'Incoming POs'!$G$2:$G$305,"&lt;"&amp;Dashboard!$I$5,'Incoming POs'!$Q$2:$Q$305,"&lt;="&amp;('Inventory inputs'!P562/'Inventory inputs'!J562*1.01)),"n.a.")</x:f>
        <x:v>n.a.</x:v>
      </x:c>
      <x:c r="AC562" s="9" t="n">
        <x:f>I562*G562</x:f>
        <x:v>0</x:v>
      </x:c>
      <x:c r="AD562" s="9" t="n">
        <x:f>J562*G562</x:f>
        <x:v>0</x:v>
      </x:c>
      <x:c r="AE562" s="9" t="n">
        <x:f>K562*G562</x:f>
        <x:v>48.490199999999994</x:v>
      </x:c>
      <x:c r="AF562" s="9" t="n">
        <x:f>R562*G562</x:f>
        <x:v>48.490199999999994</x:v>
      </x:c>
    </x:row>
    <x:row r="563" ht="21" customHeight="1">
      <x:c r="A563" s="1" t="str">
        <x:f>'Inventory inputs'!A563</x:f>
        <x:v>PLAS</x:v>
      </x:c>
      <x:c r="B563" s="1" t="str">
        <x:f>'Inventory inputs'!B563</x:f>
        <x:v>10</x:v>
      </x:c>
      <x:c r="C563" s="1" t="str">
        <x:f>'Inventory inputs'!C563</x:f>
        <x:v>03880RWBNAV</x:v>
      </x:c>
      <x:c r="D563" s="7" t="n">
        <x:f>'Inventory inputs'!E563</x:f>
        <x:v>46303</x:v>
      </x:c>
      <x:c r="E563" s="1" t="n">
        <x:f>'Inventory inputs'!F563</x:f>
        <x:v>919</x:v>
      </x:c>
      <x:c r="F563" s="1" t="n">
        <x:f>'Inventory inputs'!G563</x:f>
        <x:v>0</x:v>
      </x:c>
      <x:c r="G563" s="1" t="n">
        <x:f>'Inventory inputs'!H563/'Inventory inputs'!J563</x:f>
        <x:v>0.0907</x:v>
      </x:c>
      <x:c r="H563" s="1" t="n">
        <x:f>IF('Inventory inputs'!I563&gt;0,'Inventory inputs'!I563*'Inventory inputs'!K563/'Inventory inputs'!J563,"n.a.")</x:f>
        <x:v>0.10613399999999999</x:v>
      </x:c>
      <x:c r="I563" s="1" t="n">
        <x:f>'Inventory inputs'!L563</x:f>
        <x:v>0</x:v>
      </x:c>
      <x:c r="J563" s="1" t="n">
        <x:f>'Inventory inputs'!M563</x:f>
        <x:v>919</x:v>
      </x:c>
      <x:c r="K563" s="1" t="n">
        <x:f>'Inventory inputs'!N563</x:f>
        <x:v>0</x:v>
      </x:c>
      <x:c r="L563" s="1" t="n">
        <x:f>'Inventory inputs'!O563</x:f>
        <x:v>1</x:v>
      </x:c>
      <x:c r="M563" s="9" t="n">
        <x:f>E563*G563</x:f>
        <x:v>83.3533</x:v>
      </x:c>
      <x:c r="N563" s="9" t="n">
        <x:f>'Inventory inputs'!Q563</x:f>
        <x:v>83.3533</x:v>
      </x:c>
      <x:c r="O563" s="9" t="n">
        <x:f>N563-M563</x:f>
        <x:v>0</x:v>
      </x:c>
      <x:c r="P563" s="1" t="n">
        <x:f>SUMIFS('Incoming POs'!$P$2:$P$305,'Incoming POs'!$A$2:$A$305,A563,'Incoming POs'!$B$2:$B$305,B563,'Incoming POs'!$C$2:$C$305,C563,'Incoming POs'!$G$2:$G$305,"&gt;="&amp;D563,'Incoming POs'!$G$2:$G$305,"&lt;"&amp;Dashboard!$I$5)</x:f>
        <x:v>0</x:v>
      </x:c>
      <x:c r="Q563" s="1" t="n">
        <x:f>F563*Dashboard!$L$5*MAX(0,Dashboard!$I$5-D563)/30.4375</x:f>
        <x:v>0</x:v>
      </x:c>
      <x:c r="R563" s="1" t="n">
        <x:f>MAX(0,E563+P563-Q563)</x:f>
        <x:v>919</x:v>
      </x:c>
      <x:c r="S563" s="1" t="n">
        <x:f>MAX(0,Q563-E563-P563)</x:f>
        <x:v>0</x:v>
      </x:c>
      <x:c r="T563" s="1" t="n">
        <x:f>IF(L563=1,MAX(0,I563+AB563-MIN(Q563,E563+P563)),"n.a.")</x:f>
        <x:v>0</x:v>
      </x:c>
      <x:c r="U563" s="9" t="n">
        <x:f>IF(ISNUMBER(T563),T563*G563,"n.a.")</x:f>
        <x:v>0</x:v>
      </x:c>
      <x:c r="V563" s="25" t="n">
        <x:f>IF(Dashboard!$I$6="Flat %",1,IF(ISNUMBER(H563),1,0))</x:f>
        <x:v>1</x:v>
      </x:c>
      <x:c r="W563" s="9" t="n">
        <x:f>IF(Dashboard!$I$6="Flat %",G563*(1+Dashboard!$L$6),H563)</x:f>
        <x:v>0.10613399999999999</x:v>
      </x:c>
      <x:c r="X563" s="9" t="n">
        <x:f>IF(V563=1,R563*(W563-G563),"n.a.")</x:f>
        <x:v>14.18384599999999</x:v>
      </x:c>
      <x:c r="Y563" s="9" t="n">
        <x:f>IF(V563=1,R563*W563,"n.a.")</x:f>
        <x:v>97.53714599999999</x:v>
      </x:c>
      <x:c r="Z563" s="1" t="n">
        <x:f>IF(ISNUMBER(T563),R563-T563,"n.a.")</x:f>
        <x:v>919</x:v>
      </x:c>
      <x:c r="AA563" s="1" t="str">
        <x:f>'Inventory inputs'!R563</x:f>
        <x:v>Classified</x:v>
      </x:c>
      <x:c r="AB563" s="1" t="n">
        <x:f>IF(L563=1,SUMIFS('Incoming POs'!$P$2:$P$305,'Incoming POs'!$A$2:$A$305,A563,'Incoming POs'!$B$2:$B$305,B563,'Incoming POs'!$C$2:$C$305,C563,'Incoming POs'!$G$2:$G$305,"&gt;="&amp;D563,'Incoming POs'!$G$2:$G$305,"&lt;"&amp;Dashboard!$I$5,'Incoming POs'!$Q$2:$Q$305,"&lt;="&amp;('Inventory inputs'!P563/'Inventory inputs'!J563*1.01)),"n.a.")</x:f>
        <x:v>0</x:v>
      </x:c>
      <x:c r="AC563" s="9" t="n">
        <x:f>I563*G563</x:f>
        <x:v>0</x:v>
      </x:c>
      <x:c r="AD563" s="9" t="n">
        <x:f>J563*G563</x:f>
        <x:v>83.3533</x:v>
      </x:c>
      <x:c r="AE563" s="9" t="n">
        <x:f>K563*G563</x:f>
        <x:v>0</x:v>
      </x:c>
      <x:c r="AF563" s="9" t="n">
        <x:f>R563*G563</x:f>
        <x:v>83.3533</x:v>
      </x:c>
    </x:row>
    <x:row r="564" ht="21" customHeight="1">
      <x:c r="A564" s="1" t="str">
        <x:f>'Inventory inputs'!A564</x:f>
        <x:v>PLAS</x:v>
      </x:c>
      <x:c r="B564" s="1" t="str">
        <x:f>'Inventory inputs'!B564</x:f>
        <x:v>10</x:v>
      </x:c>
      <x:c r="C564" s="1" t="str">
        <x:f>'Inventory inputs'!C564</x:f>
        <x:v>03880RWBRED</x:v>
      </x:c>
      <x:c r="D564" s="7" t="n">
        <x:f>'Inventory inputs'!E564</x:f>
        <x:v>46303</x:v>
      </x:c>
      <x:c r="E564" s="1" t="n">
        <x:f>'Inventory inputs'!F564</x:f>
        <x:v>2122</x:v>
      </x:c>
      <x:c r="F564" s="1" t="n">
        <x:f>'Inventory inputs'!G564</x:f>
        <x:v>0</x:v>
      </x:c>
      <x:c r="G564" s="1" t="n">
        <x:f>'Inventory inputs'!H564/'Inventory inputs'!J564</x:f>
        <x:v>0.0682</x:v>
      </x:c>
      <x:c r="H564" s="1" t="str">
        <x:f>IF('Inventory inputs'!I564&gt;0,'Inventory inputs'!I564*'Inventory inputs'!K564/'Inventory inputs'!J564,"n.a.")</x:f>
        <x:v>n.a.</x:v>
      </x:c>
      <x:c r="I564" s="1" t="n">
        <x:f>'Inventory inputs'!L564</x:f>
        <x:v>0</x:v>
      </x:c>
      <x:c r="J564" s="1" t="n">
        <x:f>'Inventory inputs'!M564</x:f>
        <x:v>0</x:v>
      </x:c>
      <x:c r="K564" s="1" t="n">
        <x:f>'Inventory inputs'!N564</x:f>
        <x:v>2122</x:v>
      </x:c>
      <x:c r="L564" s="1" t="n">
        <x:f>'Inventory inputs'!O564</x:f>
        <x:v>0</x:v>
      </x:c>
      <x:c r="M564" s="9" t="n">
        <x:f>E564*G564</x:f>
        <x:v>144.72039999999998</x:v>
      </x:c>
      <x:c r="N564" s="9" t="n">
        <x:f>'Inventory inputs'!Q564</x:f>
        <x:v>144.7204</x:v>
      </x:c>
      <x:c r="O564" s="9" t="n">
        <x:f>N564-M564</x:f>
        <x:v>2.842170943040401e-14</x:v>
      </x:c>
      <x:c r="P564" s="1" t="n">
        <x:f>SUMIFS('Incoming POs'!$P$2:$P$305,'Incoming POs'!$A$2:$A$305,A564,'Incoming POs'!$B$2:$B$305,B564,'Incoming POs'!$C$2:$C$305,C564,'Incoming POs'!$G$2:$G$305,"&gt;="&amp;D564,'Incoming POs'!$G$2:$G$305,"&lt;"&amp;Dashboard!$I$5)</x:f>
        <x:v>0</x:v>
      </x:c>
      <x:c r="Q564" s="1" t="n">
        <x:f>F564*Dashboard!$L$5*MAX(0,Dashboard!$I$5-D564)/30.4375</x:f>
        <x:v>0</x:v>
      </x:c>
      <x:c r="R564" s="1" t="n">
        <x:f>MAX(0,E564+P564-Q564)</x:f>
        <x:v>2122</x:v>
      </x:c>
      <x:c r="S564" s="1" t="n">
        <x:f>MAX(0,Q564-E564-P564)</x:f>
        <x:v>0</x:v>
      </x:c>
      <x:c r="T564" s="1" t="str">
        <x:f>IF(L564=1,MAX(0,I564+AB564-MIN(Q564,E564+P564)),"n.a.")</x:f>
        <x:v>n.a.</x:v>
      </x:c>
      <x:c r="U564" s="9" t="str">
        <x:f>IF(ISNUMBER(T564),T564*G564,"n.a.")</x:f>
        <x:v>n.a.</x:v>
      </x:c>
      <x:c r="V564" s="25" t="n">
        <x:f>IF(Dashboard!$I$6="Flat %",1,IF(ISNUMBER(H564),1,0))</x:f>
        <x:v>0</x:v>
      </x:c>
      <x:c r="W564" s="9" t="str">
        <x:f>IF(Dashboard!$I$6="Flat %",G564*(1+Dashboard!$L$6),H564)</x:f>
        <x:v>n.a.</x:v>
      </x:c>
      <x:c r="X564" s="9" t="str">
        <x:f>IF(V564=1,R564*(W564-G564),"n.a.")</x:f>
        <x:v>n.a.</x:v>
      </x:c>
      <x:c r="Y564" s="9" t="str">
        <x:f>IF(V564=1,R564*W564,"n.a.")</x:f>
        <x:v>n.a.</x:v>
      </x:c>
      <x:c r="Z564" s="1" t="str">
        <x:f>IF(ISNUMBER(T564),R564-T564,"n.a.")</x:f>
        <x:v>n.a.</x:v>
      </x:c>
      <x:c r="AA564" s="1" t="str">
        <x:f>'Inventory inputs'!R564</x:f>
        <x:v>Review receipt reconciliation or original PO baseline</x:v>
      </x:c>
      <x:c r="AB564" s="1" t="str">
        <x:f>IF(L564=1,SUMIFS('Incoming POs'!$P$2:$P$305,'Incoming POs'!$A$2:$A$305,A564,'Incoming POs'!$B$2:$B$305,B564,'Incoming POs'!$C$2:$C$305,C564,'Incoming POs'!$G$2:$G$305,"&gt;="&amp;D564,'Incoming POs'!$G$2:$G$305,"&lt;"&amp;Dashboard!$I$5,'Incoming POs'!$Q$2:$Q$305,"&lt;="&amp;('Inventory inputs'!P564/'Inventory inputs'!J564*1.01)),"n.a.")</x:f>
        <x:v>n.a.</x:v>
      </x:c>
      <x:c r="AC564" s="9" t="n">
        <x:f>I564*G564</x:f>
        <x:v>0</x:v>
      </x:c>
      <x:c r="AD564" s="9" t="n">
        <x:f>J564*G564</x:f>
        <x:v>0</x:v>
      </x:c>
      <x:c r="AE564" s="9" t="n">
        <x:f>K564*G564</x:f>
        <x:v>144.72039999999998</x:v>
      </x:c>
      <x:c r="AF564" s="9" t="n">
        <x:f>R564*G564</x:f>
        <x:v>144.72039999999998</x:v>
      </x:c>
    </x:row>
    <x:row r="565" ht="21" customHeight="1">
      <x:c r="A565" s="1" t="str">
        <x:f>'Inventory inputs'!A565</x:f>
        <x:v>PLAS</x:v>
      </x:c>
      <x:c r="B565" s="1" t="str">
        <x:f>'Inventory inputs'!B565</x:f>
        <x:v>10</x:v>
      </x:c>
      <x:c r="C565" s="1" t="str">
        <x:f>'Inventory inputs'!C565</x:f>
        <x:v>03880RWBWHT</x:v>
      </x:c>
      <x:c r="D565" s="7" t="n">
        <x:f>'Inventory inputs'!E565</x:f>
        <x:v>46303</x:v>
      </x:c>
      <x:c r="E565" s="1" t="n">
        <x:f>'Inventory inputs'!F565</x:f>
        <x:v>4302</x:v>
      </x:c>
      <x:c r="F565" s="1" t="n">
        <x:f>'Inventory inputs'!G565</x:f>
        <x:v>0</x:v>
      </x:c>
      <x:c r="G565" s="1" t="n">
        <x:f>'Inventory inputs'!H565/'Inventory inputs'!J565</x:f>
        <x:v>0.0907</x:v>
      </x:c>
      <x:c r="H565" s="1" t="n">
        <x:f>IF('Inventory inputs'!I565&gt;0,'Inventory inputs'!I565*'Inventory inputs'!K565/'Inventory inputs'!J565,"n.a.")</x:f>
        <x:v>0.10613399999999999</x:v>
      </x:c>
      <x:c r="I565" s="1" t="n">
        <x:f>'Inventory inputs'!L565</x:f>
        <x:v>2302</x:v>
      </x:c>
      <x:c r="J565" s="1" t="n">
        <x:f>'Inventory inputs'!M565</x:f>
        <x:v>2000</x:v>
      </x:c>
      <x:c r="K565" s="1" t="n">
        <x:f>'Inventory inputs'!N565</x:f>
        <x:v>0</x:v>
      </x:c>
      <x:c r="L565" s="1" t="n">
        <x:f>'Inventory inputs'!O565</x:f>
        <x:v>1</x:v>
      </x:c>
      <x:c r="M565" s="9" t="n">
        <x:f>E565*G565</x:f>
        <x:v>390.1914</x:v>
      </x:c>
      <x:c r="N565" s="9" t="n">
        <x:f>'Inventory inputs'!Q565</x:f>
        <x:v>390.1914</x:v>
      </x:c>
      <x:c r="O565" s="9" t="n">
        <x:f>N565-M565</x:f>
        <x:v>0</x:v>
      </x:c>
      <x:c r="P565" s="1" t="n">
        <x:f>SUMIFS('Incoming POs'!$P$2:$P$305,'Incoming POs'!$A$2:$A$305,A565,'Incoming POs'!$B$2:$B$305,B565,'Incoming POs'!$C$2:$C$305,C565,'Incoming POs'!$G$2:$G$305,"&gt;="&amp;D565,'Incoming POs'!$G$2:$G$305,"&lt;"&amp;Dashboard!$I$5)</x:f>
        <x:v>0</x:v>
      </x:c>
      <x:c r="Q565" s="1" t="n">
        <x:f>F565*Dashboard!$L$5*MAX(0,Dashboard!$I$5-D565)/30.4375</x:f>
        <x:v>0</x:v>
      </x:c>
      <x:c r="R565" s="1" t="n">
        <x:f>MAX(0,E565+P565-Q565)</x:f>
        <x:v>4302</x:v>
      </x:c>
      <x:c r="S565" s="1" t="n">
        <x:f>MAX(0,Q565-E565-P565)</x:f>
        <x:v>0</x:v>
      </x:c>
      <x:c r="T565" s="1" t="n">
        <x:f>IF(L565=1,MAX(0,I565+AB565-MIN(Q565,E565+P565)),"n.a.")</x:f>
        <x:v>2302</x:v>
      </x:c>
      <x:c r="U565" s="9" t="n">
        <x:f>IF(ISNUMBER(T565),T565*G565,"n.a.")</x:f>
        <x:v>208.7914</x:v>
      </x:c>
      <x:c r="V565" s="25" t="n">
        <x:f>IF(Dashboard!$I$6="Flat %",1,IF(ISNUMBER(H565),1,0))</x:f>
        <x:v>1</x:v>
      </x:c>
      <x:c r="W565" s="9" t="n">
        <x:f>IF(Dashboard!$I$6="Flat %",G565*(1+Dashboard!$L$6),H565)</x:f>
        <x:v>0.10613399999999999</x:v>
      </x:c>
      <x:c r="X565" s="9" t="n">
        <x:f>IF(V565=1,R565*(W565-G565),"n.a.")</x:f>
        <x:v>66.39706799999995</x:v>
      </x:c>
      <x:c r="Y565" s="9" t="n">
        <x:f>IF(V565=1,R565*W565,"n.a.")</x:f>
        <x:v>456.588468</x:v>
      </x:c>
      <x:c r="Z565" s="1" t="n">
        <x:f>IF(ISNUMBER(T565),R565-T565,"n.a.")</x:f>
        <x:v>2000</x:v>
      </x:c>
      <x:c r="AA565" s="1" t="str">
        <x:f>'Inventory inputs'!R565</x:f>
        <x:v>Classified</x:v>
      </x:c>
      <x:c r="AB565" s="1" t="n">
        <x:f>IF(L565=1,SUMIFS('Incoming POs'!$P$2:$P$305,'Incoming POs'!$A$2:$A$305,A565,'Incoming POs'!$B$2:$B$305,B565,'Incoming POs'!$C$2:$C$305,C565,'Incoming POs'!$G$2:$G$305,"&gt;="&amp;D565,'Incoming POs'!$G$2:$G$305,"&lt;"&amp;Dashboard!$I$5,'Incoming POs'!$Q$2:$Q$305,"&lt;="&amp;('Inventory inputs'!P565/'Inventory inputs'!J565*1.01)),"n.a.")</x:f>
        <x:v>0</x:v>
      </x:c>
      <x:c r="AC565" s="9" t="n">
        <x:f>I565*G565</x:f>
        <x:v>208.7914</x:v>
      </x:c>
      <x:c r="AD565" s="9" t="n">
        <x:f>J565*G565</x:f>
        <x:v>181.4</x:v>
      </x:c>
      <x:c r="AE565" s="9" t="n">
        <x:f>K565*G565</x:f>
        <x:v>0</x:v>
      </x:c>
      <x:c r="AF565" s="9" t="n">
        <x:f>R565*G565</x:f>
        <x:v>390.1914</x:v>
      </x:c>
    </x:row>
    <x:row r="566" ht="21" customHeight="1">
      <x:c r="A566" s="1" t="str">
        <x:f>'Inventory inputs'!A566</x:f>
        <x:v>PLAS</x:v>
      </x:c>
      <x:c r="B566" s="1" t="str">
        <x:f>'Inventory inputs'!B566</x:f>
        <x:v>10</x:v>
      </x:c>
      <x:c r="C566" s="1" t="str">
        <x:f>'Inventory inputs'!C566</x:f>
        <x:v>05815RWBCLR</x:v>
      </x:c>
      <x:c r="D566" s="7" t="n">
        <x:f>'Inventory inputs'!E566</x:f>
        <x:v>46303</x:v>
      </x:c>
      <x:c r="E566" s="1" t="n">
        <x:f>'Inventory inputs'!F566</x:f>
        <x:v>3325</x:v>
      </x:c>
      <x:c r="F566" s="1" t="n">
        <x:f>'Inventory inputs'!G566</x:f>
        <x:v>0</x:v>
      </x:c>
      <x:c r="G566" s="1" t="n">
        <x:f>'Inventory inputs'!H566/'Inventory inputs'!J566</x:f>
        <x:v>0.026699999999999998</x:v>
      </x:c>
      <x:c r="H566" s="1" t="n">
        <x:f>IF('Inventory inputs'!I566&gt;0,'Inventory inputs'!I566*'Inventory inputs'!K566/'Inventory inputs'!J566,"n.a.")</x:f>
        <x:v>0.036162</x:v>
      </x:c>
      <x:c r="I566" s="1" t="n">
        <x:f>'Inventory inputs'!L566</x:f>
        <x:v>0</x:v>
      </x:c>
      <x:c r="J566" s="1" t="n">
        <x:f>'Inventory inputs'!M566</x:f>
        <x:v>0</x:v>
      </x:c>
      <x:c r="K566" s="1" t="n">
        <x:f>'Inventory inputs'!N566</x:f>
        <x:v>3325</x:v>
      </x:c>
      <x:c r="L566" s="1" t="n">
        <x:f>'Inventory inputs'!O566</x:f>
        <x:v>0</x:v>
      </x:c>
      <x:c r="M566" s="9" t="n">
        <x:f>E566*G566</x:f>
        <x:v>88.77749999999999</x:v>
      </x:c>
      <x:c r="N566" s="9" t="n">
        <x:f>'Inventory inputs'!Q566</x:f>
        <x:v>88.7775</x:v>
      </x:c>
      <x:c r="O566" s="9" t="n">
        <x:f>N566-M566</x:f>
        <x:v>1.4210854715202004e-14</x:v>
      </x:c>
      <x:c r="P566" s="1" t="n">
        <x:f>SUMIFS('Incoming POs'!$P$2:$P$305,'Incoming POs'!$A$2:$A$305,A566,'Incoming POs'!$B$2:$B$305,B566,'Incoming POs'!$C$2:$C$305,C566,'Incoming POs'!$G$2:$G$305,"&gt;="&amp;D566,'Incoming POs'!$G$2:$G$305,"&lt;"&amp;Dashboard!$I$5)</x:f>
        <x:v>0</x:v>
      </x:c>
      <x:c r="Q566" s="1" t="n">
        <x:f>F566*Dashboard!$L$5*MAX(0,Dashboard!$I$5-D566)/30.4375</x:f>
        <x:v>0</x:v>
      </x:c>
      <x:c r="R566" s="1" t="n">
        <x:f>MAX(0,E566+P566-Q566)</x:f>
        <x:v>3325</x:v>
      </x:c>
      <x:c r="S566" s="1" t="n">
        <x:f>MAX(0,Q566-E566-P566)</x:f>
        <x:v>0</x:v>
      </x:c>
      <x:c r="T566" s="1" t="str">
        <x:f>IF(L566=1,MAX(0,I566+AB566-MIN(Q566,E566+P566)),"n.a.")</x:f>
        <x:v>n.a.</x:v>
      </x:c>
      <x:c r="U566" s="9" t="str">
        <x:f>IF(ISNUMBER(T566),T566*G566,"n.a.")</x:f>
        <x:v>n.a.</x:v>
      </x:c>
      <x:c r="V566" s="25" t="n">
        <x:f>IF(Dashboard!$I$6="Flat %",1,IF(ISNUMBER(H566),1,0))</x:f>
        <x:v>1</x:v>
      </x:c>
      <x:c r="W566" s="9" t="n">
        <x:f>IF(Dashboard!$I$6="Flat %",G566*(1+Dashboard!$L$6),H566)</x:f>
        <x:v>0.036162</x:v>
      </x:c>
      <x:c r="X566" s="9" t="n">
        <x:f>IF(V566=1,R566*(W566-G566),"n.a.")</x:f>
        <x:v>31.461150000000007</x:v>
      </x:c>
      <x:c r="Y566" s="9" t="n">
        <x:f>IF(V566=1,R566*W566,"n.a.")</x:f>
        <x:v>120.23864999999999</x:v>
      </x:c>
      <x:c r="Z566" s="1" t="str">
        <x:f>IF(ISNUMBER(T566),R566-T566,"n.a.")</x:f>
        <x:v>n.a.</x:v>
      </x:c>
      <x:c r="AA566" s="1" t="str">
        <x:f>'Inventory inputs'!R566</x:f>
        <x:v>Review receipt reconciliation or original PO baseline</x:v>
      </x:c>
      <x:c r="AB566" s="1" t="str">
        <x:f>IF(L566=1,SUMIFS('Incoming POs'!$P$2:$P$305,'Incoming POs'!$A$2:$A$305,A566,'Incoming POs'!$B$2:$B$305,B566,'Incoming POs'!$C$2:$C$305,C566,'Incoming POs'!$G$2:$G$305,"&gt;="&amp;D566,'Incoming POs'!$G$2:$G$305,"&lt;"&amp;Dashboard!$I$5,'Incoming POs'!$Q$2:$Q$305,"&lt;="&amp;('Inventory inputs'!P566/'Inventory inputs'!J566*1.01)),"n.a.")</x:f>
        <x:v>n.a.</x:v>
      </x:c>
      <x:c r="AC566" s="9" t="n">
        <x:f>I566*G566</x:f>
        <x:v>0</x:v>
      </x:c>
      <x:c r="AD566" s="9" t="n">
        <x:f>J566*G566</x:f>
        <x:v>0</x:v>
      </x:c>
      <x:c r="AE566" s="9" t="n">
        <x:f>K566*G566</x:f>
        <x:v>88.77749999999999</x:v>
      </x:c>
      <x:c r="AF566" s="9" t="n">
        <x:f>R566*G566</x:f>
        <x:v>88.77749999999999</x:v>
      </x:c>
    </x:row>
    <x:row r="567" ht="21" customHeight="1">
      <x:c r="A567" s="1" t="str">
        <x:f>'Inventory inputs'!A567</x:f>
        <x:v>PLAS</x:v>
      </x:c>
      <x:c r="B567" s="1" t="str">
        <x:f>'Inventory inputs'!B567</x:f>
        <x:v>10</x:v>
      </x:c>
      <x:c r="C567" s="1" t="str">
        <x:f>'Inventory inputs'!C567</x:f>
        <x:v>05815RWBMAR</x:v>
      </x:c>
      <x:c r="D567" s="7" t="n">
        <x:f>'Inventory inputs'!E567</x:f>
        <x:v>46303</x:v>
      </x:c>
      <x:c r="E567" s="1" t="n">
        <x:f>'Inventory inputs'!F567</x:f>
        <x:v>4000</x:v>
      </x:c>
      <x:c r="F567" s="1" t="n">
        <x:f>'Inventory inputs'!G567</x:f>
        <x:v>0</x:v>
      </x:c>
      <x:c r="G567" s="1" t="n">
        <x:f>'Inventory inputs'!H567/'Inventory inputs'!J567</x:f>
        <x:v>0.026699999999999998</x:v>
      </x:c>
      <x:c r="H567" s="1" t="n">
        <x:f>IF('Inventory inputs'!I567&gt;0,'Inventory inputs'!I567*'Inventory inputs'!K567/'Inventory inputs'!J567,"n.a.")</x:f>
        <x:v>0.036162</x:v>
      </x:c>
      <x:c r="I567" s="1" t="n">
        <x:f>'Inventory inputs'!L567</x:f>
        <x:v>4000</x:v>
      </x:c>
      <x:c r="J567" s="1" t="n">
        <x:f>'Inventory inputs'!M567</x:f>
        <x:v>0</x:v>
      </x:c>
      <x:c r="K567" s="1" t="n">
        <x:f>'Inventory inputs'!N567</x:f>
        <x:v>0</x:v>
      </x:c>
      <x:c r="L567" s="1" t="n">
        <x:f>'Inventory inputs'!O567</x:f>
        <x:v>1</x:v>
      </x:c>
      <x:c r="M567" s="9" t="n">
        <x:f>E567*G567</x:f>
        <x:v>106.8</x:v>
      </x:c>
      <x:c r="N567" s="9" t="n">
        <x:f>'Inventory inputs'!Q567</x:f>
        <x:v>106.8</x:v>
      </x:c>
      <x:c r="O567" s="9" t="n">
        <x:f>N567-M567</x:f>
        <x:v>0</x:v>
      </x:c>
      <x:c r="P567" s="1" t="n">
        <x:f>SUMIFS('Incoming POs'!$P$2:$P$305,'Incoming POs'!$A$2:$A$305,A567,'Incoming POs'!$B$2:$B$305,B567,'Incoming POs'!$C$2:$C$305,C567,'Incoming POs'!$G$2:$G$305,"&gt;="&amp;D567,'Incoming POs'!$G$2:$G$305,"&lt;"&amp;Dashboard!$I$5)</x:f>
        <x:v>0</x:v>
      </x:c>
      <x:c r="Q567" s="1" t="n">
        <x:f>F567*Dashboard!$L$5*MAX(0,Dashboard!$I$5-D567)/30.4375</x:f>
        <x:v>0</x:v>
      </x:c>
      <x:c r="R567" s="1" t="n">
        <x:f>MAX(0,E567+P567-Q567)</x:f>
        <x:v>4000</x:v>
      </x:c>
      <x:c r="S567" s="1" t="n">
        <x:f>MAX(0,Q567-E567-P567)</x:f>
        <x:v>0</x:v>
      </x:c>
      <x:c r="T567" s="1" t="n">
        <x:f>IF(L567=1,MAX(0,I567+AB567-MIN(Q567,E567+P567)),"n.a.")</x:f>
        <x:v>4000</x:v>
      </x:c>
      <x:c r="U567" s="9" t="n">
        <x:f>IF(ISNUMBER(T567),T567*G567,"n.a.")</x:f>
        <x:v>106.8</x:v>
      </x:c>
      <x:c r="V567" s="25" t="n">
        <x:f>IF(Dashboard!$I$6="Flat %",1,IF(ISNUMBER(H567),1,0))</x:f>
        <x:v>1</x:v>
      </x:c>
      <x:c r="W567" s="9" t="n">
        <x:f>IF(Dashboard!$I$6="Flat %",G567*(1+Dashboard!$L$6),H567)</x:f>
        <x:v>0.036162</x:v>
      </x:c>
      <x:c r="X567" s="9" t="n">
        <x:f>IF(V567=1,R567*(W567-G567),"n.a.")</x:f>
        <x:v>37.848000000000006</x:v>
      </x:c>
      <x:c r="Y567" s="9" t="n">
        <x:f>IF(V567=1,R567*W567,"n.a.")</x:f>
        <x:v>144.648</x:v>
      </x:c>
      <x:c r="Z567" s="1" t="n">
        <x:f>IF(ISNUMBER(T567),R567-T567,"n.a.")</x:f>
        <x:v>0</x:v>
      </x:c>
      <x:c r="AA567" s="1" t="str">
        <x:f>'Inventory inputs'!R567</x:f>
        <x:v>Classified</x:v>
      </x:c>
      <x:c r="AB567" s="1" t="n">
        <x:f>IF(L567=1,SUMIFS('Incoming POs'!$P$2:$P$305,'Incoming POs'!$A$2:$A$305,A567,'Incoming POs'!$B$2:$B$305,B567,'Incoming POs'!$C$2:$C$305,C567,'Incoming POs'!$G$2:$G$305,"&gt;="&amp;D567,'Incoming POs'!$G$2:$G$305,"&lt;"&amp;Dashboard!$I$5,'Incoming POs'!$Q$2:$Q$305,"&lt;="&amp;('Inventory inputs'!P567/'Inventory inputs'!J567*1.01)),"n.a.")</x:f>
        <x:v>0</x:v>
      </x:c>
      <x:c r="AC567" s="9" t="n">
        <x:f>I567*G567</x:f>
        <x:v>106.8</x:v>
      </x:c>
      <x:c r="AD567" s="9" t="n">
        <x:f>J567*G567</x:f>
        <x:v>0</x:v>
      </x:c>
      <x:c r="AE567" s="9" t="n">
        <x:f>K567*G567</x:f>
        <x:v>0</x:v>
      </x:c>
      <x:c r="AF567" s="9" t="n">
        <x:f>R567*G567</x:f>
        <x:v>106.8</x:v>
      </x:c>
    </x:row>
    <x:row r="568" ht="21" customHeight="1">
      <x:c r="A568" s="1" t="str">
        <x:f>'Inventory inputs'!A568</x:f>
        <x:v>PLAS</x:v>
      </x:c>
      <x:c r="B568" s="1" t="str">
        <x:f>'Inventory inputs'!B568</x:f>
        <x:v>10</x:v>
      </x:c>
      <x:c r="C568" s="1" t="str">
        <x:f>'Inventory inputs'!C568</x:f>
        <x:v>05880RWBBLK</x:v>
      </x:c>
      <x:c r="D568" s="7" t="n">
        <x:f>'Inventory inputs'!E568</x:f>
        <x:v>46303</x:v>
      </x:c>
      <x:c r="E568" s="1" t="n">
        <x:f>'Inventory inputs'!F568</x:f>
        <x:v>2859</x:v>
      </x:c>
      <x:c r="F568" s="1" t="n">
        <x:f>'Inventory inputs'!G568</x:f>
        <x:v>0</x:v>
      </x:c>
      <x:c r="G568" s="1" t="n">
        <x:f>'Inventory inputs'!H568/'Inventory inputs'!J568</x:f>
        <x:v>0.1726</x:v>
      </x:c>
      <x:c r="H568" s="1" t="n">
        <x:f>IF('Inventory inputs'!I568&gt;0,'Inventory inputs'!I568*'Inventory inputs'!K568/'Inventory inputs'!J568,"n.a.")</x:f>
        <x:v>0.20197800000000002</x:v>
      </x:c>
      <x:c r="I568" s="1" t="n">
        <x:f>'Inventory inputs'!L568</x:f>
        <x:v>2359</x:v>
      </x:c>
      <x:c r="J568" s="1" t="n">
        <x:f>'Inventory inputs'!M568</x:f>
        <x:v>500</x:v>
      </x:c>
      <x:c r="K568" s="1" t="n">
        <x:f>'Inventory inputs'!N568</x:f>
        <x:v>0</x:v>
      </x:c>
      <x:c r="L568" s="1" t="n">
        <x:f>'Inventory inputs'!O568</x:f>
        <x:v>1</x:v>
      </x:c>
      <x:c r="M568" s="9" t="n">
        <x:f>E568*G568</x:f>
        <x:v>493.46340000000004</x:v>
      </x:c>
      <x:c r="N568" s="9" t="n">
        <x:f>'Inventory inputs'!Q568</x:f>
        <x:v>493.46340000000004</x:v>
      </x:c>
      <x:c r="O568" s="9" t="n">
        <x:f>N568-M568</x:f>
        <x:v>0</x:v>
      </x:c>
      <x:c r="P568" s="1" t="n">
        <x:f>SUMIFS('Incoming POs'!$P$2:$P$305,'Incoming POs'!$A$2:$A$305,A568,'Incoming POs'!$B$2:$B$305,B568,'Incoming POs'!$C$2:$C$305,C568,'Incoming POs'!$G$2:$G$305,"&gt;="&amp;D568,'Incoming POs'!$G$2:$G$305,"&lt;"&amp;Dashboard!$I$5)</x:f>
        <x:v>0</x:v>
      </x:c>
      <x:c r="Q568" s="1" t="n">
        <x:f>F568*Dashboard!$L$5*MAX(0,Dashboard!$I$5-D568)/30.4375</x:f>
        <x:v>0</x:v>
      </x:c>
      <x:c r="R568" s="1" t="n">
        <x:f>MAX(0,E568+P568-Q568)</x:f>
        <x:v>2859</x:v>
      </x:c>
      <x:c r="S568" s="1" t="n">
        <x:f>MAX(0,Q568-E568-P568)</x:f>
        <x:v>0</x:v>
      </x:c>
      <x:c r="T568" s="1" t="n">
        <x:f>IF(L568=1,MAX(0,I568+AB568-MIN(Q568,E568+P568)),"n.a.")</x:f>
        <x:v>2359</x:v>
      </x:c>
      <x:c r="U568" s="9" t="n">
        <x:f>IF(ISNUMBER(T568),T568*G568,"n.a.")</x:f>
        <x:v>407.1634</x:v>
      </x:c>
      <x:c r="V568" s="25" t="n">
        <x:f>IF(Dashboard!$I$6="Flat %",1,IF(ISNUMBER(H568),1,0))</x:f>
        <x:v>1</x:v>
      </x:c>
      <x:c r="W568" s="9" t="n">
        <x:f>IF(Dashboard!$I$6="Flat %",G568*(1+Dashboard!$L$6),H568)</x:f>
        <x:v>0.20197800000000002</x:v>
      </x:c>
      <x:c r="X568" s="9" t="n">
        <x:f>IF(V568=1,R568*(W568-G568),"n.a.")</x:f>
        <x:v>83.99170200000005</x:v>
      </x:c>
      <x:c r="Y568" s="9" t="n">
        <x:f>IF(V568=1,R568*W568,"n.a.")</x:f>
        <x:v>577.455102</x:v>
      </x:c>
      <x:c r="Z568" s="1" t="n">
        <x:f>IF(ISNUMBER(T568),R568-T568,"n.a.")</x:f>
        <x:v>500</x:v>
      </x:c>
      <x:c r="AA568" s="1" t="str">
        <x:f>'Inventory inputs'!R568</x:f>
        <x:v>Classified</x:v>
      </x:c>
      <x:c r="AB568" s="1" t="n">
        <x:f>IF(L568=1,SUMIFS('Incoming POs'!$P$2:$P$305,'Incoming POs'!$A$2:$A$305,A568,'Incoming POs'!$B$2:$B$305,B568,'Incoming POs'!$C$2:$C$305,C568,'Incoming POs'!$G$2:$G$305,"&gt;="&amp;D568,'Incoming POs'!$G$2:$G$305,"&lt;"&amp;Dashboard!$I$5,'Incoming POs'!$Q$2:$Q$305,"&lt;="&amp;('Inventory inputs'!P568/'Inventory inputs'!J568*1.01)),"n.a.")</x:f>
        <x:v>0</x:v>
      </x:c>
      <x:c r="AC568" s="9" t="n">
        <x:f>I568*G568</x:f>
        <x:v>407.1634</x:v>
      </x:c>
      <x:c r="AD568" s="9" t="n">
        <x:f>J568*G568</x:f>
        <x:v>86.3</x:v>
      </x:c>
      <x:c r="AE568" s="9" t="n">
        <x:f>K568*G568</x:f>
        <x:v>0</x:v>
      </x:c>
      <x:c r="AF568" s="9" t="n">
        <x:f>R568*G568</x:f>
        <x:v>493.46340000000004</x:v>
      </x:c>
    </x:row>
    <x:row r="569" ht="21" customHeight="1">
      <x:c r="A569" s="1" t="str">
        <x:f>'Inventory inputs'!A569</x:f>
        <x:v>PLAS</x:v>
      </x:c>
      <x:c r="B569" s="1" t="str">
        <x:f>'Inventory inputs'!B569</x:f>
        <x:v>10</x:v>
      </x:c>
      <x:c r="C569" s="1" t="str">
        <x:f>'Inventory inputs'!C569</x:f>
        <x:v>05880RWBBLU</x:v>
      </x:c>
      <x:c r="D569" s="7" t="n">
        <x:f>'Inventory inputs'!E569</x:f>
        <x:v>46303</x:v>
      </x:c>
      <x:c r="E569" s="1" t="n">
        <x:f>'Inventory inputs'!F569</x:f>
        <x:v>462</x:v>
      </x:c>
      <x:c r="F569" s="1" t="n">
        <x:f>'Inventory inputs'!G569</x:f>
        <x:v>0</x:v>
      </x:c>
      <x:c r="G569" s="1" t="n">
        <x:f>'Inventory inputs'!H569/'Inventory inputs'!J569</x:f>
        <x:v>0.1352</x:v>
      </x:c>
      <x:c r="H569" s="1" t="str">
        <x:f>IF('Inventory inputs'!I569&gt;0,'Inventory inputs'!I569*'Inventory inputs'!K569/'Inventory inputs'!J569,"n.a.")</x:f>
        <x:v>n.a.</x:v>
      </x:c>
      <x:c r="I569" s="1" t="n">
        <x:f>'Inventory inputs'!L569</x:f>
        <x:v>0</x:v>
      </x:c>
      <x:c r="J569" s="1" t="n">
        <x:f>'Inventory inputs'!M569</x:f>
        <x:v>0</x:v>
      </x:c>
      <x:c r="K569" s="1" t="n">
        <x:f>'Inventory inputs'!N569</x:f>
        <x:v>462</x:v>
      </x:c>
      <x:c r="L569" s="1" t="n">
        <x:f>'Inventory inputs'!O569</x:f>
        <x:v>0</x:v>
      </x:c>
      <x:c r="M569" s="9" t="n">
        <x:f>E569*G569</x:f>
        <x:v>62.462399999999995</x:v>
      </x:c>
      <x:c r="N569" s="9" t="n">
        <x:f>'Inventory inputs'!Q569</x:f>
        <x:v>62.4624</x:v>
      </x:c>
      <x:c r="O569" s="9" t="n">
        <x:f>N569-M569</x:f>
        <x:v>7.105427357601002e-15</x:v>
      </x:c>
      <x:c r="P569" s="1" t="n">
        <x:f>SUMIFS('Incoming POs'!$P$2:$P$305,'Incoming POs'!$A$2:$A$305,A569,'Incoming POs'!$B$2:$B$305,B569,'Incoming POs'!$C$2:$C$305,C569,'Incoming POs'!$G$2:$G$305,"&gt;="&amp;D569,'Incoming POs'!$G$2:$G$305,"&lt;"&amp;Dashboard!$I$5)</x:f>
        <x:v>0</x:v>
      </x:c>
      <x:c r="Q569" s="1" t="n">
        <x:f>F569*Dashboard!$L$5*MAX(0,Dashboard!$I$5-D569)/30.4375</x:f>
        <x:v>0</x:v>
      </x:c>
      <x:c r="R569" s="1" t="n">
        <x:f>MAX(0,E569+P569-Q569)</x:f>
        <x:v>462</x:v>
      </x:c>
      <x:c r="S569" s="1" t="n">
        <x:f>MAX(0,Q569-E569-P569)</x:f>
        <x:v>0</x:v>
      </x:c>
      <x:c r="T569" s="1" t="str">
        <x:f>IF(L569=1,MAX(0,I569+AB569-MIN(Q569,E569+P569)),"n.a.")</x:f>
        <x:v>n.a.</x:v>
      </x:c>
      <x:c r="U569" s="9" t="str">
        <x:f>IF(ISNUMBER(T569),T569*G569,"n.a.")</x:f>
        <x:v>n.a.</x:v>
      </x:c>
      <x:c r="V569" s="25" t="n">
        <x:f>IF(Dashboard!$I$6="Flat %",1,IF(ISNUMBER(H569),1,0))</x:f>
        <x:v>0</x:v>
      </x:c>
      <x:c r="W569" s="9" t="str">
        <x:f>IF(Dashboard!$I$6="Flat %",G569*(1+Dashboard!$L$6),H569)</x:f>
        <x:v>n.a.</x:v>
      </x:c>
      <x:c r="X569" s="9" t="str">
        <x:f>IF(V569=1,R569*(W569-G569),"n.a.")</x:f>
        <x:v>n.a.</x:v>
      </x:c>
      <x:c r="Y569" s="9" t="str">
        <x:f>IF(V569=1,R569*W569,"n.a.")</x:f>
        <x:v>n.a.</x:v>
      </x:c>
      <x:c r="Z569" s="1" t="str">
        <x:f>IF(ISNUMBER(T569),R569-T569,"n.a.")</x:f>
        <x:v>n.a.</x:v>
      </x:c>
      <x:c r="AA569" s="1" t="str">
        <x:f>'Inventory inputs'!R569</x:f>
        <x:v>Review receipt reconciliation or original PO baseline</x:v>
      </x:c>
      <x:c r="AB569" s="1" t="str">
        <x:f>IF(L569=1,SUMIFS('Incoming POs'!$P$2:$P$305,'Incoming POs'!$A$2:$A$305,A569,'Incoming POs'!$B$2:$B$305,B569,'Incoming POs'!$C$2:$C$305,C569,'Incoming POs'!$G$2:$G$305,"&gt;="&amp;D569,'Incoming POs'!$G$2:$G$305,"&lt;"&amp;Dashboard!$I$5,'Incoming POs'!$Q$2:$Q$305,"&lt;="&amp;('Inventory inputs'!P569/'Inventory inputs'!J569*1.01)),"n.a.")</x:f>
        <x:v>n.a.</x:v>
      </x:c>
      <x:c r="AC569" s="9" t="n">
        <x:f>I569*G569</x:f>
        <x:v>0</x:v>
      </x:c>
      <x:c r="AD569" s="9" t="n">
        <x:f>J569*G569</x:f>
        <x:v>0</x:v>
      </x:c>
      <x:c r="AE569" s="9" t="n">
        <x:f>K569*G569</x:f>
        <x:v>62.462399999999995</x:v>
      </x:c>
      <x:c r="AF569" s="9" t="n">
        <x:f>R569*G569</x:f>
        <x:v>62.462399999999995</x:v>
      </x:c>
    </x:row>
    <x:row r="570" ht="21" customHeight="1">
      <x:c r="A570" s="1" t="str">
        <x:f>'Inventory inputs'!A570</x:f>
        <x:v>PLAS</x:v>
      </x:c>
      <x:c r="B570" s="1" t="str">
        <x:f>'Inventory inputs'!B570</x:f>
        <x:v>10</x:v>
      </x:c>
      <x:c r="C570" s="1" t="str">
        <x:f>'Inventory inputs'!C570</x:f>
        <x:v>05880RWBCLR</x:v>
      </x:c>
      <x:c r="D570" s="7" t="n">
        <x:f>'Inventory inputs'!E570</x:f>
        <x:v>46303</x:v>
      </x:c>
      <x:c r="E570" s="1" t="n">
        <x:f>'Inventory inputs'!F570</x:f>
        <x:v>966</x:v>
      </x:c>
      <x:c r="F570" s="1" t="n">
        <x:f>'Inventory inputs'!G570</x:f>
        <x:v>0</x:v>
      </x:c>
      <x:c r="G570" s="1" t="n">
        <x:f>'Inventory inputs'!H570/'Inventory inputs'!J570</x:f>
        <x:v>0.1726</x:v>
      </x:c>
      <x:c r="H570" s="1" t="n">
        <x:f>IF('Inventory inputs'!I570&gt;0,'Inventory inputs'!I570*'Inventory inputs'!K570/'Inventory inputs'!J570,"n.a.")</x:f>
        <x:v>0.20197800000000002</x:v>
      </x:c>
      <x:c r="I570" s="1" t="n">
        <x:f>'Inventory inputs'!L570</x:f>
        <x:v>966</x:v>
      </x:c>
      <x:c r="J570" s="1" t="n">
        <x:f>'Inventory inputs'!M570</x:f>
        <x:v>0</x:v>
      </x:c>
      <x:c r="K570" s="1" t="n">
        <x:f>'Inventory inputs'!N570</x:f>
        <x:v>0</x:v>
      </x:c>
      <x:c r="L570" s="1" t="n">
        <x:f>'Inventory inputs'!O570</x:f>
        <x:v>1</x:v>
      </x:c>
      <x:c r="M570" s="9" t="n">
        <x:f>E570*G570</x:f>
        <x:v>166.73160000000001</x:v>
      </x:c>
      <x:c r="N570" s="9" t="n">
        <x:f>'Inventory inputs'!Q570</x:f>
        <x:v>166.73160000000001</x:v>
      </x:c>
      <x:c r="O570" s="9" t="n">
        <x:f>N570-M570</x:f>
        <x:v>0</x:v>
      </x:c>
      <x:c r="P570" s="1" t="n">
        <x:f>SUMIFS('Incoming POs'!$P$2:$P$305,'Incoming POs'!$A$2:$A$305,A570,'Incoming POs'!$B$2:$B$305,B570,'Incoming POs'!$C$2:$C$305,C570,'Incoming POs'!$G$2:$G$305,"&gt;="&amp;D570,'Incoming POs'!$G$2:$G$305,"&lt;"&amp;Dashboard!$I$5)</x:f>
        <x:v>0</x:v>
      </x:c>
      <x:c r="Q570" s="1" t="n">
        <x:f>F570*Dashboard!$L$5*MAX(0,Dashboard!$I$5-D570)/30.4375</x:f>
        <x:v>0</x:v>
      </x:c>
      <x:c r="R570" s="1" t="n">
        <x:f>MAX(0,E570+P570-Q570)</x:f>
        <x:v>966</x:v>
      </x:c>
      <x:c r="S570" s="1" t="n">
        <x:f>MAX(0,Q570-E570-P570)</x:f>
        <x:v>0</x:v>
      </x:c>
      <x:c r="T570" s="1" t="n">
        <x:f>IF(L570=1,MAX(0,I570+AB570-MIN(Q570,E570+P570)),"n.a.")</x:f>
        <x:v>966</x:v>
      </x:c>
      <x:c r="U570" s="9" t="n">
        <x:f>IF(ISNUMBER(T570),T570*G570,"n.a.")</x:f>
        <x:v>166.73160000000001</x:v>
      </x:c>
      <x:c r="V570" s="25" t="n">
        <x:f>IF(Dashboard!$I$6="Flat %",1,IF(ISNUMBER(H570),1,0))</x:f>
        <x:v>1</x:v>
      </x:c>
      <x:c r="W570" s="9" t="n">
        <x:f>IF(Dashboard!$I$6="Flat %",G570*(1+Dashboard!$L$6),H570)</x:f>
        <x:v>0.20197800000000002</x:v>
      </x:c>
      <x:c r="X570" s="9" t="n">
        <x:f>IF(V570=1,R570*(W570-G570),"n.a.")</x:f>
        <x:v>28.379148000000015</x:v>
      </x:c>
      <x:c r="Y570" s="9" t="n">
        <x:f>IF(V570=1,R570*W570,"n.a.")</x:f>
        <x:v>195.11074800000003</x:v>
      </x:c>
      <x:c r="Z570" s="1" t="n">
        <x:f>IF(ISNUMBER(T570),R570-T570,"n.a.")</x:f>
        <x:v>0</x:v>
      </x:c>
      <x:c r="AA570" s="1" t="str">
        <x:f>'Inventory inputs'!R570</x:f>
        <x:v>Classified</x:v>
      </x:c>
      <x:c r="AB570" s="1" t="n">
        <x:f>IF(L570=1,SUMIFS('Incoming POs'!$P$2:$P$305,'Incoming POs'!$A$2:$A$305,A570,'Incoming POs'!$B$2:$B$305,B570,'Incoming POs'!$C$2:$C$305,C570,'Incoming POs'!$G$2:$G$305,"&gt;="&amp;D570,'Incoming POs'!$G$2:$G$305,"&lt;"&amp;Dashboard!$I$5,'Incoming POs'!$Q$2:$Q$305,"&lt;="&amp;('Inventory inputs'!P570/'Inventory inputs'!J570*1.01)),"n.a.")</x:f>
        <x:v>0</x:v>
      </x:c>
      <x:c r="AC570" s="9" t="n">
        <x:f>I570*G570</x:f>
        <x:v>166.73160000000001</x:v>
      </x:c>
      <x:c r="AD570" s="9" t="n">
        <x:f>J570*G570</x:f>
        <x:v>0</x:v>
      </x:c>
      <x:c r="AE570" s="9" t="n">
        <x:f>K570*G570</x:f>
        <x:v>0</x:v>
      </x:c>
      <x:c r="AF570" s="9" t="n">
        <x:f>R570*G570</x:f>
        <x:v>166.73160000000001</x:v>
      </x:c>
    </x:row>
    <x:row r="571" ht="21" customHeight="1">
      <x:c r="A571" s="1" t="str">
        <x:f>'Inventory inputs'!A571</x:f>
        <x:v>PLAS</x:v>
      </x:c>
      <x:c r="B571" s="1" t="str">
        <x:f>'Inventory inputs'!B571</x:f>
        <x:v>10</x:v>
      </x:c>
      <x:c r="C571" s="1" t="str">
        <x:f>'Inventory inputs'!C571</x:f>
        <x:v>05880RWBFG</x:v>
      </x:c>
      <x:c r="D571" s="7" t="n">
        <x:f>'Inventory inputs'!E571</x:f>
        <x:v>46303</x:v>
      </x:c>
      <x:c r="E571" s="1" t="n">
        <x:f>'Inventory inputs'!F571</x:f>
        <x:v>305</x:v>
      </x:c>
      <x:c r="F571" s="1" t="n">
        <x:f>'Inventory inputs'!G571</x:f>
        <x:v>0</x:v>
      </x:c>
      <x:c r="G571" s="1" t="n">
        <x:f>'Inventory inputs'!H571/'Inventory inputs'!J571</x:f>
        <x:v>0.1352</x:v>
      </x:c>
      <x:c r="H571" s="1" t="str">
        <x:f>IF('Inventory inputs'!I571&gt;0,'Inventory inputs'!I571*'Inventory inputs'!K571/'Inventory inputs'!J571,"n.a.")</x:f>
        <x:v>n.a.</x:v>
      </x:c>
      <x:c r="I571" s="1" t="n">
        <x:f>'Inventory inputs'!L571</x:f>
        <x:v>0</x:v>
      </x:c>
      <x:c r="J571" s="1" t="n">
        <x:f>'Inventory inputs'!M571</x:f>
        <x:v>0</x:v>
      </x:c>
      <x:c r="K571" s="1" t="n">
        <x:f>'Inventory inputs'!N571</x:f>
        <x:v>305</x:v>
      </x:c>
      <x:c r="L571" s="1" t="n">
        <x:f>'Inventory inputs'!O571</x:f>
        <x:v>0</x:v>
      </x:c>
      <x:c r="M571" s="9" t="n">
        <x:f>E571*G571</x:f>
        <x:v>41.236</x:v>
      </x:c>
      <x:c r="N571" s="9" t="n">
        <x:f>'Inventory inputs'!Q571</x:f>
        <x:v>41.236</x:v>
      </x:c>
      <x:c r="O571" s="9" t="n">
        <x:f>N571-M571</x:f>
        <x:v>0</x:v>
      </x:c>
      <x:c r="P571" s="1" t="n">
        <x:f>SUMIFS('Incoming POs'!$P$2:$P$305,'Incoming POs'!$A$2:$A$305,A571,'Incoming POs'!$B$2:$B$305,B571,'Incoming POs'!$C$2:$C$305,C571,'Incoming POs'!$G$2:$G$305,"&gt;="&amp;D571,'Incoming POs'!$G$2:$G$305,"&lt;"&amp;Dashboard!$I$5)</x:f>
        <x:v>0</x:v>
      </x:c>
      <x:c r="Q571" s="1" t="n">
        <x:f>F571*Dashboard!$L$5*MAX(0,Dashboard!$I$5-D571)/30.4375</x:f>
        <x:v>0</x:v>
      </x:c>
      <x:c r="R571" s="1" t="n">
        <x:f>MAX(0,E571+P571-Q571)</x:f>
        <x:v>305</x:v>
      </x:c>
      <x:c r="S571" s="1" t="n">
        <x:f>MAX(0,Q571-E571-P571)</x:f>
        <x:v>0</x:v>
      </x:c>
      <x:c r="T571" s="1" t="str">
        <x:f>IF(L571=1,MAX(0,I571+AB571-MIN(Q571,E571+P571)),"n.a.")</x:f>
        <x:v>n.a.</x:v>
      </x:c>
      <x:c r="U571" s="9" t="str">
        <x:f>IF(ISNUMBER(T571),T571*G571,"n.a.")</x:f>
        <x:v>n.a.</x:v>
      </x:c>
      <x:c r="V571" s="25" t="n">
        <x:f>IF(Dashboard!$I$6="Flat %",1,IF(ISNUMBER(H571),1,0))</x:f>
        <x:v>0</x:v>
      </x:c>
      <x:c r="W571" s="9" t="str">
        <x:f>IF(Dashboard!$I$6="Flat %",G571*(1+Dashboard!$L$6),H571)</x:f>
        <x:v>n.a.</x:v>
      </x:c>
      <x:c r="X571" s="9" t="str">
        <x:f>IF(V571=1,R571*(W571-G571),"n.a.")</x:f>
        <x:v>n.a.</x:v>
      </x:c>
      <x:c r="Y571" s="9" t="str">
        <x:f>IF(V571=1,R571*W571,"n.a.")</x:f>
        <x:v>n.a.</x:v>
      </x:c>
      <x:c r="Z571" s="1" t="str">
        <x:f>IF(ISNUMBER(T571),R571-T571,"n.a.")</x:f>
        <x:v>n.a.</x:v>
      </x:c>
      <x:c r="AA571" s="1" t="str">
        <x:f>'Inventory inputs'!R571</x:f>
        <x:v>Review receipt reconciliation or original PO baseline</x:v>
      </x:c>
      <x:c r="AB571" s="1" t="str">
        <x:f>IF(L571=1,SUMIFS('Incoming POs'!$P$2:$P$305,'Incoming POs'!$A$2:$A$305,A571,'Incoming POs'!$B$2:$B$305,B571,'Incoming POs'!$C$2:$C$305,C571,'Incoming POs'!$G$2:$G$305,"&gt;="&amp;D571,'Incoming POs'!$G$2:$G$305,"&lt;"&amp;Dashboard!$I$5,'Incoming POs'!$Q$2:$Q$305,"&lt;="&amp;('Inventory inputs'!P571/'Inventory inputs'!J571*1.01)),"n.a.")</x:f>
        <x:v>n.a.</x:v>
      </x:c>
      <x:c r="AC571" s="9" t="n">
        <x:f>I571*G571</x:f>
        <x:v>0</x:v>
      </x:c>
      <x:c r="AD571" s="9" t="n">
        <x:f>J571*G571</x:f>
        <x:v>0</x:v>
      </x:c>
      <x:c r="AE571" s="9" t="n">
        <x:f>K571*G571</x:f>
        <x:v>41.236</x:v>
      </x:c>
      <x:c r="AF571" s="9" t="n">
        <x:f>R571*G571</x:f>
        <x:v>41.236</x:v>
      </x:c>
    </x:row>
    <x:row r="572" ht="21" customHeight="1">
      <x:c r="A572" s="1" t="str">
        <x:f>'Inventory inputs'!A572</x:f>
        <x:v>PLAS</x:v>
      </x:c>
      <x:c r="B572" s="1" t="str">
        <x:f>'Inventory inputs'!B572</x:f>
        <x:v>10</x:v>
      </x:c>
      <x:c r="C572" s="1" t="str">
        <x:f>'Inventory inputs'!C572</x:f>
        <x:v>05880RWBMAR</x:v>
      </x:c>
      <x:c r="D572" s="7" t="n">
        <x:f>'Inventory inputs'!E572</x:f>
        <x:v>46303</x:v>
      </x:c>
      <x:c r="E572" s="1" t="n">
        <x:f>'Inventory inputs'!F572</x:f>
        <x:v>770</x:v>
      </x:c>
      <x:c r="F572" s="1" t="n">
        <x:f>'Inventory inputs'!G572</x:f>
        <x:v>0</x:v>
      </x:c>
      <x:c r="G572" s="1" t="n">
        <x:f>'Inventory inputs'!H572/'Inventory inputs'!J572</x:f>
        <x:v>0.1352</x:v>
      </x:c>
      <x:c r="H572" s="1" t="str">
        <x:f>IF('Inventory inputs'!I572&gt;0,'Inventory inputs'!I572*'Inventory inputs'!K572/'Inventory inputs'!J572,"n.a.")</x:f>
        <x:v>n.a.</x:v>
      </x:c>
      <x:c r="I572" s="1" t="n">
        <x:f>'Inventory inputs'!L572</x:f>
        <x:v>0</x:v>
      </x:c>
      <x:c r="J572" s="1" t="n">
        <x:f>'Inventory inputs'!M572</x:f>
        <x:v>0</x:v>
      </x:c>
      <x:c r="K572" s="1" t="n">
        <x:f>'Inventory inputs'!N572</x:f>
        <x:v>770</x:v>
      </x:c>
      <x:c r="L572" s="1" t="n">
        <x:f>'Inventory inputs'!O572</x:f>
        <x:v>0</x:v>
      </x:c>
      <x:c r="M572" s="9" t="n">
        <x:f>E572*G572</x:f>
        <x:v>104.10399999999998</x:v>
      </x:c>
      <x:c r="N572" s="9" t="n">
        <x:f>'Inventory inputs'!Q572</x:f>
        <x:v>104.104</x:v>
      </x:c>
      <x:c r="O572" s="9" t="n">
        <x:f>N572-M572</x:f>
        <x:v>1.4210854715202004e-14</x:v>
      </x:c>
      <x:c r="P572" s="1" t="n">
        <x:f>SUMIFS('Incoming POs'!$P$2:$P$305,'Incoming POs'!$A$2:$A$305,A572,'Incoming POs'!$B$2:$B$305,B572,'Incoming POs'!$C$2:$C$305,C572,'Incoming POs'!$G$2:$G$305,"&gt;="&amp;D572,'Incoming POs'!$G$2:$G$305,"&lt;"&amp;Dashboard!$I$5)</x:f>
        <x:v>0</x:v>
      </x:c>
      <x:c r="Q572" s="1" t="n">
        <x:f>F572*Dashboard!$L$5*MAX(0,Dashboard!$I$5-D572)/30.4375</x:f>
        <x:v>0</x:v>
      </x:c>
      <x:c r="R572" s="1" t="n">
        <x:f>MAX(0,E572+P572-Q572)</x:f>
        <x:v>770</x:v>
      </x:c>
      <x:c r="S572" s="1" t="n">
        <x:f>MAX(0,Q572-E572-P572)</x:f>
        <x:v>0</x:v>
      </x:c>
      <x:c r="T572" s="1" t="str">
        <x:f>IF(L572=1,MAX(0,I572+AB572-MIN(Q572,E572+P572)),"n.a.")</x:f>
        <x:v>n.a.</x:v>
      </x:c>
      <x:c r="U572" s="9" t="str">
        <x:f>IF(ISNUMBER(T572),T572*G572,"n.a.")</x:f>
        <x:v>n.a.</x:v>
      </x:c>
      <x:c r="V572" s="25" t="n">
        <x:f>IF(Dashboard!$I$6="Flat %",1,IF(ISNUMBER(H572),1,0))</x:f>
        <x:v>0</x:v>
      </x:c>
      <x:c r="W572" s="9" t="str">
        <x:f>IF(Dashboard!$I$6="Flat %",G572*(1+Dashboard!$L$6),H572)</x:f>
        <x:v>n.a.</x:v>
      </x:c>
      <x:c r="X572" s="9" t="str">
        <x:f>IF(V572=1,R572*(W572-G572),"n.a.")</x:f>
        <x:v>n.a.</x:v>
      </x:c>
      <x:c r="Y572" s="9" t="str">
        <x:f>IF(V572=1,R572*W572,"n.a.")</x:f>
        <x:v>n.a.</x:v>
      </x:c>
      <x:c r="Z572" s="1" t="str">
        <x:f>IF(ISNUMBER(T572),R572-T572,"n.a.")</x:f>
        <x:v>n.a.</x:v>
      </x:c>
      <x:c r="AA572" s="1" t="str">
        <x:f>'Inventory inputs'!R572</x:f>
        <x:v>Review receipt reconciliation or original PO baseline</x:v>
      </x:c>
      <x:c r="AB572" s="1" t="str">
        <x:f>IF(L572=1,SUMIFS('Incoming POs'!$P$2:$P$305,'Incoming POs'!$A$2:$A$305,A572,'Incoming POs'!$B$2:$B$305,B572,'Incoming POs'!$C$2:$C$305,C572,'Incoming POs'!$G$2:$G$305,"&gt;="&amp;D572,'Incoming POs'!$G$2:$G$305,"&lt;"&amp;Dashboard!$I$5,'Incoming POs'!$Q$2:$Q$305,"&lt;="&amp;('Inventory inputs'!P572/'Inventory inputs'!J572*1.01)),"n.a.")</x:f>
        <x:v>n.a.</x:v>
      </x:c>
      <x:c r="AC572" s="9" t="n">
        <x:f>I572*G572</x:f>
        <x:v>0</x:v>
      </x:c>
      <x:c r="AD572" s="9" t="n">
        <x:f>J572*G572</x:f>
        <x:v>0</x:v>
      </x:c>
      <x:c r="AE572" s="9" t="n">
        <x:f>K572*G572</x:f>
        <x:v>104.10399999999998</x:v>
      </x:c>
      <x:c r="AF572" s="9" t="n">
        <x:f>R572*G572</x:f>
        <x:v>104.10399999999998</x:v>
      </x:c>
    </x:row>
    <x:row r="573" ht="21" customHeight="1">
      <x:c r="A573" s="1" t="str">
        <x:f>'Inventory inputs'!A573</x:f>
        <x:v>PLAS</x:v>
      </x:c>
      <x:c r="B573" s="1" t="str">
        <x:f>'Inventory inputs'!B573</x:f>
        <x:v>10</x:v>
      </x:c>
      <x:c r="C573" s="1" t="str">
        <x:f>'Inventory inputs'!C573</x:f>
        <x:v>05880RWBNAV</x:v>
      </x:c>
      <x:c r="D573" s="7" t="n">
        <x:f>'Inventory inputs'!E573</x:f>
        <x:v>46303</x:v>
      </x:c>
      <x:c r="E573" s="1" t="n">
        <x:f>'Inventory inputs'!F573</x:f>
        <x:v>475</x:v>
      </x:c>
      <x:c r="F573" s="1" t="n">
        <x:f>'Inventory inputs'!G573</x:f>
        <x:v>0</x:v>
      </x:c>
      <x:c r="G573" s="1" t="n">
        <x:f>'Inventory inputs'!H573/'Inventory inputs'!J573</x:f>
        <x:v>0.1726</x:v>
      </x:c>
      <x:c r="H573" s="1" t="n">
        <x:f>IF('Inventory inputs'!I573&gt;0,'Inventory inputs'!I573*'Inventory inputs'!K573/'Inventory inputs'!J573,"n.a.")</x:f>
        <x:v>0.20197800000000002</x:v>
      </x:c>
      <x:c r="I573" s="1" t="n">
        <x:f>'Inventory inputs'!L573</x:f>
        <x:v>0</x:v>
      </x:c>
      <x:c r="J573" s="1" t="n">
        <x:f>'Inventory inputs'!M573</x:f>
        <x:v>475</x:v>
      </x:c>
      <x:c r="K573" s="1" t="n">
        <x:f>'Inventory inputs'!N573</x:f>
        <x:v>0</x:v>
      </x:c>
      <x:c r="L573" s="1" t="n">
        <x:f>'Inventory inputs'!O573</x:f>
        <x:v>1</x:v>
      </x:c>
      <x:c r="M573" s="9" t="n">
        <x:f>E573*G573</x:f>
        <x:v>81.985</x:v>
      </x:c>
      <x:c r="N573" s="9" t="n">
        <x:f>'Inventory inputs'!Q573</x:f>
        <x:v>81.985</x:v>
      </x:c>
      <x:c r="O573" s="9" t="n">
        <x:f>N573-M573</x:f>
        <x:v>0</x:v>
      </x:c>
      <x:c r="P573" s="1" t="n">
        <x:f>SUMIFS('Incoming POs'!$P$2:$P$305,'Incoming POs'!$A$2:$A$305,A573,'Incoming POs'!$B$2:$B$305,B573,'Incoming POs'!$C$2:$C$305,C573,'Incoming POs'!$G$2:$G$305,"&gt;="&amp;D573,'Incoming POs'!$G$2:$G$305,"&lt;"&amp;Dashboard!$I$5)</x:f>
        <x:v>0</x:v>
      </x:c>
      <x:c r="Q573" s="1" t="n">
        <x:f>F573*Dashboard!$L$5*MAX(0,Dashboard!$I$5-D573)/30.4375</x:f>
        <x:v>0</x:v>
      </x:c>
      <x:c r="R573" s="1" t="n">
        <x:f>MAX(0,E573+P573-Q573)</x:f>
        <x:v>475</x:v>
      </x:c>
      <x:c r="S573" s="1" t="n">
        <x:f>MAX(0,Q573-E573-P573)</x:f>
        <x:v>0</x:v>
      </x:c>
      <x:c r="T573" s="1" t="n">
        <x:f>IF(L573=1,MAX(0,I573+AB573-MIN(Q573,E573+P573)),"n.a.")</x:f>
        <x:v>0</x:v>
      </x:c>
      <x:c r="U573" s="9" t="n">
        <x:f>IF(ISNUMBER(T573),T573*G573,"n.a.")</x:f>
        <x:v>0</x:v>
      </x:c>
      <x:c r="V573" s="25" t="n">
        <x:f>IF(Dashboard!$I$6="Flat %",1,IF(ISNUMBER(H573),1,0))</x:f>
        <x:v>1</x:v>
      </x:c>
      <x:c r="W573" s="9" t="n">
        <x:f>IF(Dashboard!$I$6="Flat %",G573*(1+Dashboard!$L$6),H573)</x:f>
        <x:v>0.20197800000000002</x:v>
      </x:c>
      <x:c r="X573" s="9" t="n">
        <x:f>IF(V573=1,R573*(W573-G573),"n.a.")</x:f>
        <x:v>13.954550000000006</x:v>
      </x:c>
      <x:c r="Y573" s="9" t="n">
        <x:f>IF(V573=1,R573*W573,"n.a.")</x:f>
        <x:v>95.93955000000001</x:v>
      </x:c>
      <x:c r="Z573" s="1" t="n">
        <x:f>IF(ISNUMBER(T573),R573-T573,"n.a.")</x:f>
        <x:v>475</x:v>
      </x:c>
      <x:c r="AA573" s="1" t="str">
        <x:f>'Inventory inputs'!R573</x:f>
        <x:v>Classified</x:v>
      </x:c>
      <x:c r="AB573" s="1" t="n">
        <x:f>IF(L573=1,SUMIFS('Incoming POs'!$P$2:$P$305,'Incoming POs'!$A$2:$A$305,A573,'Incoming POs'!$B$2:$B$305,B573,'Incoming POs'!$C$2:$C$305,C573,'Incoming POs'!$G$2:$G$305,"&gt;="&amp;D573,'Incoming POs'!$G$2:$G$305,"&lt;"&amp;Dashboard!$I$5,'Incoming POs'!$Q$2:$Q$305,"&lt;="&amp;('Inventory inputs'!P573/'Inventory inputs'!J573*1.01)),"n.a.")</x:f>
        <x:v>0</x:v>
      </x:c>
      <x:c r="AC573" s="9" t="n">
        <x:f>I573*G573</x:f>
        <x:v>0</x:v>
      </x:c>
      <x:c r="AD573" s="9" t="n">
        <x:f>J573*G573</x:f>
        <x:v>81.985</x:v>
      </x:c>
      <x:c r="AE573" s="9" t="n">
        <x:f>K573*G573</x:f>
        <x:v>0</x:v>
      </x:c>
      <x:c r="AF573" s="9" t="n">
        <x:f>R573*G573</x:f>
        <x:v>81.985</x:v>
      </x:c>
    </x:row>
    <x:row r="574" ht="21" customHeight="1">
      <x:c r="A574" s="1" t="str">
        <x:f>'Inventory inputs'!A574</x:f>
        <x:v>PLAS</x:v>
      </x:c>
      <x:c r="B574" s="1" t="str">
        <x:f>'Inventory inputs'!B574</x:f>
        <x:v>10</x:v>
      </x:c>
      <x:c r="C574" s="1" t="str">
        <x:f>'Inventory inputs'!C574</x:f>
        <x:v>05880RWBRED</x:v>
      </x:c>
      <x:c r="D574" s="7" t="n">
        <x:f>'Inventory inputs'!E574</x:f>
        <x:v>46303</x:v>
      </x:c>
      <x:c r="E574" s="1" t="n">
        <x:f>'Inventory inputs'!F574</x:f>
        <x:v>577</x:v>
      </x:c>
      <x:c r="F574" s="1" t="n">
        <x:f>'Inventory inputs'!G574</x:f>
        <x:v>0</x:v>
      </x:c>
      <x:c r="G574" s="1" t="n">
        <x:f>'Inventory inputs'!H574/'Inventory inputs'!J574</x:f>
        <x:v>0.1726</x:v>
      </x:c>
      <x:c r="H574" s="1" t="n">
        <x:f>IF('Inventory inputs'!I574&gt;0,'Inventory inputs'!I574*'Inventory inputs'!K574/'Inventory inputs'!J574,"n.a.")</x:f>
        <x:v>0.20197800000000002</x:v>
      </x:c>
      <x:c r="I574" s="1" t="n">
        <x:f>'Inventory inputs'!L574</x:f>
        <x:v>0</x:v>
      </x:c>
      <x:c r="J574" s="1" t="n">
        <x:f>'Inventory inputs'!M574</x:f>
        <x:v>0</x:v>
      </x:c>
      <x:c r="K574" s="1" t="n">
        <x:f>'Inventory inputs'!N574</x:f>
        <x:v>577</x:v>
      </x:c>
      <x:c r="L574" s="1" t="n">
        <x:f>'Inventory inputs'!O574</x:f>
        <x:v>0</x:v>
      </x:c>
      <x:c r="M574" s="9" t="n">
        <x:f>E574*G574</x:f>
        <x:v>99.5902</x:v>
      </x:c>
      <x:c r="N574" s="9" t="n">
        <x:f>'Inventory inputs'!Q574</x:f>
        <x:v>99.59020000000001</x:v>
      </x:c>
      <x:c r="O574" s="9" t="n">
        <x:f>N574-M574</x:f>
        <x:v>1.4210854715202004e-14</x:v>
      </x:c>
      <x:c r="P574" s="1" t="n">
        <x:f>SUMIFS('Incoming POs'!$P$2:$P$305,'Incoming POs'!$A$2:$A$305,A574,'Incoming POs'!$B$2:$B$305,B574,'Incoming POs'!$C$2:$C$305,C574,'Incoming POs'!$G$2:$G$305,"&gt;="&amp;D574,'Incoming POs'!$G$2:$G$305,"&lt;"&amp;Dashboard!$I$5)</x:f>
        <x:v>0</x:v>
      </x:c>
      <x:c r="Q574" s="1" t="n">
        <x:f>F574*Dashboard!$L$5*MAX(0,Dashboard!$I$5-D574)/30.4375</x:f>
        <x:v>0</x:v>
      </x:c>
      <x:c r="R574" s="1" t="n">
        <x:f>MAX(0,E574+P574-Q574)</x:f>
        <x:v>577</x:v>
      </x:c>
      <x:c r="S574" s="1" t="n">
        <x:f>MAX(0,Q574-E574-P574)</x:f>
        <x:v>0</x:v>
      </x:c>
      <x:c r="T574" s="1" t="str">
        <x:f>IF(L574=1,MAX(0,I574+AB574-MIN(Q574,E574+P574)),"n.a.")</x:f>
        <x:v>n.a.</x:v>
      </x:c>
      <x:c r="U574" s="9" t="str">
        <x:f>IF(ISNUMBER(T574),T574*G574,"n.a.")</x:f>
        <x:v>n.a.</x:v>
      </x:c>
      <x:c r="V574" s="25" t="n">
        <x:f>IF(Dashboard!$I$6="Flat %",1,IF(ISNUMBER(H574),1,0))</x:f>
        <x:v>1</x:v>
      </x:c>
      <x:c r="W574" s="9" t="n">
        <x:f>IF(Dashboard!$I$6="Flat %",G574*(1+Dashboard!$L$6),H574)</x:f>
        <x:v>0.20197800000000002</x:v>
      </x:c>
      <x:c r="X574" s="9" t="n">
        <x:f>IF(V574=1,R574*(W574-G574),"n.a.")</x:f>
        <x:v>16.95110600000001</x:v>
      </x:c>
      <x:c r="Y574" s="9" t="n">
        <x:f>IF(V574=1,R574*W574,"n.a.")</x:f>
        <x:v>116.541306</x:v>
      </x:c>
      <x:c r="Z574" s="1" t="str">
        <x:f>IF(ISNUMBER(T574),R574-T574,"n.a.")</x:f>
        <x:v>n.a.</x:v>
      </x:c>
      <x:c r="AA574" s="1" t="str">
        <x:f>'Inventory inputs'!R574</x:f>
        <x:v>Review receipt reconciliation or original PO baseline</x:v>
      </x:c>
      <x:c r="AB574" s="1" t="str">
        <x:f>IF(L574=1,SUMIFS('Incoming POs'!$P$2:$P$305,'Incoming POs'!$A$2:$A$305,A574,'Incoming POs'!$B$2:$B$305,B574,'Incoming POs'!$C$2:$C$305,C574,'Incoming POs'!$G$2:$G$305,"&gt;="&amp;D574,'Incoming POs'!$G$2:$G$305,"&lt;"&amp;Dashboard!$I$5,'Incoming POs'!$Q$2:$Q$305,"&lt;="&amp;('Inventory inputs'!P574/'Inventory inputs'!J574*1.01)),"n.a.")</x:f>
        <x:v>n.a.</x:v>
      </x:c>
      <x:c r="AC574" s="9" t="n">
        <x:f>I574*G574</x:f>
        <x:v>0</x:v>
      </x:c>
      <x:c r="AD574" s="9" t="n">
        <x:f>J574*G574</x:f>
        <x:v>0</x:v>
      </x:c>
      <x:c r="AE574" s="9" t="n">
        <x:f>K574*G574</x:f>
        <x:v>99.5902</x:v>
      </x:c>
      <x:c r="AF574" s="9" t="n">
        <x:f>R574*G574</x:f>
        <x:v>99.5902</x:v>
      </x:c>
    </x:row>
    <x:row r="575" ht="21" customHeight="1">
      <x:c r="A575" s="1" t="str">
        <x:f>'Inventory inputs'!A575</x:f>
        <x:v>PLAS</x:v>
      </x:c>
      <x:c r="B575" s="1" t="str">
        <x:f>'Inventory inputs'!B575</x:f>
        <x:v>10</x:v>
      </x:c>
      <x:c r="C575" s="1" t="str">
        <x:f>'Inventory inputs'!C575</x:f>
        <x:v>05880RWBWHT</x:v>
      </x:c>
      <x:c r="D575" s="7" t="n">
        <x:f>'Inventory inputs'!E575</x:f>
        <x:v>46303</x:v>
      </x:c>
      <x:c r="E575" s="1" t="n">
        <x:f>'Inventory inputs'!F575</x:f>
        <x:v>4137</x:v>
      </x:c>
      <x:c r="F575" s="1" t="n">
        <x:f>'Inventory inputs'!G575</x:f>
        <x:v>0</x:v>
      </x:c>
      <x:c r="G575" s="1" t="n">
        <x:f>'Inventory inputs'!H575/'Inventory inputs'!J575</x:f>
        <x:v>0.1726</x:v>
      </x:c>
      <x:c r="H575" s="1" t="n">
        <x:f>IF('Inventory inputs'!I575&gt;0,'Inventory inputs'!I575*'Inventory inputs'!K575/'Inventory inputs'!J575,"n.a.")</x:f>
        <x:v>0.20197800000000002</x:v>
      </x:c>
      <x:c r="I575" s="1" t="n">
        <x:f>'Inventory inputs'!L575</x:f>
        <x:v>0</x:v>
      </x:c>
      <x:c r="J575" s="1" t="n">
        <x:f>'Inventory inputs'!M575</x:f>
        <x:v>0</x:v>
      </x:c>
      <x:c r="K575" s="1" t="n">
        <x:f>'Inventory inputs'!N575</x:f>
        <x:v>4137</x:v>
      </x:c>
      <x:c r="L575" s="1" t="n">
        <x:f>'Inventory inputs'!O575</x:f>
        <x:v>0</x:v>
      </x:c>
      <x:c r="M575" s="9" t="n">
        <x:f>E575*G575</x:f>
        <x:v>714.0462</x:v>
      </x:c>
      <x:c r="N575" s="9" t="n">
        <x:f>'Inventory inputs'!Q575</x:f>
        <x:v>714.0462000000001</x:v>
      </x:c>
      <x:c r="O575" s="9" t="n">
        <x:f>N575-M575</x:f>
        <x:v>1.1368683772161603e-13</x:v>
      </x:c>
      <x:c r="P575" s="1" t="n">
        <x:f>SUMIFS('Incoming POs'!$P$2:$P$305,'Incoming POs'!$A$2:$A$305,A575,'Incoming POs'!$B$2:$B$305,B575,'Incoming POs'!$C$2:$C$305,C575,'Incoming POs'!$G$2:$G$305,"&gt;="&amp;D575,'Incoming POs'!$G$2:$G$305,"&lt;"&amp;Dashboard!$I$5)</x:f>
        <x:v>0</x:v>
      </x:c>
      <x:c r="Q575" s="1" t="n">
        <x:f>F575*Dashboard!$L$5*MAX(0,Dashboard!$I$5-D575)/30.4375</x:f>
        <x:v>0</x:v>
      </x:c>
      <x:c r="R575" s="1" t="n">
        <x:f>MAX(0,E575+P575-Q575)</x:f>
        <x:v>4137</x:v>
      </x:c>
      <x:c r="S575" s="1" t="n">
        <x:f>MAX(0,Q575-E575-P575)</x:f>
        <x:v>0</x:v>
      </x:c>
      <x:c r="T575" s="1" t="str">
        <x:f>IF(L575=1,MAX(0,I575+AB575-MIN(Q575,E575+P575)),"n.a.")</x:f>
        <x:v>n.a.</x:v>
      </x:c>
      <x:c r="U575" s="9" t="str">
        <x:f>IF(ISNUMBER(T575),T575*G575,"n.a.")</x:f>
        <x:v>n.a.</x:v>
      </x:c>
      <x:c r="V575" s="25" t="n">
        <x:f>IF(Dashboard!$I$6="Flat %",1,IF(ISNUMBER(H575),1,0))</x:f>
        <x:v>1</x:v>
      </x:c>
      <x:c r="W575" s="9" t="n">
        <x:f>IF(Dashboard!$I$6="Flat %",G575*(1+Dashboard!$L$6),H575)</x:f>
        <x:v>0.20197800000000002</x:v>
      </x:c>
      <x:c r="X575" s="9" t="n">
        <x:f>IF(V575=1,R575*(W575-G575),"n.a.")</x:f>
        <x:v>121.53678600000006</x:v>
      </x:c>
      <x:c r="Y575" s="9" t="n">
        <x:f>IF(V575=1,R575*W575,"n.a.")</x:f>
        <x:v>835.5829860000001</x:v>
      </x:c>
      <x:c r="Z575" s="1" t="str">
        <x:f>IF(ISNUMBER(T575),R575-T575,"n.a.")</x:f>
        <x:v>n.a.</x:v>
      </x:c>
      <x:c r="AA575" s="1" t="str">
        <x:f>'Inventory inputs'!R575</x:f>
        <x:v>Review receipt reconciliation or original PO baseline</x:v>
      </x:c>
      <x:c r="AB575" s="1" t="str">
        <x:f>IF(L575=1,SUMIFS('Incoming POs'!$P$2:$P$305,'Incoming POs'!$A$2:$A$305,A575,'Incoming POs'!$B$2:$B$305,B575,'Incoming POs'!$C$2:$C$305,C575,'Incoming POs'!$G$2:$G$305,"&gt;="&amp;D575,'Incoming POs'!$G$2:$G$305,"&lt;"&amp;Dashboard!$I$5,'Incoming POs'!$Q$2:$Q$305,"&lt;="&amp;('Inventory inputs'!P575/'Inventory inputs'!J575*1.01)),"n.a.")</x:f>
        <x:v>n.a.</x:v>
      </x:c>
      <x:c r="AC575" s="9" t="n">
        <x:f>I575*G575</x:f>
        <x:v>0</x:v>
      </x:c>
      <x:c r="AD575" s="9" t="n">
        <x:f>J575*G575</x:f>
        <x:v>0</x:v>
      </x:c>
      <x:c r="AE575" s="9" t="n">
        <x:f>K575*G575</x:f>
        <x:v>714.0462</x:v>
      </x:c>
      <x:c r="AF575" s="9" t="n">
        <x:f>R575*G575</x:f>
        <x:v>714.0462</x:v>
      </x:c>
    </x:row>
    <x:row r="576" ht="21" customHeight="1">
      <x:c r="A576" s="1" t="str">
        <x:f>'Inventory inputs'!A576</x:f>
        <x:v>PLAS</x:v>
      </x:c>
      <x:c r="B576" s="1" t="str">
        <x:f>'Inventory inputs'!B576</x:f>
        <x:v>10</x:v>
      </x:c>
      <x:c r="C576" s="1" t="str">
        <x:f>'Inventory inputs'!C576</x:f>
        <x:v>07815ROVBLU</x:v>
      </x:c>
      <x:c r="D576" s="7" t="n">
        <x:f>'Inventory inputs'!E576</x:f>
        <x:v>46303</x:v>
      </x:c>
      <x:c r="E576" s="1" t="n">
        <x:f>'Inventory inputs'!F576</x:f>
        <x:v>2480</x:v>
      </x:c>
      <x:c r="F576" s="1" t="n">
        <x:f>'Inventory inputs'!G576</x:f>
        <x:v>0</x:v>
      </x:c>
      <x:c r="G576" s="1" t="n">
        <x:f>'Inventory inputs'!H576/'Inventory inputs'!J576</x:f>
        <x:v>0.0664</x:v>
      </x:c>
      <x:c r="H576" s="1" t="n">
        <x:f>IF('Inventory inputs'!I576&gt;0,'Inventory inputs'!I576*'Inventory inputs'!K576/'Inventory inputs'!J576,"n.a.")</x:f>
        <x:v>0.077763</x:v>
      </x:c>
      <x:c r="I576" s="1" t="n">
        <x:f>'Inventory inputs'!L576</x:f>
        <x:v>0</x:v>
      </x:c>
      <x:c r="J576" s="1" t="n">
        <x:f>'Inventory inputs'!M576</x:f>
        <x:v>0</x:v>
      </x:c>
      <x:c r="K576" s="1" t="n">
        <x:f>'Inventory inputs'!N576</x:f>
        <x:v>2480</x:v>
      </x:c>
      <x:c r="L576" s="1" t="n">
        <x:f>'Inventory inputs'!O576</x:f>
        <x:v>0</x:v>
      </x:c>
      <x:c r="M576" s="9" t="n">
        <x:f>E576*G576</x:f>
        <x:v>164.672</x:v>
      </x:c>
      <x:c r="N576" s="9" t="n">
        <x:f>'Inventory inputs'!Q576</x:f>
        <x:v>164.672</x:v>
      </x:c>
      <x:c r="O576" s="9" t="n">
        <x:f>N576-M576</x:f>
        <x:v>0</x:v>
      </x:c>
      <x:c r="P576" s="1" t="n">
        <x:f>SUMIFS('Incoming POs'!$P$2:$P$305,'Incoming POs'!$A$2:$A$305,A576,'Incoming POs'!$B$2:$B$305,B576,'Incoming POs'!$C$2:$C$305,C576,'Incoming POs'!$G$2:$G$305,"&gt;="&amp;D576,'Incoming POs'!$G$2:$G$305,"&lt;"&amp;Dashboard!$I$5)</x:f>
        <x:v>0</x:v>
      </x:c>
      <x:c r="Q576" s="1" t="n">
        <x:f>F576*Dashboard!$L$5*MAX(0,Dashboard!$I$5-D576)/30.4375</x:f>
        <x:v>0</x:v>
      </x:c>
      <x:c r="R576" s="1" t="n">
        <x:f>MAX(0,E576+P576-Q576)</x:f>
        <x:v>2480</x:v>
      </x:c>
      <x:c r="S576" s="1" t="n">
        <x:f>MAX(0,Q576-E576-P576)</x:f>
        <x:v>0</x:v>
      </x:c>
      <x:c r="T576" s="1" t="str">
        <x:f>IF(L576=1,MAX(0,I576+AB576-MIN(Q576,E576+P576)),"n.a.")</x:f>
        <x:v>n.a.</x:v>
      </x:c>
      <x:c r="U576" s="9" t="str">
        <x:f>IF(ISNUMBER(T576),T576*G576,"n.a.")</x:f>
        <x:v>n.a.</x:v>
      </x:c>
      <x:c r="V576" s="25" t="n">
        <x:f>IF(Dashboard!$I$6="Flat %",1,IF(ISNUMBER(H576),1,0))</x:f>
        <x:v>1</x:v>
      </x:c>
      <x:c r="W576" s="9" t="n">
        <x:f>IF(Dashboard!$I$6="Flat %",G576*(1+Dashboard!$L$6),H576)</x:f>
        <x:v>0.077763</x:v>
      </x:c>
      <x:c r="X576" s="9" t="n">
        <x:f>IF(V576=1,R576*(W576-G576),"n.a.")</x:f>
        <x:v>28.180239999999994</x:v>
      </x:c>
      <x:c r="Y576" s="9" t="n">
        <x:f>IF(V576=1,R576*W576,"n.a.")</x:f>
        <x:v>192.85224</x:v>
      </x:c>
      <x:c r="Z576" s="1" t="str">
        <x:f>IF(ISNUMBER(T576),R576-T576,"n.a.")</x:f>
        <x:v>n.a.</x:v>
      </x:c>
      <x:c r="AA576" s="1" t="str">
        <x:f>'Inventory inputs'!R576</x:f>
        <x:v>Review receipt reconciliation or original PO baseline</x:v>
      </x:c>
      <x:c r="AB576" s="1" t="str">
        <x:f>IF(L576=1,SUMIFS('Incoming POs'!$P$2:$P$305,'Incoming POs'!$A$2:$A$305,A576,'Incoming POs'!$B$2:$B$305,B576,'Incoming POs'!$C$2:$C$305,C576,'Incoming POs'!$G$2:$G$305,"&gt;="&amp;D576,'Incoming POs'!$G$2:$G$305,"&lt;"&amp;Dashboard!$I$5,'Incoming POs'!$Q$2:$Q$305,"&lt;="&amp;('Inventory inputs'!P576/'Inventory inputs'!J576*1.01)),"n.a.")</x:f>
        <x:v>n.a.</x:v>
      </x:c>
      <x:c r="AC576" s="9" t="n">
        <x:f>I576*G576</x:f>
        <x:v>0</x:v>
      </x:c>
      <x:c r="AD576" s="9" t="n">
        <x:f>J576*G576</x:f>
        <x:v>0</x:v>
      </x:c>
      <x:c r="AE576" s="9" t="n">
        <x:f>K576*G576</x:f>
        <x:v>164.672</x:v>
      </x:c>
      <x:c r="AF576" s="9" t="n">
        <x:f>R576*G576</x:f>
        <x:v>164.672</x:v>
      </x:c>
    </x:row>
    <x:row r="577" ht="21" customHeight="1">
      <x:c r="A577" s="1" t="str">
        <x:f>'Inventory inputs'!A577</x:f>
        <x:v>PLAS</x:v>
      </x:c>
      <x:c r="B577" s="1" t="str">
        <x:f>'Inventory inputs'!B577</x:f>
        <x:v>10</x:v>
      </x:c>
      <x:c r="C577" s="1" t="str">
        <x:f>'Inventory inputs'!C577</x:f>
        <x:v>07815ROVBRN</x:v>
      </x:c>
      <x:c r="D577" s="7" t="n">
        <x:f>'Inventory inputs'!E577</x:f>
        <x:v>46303</x:v>
      </x:c>
      <x:c r="E577" s="1" t="n">
        <x:f>'Inventory inputs'!F577</x:f>
        <x:v>2140</x:v>
      </x:c>
      <x:c r="F577" s="1" t="n">
        <x:f>'Inventory inputs'!G577</x:f>
        <x:v>0</x:v>
      </x:c>
      <x:c r="G577" s="1" t="n">
        <x:f>'Inventory inputs'!H577/'Inventory inputs'!J577</x:f>
        <x:v>0.0664</x:v>
      </x:c>
      <x:c r="H577" s="1" t="n">
        <x:f>IF('Inventory inputs'!I577&gt;0,'Inventory inputs'!I577*'Inventory inputs'!K577/'Inventory inputs'!J577,"n.a.")</x:f>
        <x:v>0.077763</x:v>
      </x:c>
      <x:c r="I577" s="1" t="n">
        <x:f>'Inventory inputs'!L577</x:f>
        <x:v>0</x:v>
      </x:c>
      <x:c r="J577" s="1" t="n">
        <x:f>'Inventory inputs'!M577</x:f>
        <x:v>0</x:v>
      </x:c>
      <x:c r="K577" s="1" t="n">
        <x:f>'Inventory inputs'!N577</x:f>
        <x:v>2140</x:v>
      </x:c>
      <x:c r="L577" s="1" t="n">
        <x:f>'Inventory inputs'!O577</x:f>
        <x:v>0</x:v>
      </x:c>
      <x:c r="M577" s="9" t="n">
        <x:f>E577*G577</x:f>
        <x:v>142.096</x:v>
      </x:c>
      <x:c r="N577" s="9" t="n">
        <x:f>'Inventory inputs'!Q577</x:f>
        <x:v>142.09599999999998</x:v>
      </x:c>
      <x:c r="O577" s="9" t="n">
        <x:f>N577-M577</x:f>
        <x:v>-2.842170943040401e-14</x:v>
      </x:c>
      <x:c r="P577" s="1" t="n">
        <x:f>SUMIFS('Incoming POs'!$P$2:$P$305,'Incoming POs'!$A$2:$A$305,A577,'Incoming POs'!$B$2:$B$305,B577,'Incoming POs'!$C$2:$C$305,C577,'Incoming POs'!$G$2:$G$305,"&gt;="&amp;D577,'Incoming POs'!$G$2:$G$305,"&lt;"&amp;Dashboard!$I$5)</x:f>
        <x:v>0</x:v>
      </x:c>
      <x:c r="Q577" s="1" t="n">
        <x:f>F577*Dashboard!$L$5*MAX(0,Dashboard!$I$5-D577)/30.4375</x:f>
        <x:v>0</x:v>
      </x:c>
      <x:c r="R577" s="1" t="n">
        <x:f>MAX(0,E577+P577-Q577)</x:f>
        <x:v>2140</x:v>
      </x:c>
      <x:c r="S577" s="1" t="n">
        <x:f>MAX(0,Q577-E577-P577)</x:f>
        <x:v>0</x:v>
      </x:c>
      <x:c r="T577" s="1" t="str">
        <x:f>IF(L577=1,MAX(0,I577+AB577-MIN(Q577,E577+P577)),"n.a.")</x:f>
        <x:v>n.a.</x:v>
      </x:c>
      <x:c r="U577" s="9" t="str">
        <x:f>IF(ISNUMBER(T577),T577*G577,"n.a.")</x:f>
        <x:v>n.a.</x:v>
      </x:c>
      <x:c r="V577" s="25" t="n">
        <x:f>IF(Dashboard!$I$6="Flat %",1,IF(ISNUMBER(H577),1,0))</x:f>
        <x:v>1</x:v>
      </x:c>
      <x:c r="W577" s="9" t="n">
        <x:f>IF(Dashboard!$I$6="Flat %",G577*(1+Dashboard!$L$6),H577)</x:f>
        <x:v>0.077763</x:v>
      </x:c>
      <x:c r="X577" s="9" t="n">
        <x:f>IF(V577=1,R577*(W577-G577),"n.a.")</x:f>
        <x:v>24.316819999999996</x:v>
      </x:c>
      <x:c r="Y577" s="9" t="n">
        <x:f>IF(V577=1,R577*W577,"n.a.")</x:f>
        <x:v>166.41282</x:v>
      </x:c>
      <x:c r="Z577" s="1" t="str">
        <x:f>IF(ISNUMBER(T577),R577-T577,"n.a.")</x:f>
        <x:v>n.a.</x:v>
      </x:c>
      <x:c r="AA577" s="1" t="str">
        <x:f>'Inventory inputs'!R577</x:f>
        <x:v>Review receipt reconciliation or original PO baseline</x:v>
      </x:c>
      <x:c r="AB577" s="1" t="str">
        <x:f>IF(L577=1,SUMIFS('Incoming POs'!$P$2:$P$305,'Incoming POs'!$A$2:$A$305,A577,'Incoming POs'!$B$2:$B$305,B577,'Incoming POs'!$C$2:$C$305,C577,'Incoming POs'!$G$2:$G$305,"&gt;="&amp;D577,'Incoming POs'!$G$2:$G$305,"&lt;"&amp;Dashboard!$I$5,'Incoming POs'!$Q$2:$Q$305,"&lt;="&amp;('Inventory inputs'!P577/'Inventory inputs'!J577*1.01)),"n.a.")</x:f>
        <x:v>n.a.</x:v>
      </x:c>
      <x:c r="AC577" s="9" t="n">
        <x:f>I577*G577</x:f>
        <x:v>0</x:v>
      </x:c>
      <x:c r="AD577" s="9" t="n">
        <x:f>J577*G577</x:f>
        <x:v>0</x:v>
      </x:c>
      <x:c r="AE577" s="9" t="n">
        <x:f>K577*G577</x:f>
        <x:v>142.096</x:v>
      </x:c>
      <x:c r="AF577" s="9" t="n">
        <x:f>R577*G577</x:f>
        <x:v>142.096</x:v>
      </x:c>
    </x:row>
    <x:row r="578" ht="21" customHeight="1">
      <x:c r="A578" s="1" t="str">
        <x:f>'Inventory inputs'!A578</x:f>
        <x:v>PLAS</x:v>
      </x:c>
      <x:c r="B578" s="1" t="str">
        <x:f>'Inventory inputs'!B578</x:f>
        <x:v>10</x:v>
      </x:c>
      <x:c r="C578" s="1" t="str">
        <x:f>'Inventory inputs'!C578</x:f>
        <x:v>07815ROVFG</x:v>
      </x:c>
      <x:c r="D578" s="7" t="n">
        <x:f>'Inventory inputs'!E578</x:f>
        <x:v>46303</x:v>
      </x:c>
      <x:c r="E578" s="1" t="n">
        <x:f>'Inventory inputs'!F578</x:f>
        <x:v>1650</x:v>
      </x:c>
      <x:c r="F578" s="1" t="n">
        <x:f>'Inventory inputs'!G578</x:f>
        <x:v>0</x:v>
      </x:c>
      <x:c r="G578" s="1" t="n">
        <x:f>'Inventory inputs'!H578/'Inventory inputs'!J578</x:f>
        <x:v>0.0664</x:v>
      </x:c>
      <x:c r="H578" s="1" t="n">
        <x:f>IF('Inventory inputs'!I578&gt;0,'Inventory inputs'!I578*'Inventory inputs'!K578/'Inventory inputs'!J578,"n.a.")</x:f>
        <x:v>0.077763</x:v>
      </x:c>
      <x:c r="I578" s="1" t="n">
        <x:f>'Inventory inputs'!L578</x:f>
        <x:v>0</x:v>
      </x:c>
      <x:c r="J578" s="1" t="n">
        <x:f>'Inventory inputs'!M578</x:f>
        <x:v>0</x:v>
      </x:c>
      <x:c r="K578" s="1" t="n">
        <x:f>'Inventory inputs'!N578</x:f>
        <x:v>1650</x:v>
      </x:c>
      <x:c r="L578" s="1" t="n">
        <x:f>'Inventory inputs'!O578</x:f>
        <x:v>0</x:v>
      </x:c>
      <x:c r="M578" s="9" t="n">
        <x:f>E578*G578</x:f>
        <x:v>109.56</x:v>
      </x:c>
      <x:c r="N578" s="9" t="n">
        <x:f>'Inventory inputs'!Q578</x:f>
        <x:v>109.56</x:v>
      </x:c>
      <x:c r="O578" s="9" t="n">
        <x:f>N578-M578</x:f>
        <x:v>0</x:v>
      </x:c>
      <x:c r="P578" s="1" t="n">
        <x:f>SUMIFS('Incoming POs'!$P$2:$P$305,'Incoming POs'!$A$2:$A$305,A578,'Incoming POs'!$B$2:$B$305,B578,'Incoming POs'!$C$2:$C$305,C578,'Incoming POs'!$G$2:$G$305,"&gt;="&amp;D578,'Incoming POs'!$G$2:$G$305,"&lt;"&amp;Dashboard!$I$5)</x:f>
        <x:v>0</x:v>
      </x:c>
      <x:c r="Q578" s="1" t="n">
        <x:f>F578*Dashboard!$L$5*MAX(0,Dashboard!$I$5-D578)/30.4375</x:f>
        <x:v>0</x:v>
      </x:c>
      <x:c r="R578" s="1" t="n">
        <x:f>MAX(0,E578+P578-Q578)</x:f>
        <x:v>1650</x:v>
      </x:c>
      <x:c r="S578" s="1" t="n">
        <x:f>MAX(0,Q578-E578-P578)</x:f>
        <x:v>0</x:v>
      </x:c>
      <x:c r="T578" s="1" t="str">
        <x:f>IF(L578=1,MAX(0,I578+AB578-MIN(Q578,E578+P578)),"n.a.")</x:f>
        <x:v>n.a.</x:v>
      </x:c>
      <x:c r="U578" s="9" t="str">
        <x:f>IF(ISNUMBER(T578),T578*G578,"n.a.")</x:f>
        <x:v>n.a.</x:v>
      </x:c>
      <x:c r="V578" s="25" t="n">
        <x:f>IF(Dashboard!$I$6="Flat %",1,IF(ISNUMBER(H578),1,0))</x:f>
        <x:v>1</x:v>
      </x:c>
      <x:c r="W578" s="9" t="n">
        <x:f>IF(Dashboard!$I$6="Flat %",G578*(1+Dashboard!$L$6),H578)</x:f>
        <x:v>0.077763</x:v>
      </x:c>
      <x:c r="X578" s="9" t="n">
        <x:f>IF(V578=1,R578*(W578-G578),"n.a.")</x:f>
        <x:v>18.748949999999997</x:v>
      </x:c>
      <x:c r="Y578" s="9" t="n">
        <x:f>IF(V578=1,R578*W578,"n.a.")</x:f>
        <x:v>128.30895</x:v>
      </x:c>
      <x:c r="Z578" s="1" t="str">
        <x:f>IF(ISNUMBER(T578),R578-T578,"n.a.")</x:f>
        <x:v>n.a.</x:v>
      </x:c>
      <x:c r="AA578" s="1" t="str">
        <x:f>'Inventory inputs'!R578</x:f>
        <x:v>Review receipt reconciliation or original PO baseline</x:v>
      </x:c>
      <x:c r="AB578" s="1" t="str">
        <x:f>IF(L578=1,SUMIFS('Incoming POs'!$P$2:$P$305,'Incoming POs'!$A$2:$A$305,A578,'Incoming POs'!$B$2:$B$305,B578,'Incoming POs'!$C$2:$C$305,C578,'Incoming POs'!$G$2:$G$305,"&gt;="&amp;D578,'Incoming POs'!$G$2:$G$305,"&lt;"&amp;Dashboard!$I$5,'Incoming POs'!$Q$2:$Q$305,"&lt;="&amp;('Inventory inputs'!P578/'Inventory inputs'!J578*1.01)),"n.a.")</x:f>
        <x:v>n.a.</x:v>
      </x:c>
      <x:c r="AC578" s="9" t="n">
        <x:f>I578*G578</x:f>
        <x:v>0</x:v>
      </x:c>
      <x:c r="AD578" s="9" t="n">
        <x:f>J578*G578</x:f>
        <x:v>0</x:v>
      </x:c>
      <x:c r="AE578" s="9" t="n">
        <x:f>K578*G578</x:f>
        <x:v>109.56</x:v>
      </x:c>
      <x:c r="AF578" s="9" t="n">
        <x:f>R578*G578</x:f>
        <x:v>109.56</x:v>
      </x:c>
    </x:row>
    <x:row r="579" ht="21" customHeight="1">
      <x:c r="A579" s="1" t="str">
        <x:f>'Inventory inputs'!A579</x:f>
        <x:v>PLAS</x:v>
      </x:c>
      <x:c r="B579" s="1" t="str">
        <x:f>'Inventory inputs'!B579</x:f>
        <x:v>10</x:v>
      </x:c>
      <x:c r="C579" s="1" t="str">
        <x:f>'Inventory inputs'!C579</x:f>
        <x:v>07815ROVMAR</x:v>
      </x:c>
      <x:c r="D579" s="7" t="n">
        <x:f>'Inventory inputs'!E579</x:f>
        <x:v>46303</x:v>
      </x:c>
      <x:c r="E579" s="1" t="n">
        <x:f>'Inventory inputs'!F579</x:f>
        <x:v>1890</x:v>
      </x:c>
      <x:c r="F579" s="1" t="n">
        <x:f>'Inventory inputs'!G579</x:f>
        <x:v>0</x:v>
      </x:c>
      <x:c r="G579" s="1" t="n">
        <x:f>'Inventory inputs'!H579/'Inventory inputs'!J579</x:f>
        <x:v>0.0664</x:v>
      </x:c>
      <x:c r="H579" s="1" t="n">
        <x:f>IF('Inventory inputs'!I579&gt;0,'Inventory inputs'!I579*'Inventory inputs'!K579/'Inventory inputs'!J579,"n.a.")</x:f>
        <x:v>0.077763</x:v>
      </x:c>
      <x:c r="I579" s="1" t="n">
        <x:f>'Inventory inputs'!L579</x:f>
        <x:v>0</x:v>
      </x:c>
      <x:c r="J579" s="1" t="n">
        <x:f>'Inventory inputs'!M579</x:f>
        <x:v>0</x:v>
      </x:c>
      <x:c r="K579" s="1" t="n">
        <x:f>'Inventory inputs'!N579</x:f>
        <x:v>1890</x:v>
      </x:c>
      <x:c r="L579" s="1" t="n">
        <x:f>'Inventory inputs'!O579</x:f>
        <x:v>0</x:v>
      </x:c>
      <x:c r="M579" s="9" t="n">
        <x:f>E579*G579</x:f>
        <x:v>125.496</x:v>
      </x:c>
      <x:c r="N579" s="9" t="n">
        <x:f>'Inventory inputs'!Q579</x:f>
        <x:v>125.496</x:v>
      </x:c>
      <x:c r="O579" s="9" t="n">
        <x:f>N579-M579</x:f>
        <x:v>0</x:v>
      </x:c>
      <x:c r="P579" s="1" t="n">
        <x:f>SUMIFS('Incoming POs'!$P$2:$P$305,'Incoming POs'!$A$2:$A$305,A579,'Incoming POs'!$B$2:$B$305,B579,'Incoming POs'!$C$2:$C$305,C579,'Incoming POs'!$G$2:$G$305,"&gt;="&amp;D579,'Incoming POs'!$G$2:$G$305,"&lt;"&amp;Dashboard!$I$5)</x:f>
        <x:v>0</x:v>
      </x:c>
      <x:c r="Q579" s="1" t="n">
        <x:f>F579*Dashboard!$L$5*MAX(0,Dashboard!$I$5-D579)/30.4375</x:f>
        <x:v>0</x:v>
      </x:c>
      <x:c r="R579" s="1" t="n">
        <x:f>MAX(0,E579+P579-Q579)</x:f>
        <x:v>1890</x:v>
      </x:c>
      <x:c r="S579" s="1" t="n">
        <x:f>MAX(0,Q579-E579-P579)</x:f>
        <x:v>0</x:v>
      </x:c>
      <x:c r="T579" s="1" t="str">
        <x:f>IF(L579=1,MAX(0,I579+AB579-MIN(Q579,E579+P579)),"n.a.")</x:f>
        <x:v>n.a.</x:v>
      </x:c>
      <x:c r="U579" s="9" t="str">
        <x:f>IF(ISNUMBER(T579),T579*G579,"n.a.")</x:f>
        <x:v>n.a.</x:v>
      </x:c>
      <x:c r="V579" s="25" t="n">
        <x:f>IF(Dashboard!$I$6="Flat %",1,IF(ISNUMBER(H579),1,0))</x:f>
        <x:v>1</x:v>
      </x:c>
      <x:c r="W579" s="9" t="n">
        <x:f>IF(Dashboard!$I$6="Flat %",G579*(1+Dashboard!$L$6),H579)</x:f>
        <x:v>0.077763</x:v>
      </x:c>
      <x:c r="X579" s="9" t="n">
        <x:f>IF(V579=1,R579*(W579-G579),"n.a.")</x:f>
        <x:v>21.476069999999996</x:v>
      </x:c>
      <x:c r="Y579" s="9" t="n">
        <x:f>IF(V579=1,R579*W579,"n.a.")</x:f>
        <x:v>146.97207</x:v>
      </x:c>
      <x:c r="Z579" s="1" t="str">
        <x:f>IF(ISNUMBER(T579),R579-T579,"n.a.")</x:f>
        <x:v>n.a.</x:v>
      </x:c>
      <x:c r="AA579" s="1" t="str">
        <x:f>'Inventory inputs'!R579</x:f>
        <x:v>Review receipt reconciliation or original PO baseline</x:v>
      </x:c>
      <x:c r="AB579" s="1" t="str">
        <x:f>IF(L579=1,SUMIFS('Incoming POs'!$P$2:$P$305,'Incoming POs'!$A$2:$A$305,A579,'Incoming POs'!$B$2:$B$305,B579,'Incoming POs'!$C$2:$C$305,C579,'Incoming POs'!$G$2:$G$305,"&gt;="&amp;D579,'Incoming POs'!$G$2:$G$305,"&lt;"&amp;Dashboard!$I$5,'Incoming POs'!$Q$2:$Q$305,"&lt;="&amp;('Inventory inputs'!P579/'Inventory inputs'!J579*1.01)),"n.a.")</x:f>
        <x:v>n.a.</x:v>
      </x:c>
      <x:c r="AC579" s="9" t="n">
        <x:f>I579*G579</x:f>
        <x:v>0</x:v>
      </x:c>
      <x:c r="AD579" s="9" t="n">
        <x:f>J579*G579</x:f>
        <x:v>0</x:v>
      </x:c>
      <x:c r="AE579" s="9" t="n">
        <x:f>K579*G579</x:f>
        <x:v>125.496</x:v>
      </x:c>
      <x:c r="AF579" s="9" t="n">
        <x:f>R579*G579</x:f>
        <x:v>125.496</x:v>
      </x:c>
    </x:row>
    <x:row r="580" ht="21" customHeight="1">
      <x:c r="A580" s="1" t="str">
        <x:f>'Inventory inputs'!A580</x:f>
        <x:v>PLAS</x:v>
      </x:c>
      <x:c r="B580" s="1" t="str">
        <x:f>'Inventory inputs'!B580</x:f>
        <x:v>10</x:v>
      </x:c>
      <x:c r="C580" s="1" t="str">
        <x:f>'Inventory inputs'!C580</x:f>
        <x:v>07815ROVNAV</x:v>
      </x:c>
      <x:c r="D580" s="7" t="n">
        <x:f>'Inventory inputs'!E580</x:f>
        <x:v>46303</x:v>
      </x:c>
      <x:c r="E580" s="1" t="n">
        <x:f>'Inventory inputs'!F580</x:f>
        <x:v>1580</x:v>
      </x:c>
      <x:c r="F580" s="1" t="n">
        <x:f>'Inventory inputs'!G580</x:f>
        <x:v>0</x:v>
      </x:c>
      <x:c r="G580" s="1" t="n">
        <x:f>'Inventory inputs'!H580/'Inventory inputs'!J580</x:f>
        <x:v>0.0664</x:v>
      </x:c>
      <x:c r="H580" s="1" t="n">
        <x:f>IF('Inventory inputs'!I580&gt;0,'Inventory inputs'!I580*'Inventory inputs'!K580/'Inventory inputs'!J580,"n.a.")</x:f>
        <x:v>0.077763</x:v>
      </x:c>
      <x:c r="I580" s="1" t="n">
        <x:f>'Inventory inputs'!L580</x:f>
        <x:v>0</x:v>
      </x:c>
      <x:c r="J580" s="1" t="n">
        <x:f>'Inventory inputs'!M580</x:f>
        <x:v>0</x:v>
      </x:c>
      <x:c r="K580" s="1" t="n">
        <x:f>'Inventory inputs'!N580</x:f>
        <x:v>1580</x:v>
      </x:c>
      <x:c r="L580" s="1" t="n">
        <x:f>'Inventory inputs'!O580</x:f>
        <x:v>0</x:v>
      </x:c>
      <x:c r="M580" s="9" t="n">
        <x:f>E580*G580</x:f>
        <x:v>104.912</x:v>
      </x:c>
      <x:c r="N580" s="9" t="n">
        <x:f>'Inventory inputs'!Q580</x:f>
        <x:v>104.91199999999999</x:v>
      </x:c>
      <x:c r="O580" s="9" t="n">
        <x:f>N580-M580</x:f>
        <x:v>-1.4210854715202004e-14</x:v>
      </x:c>
      <x:c r="P580" s="1" t="n">
        <x:f>SUMIFS('Incoming POs'!$P$2:$P$305,'Incoming POs'!$A$2:$A$305,A580,'Incoming POs'!$B$2:$B$305,B580,'Incoming POs'!$C$2:$C$305,C580,'Incoming POs'!$G$2:$G$305,"&gt;="&amp;D580,'Incoming POs'!$G$2:$G$305,"&lt;"&amp;Dashboard!$I$5)</x:f>
        <x:v>0</x:v>
      </x:c>
      <x:c r="Q580" s="1" t="n">
        <x:f>F580*Dashboard!$L$5*MAX(0,Dashboard!$I$5-D580)/30.4375</x:f>
        <x:v>0</x:v>
      </x:c>
      <x:c r="R580" s="1" t="n">
        <x:f>MAX(0,E580+P580-Q580)</x:f>
        <x:v>1580</x:v>
      </x:c>
      <x:c r="S580" s="1" t="n">
        <x:f>MAX(0,Q580-E580-P580)</x:f>
        <x:v>0</x:v>
      </x:c>
      <x:c r="T580" s="1" t="str">
        <x:f>IF(L580=1,MAX(0,I580+AB580-MIN(Q580,E580+P580)),"n.a.")</x:f>
        <x:v>n.a.</x:v>
      </x:c>
      <x:c r="U580" s="9" t="str">
        <x:f>IF(ISNUMBER(T580),T580*G580,"n.a.")</x:f>
        <x:v>n.a.</x:v>
      </x:c>
      <x:c r="V580" s="25" t="n">
        <x:f>IF(Dashboard!$I$6="Flat %",1,IF(ISNUMBER(H580),1,0))</x:f>
        <x:v>1</x:v>
      </x:c>
      <x:c r="W580" s="9" t="n">
        <x:f>IF(Dashboard!$I$6="Flat %",G580*(1+Dashboard!$L$6),H580)</x:f>
        <x:v>0.077763</x:v>
      </x:c>
      <x:c r="X580" s="9" t="n">
        <x:f>IF(V580=1,R580*(W580-G580),"n.a.")</x:f>
        <x:v>17.953539999999997</x:v>
      </x:c>
      <x:c r="Y580" s="9" t="n">
        <x:f>IF(V580=1,R580*W580,"n.a.")</x:f>
        <x:v>122.86554</x:v>
      </x:c>
      <x:c r="Z580" s="1" t="str">
        <x:f>IF(ISNUMBER(T580),R580-T580,"n.a.")</x:f>
        <x:v>n.a.</x:v>
      </x:c>
      <x:c r="AA580" s="1" t="str">
        <x:f>'Inventory inputs'!R580</x:f>
        <x:v>Review receipt reconciliation or original PO baseline</x:v>
      </x:c>
      <x:c r="AB580" s="1" t="str">
        <x:f>IF(L580=1,SUMIFS('Incoming POs'!$P$2:$P$305,'Incoming POs'!$A$2:$A$305,A580,'Incoming POs'!$B$2:$B$305,B580,'Incoming POs'!$C$2:$C$305,C580,'Incoming POs'!$G$2:$G$305,"&gt;="&amp;D580,'Incoming POs'!$G$2:$G$305,"&lt;"&amp;Dashboard!$I$5,'Incoming POs'!$Q$2:$Q$305,"&lt;="&amp;('Inventory inputs'!P580/'Inventory inputs'!J580*1.01)),"n.a.")</x:f>
        <x:v>n.a.</x:v>
      </x:c>
      <x:c r="AC580" s="9" t="n">
        <x:f>I580*G580</x:f>
        <x:v>0</x:v>
      </x:c>
      <x:c r="AD580" s="9" t="n">
        <x:f>J580*G580</x:f>
        <x:v>0</x:v>
      </x:c>
      <x:c r="AE580" s="9" t="n">
        <x:f>K580*G580</x:f>
        <x:v>104.912</x:v>
      </x:c>
      <x:c r="AF580" s="9" t="n">
        <x:f>R580*G580</x:f>
        <x:v>104.912</x:v>
      </x:c>
    </x:row>
    <x:row r="581" ht="21" customHeight="1">
      <x:c r="A581" s="1" t="str">
        <x:f>'Inventory inputs'!A581</x:f>
        <x:v>PLAS</x:v>
      </x:c>
      <x:c r="B581" s="1" t="str">
        <x:f>'Inventory inputs'!B581</x:f>
        <x:v>10</x:v>
      </x:c>
      <x:c r="C581" s="1" t="str">
        <x:f>'Inventory inputs'!C581</x:f>
        <x:v>07815ROVRED</x:v>
      </x:c>
      <x:c r="D581" s="7" t="n">
        <x:f>'Inventory inputs'!E581</x:f>
        <x:v>46303</x:v>
      </x:c>
      <x:c r="E581" s="1" t="n">
        <x:f>'Inventory inputs'!F581</x:f>
        <x:v>1365</x:v>
      </x:c>
      <x:c r="F581" s="1" t="n">
        <x:f>'Inventory inputs'!G581</x:f>
        <x:v>0</x:v>
      </x:c>
      <x:c r="G581" s="1" t="n">
        <x:f>'Inventory inputs'!H581/'Inventory inputs'!J581</x:f>
        <x:v>0.0664</x:v>
      </x:c>
      <x:c r="H581" s="1" t="n">
        <x:f>IF('Inventory inputs'!I581&gt;0,'Inventory inputs'!I581*'Inventory inputs'!K581/'Inventory inputs'!J581,"n.a.")</x:f>
        <x:v>0.077763</x:v>
      </x:c>
      <x:c r="I581" s="1" t="n">
        <x:f>'Inventory inputs'!L581</x:f>
        <x:v>0</x:v>
      </x:c>
      <x:c r="J581" s="1" t="n">
        <x:f>'Inventory inputs'!M581</x:f>
        <x:v>0</x:v>
      </x:c>
      <x:c r="K581" s="1" t="n">
        <x:f>'Inventory inputs'!N581</x:f>
        <x:v>1365</x:v>
      </x:c>
      <x:c r="L581" s="1" t="n">
        <x:f>'Inventory inputs'!O581</x:f>
        <x:v>0</x:v>
      </x:c>
      <x:c r="M581" s="9" t="n">
        <x:f>E581*G581</x:f>
        <x:v>90.636</x:v>
      </x:c>
      <x:c r="N581" s="9" t="n">
        <x:f>'Inventory inputs'!Q581</x:f>
        <x:v>90.63600000000001</x:v>
      </x:c>
      <x:c r="O581" s="9" t="n">
        <x:f>N581-M581</x:f>
        <x:v>1.4210854715202004e-14</x:v>
      </x:c>
      <x:c r="P581" s="1" t="n">
        <x:f>SUMIFS('Incoming POs'!$P$2:$P$305,'Incoming POs'!$A$2:$A$305,A581,'Incoming POs'!$B$2:$B$305,B581,'Incoming POs'!$C$2:$C$305,C581,'Incoming POs'!$G$2:$G$305,"&gt;="&amp;D581,'Incoming POs'!$G$2:$G$305,"&lt;"&amp;Dashboard!$I$5)</x:f>
        <x:v>0</x:v>
      </x:c>
      <x:c r="Q581" s="1" t="n">
        <x:f>F581*Dashboard!$L$5*MAX(0,Dashboard!$I$5-D581)/30.4375</x:f>
        <x:v>0</x:v>
      </x:c>
      <x:c r="R581" s="1" t="n">
        <x:f>MAX(0,E581+P581-Q581)</x:f>
        <x:v>1365</x:v>
      </x:c>
      <x:c r="S581" s="1" t="n">
        <x:f>MAX(0,Q581-E581-P581)</x:f>
        <x:v>0</x:v>
      </x:c>
      <x:c r="T581" s="1" t="str">
        <x:f>IF(L581=1,MAX(0,I581+AB581-MIN(Q581,E581+P581)),"n.a.")</x:f>
        <x:v>n.a.</x:v>
      </x:c>
      <x:c r="U581" s="9" t="str">
        <x:f>IF(ISNUMBER(T581),T581*G581,"n.a.")</x:f>
        <x:v>n.a.</x:v>
      </x:c>
      <x:c r="V581" s="25" t="n">
        <x:f>IF(Dashboard!$I$6="Flat %",1,IF(ISNUMBER(H581),1,0))</x:f>
        <x:v>1</x:v>
      </x:c>
      <x:c r="W581" s="9" t="n">
        <x:f>IF(Dashboard!$I$6="Flat %",G581*(1+Dashboard!$L$6),H581)</x:f>
        <x:v>0.077763</x:v>
      </x:c>
      <x:c r="X581" s="9" t="n">
        <x:f>IF(V581=1,R581*(W581-G581),"n.a.")</x:f>
        <x:v>15.510494999999997</x:v>
      </x:c>
      <x:c r="Y581" s="9" t="n">
        <x:f>IF(V581=1,R581*W581,"n.a.")</x:f>
        <x:v>106.146495</x:v>
      </x:c>
      <x:c r="Z581" s="1" t="str">
        <x:f>IF(ISNUMBER(T581),R581-T581,"n.a.")</x:f>
        <x:v>n.a.</x:v>
      </x:c>
      <x:c r="AA581" s="1" t="str">
        <x:f>'Inventory inputs'!R581</x:f>
        <x:v>Review receipt reconciliation or original PO baseline</x:v>
      </x:c>
      <x:c r="AB581" s="1" t="str">
        <x:f>IF(L581=1,SUMIFS('Incoming POs'!$P$2:$P$305,'Incoming POs'!$A$2:$A$305,A581,'Incoming POs'!$B$2:$B$305,B581,'Incoming POs'!$C$2:$C$305,C581,'Incoming POs'!$G$2:$G$305,"&gt;="&amp;D581,'Incoming POs'!$G$2:$G$305,"&lt;"&amp;Dashboard!$I$5,'Incoming POs'!$Q$2:$Q$305,"&lt;="&amp;('Inventory inputs'!P581/'Inventory inputs'!J581*1.01)),"n.a.")</x:f>
        <x:v>n.a.</x:v>
      </x:c>
      <x:c r="AC581" s="9" t="n">
        <x:f>I581*G581</x:f>
        <x:v>0</x:v>
      </x:c>
      <x:c r="AD581" s="9" t="n">
        <x:f>J581*G581</x:f>
        <x:v>0</x:v>
      </x:c>
      <x:c r="AE581" s="9" t="n">
        <x:f>K581*G581</x:f>
        <x:v>90.636</x:v>
      </x:c>
      <x:c r="AF581" s="9" t="n">
        <x:f>R581*G581</x:f>
        <x:v>90.636</x:v>
      </x:c>
    </x:row>
    <x:row r="582" ht="21" customHeight="1">
      <x:c r="A582" s="1" t="str">
        <x:f>'Inventory inputs'!A582</x:f>
        <x:v>PLAS</x:v>
      </x:c>
      <x:c r="B582" s="1" t="str">
        <x:f>'Inventory inputs'!B582</x:f>
        <x:v>10</x:v>
      </x:c>
      <x:c r="C582" s="1" t="str">
        <x:f>'Inventory inputs'!C582</x:f>
        <x:v>07815ROVWHT</x:v>
      </x:c>
      <x:c r="D582" s="7" t="n">
        <x:f>'Inventory inputs'!E582</x:f>
        <x:v>46303</x:v>
      </x:c>
      <x:c r="E582" s="1" t="n">
        <x:f>'Inventory inputs'!F582</x:f>
        <x:v>2210</x:v>
      </x:c>
      <x:c r="F582" s="1" t="n">
        <x:f>'Inventory inputs'!G582</x:f>
        <x:v>0</x:v>
      </x:c>
      <x:c r="G582" s="1" t="n">
        <x:f>'Inventory inputs'!H582/'Inventory inputs'!J582</x:f>
        <x:v>0.0664</x:v>
      </x:c>
      <x:c r="H582" s="1" t="n">
        <x:f>IF('Inventory inputs'!I582&gt;0,'Inventory inputs'!I582*'Inventory inputs'!K582/'Inventory inputs'!J582,"n.a.")</x:f>
        <x:v>0.077763</x:v>
      </x:c>
      <x:c r="I582" s="1" t="n">
        <x:f>'Inventory inputs'!L582</x:f>
        <x:v>0</x:v>
      </x:c>
      <x:c r="J582" s="1" t="n">
        <x:f>'Inventory inputs'!M582</x:f>
        <x:v>0</x:v>
      </x:c>
      <x:c r="K582" s="1" t="n">
        <x:f>'Inventory inputs'!N582</x:f>
        <x:v>2210</x:v>
      </x:c>
      <x:c r="L582" s="1" t="n">
        <x:f>'Inventory inputs'!O582</x:f>
        <x:v>0</x:v>
      </x:c>
      <x:c r="M582" s="9" t="n">
        <x:f>E582*G582</x:f>
        <x:v>146.744</x:v>
      </x:c>
      <x:c r="N582" s="9" t="n">
        <x:f>'Inventory inputs'!Q582</x:f>
        <x:v>146.744</x:v>
      </x:c>
      <x:c r="O582" s="9" t="n">
        <x:f>N582-M582</x:f>
        <x:v>0</x:v>
      </x:c>
      <x:c r="P582" s="1" t="n">
        <x:f>SUMIFS('Incoming POs'!$P$2:$P$305,'Incoming POs'!$A$2:$A$305,A582,'Incoming POs'!$B$2:$B$305,B582,'Incoming POs'!$C$2:$C$305,C582,'Incoming POs'!$G$2:$G$305,"&gt;="&amp;D582,'Incoming POs'!$G$2:$G$305,"&lt;"&amp;Dashboard!$I$5)</x:f>
        <x:v>0</x:v>
      </x:c>
      <x:c r="Q582" s="1" t="n">
        <x:f>F582*Dashboard!$L$5*MAX(0,Dashboard!$I$5-D582)/30.4375</x:f>
        <x:v>0</x:v>
      </x:c>
      <x:c r="R582" s="1" t="n">
        <x:f>MAX(0,E582+P582-Q582)</x:f>
        <x:v>2210</x:v>
      </x:c>
      <x:c r="S582" s="1" t="n">
        <x:f>MAX(0,Q582-E582-P582)</x:f>
        <x:v>0</x:v>
      </x:c>
      <x:c r="T582" s="1" t="str">
        <x:f>IF(L582=1,MAX(0,I582+AB582-MIN(Q582,E582+P582)),"n.a.")</x:f>
        <x:v>n.a.</x:v>
      </x:c>
      <x:c r="U582" s="9" t="str">
        <x:f>IF(ISNUMBER(T582),T582*G582,"n.a.")</x:f>
        <x:v>n.a.</x:v>
      </x:c>
      <x:c r="V582" s="25" t="n">
        <x:f>IF(Dashboard!$I$6="Flat %",1,IF(ISNUMBER(H582),1,0))</x:f>
        <x:v>1</x:v>
      </x:c>
      <x:c r="W582" s="9" t="n">
        <x:f>IF(Dashboard!$I$6="Flat %",G582*(1+Dashboard!$L$6),H582)</x:f>
        <x:v>0.077763</x:v>
      </x:c>
      <x:c r="X582" s="9" t="n">
        <x:f>IF(V582=1,R582*(W582-G582),"n.a.")</x:f>
        <x:v>25.112229999999997</x:v>
      </x:c>
      <x:c r="Y582" s="9" t="n">
        <x:f>IF(V582=1,R582*W582,"n.a.")</x:f>
        <x:v>171.85623</x:v>
      </x:c>
      <x:c r="Z582" s="1" t="str">
        <x:f>IF(ISNUMBER(T582),R582-T582,"n.a.")</x:f>
        <x:v>n.a.</x:v>
      </x:c>
      <x:c r="AA582" s="1" t="str">
        <x:f>'Inventory inputs'!R582</x:f>
        <x:v>Review receipt reconciliation or original PO baseline</x:v>
      </x:c>
      <x:c r="AB582" s="1" t="str">
        <x:f>IF(L582=1,SUMIFS('Incoming POs'!$P$2:$P$305,'Incoming POs'!$A$2:$A$305,A582,'Incoming POs'!$B$2:$B$305,B582,'Incoming POs'!$C$2:$C$305,C582,'Incoming POs'!$G$2:$G$305,"&gt;="&amp;D582,'Incoming POs'!$G$2:$G$305,"&lt;"&amp;Dashboard!$I$5,'Incoming POs'!$Q$2:$Q$305,"&lt;="&amp;('Inventory inputs'!P582/'Inventory inputs'!J582*1.01)),"n.a.")</x:f>
        <x:v>n.a.</x:v>
      </x:c>
      <x:c r="AC582" s="9" t="n">
        <x:f>I582*G582</x:f>
        <x:v>0</x:v>
      </x:c>
      <x:c r="AD582" s="9" t="n">
        <x:f>J582*G582</x:f>
        <x:v>0</x:v>
      </x:c>
      <x:c r="AE582" s="9" t="n">
        <x:f>K582*G582</x:f>
        <x:v>146.744</x:v>
      </x:c>
      <x:c r="AF582" s="9" t="n">
        <x:f>R582*G582</x:f>
        <x:v>146.744</x:v>
      </x:c>
    </x:row>
    <x:row r="583" ht="21" customHeight="1">
      <x:c r="A583" s="1" t="str">
        <x:f>'Inventory inputs'!A583</x:f>
        <x:v>PLAS</x:v>
      </x:c>
      <x:c r="B583" s="1" t="str">
        <x:f>'Inventory inputs'!B583</x:f>
        <x:v>10</x:v>
      </x:c>
      <x:c r="C583" s="1" t="str">
        <x:f>'Inventory inputs'!C583</x:f>
        <x:v>07815RWBCLR</x:v>
      </x:c>
      <x:c r="D583" s="7" t="n">
        <x:f>'Inventory inputs'!E583</x:f>
        <x:v>46303</x:v>
      </x:c>
      <x:c r="E583" s="1" t="n">
        <x:f>'Inventory inputs'!F583</x:f>
        <x:v>1169</x:v>
      </x:c>
      <x:c r="F583" s="1" t="n">
        <x:f>'Inventory inputs'!G583</x:f>
        <x:v>0</x:v>
      </x:c>
      <x:c r="G583" s="1" t="n">
        <x:f>'Inventory inputs'!H583/'Inventory inputs'!J583</x:f>
        <x:v>0.0466</x:v>
      </x:c>
      <x:c r="H583" s="1" t="n">
        <x:f>IF('Inventory inputs'!I583&gt;0,'Inventory inputs'!I583*'Inventory inputs'!K583/'Inventory inputs'!J583,"n.a.")</x:f>
        <x:v>0.062916</x:v>
      </x:c>
      <x:c r="I583" s="1" t="n">
        <x:f>'Inventory inputs'!L583</x:f>
        <x:v>0</x:v>
      </x:c>
      <x:c r="J583" s="1" t="n">
        <x:f>'Inventory inputs'!M583</x:f>
        <x:v>0</x:v>
      </x:c>
      <x:c r="K583" s="1" t="n">
        <x:f>'Inventory inputs'!N583</x:f>
        <x:v>1169</x:v>
      </x:c>
      <x:c r="L583" s="1" t="n">
        <x:f>'Inventory inputs'!O583</x:f>
        <x:v>0</x:v>
      </x:c>
      <x:c r="M583" s="9" t="n">
        <x:f>E583*G583</x:f>
        <x:v>54.4754</x:v>
      </x:c>
      <x:c r="N583" s="9" t="n">
        <x:f>'Inventory inputs'!Q583</x:f>
        <x:v>54.4754</x:v>
      </x:c>
      <x:c r="O583" s="9" t="n">
        <x:f>N583-M583</x:f>
        <x:v>0</x:v>
      </x:c>
      <x:c r="P583" s="1" t="n">
        <x:f>SUMIFS('Incoming POs'!$P$2:$P$305,'Incoming POs'!$A$2:$A$305,A583,'Incoming POs'!$B$2:$B$305,B583,'Incoming POs'!$C$2:$C$305,C583,'Incoming POs'!$G$2:$G$305,"&gt;="&amp;D583,'Incoming POs'!$G$2:$G$305,"&lt;"&amp;Dashboard!$I$5)</x:f>
        <x:v>0</x:v>
      </x:c>
      <x:c r="Q583" s="1" t="n">
        <x:f>F583*Dashboard!$L$5*MAX(0,Dashboard!$I$5-D583)/30.4375</x:f>
        <x:v>0</x:v>
      </x:c>
      <x:c r="R583" s="1" t="n">
        <x:f>MAX(0,E583+P583-Q583)</x:f>
        <x:v>1169</x:v>
      </x:c>
      <x:c r="S583" s="1" t="n">
        <x:f>MAX(0,Q583-E583-P583)</x:f>
        <x:v>0</x:v>
      </x:c>
      <x:c r="T583" s="1" t="str">
        <x:f>IF(L583=1,MAX(0,I583+AB583-MIN(Q583,E583+P583)),"n.a.")</x:f>
        <x:v>n.a.</x:v>
      </x:c>
      <x:c r="U583" s="9" t="str">
        <x:f>IF(ISNUMBER(T583),T583*G583,"n.a.")</x:f>
        <x:v>n.a.</x:v>
      </x:c>
      <x:c r="V583" s="25" t="n">
        <x:f>IF(Dashboard!$I$6="Flat %",1,IF(ISNUMBER(H583),1,0))</x:f>
        <x:v>1</x:v>
      </x:c>
      <x:c r="W583" s="9" t="n">
        <x:f>IF(Dashboard!$I$6="Flat %",G583*(1+Dashboard!$L$6),H583)</x:f>
        <x:v>0.062916</x:v>
      </x:c>
      <x:c r="X583" s="9" t="n">
        <x:f>IF(V583=1,R583*(W583-G583),"n.a.")</x:f>
        <x:v>19.073403999999996</x:v>
      </x:c>
      <x:c r="Y583" s="9" t="n">
        <x:f>IF(V583=1,R583*W583,"n.a.")</x:f>
        <x:v>73.548804</x:v>
      </x:c>
      <x:c r="Z583" s="1" t="str">
        <x:f>IF(ISNUMBER(T583),R583-T583,"n.a.")</x:f>
        <x:v>n.a.</x:v>
      </x:c>
      <x:c r="AA583" s="1" t="str">
        <x:f>'Inventory inputs'!R583</x:f>
        <x:v>Review receipt reconciliation or original PO baseline</x:v>
      </x:c>
      <x:c r="AB583" s="1" t="str">
        <x:f>IF(L583=1,SUMIFS('Incoming POs'!$P$2:$P$305,'Incoming POs'!$A$2:$A$305,A583,'Incoming POs'!$B$2:$B$305,B583,'Incoming POs'!$C$2:$C$305,C583,'Incoming POs'!$G$2:$G$305,"&gt;="&amp;D583,'Incoming POs'!$G$2:$G$305,"&lt;"&amp;Dashboard!$I$5,'Incoming POs'!$Q$2:$Q$305,"&lt;="&amp;('Inventory inputs'!P583/'Inventory inputs'!J583*1.01)),"n.a.")</x:f>
        <x:v>n.a.</x:v>
      </x:c>
      <x:c r="AC583" s="9" t="n">
        <x:f>I583*G583</x:f>
        <x:v>0</x:v>
      </x:c>
      <x:c r="AD583" s="9" t="n">
        <x:f>J583*G583</x:f>
        <x:v>0</x:v>
      </x:c>
      <x:c r="AE583" s="9" t="n">
        <x:f>K583*G583</x:f>
        <x:v>54.4754</x:v>
      </x:c>
      <x:c r="AF583" s="9" t="n">
        <x:f>R583*G583</x:f>
        <x:v>54.4754</x:v>
      </x:c>
    </x:row>
    <x:row r="584" ht="21" customHeight="1">
      <x:c r="A584" s="1" t="str">
        <x:f>'Inventory inputs'!A584</x:f>
        <x:v>PLAS</x:v>
      </x:c>
      <x:c r="B584" s="1" t="str">
        <x:f>'Inventory inputs'!B584</x:f>
        <x:v>10</x:v>
      </x:c>
      <x:c r="C584" s="1" t="str">
        <x:f>'Inventory inputs'!C584</x:f>
        <x:v>07815RWBRED</x:v>
      </x:c>
      <x:c r="D584" s="7" t="n">
        <x:f>'Inventory inputs'!E584</x:f>
        <x:v>46303</x:v>
      </x:c>
      <x:c r="E584" s="1" t="n">
        <x:f>'Inventory inputs'!F584</x:f>
        <x:v>1700</x:v>
      </x:c>
      <x:c r="F584" s="1" t="n">
        <x:f>'Inventory inputs'!G584</x:f>
        <x:v>0</x:v>
      </x:c>
      <x:c r="G584" s="1" t="n">
        <x:f>'Inventory inputs'!H584/'Inventory inputs'!J584</x:f>
        <x:v>0.0466</x:v>
      </x:c>
      <x:c r="H584" s="1" t="n">
        <x:f>IF('Inventory inputs'!I584&gt;0,'Inventory inputs'!I584*'Inventory inputs'!K584/'Inventory inputs'!J584,"n.a.")</x:f>
        <x:v>0.062916</x:v>
      </x:c>
      <x:c r="I584" s="1" t="n">
        <x:f>'Inventory inputs'!L584</x:f>
        <x:v>0</x:v>
      </x:c>
      <x:c r="J584" s="1" t="n">
        <x:f>'Inventory inputs'!M584</x:f>
        <x:v>0</x:v>
      </x:c>
      <x:c r="K584" s="1" t="n">
        <x:f>'Inventory inputs'!N584</x:f>
        <x:v>1700</x:v>
      </x:c>
      <x:c r="L584" s="1" t="n">
        <x:f>'Inventory inputs'!O584</x:f>
        <x:v>0</x:v>
      </x:c>
      <x:c r="M584" s="9" t="n">
        <x:f>E584*G584</x:f>
        <x:v>79.22</x:v>
      </x:c>
      <x:c r="N584" s="9" t="n">
        <x:f>'Inventory inputs'!Q584</x:f>
        <x:v>79.22</x:v>
      </x:c>
      <x:c r="O584" s="9" t="n">
        <x:f>N584-M584</x:f>
        <x:v>0</x:v>
      </x:c>
      <x:c r="P584" s="1" t="n">
        <x:f>SUMIFS('Incoming POs'!$P$2:$P$305,'Incoming POs'!$A$2:$A$305,A584,'Incoming POs'!$B$2:$B$305,B584,'Incoming POs'!$C$2:$C$305,C584,'Incoming POs'!$G$2:$G$305,"&gt;="&amp;D584,'Incoming POs'!$G$2:$G$305,"&lt;"&amp;Dashboard!$I$5)</x:f>
        <x:v>0</x:v>
      </x:c>
      <x:c r="Q584" s="1" t="n">
        <x:f>F584*Dashboard!$L$5*MAX(0,Dashboard!$I$5-D584)/30.4375</x:f>
        <x:v>0</x:v>
      </x:c>
      <x:c r="R584" s="1" t="n">
        <x:f>MAX(0,E584+P584-Q584)</x:f>
        <x:v>1700</x:v>
      </x:c>
      <x:c r="S584" s="1" t="n">
        <x:f>MAX(0,Q584-E584-P584)</x:f>
        <x:v>0</x:v>
      </x:c>
      <x:c r="T584" s="1" t="str">
        <x:f>IF(L584=1,MAX(0,I584+AB584-MIN(Q584,E584+P584)),"n.a.")</x:f>
        <x:v>n.a.</x:v>
      </x:c>
      <x:c r="U584" s="9" t="str">
        <x:f>IF(ISNUMBER(T584),T584*G584,"n.a.")</x:f>
        <x:v>n.a.</x:v>
      </x:c>
      <x:c r="V584" s="25" t="n">
        <x:f>IF(Dashboard!$I$6="Flat %",1,IF(ISNUMBER(H584),1,0))</x:f>
        <x:v>1</x:v>
      </x:c>
      <x:c r="W584" s="9" t="n">
        <x:f>IF(Dashboard!$I$6="Flat %",G584*(1+Dashboard!$L$6),H584)</x:f>
        <x:v>0.062916</x:v>
      </x:c>
      <x:c r="X584" s="9" t="n">
        <x:f>IF(V584=1,R584*(W584-G584),"n.a.")</x:f>
        <x:v>27.737199999999994</x:v>
      </x:c>
      <x:c r="Y584" s="9" t="n">
        <x:f>IF(V584=1,R584*W584,"n.a.")</x:f>
        <x:v>106.9572</x:v>
      </x:c>
      <x:c r="Z584" s="1" t="str">
        <x:f>IF(ISNUMBER(T584),R584-T584,"n.a.")</x:f>
        <x:v>n.a.</x:v>
      </x:c>
      <x:c r="AA584" s="1" t="str">
        <x:f>'Inventory inputs'!R584</x:f>
        <x:v>Review receipt reconciliation or original PO baseline</x:v>
      </x:c>
      <x:c r="AB584" s="1" t="str">
        <x:f>IF(L584=1,SUMIFS('Incoming POs'!$P$2:$P$305,'Incoming POs'!$A$2:$A$305,A584,'Incoming POs'!$B$2:$B$305,B584,'Incoming POs'!$C$2:$C$305,C584,'Incoming POs'!$G$2:$G$305,"&gt;="&amp;D584,'Incoming POs'!$G$2:$G$305,"&lt;"&amp;Dashboard!$I$5,'Incoming POs'!$Q$2:$Q$305,"&lt;="&amp;('Inventory inputs'!P584/'Inventory inputs'!J584*1.01)),"n.a.")</x:f>
        <x:v>n.a.</x:v>
      </x:c>
      <x:c r="AC584" s="9" t="n">
        <x:f>I584*G584</x:f>
        <x:v>0</x:v>
      </x:c>
      <x:c r="AD584" s="9" t="n">
        <x:f>J584*G584</x:f>
        <x:v>0</x:v>
      </x:c>
      <x:c r="AE584" s="9" t="n">
        <x:f>K584*G584</x:f>
        <x:v>79.22</x:v>
      </x:c>
      <x:c r="AF584" s="9" t="n">
        <x:f>R584*G584</x:f>
        <x:v>79.22</x:v>
      </x:c>
    </x:row>
    <x:row r="585" ht="21" customHeight="1">
      <x:c r="A585" s="1" t="str">
        <x:f>'Inventory inputs'!A585</x:f>
        <x:v>PLAS</x:v>
      </x:c>
      <x:c r="B585" s="1" t="str">
        <x:f>'Inventory inputs'!B585</x:f>
        <x:v>10</x:v>
      </x:c>
      <x:c r="C585" s="1" t="str">
        <x:f>'Inventory inputs'!C585</x:f>
        <x:v>07821RWBWHT</x:v>
      </x:c>
      <x:c r="D585" s="7" t="n">
        <x:f>'Inventory inputs'!E585</x:f>
        <x:v>46303</x:v>
      </x:c>
      <x:c r="E585" s="1" t="n">
        <x:f>'Inventory inputs'!F585</x:f>
        <x:v>2150</x:v>
      </x:c>
      <x:c r="F585" s="1" t="n">
        <x:f>'Inventory inputs'!G585</x:f>
        <x:v>0</x:v>
      </x:c>
      <x:c r="G585" s="1" t="n">
        <x:f>'Inventory inputs'!H585/'Inventory inputs'!J585</x:f>
        <x:v>0.0759</x:v>
      </x:c>
      <x:c r="H585" s="1" t="n">
        <x:f>IF('Inventory inputs'!I585&gt;0,'Inventory inputs'!I585*'Inventory inputs'!K585/'Inventory inputs'!J585,"n.a.")</x:f>
        <x:v>0.088788</x:v>
      </x:c>
      <x:c r="I585" s="1" t="n">
        <x:f>'Inventory inputs'!L585</x:f>
        <x:v>2150</x:v>
      </x:c>
      <x:c r="J585" s="1" t="n">
        <x:f>'Inventory inputs'!M585</x:f>
        <x:v>0</x:v>
      </x:c>
      <x:c r="K585" s="1" t="n">
        <x:f>'Inventory inputs'!N585</x:f>
        <x:v>0</x:v>
      </x:c>
      <x:c r="L585" s="1" t="n">
        <x:f>'Inventory inputs'!O585</x:f>
        <x:v>1</x:v>
      </x:c>
      <x:c r="M585" s="9" t="n">
        <x:f>E585*G585</x:f>
        <x:v>163.185</x:v>
      </x:c>
      <x:c r="N585" s="9" t="n">
        <x:f>'Inventory inputs'!Q585</x:f>
        <x:v>163.185</x:v>
      </x:c>
      <x:c r="O585" s="9" t="n">
        <x:f>N585-M585</x:f>
        <x:v>0</x:v>
      </x:c>
      <x:c r="P585" s="1" t="n">
        <x:f>SUMIFS('Incoming POs'!$P$2:$P$305,'Incoming POs'!$A$2:$A$305,A585,'Incoming POs'!$B$2:$B$305,B585,'Incoming POs'!$C$2:$C$305,C585,'Incoming POs'!$G$2:$G$305,"&gt;="&amp;D585,'Incoming POs'!$G$2:$G$305,"&lt;"&amp;Dashboard!$I$5)</x:f>
        <x:v>0</x:v>
      </x:c>
      <x:c r="Q585" s="1" t="n">
        <x:f>F585*Dashboard!$L$5*MAX(0,Dashboard!$I$5-D585)/30.4375</x:f>
        <x:v>0</x:v>
      </x:c>
      <x:c r="R585" s="1" t="n">
        <x:f>MAX(0,E585+P585-Q585)</x:f>
        <x:v>2150</x:v>
      </x:c>
      <x:c r="S585" s="1" t="n">
        <x:f>MAX(0,Q585-E585-P585)</x:f>
        <x:v>0</x:v>
      </x:c>
      <x:c r="T585" s="1" t="n">
        <x:f>IF(L585=1,MAX(0,I585+AB585-MIN(Q585,E585+P585)),"n.a.")</x:f>
        <x:v>2150</x:v>
      </x:c>
      <x:c r="U585" s="9" t="n">
        <x:f>IF(ISNUMBER(T585),T585*G585,"n.a.")</x:f>
        <x:v>163.185</x:v>
      </x:c>
      <x:c r="V585" s="25" t="n">
        <x:f>IF(Dashboard!$I$6="Flat %",1,IF(ISNUMBER(H585),1,0))</x:f>
        <x:v>1</x:v>
      </x:c>
      <x:c r="W585" s="9" t="n">
        <x:f>IF(Dashboard!$I$6="Flat %",G585*(1+Dashboard!$L$6),H585)</x:f>
        <x:v>0.088788</x:v>
      </x:c>
      <x:c r="X585" s="9" t="n">
        <x:f>IF(V585=1,R585*(W585-G585),"n.a.")</x:f>
        <x:v>27.709200000000024</x:v>
      </x:c>
      <x:c r="Y585" s="9" t="n">
        <x:f>IF(V585=1,R585*W585,"n.a.")</x:f>
        <x:v>190.8942</x:v>
      </x:c>
      <x:c r="Z585" s="1" t="n">
        <x:f>IF(ISNUMBER(T585),R585-T585,"n.a.")</x:f>
        <x:v>0</x:v>
      </x:c>
      <x:c r="AA585" s="1" t="str">
        <x:f>'Inventory inputs'!R585</x:f>
        <x:v>Classified</x:v>
      </x:c>
      <x:c r="AB585" s="1" t="n">
        <x:f>IF(L585=1,SUMIFS('Incoming POs'!$P$2:$P$305,'Incoming POs'!$A$2:$A$305,A585,'Incoming POs'!$B$2:$B$305,B585,'Incoming POs'!$C$2:$C$305,C585,'Incoming POs'!$G$2:$G$305,"&gt;="&amp;D585,'Incoming POs'!$G$2:$G$305,"&lt;"&amp;Dashboard!$I$5,'Incoming POs'!$Q$2:$Q$305,"&lt;="&amp;('Inventory inputs'!P585/'Inventory inputs'!J585*1.01)),"n.a.")</x:f>
        <x:v>0</x:v>
      </x:c>
      <x:c r="AC585" s="9" t="n">
        <x:f>I585*G585</x:f>
        <x:v>163.185</x:v>
      </x:c>
      <x:c r="AD585" s="9" t="n">
        <x:f>J585*G585</x:f>
        <x:v>0</x:v>
      </x:c>
      <x:c r="AE585" s="9" t="n">
        <x:f>K585*G585</x:f>
        <x:v>0</x:v>
      </x:c>
      <x:c r="AF585" s="9" t="n">
        <x:f>R585*G585</x:f>
        <x:v>163.185</x:v>
      </x:c>
    </x:row>
    <x:row r="586" ht="21" customHeight="1">
      <x:c r="A586" s="1" t="str">
        <x:f>'Inventory inputs'!A586</x:f>
        <x:v>PLAS</x:v>
      </x:c>
      <x:c r="B586" s="1" t="str">
        <x:f>'Inventory inputs'!B586</x:f>
        <x:v>10</x:v>
      </x:c>
      <x:c r="C586" s="1" t="str">
        <x:f>'Inventory inputs'!C586</x:f>
        <x:v>07880RWBBLK</x:v>
      </x:c>
      <x:c r="D586" s="7" t="n">
        <x:f>'Inventory inputs'!E586</x:f>
        <x:v>46303</x:v>
      </x:c>
      <x:c r="E586" s="1" t="n">
        <x:f>'Inventory inputs'!F586</x:f>
        <x:v>1523</x:v>
      </x:c>
      <x:c r="F586" s="1" t="n">
        <x:f>'Inventory inputs'!G586</x:f>
        <x:v>0</x:v>
      </x:c>
      <x:c r="G586" s="1" t="n">
        <x:f>'Inventory inputs'!H586/'Inventory inputs'!J586</x:f>
        <x:v>0.2962</x:v>
      </x:c>
      <x:c r="H586" s="1" t="n">
        <x:f>IF('Inventory inputs'!I586&gt;0,'Inventory inputs'!I586*'Inventory inputs'!K586/'Inventory inputs'!J586,"n.a.")</x:f>
        <x:v>0.346626</x:v>
      </x:c>
      <x:c r="I586" s="1" t="n">
        <x:f>'Inventory inputs'!L586</x:f>
        <x:v>1223</x:v>
      </x:c>
      <x:c r="J586" s="1" t="n">
        <x:f>'Inventory inputs'!M586</x:f>
        <x:v>300</x:v>
      </x:c>
      <x:c r="K586" s="1" t="n">
        <x:f>'Inventory inputs'!N586</x:f>
        <x:v>0</x:v>
      </x:c>
      <x:c r="L586" s="1" t="n">
        <x:f>'Inventory inputs'!O586</x:f>
        <x:v>1</x:v>
      </x:c>
      <x:c r="M586" s="9" t="n">
        <x:f>E586*G586</x:f>
        <x:v>451.11260000000004</x:v>
      </x:c>
      <x:c r="N586" s="9" t="n">
        <x:f>'Inventory inputs'!Q586</x:f>
        <x:v>451.11260000000004</x:v>
      </x:c>
      <x:c r="O586" s="9" t="n">
        <x:f>N586-M586</x:f>
        <x:v>0</x:v>
      </x:c>
      <x:c r="P586" s="1" t="n">
        <x:f>SUMIFS('Incoming POs'!$P$2:$P$305,'Incoming POs'!$A$2:$A$305,A586,'Incoming POs'!$B$2:$B$305,B586,'Incoming POs'!$C$2:$C$305,C586,'Incoming POs'!$G$2:$G$305,"&gt;="&amp;D586,'Incoming POs'!$G$2:$G$305,"&lt;"&amp;Dashboard!$I$5)</x:f>
        <x:v>0</x:v>
      </x:c>
      <x:c r="Q586" s="1" t="n">
        <x:f>F586*Dashboard!$L$5*MAX(0,Dashboard!$I$5-D586)/30.4375</x:f>
        <x:v>0</x:v>
      </x:c>
      <x:c r="R586" s="1" t="n">
        <x:f>MAX(0,E586+P586-Q586)</x:f>
        <x:v>1523</x:v>
      </x:c>
      <x:c r="S586" s="1" t="n">
        <x:f>MAX(0,Q586-E586-P586)</x:f>
        <x:v>0</x:v>
      </x:c>
      <x:c r="T586" s="1" t="n">
        <x:f>IF(L586=1,MAX(0,I586+AB586-MIN(Q586,E586+P586)),"n.a.")</x:f>
        <x:v>1223</x:v>
      </x:c>
      <x:c r="U586" s="9" t="n">
        <x:f>IF(ISNUMBER(T586),T586*G586,"n.a.")</x:f>
        <x:v>362.25260000000003</x:v>
      </x:c>
      <x:c r="V586" s="25" t="n">
        <x:f>IF(Dashboard!$I$6="Flat %",1,IF(ISNUMBER(H586),1,0))</x:f>
        <x:v>1</x:v>
      </x:c>
      <x:c r="W586" s="9" t="n">
        <x:f>IF(Dashboard!$I$6="Flat %",G586*(1+Dashboard!$L$6),H586)</x:f>
        <x:v>0.346626</x:v>
      </x:c>
      <x:c r="X586" s="9" t="n">
        <x:f>IF(V586=1,R586*(W586-G586),"n.a.")</x:f>
        <x:v>76.79879799999996</x:v>
      </x:c>
      <x:c r="Y586" s="9" t="n">
        <x:f>IF(V586=1,R586*W586,"n.a.")</x:f>
        <x:v>527.911398</x:v>
      </x:c>
      <x:c r="Z586" s="1" t="n">
        <x:f>IF(ISNUMBER(T586),R586-T586,"n.a.")</x:f>
        <x:v>300</x:v>
      </x:c>
      <x:c r="AA586" s="1" t="str">
        <x:f>'Inventory inputs'!R586</x:f>
        <x:v>Classified</x:v>
      </x:c>
      <x:c r="AB586" s="1" t="n">
        <x:f>IF(L586=1,SUMIFS('Incoming POs'!$P$2:$P$305,'Incoming POs'!$A$2:$A$305,A586,'Incoming POs'!$B$2:$B$305,B586,'Incoming POs'!$C$2:$C$305,C586,'Incoming POs'!$G$2:$G$305,"&gt;="&amp;D586,'Incoming POs'!$G$2:$G$305,"&lt;"&amp;Dashboard!$I$5,'Incoming POs'!$Q$2:$Q$305,"&lt;="&amp;('Inventory inputs'!P586/'Inventory inputs'!J586*1.01)),"n.a.")</x:f>
        <x:v>0</x:v>
      </x:c>
      <x:c r="AC586" s="9" t="n">
        <x:f>I586*G586</x:f>
        <x:v>362.25260000000003</x:v>
      </x:c>
      <x:c r="AD586" s="9" t="n">
        <x:f>J586*G586</x:f>
        <x:v>88.86</x:v>
      </x:c>
      <x:c r="AE586" s="9" t="n">
        <x:f>K586*G586</x:f>
        <x:v>0</x:v>
      </x:c>
      <x:c r="AF586" s="9" t="n">
        <x:f>R586*G586</x:f>
        <x:v>451.11260000000004</x:v>
      </x:c>
    </x:row>
    <x:row r="587" ht="21" customHeight="1">
      <x:c r="A587" s="1" t="str">
        <x:f>'Inventory inputs'!A587</x:f>
        <x:v>PLAS</x:v>
      </x:c>
      <x:c r="B587" s="1" t="str">
        <x:f>'Inventory inputs'!B587</x:f>
        <x:v>10</x:v>
      </x:c>
      <x:c r="C587" s="1" t="str">
        <x:f>'Inventory inputs'!C587</x:f>
        <x:v>07880RWBBLU</x:v>
      </x:c>
      <x:c r="D587" s="7" t="n">
        <x:f>'Inventory inputs'!E587</x:f>
        <x:v>46303</x:v>
      </x:c>
      <x:c r="E587" s="1" t="n">
        <x:f>'Inventory inputs'!F587</x:f>
        <x:v>447</x:v>
      </x:c>
      <x:c r="F587" s="1" t="n">
        <x:f>'Inventory inputs'!G587</x:f>
        <x:v>0</x:v>
      </x:c>
      <x:c r="G587" s="1" t="n">
        <x:f>'Inventory inputs'!H587/'Inventory inputs'!J587</x:f>
        <x:v>0.23809999999999998</x:v>
      </x:c>
      <x:c r="H587" s="1" t="str">
        <x:f>IF('Inventory inputs'!I587&gt;0,'Inventory inputs'!I587*'Inventory inputs'!K587/'Inventory inputs'!J587,"n.a.")</x:f>
        <x:v>n.a.</x:v>
      </x:c>
      <x:c r="I587" s="1" t="n">
        <x:f>'Inventory inputs'!L587</x:f>
        <x:v>0</x:v>
      </x:c>
      <x:c r="J587" s="1" t="n">
        <x:f>'Inventory inputs'!M587</x:f>
        <x:v>0</x:v>
      </x:c>
      <x:c r="K587" s="1" t="n">
        <x:f>'Inventory inputs'!N587</x:f>
        <x:v>447</x:v>
      </x:c>
      <x:c r="L587" s="1" t="n">
        <x:f>'Inventory inputs'!O587</x:f>
        <x:v>0</x:v>
      </x:c>
      <x:c r="M587" s="9" t="n">
        <x:f>E587*G587</x:f>
        <x:v>106.43069999999999</x:v>
      </x:c>
      <x:c r="N587" s="9" t="n">
        <x:f>'Inventory inputs'!Q587</x:f>
        <x:v>106.4307</x:v>
      </x:c>
      <x:c r="O587" s="9" t="n">
        <x:f>N587-M587</x:f>
        <x:v>1.4210854715202004e-14</x:v>
      </x:c>
      <x:c r="P587" s="1" t="n">
        <x:f>SUMIFS('Incoming POs'!$P$2:$P$305,'Incoming POs'!$A$2:$A$305,A587,'Incoming POs'!$B$2:$B$305,B587,'Incoming POs'!$C$2:$C$305,C587,'Incoming POs'!$G$2:$G$305,"&gt;="&amp;D587,'Incoming POs'!$G$2:$G$305,"&lt;"&amp;Dashboard!$I$5)</x:f>
        <x:v>0</x:v>
      </x:c>
      <x:c r="Q587" s="1" t="n">
        <x:f>F587*Dashboard!$L$5*MAX(0,Dashboard!$I$5-D587)/30.4375</x:f>
        <x:v>0</x:v>
      </x:c>
      <x:c r="R587" s="1" t="n">
        <x:f>MAX(0,E587+P587-Q587)</x:f>
        <x:v>447</x:v>
      </x:c>
      <x:c r="S587" s="1" t="n">
        <x:f>MAX(0,Q587-E587-P587)</x:f>
        <x:v>0</x:v>
      </x:c>
      <x:c r="T587" s="1" t="str">
        <x:f>IF(L587=1,MAX(0,I587+AB587-MIN(Q587,E587+P587)),"n.a.")</x:f>
        <x:v>n.a.</x:v>
      </x:c>
      <x:c r="U587" s="9" t="str">
        <x:f>IF(ISNUMBER(T587),T587*G587,"n.a.")</x:f>
        <x:v>n.a.</x:v>
      </x:c>
      <x:c r="V587" s="25" t="n">
        <x:f>IF(Dashboard!$I$6="Flat %",1,IF(ISNUMBER(H587),1,0))</x:f>
        <x:v>0</x:v>
      </x:c>
      <x:c r="W587" s="9" t="str">
        <x:f>IF(Dashboard!$I$6="Flat %",G587*(1+Dashboard!$L$6),H587)</x:f>
        <x:v>n.a.</x:v>
      </x:c>
      <x:c r="X587" s="9" t="str">
        <x:f>IF(V587=1,R587*(W587-G587),"n.a.")</x:f>
        <x:v>n.a.</x:v>
      </x:c>
      <x:c r="Y587" s="9" t="str">
        <x:f>IF(V587=1,R587*W587,"n.a.")</x:f>
        <x:v>n.a.</x:v>
      </x:c>
      <x:c r="Z587" s="1" t="str">
        <x:f>IF(ISNUMBER(T587),R587-T587,"n.a.")</x:f>
        <x:v>n.a.</x:v>
      </x:c>
      <x:c r="AA587" s="1" t="str">
        <x:f>'Inventory inputs'!R587</x:f>
        <x:v>Review receipt reconciliation or original PO baseline</x:v>
      </x:c>
      <x:c r="AB587" s="1" t="str">
        <x:f>IF(L587=1,SUMIFS('Incoming POs'!$P$2:$P$305,'Incoming POs'!$A$2:$A$305,A587,'Incoming POs'!$B$2:$B$305,B587,'Incoming POs'!$C$2:$C$305,C587,'Incoming POs'!$G$2:$G$305,"&gt;="&amp;D587,'Incoming POs'!$G$2:$G$305,"&lt;"&amp;Dashboard!$I$5,'Incoming POs'!$Q$2:$Q$305,"&lt;="&amp;('Inventory inputs'!P587/'Inventory inputs'!J587*1.01)),"n.a.")</x:f>
        <x:v>n.a.</x:v>
      </x:c>
      <x:c r="AC587" s="9" t="n">
        <x:f>I587*G587</x:f>
        <x:v>0</x:v>
      </x:c>
      <x:c r="AD587" s="9" t="n">
        <x:f>J587*G587</x:f>
        <x:v>0</x:v>
      </x:c>
      <x:c r="AE587" s="9" t="n">
        <x:f>K587*G587</x:f>
        <x:v>106.43069999999999</x:v>
      </x:c>
      <x:c r="AF587" s="9" t="n">
        <x:f>R587*G587</x:f>
        <x:v>106.43069999999999</x:v>
      </x:c>
    </x:row>
    <x:row r="588" ht="21" customHeight="1">
      <x:c r="A588" s="1" t="str">
        <x:f>'Inventory inputs'!A588</x:f>
        <x:v>PLAS</x:v>
      </x:c>
      <x:c r="B588" s="1" t="str">
        <x:f>'Inventory inputs'!B588</x:f>
        <x:v>10</x:v>
      </x:c>
      <x:c r="C588" s="1" t="str">
        <x:f>'Inventory inputs'!C588</x:f>
        <x:v>07880RWBCLR</x:v>
      </x:c>
      <x:c r="D588" s="7" t="n">
        <x:f>'Inventory inputs'!E588</x:f>
        <x:v>46303</x:v>
      </x:c>
      <x:c r="E588" s="1" t="n">
        <x:f>'Inventory inputs'!F588</x:f>
        <x:v>561</x:v>
      </x:c>
      <x:c r="F588" s="1" t="n">
        <x:f>'Inventory inputs'!G588</x:f>
        <x:v>0</x:v>
      </x:c>
      <x:c r="G588" s="1" t="n">
        <x:f>'Inventory inputs'!H588/'Inventory inputs'!J588</x:f>
        <x:v>0.2962</x:v>
      </x:c>
      <x:c r="H588" s="1" t="n">
        <x:f>IF('Inventory inputs'!I588&gt;0,'Inventory inputs'!I588*'Inventory inputs'!K588/'Inventory inputs'!J588,"n.a.")</x:f>
        <x:v>0.346626</x:v>
      </x:c>
      <x:c r="I588" s="1" t="n">
        <x:f>'Inventory inputs'!L588</x:f>
        <x:v>561</x:v>
      </x:c>
      <x:c r="J588" s="1" t="n">
        <x:f>'Inventory inputs'!M588</x:f>
        <x:v>0</x:v>
      </x:c>
      <x:c r="K588" s="1" t="n">
        <x:f>'Inventory inputs'!N588</x:f>
        <x:v>0</x:v>
      </x:c>
      <x:c r="L588" s="1" t="n">
        <x:f>'Inventory inputs'!O588</x:f>
        <x:v>1</x:v>
      </x:c>
      <x:c r="M588" s="9" t="n">
        <x:f>E588*G588</x:f>
        <x:v>166.1682</x:v>
      </x:c>
      <x:c r="N588" s="9" t="n">
        <x:f>'Inventory inputs'!Q588</x:f>
        <x:v>166.1682</x:v>
      </x:c>
      <x:c r="O588" s="9" t="n">
        <x:f>N588-M588</x:f>
        <x:v>0</x:v>
      </x:c>
      <x:c r="P588" s="1" t="n">
        <x:f>SUMIFS('Incoming POs'!$P$2:$P$305,'Incoming POs'!$A$2:$A$305,A588,'Incoming POs'!$B$2:$B$305,B588,'Incoming POs'!$C$2:$C$305,C588,'Incoming POs'!$G$2:$G$305,"&gt;="&amp;D588,'Incoming POs'!$G$2:$G$305,"&lt;"&amp;Dashboard!$I$5)</x:f>
        <x:v>0</x:v>
      </x:c>
      <x:c r="Q588" s="1" t="n">
        <x:f>F588*Dashboard!$L$5*MAX(0,Dashboard!$I$5-D588)/30.4375</x:f>
        <x:v>0</x:v>
      </x:c>
      <x:c r="R588" s="1" t="n">
        <x:f>MAX(0,E588+P588-Q588)</x:f>
        <x:v>561</x:v>
      </x:c>
      <x:c r="S588" s="1" t="n">
        <x:f>MAX(0,Q588-E588-P588)</x:f>
        <x:v>0</x:v>
      </x:c>
      <x:c r="T588" s="1" t="n">
        <x:f>IF(L588=1,MAX(0,I588+AB588-MIN(Q588,E588+P588)),"n.a.")</x:f>
        <x:v>561</x:v>
      </x:c>
      <x:c r="U588" s="9" t="n">
        <x:f>IF(ISNUMBER(T588),T588*G588,"n.a.")</x:f>
        <x:v>166.1682</x:v>
      </x:c>
      <x:c r="V588" s="25" t="n">
        <x:f>IF(Dashboard!$I$6="Flat %",1,IF(ISNUMBER(H588),1,0))</x:f>
        <x:v>1</x:v>
      </x:c>
      <x:c r="W588" s="9" t="n">
        <x:f>IF(Dashboard!$I$6="Flat %",G588*(1+Dashboard!$L$6),H588)</x:f>
        <x:v>0.346626</x:v>
      </x:c>
      <x:c r="X588" s="9" t="n">
        <x:f>IF(V588=1,R588*(W588-G588),"n.a.")</x:f>
        <x:v>28.288985999999984</x:v>
      </x:c>
      <x:c r="Y588" s="9" t="n">
        <x:f>IF(V588=1,R588*W588,"n.a.")</x:f>
        <x:v>194.457186</x:v>
      </x:c>
      <x:c r="Z588" s="1" t="n">
        <x:f>IF(ISNUMBER(T588),R588-T588,"n.a.")</x:f>
        <x:v>0</x:v>
      </x:c>
      <x:c r="AA588" s="1" t="str">
        <x:f>'Inventory inputs'!R588</x:f>
        <x:v>Classified</x:v>
      </x:c>
      <x:c r="AB588" s="1" t="n">
        <x:f>IF(L588=1,SUMIFS('Incoming POs'!$P$2:$P$305,'Incoming POs'!$A$2:$A$305,A588,'Incoming POs'!$B$2:$B$305,B588,'Incoming POs'!$C$2:$C$305,C588,'Incoming POs'!$G$2:$G$305,"&gt;="&amp;D588,'Incoming POs'!$G$2:$G$305,"&lt;"&amp;Dashboard!$I$5,'Incoming POs'!$Q$2:$Q$305,"&lt;="&amp;('Inventory inputs'!P588/'Inventory inputs'!J588*1.01)),"n.a.")</x:f>
        <x:v>0</x:v>
      </x:c>
      <x:c r="AC588" s="9" t="n">
        <x:f>I588*G588</x:f>
        <x:v>166.1682</x:v>
      </x:c>
      <x:c r="AD588" s="9" t="n">
        <x:f>J588*G588</x:f>
        <x:v>0</x:v>
      </x:c>
      <x:c r="AE588" s="9" t="n">
        <x:f>K588*G588</x:f>
        <x:v>0</x:v>
      </x:c>
      <x:c r="AF588" s="9" t="n">
        <x:f>R588*G588</x:f>
        <x:v>166.1682</x:v>
      </x:c>
    </x:row>
    <x:row r="589" ht="21" customHeight="1">
      <x:c r="A589" s="1" t="str">
        <x:f>'Inventory inputs'!A589</x:f>
        <x:v>PLAS</x:v>
      </x:c>
      <x:c r="B589" s="1" t="str">
        <x:f>'Inventory inputs'!B589</x:f>
        <x:v>10</x:v>
      </x:c>
      <x:c r="C589" s="1" t="str">
        <x:f>'Inventory inputs'!C589</x:f>
        <x:v>07880RWBFG</x:v>
      </x:c>
      <x:c r="D589" s="7" t="n">
        <x:f>'Inventory inputs'!E589</x:f>
        <x:v>46303</x:v>
      </x:c>
      <x:c r="E589" s="1" t="n">
        <x:f>'Inventory inputs'!F589</x:f>
        <x:v>528</x:v>
      </x:c>
      <x:c r="F589" s="1" t="n">
        <x:f>'Inventory inputs'!G589</x:f>
        <x:v>0</x:v>
      </x:c>
      <x:c r="G589" s="1" t="n">
        <x:f>'Inventory inputs'!H589/'Inventory inputs'!J589</x:f>
        <x:v>0.2962</x:v>
      </x:c>
      <x:c r="H589" s="1" t="n">
        <x:f>IF('Inventory inputs'!I589&gt;0,'Inventory inputs'!I589*'Inventory inputs'!K589/'Inventory inputs'!J589,"n.a.")</x:f>
        <x:v>0.346626</x:v>
      </x:c>
      <x:c r="I589" s="1" t="n">
        <x:f>'Inventory inputs'!L589</x:f>
        <x:v>528</x:v>
      </x:c>
      <x:c r="J589" s="1" t="n">
        <x:f>'Inventory inputs'!M589</x:f>
        <x:v>0</x:v>
      </x:c>
      <x:c r="K589" s="1" t="n">
        <x:f>'Inventory inputs'!N589</x:f>
        <x:v>0</x:v>
      </x:c>
      <x:c r="L589" s="1" t="n">
        <x:f>'Inventory inputs'!O589</x:f>
        <x:v>1</x:v>
      </x:c>
      <x:c r="M589" s="9" t="n">
        <x:f>E589*G589</x:f>
        <x:v>156.39360000000002</x:v>
      </x:c>
      <x:c r="N589" s="9" t="n">
        <x:f>'Inventory inputs'!Q589</x:f>
        <x:v>156.39360000000002</x:v>
      </x:c>
      <x:c r="O589" s="9" t="n">
        <x:f>N589-M589</x:f>
        <x:v>0</x:v>
      </x:c>
      <x:c r="P589" s="1" t="n">
        <x:f>SUMIFS('Incoming POs'!$P$2:$P$305,'Incoming POs'!$A$2:$A$305,A589,'Incoming POs'!$B$2:$B$305,B589,'Incoming POs'!$C$2:$C$305,C589,'Incoming POs'!$G$2:$G$305,"&gt;="&amp;D589,'Incoming POs'!$G$2:$G$305,"&lt;"&amp;Dashboard!$I$5)</x:f>
        <x:v>0</x:v>
      </x:c>
      <x:c r="Q589" s="1" t="n">
        <x:f>F589*Dashboard!$L$5*MAX(0,Dashboard!$I$5-D589)/30.4375</x:f>
        <x:v>0</x:v>
      </x:c>
      <x:c r="R589" s="1" t="n">
        <x:f>MAX(0,E589+P589-Q589)</x:f>
        <x:v>528</x:v>
      </x:c>
      <x:c r="S589" s="1" t="n">
        <x:f>MAX(0,Q589-E589-P589)</x:f>
        <x:v>0</x:v>
      </x:c>
      <x:c r="T589" s="1" t="n">
        <x:f>IF(L589=1,MAX(0,I589+AB589-MIN(Q589,E589+P589)),"n.a.")</x:f>
        <x:v>528</x:v>
      </x:c>
      <x:c r="U589" s="9" t="n">
        <x:f>IF(ISNUMBER(T589),T589*G589,"n.a.")</x:f>
        <x:v>156.39360000000002</x:v>
      </x:c>
      <x:c r="V589" s="25" t="n">
        <x:f>IF(Dashboard!$I$6="Flat %",1,IF(ISNUMBER(H589),1,0))</x:f>
        <x:v>1</x:v>
      </x:c>
      <x:c r="W589" s="9" t="n">
        <x:f>IF(Dashboard!$I$6="Flat %",G589*(1+Dashboard!$L$6),H589)</x:f>
        <x:v>0.346626</x:v>
      </x:c>
      <x:c r="X589" s="9" t="n">
        <x:f>IF(V589=1,R589*(W589-G589),"n.a.")</x:f>
        <x:v>26.624927999999983</x:v>
      </x:c>
      <x:c r="Y589" s="9" t="n">
        <x:f>IF(V589=1,R589*W589,"n.a.")</x:f>
        <x:v>183.018528</x:v>
      </x:c>
      <x:c r="Z589" s="1" t="n">
        <x:f>IF(ISNUMBER(T589),R589-T589,"n.a.")</x:f>
        <x:v>0</x:v>
      </x:c>
      <x:c r="AA589" s="1" t="str">
        <x:f>'Inventory inputs'!R589</x:f>
        <x:v>Classified</x:v>
      </x:c>
      <x:c r="AB589" s="1" t="n">
        <x:f>IF(L589=1,SUMIFS('Incoming POs'!$P$2:$P$305,'Incoming POs'!$A$2:$A$305,A589,'Incoming POs'!$B$2:$B$305,B589,'Incoming POs'!$C$2:$C$305,C589,'Incoming POs'!$G$2:$G$305,"&gt;="&amp;D589,'Incoming POs'!$G$2:$G$305,"&lt;"&amp;Dashboard!$I$5,'Incoming POs'!$Q$2:$Q$305,"&lt;="&amp;('Inventory inputs'!P589/'Inventory inputs'!J589*1.01)),"n.a.")</x:f>
        <x:v>0</x:v>
      </x:c>
      <x:c r="AC589" s="9" t="n">
        <x:f>I589*G589</x:f>
        <x:v>156.39360000000002</x:v>
      </x:c>
      <x:c r="AD589" s="9" t="n">
        <x:f>J589*G589</x:f>
        <x:v>0</x:v>
      </x:c>
      <x:c r="AE589" s="9" t="n">
        <x:f>K589*G589</x:f>
        <x:v>0</x:v>
      </x:c>
      <x:c r="AF589" s="9" t="n">
        <x:f>R589*G589</x:f>
        <x:v>156.39360000000002</x:v>
      </x:c>
    </x:row>
    <x:row r="590" ht="21" customHeight="1">
      <x:c r="A590" s="1" t="str">
        <x:f>'Inventory inputs'!A590</x:f>
        <x:v>PLAS</x:v>
      </x:c>
      <x:c r="B590" s="1" t="str">
        <x:f>'Inventory inputs'!B590</x:f>
        <x:v>10</x:v>
      </x:c>
      <x:c r="C590" s="1" t="str">
        <x:f>'Inventory inputs'!C590</x:f>
        <x:v>07880RWBMAR</x:v>
      </x:c>
      <x:c r="D590" s="7" t="n">
        <x:f>'Inventory inputs'!E590</x:f>
        <x:v>46303</x:v>
      </x:c>
      <x:c r="E590" s="1" t="n">
        <x:f>'Inventory inputs'!F590</x:f>
        <x:v>668</x:v>
      </x:c>
      <x:c r="F590" s="1" t="n">
        <x:f>'Inventory inputs'!G590</x:f>
        <x:v>0</x:v>
      </x:c>
      <x:c r="G590" s="1" t="n">
        <x:f>'Inventory inputs'!H590/'Inventory inputs'!J590</x:f>
        <x:v>0.23809999999999998</x:v>
      </x:c>
      <x:c r="H590" s="1" t="n">
        <x:f>IF('Inventory inputs'!I590&gt;0,'Inventory inputs'!I590*'Inventory inputs'!K590/'Inventory inputs'!J590,"n.a.")</x:f>
        <x:v>0.346626</x:v>
      </x:c>
      <x:c r="I590" s="1" t="n">
        <x:f>'Inventory inputs'!L590</x:f>
        <x:v>0</x:v>
      </x:c>
      <x:c r="J590" s="1" t="n">
        <x:f>'Inventory inputs'!M590</x:f>
        <x:v>0</x:v>
      </x:c>
      <x:c r="K590" s="1" t="n">
        <x:f>'Inventory inputs'!N590</x:f>
        <x:v>668</x:v>
      </x:c>
      <x:c r="L590" s="1" t="n">
        <x:f>'Inventory inputs'!O590</x:f>
        <x:v>0</x:v>
      </x:c>
      <x:c r="M590" s="9" t="n">
        <x:f>E590*G590</x:f>
        <x:v>159.05079999999998</x:v>
      </x:c>
      <x:c r="N590" s="9" t="n">
        <x:f>'Inventory inputs'!Q590</x:f>
        <x:v>159.0508</x:v>
      </x:c>
      <x:c r="O590" s="9" t="n">
        <x:f>N590-M590</x:f>
        <x:v>2.842170943040401e-14</x:v>
      </x:c>
      <x:c r="P590" s="1" t="n">
        <x:f>SUMIFS('Incoming POs'!$P$2:$P$305,'Incoming POs'!$A$2:$A$305,A590,'Incoming POs'!$B$2:$B$305,B590,'Incoming POs'!$C$2:$C$305,C590,'Incoming POs'!$G$2:$G$305,"&gt;="&amp;D590,'Incoming POs'!$G$2:$G$305,"&lt;"&amp;Dashboard!$I$5)</x:f>
        <x:v>0</x:v>
      </x:c>
      <x:c r="Q590" s="1" t="n">
        <x:f>F590*Dashboard!$L$5*MAX(0,Dashboard!$I$5-D590)/30.4375</x:f>
        <x:v>0</x:v>
      </x:c>
      <x:c r="R590" s="1" t="n">
        <x:f>MAX(0,E590+P590-Q590)</x:f>
        <x:v>668</x:v>
      </x:c>
      <x:c r="S590" s="1" t="n">
        <x:f>MAX(0,Q590-E590-P590)</x:f>
        <x:v>0</x:v>
      </x:c>
      <x:c r="T590" s="1" t="str">
        <x:f>IF(L590=1,MAX(0,I590+AB590-MIN(Q590,E590+P590)),"n.a.")</x:f>
        <x:v>n.a.</x:v>
      </x:c>
      <x:c r="U590" s="9" t="str">
        <x:f>IF(ISNUMBER(T590),T590*G590,"n.a.")</x:f>
        <x:v>n.a.</x:v>
      </x:c>
      <x:c r="V590" s="25" t="n">
        <x:f>IF(Dashboard!$I$6="Flat %",1,IF(ISNUMBER(H590),1,0))</x:f>
        <x:v>1</x:v>
      </x:c>
      <x:c r="W590" s="9" t="n">
        <x:f>IF(Dashboard!$I$6="Flat %",G590*(1+Dashboard!$L$6),H590)</x:f>
        <x:v>0.346626</x:v>
      </x:c>
      <x:c r="X590" s="9" t="n">
        <x:f>IF(V590=1,R590*(W590-G590),"n.a.")</x:f>
        <x:v>72.49536800000001</x:v>
      </x:c>
      <x:c r="Y590" s="9" t="n">
        <x:f>IF(V590=1,R590*W590,"n.a.")</x:f>
        <x:v>231.546168</x:v>
      </x:c>
      <x:c r="Z590" s="1" t="str">
        <x:f>IF(ISNUMBER(T590),R590-T590,"n.a.")</x:f>
        <x:v>n.a.</x:v>
      </x:c>
      <x:c r="AA590" s="1" t="str">
        <x:f>'Inventory inputs'!R590</x:f>
        <x:v>Review receipt reconciliation or original PO baseline</x:v>
      </x:c>
      <x:c r="AB590" s="1" t="str">
        <x:f>IF(L590=1,SUMIFS('Incoming POs'!$P$2:$P$305,'Incoming POs'!$A$2:$A$305,A590,'Incoming POs'!$B$2:$B$305,B590,'Incoming POs'!$C$2:$C$305,C590,'Incoming POs'!$G$2:$G$305,"&gt;="&amp;D590,'Incoming POs'!$G$2:$G$305,"&lt;"&amp;Dashboard!$I$5,'Incoming POs'!$Q$2:$Q$305,"&lt;="&amp;('Inventory inputs'!P590/'Inventory inputs'!J590*1.01)),"n.a.")</x:f>
        <x:v>n.a.</x:v>
      </x:c>
      <x:c r="AC590" s="9" t="n">
        <x:f>I590*G590</x:f>
        <x:v>0</x:v>
      </x:c>
      <x:c r="AD590" s="9" t="n">
        <x:f>J590*G590</x:f>
        <x:v>0</x:v>
      </x:c>
      <x:c r="AE590" s="9" t="n">
        <x:f>K590*G590</x:f>
        <x:v>159.05079999999998</x:v>
      </x:c>
      <x:c r="AF590" s="9" t="n">
        <x:f>R590*G590</x:f>
        <x:v>159.05079999999998</x:v>
      </x:c>
    </x:row>
    <x:row r="591" ht="21" customHeight="1">
      <x:c r="A591" s="1" t="str">
        <x:f>'Inventory inputs'!A591</x:f>
        <x:v>PLAS</x:v>
      </x:c>
      <x:c r="B591" s="1" t="str">
        <x:f>'Inventory inputs'!B591</x:f>
        <x:v>10</x:v>
      </x:c>
      <x:c r="C591" s="1" t="str">
        <x:f>'Inventory inputs'!C591</x:f>
        <x:v>07880RWBNAV</x:v>
      </x:c>
      <x:c r="D591" s="7" t="n">
        <x:f>'Inventory inputs'!E591</x:f>
        <x:v>46303</x:v>
      </x:c>
      <x:c r="E591" s="1" t="n">
        <x:f>'Inventory inputs'!F591</x:f>
        <x:v>1097</x:v>
      </x:c>
      <x:c r="F591" s="1" t="n">
        <x:f>'Inventory inputs'!G591</x:f>
        <x:v>0</x:v>
      </x:c>
      <x:c r="G591" s="1" t="n">
        <x:f>'Inventory inputs'!H591/'Inventory inputs'!J591</x:f>
        <x:v>0.2962</x:v>
      </x:c>
      <x:c r="H591" s="1" t="n">
        <x:f>IF('Inventory inputs'!I591&gt;0,'Inventory inputs'!I591*'Inventory inputs'!K591/'Inventory inputs'!J591,"n.a.")</x:f>
        <x:v>0.346626</x:v>
      </x:c>
      <x:c r="I591" s="1" t="n">
        <x:f>'Inventory inputs'!L591</x:f>
        <x:v>1097</x:v>
      </x:c>
      <x:c r="J591" s="1" t="n">
        <x:f>'Inventory inputs'!M591</x:f>
        <x:v>0</x:v>
      </x:c>
      <x:c r="K591" s="1" t="n">
        <x:f>'Inventory inputs'!N591</x:f>
        <x:v>0</x:v>
      </x:c>
      <x:c r="L591" s="1" t="n">
        <x:f>'Inventory inputs'!O591</x:f>
        <x:v>1</x:v>
      </x:c>
      <x:c r="M591" s="9" t="n">
        <x:f>E591*G591</x:f>
        <x:v>324.9314</x:v>
      </x:c>
      <x:c r="N591" s="9" t="n">
        <x:f>'Inventory inputs'!Q591</x:f>
        <x:v>324.9314</x:v>
      </x:c>
      <x:c r="O591" s="9" t="n">
        <x:f>N591-M591</x:f>
        <x:v>0</x:v>
      </x:c>
      <x:c r="P591" s="1" t="n">
        <x:f>SUMIFS('Incoming POs'!$P$2:$P$305,'Incoming POs'!$A$2:$A$305,A591,'Incoming POs'!$B$2:$B$305,B591,'Incoming POs'!$C$2:$C$305,C591,'Incoming POs'!$G$2:$G$305,"&gt;="&amp;D591,'Incoming POs'!$G$2:$G$305,"&lt;"&amp;Dashboard!$I$5)</x:f>
        <x:v>0</x:v>
      </x:c>
      <x:c r="Q591" s="1" t="n">
        <x:f>F591*Dashboard!$L$5*MAX(0,Dashboard!$I$5-D591)/30.4375</x:f>
        <x:v>0</x:v>
      </x:c>
      <x:c r="R591" s="1" t="n">
        <x:f>MAX(0,E591+P591-Q591)</x:f>
        <x:v>1097</x:v>
      </x:c>
      <x:c r="S591" s="1" t="n">
        <x:f>MAX(0,Q591-E591-P591)</x:f>
        <x:v>0</x:v>
      </x:c>
      <x:c r="T591" s="1" t="n">
        <x:f>IF(L591=1,MAX(0,I591+AB591-MIN(Q591,E591+P591)),"n.a.")</x:f>
        <x:v>1097</x:v>
      </x:c>
      <x:c r="U591" s="9" t="n">
        <x:f>IF(ISNUMBER(T591),T591*G591,"n.a.")</x:f>
        <x:v>324.9314</x:v>
      </x:c>
      <x:c r="V591" s="25" t="n">
        <x:f>IF(Dashboard!$I$6="Flat %",1,IF(ISNUMBER(H591),1,0))</x:f>
        <x:v>1</x:v>
      </x:c>
      <x:c r="W591" s="9" t="n">
        <x:f>IF(Dashboard!$I$6="Flat %",G591*(1+Dashboard!$L$6),H591)</x:f>
        <x:v>0.346626</x:v>
      </x:c>
      <x:c r="X591" s="9" t="n">
        <x:f>IF(V591=1,R591*(W591-G591),"n.a.")</x:f>
        <x:v>55.31732199999997</x:v>
      </x:c>
      <x:c r="Y591" s="9" t="n">
        <x:f>IF(V591=1,R591*W591,"n.a.")</x:f>
        <x:v>380.248722</x:v>
      </x:c>
      <x:c r="Z591" s="1" t="n">
        <x:f>IF(ISNUMBER(T591),R591-T591,"n.a.")</x:f>
        <x:v>0</x:v>
      </x:c>
      <x:c r="AA591" s="1" t="str">
        <x:f>'Inventory inputs'!R591</x:f>
        <x:v>Classified</x:v>
      </x:c>
      <x:c r="AB591" s="1" t="n">
        <x:f>IF(L591=1,SUMIFS('Incoming POs'!$P$2:$P$305,'Incoming POs'!$A$2:$A$305,A591,'Incoming POs'!$B$2:$B$305,B591,'Incoming POs'!$C$2:$C$305,C591,'Incoming POs'!$G$2:$G$305,"&gt;="&amp;D591,'Incoming POs'!$G$2:$G$305,"&lt;"&amp;Dashboard!$I$5,'Incoming POs'!$Q$2:$Q$305,"&lt;="&amp;('Inventory inputs'!P591/'Inventory inputs'!J591*1.01)),"n.a.")</x:f>
        <x:v>0</x:v>
      </x:c>
      <x:c r="AC591" s="9" t="n">
        <x:f>I591*G591</x:f>
        <x:v>324.9314</x:v>
      </x:c>
      <x:c r="AD591" s="9" t="n">
        <x:f>J591*G591</x:f>
        <x:v>0</x:v>
      </x:c>
      <x:c r="AE591" s="9" t="n">
        <x:f>K591*G591</x:f>
        <x:v>0</x:v>
      </x:c>
      <x:c r="AF591" s="9" t="n">
        <x:f>R591*G591</x:f>
        <x:v>324.9314</x:v>
      </x:c>
    </x:row>
    <x:row r="592" ht="21" customHeight="1">
      <x:c r="A592" s="1" t="str">
        <x:f>'Inventory inputs'!A592</x:f>
        <x:v>PLAS</x:v>
      </x:c>
      <x:c r="B592" s="1" t="str">
        <x:f>'Inventory inputs'!B592</x:f>
        <x:v>10</x:v>
      </x:c>
      <x:c r="C592" s="1" t="str">
        <x:f>'Inventory inputs'!C592</x:f>
        <x:v>07880RWBRED</x:v>
      </x:c>
      <x:c r="D592" s="7" t="n">
        <x:f>'Inventory inputs'!E592</x:f>
        <x:v>46303</x:v>
      </x:c>
      <x:c r="E592" s="1" t="n">
        <x:f>'Inventory inputs'!F592</x:f>
        <x:v>646</x:v>
      </x:c>
      <x:c r="F592" s="1" t="n">
        <x:f>'Inventory inputs'!G592</x:f>
        <x:v>0</x:v>
      </x:c>
      <x:c r="G592" s="1" t="n">
        <x:f>'Inventory inputs'!H592/'Inventory inputs'!J592</x:f>
        <x:v>0.23809999999999998</x:v>
      </x:c>
      <x:c r="H592" s="1" t="str">
        <x:f>IF('Inventory inputs'!I592&gt;0,'Inventory inputs'!I592*'Inventory inputs'!K592/'Inventory inputs'!J592,"n.a.")</x:f>
        <x:v>n.a.</x:v>
      </x:c>
      <x:c r="I592" s="1" t="n">
        <x:f>'Inventory inputs'!L592</x:f>
        <x:v>0</x:v>
      </x:c>
      <x:c r="J592" s="1" t="n">
        <x:f>'Inventory inputs'!M592</x:f>
        <x:v>0</x:v>
      </x:c>
      <x:c r="K592" s="1" t="n">
        <x:f>'Inventory inputs'!N592</x:f>
        <x:v>646</x:v>
      </x:c>
      <x:c r="L592" s="1" t="n">
        <x:f>'Inventory inputs'!O592</x:f>
        <x:v>0</x:v>
      </x:c>
      <x:c r="M592" s="9" t="n">
        <x:f>E592*G592</x:f>
        <x:v>153.81259999999997</x:v>
      </x:c>
      <x:c r="N592" s="9" t="n">
        <x:f>'Inventory inputs'!Q592</x:f>
        <x:v>153.81259999999997</x:v>
      </x:c>
      <x:c r="O592" s="9" t="n">
        <x:f>N592-M592</x:f>
        <x:v>0</x:v>
      </x:c>
      <x:c r="P592" s="1" t="n">
        <x:f>SUMIFS('Incoming POs'!$P$2:$P$305,'Incoming POs'!$A$2:$A$305,A592,'Incoming POs'!$B$2:$B$305,B592,'Incoming POs'!$C$2:$C$305,C592,'Incoming POs'!$G$2:$G$305,"&gt;="&amp;D592,'Incoming POs'!$G$2:$G$305,"&lt;"&amp;Dashboard!$I$5)</x:f>
        <x:v>0</x:v>
      </x:c>
      <x:c r="Q592" s="1" t="n">
        <x:f>F592*Dashboard!$L$5*MAX(0,Dashboard!$I$5-D592)/30.4375</x:f>
        <x:v>0</x:v>
      </x:c>
      <x:c r="R592" s="1" t="n">
        <x:f>MAX(0,E592+P592-Q592)</x:f>
        <x:v>646</x:v>
      </x:c>
      <x:c r="S592" s="1" t="n">
        <x:f>MAX(0,Q592-E592-P592)</x:f>
        <x:v>0</x:v>
      </x:c>
      <x:c r="T592" s="1" t="str">
        <x:f>IF(L592=1,MAX(0,I592+AB592-MIN(Q592,E592+P592)),"n.a.")</x:f>
        <x:v>n.a.</x:v>
      </x:c>
      <x:c r="U592" s="9" t="str">
        <x:f>IF(ISNUMBER(T592),T592*G592,"n.a.")</x:f>
        <x:v>n.a.</x:v>
      </x:c>
      <x:c r="V592" s="25" t="n">
        <x:f>IF(Dashboard!$I$6="Flat %",1,IF(ISNUMBER(H592),1,0))</x:f>
        <x:v>0</x:v>
      </x:c>
      <x:c r="W592" s="9" t="str">
        <x:f>IF(Dashboard!$I$6="Flat %",G592*(1+Dashboard!$L$6),H592)</x:f>
        <x:v>n.a.</x:v>
      </x:c>
      <x:c r="X592" s="9" t="str">
        <x:f>IF(V592=1,R592*(W592-G592),"n.a.")</x:f>
        <x:v>n.a.</x:v>
      </x:c>
      <x:c r="Y592" s="9" t="str">
        <x:f>IF(V592=1,R592*W592,"n.a.")</x:f>
        <x:v>n.a.</x:v>
      </x:c>
      <x:c r="Z592" s="1" t="str">
        <x:f>IF(ISNUMBER(T592),R592-T592,"n.a.")</x:f>
        <x:v>n.a.</x:v>
      </x:c>
      <x:c r="AA592" s="1" t="str">
        <x:f>'Inventory inputs'!R592</x:f>
        <x:v>Review receipt reconciliation or original PO baseline</x:v>
      </x:c>
      <x:c r="AB592" s="1" t="str">
        <x:f>IF(L592=1,SUMIFS('Incoming POs'!$P$2:$P$305,'Incoming POs'!$A$2:$A$305,A592,'Incoming POs'!$B$2:$B$305,B592,'Incoming POs'!$C$2:$C$305,C592,'Incoming POs'!$G$2:$G$305,"&gt;="&amp;D592,'Incoming POs'!$G$2:$G$305,"&lt;"&amp;Dashboard!$I$5,'Incoming POs'!$Q$2:$Q$305,"&lt;="&amp;('Inventory inputs'!P592/'Inventory inputs'!J592*1.01)),"n.a.")</x:f>
        <x:v>n.a.</x:v>
      </x:c>
      <x:c r="AC592" s="9" t="n">
        <x:f>I592*G592</x:f>
        <x:v>0</x:v>
      </x:c>
      <x:c r="AD592" s="9" t="n">
        <x:f>J592*G592</x:f>
        <x:v>0</x:v>
      </x:c>
      <x:c r="AE592" s="9" t="n">
        <x:f>K592*G592</x:f>
        <x:v>153.81259999999997</x:v>
      </x:c>
      <x:c r="AF592" s="9" t="n">
        <x:f>R592*G592</x:f>
        <x:v>153.81259999999997</x:v>
      </x:c>
    </x:row>
    <x:row r="593" ht="21" customHeight="1">
      <x:c r="A593" s="1" t="str">
        <x:f>'Inventory inputs'!A593</x:f>
        <x:v>PLAS</x:v>
      </x:c>
      <x:c r="B593" s="1" t="str">
        <x:f>'Inventory inputs'!B593</x:f>
        <x:v>10</x:v>
      </x:c>
      <x:c r="C593" s="1" t="str">
        <x:f>'Inventory inputs'!C593</x:f>
        <x:v>07880RWBWHT</x:v>
      </x:c>
      <x:c r="D593" s="7" t="n">
        <x:f>'Inventory inputs'!E593</x:f>
        <x:v>46303</x:v>
      </x:c>
      <x:c r="E593" s="1" t="n">
        <x:f>'Inventory inputs'!F593</x:f>
        <x:v>1370</x:v>
      </x:c>
      <x:c r="F593" s="1" t="n">
        <x:f>'Inventory inputs'!G593</x:f>
        <x:v>0</x:v>
      </x:c>
      <x:c r="G593" s="1" t="n">
        <x:f>'Inventory inputs'!H593/'Inventory inputs'!J593</x:f>
        <x:v>0.2962</x:v>
      </x:c>
      <x:c r="H593" s="1" t="n">
        <x:f>IF('Inventory inputs'!I593&gt;0,'Inventory inputs'!I593*'Inventory inputs'!K593/'Inventory inputs'!J593,"n.a.")</x:f>
        <x:v>0.346626</x:v>
      </x:c>
      <x:c r="I593" s="1" t="n">
        <x:f>'Inventory inputs'!L593</x:f>
        <x:v>470</x:v>
      </x:c>
      <x:c r="J593" s="1" t="n">
        <x:f>'Inventory inputs'!M593</x:f>
        <x:v>900</x:v>
      </x:c>
      <x:c r="K593" s="1" t="n">
        <x:f>'Inventory inputs'!N593</x:f>
        <x:v>0</x:v>
      </x:c>
      <x:c r="L593" s="1" t="n">
        <x:f>'Inventory inputs'!O593</x:f>
        <x:v>1</x:v>
      </x:c>
      <x:c r="M593" s="9" t="n">
        <x:f>E593*G593</x:f>
        <x:v>405.79400000000004</x:v>
      </x:c>
      <x:c r="N593" s="9" t="n">
        <x:f>'Inventory inputs'!Q593</x:f>
        <x:v>405.79400000000004</x:v>
      </x:c>
      <x:c r="O593" s="9" t="n">
        <x:f>N593-M593</x:f>
        <x:v>0</x:v>
      </x:c>
      <x:c r="P593" s="1" t="n">
        <x:f>SUMIFS('Incoming POs'!$P$2:$P$305,'Incoming POs'!$A$2:$A$305,A593,'Incoming POs'!$B$2:$B$305,B593,'Incoming POs'!$C$2:$C$305,C593,'Incoming POs'!$G$2:$G$305,"&gt;="&amp;D593,'Incoming POs'!$G$2:$G$305,"&lt;"&amp;Dashboard!$I$5)</x:f>
        <x:v>0</x:v>
      </x:c>
      <x:c r="Q593" s="1" t="n">
        <x:f>F593*Dashboard!$L$5*MAX(0,Dashboard!$I$5-D593)/30.4375</x:f>
        <x:v>0</x:v>
      </x:c>
      <x:c r="R593" s="1" t="n">
        <x:f>MAX(0,E593+P593-Q593)</x:f>
        <x:v>1370</x:v>
      </x:c>
      <x:c r="S593" s="1" t="n">
        <x:f>MAX(0,Q593-E593-P593)</x:f>
        <x:v>0</x:v>
      </x:c>
      <x:c r="T593" s="1" t="n">
        <x:f>IF(L593=1,MAX(0,I593+AB593-MIN(Q593,E593+P593)),"n.a.")</x:f>
        <x:v>470</x:v>
      </x:c>
      <x:c r="U593" s="9" t="n">
        <x:f>IF(ISNUMBER(T593),T593*G593,"n.a.")</x:f>
        <x:v>139.214</x:v>
      </x:c>
      <x:c r="V593" s="25" t="n">
        <x:f>IF(Dashboard!$I$6="Flat %",1,IF(ISNUMBER(H593),1,0))</x:f>
        <x:v>1</x:v>
      </x:c>
      <x:c r="W593" s="9" t="n">
        <x:f>IF(Dashboard!$I$6="Flat %",G593*(1+Dashboard!$L$6),H593)</x:f>
        <x:v>0.346626</x:v>
      </x:c>
      <x:c r="X593" s="9" t="n">
        <x:f>IF(V593=1,R593*(W593-G593),"n.a.")</x:f>
        <x:v>69.08361999999995</x:v>
      </x:c>
      <x:c r="Y593" s="9" t="n">
        <x:f>IF(V593=1,R593*W593,"n.a.")</x:f>
        <x:v>474.87762</x:v>
      </x:c>
      <x:c r="Z593" s="1" t="n">
        <x:f>IF(ISNUMBER(T593),R593-T593,"n.a.")</x:f>
        <x:v>900</x:v>
      </x:c>
      <x:c r="AA593" s="1" t="str">
        <x:f>'Inventory inputs'!R593</x:f>
        <x:v>Classified</x:v>
      </x:c>
      <x:c r="AB593" s="1" t="n">
        <x:f>IF(L593=1,SUMIFS('Incoming POs'!$P$2:$P$305,'Incoming POs'!$A$2:$A$305,A593,'Incoming POs'!$B$2:$B$305,B593,'Incoming POs'!$C$2:$C$305,C593,'Incoming POs'!$G$2:$G$305,"&gt;="&amp;D593,'Incoming POs'!$G$2:$G$305,"&lt;"&amp;Dashboard!$I$5,'Incoming POs'!$Q$2:$Q$305,"&lt;="&amp;('Inventory inputs'!P593/'Inventory inputs'!J593*1.01)),"n.a.")</x:f>
        <x:v>0</x:v>
      </x:c>
      <x:c r="AC593" s="9" t="n">
        <x:f>I593*G593</x:f>
        <x:v>139.214</x:v>
      </x:c>
      <x:c r="AD593" s="9" t="n">
        <x:f>J593*G593</x:f>
        <x:v>266.58000000000004</x:v>
      </x:c>
      <x:c r="AE593" s="9" t="n">
        <x:f>K593*G593</x:f>
        <x:v>0</x:v>
      </x:c>
      <x:c r="AF593" s="9" t="n">
        <x:f>R593*G593</x:f>
        <x:v>405.79400000000004</x:v>
      </x:c>
    </x:row>
    <x:row r="594" ht="21" customHeight="1">
      <x:c r="A594" s="1" t="str">
        <x:f>'Inventory inputs'!A594</x:f>
        <x:v>PLAS</x:v>
      </x:c>
      <x:c r="B594" s="1" t="str">
        <x:f>'Inventory inputs'!B594</x:f>
        <x:v>10</x:v>
      </x:c>
      <x:c r="C594" s="1" t="str">
        <x:f>'Inventory inputs'!C594</x:f>
        <x:v>11215ROVBLU</x:v>
      </x:c>
      <x:c r="D594" s="7" t="n">
        <x:f>'Inventory inputs'!E594</x:f>
        <x:v>46303</x:v>
      </x:c>
      <x:c r="E594" s="1" t="n">
        <x:f>'Inventory inputs'!F594</x:f>
        <x:v>1500</x:v>
      </x:c>
      <x:c r="F594" s="1" t="n">
        <x:f>'Inventory inputs'!G594</x:f>
        <x:v>0</x:v>
      </x:c>
      <x:c r="G594" s="1" t="n">
        <x:f>'Inventory inputs'!H594/'Inventory inputs'!J594</x:f>
        <x:v>0.0928</x:v>
      </x:c>
      <x:c r="H594" s="1" t="n">
        <x:f>IF('Inventory inputs'!I594&gt;0,'Inventory inputs'!I594*'Inventory inputs'!K594/'Inventory inputs'!J594,"n.a.")</x:f>
        <x:v>0.108486</x:v>
      </x:c>
      <x:c r="I594" s="1" t="n">
        <x:f>'Inventory inputs'!L594</x:f>
        <x:v>0</x:v>
      </x:c>
      <x:c r="J594" s="1" t="n">
        <x:f>'Inventory inputs'!M594</x:f>
        <x:v>0</x:v>
      </x:c>
      <x:c r="K594" s="1" t="n">
        <x:f>'Inventory inputs'!N594</x:f>
        <x:v>1500</x:v>
      </x:c>
      <x:c r="L594" s="1" t="n">
        <x:f>'Inventory inputs'!O594</x:f>
        <x:v>0</x:v>
      </x:c>
      <x:c r="M594" s="9" t="n">
        <x:f>E594*G594</x:f>
        <x:v>139.2</x:v>
      </x:c>
      <x:c r="N594" s="9" t="n">
        <x:f>'Inventory inputs'!Q594</x:f>
        <x:v>139.2</x:v>
      </x:c>
      <x:c r="O594" s="9" t="n">
        <x:f>N594-M594</x:f>
        <x:v>0</x:v>
      </x:c>
      <x:c r="P594" s="1" t="n">
        <x:f>SUMIFS('Incoming POs'!$P$2:$P$305,'Incoming POs'!$A$2:$A$305,A594,'Incoming POs'!$B$2:$B$305,B594,'Incoming POs'!$C$2:$C$305,C594,'Incoming POs'!$G$2:$G$305,"&gt;="&amp;D594,'Incoming POs'!$G$2:$G$305,"&lt;"&amp;Dashboard!$I$5)</x:f>
        <x:v>0</x:v>
      </x:c>
      <x:c r="Q594" s="1" t="n">
        <x:f>F594*Dashboard!$L$5*MAX(0,Dashboard!$I$5-D594)/30.4375</x:f>
        <x:v>0</x:v>
      </x:c>
      <x:c r="R594" s="1" t="n">
        <x:f>MAX(0,E594+P594-Q594)</x:f>
        <x:v>1500</x:v>
      </x:c>
      <x:c r="S594" s="1" t="n">
        <x:f>MAX(0,Q594-E594-P594)</x:f>
        <x:v>0</x:v>
      </x:c>
      <x:c r="T594" s="1" t="str">
        <x:f>IF(L594=1,MAX(0,I594+AB594-MIN(Q594,E594+P594)),"n.a.")</x:f>
        <x:v>n.a.</x:v>
      </x:c>
      <x:c r="U594" s="9" t="str">
        <x:f>IF(ISNUMBER(T594),T594*G594,"n.a.")</x:f>
        <x:v>n.a.</x:v>
      </x:c>
      <x:c r="V594" s="25" t="n">
        <x:f>IF(Dashboard!$I$6="Flat %",1,IF(ISNUMBER(H594),1,0))</x:f>
        <x:v>1</x:v>
      </x:c>
      <x:c r="W594" s="9" t="n">
        <x:f>IF(Dashboard!$I$6="Flat %",G594*(1+Dashboard!$L$6),H594)</x:f>
        <x:v>0.108486</x:v>
      </x:c>
      <x:c r="X594" s="9" t="n">
        <x:f>IF(V594=1,R594*(W594-G594),"n.a.")</x:f>
        <x:v>23.529000000000007</x:v>
      </x:c>
      <x:c r="Y594" s="9" t="n">
        <x:f>IF(V594=1,R594*W594,"n.a.")</x:f>
        <x:v>162.72899999999998</x:v>
      </x:c>
      <x:c r="Z594" s="1" t="str">
        <x:f>IF(ISNUMBER(T594),R594-T594,"n.a.")</x:f>
        <x:v>n.a.</x:v>
      </x:c>
      <x:c r="AA594" s="1" t="str">
        <x:f>'Inventory inputs'!R594</x:f>
        <x:v>Review receipt reconciliation or original PO baseline</x:v>
      </x:c>
      <x:c r="AB594" s="1" t="str">
        <x:f>IF(L594=1,SUMIFS('Incoming POs'!$P$2:$P$305,'Incoming POs'!$A$2:$A$305,A594,'Incoming POs'!$B$2:$B$305,B594,'Incoming POs'!$C$2:$C$305,C594,'Incoming POs'!$G$2:$G$305,"&gt;="&amp;D594,'Incoming POs'!$G$2:$G$305,"&lt;"&amp;Dashboard!$I$5,'Incoming POs'!$Q$2:$Q$305,"&lt;="&amp;('Inventory inputs'!P594/'Inventory inputs'!J594*1.01)),"n.a.")</x:f>
        <x:v>n.a.</x:v>
      </x:c>
      <x:c r="AC594" s="9" t="n">
        <x:f>I594*G594</x:f>
        <x:v>0</x:v>
      </x:c>
      <x:c r="AD594" s="9" t="n">
        <x:f>J594*G594</x:f>
        <x:v>0</x:v>
      </x:c>
      <x:c r="AE594" s="9" t="n">
        <x:f>K594*G594</x:f>
        <x:v>139.2</x:v>
      </x:c>
      <x:c r="AF594" s="9" t="n">
        <x:f>R594*G594</x:f>
        <x:v>139.2</x:v>
      </x:c>
    </x:row>
    <x:row r="595" ht="21" customHeight="1">
      <x:c r="A595" s="1" t="str">
        <x:f>'Inventory inputs'!A595</x:f>
        <x:v>PLAS</x:v>
      </x:c>
      <x:c r="B595" s="1" t="str">
        <x:f>'Inventory inputs'!B595</x:f>
        <x:v>10</x:v>
      </x:c>
      <x:c r="C595" s="1" t="str">
        <x:f>'Inventory inputs'!C595</x:f>
        <x:v>11215ROVMAR</x:v>
      </x:c>
      <x:c r="D595" s="7" t="n">
        <x:f>'Inventory inputs'!E595</x:f>
        <x:v>46303</x:v>
      </x:c>
      <x:c r="E595" s="1" t="n">
        <x:f>'Inventory inputs'!F595</x:f>
        <x:v>2000</x:v>
      </x:c>
      <x:c r="F595" s="1" t="n">
        <x:f>'Inventory inputs'!G595</x:f>
        <x:v>0</x:v>
      </x:c>
      <x:c r="G595" s="1" t="n">
        <x:f>'Inventory inputs'!H595/'Inventory inputs'!J595</x:f>
        <x:v>0.0928</x:v>
      </x:c>
      <x:c r="H595" s="1" t="n">
        <x:f>IF('Inventory inputs'!I595&gt;0,'Inventory inputs'!I595*'Inventory inputs'!K595/'Inventory inputs'!J595,"n.a.")</x:f>
        <x:v>0.108486</x:v>
      </x:c>
      <x:c r="I595" s="1" t="n">
        <x:f>'Inventory inputs'!L595</x:f>
        <x:v>0</x:v>
      </x:c>
      <x:c r="J595" s="1" t="n">
        <x:f>'Inventory inputs'!M595</x:f>
        <x:v>0</x:v>
      </x:c>
      <x:c r="K595" s="1" t="n">
        <x:f>'Inventory inputs'!N595</x:f>
        <x:v>2000</x:v>
      </x:c>
      <x:c r="L595" s="1" t="n">
        <x:f>'Inventory inputs'!O595</x:f>
        <x:v>0</x:v>
      </x:c>
      <x:c r="M595" s="9" t="n">
        <x:f>E595*G595</x:f>
        <x:v>185.6</x:v>
      </x:c>
      <x:c r="N595" s="9" t="n">
        <x:f>'Inventory inputs'!Q595</x:f>
        <x:v>185.6</x:v>
      </x:c>
      <x:c r="O595" s="9" t="n">
        <x:f>N595-M595</x:f>
        <x:v>0</x:v>
      </x:c>
      <x:c r="P595" s="1" t="n">
        <x:f>SUMIFS('Incoming POs'!$P$2:$P$305,'Incoming POs'!$A$2:$A$305,A595,'Incoming POs'!$B$2:$B$305,B595,'Incoming POs'!$C$2:$C$305,C595,'Incoming POs'!$G$2:$G$305,"&gt;="&amp;D595,'Incoming POs'!$G$2:$G$305,"&lt;"&amp;Dashboard!$I$5)</x:f>
        <x:v>0</x:v>
      </x:c>
      <x:c r="Q595" s="1" t="n">
        <x:f>F595*Dashboard!$L$5*MAX(0,Dashboard!$I$5-D595)/30.4375</x:f>
        <x:v>0</x:v>
      </x:c>
      <x:c r="R595" s="1" t="n">
        <x:f>MAX(0,E595+P595-Q595)</x:f>
        <x:v>2000</x:v>
      </x:c>
      <x:c r="S595" s="1" t="n">
        <x:f>MAX(0,Q595-E595-P595)</x:f>
        <x:v>0</x:v>
      </x:c>
      <x:c r="T595" s="1" t="str">
        <x:f>IF(L595=1,MAX(0,I595+AB595-MIN(Q595,E595+P595)),"n.a.")</x:f>
        <x:v>n.a.</x:v>
      </x:c>
      <x:c r="U595" s="9" t="str">
        <x:f>IF(ISNUMBER(T595),T595*G595,"n.a.")</x:f>
        <x:v>n.a.</x:v>
      </x:c>
      <x:c r="V595" s="25" t="n">
        <x:f>IF(Dashboard!$I$6="Flat %",1,IF(ISNUMBER(H595),1,0))</x:f>
        <x:v>1</x:v>
      </x:c>
      <x:c r="W595" s="9" t="n">
        <x:f>IF(Dashboard!$I$6="Flat %",G595*(1+Dashboard!$L$6),H595)</x:f>
        <x:v>0.108486</x:v>
      </x:c>
      <x:c r="X595" s="9" t="n">
        <x:f>IF(V595=1,R595*(W595-G595),"n.a.")</x:f>
        <x:v>31.37200000000001</x:v>
      </x:c>
      <x:c r="Y595" s="9" t="n">
        <x:f>IF(V595=1,R595*W595,"n.a.")</x:f>
        <x:v>216.972</x:v>
      </x:c>
      <x:c r="Z595" s="1" t="str">
        <x:f>IF(ISNUMBER(T595),R595-T595,"n.a.")</x:f>
        <x:v>n.a.</x:v>
      </x:c>
      <x:c r="AA595" s="1" t="str">
        <x:f>'Inventory inputs'!R595</x:f>
        <x:v>Review receipt reconciliation or original PO baseline</x:v>
      </x:c>
      <x:c r="AB595" s="1" t="str">
        <x:f>IF(L595=1,SUMIFS('Incoming POs'!$P$2:$P$305,'Incoming POs'!$A$2:$A$305,A595,'Incoming POs'!$B$2:$B$305,B595,'Incoming POs'!$C$2:$C$305,C595,'Incoming POs'!$G$2:$G$305,"&gt;="&amp;D595,'Incoming POs'!$G$2:$G$305,"&lt;"&amp;Dashboard!$I$5,'Incoming POs'!$Q$2:$Q$305,"&lt;="&amp;('Inventory inputs'!P595/'Inventory inputs'!J595*1.01)),"n.a.")</x:f>
        <x:v>n.a.</x:v>
      </x:c>
      <x:c r="AC595" s="9" t="n">
        <x:f>I595*G595</x:f>
        <x:v>0</x:v>
      </x:c>
      <x:c r="AD595" s="9" t="n">
        <x:f>J595*G595</x:f>
        <x:v>0</x:v>
      </x:c>
      <x:c r="AE595" s="9" t="n">
        <x:f>K595*G595</x:f>
        <x:v>185.6</x:v>
      </x:c>
      <x:c r="AF595" s="9" t="n">
        <x:f>R595*G595</x:f>
        <x:v>185.6</x:v>
      </x:c>
    </x:row>
    <x:row r="596" ht="21" customHeight="1">
      <x:c r="A596" s="1" t="str">
        <x:f>'Inventory inputs'!A596</x:f>
        <x:v>PLAS</x:v>
      </x:c>
      <x:c r="B596" s="1" t="str">
        <x:f>'Inventory inputs'!B596</x:f>
        <x:v>10</x:v>
      </x:c>
      <x:c r="C596" s="1" t="str">
        <x:f>'Inventory inputs'!C596</x:f>
        <x:v>11215ROVRED</x:v>
      </x:c>
      <x:c r="D596" s="7" t="n">
        <x:f>'Inventory inputs'!E596</x:f>
        <x:v>46303</x:v>
      </x:c>
      <x:c r="E596" s="1" t="n">
        <x:f>'Inventory inputs'!F596</x:f>
        <x:v>2060</x:v>
      </x:c>
      <x:c r="F596" s="1" t="n">
        <x:f>'Inventory inputs'!G596</x:f>
        <x:v>0</x:v>
      </x:c>
      <x:c r="G596" s="1" t="n">
        <x:f>'Inventory inputs'!H596/'Inventory inputs'!J596</x:f>
        <x:v>0.0928</x:v>
      </x:c>
      <x:c r="H596" s="1" t="n">
        <x:f>IF('Inventory inputs'!I596&gt;0,'Inventory inputs'!I596*'Inventory inputs'!K596/'Inventory inputs'!J596,"n.a.")</x:f>
        <x:v>0.108486</x:v>
      </x:c>
      <x:c r="I596" s="1" t="n">
        <x:f>'Inventory inputs'!L596</x:f>
        <x:v>0</x:v>
      </x:c>
      <x:c r="J596" s="1" t="n">
        <x:f>'Inventory inputs'!M596</x:f>
        <x:v>0</x:v>
      </x:c>
      <x:c r="K596" s="1" t="n">
        <x:f>'Inventory inputs'!N596</x:f>
        <x:v>2060</x:v>
      </x:c>
      <x:c r="L596" s="1" t="n">
        <x:f>'Inventory inputs'!O596</x:f>
        <x:v>0</x:v>
      </x:c>
      <x:c r="M596" s="9" t="n">
        <x:f>E596*G596</x:f>
        <x:v>191.16799999999998</x:v>
      </x:c>
      <x:c r="N596" s="9" t="n">
        <x:f>'Inventory inputs'!Q596</x:f>
        <x:v>191.168</x:v>
      </x:c>
      <x:c r="O596" s="9" t="n">
        <x:f>N596-M596</x:f>
        <x:v>2.842170943040401e-14</x:v>
      </x:c>
      <x:c r="P596" s="1" t="n">
        <x:f>SUMIFS('Incoming POs'!$P$2:$P$305,'Incoming POs'!$A$2:$A$305,A596,'Incoming POs'!$B$2:$B$305,B596,'Incoming POs'!$C$2:$C$305,C596,'Incoming POs'!$G$2:$G$305,"&gt;="&amp;D596,'Incoming POs'!$G$2:$G$305,"&lt;"&amp;Dashboard!$I$5)</x:f>
        <x:v>0</x:v>
      </x:c>
      <x:c r="Q596" s="1" t="n">
        <x:f>F596*Dashboard!$L$5*MAX(0,Dashboard!$I$5-D596)/30.4375</x:f>
        <x:v>0</x:v>
      </x:c>
      <x:c r="R596" s="1" t="n">
        <x:f>MAX(0,E596+P596-Q596)</x:f>
        <x:v>2060</x:v>
      </x:c>
      <x:c r="S596" s="1" t="n">
        <x:f>MAX(0,Q596-E596-P596)</x:f>
        <x:v>0</x:v>
      </x:c>
      <x:c r="T596" s="1" t="str">
        <x:f>IF(L596=1,MAX(0,I596+AB596-MIN(Q596,E596+P596)),"n.a.")</x:f>
        <x:v>n.a.</x:v>
      </x:c>
      <x:c r="U596" s="9" t="str">
        <x:f>IF(ISNUMBER(T596),T596*G596,"n.a.")</x:f>
        <x:v>n.a.</x:v>
      </x:c>
      <x:c r="V596" s="25" t="n">
        <x:f>IF(Dashboard!$I$6="Flat %",1,IF(ISNUMBER(H596),1,0))</x:f>
        <x:v>1</x:v>
      </x:c>
      <x:c r="W596" s="9" t="n">
        <x:f>IF(Dashboard!$I$6="Flat %",G596*(1+Dashboard!$L$6),H596)</x:f>
        <x:v>0.108486</x:v>
      </x:c>
      <x:c r="X596" s="9" t="n">
        <x:f>IF(V596=1,R596*(W596-G596),"n.a.")</x:f>
        <x:v>32.31316000000001</x:v>
      </x:c>
      <x:c r="Y596" s="9" t="n">
        <x:f>IF(V596=1,R596*W596,"n.a.")</x:f>
        <x:v>223.48116</x:v>
      </x:c>
      <x:c r="Z596" s="1" t="str">
        <x:f>IF(ISNUMBER(T596),R596-T596,"n.a.")</x:f>
        <x:v>n.a.</x:v>
      </x:c>
      <x:c r="AA596" s="1" t="str">
        <x:f>'Inventory inputs'!R596</x:f>
        <x:v>Review receipt reconciliation or original PO baseline</x:v>
      </x:c>
      <x:c r="AB596" s="1" t="str">
        <x:f>IF(L596=1,SUMIFS('Incoming POs'!$P$2:$P$305,'Incoming POs'!$A$2:$A$305,A596,'Incoming POs'!$B$2:$B$305,B596,'Incoming POs'!$C$2:$C$305,C596,'Incoming POs'!$G$2:$G$305,"&gt;="&amp;D596,'Incoming POs'!$G$2:$G$305,"&lt;"&amp;Dashboard!$I$5,'Incoming POs'!$Q$2:$Q$305,"&lt;="&amp;('Inventory inputs'!P596/'Inventory inputs'!J596*1.01)),"n.a.")</x:f>
        <x:v>n.a.</x:v>
      </x:c>
      <x:c r="AC596" s="9" t="n">
        <x:f>I596*G596</x:f>
        <x:v>0</x:v>
      </x:c>
      <x:c r="AD596" s="9" t="n">
        <x:f>J596*G596</x:f>
        <x:v>0</x:v>
      </x:c>
      <x:c r="AE596" s="9" t="n">
        <x:f>K596*G596</x:f>
        <x:v>191.16799999999998</x:v>
      </x:c>
      <x:c r="AF596" s="9" t="n">
        <x:f>R596*G596</x:f>
        <x:v>191.16799999999998</x:v>
      </x:c>
    </x:row>
    <x:row r="597" ht="21" customHeight="1">
      <x:c r="A597" s="1" t="str">
        <x:f>'Inventory inputs'!A597</x:f>
        <x:v>PLAS</x:v>
      </x:c>
      <x:c r="B597" s="1" t="str">
        <x:f>'Inventory inputs'!B597</x:f>
        <x:v>10</x:v>
      </x:c>
      <x:c r="C597" s="1" t="str">
        <x:f>'Inventory inputs'!C597</x:f>
        <x:v>11215RSLBLU</x:v>
      </x:c>
      <x:c r="D597" s="7" t="n">
        <x:f>'Inventory inputs'!E597</x:f>
        <x:v>46303</x:v>
      </x:c>
      <x:c r="E597" s="1" t="n">
        <x:f>'Inventory inputs'!F597</x:f>
        <x:v>1000</x:v>
      </x:c>
      <x:c r="F597" s="1" t="n">
        <x:f>'Inventory inputs'!G597</x:f>
        <x:v>0</x:v>
      </x:c>
      <x:c r="G597" s="1" t="n">
        <x:f>'Inventory inputs'!H597/'Inventory inputs'!J597</x:f>
        <x:v>0.0701</x:v>
      </x:c>
      <x:c r="H597" s="1" t="n">
        <x:f>IF('Inventory inputs'!I597&gt;0,'Inventory inputs'!I597*'Inventory inputs'!K597/'Inventory inputs'!J597,"n.a.")</x:f>
        <x:v>0.103782</x:v>
      </x:c>
      <x:c r="I597" s="1" t="n">
        <x:f>'Inventory inputs'!L597</x:f>
        <x:v>0</x:v>
      </x:c>
      <x:c r="J597" s="1" t="n">
        <x:f>'Inventory inputs'!M597</x:f>
        <x:v>0</x:v>
      </x:c>
      <x:c r="K597" s="1" t="n">
        <x:f>'Inventory inputs'!N597</x:f>
        <x:v>1000</x:v>
      </x:c>
      <x:c r="L597" s="1" t="n">
        <x:f>'Inventory inputs'!O597</x:f>
        <x:v>0</x:v>
      </x:c>
      <x:c r="M597" s="9" t="n">
        <x:f>E597*G597</x:f>
        <x:v>70.1</x:v>
      </x:c>
      <x:c r="N597" s="9" t="n">
        <x:f>'Inventory inputs'!Q597</x:f>
        <x:v>70.10000000000001</x:v>
      </x:c>
      <x:c r="O597" s="9" t="n">
        <x:f>N597-M597</x:f>
        <x:v>1.4210854715202004e-14</x:v>
      </x:c>
      <x:c r="P597" s="1" t="n">
        <x:f>SUMIFS('Incoming POs'!$P$2:$P$305,'Incoming POs'!$A$2:$A$305,A597,'Incoming POs'!$B$2:$B$305,B597,'Incoming POs'!$C$2:$C$305,C597,'Incoming POs'!$G$2:$G$305,"&gt;="&amp;D597,'Incoming POs'!$G$2:$G$305,"&lt;"&amp;Dashboard!$I$5)</x:f>
        <x:v>0</x:v>
      </x:c>
      <x:c r="Q597" s="1" t="n">
        <x:f>F597*Dashboard!$L$5*MAX(0,Dashboard!$I$5-D597)/30.4375</x:f>
        <x:v>0</x:v>
      </x:c>
      <x:c r="R597" s="1" t="n">
        <x:f>MAX(0,E597+P597-Q597)</x:f>
        <x:v>1000</x:v>
      </x:c>
      <x:c r="S597" s="1" t="n">
        <x:f>MAX(0,Q597-E597-P597)</x:f>
        <x:v>0</x:v>
      </x:c>
      <x:c r="T597" s="1" t="str">
        <x:f>IF(L597=1,MAX(0,I597+AB597-MIN(Q597,E597+P597)),"n.a.")</x:f>
        <x:v>n.a.</x:v>
      </x:c>
      <x:c r="U597" s="9" t="str">
        <x:f>IF(ISNUMBER(T597),T597*G597,"n.a.")</x:f>
        <x:v>n.a.</x:v>
      </x:c>
      <x:c r="V597" s="25" t="n">
        <x:f>IF(Dashboard!$I$6="Flat %",1,IF(ISNUMBER(H597),1,0))</x:f>
        <x:v>1</x:v>
      </x:c>
      <x:c r="W597" s="9" t="n">
        <x:f>IF(Dashboard!$I$6="Flat %",G597*(1+Dashboard!$L$6),H597)</x:f>
        <x:v>0.103782</x:v>
      </x:c>
      <x:c r="X597" s="9" t="n">
        <x:f>IF(V597=1,R597*(W597-G597),"n.a.")</x:f>
        <x:v>33.682</x:v>
      </x:c>
      <x:c r="Y597" s="9" t="n">
        <x:f>IF(V597=1,R597*W597,"n.a.")</x:f>
        <x:v>103.782</x:v>
      </x:c>
      <x:c r="Z597" s="1" t="str">
        <x:f>IF(ISNUMBER(T597),R597-T597,"n.a.")</x:f>
        <x:v>n.a.</x:v>
      </x:c>
      <x:c r="AA597" s="1" t="str">
        <x:f>'Inventory inputs'!R597</x:f>
        <x:v>Review receipt reconciliation or original PO baseline</x:v>
      </x:c>
      <x:c r="AB597" s="1" t="str">
        <x:f>IF(L597=1,SUMIFS('Incoming POs'!$P$2:$P$305,'Incoming POs'!$A$2:$A$305,A597,'Incoming POs'!$B$2:$B$305,B597,'Incoming POs'!$C$2:$C$305,C597,'Incoming POs'!$G$2:$G$305,"&gt;="&amp;D597,'Incoming POs'!$G$2:$G$305,"&lt;"&amp;Dashboard!$I$5,'Incoming POs'!$Q$2:$Q$305,"&lt;="&amp;('Inventory inputs'!P597/'Inventory inputs'!J597*1.01)),"n.a.")</x:f>
        <x:v>n.a.</x:v>
      </x:c>
      <x:c r="AC597" s="9" t="n">
        <x:f>I597*G597</x:f>
        <x:v>0</x:v>
      </x:c>
      <x:c r="AD597" s="9" t="n">
        <x:f>J597*G597</x:f>
        <x:v>0</x:v>
      </x:c>
      <x:c r="AE597" s="9" t="n">
        <x:f>K597*G597</x:f>
        <x:v>70.1</x:v>
      </x:c>
      <x:c r="AF597" s="9" t="n">
        <x:f>R597*G597</x:f>
        <x:v>70.1</x:v>
      </x:c>
    </x:row>
    <x:row r="598" ht="21" customHeight="1">
      <x:c r="A598" s="1" t="str">
        <x:f>'Inventory inputs'!A598</x:f>
        <x:v>PLAS</x:v>
      </x:c>
      <x:c r="B598" s="1" t="str">
        <x:f>'Inventory inputs'!B598</x:f>
        <x:v>10</x:v>
      </x:c>
      <x:c r="C598" s="1" t="str">
        <x:f>'Inventory inputs'!C598</x:f>
        <x:v>11215RSLBRN</x:v>
      </x:c>
      <x:c r="D598" s="7" t="n">
        <x:f>'Inventory inputs'!E598</x:f>
        <x:v>46303</x:v>
      </x:c>
      <x:c r="E598" s="1" t="n">
        <x:f>'Inventory inputs'!F598</x:f>
        <x:v>3500</x:v>
      </x:c>
      <x:c r="F598" s="1" t="n">
        <x:f>'Inventory inputs'!G598</x:f>
        <x:v>0</x:v>
      </x:c>
      <x:c r="G598" s="1" t="n">
        <x:f>'Inventory inputs'!H598/'Inventory inputs'!J598</x:f>
        <x:v>0.0701</x:v>
      </x:c>
      <x:c r="H598" s="1" t="str">
        <x:f>IF('Inventory inputs'!I598&gt;0,'Inventory inputs'!I598*'Inventory inputs'!K598/'Inventory inputs'!J598,"n.a.")</x:f>
        <x:v>n.a.</x:v>
      </x:c>
      <x:c r="I598" s="1" t="n">
        <x:f>'Inventory inputs'!L598</x:f>
        <x:v>0</x:v>
      </x:c>
      <x:c r="J598" s="1" t="n">
        <x:f>'Inventory inputs'!M598</x:f>
        <x:v>0</x:v>
      </x:c>
      <x:c r="K598" s="1" t="n">
        <x:f>'Inventory inputs'!N598</x:f>
        <x:v>3500</x:v>
      </x:c>
      <x:c r="L598" s="1" t="n">
        <x:f>'Inventory inputs'!O598</x:f>
        <x:v>0</x:v>
      </x:c>
      <x:c r="M598" s="9" t="n">
        <x:f>E598*G598</x:f>
        <x:v>245.35</x:v>
      </x:c>
      <x:c r="N598" s="9" t="n">
        <x:f>'Inventory inputs'!Q598</x:f>
        <x:v>245.35</x:v>
      </x:c>
      <x:c r="O598" s="9" t="n">
        <x:f>N598-M598</x:f>
        <x:v>0</x:v>
      </x:c>
      <x:c r="P598" s="1" t="n">
        <x:f>SUMIFS('Incoming POs'!$P$2:$P$305,'Incoming POs'!$A$2:$A$305,A598,'Incoming POs'!$B$2:$B$305,B598,'Incoming POs'!$C$2:$C$305,C598,'Incoming POs'!$G$2:$G$305,"&gt;="&amp;D598,'Incoming POs'!$G$2:$G$305,"&lt;"&amp;Dashboard!$I$5)</x:f>
        <x:v>0</x:v>
      </x:c>
      <x:c r="Q598" s="1" t="n">
        <x:f>F598*Dashboard!$L$5*MAX(0,Dashboard!$I$5-D598)/30.4375</x:f>
        <x:v>0</x:v>
      </x:c>
      <x:c r="R598" s="1" t="n">
        <x:f>MAX(0,E598+P598-Q598)</x:f>
        <x:v>3500</x:v>
      </x:c>
      <x:c r="S598" s="1" t="n">
        <x:f>MAX(0,Q598-E598-P598)</x:f>
        <x:v>0</x:v>
      </x:c>
      <x:c r="T598" s="1" t="str">
        <x:f>IF(L598=1,MAX(0,I598+AB598-MIN(Q598,E598+P598)),"n.a.")</x:f>
        <x:v>n.a.</x:v>
      </x:c>
      <x:c r="U598" s="9" t="str">
        <x:f>IF(ISNUMBER(T598),T598*G598,"n.a.")</x:f>
        <x:v>n.a.</x:v>
      </x:c>
      <x:c r="V598" s="25" t="n">
        <x:f>IF(Dashboard!$I$6="Flat %",1,IF(ISNUMBER(H598),1,0))</x:f>
        <x:v>0</x:v>
      </x:c>
      <x:c r="W598" s="9" t="str">
        <x:f>IF(Dashboard!$I$6="Flat %",G598*(1+Dashboard!$L$6),H598)</x:f>
        <x:v>n.a.</x:v>
      </x:c>
      <x:c r="X598" s="9" t="str">
        <x:f>IF(V598=1,R598*(W598-G598),"n.a.")</x:f>
        <x:v>n.a.</x:v>
      </x:c>
      <x:c r="Y598" s="9" t="str">
        <x:f>IF(V598=1,R598*W598,"n.a.")</x:f>
        <x:v>n.a.</x:v>
      </x:c>
      <x:c r="Z598" s="1" t="str">
        <x:f>IF(ISNUMBER(T598),R598-T598,"n.a.")</x:f>
        <x:v>n.a.</x:v>
      </x:c>
      <x:c r="AA598" s="1" t="str">
        <x:f>'Inventory inputs'!R598</x:f>
        <x:v>Review receipt reconciliation or original PO baseline</x:v>
      </x:c>
      <x:c r="AB598" s="1" t="str">
        <x:f>IF(L598=1,SUMIFS('Incoming POs'!$P$2:$P$305,'Incoming POs'!$A$2:$A$305,A598,'Incoming POs'!$B$2:$B$305,B598,'Incoming POs'!$C$2:$C$305,C598,'Incoming POs'!$G$2:$G$305,"&gt;="&amp;D598,'Incoming POs'!$G$2:$G$305,"&lt;"&amp;Dashboard!$I$5,'Incoming POs'!$Q$2:$Q$305,"&lt;="&amp;('Inventory inputs'!P598/'Inventory inputs'!J598*1.01)),"n.a.")</x:f>
        <x:v>n.a.</x:v>
      </x:c>
      <x:c r="AC598" s="9" t="n">
        <x:f>I598*G598</x:f>
        <x:v>0</x:v>
      </x:c>
      <x:c r="AD598" s="9" t="n">
        <x:f>J598*G598</x:f>
        <x:v>0</x:v>
      </x:c>
      <x:c r="AE598" s="9" t="n">
        <x:f>K598*G598</x:f>
        <x:v>245.35</x:v>
      </x:c>
      <x:c r="AF598" s="9" t="n">
        <x:f>R598*G598</x:f>
        <x:v>245.35</x:v>
      </x:c>
    </x:row>
    <x:row r="599" ht="21" customHeight="1">
      <x:c r="A599" s="1" t="str">
        <x:f>'Inventory inputs'!A599</x:f>
        <x:v>PLAS</x:v>
      </x:c>
      <x:c r="B599" s="1" t="str">
        <x:f>'Inventory inputs'!B599</x:f>
        <x:v>10</x:v>
      </x:c>
      <x:c r="C599" s="1" t="str">
        <x:f>'Inventory inputs'!C599</x:f>
        <x:v>11215RSLFG</x:v>
      </x:c>
      <x:c r="D599" s="7" t="n">
        <x:f>'Inventory inputs'!E599</x:f>
        <x:v>46303</x:v>
      </x:c>
      <x:c r="E599" s="1" t="n">
        <x:f>'Inventory inputs'!F599</x:f>
        <x:v>700</x:v>
      </x:c>
      <x:c r="F599" s="1" t="n">
        <x:f>'Inventory inputs'!G599</x:f>
        <x:v>0</x:v>
      </x:c>
      <x:c r="G599" s="1" t="n">
        <x:f>'Inventory inputs'!H599/'Inventory inputs'!J599</x:f>
        <x:v>0.0701</x:v>
      </x:c>
      <x:c r="H599" s="1" t="n">
        <x:f>IF('Inventory inputs'!I599&gt;0,'Inventory inputs'!I599*'Inventory inputs'!K599/'Inventory inputs'!J599,"n.a.")</x:f>
        <x:v>0.103782</x:v>
      </x:c>
      <x:c r="I599" s="1" t="n">
        <x:f>'Inventory inputs'!L599</x:f>
        <x:v>0</x:v>
      </x:c>
      <x:c r="J599" s="1" t="n">
        <x:f>'Inventory inputs'!M599</x:f>
        <x:v>0</x:v>
      </x:c>
      <x:c r="K599" s="1" t="n">
        <x:f>'Inventory inputs'!N599</x:f>
        <x:v>700</x:v>
      </x:c>
      <x:c r="L599" s="1" t="n">
        <x:f>'Inventory inputs'!O599</x:f>
        <x:v>0</x:v>
      </x:c>
      <x:c r="M599" s="9" t="n">
        <x:f>E599*G599</x:f>
        <x:v>49.07</x:v>
      </x:c>
      <x:c r="N599" s="9" t="n">
        <x:f>'Inventory inputs'!Q599</x:f>
        <x:v>49.07</x:v>
      </x:c>
      <x:c r="O599" s="9" t="n">
        <x:f>N599-M599</x:f>
        <x:v>0</x:v>
      </x:c>
      <x:c r="P599" s="1" t="n">
        <x:f>SUMIFS('Incoming POs'!$P$2:$P$305,'Incoming POs'!$A$2:$A$305,A599,'Incoming POs'!$B$2:$B$305,B599,'Incoming POs'!$C$2:$C$305,C599,'Incoming POs'!$G$2:$G$305,"&gt;="&amp;D599,'Incoming POs'!$G$2:$G$305,"&lt;"&amp;Dashboard!$I$5)</x:f>
        <x:v>0</x:v>
      </x:c>
      <x:c r="Q599" s="1" t="n">
        <x:f>F599*Dashboard!$L$5*MAX(0,Dashboard!$I$5-D599)/30.4375</x:f>
        <x:v>0</x:v>
      </x:c>
      <x:c r="R599" s="1" t="n">
        <x:f>MAX(0,E599+P599-Q599)</x:f>
        <x:v>700</x:v>
      </x:c>
      <x:c r="S599" s="1" t="n">
        <x:f>MAX(0,Q599-E599-P599)</x:f>
        <x:v>0</x:v>
      </x:c>
      <x:c r="T599" s="1" t="str">
        <x:f>IF(L599=1,MAX(0,I599+AB599-MIN(Q599,E599+P599)),"n.a.")</x:f>
        <x:v>n.a.</x:v>
      </x:c>
      <x:c r="U599" s="9" t="str">
        <x:f>IF(ISNUMBER(T599),T599*G599,"n.a.")</x:f>
        <x:v>n.a.</x:v>
      </x:c>
      <x:c r="V599" s="25" t="n">
        <x:f>IF(Dashboard!$I$6="Flat %",1,IF(ISNUMBER(H599),1,0))</x:f>
        <x:v>1</x:v>
      </x:c>
      <x:c r="W599" s="9" t="n">
        <x:f>IF(Dashboard!$I$6="Flat %",G599*(1+Dashboard!$L$6),H599)</x:f>
        <x:v>0.103782</x:v>
      </x:c>
      <x:c r="X599" s="9" t="n">
        <x:f>IF(V599=1,R599*(W599-G599),"n.a.")</x:f>
        <x:v>23.5774</x:v>
      </x:c>
      <x:c r="Y599" s="9" t="n">
        <x:f>IF(V599=1,R599*W599,"n.a.")</x:f>
        <x:v>72.6474</x:v>
      </x:c>
      <x:c r="Z599" s="1" t="str">
        <x:f>IF(ISNUMBER(T599),R599-T599,"n.a.")</x:f>
        <x:v>n.a.</x:v>
      </x:c>
      <x:c r="AA599" s="1" t="str">
        <x:f>'Inventory inputs'!R599</x:f>
        <x:v>Review receipt reconciliation or original PO baseline</x:v>
      </x:c>
      <x:c r="AB599" s="1" t="str">
        <x:f>IF(L599=1,SUMIFS('Incoming POs'!$P$2:$P$305,'Incoming POs'!$A$2:$A$305,A599,'Incoming POs'!$B$2:$B$305,B599,'Incoming POs'!$C$2:$C$305,C599,'Incoming POs'!$G$2:$G$305,"&gt;="&amp;D599,'Incoming POs'!$G$2:$G$305,"&lt;"&amp;Dashboard!$I$5,'Incoming POs'!$Q$2:$Q$305,"&lt;="&amp;('Inventory inputs'!P599/'Inventory inputs'!J599*1.01)),"n.a.")</x:f>
        <x:v>n.a.</x:v>
      </x:c>
      <x:c r="AC599" s="9" t="n">
        <x:f>I599*G599</x:f>
        <x:v>0</x:v>
      </x:c>
      <x:c r="AD599" s="9" t="n">
        <x:f>J599*G599</x:f>
        <x:v>0</x:v>
      </x:c>
      <x:c r="AE599" s="9" t="n">
        <x:f>K599*G599</x:f>
        <x:v>49.07</x:v>
      </x:c>
      <x:c r="AF599" s="9" t="n">
        <x:f>R599*G599</x:f>
        <x:v>49.07</x:v>
      </x:c>
    </x:row>
    <x:row r="600" ht="21" customHeight="1">
      <x:c r="A600" s="1" t="str">
        <x:f>'Inventory inputs'!A600</x:f>
        <x:v>PLAS</x:v>
      </x:c>
      <x:c r="B600" s="1" t="str">
        <x:f>'Inventory inputs'!B600</x:f>
        <x:v>10</x:v>
      </x:c>
      <x:c r="C600" s="1" t="str">
        <x:f>'Inventory inputs'!C600</x:f>
        <x:v>11215RSLMAR</x:v>
      </x:c>
      <x:c r="D600" s="7" t="n">
        <x:f>'Inventory inputs'!E600</x:f>
        <x:v>46303</x:v>
      </x:c>
      <x:c r="E600" s="1" t="n">
        <x:f>'Inventory inputs'!F600</x:f>
        <x:v>600</x:v>
      </x:c>
      <x:c r="F600" s="1" t="n">
        <x:f>'Inventory inputs'!G600</x:f>
        <x:v>0</x:v>
      </x:c>
      <x:c r="G600" s="1" t="n">
        <x:f>'Inventory inputs'!H600/'Inventory inputs'!J600</x:f>
        <x:v>0.0886</x:v>
      </x:c>
      <x:c r="H600" s="1" t="n">
        <x:f>IF('Inventory inputs'!I600&gt;0,'Inventory inputs'!I600*'Inventory inputs'!K600/'Inventory inputs'!J600,"n.a.")</x:f>
        <x:v>0.103782</x:v>
      </x:c>
      <x:c r="I600" s="1" t="n">
        <x:f>'Inventory inputs'!L600</x:f>
        <x:v>0</x:v>
      </x:c>
      <x:c r="J600" s="1" t="n">
        <x:f>'Inventory inputs'!M600</x:f>
        <x:v>0</x:v>
      </x:c>
      <x:c r="K600" s="1" t="n">
        <x:f>'Inventory inputs'!N600</x:f>
        <x:v>600</x:v>
      </x:c>
      <x:c r="L600" s="1" t="n">
        <x:f>'Inventory inputs'!O600</x:f>
        <x:v>0</x:v>
      </x:c>
      <x:c r="M600" s="9" t="n">
        <x:f>E600*G600</x:f>
        <x:v>53.16</x:v>
      </x:c>
      <x:c r="N600" s="9" t="n">
        <x:f>'Inventory inputs'!Q600</x:f>
        <x:v>53.160000000000004</x:v>
      </x:c>
      <x:c r="O600" s="9" t="n">
        <x:f>N600-M600</x:f>
        <x:v>7.105427357601002e-15</x:v>
      </x:c>
      <x:c r="P600" s="1" t="n">
        <x:f>SUMIFS('Incoming POs'!$P$2:$P$305,'Incoming POs'!$A$2:$A$305,A600,'Incoming POs'!$B$2:$B$305,B600,'Incoming POs'!$C$2:$C$305,C600,'Incoming POs'!$G$2:$G$305,"&gt;="&amp;D600,'Incoming POs'!$G$2:$G$305,"&lt;"&amp;Dashboard!$I$5)</x:f>
        <x:v>0</x:v>
      </x:c>
      <x:c r="Q600" s="1" t="n">
        <x:f>F600*Dashboard!$L$5*MAX(0,Dashboard!$I$5-D600)/30.4375</x:f>
        <x:v>0</x:v>
      </x:c>
      <x:c r="R600" s="1" t="n">
        <x:f>MAX(0,E600+P600-Q600)</x:f>
        <x:v>600</x:v>
      </x:c>
      <x:c r="S600" s="1" t="n">
        <x:f>MAX(0,Q600-E600-P600)</x:f>
        <x:v>0</x:v>
      </x:c>
      <x:c r="T600" s="1" t="str">
        <x:f>IF(L600=1,MAX(0,I600+AB600-MIN(Q600,E600+P600)),"n.a.")</x:f>
        <x:v>n.a.</x:v>
      </x:c>
      <x:c r="U600" s="9" t="str">
        <x:f>IF(ISNUMBER(T600),T600*G600,"n.a.")</x:f>
        <x:v>n.a.</x:v>
      </x:c>
      <x:c r="V600" s="25" t="n">
        <x:f>IF(Dashboard!$I$6="Flat %",1,IF(ISNUMBER(H600),1,0))</x:f>
        <x:v>1</x:v>
      </x:c>
      <x:c r="W600" s="9" t="n">
        <x:f>IF(Dashboard!$I$6="Flat %",G600*(1+Dashboard!$L$6),H600)</x:f>
        <x:v>0.103782</x:v>
      </x:c>
      <x:c r="X600" s="9" t="n">
        <x:f>IF(V600=1,R600*(W600-G600),"n.a.")</x:f>
        <x:v>9.109200000000001</x:v>
      </x:c>
      <x:c r="Y600" s="9" t="n">
        <x:f>IF(V600=1,R600*W600,"n.a.")</x:f>
        <x:v>62.2692</x:v>
      </x:c>
      <x:c r="Z600" s="1" t="str">
        <x:f>IF(ISNUMBER(T600),R600-T600,"n.a.")</x:f>
        <x:v>n.a.</x:v>
      </x:c>
      <x:c r="AA600" s="1" t="str">
        <x:f>'Inventory inputs'!R600</x:f>
        <x:v>Review receipt reconciliation or original PO baseline</x:v>
      </x:c>
      <x:c r="AB600" s="1" t="str">
        <x:f>IF(L600=1,SUMIFS('Incoming POs'!$P$2:$P$305,'Incoming POs'!$A$2:$A$305,A600,'Incoming POs'!$B$2:$B$305,B600,'Incoming POs'!$C$2:$C$305,C600,'Incoming POs'!$G$2:$G$305,"&gt;="&amp;D600,'Incoming POs'!$G$2:$G$305,"&lt;"&amp;Dashboard!$I$5,'Incoming POs'!$Q$2:$Q$305,"&lt;="&amp;('Inventory inputs'!P600/'Inventory inputs'!J600*1.01)),"n.a.")</x:f>
        <x:v>n.a.</x:v>
      </x:c>
      <x:c r="AC600" s="9" t="n">
        <x:f>I600*G600</x:f>
        <x:v>0</x:v>
      </x:c>
      <x:c r="AD600" s="9" t="n">
        <x:f>J600*G600</x:f>
        <x:v>0</x:v>
      </x:c>
      <x:c r="AE600" s="9" t="n">
        <x:f>K600*G600</x:f>
        <x:v>53.16</x:v>
      </x:c>
      <x:c r="AF600" s="9" t="n">
        <x:f>R600*G600</x:f>
        <x:v>53.16</x:v>
      </x:c>
    </x:row>
    <x:row r="601" ht="21" customHeight="1">
      <x:c r="A601" s="1" t="str">
        <x:f>'Inventory inputs'!A601</x:f>
        <x:v>PLAS</x:v>
      </x:c>
      <x:c r="B601" s="1" t="str">
        <x:f>'Inventory inputs'!B601</x:f>
        <x:v>10</x:v>
      </x:c>
      <x:c r="C601" s="1" t="str">
        <x:f>'Inventory inputs'!C601</x:f>
        <x:v>11215RSLNAV</x:v>
      </x:c>
      <x:c r="D601" s="7" t="n">
        <x:f>'Inventory inputs'!E601</x:f>
        <x:v>46303</x:v>
      </x:c>
      <x:c r="E601" s="1" t="n">
        <x:f>'Inventory inputs'!F601</x:f>
        <x:v>850</x:v>
      </x:c>
      <x:c r="F601" s="1" t="n">
        <x:f>'Inventory inputs'!G601</x:f>
        <x:v>0</x:v>
      </x:c>
      <x:c r="G601" s="1" t="n">
        <x:f>'Inventory inputs'!H601/'Inventory inputs'!J601</x:f>
        <x:v>0.0701</x:v>
      </x:c>
      <x:c r="H601" s="1" t="n">
        <x:f>IF('Inventory inputs'!I601&gt;0,'Inventory inputs'!I601*'Inventory inputs'!K601/'Inventory inputs'!J601,"n.a.")</x:f>
        <x:v>0.103782</x:v>
      </x:c>
      <x:c r="I601" s="1" t="n">
        <x:f>'Inventory inputs'!L601</x:f>
        <x:v>0</x:v>
      </x:c>
      <x:c r="J601" s="1" t="n">
        <x:f>'Inventory inputs'!M601</x:f>
        <x:v>0</x:v>
      </x:c>
      <x:c r="K601" s="1" t="n">
        <x:f>'Inventory inputs'!N601</x:f>
        <x:v>850</x:v>
      </x:c>
      <x:c r="L601" s="1" t="n">
        <x:f>'Inventory inputs'!O601</x:f>
        <x:v>0</x:v>
      </x:c>
      <x:c r="M601" s="9" t="n">
        <x:f>E601*G601</x:f>
        <x:v>59.584999999999994</x:v>
      </x:c>
      <x:c r="N601" s="9" t="n">
        <x:f>'Inventory inputs'!Q601</x:f>
        <x:v>59.585</x:v>
      </x:c>
      <x:c r="O601" s="9" t="n">
        <x:f>N601-M601</x:f>
        <x:v>7.105427357601002e-15</x:v>
      </x:c>
      <x:c r="P601" s="1" t="n">
        <x:f>SUMIFS('Incoming POs'!$P$2:$P$305,'Incoming POs'!$A$2:$A$305,A601,'Incoming POs'!$B$2:$B$305,B601,'Incoming POs'!$C$2:$C$305,C601,'Incoming POs'!$G$2:$G$305,"&gt;="&amp;D601,'Incoming POs'!$G$2:$G$305,"&lt;"&amp;Dashboard!$I$5)</x:f>
        <x:v>0</x:v>
      </x:c>
      <x:c r="Q601" s="1" t="n">
        <x:f>F601*Dashboard!$L$5*MAX(0,Dashboard!$I$5-D601)/30.4375</x:f>
        <x:v>0</x:v>
      </x:c>
      <x:c r="R601" s="1" t="n">
        <x:f>MAX(0,E601+P601-Q601)</x:f>
        <x:v>850</x:v>
      </x:c>
      <x:c r="S601" s="1" t="n">
        <x:f>MAX(0,Q601-E601-P601)</x:f>
        <x:v>0</x:v>
      </x:c>
      <x:c r="T601" s="1" t="str">
        <x:f>IF(L601=1,MAX(0,I601+AB601-MIN(Q601,E601+P601)),"n.a.")</x:f>
        <x:v>n.a.</x:v>
      </x:c>
      <x:c r="U601" s="9" t="str">
        <x:f>IF(ISNUMBER(T601),T601*G601,"n.a.")</x:f>
        <x:v>n.a.</x:v>
      </x:c>
      <x:c r="V601" s="25" t="n">
        <x:f>IF(Dashboard!$I$6="Flat %",1,IF(ISNUMBER(H601),1,0))</x:f>
        <x:v>1</x:v>
      </x:c>
      <x:c r="W601" s="9" t="n">
        <x:f>IF(Dashboard!$I$6="Flat %",G601*(1+Dashboard!$L$6),H601)</x:f>
        <x:v>0.103782</x:v>
      </x:c>
      <x:c r="X601" s="9" t="n">
        <x:f>IF(V601=1,R601*(W601-G601),"n.a.")</x:f>
        <x:v>28.629700000000003</x:v>
      </x:c>
      <x:c r="Y601" s="9" t="n">
        <x:f>IF(V601=1,R601*W601,"n.a.")</x:f>
        <x:v>88.2147</x:v>
      </x:c>
      <x:c r="Z601" s="1" t="str">
        <x:f>IF(ISNUMBER(T601),R601-T601,"n.a.")</x:f>
        <x:v>n.a.</x:v>
      </x:c>
      <x:c r="AA601" s="1" t="str">
        <x:f>'Inventory inputs'!R601</x:f>
        <x:v>Review receipt reconciliation or original PO baseline</x:v>
      </x:c>
      <x:c r="AB601" s="1" t="str">
        <x:f>IF(L601=1,SUMIFS('Incoming POs'!$P$2:$P$305,'Incoming POs'!$A$2:$A$305,A601,'Incoming POs'!$B$2:$B$305,B601,'Incoming POs'!$C$2:$C$305,C601,'Incoming POs'!$G$2:$G$305,"&gt;="&amp;D601,'Incoming POs'!$G$2:$G$305,"&lt;"&amp;Dashboard!$I$5,'Incoming POs'!$Q$2:$Q$305,"&lt;="&amp;('Inventory inputs'!P601/'Inventory inputs'!J601*1.01)),"n.a.")</x:f>
        <x:v>n.a.</x:v>
      </x:c>
      <x:c r="AC601" s="9" t="n">
        <x:f>I601*G601</x:f>
        <x:v>0</x:v>
      </x:c>
      <x:c r="AD601" s="9" t="n">
        <x:f>J601*G601</x:f>
        <x:v>0</x:v>
      </x:c>
      <x:c r="AE601" s="9" t="n">
        <x:f>K601*G601</x:f>
        <x:v>59.584999999999994</x:v>
      </x:c>
      <x:c r="AF601" s="9" t="n">
        <x:f>R601*G601</x:f>
        <x:v>59.584999999999994</x:v>
      </x:c>
    </x:row>
    <x:row r="602" ht="21" customHeight="1">
      <x:c r="A602" s="1" t="str">
        <x:f>'Inventory inputs'!A602</x:f>
        <x:v>PLAS</x:v>
      </x:c>
      <x:c r="B602" s="1" t="str">
        <x:f>'Inventory inputs'!B602</x:f>
        <x:v>10</x:v>
      </x:c>
      <x:c r="C602" s="1" t="str">
        <x:f>'Inventory inputs'!C602</x:f>
        <x:v>11215RSLRED</x:v>
      </x:c>
      <x:c r="D602" s="7" t="n">
        <x:f>'Inventory inputs'!E602</x:f>
        <x:v>46303</x:v>
      </x:c>
      <x:c r="E602" s="1" t="n">
        <x:f>'Inventory inputs'!F602</x:f>
        <x:v>1000</x:v>
      </x:c>
      <x:c r="F602" s="1" t="n">
        <x:f>'Inventory inputs'!G602</x:f>
        <x:v>0</x:v>
      </x:c>
      <x:c r="G602" s="1" t="n">
        <x:f>'Inventory inputs'!H602/'Inventory inputs'!J602</x:f>
        <x:v>0.0701</x:v>
      </x:c>
      <x:c r="H602" s="1" t="n">
        <x:f>IF('Inventory inputs'!I602&gt;0,'Inventory inputs'!I602*'Inventory inputs'!K602/'Inventory inputs'!J602,"n.a.")</x:f>
        <x:v>0.103782</x:v>
      </x:c>
      <x:c r="I602" s="1" t="n">
        <x:f>'Inventory inputs'!L602</x:f>
        <x:v>0</x:v>
      </x:c>
      <x:c r="J602" s="1" t="n">
        <x:f>'Inventory inputs'!M602</x:f>
        <x:v>0</x:v>
      </x:c>
      <x:c r="K602" s="1" t="n">
        <x:f>'Inventory inputs'!N602</x:f>
        <x:v>1000</x:v>
      </x:c>
      <x:c r="L602" s="1" t="n">
        <x:f>'Inventory inputs'!O602</x:f>
        <x:v>0</x:v>
      </x:c>
      <x:c r="M602" s="9" t="n">
        <x:f>E602*G602</x:f>
        <x:v>70.1</x:v>
      </x:c>
      <x:c r="N602" s="9" t="n">
        <x:f>'Inventory inputs'!Q602</x:f>
        <x:v>70.10000000000001</x:v>
      </x:c>
      <x:c r="O602" s="9" t="n">
        <x:f>N602-M602</x:f>
        <x:v>1.4210854715202004e-14</x:v>
      </x:c>
      <x:c r="P602" s="1" t="n">
        <x:f>SUMIFS('Incoming POs'!$P$2:$P$305,'Incoming POs'!$A$2:$A$305,A602,'Incoming POs'!$B$2:$B$305,B602,'Incoming POs'!$C$2:$C$305,C602,'Incoming POs'!$G$2:$G$305,"&gt;="&amp;D602,'Incoming POs'!$G$2:$G$305,"&lt;"&amp;Dashboard!$I$5)</x:f>
        <x:v>0</x:v>
      </x:c>
      <x:c r="Q602" s="1" t="n">
        <x:f>F602*Dashboard!$L$5*MAX(0,Dashboard!$I$5-D602)/30.4375</x:f>
        <x:v>0</x:v>
      </x:c>
      <x:c r="R602" s="1" t="n">
        <x:f>MAX(0,E602+P602-Q602)</x:f>
        <x:v>1000</x:v>
      </x:c>
      <x:c r="S602" s="1" t="n">
        <x:f>MAX(0,Q602-E602-P602)</x:f>
        <x:v>0</x:v>
      </x:c>
      <x:c r="T602" s="1" t="str">
        <x:f>IF(L602=1,MAX(0,I602+AB602-MIN(Q602,E602+P602)),"n.a.")</x:f>
        <x:v>n.a.</x:v>
      </x:c>
      <x:c r="U602" s="9" t="str">
        <x:f>IF(ISNUMBER(T602),T602*G602,"n.a.")</x:f>
        <x:v>n.a.</x:v>
      </x:c>
      <x:c r="V602" s="25" t="n">
        <x:f>IF(Dashboard!$I$6="Flat %",1,IF(ISNUMBER(H602),1,0))</x:f>
        <x:v>1</x:v>
      </x:c>
      <x:c r="W602" s="9" t="n">
        <x:f>IF(Dashboard!$I$6="Flat %",G602*(1+Dashboard!$L$6),H602)</x:f>
        <x:v>0.103782</x:v>
      </x:c>
      <x:c r="X602" s="9" t="n">
        <x:f>IF(V602=1,R602*(W602-G602),"n.a.")</x:f>
        <x:v>33.682</x:v>
      </x:c>
      <x:c r="Y602" s="9" t="n">
        <x:f>IF(V602=1,R602*W602,"n.a.")</x:f>
        <x:v>103.782</x:v>
      </x:c>
      <x:c r="Z602" s="1" t="str">
        <x:f>IF(ISNUMBER(T602),R602-T602,"n.a.")</x:f>
        <x:v>n.a.</x:v>
      </x:c>
      <x:c r="AA602" s="1" t="str">
        <x:f>'Inventory inputs'!R602</x:f>
        <x:v>Review receipt reconciliation or original PO baseline</x:v>
      </x:c>
      <x:c r="AB602" s="1" t="str">
        <x:f>IF(L602=1,SUMIFS('Incoming POs'!$P$2:$P$305,'Incoming POs'!$A$2:$A$305,A602,'Incoming POs'!$B$2:$B$305,B602,'Incoming POs'!$C$2:$C$305,C602,'Incoming POs'!$G$2:$G$305,"&gt;="&amp;D602,'Incoming POs'!$G$2:$G$305,"&lt;"&amp;Dashboard!$I$5,'Incoming POs'!$Q$2:$Q$305,"&lt;="&amp;('Inventory inputs'!P602/'Inventory inputs'!J602*1.01)),"n.a.")</x:f>
        <x:v>n.a.</x:v>
      </x:c>
      <x:c r="AC602" s="9" t="n">
        <x:f>I602*G602</x:f>
        <x:v>0</x:v>
      </x:c>
      <x:c r="AD602" s="9" t="n">
        <x:f>J602*G602</x:f>
        <x:v>0</x:v>
      </x:c>
      <x:c r="AE602" s="9" t="n">
        <x:f>K602*G602</x:f>
        <x:v>70.1</x:v>
      </x:c>
      <x:c r="AF602" s="9" t="n">
        <x:f>R602*G602</x:f>
        <x:v>70.1</x:v>
      </x:c>
    </x:row>
    <x:row r="603" ht="21" customHeight="1">
      <x:c r="A603" s="1" t="str">
        <x:f>'Inventory inputs'!A603</x:f>
        <x:v>PLAS</x:v>
      </x:c>
      <x:c r="B603" s="1" t="str">
        <x:f>'Inventory inputs'!B603</x:f>
        <x:v>10</x:v>
      </x:c>
      <x:c r="C603" s="1" t="str">
        <x:f>'Inventory inputs'!C603</x:f>
        <x:v>11216RSLBLU</x:v>
      </x:c>
      <x:c r="D603" s="7" t="n">
        <x:f>'Inventory inputs'!E603</x:f>
        <x:v>46303</x:v>
      </x:c>
      <x:c r="E603" s="1" t="n">
        <x:f>'Inventory inputs'!F603</x:f>
        <x:v>170</x:v>
      </x:c>
      <x:c r="F603" s="1" t="n">
        <x:f>'Inventory inputs'!G603</x:f>
        <x:v>0</x:v>
      </x:c>
      <x:c r="G603" s="1" t="n">
        <x:f>'Inventory inputs'!H603/'Inventory inputs'!J603</x:f>
        <x:v>0.0747</x:v>
      </x:c>
      <x:c r="H603" s="1" t="str">
        <x:f>IF('Inventory inputs'!I603&gt;0,'Inventory inputs'!I603*'Inventory inputs'!K603/'Inventory inputs'!J603,"n.a.")</x:f>
        <x:v>n.a.</x:v>
      </x:c>
      <x:c r="I603" s="1" t="n">
        <x:f>'Inventory inputs'!L603</x:f>
        <x:v>0</x:v>
      </x:c>
      <x:c r="J603" s="1" t="n">
        <x:f>'Inventory inputs'!M603</x:f>
        <x:v>0</x:v>
      </x:c>
      <x:c r="K603" s="1" t="n">
        <x:f>'Inventory inputs'!N603</x:f>
        <x:v>170</x:v>
      </x:c>
      <x:c r="L603" s="1" t="n">
        <x:f>'Inventory inputs'!O603</x:f>
        <x:v>0</x:v>
      </x:c>
      <x:c r="M603" s="9" t="n">
        <x:f>E603*G603</x:f>
        <x:v>12.699</x:v>
      </x:c>
      <x:c r="N603" s="9" t="n">
        <x:f>'Inventory inputs'!Q603</x:f>
        <x:v>12.698999999999998</x:v>
      </x:c>
      <x:c r="O603" s="9" t="n">
        <x:f>N603-M603</x:f>
        <x:v>-1.7763568394002505e-15</x:v>
      </x:c>
      <x:c r="P603" s="1" t="n">
        <x:f>SUMIFS('Incoming POs'!$P$2:$P$305,'Incoming POs'!$A$2:$A$305,A603,'Incoming POs'!$B$2:$B$305,B603,'Incoming POs'!$C$2:$C$305,C603,'Incoming POs'!$G$2:$G$305,"&gt;="&amp;D603,'Incoming POs'!$G$2:$G$305,"&lt;"&amp;Dashboard!$I$5)</x:f>
        <x:v>0</x:v>
      </x:c>
      <x:c r="Q603" s="1" t="n">
        <x:f>F603*Dashboard!$L$5*MAX(0,Dashboard!$I$5-D603)/30.4375</x:f>
        <x:v>0</x:v>
      </x:c>
      <x:c r="R603" s="1" t="n">
        <x:f>MAX(0,E603+P603-Q603)</x:f>
        <x:v>170</x:v>
      </x:c>
      <x:c r="S603" s="1" t="n">
        <x:f>MAX(0,Q603-E603-P603)</x:f>
        <x:v>0</x:v>
      </x:c>
      <x:c r="T603" s="1" t="str">
        <x:f>IF(L603=1,MAX(0,I603+AB603-MIN(Q603,E603+P603)),"n.a.")</x:f>
        <x:v>n.a.</x:v>
      </x:c>
      <x:c r="U603" s="9" t="str">
        <x:f>IF(ISNUMBER(T603),T603*G603,"n.a.")</x:f>
        <x:v>n.a.</x:v>
      </x:c>
      <x:c r="V603" s="25" t="n">
        <x:f>IF(Dashboard!$I$6="Flat %",1,IF(ISNUMBER(H603),1,0))</x:f>
        <x:v>0</x:v>
      </x:c>
      <x:c r="W603" s="9" t="str">
        <x:f>IF(Dashboard!$I$6="Flat %",G603*(1+Dashboard!$L$6),H603)</x:f>
        <x:v>n.a.</x:v>
      </x:c>
      <x:c r="X603" s="9" t="str">
        <x:f>IF(V603=1,R603*(W603-G603),"n.a.")</x:f>
        <x:v>n.a.</x:v>
      </x:c>
      <x:c r="Y603" s="9" t="str">
        <x:f>IF(V603=1,R603*W603,"n.a.")</x:f>
        <x:v>n.a.</x:v>
      </x:c>
      <x:c r="Z603" s="1" t="str">
        <x:f>IF(ISNUMBER(T603),R603-T603,"n.a.")</x:f>
        <x:v>n.a.</x:v>
      </x:c>
      <x:c r="AA603" s="1" t="str">
        <x:f>'Inventory inputs'!R603</x:f>
        <x:v>Review receipt reconciliation or original PO baseline</x:v>
      </x:c>
      <x:c r="AB603" s="1" t="str">
        <x:f>IF(L603=1,SUMIFS('Incoming POs'!$P$2:$P$305,'Incoming POs'!$A$2:$A$305,A603,'Incoming POs'!$B$2:$B$305,B603,'Incoming POs'!$C$2:$C$305,C603,'Incoming POs'!$G$2:$G$305,"&gt;="&amp;D603,'Incoming POs'!$G$2:$G$305,"&lt;"&amp;Dashboard!$I$5,'Incoming POs'!$Q$2:$Q$305,"&lt;="&amp;('Inventory inputs'!P603/'Inventory inputs'!J603*1.01)),"n.a.")</x:f>
        <x:v>n.a.</x:v>
      </x:c>
      <x:c r="AC603" s="9" t="n">
        <x:f>I603*G603</x:f>
        <x:v>0</x:v>
      </x:c>
      <x:c r="AD603" s="9" t="n">
        <x:f>J603*G603</x:f>
        <x:v>0</x:v>
      </x:c>
      <x:c r="AE603" s="9" t="n">
        <x:f>K603*G603</x:f>
        <x:v>12.699</x:v>
      </x:c>
      <x:c r="AF603" s="9" t="n">
        <x:f>R603*G603</x:f>
        <x:v>12.699</x:v>
      </x:c>
    </x:row>
    <x:row r="604" ht="21" customHeight="1">
      <x:c r="A604" s="1" t="str">
        <x:f>'Inventory inputs'!A604</x:f>
        <x:v>PLAS</x:v>
      </x:c>
      <x:c r="B604" s="1" t="str">
        <x:f>'Inventory inputs'!B604</x:f>
        <x:v>10</x:v>
      </x:c>
      <x:c r="C604" s="1" t="str">
        <x:f>'Inventory inputs'!C604</x:f>
        <x:v>11216RSLFG</x:v>
      </x:c>
      <x:c r="D604" s="7" t="n">
        <x:f>'Inventory inputs'!E604</x:f>
        <x:v>46303</x:v>
      </x:c>
      <x:c r="E604" s="1" t="n">
        <x:f>'Inventory inputs'!F604</x:f>
        <x:v>1000</x:v>
      </x:c>
      <x:c r="F604" s="1" t="n">
        <x:f>'Inventory inputs'!G604</x:f>
        <x:v>0</x:v>
      </x:c>
      <x:c r="G604" s="1" t="n">
        <x:f>'Inventory inputs'!H604/'Inventory inputs'!J604</x:f>
        <x:v>0.0747</x:v>
      </x:c>
      <x:c r="H604" s="1" t="str">
        <x:f>IF('Inventory inputs'!I604&gt;0,'Inventory inputs'!I604*'Inventory inputs'!K604/'Inventory inputs'!J604,"n.a.")</x:f>
        <x:v>n.a.</x:v>
      </x:c>
      <x:c r="I604" s="1" t="n">
        <x:f>'Inventory inputs'!L604</x:f>
        <x:v>0</x:v>
      </x:c>
      <x:c r="J604" s="1" t="n">
        <x:f>'Inventory inputs'!M604</x:f>
        <x:v>0</x:v>
      </x:c>
      <x:c r="K604" s="1" t="n">
        <x:f>'Inventory inputs'!N604</x:f>
        <x:v>1000</x:v>
      </x:c>
      <x:c r="L604" s="1" t="n">
        <x:f>'Inventory inputs'!O604</x:f>
        <x:v>0</x:v>
      </x:c>
      <x:c r="M604" s="9" t="n">
        <x:f>E604*G604</x:f>
        <x:v>74.7</x:v>
      </x:c>
      <x:c r="N604" s="9" t="n">
        <x:f>'Inventory inputs'!Q604</x:f>
        <x:v>74.7</x:v>
      </x:c>
      <x:c r="O604" s="9" t="n">
        <x:f>N604-M604</x:f>
        <x:v>0</x:v>
      </x:c>
      <x:c r="P604" s="1" t="n">
        <x:f>SUMIFS('Incoming POs'!$P$2:$P$305,'Incoming POs'!$A$2:$A$305,A604,'Incoming POs'!$B$2:$B$305,B604,'Incoming POs'!$C$2:$C$305,C604,'Incoming POs'!$G$2:$G$305,"&gt;="&amp;D604,'Incoming POs'!$G$2:$G$305,"&lt;"&amp;Dashboard!$I$5)</x:f>
        <x:v>0</x:v>
      </x:c>
      <x:c r="Q604" s="1" t="n">
        <x:f>F604*Dashboard!$L$5*MAX(0,Dashboard!$I$5-D604)/30.4375</x:f>
        <x:v>0</x:v>
      </x:c>
      <x:c r="R604" s="1" t="n">
        <x:f>MAX(0,E604+P604-Q604)</x:f>
        <x:v>1000</x:v>
      </x:c>
      <x:c r="S604" s="1" t="n">
        <x:f>MAX(0,Q604-E604-P604)</x:f>
        <x:v>0</x:v>
      </x:c>
      <x:c r="T604" s="1" t="str">
        <x:f>IF(L604=1,MAX(0,I604+AB604-MIN(Q604,E604+P604)),"n.a.")</x:f>
        <x:v>n.a.</x:v>
      </x:c>
      <x:c r="U604" s="9" t="str">
        <x:f>IF(ISNUMBER(T604),T604*G604,"n.a.")</x:f>
        <x:v>n.a.</x:v>
      </x:c>
      <x:c r="V604" s="25" t="n">
        <x:f>IF(Dashboard!$I$6="Flat %",1,IF(ISNUMBER(H604),1,0))</x:f>
        <x:v>0</x:v>
      </x:c>
      <x:c r="W604" s="9" t="str">
        <x:f>IF(Dashboard!$I$6="Flat %",G604*(1+Dashboard!$L$6),H604)</x:f>
        <x:v>n.a.</x:v>
      </x:c>
      <x:c r="X604" s="9" t="str">
        <x:f>IF(V604=1,R604*(W604-G604),"n.a.")</x:f>
        <x:v>n.a.</x:v>
      </x:c>
      <x:c r="Y604" s="9" t="str">
        <x:f>IF(V604=1,R604*W604,"n.a.")</x:f>
        <x:v>n.a.</x:v>
      </x:c>
      <x:c r="Z604" s="1" t="str">
        <x:f>IF(ISNUMBER(T604),R604-T604,"n.a.")</x:f>
        <x:v>n.a.</x:v>
      </x:c>
      <x:c r="AA604" s="1" t="str">
        <x:f>'Inventory inputs'!R604</x:f>
        <x:v>Review receipt reconciliation or original PO baseline</x:v>
      </x:c>
      <x:c r="AB604" s="1" t="str">
        <x:f>IF(L604=1,SUMIFS('Incoming POs'!$P$2:$P$305,'Incoming POs'!$A$2:$A$305,A604,'Incoming POs'!$B$2:$B$305,B604,'Incoming POs'!$C$2:$C$305,C604,'Incoming POs'!$G$2:$G$305,"&gt;="&amp;D604,'Incoming POs'!$G$2:$G$305,"&lt;"&amp;Dashboard!$I$5,'Incoming POs'!$Q$2:$Q$305,"&lt;="&amp;('Inventory inputs'!P604/'Inventory inputs'!J604*1.01)),"n.a.")</x:f>
        <x:v>n.a.</x:v>
      </x:c>
      <x:c r="AC604" s="9" t="n">
        <x:f>I604*G604</x:f>
        <x:v>0</x:v>
      </x:c>
      <x:c r="AD604" s="9" t="n">
        <x:f>J604*G604</x:f>
        <x:v>0</x:v>
      </x:c>
      <x:c r="AE604" s="9" t="n">
        <x:f>K604*G604</x:f>
        <x:v>74.7</x:v>
      </x:c>
      <x:c r="AF604" s="9" t="n">
        <x:f>R604*G604</x:f>
        <x:v>74.7</x:v>
      </x:c>
    </x:row>
    <x:row r="605" ht="21" customHeight="1">
      <x:c r="A605" s="1" t="str">
        <x:f>'Inventory inputs'!A605</x:f>
        <x:v>PLAS</x:v>
      </x:c>
      <x:c r="B605" s="1" t="str">
        <x:f>'Inventory inputs'!B605</x:f>
        <x:v>10</x:v>
      </x:c>
      <x:c r="C605" s="1" t="str">
        <x:f>'Inventory inputs'!C605</x:f>
        <x:v>11216RSLMAR</x:v>
      </x:c>
      <x:c r="D605" s="7" t="n">
        <x:f>'Inventory inputs'!E605</x:f>
        <x:v>46303</x:v>
      </x:c>
      <x:c r="E605" s="1" t="n">
        <x:f>'Inventory inputs'!F605</x:f>
        <x:v>1000</x:v>
      </x:c>
      <x:c r="F605" s="1" t="n">
        <x:f>'Inventory inputs'!G605</x:f>
        <x:v>0</x:v>
      </x:c>
      <x:c r="G605" s="1" t="n">
        <x:f>'Inventory inputs'!H605/'Inventory inputs'!J605</x:f>
        <x:v>0.0747</x:v>
      </x:c>
      <x:c r="H605" s="1" t="str">
        <x:f>IF('Inventory inputs'!I605&gt;0,'Inventory inputs'!I605*'Inventory inputs'!K605/'Inventory inputs'!J605,"n.a.")</x:f>
        <x:v>n.a.</x:v>
      </x:c>
      <x:c r="I605" s="1" t="n">
        <x:f>'Inventory inputs'!L605</x:f>
        <x:v>0</x:v>
      </x:c>
      <x:c r="J605" s="1" t="n">
        <x:f>'Inventory inputs'!M605</x:f>
        <x:v>0</x:v>
      </x:c>
      <x:c r="K605" s="1" t="n">
        <x:f>'Inventory inputs'!N605</x:f>
        <x:v>1000</x:v>
      </x:c>
      <x:c r="L605" s="1" t="n">
        <x:f>'Inventory inputs'!O605</x:f>
        <x:v>0</x:v>
      </x:c>
      <x:c r="M605" s="9" t="n">
        <x:f>E605*G605</x:f>
        <x:v>74.7</x:v>
      </x:c>
      <x:c r="N605" s="9" t="n">
        <x:f>'Inventory inputs'!Q605</x:f>
        <x:v>74.7</x:v>
      </x:c>
      <x:c r="O605" s="9" t="n">
        <x:f>N605-M605</x:f>
        <x:v>0</x:v>
      </x:c>
      <x:c r="P605" s="1" t="n">
        <x:f>SUMIFS('Incoming POs'!$P$2:$P$305,'Incoming POs'!$A$2:$A$305,A605,'Incoming POs'!$B$2:$B$305,B605,'Incoming POs'!$C$2:$C$305,C605,'Incoming POs'!$G$2:$G$305,"&gt;="&amp;D605,'Incoming POs'!$G$2:$G$305,"&lt;"&amp;Dashboard!$I$5)</x:f>
        <x:v>0</x:v>
      </x:c>
      <x:c r="Q605" s="1" t="n">
        <x:f>F605*Dashboard!$L$5*MAX(0,Dashboard!$I$5-D605)/30.4375</x:f>
        <x:v>0</x:v>
      </x:c>
      <x:c r="R605" s="1" t="n">
        <x:f>MAX(0,E605+P605-Q605)</x:f>
        <x:v>1000</x:v>
      </x:c>
      <x:c r="S605" s="1" t="n">
        <x:f>MAX(0,Q605-E605-P605)</x:f>
        <x:v>0</x:v>
      </x:c>
      <x:c r="T605" s="1" t="str">
        <x:f>IF(L605=1,MAX(0,I605+AB605-MIN(Q605,E605+P605)),"n.a.")</x:f>
        <x:v>n.a.</x:v>
      </x:c>
      <x:c r="U605" s="9" t="str">
        <x:f>IF(ISNUMBER(T605),T605*G605,"n.a.")</x:f>
        <x:v>n.a.</x:v>
      </x:c>
      <x:c r="V605" s="25" t="n">
        <x:f>IF(Dashboard!$I$6="Flat %",1,IF(ISNUMBER(H605),1,0))</x:f>
        <x:v>0</x:v>
      </x:c>
      <x:c r="W605" s="9" t="str">
        <x:f>IF(Dashboard!$I$6="Flat %",G605*(1+Dashboard!$L$6),H605)</x:f>
        <x:v>n.a.</x:v>
      </x:c>
      <x:c r="X605" s="9" t="str">
        <x:f>IF(V605=1,R605*(W605-G605),"n.a.")</x:f>
        <x:v>n.a.</x:v>
      </x:c>
      <x:c r="Y605" s="9" t="str">
        <x:f>IF(V605=1,R605*W605,"n.a.")</x:f>
        <x:v>n.a.</x:v>
      </x:c>
      <x:c r="Z605" s="1" t="str">
        <x:f>IF(ISNUMBER(T605),R605-T605,"n.a.")</x:f>
        <x:v>n.a.</x:v>
      </x:c>
      <x:c r="AA605" s="1" t="str">
        <x:f>'Inventory inputs'!R605</x:f>
        <x:v>Review receipt reconciliation or original PO baseline</x:v>
      </x:c>
      <x:c r="AB605" s="1" t="str">
        <x:f>IF(L605=1,SUMIFS('Incoming POs'!$P$2:$P$305,'Incoming POs'!$A$2:$A$305,A605,'Incoming POs'!$B$2:$B$305,B605,'Incoming POs'!$C$2:$C$305,C605,'Incoming POs'!$G$2:$G$305,"&gt;="&amp;D605,'Incoming POs'!$G$2:$G$305,"&lt;"&amp;Dashboard!$I$5,'Incoming POs'!$Q$2:$Q$305,"&lt;="&amp;('Inventory inputs'!P605/'Inventory inputs'!J605*1.01)),"n.a.")</x:f>
        <x:v>n.a.</x:v>
      </x:c>
      <x:c r="AC605" s="9" t="n">
        <x:f>I605*G605</x:f>
        <x:v>0</x:v>
      </x:c>
      <x:c r="AD605" s="9" t="n">
        <x:f>J605*G605</x:f>
        <x:v>0</x:v>
      </x:c>
      <x:c r="AE605" s="9" t="n">
        <x:f>K605*G605</x:f>
        <x:v>74.7</x:v>
      </x:c>
      <x:c r="AF605" s="9" t="n">
        <x:f>R605*G605</x:f>
        <x:v>74.7</x:v>
      </x:c>
    </x:row>
    <x:row r="606" ht="21" customHeight="1">
      <x:c r="A606" s="1" t="str">
        <x:f>'Inventory inputs'!A606</x:f>
        <x:v>PLAS</x:v>
      </x:c>
      <x:c r="B606" s="1" t="str">
        <x:f>'Inventory inputs'!B606</x:f>
        <x:v>10</x:v>
      </x:c>
      <x:c r="C606" s="1" t="str">
        <x:f>'Inventory inputs'!C606</x:f>
        <x:v>11216RSLNAV</x:v>
      </x:c>
      <x:c r="D606" s="7" t="n">
        <x:f>'Inventory inputs'!E606</x:f>
        <x:v>46303</x:v>
      </x:c>
      <x:c r="E606" s="1" t="n">
        <x:f>'Inventory inputs'!F606</x:f>
        <x:v>1000</x:v>
      </x:c>
      <x:c r="F606" s="1" t="n">
        <x:f>'Inventory inputs'!G606</x:f>
        <x:v>0</x:v>
      </x:c>
      <x:c r="G606" s="1" t="n">
        <x:f>'Inventory inputs'!H606/'Inventory inputs'!J606</x:f>
        <x:v>0.0747</x:v>
      </x:c>
      <x:c r="H606" s="1" t="str">
        <x:f>IF('Inventory inputs'!I606&gt;0,'Inventory inputs'!I606*'Inventory inputs'!K606/'Inventory inputs'!J606,"n.a.")</x:f>
        <x:v>n.a.</x:v>
      </x:c>
      <x:c r="I606" s="1" t="n">
        <x:f>'Inventory inputs'!L606</x:f>
        <x:v>0</x:v>
      </x:c>
      <x:c r="J606" s="1" t="n">
        <x:f>'Inventory inputs'!M606</x:f>
        <x:v>0</x:v>
      </x:c>
      <x:c r="K606" s="1" t="n">
        <x:f>'Inventory inputs'!N606</x:f>
        <x:v>1000</x:v>
      </x:c>
      <x:c r="L606" s="1" t="n">
        <x:f>'Inventory inputs'!O606</x:f>
        <x:v>0</x:v>
      </x:c>
      <x:c r="M606" s="9" t="n">
        <x:f>E606*G606</x:f>
        <x:v>74.7</x:v>
      </x:c>
      <x:c r="N606" s="9" t="n">
        <x:f>'Inventory inputs'!Q606</x:f>
        <x:v>74.7</x:v>
      </x:c>
      <x:c r="O606" s="9" t="n">
        <x:f>N606-M606</x:f>
        <x:v>0</x:v>
      </x:c>
      <x:c r="P606" s="1" t="n">
        <x:f>SUMIFS('Incoming POs'!$P$2:$P$305,'Incoming POs'!$A$2:$A$305,A606,'Incoming POs'!$B$2:$B$305,B606,'Incoming POs'!$C$2:$C$305,C606,'Incoming POs'!$G$2:$G$305,"&gt;="&amp;D606,'Incoming POs'!$G$2:$G$305,"&lt;"&amp;Dashboard!$I$5)</x:f>
        <x:v>0</x:v>
      </x:c>
      <x:c r="Q606" s="1" t="n">
        <x:f>F606*Dashboard!$L$5*MAX(0,Dashboard!$I$5-D606)/30.4375</x:f>
        <x:v>0</x:v>
      </x:c>
      <x:c r="R606" s="1" t="n">
        <x:f>MAX(0,E606+P606-Q606)</x:f>
        <x:v>1000</x:v>
      </x:c>
      <x:c r="S606" s="1" t="n">
        <x:f>MAX(0,Q606-E606-P606)</x:f>
        <x:v>0</x:v>
      </x:c>
      <x:c r="T606" s="1" t="str">
        <x:f>IF(L606=1,MAX(0,I606+AB606-MIN(Q606,E606+P606)),"n.a.")</x:f>
        <x:v>n.a.</x:v>
      </x:c>
      <x:c r="U606" s="9" t="str">
        <x:f>IF(ISNUMBER(T606),T606*G606,"n.a.")</x:f>
        <x:v>n.a.</x:v>
      </x:c>
      <x:c r="V606" s="25" t="n">
        <x:f>IF(Dashboard!$I$6="Flat %",1,IF(ISNUMBER(H606),1,0))</x:f>
        <x:v>0</x:v>
      </x:c>
      <x:c r="W606" s="9" t="str">
        <x:f>IF(Dashboard!$I$6="Flat %",G606*(1+Dashboard!$L$6),H606)</x:f>
        <x:v>n.a.</x:v>
      </x:c>
      <x:c r="X606" s="9" t="str">
        <x:f>IF(V606=1,R606*(W606-G606),"n.a.")</x:f>
        <x:v>n.a.</x:v>
      </x:c>
      <x:c r="Y606" s="9" t="str">
        <x:f>IF(V606=1,R606*W606,"n.a.")</x:f>
        <x:v>n.a.</x:v>
      </x:c>
      <x:c r="Z606" s="1" t="str">
        <x:f>IF(ISNUMBER(T606),R606-T606,"n.a.")</x:f>
        <x:v>n.a.</x:v>
      </x:c>
      <x:c r="AA606" s="1" t="str">
        <x:f>'Inventory inputs'!R606</x:f>
        <x:v>Review receipt reconciliation or original PO baseline</x:v>
      </x:c>
      <x:c r="AB606" s="1" t="str">
        <x:f>IF(L606=1,SUMIFS('Incoming POs'!$P$2:$P$305,'Incoming POs'!$A$2:$A$305,A606,'Incoming POs'!$B$2:$B$305,B606,'Incoming POs'!$C$2:$C$305,C606,'Incoming POs'!$G$2:$G$305,"&gt;="&amp;D606,'Incoming POs'!$G$2:$G$305,"&lt;"&amp;Dashboard!$I$5,'Incoming POs'!$Q$2:$Q$305,"&lt;="&amp;('Inventory inputs'!P606/'Inventory inputs'!J606*1.01)),"n.a.")</x:f>
        <x:v>n.a.</x:v>
      </x:c>
      <x:c r="AC606" s="9" t="n">
        <x:f>I606*G606</x:f>
        <x:v>0</x:v>
      </x:c>
      <x:c r="AD606" s="9" t="n">
        <x:f>J606*G606</x:f>
        <x:v>0</x:v>
      </x:c>
      <x:c r="AE606" s="9" t="n">
        <x:f>K606*G606</x:f>
        <x:v>74.7</x:v>
      </x:c>
      <x:c r="AF606" s="9" t="n">
        <x:f>R606*G606</x:f>
        <x:v>74.7</x:v>
      </x:c>
    </x:row>
    <x:row r="607" ht="21" customHeight="1">
      <x:c r="A607" s="1" t="str">
        <x:f>'Inventory inputs'!A607</x:f>
        <x:v>PLAS</x:v>
      </x:c>
      <x:c r="B607" s="1" t="str">
        <x:f>'Inventory inputs'!B607</x:f>
        <x:v>10</x:v>
      </x:c>
      <x:c r="C607" s="1" t="str">
        <x:f>'Inventory inputs'!C607</x:f>
        <x:v>11216RSLRED</x:v>
      </x:c>
      <x:c r="D607" s="7" t="n">
        <x:f>'Inventory inputs'!E607</x:f>
        <x:v>46303</x:v>
      </x:c>
      <x:c r="E607" s="1" t="n">
        <x:f>'Inventory inputs'!F607</x:f>
        <x:v>730</x:v>
      </x:c>
      <x:c r="F607" s="1" t="n">
        <x:f>'Inventory inputs'!G607</x:f>
        <x:v>0</x:v>
      </x:c>
      <x:c r="G607" s="1" t="n">
        <x:f>'Inventory inputs'!H607/'Inventory inputs'!J607</x:f>
        <x:v>0.0747</x:v>
      </x:c>
      <x:c r="H607" s="1" t="str">
        <x:f>IF('Inventory inputs'!I607&gt;0,'Inventory inputs'!I607*'Inventory inputs'!K607/'Inventory inputs'!J607,"n.a.")</x:f>
        <x:v>n.a.</x:v>
      </x:c>
      <x:c r="I607" s="1" t="n">
        <x:f>'Inventory inputs'!L607</x:f>
        <x:v>0</x:v>
      </x:c>
      <x:c r="J607" s="1" t="n">
        <x:f>'Inventory inputs'!M607</x:f>
        <x:v>0</x:v>
      </x:c>
      <x:c r="K607" s="1" t="n">
        <x:f>'Inventory inputs'!N607</x:f>
        <x:v>730</x:v>
      </x:c>
      <x:c r="L607" s="1" t="n">
        <x:f>'Inventory inputs'!O607</x:f>
        <x:v>0</x:v>
      </x:c>
      <x:c r="M607" s="9" t="n">
        <x:f>E607*G607</x:f>
        <x:v>54.531</x:v>
      </x:c>
      <x:c r="N607" s="9" t="n">
        <x:f>'Inventory inputs'!Q607</x:f>
        <x:v>54.531</x:v>
      </x:c>
      <x:c r="O607" s="9" t="n">
        <x:f>N607-M607</x:f>
        <x:v>0</x:v>
      </x:c>
      <x:c r="P607" s="1" t="n">
        <x:f>SUMIFS('Incoming POs'!$P$2:$P$305,'Incoming POs'!$A$2:$A$305,A607,'Incoming POs'!$B$2:$B$305,B607,'Incoming POs'!$C$2:$C$305,C607,'Incoming POs'!$G$2:$G$305,"&gt;="&amp;D607,'Incoming POs'!$G$2:$G$305,"&lt;"&amp;Dashboard!$I$5)</x:f>
        <x:v>0</x:v>
      </x:c>
      <x:c r="Q607" s="1" t="n">
        <x:f>F607*Dashboard!$L$5*MAX(0,Dashboard!$I$5-D607)/30.4375</x:f>
        <x:v>0</x:v>
      </x:c>
      <x:c r="R607" s="1" t="n">
        <x:f>MAX(0,E607+P607-Q607)</x:f>
        <x:v>730</x:v>
      </x:c>
      <x:c r="S607" s="1" t="n">
        <x:f>MAX(0,Q607-E607-P607)</x:f>
        <x:v>0</x:v>
      </x:c>
      <x:c r="T607" s="1" t="str">
        <x:f>IF(L607=1,MAX(0,I607+AB607-MIN(Q607,E607+P607)),"n.a.")</x:f>
        <x:v>n.a.</x:v>
      </x:c>
      <x:c r="U607" s="9" t="str">
        <x:f>IF(ISNUMBER(T607),T607*G607,"n.a.")</x:f>
        <x:v>n.a.</x:v>
      </x:c>
      <x:c r="V607" s="25" t="n">
        <x:f>IF(Dashboard!$I$6="Flat %",1,IF(ISNUMBER(H607),1,0))</x:f>
        <x:v>0</x:v>
      </x:c>
      <x:c r="W607" s="9" t="str">
        <x:f>IF(Dashboard!$I$6="Flat %",G607*(1+Dashboard!$L$6),H607)</x:f>
        <x:v>n.a.</x:v>
      </x:c>
      <x:c r="X607" s="9" t="str">
        <x:f>IF(V607=1,R607*(W607-G607),"n.a.")</x:f>
        <x:v>n.a.</x:v>
      </x:c>
      <x:c r="Y607" s="9" t="str">
        <x:f>IF(V607=1,R607*W607,"n.a.")</x:f>
        <x:v>n.a.</x:v>
      </x:c>
      <x:c r="Z607" s="1" t="str">
        <x:f>IF(ISNUMBER(T607),R607-T607,"n.a.")</x:f>
        <x:v>n.a.</x:v>
      </x:c>
      <x:c r="AA607" s="1" t="str">
        <x:f>'Inventory inputs'!R607</x:f>
        <x:v>Review receipt reconciliation or original PO baseline</x:v>
      </x:c>
      <x:c r="AB607" s="1" t="str">
        <x:f>IF(L607=1,SUMIFS('Incoming POs'!$P$2:$P$305,'Incoming POs'!$A$2:$A$305,A607,'Incoming POs'!$B$2:$B$305,B607,'Incoming POs'!$C$2:$C$305,C607,'Incoming POs'!$G$2:$G$305,"&gt;="&amp;D607,'Incoming POs'!$G$2:$G$305,"&lt;"&amp;Dashboard!$I$5,'Incoming POs'!$Q$2:$Q$305,"&lt;="&amp;('Inventory inputs'!P607/'Inventory inputs'!J607*1.01)),"n.a.")</x:f>
        <x:v>n.a.</x:v>
      </x:c>
      <x:c r="AC607" s="9" t="n">
        <x:f>I607*G607</x:f>
        <x:v>0</x:v>
      </x:c>
      <x:c r="AD607" s="9" t="n">
        <x:f>J607*G607</x:f>
        <x:v>0</x:v>
      </x:c>
      <x:c r="AE607" s="9" t="n">
        <x:f>K607*G607</x:f>
        <x:v>54.531</x:v>
      </x:c>
      <x:c r="AF607" s="9" t="n">
        <x:f>R607*G607</x:f>
        <x:v>54.531</x:v>
      </x:c>
    </x:row>
    <x:row r="608" ht="21" customHeight="1">
      <x:c r="A608" s="1" t="str">
        <x:f>'Inventory inputs'!A608</x:f>
        <x:v>PLAS</x:v>
      </x:c>
      <x:c r="B608" s="1" t="str">
        <x:f>'Inventory inputs'!B608</x:f>
        <x:v>10</x:v>
      </x:c>
      <x:c r="C608" s="1" t="str">
        <x:f>'Inventory inputs'!C608</x:f>
        <x:v>11216RSLWHT</x:v>
      </x:c>
      <x:c r="D608" s="7" t="n">
        <x:f>'Inventory inputs'!E608</x:f>
        <x:v>46303</x:v>
      </x:c>
      <x:c r="E608" s="1" t="n">
        <x:f>'Inventory inputs'!F608</x:f>
        <x:v>6713</x:v>
      </x:c>
      <x:c r="F608" s="1" t="n">
        <x:f>'Inventory inputs'!G608</x:f>
        <x:v>0</x:v>
      </x:c>
      <x:c r="G608" s="1" t="n">
        <x:f>'Inventory inputs'!H608/'Inventory inputs'!J608</x:f>
        <x:v>0.0947</x:v>
      </x:c>
      <x:c r="H608" s="1" t="n">
        <x:f>IF('Inventory inputs'!I608&gt;0,'Inventory inputs'!I608*'Inventory inputs'!K608/'Inventory inputs'!J608,"n.a.")</x:f>
        <x:v>0.11069100000000001</x:v>
      </x:c>
      <x:c r="I608" s="1" t="n">
        <x:f>'Inventory inputs'!L608</x:f>
        <x:v>0</x:v>
      </x:c>
      <x:c r="J608" s="1" t="n">
        <x:f>'Inventory inputs'!M608</x:f>
        <x:v>0</x:v>
      </x:c>
      <x:c r="K608" s="1" t="n">
        <x:f>'Inventory inputs'!N608</x:f>
        <x:v>6713</x:v>
      </x:c>
      <x:c r="L608" s="1" t="n">
        <x:f>'Inventory inputs'!O608</x:f>
        <x:v>0</x:v>
      </x:c>
      <x:c r="M608" s="9" t="n">
        <x:f>E608*G608</x:f>
        <x:v>635.7211000000001</x:v>
      </x:c>
      <x:c r="N608" s="9" t="n">
        <x:f>'Inventory inputs'!Q608</x:f>
        <x:v>635.7211000000001</x:v>
      </x:c>
      <x:c r="O608" s="9" t="n">
        <x:f>N608-M608</x:f>
        <x:v>0</x:v>
      </x:c>
      <x:c r="P608" s="1" t="n">
        <x:f>SUMIFS('Incoming POs'!$P$2:$P$305,'Incoming POs'!$A$2:$A$305,A608,'Incoming POs'!$B$2:$B$305,B608,'Incoming POs'!$C$2:$C$305,C608,'Incoming POs'!$G$2:$G$305,"&gt;="&amp;D608,'Incoming POs'!$G$2:$G$305,"&lt;"&amp;Dashboard!$I$5)</x:f>
        <x:v>0</x:v>
      </x:c>
      <x:c r="Q608" s="1" t="n">
        <x:f>F608*Dashboard!$L$5*MAX(0,Dashboard!$I$5-D608)/30.4375</x:f>
        <x:v>0</x:v>
      </x:c>
      <x:c r="R608" s="1" t="n">
        <x:f>MAX(0,E608+P608-Q608)</x:f>
        <x:v>6713</x:v>
      </x:c>
      <x:c r="S608" s="1" t="n">
        <x:f>MAX(0,Q608-E608-P608)</x:f>
        <x:v>0</x:v>
      </x:c>
      <x:c r="T608" s="1" t="str">
        <x:f>IF(L608=1,MAX(0,I608+AB608-MIN(Q608,E608+P608)),"n.a.")</x:f>
        <x:v>n.a.</x:v>
      </x:c>
      <x:c r="U608" s="9" t="str">
        <x:f>IF(ISNUMBER(T608),T608*G608,"n.a.")</x:f>
        <x:v>n.a.</x:v>
      </x:c>
      <x:c r="V608" s="25" t="n">
        <x:f>IF(Dashboard!$I$6="Flat %",1,IF(ISNUMBER(H608),1,0))</x:f>
        <x:v>1</x:v>
      </x:c>
      <x:c r="W608" s="9" t="n">
        <x:f>IF(Dashboard!$I$6="Flat %",G608*(1+Dashboard!$L$6),H608)</x:f>
        <x:v>0.11069100000000001</x:v>
      </x:c>
      <x:c r="X608" s="9" t="n">
        <x:f>IF(V608=1,R608*(W608-G608),"n.a.")</x:f>
        <x:v>107.34758300000003</x:v>
      </x:c>
      <x:c r="Y608" s="9" t="n">
        <x:f>IF(V608=1,R608*W608,"n.a.")</x:f>
        <x:v>743.0686830000001</x:v>
      </x:c>
      <x:c r="Z608" s="1" t="str">
        <x:f>IF(ISNUMBER(T608),R608-T608,"n.a.")</x:f>
        <x:v>n.a.</x:v>
      </x:c>
      <x:c r="AA608" s="1" t="str">
        <x:f>'Inventory inputs'!R608</x:f>
        <x:v>Review receipt reconciliation or original PO baseline</x:v>
      </x:c>
      <x:c r="AB608" s="1" t="str">
        <x:f>IF(L608=1,SUMIFS('Incoming POs'!$P$2:$P$305,'Incoming POs'!$A$2:$A$305,A608,'Incoming POs'!$B$2:$B$305,B608,'Incoming POs'!$C$2:$C$305,C608,'Incoming POs'!$G$2:$G$305,"&gt;="&amp;D608,'Incoming POs'!$G$2:$G$305,"&lt;"&amp;Dashboard!$I$5,'Incoming POs'!$Q$2:$Q$305,"&lt;="&amp;('Inventory inputs'!P608/'Inventory inputs'!J608*1.01)),"n.a.")</x:f>
        <x:v>n.a.</x:v>
      </x:c>
      <x:c r="AC608" s="9" t="n">
        <x:f>I608*G608</x:f>
        <x:v>0</x:v>
      </x:c>
      <x:c r="AD608" s="9" t="n">
        <x:f>J608*G608</x:f>
        <x:v>0</x:v>
      </x:c>
      <x:c r="AE608" s="9" t="n">
        <x:f>K608*G608</x:f>
        <x:v>635.7211000000001</x:v>
      </x:c>
      <x:c r="AF608" s="9" t="n">
        <x:f>R608*G608</x:f>
        <x:v>635.7211000000001</x:v>
      </x:c>
    </x:row>
    <x:row r="609" ht="21" customHeight="1">
      <x:c r="A609" s="1" t="str">
        <x:f>'Inventory inputs'!A609</x:f>
        <x:v>PLAS</x:v>
      </x:c>
      <x:c r="B609" s="1" t="str">
        <x:f>'Inventory inputs'!B609</x:f>
        <x:v>10</x:v>
      </x:c>
      <x:c r="C609" s="1" t="str">
        <x:f>'Inventory inputs'!C609</x:f>
        <x:v>11221RSLCLR</x:v>
      </x:c>
      <x:c r="D609" s="7" t="n">
        <x:f>'Inventory inputs'!E609</x:f>
        <x:v>46303</x:v>
      </x:c>
      <x:c r="E609" s="1" t="n">
        <x:f>'Inventory inputs'!F609</x:f>
        <x:v>4250</x:v>
      </x:c>
      <x:c r="F609" s="1" t="n">
        <x:f>'Inventory inputs'!G609</x:f>
        <x:v>0</x:v>
      </x:c>
      <x:c r="G609" s="1" t="n">
        <x:f>'Inventory inputs'!H609/'Inventory inputs'!J609</x:f>
        <x:v>0.1104</x:v>
      </x:c>
      <x:c r="H609" s="1" t="n">
        <x:f>IF('Inventory inputs'!I609&gt;0,'Inventory inputs'!I609*'Inventory inputs'!K609/'Inventory inputs'!J609,"n.a.")</x:f>
        <x:v>0.145971</x:v>
      </x:c>
      <x:c r="I609" s="1" t="n">
        <x:f>'Inventory inputs'!L609</x:f>
        <x:v>0</x:v>
      </x:c>
      <x:c r="J609" s="1" t="n">
        <x:f>'Inventory inputs'!M609</x:f>
        <x:v>0</x:v>
      </x:c>
      <x:c r="K609" s="1" t="n">
        <x:f>'Inventory inputs'!N609</x:f>
        <x:v>4250</x:v>
      </x:c>
      <x:c r="L609" s="1" t="n">
        <x:f>'Inventory inputs'!O609</x:f>
        <x:v>0</x:v>
      </x:c>
      <x:c r="M609" s="9" t="n">
        <x:f>E609*G609</x:f>
        <x:v>469.2</x:v>
      </x:c>
      <x:c r="N609" s="9" t="n">
        <x:f>'Inventory inputs'!Q609</x:f>
        <x:v>469.2</x:v>
      </x:c>
      <x:c r="O609" s="9" t="n">
        <x:f>N609-M609</x:f>
        <x:v>0</x:v>
      </x:c>
      <x:c r="P609" s="1" t="n">
        <x:f>SUMIFS('Incoming POs'!$P$2:$P$305,'Incoming POs'!$A$2:$A$305,A609,'Incoming POs'!$B$2:$B$305,B609,'Incoming POs'!$C$2:$C$305,C609,'Incoming POs'!$G$2:$G$305,"&gt;="&amp;D609,'Incoming POs'!$G$2:$G$305,"&lt;"&amp;Dashboard!$I$5)</x:f>
        <x:v>0</x:v>
      </x:c>
      <x:c r="Q609" s="1" t="n">
        <x:f>F609*Dashboard!$L$5*MAX(0,Dashboard!$I$5-D609)/30.4375</x:f>
        <x:v>0</x:v>
      </x:c>
      <x:c r="R609" s="1" t="n">
        <x:f>MAX(0,E609+P609-Q609)</x:f>
        <x:v>4250</x:v>
      </x:c>
      <x:c r="S609" s="1" t="n">
        <x:f>MAX(0,Q609-E609-P609)</x:f>
        <x:v>0</x:v>
      </x:c>
      <x:c r="T609" s="1" t="str">
        <x:f>IF(L609=1,MAX(0,I609+AB609-MIN(Q609,E609+P609)),"n.a.")</x:f>
        <x:v>n.a.</x:v>
      </x:c>
      <x:c r="U609" s="9" t="str">
        <x:f>IF(ISNUMBER(T609),T609*G609,"n.a.")</x:f>
        <x:v>n.a.</x:v>
      </x:c>
      <x:c r="V609" s="25" t="n">
        <x:f>IF(Dashboard!$I$6="Flat %",1,IF(ISNUMBER(H609),1,0))</x:f>
        <x:v>1</x:v>
      </x:c>
      <x:c r="W609" s="9" t="n">
        <x:f>IF(Dashboard!$I$6="Flat %",G609*(1+Dashboard!$L$6),H609)</x:f>
        <x:v>0.145971</x:v>
      </x:c>
      <x:c r="X609" s="9" t="n">
        <x:f>IF(V609=1,R609*(W609-G609),"n.a.")</x:f>
        <x:v>151.17674999999997</x:v>
      </x:c>
      <x:c r="Y609" s="9" t="n">
        <x:f>IF(V609=1,R609*W609,"n.a.")</x:f>
        <x:v>620.3767499999999</x:v>
      </x:c>
      <x:c r="Z609" s="1" t="str">
        <x:f>IF(ISNUMBER(T609),R609-T609,"n.a.")</x:f>
        <x:v>n.a.</x:v>
      </x:c>
      <x:c r="AA609" s="1" t="str">
        <x:f>'Inventory inputs'!R609</x:f>
        <x:v>Review receipt reconciliation or original PO baseline</x:v>
      </x:c>
      <x:c r="AB609" s="1" t="str">
        <x:f>IF(L609=1,SUMIFS('Incoming POs'!$P$2:$P$305,'Incoming POs'!$A$2:$A$305,A609,'Incoming POs'!$B$2:$B$305,B609,'Incoming POs'!$C$2:$C$305,C609,'Incoming POs'!$G$2:$G$305,"&gt;="&amp;D609,'Incoming POs'!$G$2:$G$305,"&lt;"&amp;Dashboard!$I$5,'Incoming POs'!$Q$2:$Q$305,"&lt;="&amp;('Inventory inputs'!P609/'Inventory inputs'!J609*1.01)),"n.a.")</x:f>
        <x:v>n.a.</x:v>
      </x:c>
      <x:c r="AC609" s="9" t="n">
        <x:f>I609*G609</x:f>
        <x:v>0</x:v>
      </x:c>
      <x:c r="AD609" s="9" t="n">
        <x:f>J609*G609</x:f>
        <x:v>0</x:v>
      </x:c>
      <x:c r="AE609" s="9" t="n">
        <x:f>K609*G609</x:f>
        <x:v>469.2</x:v>
      </x:c>
      <x:c r="AF609" s="9" t="n">
        <x:f>R609*G609</x:f>
        <x:v>469.2</x:v>
      </x:c>
    </x:row>
    <x:row r="610" ht="21" customHeight="1">
      <x:c r="A610" s="1" t="str">
        <x:f>'Inventory inputs'!A610</x:f>
        <x:v>PLAS</x:v>
      </x:c>
      <x:c r="B610" s="1" t="str">
        <x:f>'Inventory inputs'!B610</x:f>
        <x:v>10</x:v>
      </x:c>
      <x:c r="C610" s="1" t="str">
        <x:f>'Inventory inputs'!C610</x:f>
        <x:v>11221RSLWHT</x:v>
      </x:c>
      <x:c r="D610" s="7" t="n">
        <x:f>'Inventory inputs'!E610</x:f>
        <x:v>46303</x:v>
      </x:c>
      <x:c r="E610" s="1" t="n">
        <x:f>'Inventory inputs'!F610</x:f>
        <x:v>600</x:v>
      </x:c>
      <x:c r="F610" s="1" t="n">
        <x:f>'Inventory inputs'!G610</x:f>
        <x:v>0</x:v>
      </x:c>
      <x:c r="G610" s="1" t="n">
        <x:f>'Inventory inputs'!H610/'Inventory inputs'!J610</x:f>
        <x:v>0.12480000000000001</x:v>
      </x:c>
      <x:c r="H610" s="1" t="n">
        <x:f>IF('Inventory inputs'!I610&gt;0,'Inventory inputs'!I610*'Inventory inputs'!K610/'Inventory inputs'!J610,"n.a.")</x:f>
        <x:v>0.145971</x:v>
      </x:c>
      <x:c r="I610" s="1" t="n">
        <x:f>'Inventory inputs'!L610</x:f>
        <x:v>0</x:v>
      </x:c>
      <x:c r="J610" s="1" t="n">
        <x:f>'Inventory inputs'!M610</x:f>
        <x:v>0</x:v>
      </x:c>
      <x:c r="K610" s="1" t="n">
        <x:f>'Inventory inputs'!N610</x:f>
        <x:v>600</x:v>
      </x:c>
      <x:c r="L610" s="1" t="n">
        <x:f>'Inventory inputs'!O610</x:f>
        <x:v>0</x:v>
      </x:c>
      <x:c r="M610" s="9" t="n">
        <x:f>E610*G610</x:f>
        <x:v>74.88000000000001</x:v>
      </x:c>
      <x:c r="N610" s="9" t="n">
        <x:f>'Inventory inputs'!Q610</x:f>
        <x:v>74.88</x:v>
      </x:c>
      <x:c r="O610" s="9" t="n">
        <x:f>N610-M610</x:f>
        <x:v>-1.4210854715202004e-14</x:v>
      </x:c>
      <x:c r="P610" s="1" t="n">
        <x:f>SUMIFS('Incoming POs'!$P$2:$P$305,'Incoming POs'!$A$2:$A$305,A610,'Incoming POs'!$B$2:$B$305,B610,'Incoming POs'!$C$2:$C$305,C610,'Incoming POs'!$G$2:$G$305,"&gt;="&amp;D610,'Incoming POs'!$G$2:$G$305,"&lt;"&amp;Dashboard!$I$5)</x:f>
        <x:v>0</x:v>
      </x:c>
      <x:c r="Q610" s="1" t="n">
        <x:f>F610*Dashboard!$L$5*MAX(0,Dashboard!$I$5-D610)/30.4375</x:f>
        <x:v>0</x:v>
      </x:c>
      <x:c r="R610" s="1" t="n">
        <x:f>MAX(0,E610+P610-Q610)</x:f>
        <x:v>600</x:v>
      </x:c>
      <x:c r="S610" s="1" t="n">
        <x:f>MAX(0,Q610-E610-P610)</x:f>
        <x:v>0</x:v>
      </x:c>
      <x:c r="T610" s="1" t="str">
        <x:f>IF(L610=1,MAX(0,I610+AB610-MIN(Q610,E610+P610)),"n.a.")</x:f>
        <x:v>n.a.</x:v>
      </x:c>
      <x:c r="U610" s="9" t="str">
        <x:f>IF(ISNUMBER(T610),T610*G610,"n.a.")</x:f>
        <x:v>n.a.</x:v>
      </x:c>
      <x:c r="V610" s="25" t="n">
        <x:f>IF(Dashboard!$I$6="Flat %",1,IF(ISNUMBER(H610),1,0))</x:f>
        <x:v>1</x:v>
      </x:c>
      <x:c r="W610" s="9" t="n">
        <x:f>IF(Dashboard!$I$6="Flat %",G610*(1+Dashboard!$L$6),H610)</x:f>
        <x:v>0.145971</x:v>
      </x:c>
      <x:c r="X610" s="9" t="n">
        <x:f>IF(V610=1,R610*(W610-G610),"n.a.")</x:f>
        <x:v>12.70259999999999</x:v>
      </x:c>
      <x:c r="Y610" s="9" t="n">
        <x:f>IF(V610=1,R610*W610,"n.a.")</x:f>
        <x:v>87.5826</x:v>
      </x:c>
      <x:c r="Z610" s="1" t="str">
        <x:f>IF(ISNUMBER(T610),R610-T610,"n.a.")</x:f>
        <x:v>n.a.</x:v>
      </x:c>
      <x:c r="AA610" s="1" t="str">
        <x:f>'Inventory inputs'!R610</x:f>
        <x:v>Review receipt reconciliation or original PO baseline</x:v>
      </x:c>
      <x:c r="AB610" s="1" t="str">
        <x:f>IF(L610=1,SUMIFS('Incoming POs'!$P$2:$P$305,'Incoming POs'!$A$2:$A$305,A610,'Incoming POs'!$B$2:$B$305,B610,'Incoming POs'!$C$2:$C$305,C610,'Incoming POs'!$G$2:$G$305,"&gt;="&amp;D610,'Incoming POs'!$G$2:$G$305,"&lt;"&amp;Dashboard!$I$5,'Incoming POs'!$Q$2:$Q$305,"&lt;="&amp;('Inventory inputs'!P610/'Inventory inputs'!J610*1.01)),"n.a.")</x:f>
        <x:v>n.a.</x:v>
      </x:c>
      <x:c r="AC610" s="9" t="n">
        <x:f>I610*G610</x:f>
        <x:v>0</x:v>
      </x:c>
      <x:c r="AD610" s="9" t="n">
        <x:f>J610*G610</x:f>
        <x:v>0</x:v>
      </x:c>
      <x:c r="AE610" s="9" t="n">
        <x:f>K610*G610</x:f>
        <x:v>74.88000000000001</x:v>
      </x:c>
      <x:c r="AF610" s="9" t="n">
        <x:f>R610*G610</x:f>
        <x:v>74.88000000000001</x:v>
      </x:c>
    </x:row>
    <x:row r="611" ht="21" customHeight="1">
      <x:c r="A611" s="1" t="str">
        <x:f>'Inventory inputs'!A611</x:f>
        <x:v>PLAS</x:v>
      </x:c>
      <x:c r="B611" s="1" t="str">
        <x:f>'Inventory inputs'!B611</x:f>
        <x:v>10</x:v>
      </x:c>
      <x:c r="C611" s="1" t="str">
        <x:f>'Inventory inputs'!C611</x:f>
        <x:v>11280ROVBLK</x:v>
      </x:c>
      <x:c r="D611" s="7" t="n">
        <x:f>'Inventory inputs'!E611</x:f>
        <x:v>46303</x:v>
      </x:c>
      <x:c r="E611" s="1" t="n">
        <x:f>'Inventory inputs'!F611</x:f>
        <x:v>2630</x:v>
      </x:c>
      <x:c r="F611" s="1" t="n">
        <x:f>'Inventory inputs'!G611</x:f>
        <x:v>0</x:v>
      </x:c>
      <x:c r="G611" s="1" t="n">
        <x:f>'Inventory inputs'!H611/'Inventory inputs'!J611</x:f>
        <x:v>0.4954</x:v>
      </x:c>
      <x:c r="H611" s="1" t="n">
        <x:f>IF('Inventory inputs'!I611&gt;0,'Inventory inputs'!I611*'Inventory inputs'!K611/'Inventory inputs'!J611,"n.a.")</x:f>
        <x:v>0.5796209999999999</x:v>
      </x:c>
      <x:c r="I611" s="1" t="n">
        <x:f>'Inventory inputs'!L611</x:f>
        <x:v>0</x:v>
      </x:c>
      <x:c r="J611" s="1" t="n">
        <x:f>'Inventory inputs'!M611</x:f>
        <x:v>0</x:v>
      </x:c>
      <x:c r="K611" s="1" t="n">
        <x:f>'Inventory inputs'!N611</x:f>
        <x:v>2630</x:v>
      </x:c>
      <x:c r="L611" s="1" t="n">
        <x:f>'Inventory inputs'!O611</x:f>
        <x:v>0</x:v>
      </x:c>
      <x:c r="M611" s="9" t="n">
        <x:f>E611*G611</x:f>
        <x:v>1302.902</x:v>
      </x:c>
      <x:c r="N611" s="9" t="n">
        <x:f>'Inventory inputs'!Q611</x:f>
        <x:v>1302.902</x:v>
      </x:c>
      <x:c r="O611" s="9" t="n">
        <x:f>N611-M611</x:f>
        <x:v>0</x:v>
      </x:c>
      <x:c r="P611" s="1" t="n">
        <x:f>SUMIFS('Incoming POs'!$P$2:$P$305,'Incoming POs'!$A$2:$A$305,A611,'Incoming POs'!$B$2:$B$305,B611,'Incoming POs'!$C$2:$C$305,C611,'Incoming POs'!$G$2:$G$305,"&gt;="&amp;D611,'Incoming POs'!$G$2:$G$305,"&lt;"&amp;Dashboard!$I$5)</x:f>
        <x:v>0</x:v>
      </x:c>
      <x:c r="Q611" s="1" t="n">
        <x:f>F611*Dashboard!$L$5*MAX(0,Dashboard!$I$5-D611)/30.4375</x:f>
        <x:v>0</x:v>
      </x:c>
      <x:c r="R611" s="1" t="n">
        <x:f>MAX(0,E611+P611-Q611)</x:f>
        <x:v>2630</x:v>
      </x:c>
      <x:c r="S611" s="1" t="n">
        <x:f>MAX(0,Q611-E611-P611)</x:f>
        <x:v>0</x:v>
      </x:c>
      <x:c r="T611" s="1" t="str">
        <x:f>IF(L611=1,MAX(0,I611+AB611-MIN(Q611,E611+P611)),"n.a.")</x:f>
        <x:v>n.a.</x:v>
      </x:c>
      <x:c r="U611" s="9" t="str">
        <x:f>IF(ISNUMBER(T611),T611*G611,"n.a.")</x:f>
        <x:v>n.a.</x:v>
      </x:c>
      <x:c r="V611" s="25" t="n">
        <x:f>IF(Dashboard!$I$6="Flat %",1,IF(ISNUMBER(H611),1,0))</x:f>
        <x:v>1</x:v>
      </x:c>
      <x:c r="W611" s="9" t="n">
        <x:f>IF(Dashboard!$I$6="Flat %",G611*(1+Dashboard!$L$6),H611)</x:f>
        <x:v>0.5796209999999999</x:v>
      </x:c>
      <x:c r="X611" s="9" t="n">
        <x:f>IF(V611=1,R611*(W611-G611),"n.a.")</x:f>
        <x:v>221.50122999999982</x:v>
      </x:c>
      <x:c r="Y611" s="9" t="n">
        <x:f>IF(V611=1,R611*W611,"n.a.")</x:f>
        <x:v>1524.40323</x:v>
      </x:c>
      <x:c r="Z611" s="1" t="str">
        <x:f>IF(ISNUMBER(T611),R611-T611,"n.a.")</x:f>
        <x:v>n.a.</x:v>
      </x:c>
      <x:c r="AA611" s="1" t="str">
        <x:f>'Inventory inputs'!R611</x:f>
        <x:v>Review receipt reconciliation or original PO baseline</x:v>
      </x:c>
      <x:c r="AB611" s="1" t="str">
        <x:f>IF(L611=1,SUMIFS('Incoming POs'!$P$2:$P$305,'Incoming POs'!$A$2:$A$305,A611,'Incoming POs'!$B$2:$B$305,B611,'Incoming POs'!$C$2:$C$305,C611,'Incoming POs'!$G$2:$G$305,"&gt;="&amp;D611,'Incoming POs'!$G$2:$G$305,"&lt;"&amp;Dashboard!$I$5,'Incoming POs'!$Q$2:$Q$305,"&lt;="&amp;('Inventory inputs'!P611/'Inventory inputs'!J611*1.01)),"n.a.")</x:f>
        <x:v>n.a.</x:v>
      </x:c>
      <x:c r="AC611" s="9" t="n">
        <x:f>I611*G611</x:f>
        <x:v>0</x:v>
      </x:c>
      <x:c r="AD611" s="9" t="n">
        <x:f>J611*G611</x:f>
        <x:v>0</x:v>
      </x:c>
      <x:c r="AE611" s="9" t="n">
        <x:f>K611*G611</x:f>
        <x:v>1302.902</x:v>
      </x:c>
      <x:c r="AF611" s="9" t="n">
        <x:f>R611*G611</x:f>
        <x:v>1302.902</x:v>
      </x:c>
    </x:row>
    <x:row r="612" ht="21" customHeight="1">
      <x:c r="A612" s="1" t="str">
        <x:f>'Inventory inputs'!A612</x:f>
        <x:v>PLAS</x:v>
      </x:c>
      <x:c r="B612" s="1" t="str">
        <x:f>'Inventory inputs'!B612</x:f>
        <x:v>10</x:v>
      </x:c>
      <x:c r="C612" s="1" t="str">
        <x:f>'Inventory inputs'!C612</x:f>
        <x:v>11280ROVBLU</x:v>
      </x:c>
      <x:c r="D612" s="7" t="n">
        <x:f>'Inventory inputs'!E612</x:f>
        <x:v>46303</x:v>
      </x:c>
      <x:c r="E612" s="1" t="n">
        <x:f>'Inventory inputs'!F612</x:f>
        <x:v>500</x:v>
      </x:c>
      <x:c r="F612" s="1" t="n">
        <x:f>'Inventory inputs'!G612</x:f>
        <x:v>0</x:v>
      </x:c>
      <x:c r="G612" s="1" t="n">
        <x:f>'Inventory inputs'!H612/'Inventory inputs'!J612</x:f>
        <x:v>0.38380000000000003</x:v>
      </x:c>
      <x:c r="H612" s="1" t="n">
        <x:f>IF('Inventory inputs'!I612&gt;0,'Inventory inputs'!I612*'Inventory inputs'!K612/'Inventory inputs'!J612,"n.a.")</x:f>
        <x:v>0.5796209999999999</x:v>
      </x:c>
      <x:c r="I612" s="1" t="n">
        <x:f>'Inventory inputs'!L612</x:f>
        <x:v>0</x:v>
      </x:c>
      <x:c r="J612" s="1" t="n">
        <x:f>'Inventory inputs'!M612</x:f>
        <x:v>0</x:v>
      </x:c>
      <x:c r="K612" s="1" t="n">
        <x:f>'Inventory inputs'!N612</x:f>
        <x:v>500</x:v>
      </x:c>
      <x:c r="L612" s="1" t="n">
        <x:f>'Inventory inputs'!O612</x:f>
        <x:v>0</x:v>
      </x:c>
      <x:c r="M612" s="9" t="n">
        <x:f>E612*G612</x:f>
        <x:v>191.9</x:v>
      </x:c>
      <x:c r="N612" s="9" t="n">
        <x:f>'Inventory inputs'!Q612</x:f>
        <x:v>191.9</x:v>
      </x:c>
      <x:c r="O612" s="9" t="n">
        <x:f>N612-M612</x:f>
        <x:v>0</x:v>
      </x:c>
      <x:c r="P612" s="1" t="n">
        <x:f>SUMIFS('Incoming POs'!$P$2:$P$305,'Incoming POs'!$A$2:$A$305,A612,'Incoming POs'!$B$2:$B$305,B612,'Incoming POs'!$C$2:$C$305,C612,'Incoming POs'!$G$2:$G$305,"&gt;="&amp;D612,'Incoming POs'!$G$2:$G$305,"&lt;"&amp;Dashboard!$I$5)</x:f>
        <x:v>0</x:v>
      </x:c>
      <x:c r="Q612" s="1" t="n">
        <x:f>F612*Dashboard!$L$5*MAX(0,Dashboard!$I$5-D612)/30.4375</x:f>
        <x:v>0</x:v>
      </x:c>
      <x:c r="R612" s="1" t="n">
        <x:f>MAX(0,E612+P612-Q612)</x:f>
        <x:v>500</x:v>
      </x:c>
      <x:c r="S612" s="1" t="n">
        <x:f>MAX(0,Q612-E612-P612)</x:f>
        <x:v>0</x:v>
      </x:c>
      <x:c r="T612" s="1" t="str">
        <x:f>IF(L612=1,MAX(0,I612+AB612-MIN(Q612,E612+P612)),"n.a.")</x:f>
        <x:v>n.a.</x:v>
      </x:c>
      <x:c r="U612" s="9" t="str">
        <x:f>IF(ISNUMBER(T612),T612*G612,"n.a.")</x:f>
        <x:v>n.a.</x:v>
      </x:c>
      <x:c r="V612" s="25" t="n">
        <x:f>IF(Dashboard!$I$6="Flat %",1,IF(ISNUMBER(H612),1,0))</x:f>
        <x:v>1</x:v>
      </x:c>
      <x:c r="W612" s="9" t="n">
        <x:f>IF(Dashboard!$I$6="Flat %",G612*(1+Dashboard!$L$6),H612)</x:f>
        <x:v>0.5796209999999999</x:v>
      </x:c>
      <x:c r="X612" s="9" t="n">
        <x:f>IF(V612=1,R612*(W612-G612),"n.a.")</x:f>
        <x:v>97.91049999999996</x:v>
      </x:c>
      <x:c r="Y612" s="9" t="n">
        <x:f>IF(V612=1,R612*W612,"n.a.")</x:f>
        <x:v>289.8105</x:v>
      </x:c>
      <x:c r="Z612" s="1" t="str">
        <x:f>IF(ISNUMBER(T612),R612-T612,"n.a.")</x:f>
        <x:v>n.a.</x:v>
      </x:c>
      <x:c r="AA612" s="1" t="str">
        <x:f>'Inventory inputs'!R612</x:f>
        <x:v>Review receipt reconciliation or original PO baseline</x:v>
      </x:c>
      <x:c r="AB612" s="1" t="str">
        <x:f>IF(L612=1,SUMIFS('Incoming POs'!$P$2:$P$305,'Incoming POs'!$A$2:$A$305,A612,'Incoming POs'!$B$2:$B$305,B612,'Incoming POs'!$C$2:$C$305,C612,'Incoming POs'!$G$2:$G$305,"&gt;="&amp;D612,'Incoming POs'!$G$2:$G$305,"&lt;"&amp;Dashboard!$I$5,'Incoming POs'!$Q$2:$Q$305,"&lt;="&amp;('Inventory inputs'!P612/'Inventory inputs'!J612*1.01)),"n.a.")</x:f>
        <x:v>n.a.</x:v>
      </x:c>
      <x:c r="AC612" s="9" t="n">
        <x:f>I612*G612</x:f>
        <x:v>0</x:v>
      </x:c>
      <x:c r="AD612" s="9" t="n">
        <x:f>J612*G612</x:f>
        <x:v>0</x:v>
      </x:c>
      <x:c r="AE612" s="9" t="n">
        <x:f>K612*G612</x:f>
        <x:v>191.9</x:v>
      </x:c>
      <x:c r="AF612" s="9" t="n">
        <x:f>R612*G612</x:f>
        <x:v>191.9</x:v>
      </x:c>
    </x:row>
    <x:row r="613" ht="21" customHeight="1">
      <x:c r="A613" s="1" t="str">
        <x:f>'Inventory inputs'!A613</x:f>
        <x:v>PLAS</x:v>
      </x:c>
      <x:c r="B613" s="1" t="str">
        <x:f>'Inventory inputs'!B613</x:f>
        <x:v>10</x:v>
      </x:c>
      <x:c r="C613" s="1" t="str">
        <x:f>'Inventory inputs'!C613</x:f>
        <x:v>11280ROVRED</x:v>
      </x:c>
      <x:c r="D613" s="7" t="n">
        <x:f>'Inventory inputs'!E613</x:f>
        <x:v>46303</x:v>
      </x:c>
      <x:c r="E613" s="1" t="n">
        <x:f>'Inventory inputs'!F613</x:f>
        <x:v>318</x:v>
      </x:c>
      <x:c r="F613" s="1" t="n">
        <x:f>'Inventory inputs'!G613</x:f>
        <x:v>0</x:v>
      </x:c>
      <x:c r="G613" s="1" t="n">
        <x:f>'Inventory inputs'!H613/'Inventory inputs'!J613</x:f>
        <x:v>0.38380000000000003</x:v>
      </x:c>
      <x:c r="H613" s="1" t="n">
        <x:f>IF('Inventory inputs'!I613&gt;0,'Inventory inputs'!I613*'Inventory inputs'!K613/'Inventory inputs'!J613,"n.a.")</x:f>
        <x:v>0.5796209999999999</x:v>
      </x:c>
      <x:c r="I613" s="1" t="n">
        <x:f>'Inventory inputs'!L613</x:f>
        <x:v>0</x:v>
      </x:c>
      <x:c r="J613" s="1" t="n">
        <x:f>'Inventory inputs'!M613</x:f>
        <x:v>0</x:v>
      </x:c>
      <x:c r="K613" s="1" t="n">
        <x:f>'Inventory inputs'!N613</x:f>
        <x:v>318</x:v>
      </x:c>
      <x:c r="L613" s="1" t="n">
        <x:f>'Inventory inputs'!O613</x:f>
        <x:v>0</x:v>
      </x:c>
      <x:c r="M613" s="9" t="n">
        <x:f>E613*G613</x:f>
        <x:v>122.04840000000002</x:v>
      </x:c>
      <x:c r="N613" s="9" t="n">
        <x:f>'Inventory inputs'!Q613</x:f>
        <x:v>122.0484</x:v>
      </x:c>
      <x:c r="O613" s="9" t="n">
        <x:f>N613-M613</x:f>
        <x:v>-1.4210854715202004e-14</x:v>
      </x:c>
      <x:c r="P613" s="1" t="n">
        <x:f>SUMIFS('Incoming POs'!$P$2:$P$305,'Incoming POs'!$A$2:$A$305,A613,'Incoming POs'!$B$2:$B$305,B613,'Incoming POs'!$C$2:$C$305,C613,'Incoming POs'!$G$2:$G$305,"&gt;="&amp;D613,'Incoming POs'!$G$2:$G$305,"&lt;"&amp;Dashboard!$I$5)</x:f>
        <x:v>0</x:v>
      </x:c>
      <x:c r="Q613" s="1" t="n">
        <x:f>F613*Dashboard!$L$5*MAX(0,Dashboard!$I$5-D613)/30.4375</x:f>
        <x:v>0</x:v>
      </x:c>
      <x:c r="R613" s="1" t="n">
        <x:f>MAX(0,E613+P613-Q613)</x:f>
        <x:v>318</x:v>
      </x:c>
      <x:c r="S613" s="1" t="n">
        <x:f>MAX(0,Q613-E613-P613)</x:f>
        <x:v>0</x:v>
      </x:c>
      <x:c r="T613" s="1" t="str">
        <x:f>IF(L613=1,MAX(0,I613+AB613-MIN(Q613,E613+P613)),"n.a.")</x:f>
        <x:v>n.a.</x:v>
      </x:c>
      <x:c r="U613" s="9" t="str">
        <x:f>IF(ISNUMBER(T613),T613*G613,"n.a.")</x:f>
        <x:v>n.a.</x:v>
      </x:c>
      <x:c r="V613" s="25" t="n">
        <x:f>IF(Dashboard!$I$6="Flat %",1,IF(ISNUMBER(H613),1,0))</x:f>
        <x:v>1</x:v>
      </x:c>
      <x:c r="W613" s="9" t="n">
        <x:f>IF(Dashboard!$I$6="Flat %",G613*(1+Dashboard!$L$6),H613)</x:f>
        <x:v>0.5796209999999999</x:v>
      </x:c>
      <x:c r="X613" s="9" t="n">
        <x:f>IF(V613=1,R613*(W613-G613),"n.a.")</x:f>
        <x:v>62.271077999999974</x:v>
      </x:c>
      <x:c r="Y613" s="9" t="n">
        <x:f>IF(V613=1,R613*W613,"n.a.")</x:f>
        <x:v>184.31947799999998</x:v>
      </x:c>
      <x:c r="Z613" s="1" t="str">
        <x:f>IF(ISNUMBER(T613),R613-T613,"n.a.")</x:f>
        <x:v>n.a.</x:v>
      </x:c>
      <x:c r="AA613" s="1" t="str">
        <x:f>'Inventory inputs'!R613</x:f>
        <x:v>Review receipt reconciliation or original PO baseline</x:v>
      </x:c>
      <x:c r="AB613" s="1" t="str">
        <x:f>IF(L613=1,SUMIFS('Incoming POs'!$P$2:$P$305,'Incoming POs'!$A$2:$A$305,A613,'Incoming POs'!$B$2:$B$305,B613,'Incoming POs'!$C$2:$C$305,C613,'Incoming POs'!$G$2:$G$305,"&gt;="&amp;D613,'Incoming POs'!$G$2:$G$305,"&lt;"&amp;Dashboard!$I$5,'Incoming POs'!$Q$2:$Q$305,"&lt;="&amp;('Inventory inputs'!P613/'Inventory inputs'!J613*1.01)),"n.a.")</x:f>
        <x:v>n.a.</x:v>
      </x:c>
      <x:c r="AC613" s="9" t="n">
        <x:f>I613*G613</x:f>
        <x:v>0</x:v>
      </x:c>
      <x:c r="AD613" s="9" t="n">
        <x:f>J613*G613</x:f>
        <x:v>0</x:v>
      </x:c>
      <x:c r="AE613" s="9" t="n">
        <x:f>K613*G613</x:f>
        <x:v>122.04840000000002</x:v>
      </x:c>
      <x:c r="AF613" s="9" t="n">
        <x:f>R613*G613</x:f>
        <x:v>122.04840000000002</x:v>
      </x:c>
    </x:row>
    <x:row r="614" ht="21" customHeight="1">
      <x:c r="A614" s="1" t="str">
        <x:f>'Inventory inputs'!A614</x:f>
        <x:v>PLAS</x:v>
      </x:c>
      <x:c r="B614" s="1" t="str">
        <x:f>'Inventory inputs'!B614</x:f>
        <x:v>10</x:v>
      </x:c>
      <x:c r="C614" s="1" t="str">
        <x:f>'Inventory inputs'!C614</x:f>
        <x:v>11280ROVWHT</x:v>
      </x:c>
      <x:c r="D614" s="7" t="n">
        <x:f>'Inventory inputs'!E614</x:f>
        <x:v>46303</x:v>
      </x:c>
      <x:c r="E614" s="1" t="n">
        <x:f>'Inventory inputs'!F614</x:f>
        <x:v>1293</x:v>
      </x:c>
      <x:c r="F614" s="1" t="n">
        <x:f>'Inventory inputs'!G614</x:f>
        <x:v>0</x:v>
      </x:c>
      <x:c r="G614" s="1" t="n">
        <x:f>'Inventory inputs'!H614/'Inventory inputs'!J614</x:f>
        <x:v>0.4954</x:v>
      </x:c>
      <x:c r="H614" s="1" t="n">
        <x:f>IF('Inventory inputs'!I614&gt;0,'Inventory inputs'!I614*'Inventory inputs'!K614/'Inventory inputs'!J614,"n.a.")</x:f>
        <x:v>0.5796209999999999</x:v>
      </x:c>
      <x:c r="I614" s="1" t="n">
        <x:f>'Inventory inputs'!L614</x:f>
        <x:v>0</x:v>
      </x:c>
      <x:c r="J614" s="1" t="n">
        <x:f>'Inventory inputs'!M614</x:f>
        <x:v>0</x:v>
      </x:c>
      <x:c r="K614" s="1" t="n">
        <x:f>'Inventory inputs'!N614</x:f>
        <x:v>1293</x:v>
      </x:c>
      <x:c r="L614" s="1" t="n">
        <x:f>'Inventory inputs'!O614</x:f>
        <x:v>0</x:v>
      </x:c>
      <x:c r="M614" s="9" t="n">
        <x:f>E614*G614</x:f>
        <x:v>640.5522</x:v>
      </x:c>
      <x:c r="N614" s="9" t="n">
        <x:f>'Inventory inputs'!Q614</x:f>
        <x:v>640.5522</x:v>
      </x:c>
      <x:c r="O614" s="9" t="n">
        <x:f>N614-M614</x:f>
        <x:v>0</x:v>
      </x:c>
      <x:c r="P614" s="1" t="n">
        <x:f>SUMIFS('Incoming POs'!$P$2:$P$305,'Incoming POs'!$A$2:$A$305,A614,'Incoming POs'!$B$2:$B$305,B614,'Incoming POs'!$C$2:$C$305,C614,'Incoming POs'!$G$2:$G$305,"&gt;="&amp;D614,'Incoming POs'!$G$2:$G$305,"&lt;"&amp;Dashboard!$I$5)</x:f>
        <x:v>0</x:v>
      </x:c>
      <x:c r="Q614" s="1" t="n">
        <x:f>F614*Dashboard!$L$5*MAX(0,Dashboard!$I$5-D614)/30.4375</x:f>
        <x:v>0</x:v>
      </x:c>
      <x:c r="R614" s="1" t="n">
        <x:f>MAX(0,E614+P614-Q614)</x:f>
        <x:v>1293</x:v>
      </x:c>
      <x:c r="S614" s="1" t="n">
        <x:f>MAX(0,Q614-E614-P614)</x:f>
        <x:v>0</x:v>
      </x:c>
      <x:c r="T614" s="1" t="str">
        <x:f>IF(L614=1,MAX(0,I614+AB614-MIN(Q614,E614+P614)),"n.a.")</x:f>
        <x:v>n.a.</x:v>
      </x:c>
      <x:c r="U614" s="9" t="str">
        <x:f>IF(ISNUMBER(T614),T614*G614,"n.a.")</x:f>
        <x:v>n.a.</x:v>
      </x:c>
      <x:c r="V614" s="25" t="n">
        <x:f>IF(Dashboard!$I$6="Flat %",1,IF(ISNUMBER(H614),1,0))</x:f>
        <x:v>1</x:v>
      </x:c>
      <x:c r="W614" s="9" t="n">
        <x:f>IF(Dashboard!$I$6="Flat %",G614*(1+Dashboard!$L$6),H614)</x:f>
        <x:v>0.5796209999999999</x:v>
      </x:c>
      <x:c r="X614" s="9" t="n">
        <x:f>IF(V614=1,R614*(W614-G614),"n.a.")</x:f>
        <x:v>108.89775299999991</x:v>
      </x:c>
      <x:c r="Y614" s="9" t="n">
        <x:f>IF(V614=1,R614*W614,"n.a.")</x:f>
        <x:v>749.4499529999999</x:v>
      </x:c>
      <x:c r="Z614" s="1" t="str">
        <x:f>IF(ISNUMBER(T614),R614-T614,"n.a.")</x:f>
        <x:v>n.a.</x:v>
      </x:c>
      <x:c r="AA614" s="1" t="str">
        <x:f>'Inventory inputs'!R614</x:f>
        <x:v>Review receipt reconciliation or original PO baseline</x:v>
      </x:c>
      <x:c r="AB614" s="1" t="str">
        <x:f>IF(L614=1,SUMIFS('Incoming POs'!$P$2:$P$305,'Incoming POs'!$A$2:$A$305,A614,'Incoming POs'!$B$2:$B$305,B614,'Incoming POs'!$C$2:$C$305,C614,'Incoming POs'!$G$2:$G$305,"&gt;="&amp;D614,'Incoming POs'!$G$2:$G$305,"&lt;"&amp;Dashboard!$I$5,'Incoming POs'!$Q$2:$Q$305,"&lt;="&amp;('Inventory inputs'!P614/'Inventory inputs'!J614*1.01)),"n.a.")</x:f>
        <x:v>n.a.</x:v>
      </x:c>
      <x:c r="AC614" s="9" t="n">
        <x:f>I614*G614</x:f>
        <x:v>0</x:v>
      </x:c>
      <x:c r="AD614" s="9" t="n">
        <x:f>J614*G614</x:f>
        <x:v>0</x:v>
      </x:c>
      <x:c r="AE614" s="9" t="n">
        <x:f>K614*G614</x:f>
        <x:v>640.5522</x:v>
      </x:c>
      <x:c r="AF614" s="9" t="n">
        <x:f>R614*G614</x:f>
        <x:v>640.5522</x:v>
      </x:c>
    </x:row>
    <x:row r="615" ht="21" customHeight="1">
      <x:c r="A615" s="1" t="str">
        <x:f>'Inventory inputs'!A615</x:f>
        <x:v>PLAS</x:v>
      </x:c>
      <x:c r="B615" s="1" t="str">
        <x:f>'Inventory inputs'!B615</x:f>
        <x:v>10</x:v>
      </x:c>
      <x:c r="C615" s="1" t="str">
        <x:f>'Inventory inputs'!C615</x:f>
        <x:v>11415ROVBRN</x:v>
      </x:c>
      <x:c r="D615" s="7" t="n">
        <x:f>'Inventory inputs'!E615</x:f>
        <x:v>46303</x:v>
      </x:c>
      <x:c r="E615" s="1" t="n">
        <x:f>'Inventory inputs'!F615</x:f>
        <x:v>4000</x:v>
      </x:c>
      <x:c r="F615" s="1" t="n">
        <x:f>'Inventory inputs'!G615</x:f>
        <x:v>0</x:v>
      </x:c>
      <x:c r="G615" s="1" t="n">
        <x:f>'Inventory inputs'!H615/'Inventory inputs'!J615</x:f>
        <x:v>0.0883</x:v>
      </x:c>
      <x:c r="H615" s="1" t="n">
        <x:f>IF('Inventory inputs'!I615&gt;0,'Inventory inputs'!I615*'Inventory inputs'!K615/'Inventory inputs'!J615,"n.a.")</x:f>
        <x:v>0.10334099999999999</x:v>
      </x:c>
      <x:c r="I615" s="1" t="n">
        <x:f>'Inventory inputs'!L615</x:f>
        <x:v>4000</x:v>
      </x:c>
      <x:c r="J615" s="1" t="n">
        <x:f>'Inventory inputs'!M615</x:f>
        <x:v>0</x:v>
      </x:c>
      <x:c r="K615" s="1" t="n">
        <x:f>'Inventory inputs'!N615</x:f>
        <x:v>0</x:v>
      </x:c>
      <x:c r="L615" s="1" t="n">
        <x:f>'Inventory inputs'!O615</x:f>
        <x:v>1</x:v>
      </x:c>
      <x:c r="M615" s="9" t="n">
        <x:f>E615*G615</x:f>
        <x:v>353.2</x:v>
      </x:c>
      <x:c r="N615" s="9" t="n">
        <x:f>'Inventory inputs'!Q615</x:f>
        <x:v>353.2</x:v>
      </x:c>
      <x:c r="O615" s="9" t="n">
        <x:f>N615-M615</x:f>
        <x:v>0</x:v>
      </x:c>
      <x:c r="P615" s="1" t="n">
        <x:f>SUMIFS('Incoming POs'!$P$2:$P$305,'Incoming POs'!$A$2:$A$305,A615,'Incoming POs'!$B$2:$B$305,B615,'Incoming POs'!$C$2:$C$305,C615,'Incoming POs'!$G$2:$G$305,"&gt;="&amp;D615,'Incoming POs'!$G$2:$G$305,"&lt;"&amp;Dashboard!$I$5)</x:f>
        <x:v>0</x:v>
      </x:c>
      <x:c r="Q615" s="1" t="n">
        <x:f>F615*Dashboard!$L$5*MAX(0,Dashboard!$I$5-D615)/30.4375</x:f>
        <x:v>0</x:v>
      </x:c>
      <x:c r="R615" s="1" t="n">
        <x:f>MAX(0,E615+P615-Q615)</x:f>
        <x:v>4000</x:v>
      </x:c>
      <x:c r="S615" s="1" t="n">
        <x:f>MAX(0,Q615-E615-P615)</x:f>
        <x:v>0</x:v>
      </x:c>
      <x:c r="T615" s="1" t="n">
        <x:f>IF(L615=1,MAX(0,I615+AB615-MIN(Q615,E615+P615)),"n.a.")</x:f>
        <x:v>4000</x:v>
      </x:c>
      <x:c r="U615" s="9" t="n">
        <x:f>IF(ISNUMBER(T615),T615*G615,"n.a.")</x:f>
        <x:v>353.2</x:v>
      </x:c>
      <x:c r="V615" s="25" t="n">
        <x:f>IF(Dashboard!$I$6="Flat %",1,IF(ISNUMBER(H615),1,0))</x:f>
        <x:v>1</x:v>
      </x:c>
      <x:c r="W615" s="9" t="n">
        <x:f>IF(Dashboard!$I$6="Flat %",G615*(1+Dashboard!$L$6),H615)</x:f>
        <x:v>0.10334099999999999</x:v>
      </x:c>
      <x:c r="X615" s="9" t="n">
        <x:f>IF(V615=1,R615*(W615-G615),"n.a.")</x:f>
        <x:v>60.16399999999994</x:v>
      </x:c>
      <x:c r="Y615" s="9" t="n">
        <x:f>IF(V615=1,R615*W615,"n.a.")</x:f>
        <x:v>413.364</x:v>
      </x:c>
      <x:c r="Z615" s="1" t="n">
        <x:f>IF(ISNUMBER(T615),R615-T615,"n.a.")</x:f>
        <x:v>0</x:v>
      </x:c>
      <x:c r="AA615" s="1" t="str">
        <x:f>'Inventory inputs'!R615</x:f>
        <x:v>Classified</x:v>
      </x:c>
      <x:c r="AB615" s="1" t="n">
        <x:f>IF(L615=1,SUMIFS('Incoming POs'!$P$2:$P$305,'Incoming POs'!$A$2:$A$305,A615,'Incoming POs'!$B$2:$B$305,B615,'Incoming POs'!$C$2:$C$305,C615,'Incoming POs'!$G$2:$G$305,"&gt;="&amp;D615,'Incoming POs'!$G$2:$G$305,"&lt;"&amp;Dashboard!$I$5,'Incoming POs'!$Q$2:$Q$305,"&lt;="&amp;('Inventory inputs'!P615/'Inventory inputs'!J615*1.01)),"n.a.")</x:f>
        <x:v>0</x:v>
      </x:c>
      <x:c r="AC615" s="9" t="n">
        <x:f>I615*G615</x:f>
        <x:v>353.2</x:v>
      </x:c>
      <x:c r="AD615" s="9" t="n">
        <x:f>J615*G615</x:f>
        <x:v>0</x:v>
      </x:c>
      <x:c r="AE615" s="9" t="n">
        <x:f>K615*G615</x:f>
        <x:v>0</x:v>
      </x:c>
      <x:c r="AF615" s="9" t="n">
        <x:f>R615*G615</x:f>
        <x:v>353.2</x:v>
      </x:c>
    </x:row>
    <x:row r="616" ht="21" customHeight="1">
      <x:c r="A616" s="1" t="str">
        <x:f>'Inventory inputs'!A616</x:f>
        <x:v>PLAS</x:v>
      </x:c>
      <x:c r="B616" s="1" t="str">
        <x:f>'Inventory inputs'!B616</x:f>
        <x:v>10</x:v>
      </x:c>
      <x:c r="C616" s="1" t="str">
        <x:f>'Inventory inputs'!C616</x:f>
        <x:v>11415ROVMAR</x:v>
      </x:c>
      <x:c r="D616" s="7" t="n">
        <x:f>'Inventory inputs'!E616</x:f>
        <x:v>46303</x:v>
      </x:c>
      <x:c r="E616" s="1" t="n">
        <x:f>'Inventory inputs'!F616</x:f>
        <x:v>3100</x:v>
      </x:c>
      <x:c r="F616" s="1" t="n">
        <x:f>'Inventory inputs'!G616</x:f>
        <x:v>0</x:v>
      </x:c>
      <x:c r="G616" s="1" t="n">
        <x:f>'Inventory inputs'!H616/'Inventory inputs'!J616</x:f>
        <x:v>0.0883</x:v>
      </x:c>
      <x:c r="H616" s="1" t="n">
        <x:f>IF('Inventory inputs'!I616&gt;0,'Inventory inputs'!I616*'Inventory inputs'!K616/'Inventory inputs'!J616,"n.a.")</x:f>
        <x:v>0.10334099999999999</x:v>
      </x:c>
      <x:c r="I616" s="1" t="n">
        <x:f>'Inventory inputs'!L616</x:f>
        <x:v>0</x:v>
      </x:c>
      <x:c r="J616" s="1" t="n">
        <x:f>'Inventory inputs'!M616</x:f>
        <x:v>0</x:v>
      </x:c>
      <x:c r="K616" s="1" t="n">
        <x:f>'Inventory inputs'!N616</x:f>
        <x:v>3100</x:v>
      </x:c>
      <x:c r="L616" s="1" t="n">
        <x:f>'Inventory inputs'!O616</x:f>
        <x:v>0</x:v>
      </x:c>
      <x:c r="M616" s="9" t="n">
        <x:f>E616*G616</x:f>
        <x:v>273.73</x:v>
      </x:c>
      <x:c r="N616" s="9" t="n">
        <x:f>'Inventory inputs'!Q616</x:f>
        <x:v>273.73</x:v>
      </x:c>
      <x:c r="O616" s="9" t="n">
        <x:f>N616-M616</x:f>
        <x:v>0</x:v>
      </x:c>
      <x:c r="P616" s="1" t="n">
        <x:f>SUMIFS('Incoming POs'!$P$2:$P$305,'Incoming POs'!$A$2:$A$305,A616,'Incoming POs'!$B$2:$B$305,B616,'Incoming POs'!$C$2:$C$305,C616,'Incoming POs'!$G$2:$G$305,"&gt;="&amp;D616,'Incoming POs'!$G$2:$G$305,"&lt;"&amp;Dashboard!$I$5)</x:f>
        <x:v>0</x:v>
      </x:c>
      <x:c r="Q616" s="1" t="n">
        <x:f>F616*Dashboard!$L$5*MAX(0,Dashboard!$I$5-D616)/30.4375</x:f>
        <x:v>0</x:v>
      </x:c>
      <x:c r="R616" s="1" t="n">
        <x:f>MAX(0,E616+P616-Q616)</x:f>
        <x:v>3100</x:v>
      </x:c>
      <x:c r="S616" s="1" t="n">
        <x:f>MAX(0,Q616-E616-P616)</x:f>
        <x:v>0</x:v>
      </x:c>
      <x:c r="T616" s="1" t="str">
        <x:f>IF(L616=1,MAX(0,I616+AB616-MIN(Q616,E616+P616)),"n.a.")</x:f>
        <x:v>n.a.</x:v>
      </x:c>
      <x:c r="U616" s="9" t="str">
        <x:f>IF(ISNUMBER(T616),T616*G616,"n.a.")</x:f>
        <x:v>n.a.</x:v>
      </x:c>
      <x:c r="V616" s="25" t="n">
        <x:f>IF(Dashboard!$I$6="Flat %",1,IF(ISNUMBER(H616),1,0))</x:f>
        <x:v>1</x:v>
      </x:c>
      <x:c r="W616" s="9" t="n">
        <x:f>IF(Dashboard!$I$6="Flat %",G616*(1+Dashboard!$L$6),H616)</x:f>
        <x:v>0.10334099999999999</x:v>
      </x:c>
      <x:c r="X616" s="9" t="n">
        <x:f>IF(V616=1,R616*(W616-G616),"n.a.")</x:f>
        <x:v>46.627099999999956</x:v>
      </x:c>
      <x:c r="Y616" s="9" t="n">
        <x:f>IF(V616=1,R616*W616,"n.a.")</x:f>
        <x:v>320.35709999999995</x:v>
      </x:c>
      <x:c r="Z616" s="1" t="str">
        <x:f>IF(ISNUMBER(T616),R616-T616,"n.a.")</x:f>
        <x:v>n.a.</x:v>
      </x:c>
      <x:c r="AA616" s="1" t="str">
        <x:f>'Inventory inputs'!R616</x:f>
        <x:v>Review receipt reconciliation or original PO baseline</x:v>
      </x:c>
      <x:c r="AB616" s="1" t="str">
        <x:f>IF(L616=1,SUMIFS('Incoming POs'!$P$2:$P$305,'Incoming POs'!$A$2:$A$305,A616,'Incoming POs'!$B$2:$B$305,B616,'Incoming POs'!$C$2:$C$305,C616,'Incoming POs'!$G$2:$G$305,"&gt;="&amp;D616,'Incoming POs'!$G$2:$G$305,"&lt;"&amp;Dashboard!$I$5,'Incoming POs'!$Q$2:$Q$305,"&lt;="&amp;('Inventory inputs'!P616/'Inventory inputs'!J616*1.01)),"n.a.")</x:f>
        <x:v>n.a.</x:v>
      </x:c>
      <x:c r="AC616" s="9" t="n">
        <x:f>I616*G616</x:f>
        <x:v>0</x:v>
      </x:c>
      <x:c r="AD616" s="9" t="n">
        <x:f>J616*G616</x:f>
        <x:v>0</x:v>
      </x:c>
      <x:c r="AE616" s="9" t="n">
        <x:f>K616*G616</x:f>
        <x:v>273.73</x:v>
      </x:c>
      <x:c r="AF616" s="9" t="n">
        <x:f>R616*G616</x:f>
        <x:v>273.73</x:v>
      </x:c>
    </x:row>
    <x:row r="617" ht="21" customHeight="1">
      <x:c r="A617" s="1" t="str">
        <x:f>'Inventory inputs'!A617</x:f>
        <x:v>PLAS</x:v>
      </x:c>
      <x:c r="B617" s="1" t="str">
        <x:f>'Inventory inputs'!B617</x:f>
        <x:v>10</x:v>
      </x:c>
      <x:c r="C617" s="1" t="str">
        <x:f>'Inventory inputs'!C617</x:f>
        <x:v>11415ROVNAV</x:v>
      </x:c>
      <x:c r="D617" s="7" t="n">
        <x:f>'Inventory inputs'!E617</x:f>
        <x:v>46303</x:v>
      </x:c>
      <x:c r="E617" s="1" t="n">
        <x:f>'Inventory inputs'!F617</x:f>
        <x:v>1500</x:v>
      </x:c>
      <x:c r="F617" s="1" t="n">
        <x:f>'Inventory inputs'!G617</x:f>
        <x:v>0</x:v>
      </x:c>
      <x:c r="G617" s="1" t="n">
        <x:f>'Inventory inputs'!H617/'Inventory inputs'!J617</x:f>
        <x:v>0.0883</x:v>
      </x:c>
      <x:c r="H617" s="1" t="n">
        <x:f>IF('Inventory inputs'!I617&gt;0,'Inventory inputs'!I617*'Inventory inputs'!K617/'Inventory inputs'!J617,"n.a.")</x:f>
        <x:v>0.10334099999999999</x:v>
      </x:c>
      <x:c r="I617" s="1" t="n">
        <x:f>'Inventory inputs'!L617</x:f>
        <x:v>0</x:v>
      </x:c>
      <x:c r="J617" s="1" t="n">
        <x:f>'Inventory inputs'!M617</x:f>
        <x:v>0</x:v>
      </x:c>
      <x:c r="K617" s="1" t="n">
        <x:f>'Inventory inputs'!N617</x:f>
        <x:v>1500</x:v>
      </x:c>
      <x:c r="L617" s="1" t="n">
        <x:f>'Inventory inputs'!O617</x:f>
        <x:v>0</x:v>
      </x:c>
      <x:c r="M617" s="9" t="n">
        <x:f>E617*G617</x:f>
        <x:v>132.45000000000002</x:v>
      </x:c>
      <x:c r="N617" s="9" t="n">
        <x:f>'Inventory inputs'!Q617</x:f>
        <x:v>132.45</x:v>
      </x:c>
      <x:c r="O617" s="9" t="n">
        <x:f>N617-M617</x:f>
        <x:v>-2.842170943040401e-14</x:v>
      </x:c>
      <x:c r="P617" s="1" t="n">
        <x:f>SUMIFS('Incoming POs'!$P$2:$P$305,'Incoming POs'!$A$2:$A$305,A617,'Incoming POs'!$B$2:$B$305,B617,'Incoming POs'!$C$2:$C$305,C617,'Incoming POs'!$G$2:$G$305,"&gt;="&amp;D617,'Incoming POs'!$G$2:$G$305,"&lt;"&amp;Dashboard!$I$5)</x:f>
        <x:v>0</x:v>
      </x:c>
      <x:c r="Q617" s="1" t="n">
        <x:f>F617*Dashboard!$L$5*MAX(0,Dashboard!$I$5-D617)/30.4375</x:f>
        <x:v>0</x:v>
      </x:c>
      <x:c r="R617" s="1" t="n">
        <x:f>MAX(0,E617+P617-Q617)</x:f>
        <x:v>1500</x:v>
      </x:c>
      <x:c r="S617" s="1" t="n">
        <x:f>MAX(0,Q617-E617-P617)</x:f>
        <x:v>0</x:v>
      </x:c>
      <x:c r="T617" s="1" t="str">
        <x:f>IF(L617=1,MAX(0,I617+AB617-MIN(Q617,E617+P617)),"n.a.")</x:f>
        <x:v>n.a.</x:v>
      </x:c>
      <x:c r="U617" s="9" t="str">
        <x:f>IF(ISNUMBER(T617),T617*G617,"n.a.")</x:f>
        <x:v>n.a.</x:v>
      </x:c>
      <x:c r="V617" s="25" t="n">
        <x:f>IF(Dashboard!$I$6="Flat %",1,IF(ISNUMBER(H617),1,0))</x:f>
        <x:v>1</x:v>
      </x:c>
      <x:c r="W617" s="9" t="n">
        <x:f>IF(Dashboard!$I$6="Flat %",G617*(1+Dashboard!$L$6),H617)</x:f>
        <x:v>0.10334099999999999</x:v>
      </x:c>
      <x:c r="X617" s="9" t="n">
        <x:f>IF(V617=1,R617*(W617-G617),"n.a.")</x:f>
        <x:v>22.561499999999977</x:v>
      </x:c>
      <x:c r="Y617" s="9" t="n">
        <x:f>IF(V617=1,R617*W617,"n.a.")</x:f>
        <x:v>155.01149999999998</x:v>
      </x:c>
      <x:c r="Z617" s="1" t="str">
        <x:f>IF(ISNUMBER(T617),R617-T617,"n.a.")</x:f>
        <x:v>n.a.</x:v>
      </x:c>
      <x:c r="AA617" s="1" t="str">
        <x:f>'Inventory inputs'!R617</x:f>
        <x:v>Review receipt reconciliation or original PO baseline</x:v>
      </x:c>
      <x:c r="AB617" s="1" t="str">
        <x:f>IF(L617=1,SUMIFS('Incoming POs'!$P$2:$P$305,'Incoming POs'!$A$2:$A$305,A617,'Incoming POs'!$B$2:$B$305,B617,'Incoming POs'!$C$2:$C$305,C617,'Incoming POs'!$G$2:$G$305,"&gt;="&amp;D617,'Incoming POs'!$G$2:$G$305,"&lt;"&amp;Dashboard!$I$5,'Incoming POs'!$Q$2:$Q$305,"&lt;="&amp;('Inventory inputs'!P617/'Inventory inputs'!J617*1.01)),"n.a.")</x:f>
        <x:v>n.a.</x:v>
      </x:c>
      <x:c r="AC617" s="9" t="n">
        <x:f>I617*G617</x:f>
        <x:v>0</x:v>
      </x:c>
      <x:c r="AD617" s="9" t="n">
        <x:f>J617*G617</x:f>
        <x:v>0</x:v>
      </x:c>
      <x:c r="AE617" s="9" t="n">
        <x:f>K617*G617</x:f>
        <x:v>132.45000000000002</x:v>
      </x:c>
      <x:c r="AF617" s="9" t="n">
        <x:f>R617*G617</x:f>
        <x:v>132.45000000000002</x:v>
      </x:c>
    </x:row>
    <x:row r="618" ht="21" customHeight="1">
      <x:c r="A618" s="1" t="str">
        <x:f>'Inventory inputs'!A618</x:f>
        <x:v>PLAS</x:v>
      </x:c>
      <x:c r="B618" s="1" t="str">
        <x:f>'Inventory inputs'!B618</x:f>
        <x:v>10</x:v>
      </x:c>
      <x:c r="C618" s="1" t="str">
        <x:f>'Inventory inputs'!C618</x:f>
        <x:v>11415ROVRED</x:v>
      </x:c>
      <x:c r="D618" s="7" t="n">
        <x:f>'Inventory inputs'!E618</x:f>
        <x:v>46303</x:v>
      </x:c>
      <x:c r="E618" s="1" t="n">
        <x:f>'Inventory inputs'!F618</x:f>
        <x:v>3500</x:v>
      </x:c>
      <x:c r="F618" s="1" t="n">
        <x:f>'Inventory inputs'!G618</x:f>
        <x:v>0</x:v>
      </x:c>
      <x:c r="G618" s="1" t="n">
        <x:f>'Inventory inputs'!H618/'Inventory inputs'!J618</x:f>
        <x:v>0.0883</x:v>
      </x:c>
      <x:c r="H618" s="1" t="n">
        <x:f>IF('Inventory inputs'!I618&gt;0,'Inventory inputs'!I618*'Inventory inputs'!K618/'Inventory inputs'!J618,"n.a.")</x:f>
        <x:v>0.10334099999999999</x:v>
      </x:c>
      <x:c r="I618" s="1" t="n">
        <x:f>'Inventory inputs'!L618</x:f>
        <x:v>0</x:v>
      </x:c>
      <x:c r="J618" s="1" t="n">
        <x:f>'Inventory inputs'!M618</x:f>
        <x:v>0</x:v>
      </x:c>
      <x:c r="K618" s="1" t="n">
        <x:f>'Inventory inputs'!N618</x:f>
        <x:v>3500</x:v>
      </x:c>
      <x:c r="L618" s="1" t="n">
        <x:f>'Inventory inputs'!O618</x:f>
        <x:v>0</x:v>
      </x:c>
      <x:c r="M618" s="9" t="n">
        <x:f>E618*G618</x:f>
        <x:v>309.05</x:v>
      </x:c>
      <x:c r="N618" s="9" t="n">
        <x:f>'Inventory inputs'!Q618</x:f>
        <x:v>309.05</x:v>
      </x:c>
      <x:c r="O618" s="9" t="n">
        <x:f>N618-M618</x:f>
        <x:v>0</x:v>
      </x:c>
      <x:c r="P618" s="1" t="n">
        <x:f>SUMIFS('Incoming POs'!$P$2:$P$305,'Incoming POs'!$A$2:$A$305,A618,'Incoming POs'!$B$2:$B$305,B618,'Incoming POs'!$C$2:$C$305,C618,'Incoming POs'!$G$2:$G$305,"&gt;="&amp;D618,'Incoming POs'!$G$2:$G$305,"&lt;"&amp;Dashboard!$I$5)</x:f>
        <x:v>0</x:v>
      </x:c>
      <x:c r="Q618" s="1" t="n">
        <x:f>F618*Dashboard!$L$5*MAX(0,Dashboard!$I$5-D618)/30.4375</x:f>
        <x:v>0</x:v>
      </x:c>
      <x:c r="R618" s="1" t="n">
        <x:f>MAX(0,E618+P618-Q618)</x:f>
        <x:v>3500</x:v>
      </x:c>
      <x:c r="S618" s="1" t="n">
        <x:f>MAX(0,Q618-E618-P618)</x:f>
        <x:v>0</x:v>
      </x:c>
      <x:c r="T618" s="1" t="str">
        <x:f>IF(L618=1,MAX(0,I618+AB618-MIN(Q618,E618+P618)),"n.a.")</x:f>
        <x:v>n.a.</x:v>
      </x:c>
      <x:c r="U618" s="9" t="str">
        <x:f>IF(ISNUMBER(T618),T618*G618,"n.a.")</x:f>
        <x:v>n.a.</x:v>
      </x:c>
      <x:c r="V618" s="25" t="n">
        <x:f>IF(Dashboard!$I$6="Flat %",1,IF(ISNUMBER(H618),1,0))</x:f>
        <x:v>1</x:v>
      </x:c>
      <x:c r="W618" s="9" t="n">
        <x:f>IF(Dashboard!$I$6="Flat %",G618*(1+Dashboard!$L$6),H618)</x:f>
        <x:v>0.10334099999999999</x:v>
      </x:c>
      <x:c r="X618" s="9" t="n">
        <x:f>IF(V618=1,R618*(W618-G618),"n.a.")</x:f>
        <x:v>52.643499999999946</x:v>
      </x:c>
      <x:c r="Y618" s="9" t="n">
        <x:f>IF(V618=1,R618*W618,"n.a.")</x:f>
        <x:v>361.6935</x:v>
      </x:c>
      <x:c r="Z618" s="1" t="str">
        <x:f>IF(ISNUMBER(T618),R618-T618,"n.a.")</x:f>
        <x:v>n.a.</x:v>
      </x:c>
      <x:c r="AA618" s="1" t="str">
        <x:f>'Inventory inputs'!R618</x:f>
        <x:v>Review receipt reconciliation or original PO baseline</x:v>
      </x:c>
      <x:c r="AB618" s="1" t="str">
        <x:f>IF(L618=1,SUMIFS('Incoming POs'!$P$2:$P$305,'Incoming POs'!$A$2:$A$305,A618,'Incoming POs'!$B$2:$B$305,B618,'Incoming POs'!$C$2:$C$305,C618,'Incoming POs'!$G$2:$G$305,"&gt;="&amp;D618,'Incoming POs'!$G$2:$G$305,"&lt;"&amp;Dashboard!$I$5,'Incoming POs'!$Q$2:$Q$305,"&lt;="&amp;('Inventory inputs'!P618/'Inventory inputs'!J618*1.01)),"n.a.")</x:f>
        <x:v>n.a.</x:v>
      </x:c>
      <x:c r="AC618" s="9" t="n">
        <x:f>I618*G618</x:f>
        <x:v>0</x:v>
      </x:c>
      <x:c r="AD618" s="9" t="n">
        <x:f>J618*G618</x:f>
        <x:v>0</x:v>
      </x:c>
      <x:c r="AE618" s="9" t="n">
        <x:f>K618*G618</x:f>
        <x:v>309.05</x:v>
      </x:c>
      <x:c r="AF618" s="9" t="n">
        <x:f>R618*G618</x:f>
        <x:v>309.05</x:v>
      </x:c>
    </x:row>
    <x:row r="619" ht="21" customHeight="1">
      <x:c r="A619" s="1" t="str">
        <x:f>'Inventory inputs'!A619</x:f>
        <x:v>PLAS</x:v>
      </x:c>
      <x:c r="B619" s="1" t="str">
        <x:f>'Inventory inputs'!B619</x:f>
        <x:v>10</x:v>
      </x:c>
      <x:c r="C619" s="1" t="str">
        <x:f>'Inventory inputs'!C619</x:f>
        <x:v>11415RSLBLU</x:v>
      </x:c>
      <x:c r="D619" s="7" t="n">
        <x:f>'Inventory inputs'!E619</x:f>
        <x:v>46303</x:v>
      </x:c>
      <x:c r="E619" s="1" t="n">
        <x:f>'Inventory inputs'!F619</x:f>
        <x:v>0</x:v>
      </x:c>
      <x:c r="F619" s="1" t="n">
        <x:f>'Inventory inputs'!G619</x:f>
        <x:v>0</x:v>
      </x:c>
      <x:c r="G619" s="1" t="n">
        <x:f>'Inventory inputs'!H619/'Inventory inputs'!J619</x:f>
        <x:v>0.060700000000000004</x:v>
      </x:c>
      <x:c r="H619" s="1" t="n">
        <x:f>IF('Inventory inputs'!I619&gt;0,'Inventory inputs'!I619*'Inventory inputs'!K619/'Inventory inputs'!J619,"n.a.")</x:f>
        <x:v>0.091434</x:v>
      </x:c>
      <x:c r="I619" s="1" t="n">
        <x:f>'Inventory inputs'!L619</x:f>
        <x:v>0</x:v>
      </x:c>
      <x:c r="J619" s="1" t="n">
        <x:f>'Inventory inputs'!M619</x:f>
        <x:v>0</x:v>
      </x:c>
      <x:c r="K619" s="1" t="n">
        <x:f>'Inventory inputs'!N619</x:f>
        <x:v>0</x:v>
      </x:c>
      <x:c r="L619" s="1" t="n">
        <x:f>'Inventory inputs'!O619</x:f>
        <x:v>1</x:v>
      </x:c>
      <x:c r="M619" s="9" t="n">
        <x:f>E619*G619</x:f>
        <x:v>0</x:v>
      </x:c>
      <x:c r="N619" s="9" t="n">
        <x:f>'Inventory inputs'!Q619</x:f>
        <x:v>0</x:v>
      </x:c>
      <x:c r="O619" s="9" t="n">
        <x:f>N619-M619</x:f>
        <x:v>0</x:v>
      </x:c>
      <x:c r="P619" s="1" t="n">
        <x:f>SUMIFS('Incoming POs'!$P$2:$P$305,'Incoming POs'!$A$2:$A$305,A619,'Incoming POs'!$B$2:$B$305,B619,'Incoming POs'!$C$2:$C$305,C619,'Incoming POs'!$G$2:$G$305,"&gt;="&amp;D619,'Incoming POs'!$G$2:$G$305,"&lt;"&amp;Dashboard!$I$5)</x:f>
        <x:v>0</x:v>
      </x:c>
      <x:c r="Q619" s="1" t="n">
        <x:f>F619*Dashboard!$L$5*MAX(0,Dashboard!$I$5-D619)/30.4375</x:f>
        <x:v>0</x:v>
      </x:c>
      <x:c r="R619" s="1" t="n">
        <x:f>MAX(0,E619+P619-Q619)</x:f>
        <x:v>0</x:v>
      </x:c>
      <x:c r="S619" s="1" t="n">
        <x:f>MAX(0,Q619-E619-P619)</x:f>
        <x:v>0</x:v>
      </x:c>
      <x:c r="T619" s="1" t="n">
        <x:f>IF(L619=1,MAX(0,I619+AB619-MIN(Q619,E619+P619)),"n.a.")</x:f>
        <x:v>0</x:v>
      </x:c>
      <x:c r="U619" s="9" t="n">
        <x:f>IF(ISNUMBER(T619),T619*G619,"n.a.")</x:f>
        <x:v>0</x:v>
      </x:c>
      <x:c r="V619" s="25" t="n">
        <x:f>IF(Dashboard!$I$6="Flat %",1,IF(ISNUMBER(H619),1,0))</x:f>
        <x:v>1</x:v>
      </x:c>
      <x:c r="W619" s="9" t="n">
        <x:f>IF(Dashboard!$I$6="Flat %",G619*(1+Dashboard!$L$6),H619)</x:f>
        <x:v>0.091434</x:v>
      </x:c>
      <x:c r="X619" s="9" t="n">
        <x:f>IF(V619=1,R619*(W619-G619),"n.a.")</x:f>
        <x:v>0</x:v>
      </x:c>
      <x:c r="Y619" s="9" t="n">
        <x:f>IF(V619=1,R619*W619,"n.a.")</x:f>
        <x:v>0</x:v>
      </x:c>
      <x:c r="Z619" s="1" t="n">
        <x:f>IF(ISNUMBER(T619),R619-T619,"n.a.")</x:f>
        <x:v>0</x:v>
      </x:c>
      <x:c r="AA619" s="1" t="str">
        <x:f>'Inventory inputs'!R619</x:f>
        <x:v>Classified</x:v>
      </x:c>
      <x:c r="AB619" s="1" t="n">
        <x:f>IF(L619=1,SUMIFS('Incoming POs'!$P$2:$P$305,'Incoming POs'!$A$2:$A$305,A619,'Incoming POs'!$B$2:$B$305,B619,'Incoming POs'!$C$2:$C$305,C619,'Incoming POs'!$G$2:$G$305,"&gt;="&amp;D619,'Incoming POs'!$G$2:$G$305,"&lt;"&amp;Dashboard!$I$5,'Incoming POs'!$Q$2:$Q$305,"&lt;="&amp;('Inventory inputs'!P619/'Inventory inputs'!J619*1.01)),"n.a.")</x:f>
        <x:v>0</x:v>
      </x:c>
      <x:c r="AC619" s="9" t="n">
        <x:f>I619*G619</x:f>
        <x:v>0</x:v>
      </x:c>
      <x:c r="AD619" s="9" t="n">
        <x:f>J619*G619</x:f>
        <x:v>0</x:v>
      </x:c>
      <x:c r="AE619" s="9" t="n">
        <x:f>K619*G619</x:f>
        <x:v>0</x:v>
      </x:c>
      <x:c r="AF619" s="9" t="n">
        <x:f>R619*G619</x:f>
        <x:v>0</x:v>
      </x:c>
    </x:row>
    <x:row r="620" ht="21" customHeight="1">
      <x:c r="A620" s="1" t="str">
        <x:f>'Inventory inputs'!A620</x:f>
        <x:v>PLAS</x:v>
      </x:c>
      <x:c r="B620" s="1" t="str">
        <x:f>'Inventory inputs'!B620</x:f>
        <x:v>10</x:v>
      </x:c>
      <x:c r="C620" s="1" t="str">
        <x:f>'Inventory inputs'!C620</x:f>
        <x:v>11415RSLBRN</x:v>
      </x:c>
      <x:c r="D620" s="7" t="n">
        <x:f>'Inventory inputs'!E620</x:f>
        <x:v>46303</x:v>
      </x:c>
      <x:c r="E620" s="1" t="n">
        <x:f>'Inventory inputs'!F620</x:f>
        <x:v>1250</x:v>
      </x:c>
      <x:c r="F620" s="1" t="n">
        <x:f>'Inventory inputs'!G620</x:f>
        <x:v>0</x:v>
      </x:c>
      <x:c r="G620" s="1" t="n">
        <x:f>'Inventory inputs'!H620/'Inventory inputs'!J620</x:f>
        <x:v>0.060700000000000004</x:v>
      </x:c>
      <x:c r="H620" s="1" t="str">
        <x:f>IF('Inventory inputs'!I620&gt;0,'Inventory inputs'!I620*'Inventory inputs'!K620/'Inventory inputs'!J620,"n.a.")</x:f>
        <x:v>n.a.</x:v>
      </x:c>
      <x:c r="I620" s="1" t="n">
        <x:f>'Inventory inputs'!L620</x:f>
        <x:v>0</x:v>
      </x:c>
      <x:c r="J620" s="1" t="n">
        <x:f>'Inventory inputs'!M620</x:f>
        <x:v>0</x:v>
      </x:c>
      <x:c r="K620" s="1" t="n">
        <x:f>'Inventory inputs'!N620</x:f>
        <x:v>1250</x:v>
      </x:c>
      <x:c r="L620" s="1" t="n">
        <x:f>'Inventory inputs'!O620</x:f>
        <x:v>0</x:v>
      </x:c>
      <x:c r="M620" s="9" t="n">
        <x:f>E620*G620</x:f>
        <x:v>75.875</x:v>
      </x:c>
      <x:c r="N620" s="9" t="n">
        <x:f>'Inventory inputs'!Q620</x:f>
        <x:v>75.875</x:v>
      </x:c>
      <x:c r="O620" s="9" t="n">
        <x:f>N620-M620</x:f>
        <x:v>0</x:v>
      </x:c>
      <x:c r="P620" s="1" t="n">
        <x:f>SUMIFS('Incoming POs'!$P$2:$P$305,'Incoming POs'!$A$2:$A$305,A620,'Incoming POs'!$B$2:$B$305,B620,'Incoming POs'!$C$2:$C$305,C620,'Incoming POs'!$G$2:$G$305,"&gt;="&amp;D620,'Incoming POs'!$G$2:$G$305,"&lt;"&amp;Dashboard!$I$5)</x:f>
        <x:v>0</x:v>
      </x:c>
      <x:c r="Q620" s="1" t="n">
        <x:f>F620*Dashboard!$L$5*MAX(0,Dashboard!$I$5-D620)/30.4375</x:f>
        <x:v>0</x:v>
      </x:c>
      <x:c r="R620" s="1" t="n">
        <x:f>MAX(0,E620+P620-Q620)</x:f>
        <x:v>1250</x:v>
      </x:c>
      <x:c r="S620" s="1" t="n">
        <x:f>MAX(0,Q620-E620-P620)</x:f>
        <x:v>0</x:v>
      </x:c>
      <x:c r="T620" s="1" t="str">
        <x:f>IF(L620=1,MAX(0,I620+AB620-MIN(Q620,E620+P620)),"n.a.")</x:f>
        <x:v>n.a.</x:v>
      </x:c>
      <x:c r="U620" s="9" t="str">
        <x:f>IF(ISNUMBER(T620),T620*G620,"n.a.")</x:f>
        <x:v>n.a.</x:v>
      </x:c>
      <x:c r="V620" s="25" t="n">
        <x:f>IF(Dashboard!$I$6="Flat %",1,IF(ISNUMBER(H620),1,0))</x:f>
        <x:v>0</x:v>
      </x:c>
      <x:c r="W620" s="9" t="str">
        <x:f>IF(Dashboard!$I$6="Flat %",G620*(1+Dashboard!$L$6),H620)</x:f>
        <x:v>n.a.</x:v>
      </x:c>
      <x:c r="X620" s="9" t="str">
        <x:f>IF(V620=1,R620*(W620-G620),"n.a.")</x:f>
        <x:v>n.a.</x:v>
      </x:c>
      <x:c r="Y620" s="9" t="str">
        <x:f>IF(V620=1,R620*W620,"n.a.")</x:f>
        <x:v>n.a.</x:v>
      </x:c>
      <x:c r="Z620" s="1" t="str">
        <x:f>IF(ISNUMBER(T620),R620-T620,"n.a.")</x:f>
        <x:v>n.a.</x:v>
      </x:c>
      <x:c r="AA620" s="1" t="str">
        <x:f>'Inventory inputs'!R620</x:f>
        <x:v>Review receipt reconciliation or original PO baseline</x:v>
      </x:c>
      <x:c r="AB620" s="1" t="str">
        <x:f>IF(L620=1,SUMIFS('Incoming POs'!$P$2:$P$305,'Incoming POs'!$A$2:$A$305,A620,'Incoming POs'!$B$2:$B$305,B620,'Incoming POs'!$C$2:$C$305,C620,'Incoming POs'!$G$2:$G$305,"&gt;="&amp;D620,'Incoming POs'!$G$2:$G$305,"&lt;"&amp;Dashboard!$I$5,'Incoming POs'!$Q$2:$Q$305,"&lt;="&amp;('Inventory inputs'!P620/'Inventory inputs'!J620*1.01)),"n.a.")</x:f>
        <x:v>n.a.</x:v>
      </x:c>
      <x:c r="AC620" s="9" t="n">
        <x:f>I620*G620</x:f>
        <x:v>0</x:v>
      </x:c>
      <x:c r="AD620" s="9" t="n">
        <x:f>J620*G620</x:f>
        <x:v>0</x:v>
      </x:c>
      <x:c r="AE620" s="9" t="n">
        <x:f>K620*G620</x:f>
        <x:v>75.875</x:v>
      </x:c>
      <x:c r="AF620" s="9" t="n">
        <x:f>R620*G620</x:f>
        <x:v>75.875</x:v>
      </x:c>
    </x:row>
    <x:row r="621" ht="21" customHeight="1">
      <x:c r="A621" s="1" t="str">
        <x:f>'Inventory inputs'!A621</x:f>
        <x:v>PLAS</x:v>
      </x:c>
      <x:c r="B621" s="1" t="str">
        <x:f>'Inventory inputs'!B621</x:f>
        <x:v>10</x:v>
      </x:c>
      <x:c r="C621" s="1" t="str">
        <x:f>'Inventory inputs'!C621</x:f>
        <x:v>11415RSLCLR</x:v>
      </x:c>
      <x:c r="D621" s="7" t="n">
        <x:f>'Inventory inputs'!E621</x:f>
        <x:v>46303</x:v>
      </x:c>
      <x:c r="E621" s="1" t="n">
        <x:f>'Inventory inputs'!F621</x:f>
        <x:v>2225</x:v>
      </x:c>
      <x:c r="F621" s="1" t="n">
        <x:f>'Inventory inputs'!G621</x:f>
        <x:v>0</x:v>
      </x:c>
      <x:c r="G621" s="1" t="n">
        <x:f>'Inventory inputs'!H621/'Inventory inputs'!J621</x:f>
        <x:v>0.0782</x:v>
      </x:c>
      <x:c r="H621" s="1" t="n">
        <x:f>IF('Inventory inputs'!I621&gt;0,'Inventory inputs'!I621*'Inventory inputs'!K621/'Inventory inputs'!J621,"n.a.")</x:f>
        <x:v>0.091434</x:v>
      </x:c>
      <x:c r="I621" s="1" t="n">
        <x:f>'Inventory inputs'!L621</x:f>
        <x:v>0</x:v>
      </x:c>
      <x:c r="J621" s="1" t="n">
        <x:f>'Inventory inputs'!M621</x:f>
        <x:v>0</x:v>
      </x:c>
      <x:c r="K621" s="1" t="n">
        <x:f>'Inventory inputs'!N621</x:f>
        <x:v>2225</x:v>
      </x:c>
      <x:c r="L621" s="1" t="n">
        <x:f>'Inventory inputs'!O621</x:f>
        <x:v>0</x:v>
      </x:c>
      <x:c r="M621" s="9" t="n">
        <x:f>E621*G621</x:f>
        <x:v>173.995</x:v>
      </x:c>
      <x:c r="N621" s="9" t="n">
        <x:f>'Inventory inputs'!Q621</x:f>
        <x:v>173.995</x:v>
      </x:c>
      <x:c r="O621" s="9" t="n">
        <x:f>N621-M621</x:f>
        <x:v>0</x:v>
      </x:c>
      <x:c r="P621" s="1" t="n">
        <x:f>SUMIFS('Incoming POs'!$P$2:$P$305,'Incoming POs'!$A$2:$A$305,A621,'Incoming POs'!$B$2:$B$305,B621,'Incoming POs'!$C$2:$C$305,C621,'Incoming POs'!$G$2:$G$305,"&gt;="&amp;D621,'Incoming POs'!$G$2:$G$305,"&lt;"&amp;Dashboard!$I$5)</x:f>
        <x:v>0</x:v>
      </x:c>
      <x:c r="Q621" s="1" t="n">
        <x:f>F621*Dashboard!$L$5*MAX(0,Dashboard!$I$5-D621)/30.4375</x:f>
        <x:v>0</x:v>
      </x:c>
      <x:c r="R621" s="1" t="n">
        <x:f>MAX(0,E621+P621-Q621)</x:f>
        <x:v>2225</x:v>
      </x:c>
      <x:c r="S621" s="1" t="n">
        <x:f>MAX(0,Q621-E621-P621)</x:f>
        <x:v>0</x:v>
      </x:c>
      <x:c r="T621" s="1" t="str">
        <x:f>IF(L621=1,MAX(0,I621+AB621-MIN(Q621,E621+P621)),"n.a.")</x:f>
        <x:v>n.a.</x:v>
      </x:c>
      <x:c r="U621" s="9" t="str">
        <x:f>IF(ISNUMBER(T621),T621*G621,"n.a.")</x:f>
        <x:v>n.a.</x:v>
      </x:c>
      <x:c r="V621" s="25" t="n">
        <x:f>IF(Dashboard!$I$6="Flat %",1,IF(ISNUMBER(H621),1,0))</x:f>
        <x:v>1</x:v>
      </x:c>
      <x:c r="W621" s="9" t="n">
        <x:f>IF(Dashboard!$I$6="Flat %",G621*(1+Dashboard!$L$6),H621)</x:f>
        <x:v>0.091434</x:v>
      </x:c>
      <x:c r="X621" s="9" t="n">
        <x:f>IF(V621=1,R621*(W621-G621),"n.a.")</x:f>
        <x:v>29.44564999999999</x:v>
      </x:c>
      <x:c r="Y621" s="9" t="n">
        <x:f>IF(V621=1,R621*W621,"n.a.")</x:f>
        <x:v>203.44065</x:v>
      </x:c>
      <x:c r="Z621" s="1" t="str">
        <x:f>IF(ISNUMBER(T621),R621-T621,"n.a.")</x:f>
        <x:v>n.a.</x:v>
      </x:c>
      <x:c r="AA621" s="1" t="str">
        <x:f>'Inventory inputs'!R621</x:f>
        <x:v>Review receipt reconciliation or original PO baseline</x:v>
      </x:c>
      <x:c r="AB621" s="1" t="str">
        <x:f>IF(L621=1,SUMIFS('Incoming POs'!$P$2:$P$305,'Incoming POs'!$A$2:$A$305,A621,'Incoming POs'!$B$2:$B$305,B621,'Incoming POs'!$C$2:$C$305,C621,'Incoming POs'!$G$2:$G$305,"&gt;="&amp;D621,'Incoming POs'!$G$2:$G$305,"&lt;"&amp;Dashboard!$I$5,'Incoming POs'!$Q$2:$Q$305,"&lt;="&amp;('Inventory inputs'!P621/'Inventory inputs'!J621*1.01)),"n.a.")</x:f>
        <x:v>n.a.</x:v>
      </x:c>
      <x:c r="AC621" s="9" t="n">
        <x:f>I621*G621</x:f>
        <x:v>0</x:v>
      </x:c>
      <x:c r="AD621" s="9" t="n">
        <x:f>J621*G621</x:f>
        <x:v>0</x:v>
      </x:c>
      <x:c r="AE621" s="9" t="n">
        <x:f>K621*G621</x:f>
        <x:v>173.995</x:v>
      </x:c>
      <x:c r="AF621" s="9" t="n">
        <x:f>R621*G621</x:f>
        <x:v>173.995</x:v>
      </x:c>
    </x:row>
    <x:row r="622" ht="21" customHeight="1">
      <x:c r="A622" s="1" t="str">
        <x:f>'Inventory inputs'!A622</x:f>
        <x:v>PLAS</x:v>
      </x:c>
      <x:c r="B622" s="1" t="str">
        <x:f>'Inventory inputs'!B622</x:f>
        <x:v>10</x:v>
      </x:c>
      <x:c r="C622" s="1" t="str">
        <x:f>'Inventory inputs'!C622</x:f>
        <x:v>11415RSLFG</x:v>
      </x:c>
      <x:c r="D622" s="7" t="n">
        <x:f>'Inventory inputs'!E622</x:f>
        <x:v>46303</x:v>
      </x:c>
      <x:c r="E622" s="1" t="n">
        <x:f>'Inventory inputs'!F622</x:f>
        <x:v>1000</x:v>
      </x:c>
      <x:c r="F622" s="1" t="n">
        <x:f>'Inventory inputs'!G622</x:f>
        <x:v>0</x:v>
      </x:c>
      <x:c r="G622" s="1" t="n">
        <x:f>'Inventory inputs'!H622/'Inventory inputs'!J622</x:f>
        <x:v>0.060700000000000004</x:v>
      </x:c>
      <x:c r="H622" s="1" t="n">
        <x:f>IF('Inventory inputs'!I622&gt;0,'Inventory inputs'!I622*'Inventory inputs'!K622/'Inventory inputs'!J622,"n.a.")</x:f>
        <x:v>0.091434</x:v>
      </x:c>
      <x:c r="I622" s="1" t="n">
        <x:f>'Inventory inputs'!L622</x:f>
        <x:v>0</x:v>
      </x:c>
      <x:c r="J622" s="1" t="n">
        <x:f>'Inventory inputs'!M622</x:f>
        <x:v>0</x:v>
      </x:c>
      <x:c r="K622" s="1" t="n">
        <x:f>'Inventory inputs'!N622</x:f>
        <x:v>1000</x:v>
      </x:c>
      <x:c r="L622" s="1" t="n">
        <x:f>'Inventory inputs'!O622</x:f>
        <x:v>0</x:v>
      </x:c>
      <x:c r="M622" s="9" t="n">
        <x:f>E622*G622</x:f>
        <x:v>60.7</x:v>
      </x:c>
      <x:c r="N622" s="9" t="n">
        <x:f>'Inventory inputs'!Q622</x:f>
        <x:v>60.7</x:v>
      </x:c>
      <x:c r="O622" s="9" t="n">
        <x:f>N622-M622</x:f>
        <x:v>0</x:v>
      </x:c>
      <x:c r="P622" s="1" t="n">
        <x:f>SUMIFS('Incoming POs'!$P$2:$P$305,'Incoming POs'!$A$2:$A$305,A622,'Incoming POs'!$B$2:$B$305,B622,'Incoming POs'!$C$2:$C$305,C622,'Incoming POs'!$G$2:$G$305,"&gt;="&amp;D622,'Incoming POs'!$G$2:$G$305,"&lt;"&amp;Dashboard!$I$5)</x:f>
        <x:v>0</x:v>
      </x:c>
      <x:c r="Q622" s="1" t="n">
        <x:f>F622*Dashboard!$L$5*MAX(0,Dashboard!$I$5-D622)/30.4375</x:f>
        <x:v>0</x:v>
      </x:c>
      <x:c r="R622" s="1" t="n">
        <x:f>MAX(0,E622+P622-Q622)</x:f>
        <x:v>1000</x:v>
      </x:c>
      <x:c r="S622" s="1" t="n">
        <x:f>MAX(0,Q622-E622-P622)</x:f>
        <x:v>0</x:v>
      </x:c>
      <x:c r="T622" s="1" t="str">
        <x:f>IF(L622=1,MAX(0,I622+AB622-MIN(Q622,E622+P622)),"n.a.")</x:f>
        <x:v>n.a.</x:v>
      </x:c>
      <x:c r="U622" s="9" t="str">
        <x:f>IF(ISNUMBER(T622),T622*G622,"n.a.")</x:f>
        <x:v>n.a.</x:v>
      </x:c>
      <x:c r="V622" s="25" t="n">
        <x:f>IF(Dashboard!$I$6="Flat %",1,IF(ISNUMBER(H622),1,0))</x:f>
        <x:v>1</x:v>
      </x:c>
      <x:c r="W622" s="9" t="n">
        <x:f>IF(Dashboard!$I$6="Flat %",G622*(1+Dashboard!$L$6),H622)</x:f>
        <x:v>0.091434</x:v>
      </x:c>
      <x:c r="X622" s="9" t="n">
        <x:f>IF(V622=1,R622*(W622-G622),"n.a.")</x:f>
        <x:v>30.733999999999998</x:v>
      </x:c>
      <x:c r="Y622" s="9" t="n">
        <x:f>IF(V622=1,R622*W622,"n.a.")</x:f>
        <x:v>91.434</x:v>
      </x:c>
      <x:c r="Z622" s="1" t="str">
        <x:f>IF(ISNUMBER(T622),R622-T622,"n.a.")</x:f>
        <x:v>n.a.</x:v>
      </x:c>
      <x:c r="AA622" s="1" t="str">
        <x:f>'Inventory inputs'!R622</x:f>
        <x:v>Review receipt reconciliation or original PO baseline</x:v>
      </x:c>
      <x:c r="AB622" s="1" t="str">
        <x:f>IF(L622=1,SUMIFS('Incoming POs'!$P$2:$P$305,'Incoming POs'!$A$2:$A$305,A622,'Incoming POs'!$B$2:$B$305,B622,'Incoming POs'!$C$2:$C$305,C622,'Incoming POs'!$G$2:$G$305,"&gt;="&amp;D622,'Incoming POs'!$G$2:$G$305,"&lt;"&amp;Dashboard!$I$5,'Incoming POs'!$Q$2:$Q$305,"&lt;="&amp;('Inventory inputs'!P622/'Inventory inputs'!J622*1.01)),"n.a.")</x:f>
        <x:v>n.a.</x:v>
      </x:c>
      <x:c r="AC622" s="9" t="n">
        <x:f>I622*G622</x:f>
        <x:v>0</x:v>
      </x:c>
      <x:c r="AD622" s="9" t="n">
        <x:f>J622*G622</x:f>
        <x:v>0</x:v>
      </x:c>
      <x:c r="AE622" s="9" t="n">
        <x:f>K622*G622</x:f>
        <x:v>60.7</x:v>
      </x:c>
      <x:c r="AF622" s="9" t="n">
        <x:f>R622*G622</x:f>
        <x:v>60.7</x:v>
      </x:c>
    </x:row>
    <x:row r="623" ht="21" customHeight="1">
      <x:c r="A623" s="1" t="str">
        <x:f>'Inventory inputs'!A623</x:f>
        <x:v>PLAS</x:v>
      </x:c>
      <x:c r="B623" s="1" t="str">
        <x:f>'Inventory inputs'!B623</x:f>
        <x:v>10</x:v>
      </x:c>
      <x:c r="C623" s="1" t="str">
        <x:f>'Inventory inputs'!C623</x:f>
        <x:v>11415RSLMAR</x:v>
      </x:c>
      <x:c r="D623" s="7" t="n">
        <x:f>'Inventory inputs'!E623</x:f>
        <x:v>46303</x:v>
      </x:c>
      <x:c r="E623" s="1" t="n">
        <x:f>'Inventory inputs'!F623</x:f>
        <x:v>819</x:v>
      </x:c>
      <x:c r="F623" s="1" t="n">
        <x:f>'Inventory inputs'!G623</x:f>
        <x:v>0</x:v>
      </x:c>
      <x:c r="G623" s="1" t="n">
        <x:f>'Inventory inputs'!H623/'Inventory inputs'!J623</x:f>
        <x:v>0.060700000000000004</x:v>
      </x:c>
      <x:c r="H623" s="1" t="n">
        <x:f>IF('Inventory inputs'!I623&gt;0,'Inventory inputs'!I623*'Inventory inputs'!K623/'Inventory inputs'!J623,"n.a.")</x:f>
        <x:v>0.091434</x:v>
      </x:c>
      <x:c r="I623" s="1" t="n">
        <x:f>'Inventory inputs'!L623</x:f>
        <x:v>0</x:v>
      </x:c>
      <x:c r="J623" s="1" t="n">
        <x:f>'Inventory inputs'!M623</x:f>
        <x:v>0</x:v>
      </x:c>
      <x:c r="K623" s="1" t="n">
        <x:f>'Inventory inputs'!N623</x:f>
        <x:v>819</x:v>
      </x:c>
      <x:c r="L623" s="1" t="n">
        <x:f>'Inventory inputs'!O623</x:f>
        <x:v>0</x:v>
      </x:c>
      <x:c r="M623" s="9" t="n">
        <x:f>E623*G623</x:f>
        <x:v>49.713300000000004</x:v>
      </x:c>
      <x:c r="N623" s="9" t="n">
        <x:f>'Inventory inputs'!Q623</x:f>
        <x:v>49.713300000000004</x:v>
      </x:c>
      <x:c r="O623" s="9" t="n">
        <x:f>N623-M623</x:f>
        <x:v>0</x:v>
      </x:c>
      <x:c r="P623" s="1" t="n">
        <x:f>SUMIFS('Incoming POs'!$P$2:$P$305,'Incoming POs'!$A$2:$A$305,A623,'Incoming POs'!$B$2:$B$305,B623,'Incoming POs'!$C$2:$C$305,C623,'Incoming POs'!$G$2:$G$305,"&gt;="&amp;D623,'Incoming POs'!$G$2:$G$305,"&lt;"&amp;Dashboard!$I$5)</x:f>
        <x:v>0</x:v>
      </x:c>
      <x:c r="Q623" s="1" t="n">
        <x:f>F623*Dashboard!$L$5*MAX(0,Dashboard!$I$5-D623)/30.4375</x:f>
        <x:v>0</x:v>
      </x:c>
      <x:c r="R623" s="1" t="n">
        <x:f>MAX(0,E623+P623-Q623)</x:f>
        <x:v>819</x:v>
      </x:c>
      <x:c r="S623" s="1" t="n">
        <x:f>MAX(0,Q623-E623-P623)</x:f>
        <x:v>0</x:v>
      </x:c>
      <x:c r="T623" s="1" t="str">
        <x:f>IF(L623=1,MAX(0,I623+AB623-MIN(Q623,E623+P623)),"n.a.")</x:f>
        <x:v>n.a.</x:v>
      </x:c>
      <x:c r="U623" s="9" t="str">
        <x:f>IF(ISNUMBER(T623),T623*G623,"n.a.")</x:f>
        <x:v>n.a.</x:v>
      </x:c>
      <x:c r="V623" s="25" t="n">
        <x:f>IF(Dashboard!$I$6="Flat %",1,IF(ISNUMBER(H623),1,0))</x:f>
        <x:v>1</x:v>
      </x:c>
      <x:c r="W623" s="9" t="n">
        <x:f>IF(Dashboard!$I$6="Flat %",G623*(1+Dashboard!$L$6),H623)</x:f>
        <x:v>0.091434</x:v>
      </x:c>
      <x:c r="X623" s="9" t="n">
        <x:f>IF(V623=1,R623*(W623-G623),"n.a.")</x:f>
        <x:v>25.171145999999997</x:v>
      </x:c>
      <x:c r="Y623" s="9" t="n">
        <x:f>IF(V623=1,R623*W623,"n.a.")</x:f>
        <x:v>74.884446</x:v>
      </x:c>
      <x:c r="Z623" s="1" t="str">
        <x:f>IF(ISNUMBER(T623),R623-T623,"n.a.")</x:f>
        <x:v>n.a.</x:v>
      </x:c>
      <x:c r="AA623" s="1" t="str">
        <x:f>'Inventory inputs'!R623</x:f>
        <x:v>Review receipt reconciliation or original PO baseline</x:v>
      </x:c>
      <x:c r="AB623" s="1" t="str">
        <x:f>IF(L623=1,SUMIFS('Incoming POs'!$P$2:$P$305,'Incoming POs'!$A$2:$A$305,A623,'Incoming POs'!$B$2:$B$305,B623,'Incoming POs'!$C$2:$C$305,C623,'Incoming POs'!$G$2:$G$305,"&gt;="&amp;D623,'Incoming POs'!$G$2:$G$305,"&lt;"&amp;Dashboard!$I$5,'Incoming POs'!$Q$2:$Q$305,"&lt;="&amp;('Inventory inputs'!P623/'Inventory inputs'!J623*1.01)),"n.a.")</x:f>
        <x:v>n.a.</x:v>
      </x:c>
      <x:c r="AC623" s="9" t="n">
        <x:f>I623*G623</x:f>
        <x:v>0</x:v>
      </x:c>
      <x:c r="AD623" s="9" t="n">
        <x:f>J623*G623</x:f>
        <x:v>0</x:v>
      </x:c>
      <x:c r="AE623" s="9" t="n">
        <x:f>K623*G623</x:f>
        <x:v>49.713300000000004</x:v>
      </x:c>
      <x:c r="AF623" s="9" t="n">
        <x:f>R623*G623</x:f>
        <x:v>49.713300000000004</x:v>
      </x:c>
    </x:row>
    <x:row r="624" ht="21" customHeight="1">
      <x:c r="A624" s="1" t="str">
        <x:f>'Inventory inputs'!A624</x:f>
        <x:v>PLAS</x:v>
      </x:c>
      <x:c r="B624" s="1" t="str">
        <x:f>'Inventory inputs'!B624</x:f>
        <x:v>10</x:v>
      </x:c>
      <x:c r="C624" s="1" t="str">
        <x:f>'Inventory inputs'!C624</x:f>
        <x:v>11415RSLNAV</x:v>
      </x:c>
      <x:c r="D624" s="7" t="n">
        <x:f>'Inventory inputs'!E624</x:f>
        <x:v>46303</x:v>
      </x:c>
      <x:c r="E624" s="1" t="n">
        <x:f>'Inventory inputs'!F624</x:f>
        <x:v>650</x:v>
      </x:c>
      <x:c r="F624" s="1" t="n">
        <x:f>'Inventory inputs'!G624</x:f>
        <x:v>0</x:v>
      </x:c>
      <x:c r="G624" s="1" t="n">
        <x:f>'Inventory inputs'!H624/'Inventory inputs'!J624</x:f>
        <x:v>0.060700000000000004</x:v>
      </x:c>
      <x:c r="H624" s="1" t="n">
        <x:f>IF('Inventory inputs'!I624&gt;0,'Inventory inputs'!I624*'Inventory inputs'!K624/'Inventory inputs'!J624,"n.a.")</x:f>
        <x:v>0.091434</x:v>
      </x:c>
      <x:c r="I624" s="1" t="n">
        <x:f>'Inventory inputs'!L624</x:f>
        <x:v>0</x:v>
      </x:c>
      <x:c r="J624" s="1" t="n">
        <x:f>'Inventory inputs'!M624</x:f>
        <x:v>0</x:v>
      </x:c>
      <x:c r="K624" s="1" t="n">
        <x:f>'Inventory inputs'!N624</x:f>
        <x:v>650</x:v>
      </x:c>
      <x:c r="L624" s="1" t="n">
        <x:f>'Inventory inputs'!O624</x:f>
        <x:v>0</x:v>
      </x:c>
      <x:c r="M624" s="9" t="n">
        <x:f>E624*G624</x:f>
        <x:v>39.455000000000005</x:v>
      </x:c>
      <x:c r="N624" s="9" t="n">
        <x:f>'Inventory inputs'!Q624</x:f>
        <x:v>39.455</x:v>
      </x:c>
      <x:c r="O624" s="9" t="n">
        <x:f>N624-M624</x:f>
        <x:v>-7.105427357601002e-15</x:v>
      </x:c>
      <x:c r="P624" s="1" t="n">
        <x:f>SUMIFS('Incoming POs'!$P$2:$P$305,'Incoming POs'!$A$2:$A$305,A624,'Incoming POs'!$B$2:$B$305,B624,'Incoming POs'!$C$2:$C$305,C624,'Incoming POs'!$G$2:$G$305,"&gt;="&amp;D624,'Incoming POs'!$G$2:$G$305,"&lt;"&amp;Dashboard!$I$5)</x:f>
        <x:v>0</x:v>
      </x:c>
      <x:c r="Q624" s="1" t="n">
        <x:f>F624*Dashboard!$L$5*MAX(0,Dashboard!$I$5-D624)/30.4375</x:f>
        <x:v>0</x:v>
      </x:c>
      <x:c r="R624" s="1" t="n">
        <x:f>MAX(0,E624+P624-Q624)</x:f>
        <x:v>650</x:v>
      </x:c>
      <x:c r="S624" s="1" t="n">
        <x:f>MAX(0,Q624-E624-P624)</x:f>
        <x:v>0</x:v>
      </x:c>
      <x:c r="T624" s="1" t="str">
        <x:f>IF(L624=1,MAX(0,I624+AB624-MIN(Q624,E624+P624)),"n.a.")</x:f>
        <x:v>n.a.</x:v>
      </x:c>
      <x:c r="U624" s="9" t="str">
        <x:f>IF(ISNUMBER(T624),T624*G624,"n.a.")</x:f>
        <x:v>n.a.</x:v>
      </x:c>
      <x:c r="V624" s="25" t="n">
        <x:f>IF(Dashboard!$I$6="Flat %",1,IF(ISNUMBER(H624),1,0))</x:f>
        <x:v>1</x:v>
      </x:c>
      <x:c r="W624" s="9" t="n">
        <x:f>IF(Dashboard!$I$6="Flat %",G624*(1+Dashboard!$L$6),H624)</x:f>
        <x:v>0.091434</x:v>
      </x:c>
      <x:c r="X624" s="9" t="n">
        <x:f>IF(V624=1,R624*(W624-G624),"n.a.")</x:f>
        <x:v>19.9771</x:v>
      </x:c>
      <x:c r="Y624" s="9" t="n">
        <x:f>IF(V624=1,R624*W624,"n.a.")</x:f>
        <x:v>59.4321</x:v>
      </x:c>
      <x:c r="Z624" s="1" t="str">
        <x:f>IF(ISNUMBER(T624),R624-T624,"n.a.")</x:f>
        <x:v>n.a.</x:v>
      </x:c>
      <x:c r="AA624" s="1" t="str">
        <x:f>'Inventory inputs'!R624</x:f>
        <x:v>Review receipt reconciliation or original PO baseline</x:v>
      </x:c>
      <x:c r="AB624" s="1" t="str">
        <x:f>IF(L624=1,SUMIFS('Incoming POs'!$P$2:$P$305,'Incoming POs'!$A$2:$A$305,A624,'Incoming POs'!$B$2:$B$305,B624,'Incoming POs'!$C$2:$C$305,C624,'Incoming POs'!$G$2:$G$305,"&gt;="&amp;D624,'Incoming POs'!$G$2:$G$305,"&lt;"&amp;Dashboard!$I$5,'Incoming POs'!$Q$2:$Q$305,"&lt;="&amp;('Inventory inputs'!P624/'Inventory inputs'!J624*1.01)),"n.a.")</x:f>
        <x:v>n.a.</x:v>
      </x:c>
      <x:c r="AC624" s="9" t="n">
        <x:f>I624*G624</x:f>
        <x:v>0</x:v>
      </x:c>
      <x:c r="AD624" s="9" t="n">
        <x:f>J624*G624</x:f>
        <x:v>0</x:v>
      </x:c>
      <x:c r="AE624" s="9" t="n">
        <x:f>K624*G624</x:f>
        <x:v>39.455000000000005</x:v>
      </x:c>
      <x:c r="AF624" s="9" t="n">
        <x:f>R624*G624</x:f>
        <x:v>39.455000000000005</x:v>
      </x:c>
    </x:row>
    <x:row r="625" ht="21" customHeight="1">
      <x:c r="A625" s="1" t="str">
        <x:f>'Inventory inputs'!A625</x:f>
        <x:v>PLAS</x:v>
      </x:c>
      <x:c r="B625" s="1" t="str">
        <x:f>'Inventory inputs'!B625</x:f>
        <x:v>10</x:v>
      </x:c>
      <x:c r="C625" s="1" t="str">
        <x:f>'Inventory inputs'!C625</x:f>
        <x:v>11415RSLRED</x:v>
      </x:c>
      <x:c r="D625" s="7" t="n">
        <x:f>'Inventory inputs'!E625</x:f>
        <x:v>46303</x:v>
      </x:c>
      <x:c r="E625" s="1" t="n">
        <x:f>'Inventory inputs'!F625</x:f>
        <x:v>500</x:v>
      </x:c>
      <x:c r="F625" s="1" t="n">
        <x:f>'Inventory inputs'!G625</x:f>
        <x:v>0</x:v>
      </x:c>
      <x:c r="G625" s="1" t="n">
        <x:f>'Inventory inputs'!H625/'Inventory inputs'!J625</x:f>
        <x:v>0.060700000000000004</x:v>
      </x:c>
      <x:c r="H625" s="1" t="n">
        <x:f>IF('Inventory inputs'!I625&gt;0,'Inventory inputs'!I625*'Inventory inputs'!K625/'Inventory inputs'!J625,"n.a.")</x:f>
        <x:v>0.091434</x:v>
      </x:c>
      <x:c r="I625" s="1" t="n">
        <x:f>'Inventory inputs'!L625</x:f>
        <x:v>0</x:v>
      </x:c>
      <x:c r="J625" s="1" t="n">
        <x:f>'Inventory inputs'!M625</x:f>
        <x:v>0</x:v>
      </x:c>
      <x:c r="K625" s="1" t="n">
        <x:f>'Inventory inputs'!N625</x:f>
        <x:v>500</x:v>
      </x:c>
      <x:c r="L625" s="1" t="n">
        <x:f>'Inventory inputs'!O625</x:f>
        <x:v>0</x:v>
      </x:c>
      <x:c r="M625" s="9" t="n">
        <x:f>E625*G625</x:f>
        <x:v>30.35</x:v>
      </x:c>
      <x:c r="N625" s="9" t="n">
        <x:f>'Inventory inputs'!Q625</x:f>
        <x:v>30.35</x:v>
      </x:c>
      <x:c r="O625" s="9" t="n">
        <x:f>N625-M625</x:f>
        <x:v>0</x:v>
      </x:c>
      <x:c r="P625" s="1" t="n">
        <x:f>SUMIFS('Incoming POs'!$P$2:$P$305,'Incoming POs'!$A$2:$A$305,A625,'Incoming POs'!$B$2:$B$305,B625,'Incoming POs'!$C$2:$C$305,C625,'Incoming POs'!$G$2:$G$305,"&gt;="&amp;D625,'Incoming POs'!$G$2:$G$305,"&lt;"&amp;Dashboard!$I$5)</x:f>
        <x:v>0</x:v>
      </x:c>
      <x:c r="Q625" s="1" t="n">
        <x:f>F625*Dashboard!$L$5*MAX(0,Dashboard!$I$5-D625)/30.4375</x:f>
        <x:v>0</x:v>
      </x:c>
      <x:c r="R625" s="1" t="n">
        <x:f>MAX(0,E625+P625-Q625)</x:f>
        <x:v>500</x:v>
      </x:c>
      <x:c r="S625" s="1" t="n">
        <x:f>MAX(0,Q625-E625-P625)</x:f>
        <x:v>0</x:v>
      </x:c>
      <x:c r="T625" s="1" t="str">
        <x:f>IF(L625=1,MAX(0,I625+AB625-MIN(Q625,E625+P625)),"n.a.")</x:f>
        <x:v>n.a.</x:v>
      </x:c>
      <x:c r="U625" s="9" t="str">
        <x:f>IF(ISNUMBER(T625),T625*G625,"n.a.")</x:f>
        <x:v>n.a.</x:v>
      </x:c>
      <x:c r="V625" s="25" t="n">
        <x:f>IF(Dashboard!$I$6="Flat %",1,IF(ISNUMBER(H625),1,0))</x:f>
        <x:v>1</x:v>
      </x:c>
      <x:c r="W625" s="9" t="n">
        <x:f>IF(Dashboard!$I$6="Flat %",G625*(1+Dashboard!$L$6),H625)</x:f>
        <x:v>0.091434</x:v>
      </x:c>
      <x:c r="X625" s="9" t="n">
        <x:f>IF(V625=1,R625*(W625-G625),"n.a.")</x:f>
        <x:v>15.366999999999999</x:v>
      </x:c>
      <x:c r="Y625" s="9" t="n">
        <x:f>IF(V625=1,R625*W625,"n.a.")</x:f>
        <x:v>45.717</x:v>
      </x:c>
      <x:c r="Z625" s="1" t="str">
        <x:f>IF(ISNUMBER(T625),R625-T625,"n.a.")</x:f>
        <x:v>n.a.</x:v>
      </x:c>
      <x:c r="AA625" s="1" t="str">
        <x:f>'Inventory inputs'!R625</x:f>
        <x:v>Review receipt reconciliation or original PO baseline</x:v>
      </x:c>
      <x:c r="AB625" s="1" t="str">
        <x:f>IF(L625=1,SUMIFS('Incoming POs'!$P$2:$P$305,'Incoming POs'!$A$2:$A$305,A625,'Incoming POs'!$B$2:$B$305,B625,'Incoming POs'!$C$2:$C$305,C625,'Incoming POs'!$G$2:$G$305,"&gt;="&amp;D625,'Incoming POs'!$G$2:$G$305,"&lt;"&amp;Dashboard!$I$5,'Incoming POs'!$Q$2:$Q$305,"&lt;="&amp;('Inventory inputs'!P625/'Inventory inputs'!J625*1.01)),"n.a.")</x:f>
        <x:v>n.a.</x:v>
      </x:c>
      <x:c r="AC625" s="9" t="n">
        <x:f>I625*G625</x:f>
        <x:v>0</x:v>
      </x:c>
      <x:c r="AD625" s="9" t="n">
        <x:f>J625*G625</x:f>
        <x:v>0</x:v>
      </x:c>
      <x:c r="AE625" s="9" t="n">
        <x:f>K625*G625</x:f>
        <x:v>30.35</x:v>
      </x:c>
      <x:c r="AF625" s="9" t="n">
        <x:f>R625*G625</x:f>
        <x:v>30.35</x:v>
      </x:c>
    </x:row>
    <x:row r="626" ht="21" customHeight="1">
      <x:c r="A626" s="1" t="str">
        <x:f>'Inventory inputs'!A626</x:f>
        <x:v>PLAS</x:v>
      </x:c>
      <x:c r="B626" s="1" t="str">
        <x:f>'Inventory inputs'!B626</x:f>
        <x:v>10</x:v>
      </x:c>
      <x:c r="C626" s="1" t="str">
        <x:f>'Inventory inputs'!C626</x:f>
        <x:v>11415RSLWHT</x:v>
      </x:c>
      <x:c r="D626" s="7" t="n">
        <x:f>'Inventory inputs'!E626</x:f>
        <x:v>46303</x:v>
      </x:c>
      <x:c r="E626" s="1" t="n">
        <x:f>'Inventory inputs'!F626</x:f>
        <x:v>7050</x:v>
      </x:c>
      <x:c r="F626" s="1" t="n">
        <x:f>'Inventory inputs'!G626</x:f>
        <x:v>0</x:v>
      </x:c>
      <x:c r="G626" s="1" t="n">
        <x:f>'Inventory inputs'!H626/'Inventory inputs'!J626</x:f>
        <x:v>0.0782</x:v>
      </x:c>
      <x:c r="H626" s="1" t="n">
        <x:f>IF('Inventory inputs'!I626&gt;0,'Inventory inputs'!I626*'Inventory inputs'!K626/'Inventory inputs'!J626,"n.a.")</x:f>
        <x:v>0.091434</x:v>
      </x:c>
      <x:c r="I626" s="1" t="n">
        <x:f>'Inventory inputs'!L626</x:f>
        <x:v>7050</x:v>
      </x:c>
      <x:c r="J626" s="1" t="n">
        <x:f>'Inventory inputs'!M626</x:f>
        <x:v>0</x:v>
      </x:c>
      <x:c r="K626" s="1" t="n">
        <x:f>'Inventory inputs'!N626</x:f>
        <x:v>0</x:v>
      </x:c>
      <x:c r="L626" s="1" t="n">
        <x:f>'Inventory inputs'!O626</x:f>
        <x:v>1</x:v>
      </x:c>
      <x:c r="M626" s="9" t="n">
        <x:f>E626*G626</x:f>
        <x:v>551.3100000000001</x:v>
      </x:c>
      <x:c r="N626" s="9" t="n">
        <x:f>'Inventory inputs'!Q626</x:f>
        <x:v>551.3100000000001</x:v>
      </x:c>
      <x:c r="O626" s="9" t="n">
        <x:f>N626-M626</x:f>
        <x:v>0</x:v>
      </x:c>
      <x:c r="P626" s="1" t="n">
        <x:f>SUMIFS('Incoming POs'!$P$2:$P$305,'Incoming POs'!$A$2:$A$305,A626,'Incoming POs'!$B$2:$B$305,B626,'Incoming POs'!$C$2:$C$305,C626,'Incoming POs'!$G$2:$G$305,"&gt;="&amp;D626,'Incoming POs'!$G$2:$G$305,"&lt;"&amp;Dashboard!$I$5)</x:f>
        <x:v>0</x:v>
      </x:c>
      <x:c r="Q626" s="1" t="n">
        <x:f>F626*Dashboard!$L$5*MAX(0,Dashboard!$I$5-D626)/30.4375</x:f>
        <x:v>0</x:v>
      </x:c>
      <x:c r="R626" s="1" t="n">
        <x:f>MAX(0,E626+P626-Q626)</x:f>
        <x:v>7050</x:v>
      </x:c>
      <x:c r="S626" s="1" t="n">
        <x:f>MAX(0,Q626-E626-P626)</x:f>
        <x:v>0</x:v>
      </x:c>
      <x:c r="T626" s="1" t="n">
        <x:f>IF(L626=1,MAX(0,I626+AB626-MIN(Q626,E626+P626)),"n.a.")</x:f>
        <x:v>7050</x:v>
      </x:c>
      <x:c r="U626" s="9" t="n">
        <x:f>IF(ISNUMBER(T626),T626*G626,"n.a.")</x:f>
        <x:v>551.3100000000001</x:v>
      </x:c>
      <x:c r="V626" s="25" t="n">
        <x:f>IF(Dashboard!$I$6="Flat %",1,IF(ISNUMBER(H626),1,0))</x:f>
        <x:v>1</x:v>
      </x:c>
      <x:c r="W626" s="9" t="n">
        <x:f>IF(Dashboard!$I$6="Flat %",G626*(1+Dashboard!$L$6),H626)</x:f>
        <x:v>0.091434</x:v>
      </x:c>
      <x:c r="X626" s="9" t="n">
        <x:f>IF(V626=1,R626*(W626-G626),"n.a.")</x:f>
        <x:v>93.29969999999997</x:v>
      </x:c>
      <x:c r="Y626" s="9" t="n">
        <x:f>IF(V626=1,R626*W626,"n.a.")</x:f>
        <x:v>644.6097</x:v>
      </x:c>
      <x:c r="Z626" s="1" t="n">
        <x:f>IF(ISNUMBER(T626),R626-T626,"n.a.")</x:f>
        <x:v>0</x:v>
      </x:c>
      <x:c r="AA626" s="1" t="str">
        <x:f>'Inventory inputs'!R626</x:f>
        <x:v>Classified</x:v>
      </x:c>
      <x:c r="AB626" s="1" t="n">
        <x:f>IF(L626=1,SUMIFS('Incoming POs'!$P$2:$P$305,'Incoming POs'!$A$2:$A$305,A626,'Incoming POs'!$B$2:$B$305,B626,'Incoming POs'!$C$2:$C$305,C626,'Incoming POs'!$G$2:$G$305,"&gt;="&amp;D626,'Incoming POs'!$G$2:$G$305,"&lt;"&amp;Dashboard!$I$5,'Incoming POs'!$Q$2:$Q$305,"&lt;="&amp;('Inventory inputs'!P626/'Inventory inputs'!J626*1.01)),"n.a.")</x:f>
        <x:v>0</x:v>
      </x:c>
      <x:c r="AC626" s="9" t="n">
        <x:f>I626*G626</x:f>
        <x:v>551.3100000000001</x:v>
      </x:c>
      <x:c r="AD626" s="9" t="n">
        <x:f>J626*G626</x:f>
        <x:v>0</x:v>
      </x:c>
      <x:c r="AE626" s="9" t="n">
        <x:f>K626*G626</x:f>
        <x:v>0</x:v>
      </x:c>
      <x:c r="AF626" s="9" t="n">
        <x:f>R626*G626</x:f>
        <x:v>551.3100000000001</x:v>
      </x:c>
    </x:row>
    <x:row r="627" ht="21" customHeight="1">
      <x:c r="A627" s="1" t="str">
        <x:f>'Inventory inputs'!A627</x:f>
        <x:v>PLAS</x:v>
      </x:c>
      <x:c r="B627" s="1" t="str">
        <x:f>'Inventory inputs'!B627</x:f>
        <x:v>10</x:v>
      </x:c>
      <x:c r="C627" s="1" t="str">
        <x:f>'Inventory inputs'!C627</x:f>
        <x:v>11416RSLFG</x:v>
      </x:c>
      <x:c r="D627" s="7" t="n">
        <x:f>'Inventory inputs'!E627</x:f>
        <x:v>46303</x:v>
      </x:c>
      <x:c r="E627" s="1" t="n">
        <x:f>'Inventory inputs'!F627</x:f>
        <x:v>800</x:v>
      </x:c>
      <x:c r="F627" s="1" t="n">
        <x:f>'Inventory inputs'!G627</x:f>
        <x:v>0</x:v>
      </x:c>
      <x:c r="G627" s="1" t="n">
        <x:f>'Inventory inputs'!H627/'Inventory inputs'!J627</x:f>
        <x:v>0.065</x:v>
      </x:c>
      <x:c r="H627" s="1" t="str">
        <x:f>IF('Inventory inputs'!I627&gt;0,'Inventory inputs'!I627*'Inventory inputs'!K627/'Inventory inputs'!J627,"n.a.")</x:f>
        <x:v>n.a.</x:v>
      </x:c>
      <x:c r="I627" s="1" t="n">
        <x:f>'Inventory inputs'!L627</x:f>
        <x:v>0</x:v>
      </x:c>
      <x:c r="J627" s="1" t="n">
        <x:f>'Inventory inputs'!M627</x:f>
        <x:v>0</x:v>
      </x:c>
      <x:c r="K627" s="1" t="n">
        <x:f>'Inventory inputs'!N627</x:f>
        <x:v>800</x:v>
      </x:c>
      <x:c r="L627" s="1" t="n">
        <x:f>'Inventory inputs'!O627</x:f>
        <x:v>0</x:v>
      </x:c>
      <x:c r="M627" s="9" t="n">
        <x:f>E627*G627</x:f>
        <x:v>52</x:v>
      </x:c>
      <x:c r="N627" s="9" t="n">
        <x:f>'Inventory inputs'!Q627</x:f>
        <x:v>52</x:v>
      </x:c>
      <x:c r="O627" s="9" t="n">
        <x:f>N627-M627</x:f>
        <x:v>0</x:v>
      </x:c>
      <x:c r="P627" s="1" t="n">
        <x:f>SUMIFS('Incoming POs'!$P$2:$P$305,'Incoming POs'!$A$2:$A$305,A627,'Incoming POs'!$B$2:$B$305,B627,'Incoming POs'!$C$2:$C$305,C627,'Incoming POs'!$G$2:$G$305,"&gt;="&amp;D627,'Incoming POs'!$G$2:$G$305,"&lt;"&amp;Dashboard!$I$5)</x:f>
        <x:v>0</x:v>
      </x:c>
      <x:c r="Q627" s="1" t="n">
        <x:f>F627*Dashboard!$L$5*MAX(0,Dashboard!$I$5-D627)/30.4375</x:f>
        <x:v>0</x:v>
      </x:c>
      <x:c r="R627" s="1" t="n">
        <x:f>MAX(0,E627+P627-Q627)</x:f>
        <x:v>800</x:v>
      </x:c>
      <x:c r="S627" s="1" t="n">
        <x:f>MAX(0,Q627-E627-P627)</x:f>
        <x:v>0</x:v>
      </x:c>
      <x:c r="T627" s="1" t="str">
        <x:f>IF(L627=1,MAX(0,I627+AB627-MIN(Q627,E627+P627)),"n.a.")</x:f>
        <x:v>n.a.</x:v>
      </x:c>
      <x:c r="U627" s="9" t="str">
        <x:f>IF(ISNUMBER(T627),T627*G627,"n.a.")</x:f>
        <x:v>n.a.</x:v>
      </x:c>
      <x:c r="V627" s="25" t="n">
        <x:f>IF(Dashboard!$I$6="Flat %",1,IF(ISNUMBER(H627),1,0))</x:f>
        <x:v>0</x:v>
      </x:c>
      <x:c r="W627" s="9" t="str">
        <x:f>IF(Dashboard!$I$6="Flat %",G627*(1+Dashboard!$L$6),H627)</x:f>
        <x:v>n.a.</x:v>
      </x:c>
      <x:c r="X627" s="9" t="str">
        <x:f>IF(V627=1,R627*(W627-G627),"n.a.")</x:f>
        <x:v>n.a.</x:v>
      </x:c>
      <x:c r="Y627" s="9" t="str">
        <x:f>IF(V627=1,R627*W627,"n.a.")</x:f>
        <x:v>n.a.</x:v>
      </x:c>
      <x:c r="Z627" s="1" t="str">
        <x:f>IF(ISNUMBER(T627),R627-T627,"n.a.")</x:f>
        <x:v>n.a.</x:v>
      </x:c>
      <x:c r="AA627" s="1" t="str">
        <x:f>'Inventory inputs'!R627</x:f>
        <x:v>Review receipt reconciliation or original PO baseline</x:v>
      </x:c>
      <x:c r="AB627" s="1" t="str">
        <x:f>IF(L627=1,SUMIFS('Incoming POs'!$P$2:$P$305,'Incoming POs'!$A$2:$A$305,A627,'Incoming POs'!$B$2:$B$305,B627,'Incoming POs'!$C$2:$C$305,C627,'Incoming POs'!$G$2:$G$305,"&gt;="&amp;D627,'Incoming POs'!$G$2:$G$305,"&lt;"&amp;Dashboard!$I$5,'Incoming POs'!$Q$2:$Q$305,"&lt;="&amp;('Inventory inputs'!P627/'Inventory inputs'!J627*1.01)),"n.a.")</x:f>
        <x:v>n.a.</x:v>
      </x:c>
      <x:c r="AC627" s="9" t="n">
        <x:f>I627*G627</x:f>
        <x:v>0</x:v>
      </x:c>
      <x:c r="AD627" s="9" t="n">
        <x:f>J627*G627</x:f>
        <x:v>0</x:v>
      </x:c>
      <x:c r="AE627" s="9" t="n">
        <x:f>K627*G627</x:f>
        <x:v>52</x:v>
      </x:c>
      <x:c r="AF627" s="9" t="n">
        <x:f>R627*G627</x:f>
        <x:v>52</x:v>
      </x:c>
    </x:row>
    <x:row r="628" ht="21" customHeight="1">
      <x:c r="A628" s="1" t="str">
        <x:f>'Inventory inputs'!A628</x:f>
        <x:v>PLAS</x:v>
      </x:c>
      <x:c r="B628" s="1" t="str">
        <x:f>'Inventory inputs'!B628</x:f>
        <x:v>10</x:v>
      </x:c>
      <x:c r="C628" s="1" t="str">
        <x:f>'Inventory inputs'!C628</x:f>
        <x:v>11416RSLMAR</x:v>
      </x:c>
      <x:c r="D628" s="7" t="n">
        <x:f>'Inventory inputs'!E628</x:f>
        <x:v>46303</x:v>
      </x:c>
      <x:c r="E628" s="1" t="n">
        <x:f>'Inventory inputs'!F628</x:f>
        <x:v>1000</x:v>
      </x:c>
      <x:c r="F628" s="1" t="n">
        <x:f>'Inventory inputs'!G628</x:f>
        <x:v>0</x:v>
      </x:c>
      <x:c r="G628" s="1" t="n">
        <x:f>'Inventory inputs'!H628/'Inventory inputs'!J628</x:f>
        <x:v>0.065</x:v>
      </x:c>
      <x:c r="H628" s="1" t="str">
        <x:f>IF('Inventory inputs'!I628&gt;0,'Inventory inputs'!I628*'Inventory inputs'!K628/'Inventory inputs'!J628,"n.a.")</x:f>
        <x:v>n.a.</x:v>
      </x:c>
      <x:c r="I628" s="1" t="n">
        <x:f>'Inventory inputs'!L628</x:f>
        <x:v>0</x:v>
      </x:c>
      <x:c r="J628" s="1" t="n">
        <x:f>'Inventory inputs'!M628</x:f>
        <x:v>0</x:v>
      </x:c>
      <x:c r="K628" s="1" t="n">
        <x:f>'Inventory inputs'!N628</x:f>
        <x:v>1000</x:v>
      </x:c>
      <x:c r="L628" s="1" t="n">
        <x:f>'Inventory inputs'!O628</x:f>
        <x:v>0</x:v>
      </x:c>
      <x:c r="M628" s="9" t="n">
        <x:f>E628*G628</x:f>
        <x:v>65</x:v>
      </x:c>
      <x:c r="N628" s="9" t="n">
        <x:f>'Inventory inputs'!Q628</x:f>
        <x:v>65</x:v>
      </x:c>
      <x:c r="O628" s="9" t="n">
        <x:f>N628-M628</x:f>
        <x:v>0</x:v>
      </x:c>
      <x:c r="P628" s="1" t="n">
        <x:f>SUMIFS('Incoming POs'!$P$2:$P$305,'Incoming POs'!$A$2:$A$305,A628,'Incoming POs'!$B$2:$B$305,B628,'Incoming POs'!$C$2:$C$305,C628,'Incoming POs'!$G$2:$G$305,"&gt;="&amp;D628,'Incoming POs'!$G$2:$G$305,"&lt;"&amp;Dashboard!$I$5)</x:f>
        <x:v>0</x:v>
      </x:c>
      <x:c r="Q628" s="1" t="n">
        <x:f>F628*Dashboard!$L$5*MAX(0,Dashboard!$I$5-D628)/30.4375</x:f>
        <x:v>0</x:v>
      </x:c>
      <x:c r="R628" s="1" t="n">
        <x:f>MAX(0,E628+P628-Q628)</x:f>
        <x:v>1000</x:v>
      </x:c>
      <x:c r="S628" s="1" t="n">
        <x:f>MAX(0,Q628-E628-P628)</x:f>
        <x:v>0</x:v>
      </x:c>
      <x:c r="T628" s="1" t="str">
        <x:f>IF(L628=1,MAX(0,I628+AB628-MIN(Q628,E628+P628)),"n.a.")</x:f>
        <x:v>n.a.</x:v>
      </x:c>
      <x:c r="U628" s="9" t="str">
        <x:f>IF(ISNUMBER(T628),T628*G628,"n.a.")</x:f>
        <x:v>n.a.</x:v>
      </x:c>
      <x:c r="V628" s="25" t="n">
        <x:f>IF(Dashboard!$I$6="Flat %",1,IF(ISNUMBER(H628),1,0))</x:f>
        <x:v>0</x:v>
      </x:c>
      <x:c r="W628" s="9" t="str">
        <x:f>IF(Dashboard!$I$6="Flat %",G628*(1+Dashboard!$L$6),H628)</x:f>
        <x:v>n.a.</x:v>
      </x:c>
      <x:c r="X628" s="9" t="str">
        <x:f>IF(V628=1,R628*(W628-G628),"n.a.")</x:f>
        <x:v>n.a.</x:v>
      </x:c>
      <x:c r="Y628" s="9" t="str">
        <x:f>IF(V628=1,R628*W628,"n.a.")</x:f>
        <x:v>n.a.</x:v>
      </x:c>
      <x:c r="Z628" s="1" t="str">
        <x:f>IF(ISNUMBER(T628),R628-T628,"n.a.")</x:f>
        <x:v>n.a.</x:v>
      </x:c>
      <x:c r="AA628" s="1" t="str">
        <x:f>'Inventory inputs'!R628</x:f>
        <x:v>Review receipt reconciliation or original PO baseline</x:v>
      </x:c>
      <x:c r="AB628" s="1" t="str">
        <x:f>IF(L628=1,SUMIFS('Incoming POs'!$P$2:$P$305,'Incoming POs'!$A$2:$A$305,A628,'Incoming POs'!$B$2:$B$305,B628,'Incoming POs'!$C$2:$C$305,C628,'Incoming POs'!$G$2:$G$305,"&gt;="&amp;D628,'Incoming POs'!$G$2:$G$305,"&lt;"&amp;Dashboard!$I$5,'Incoming POs'!$Q$2:$Q$305,"&lt;="&amp;('Inventory inputs'!P628/'Inventory inputs'!J628*1.01)),"n.a.")</x:f>
        <x:v>n.a.</x:v>
      </x:c>
      <x:c r="AC628" s="9" t="n">
        <x:f>I628*G628</x:f>
        <x:v>0</x:v>
      </x:c>
      <x:c r="AD628" s="9" t="n">
        <x:f>J628*G628</x:f>
        <x:v>0</x:v>
      </x:c>
      <x:c r="AE628" s="9" t="n">
        <x:f>K628*G628</x:f>
        <x:v>65</x:v>
      </x:c>
      <x:c r="AF628" s="9" t="n">
        <x:f>R628*G628</x:f>
        <x:v>65</x:v>
      </x:c>
    </x:row>
    <x:row r="629" ht="21" customHeight="1">
      <x:c r="A629" s="1" t="str">
        <x:f>'Inventory inputs'!A629</x:f>
        <x:v>PLAS</x:v>
      </x:c>
      <x:c r="B629" s="1" t="str">
        <x:f>'Inventory inputs'!B629</x:f>
        <x:v>10</x:v>
      </x:c>
      <x:c r="C629" s="1" t="str">
        <x:f>'Inventory inputs'!C629</x:f>
        <x:v>11416RSLNAV</x:v>
      </x:c>
      <x:c r="D629" s="7" t="n">
        <x:f>'Inventory inputs'!E629</x:f>
        <x:v>46303</x:v>
      </x:c>
      <x:c r="E629" s="1" t="n">
        <x:f>'Inventory inputs'!F629</x:f>
        <x:v>500</x:v>
      </x:c>
      <x:c r="F629" s="1" t="n">
        <x:f>'Inventory inputs'!G629</x:f>
        <x:v>0</x:v>
      </x:c>
      <x:c r="G629" s="1" t="n">
        <x:f>'Inventory inputs'!H629/'Inventory inputs'!J629</x:f>
        <x:v>0.065</x:v>
      </x:c>
      <x:c r="H629" s="1" t="str">
        <x:f>IF('Inventory inputs'!I629&gt;0,'Inventory inputs'!I629*'Inventory inputs'!K629/'Inventory inputs'!J629,"n.a.")</x:f>
        <x:v>n.a.</x:v>
      </x:c>
      <x:c r="I629" s="1" t="n">
        <x:f>'Inventory inputs'!L629</x:f>
        <x:v>0</x:v>
      </x:c>
      <x:c r="J629" s="1" t="n">
        <x:f>'Inventory inputs'!M629</x:f>
        <x:v>0</x:v>
      </x:c>
      <x:c r="K629" s="1" t="n">
        <x:f>'Inventory inputs'!N629</x:f>
        <x:v>500</x:v>
      </x:c>
      <x:c r="L629" s="1" t="n">
        <x:f>'Inventory inputs'!O629</x:f>
        <x:v>0</x:v>
      </x:c>
      <x:c r="M629" s="9" t="n">
        <x:f>E629*G629</x:f>
        <x:v>32.5</x:v>
      </x:c>
      <x:c r="N629" s="9" t="n">
        <x:f>'Inventory inputs'!Q629</x:f>
        <x:v>32.5</x:v>
      </x:c>
      <x:c r="O629" s="9" t="n">
        <x:f>N629-M629</x:f>
        <x:v>0</x:v>
      </x:c>
      <x:c r="P629" s="1" t="n">
        <x:f>SUMIFS('Incoming POs'!$P$2:$P$305,'Incoming POs'!$A$2:$A$305,A629,'Incoming POs'!$B$2:$B$305,B629,'Incoming POs'!$C$2:$C$305,C629,'Incoming POs'!$G$2:$G$305,"&gt;="&amp;D629,'Incoming POs'!$G$2:$G$305,"&lt;"&amp;Dashboard!$I$5)</x:f>
        <x:v>0</x:v>
      </x:c>
      <x:c r="Q629" s="1" t="n">
        <x:f>F629*Dashboard!$L$5*MAX(0,Dashboard!$I$5-D629)/30.4375</x:f>
        <x:v>0</x:v>
      </x:c>
      <x:c r="R629" s="1" t="n">
        <x:f>MAX(0,E629+P629-Q629)</x:f>
        <x:v>500</x:v>
      </x:c>
      <x:c r="S629" s="1" t="n">
        <x:f>MAX(0,Q629-E629-P629)</x:f>
        <x:v>0</x:v>
      </x:c>
      <x:c r="T629" s="1" t="str">
        <x:f>IF(L629=1,MAX(0,I629+AB629-MIN(Q629,E629+P629)),"n.a.")</x:f>
        <x:v>n.a.</x:v>
      </x:c>
      <x:c r="U629" s="9" t="str">
        <x:f>IF(ISNUMBER(T629),T629*G629,"n.a.")</x:f>
        <x:v>n.a.</x:v>
      </x:c>
      <x:c r="V629" s="25" t="n">
        <x:f>IF(Dashboard!$I$6="Flat %",1,IF(ISNUMBER(H629),1,0))</x:f>
        <x:v>0</x:v>
      </x:c>
      <x:c r="W629" s="9" t="str">
        <x:f>IF(Dashboard!$I$6="Flat %",G629*(1+Dashboard!$L$6),H629)</x:f>
        <x:v>n.a.</x:v>
      </x:c>
      <x:c r="X629" s="9" t="str">
        <x:f>IF(V629=1,R629*(W629-G629),"n.a.")</x:f>
        <x:v>n.a.</x:v>
      </x:c>
      <x:c r="Y629" s="9" t="str">
        <x:f>IF(V629=1,R629*W629,"n.a.")</x:f>
        <x:v>n.a.</x:v>
      </x:c>
      <x:c r="Z629" s="1" t="str">
        <x:f>IF(ISNUMBER(T629),R629-T629,"n.a.")</x:f>
        <x:v>n.a.</x:v>
      </x:c>
      <x:c r="AA629" s="1" t="str">
        <x:f>'Inventory inputs'!R629</x:f>
        <x:v>Review receipt reconciliation or original PO baseline</x:v>
      </x:c>
      <x:c r="AB629" s="1" t="str">
        <x:f>IF(L629=1,SUMIFS('Incoming POs'!$P$2:$P$305,'Incoming POs'!$A$2:$A$305,A629,'Incoming POs'!$B$2:$B$305,B629,'Incoming POs'!$C$2:$C$305,C629,'Incoming POs'!$G$2:$G$305,"&gt;="&amp;D629,'Incoming POs'!$G$2:$G$305,"&lt;"&amp;Dashboard!$I$5,'Incoming POs'!$Q$2:$Q$305,"&lt;="&amp;('Inventory inputs'!P629/'Inventory inputs'!J629*1.01)),"n.a.")</x:f>
        <x:v>n.a.</x:v>
      </x:c>
      <x:c r="AC629" s="9" t="n">
        <x:f>I629*G629</x:f>
        <x:v>0</x:v>
      </x:c>
      <x:c r="AD629" s="9" t="n">
        <x:f>J629*G629</x:f>
        <x:v>0</x:v>
      </x:c>
      <x:c r="AE629" s="9" t="n">
        <x:f>K629*G629</x:f>
        <x:v>32.5</x:v>
      </x:c>
      <x:c r="AF629" s="9" t="n">
        <x:f>R629*G629</x:f>
        <x:v>32.5</x:v>
      </x:c>
    </x:row>
    <x:row r="630" ht="21" customHeight="1">
      <x:c r="A630" s="1" t="str">
        <x:f>'Inventory inputs'!A630</x:f>
        <x:v>PLAS</x:v>
      </x:c>
      <x:c r="B630" s="1" t="str">
        <x:f>'Inventory inputs'!B630</x:f>
        <x:v>10</x:v>
      </x:c>
      <x:c r="C630" s="1" t="str">
        <x:f>'Inventory inputs'!C630</x:f>
        <x:v>11416RSLRED</x:v>
      </x:c>
      <x:c r="D630" s="7" t="n">
        <x:f>'Inventory inputs'!E630</x:f>
        <x:v>46303</x:v>
      </x:c>
      <x:c r="E630" s="1" t="n">
        <x:f>'Inventory inputs'!F630</x:f>
        <x:v>500</x:v>
      </x:c>
      <x:c r="F630" s="1" t="n">
        <x:f>'Inventory inputs'!G630</x:f>
        <x:v>0</x:v>
      </x:c>
      <x:c r="G630" s="1" t="n">
        <x:f>'Inventory inputs'!H630/'Inventory inputs'!J630</x:f>
        <x:v>0.065</x:v>
      </x:c>
      <x:c r="H630" s="1" t="str">
        <x:f>IF('Inventory inputs'!I630&gt;0,'Inventory inputs'!I630*'Inventory inputs'!K630/'Inventory inputs'!J630,"n.a.")</x:f>
        <x:v>n.a.</x:v>
      </x:c>
      <x:c r="I630" s="1" t="n">
        <x:f>'Inventory inputs'!L630</x:f>
        <x:v>0</x:v>
      </x:c>
      <x:c r="J630" s="1" t="n">
        <x:f>'Inventory inputs'!M630</x:f>
        <x:v>0</x:v>
      </x:c>
      <x:c r="K630" s="1" t="n">
        <x:f>'Inventory inputs'!N630</x:f>
        <x:v>500</x:v>
      </x:c>
      <x:c r="L630" s="1" t="n">
        <x:f>'Inventory inputs'!O630</x:f>
        <x:v>0</x:v>
      </x:c>
      <x:c r="M630" s="9" t="n">
        <x:f>E630*G630</x:f>
        <x:v>32.5</x:v>
      </x:c>
      <x:c r="N630" s="9" t="n">
        <x:f>'Inventory inputs'!Q630</x:f>
        <x:v>32.5</x:v>
      </x:c>
      <x:c r="O630" s="9" t="n">
        <x:f>N630-M630</x:f>
        <x:v>0</x:v>
      </x:c>
      <x:c r="P630" s="1" t="n">
        <x:f>SUMIFS('Incoming POs'!$P$2:$P$305,'Incoming POs'!$A$2:$A$305,A630,'Incoming POs'!$B$2:$B$305,B630,'Incoming POs'!$C$2:$C$305,C630,'Incoming POs'!$G$2:$G$305,"&gt;="&amp;D630,'Incoming POs'!$G$2:$G$305,"&lt;"&amp;Dashboard!$I$5)</x:f>
        <x:v>0</x:v>
      </x:c>
      <x:c r="Q630" s="1" t="n">
        <x:f>F630*Dashboard!$L$5*MAX(0,Dashboard!$I$5-D630)/30.4375</x:f>
        <x:v>0</x:v>
      </x:c>
      <x:c r="R630" s="1" t="n">
        <x:f>MAX(0,E630+P630-Q630)</x:f>
        <x:v>500</x:v>
      </x:c>
      <x:c r="S630" s="1" t="n">
        <x:f>MAX(0,Q630-E630-P630)</x:f>
        <x:v>0</x:v>
      </x:c>
      <x:c r="T630" s="1" t="str">
        <x:f>IF(L630=1,MAX(0,I630+AB630-MIN(Q630,E630+P630)),"n.a.")</x:f>
        <x:v>n.a.</x:v>
      </x:c>
      <x:c r="U630" s="9" t="str">
        <x:f>IF(ISNUMBER(T630),T630*G630,"n.a.")</x:f>
        <x:v>n.a.</x:v>
      </x:c>
      <x:c r="V630" s="25" t="n">
        <x:f>IF(Dashboard!$I$6="Flat %",1,IF(ISNUMBER(H630),1,0))</x:f>
        <x:v>0</x:v>
      </x:c>
      <x:c r="W630" s="9" t="str">
        <x:f>IF(Dashboard!$I$6="Flat %",G630*(1+Dashboard!$L$6),H630)</x:f>
        <x:v>n.a.</x:v>
      </x:c>
      <x:c r="X630" s="9" t="str">
        <x:f>IF(V630=1,R630*(W630-G630),"n.a.")</x:f>
        <x:v>n.a.</x:v>
      </x:c>
      <x:c r="Y630" s="9" t="str">
        <x:f>IF(V630=1,R630*W630,"n.a.")</x:f>
        <x:v>n.a.</x:v>
      </x:c>
      <x:c r="Z630" s="1" t="str">
        <x:f>IF(ISNUMBER(T630),R630-T630,"n.a.")</x:f>
        <x:v>n.a.</x:v>
      </x:c>
      <x:c r="AA630" s="1" t="str">
        <x:f>'Inventory inputs'!R630</x:f>
        <x:v>Review receipt reconciliation or original PO baseline</x:v>
      </x:c>
      <x:c r="AB630" s="1" t="str">
        <x:f>IF(L630=1,SUMIFS('Incoming POs'!$P$2:$P$305,'Incoming POs'!$A$2:$A$305,A630,'Incoming POs'!$B$2:$B$305,B630,'Incoming POs'!$C$2:$C$305,C630,'Incoming POs'!$G$2:$G$305,"&gt;="&amp;D630,'Incoming POs'!$G$2:$G$305,"&lt;"&amp;Dashboard!$I$5,'Incoming POs'!$Q$2:$Q$305,"&lt;="&amp;('Inventory inputs'!P630/'Inventory inputs'!J630*1.01)),"n.a.")</x:f>
        <x:v>n.a.</x:v>
      </x:c>
      <x:c r="AC630" s="9" t="n">
        <x:f>I630*G630</x:f>
        <x:v>0</x:v>
      </x:c>
      <x:c r="AD630" s="9" t="n">
        <x:f>J630*G630</x:f>
        <x:v>0</x:v>
      </x:c>
      <x:c r="AE630" s="9" t="n">
        <x:f>K630*G630</x:f>
        <x:v>32.5</x:v>
      </x:c>
      <x:c r="AF630" s="9" t="n">
        <x:f>R630*G630</x:f>
        <x:v>32.5</x:v>
      </x:c>
    </x:row>
    <x:row r="631" ht="21" customHeight="1">
      <x:c r="A631" s="1" t="str">
        <x:f>'Inventory inputs'!A631</x:f>
        <x:v>PLAS</x:v>
      </x:c>
      <x:c r="B631" s="1" t="str">
        <x:f>'Inventory inputs'!B631</x:f>
        <x:v>10</x:v>
      </x:c>
      <x:c r="C631" s="1" t="str">
        <x:f>'Inventory inputs'!C631</x:f>
        <x:v>11421RSLBLK</x:v>
      </x:c>
      <x:c r="D631" s="7" t="n">
        <x:f>'Inventory inputs'!E631</x:f>
        <x:v>46303</x:v>
      </x:c>
      <x:c r="E631" s="1" t="n">
        <x:f>'Inventory inputs'!F631</x:f>
        <x:v>6000</x:v>
      </x:c>
      <x:c r="F631" s="1" t="n">
        <x:f>'Inventory inputs'!G631</x:f>
        <x:v>0</x:v>
      </x:c>
      <x:c r="G631" s="1" t="n">
        <x:f>'Inventory inputs'!H631/'Inventory inputs'!J631</x:f>
        <x:v>0.1105</x:v>
      </x:c>
      <x:c r="H631" s="1" t="n">
        <x:f>IF('Inventory inputs'!I631&gt;0,'Inventory inputs'!I631*'Inventory inputs'!K631/'Inventory inputs'!J631,"n.a.")</x:f>
        <x:v>0.12936</x:v>
      </x:c>
      <x:c r="I631" s="1" t="n">
        <x:f>'Inventory inputs'!L631</x:f>
        <x:v>6000</x:v>
      </x:c>
      <x:c r="J631" s="1" t="n">
        <x:f>'Inventory inputs'!M631</x:f>
        <x:v>0</x:v>
      </x:c>
      <x:c r="K631" s="1" t="n">
        <x:f>'Inventory inputs'!N631</x:f>
        <x:v>0</x:v>
      </x:c>
      <x:c r="L631" s="1" t="n">
        <x:f>'Inventory inputs'!O631</x:f>
        <x:v>1</x:v>
      </x:c>
      <x:c r="M631" s="9" t="n">
        <x:f>E631*G631</x:f>
        <x:v>663</x:v>
      </x:c>
      <x:c r="N631" s="9" t="n">
        <x:f>'Inventory inputs'!Q631</x:f>
        <x:v>663</x:v>
      </x:c>
      <x:c r="O631" s="9" t="n">
        <x:f>N631-M631</x:f>
        <x:v>0</x:v>
      </x:c>
      <x:c r="P631" s="1" t="n">
        <x:f>SUMIFS('Incoming POs'!$P$2:$P$305,'Incoming POs'!$A$2:$A$305,A631,'Incoming POs'!$B$2:$B$305,B631,'Incoming POs'!$C$2:$C$305,C631,'Incoming POs'!$G$2:$G$305,"&gt;="&amp;D631,'Incoming POs'!$G$2:$G$305,"&lt;"&amp;Dashboard!$I$5)</x:f>
        <x:v>0</x:v>
      </x:c>
      <x:c r="Q631" s="1" t="n">
        <x:f>F631*Dashboard!$L$5*MAX(0,Dashboard!$I$5-D631)/30.4375</x:f>
        <x:v>0</x:v>
      </x:c>
      <x:c r="R631" s="1" t="n">
        <x:f>MAX(0,E631+P631-Q631)</x:f>
        <x:v>6000</x:v>
      </x:c>
      <x:c r="S631" s="1" t="n">
        <x:f>MAX(0,Q631-E631-P631)</x:f>
        <x:v>0</x:v>
      </x:c>
      <x:c r="T631" s="1" t="n">
        <x:f>IF(L631=1,MAX(0,I631+AB631-MIN(Q631,E631+P631)),"n.a.")</x:f>
        <x:v>6000</x:v>
      </x:c>
      <x:c r="U631" s="9" t="n">
        <x:f>IF(ISNUMBER(T631),T631*G631,"n.a.")</x:f>
        <x:v>663</x:v>
      </x:c>
      <x:c r="V631" s="25" t="n">
        <x:f>IF(Dashboard!$I$6="Flat %",1,IF(ISNUMBER(H631),1,0))</x:f>
        <x:v>1</x:v>
      </x:c>
      <x:c r="W631" s="9" t="n">
        <x:f>IF(Dashboard!$I$6="Flat %",G631*(1+Dashboard!$L$6),H631)</x:f>
        <x:v>0.12936</x:v>
      </x:c>
      <x:c r="X631" s="9" t="n">
        <x:f>IF(V631=1,R631*(W631-G631),"n.a.")</x:f>
        <x:v>113.16000000000001</x:v>
      </x:c>
      <x:c r="Y631" s="9" t="n">
        <x:f>IF(V631=1,R631*W631,"n.a.")</x:f>
        <x:v>776.16</x:v>
      </x:c>
      <x:c r="Z631" s="1" t="n">
        <x:f>IF(ISNUMBER(T631),R631-T631,"n.a.")</x:f>
        <x:v>0</x:v>
      </x:c>
      <x:c r="AA631" s="1" t="str">
        <x:f>'Inventory inputs'!R631</x:f>
        <x:v>Classified</x:v>
      </x:c>
      <x:c r="AB631" s="1" t="n">
        <x:f>IF(L631=1,SUMIFS('Incoming POs'!$P$2:$P$305,'Incoming POs'!$A$2:$A$305,A631,'Incoming POs'!$B$2:$B$305,B631,'Incoming POs'!$C$2:$C$305,C631,'Incoming POs'!$G$2:$G$305,"&gt;="&amp;D631,'Incoming POs'!$G$2:$G$305,"&lt;"&amp;Dashboard!$I$5,'Incoming POs'!$Q$2:$Q$305,"&lt;="&amp;('Inventory inputs'!P631/'Inventory inputs'!J631*1.01)),"n.a.")</x:f>
        <x:v>0</x:v>
      </x:c>
      <x:c r="AC631" s="9" t="n">
        <x:f>I631*G631</x:f>
        <x:v>663</x:v>
      </x:c>
      <x:c r="AD631" s="9" t="n">
        <x:f>J631*G631</x:f>
        <x:v>0</x:v>
      </x:c>
      <x:c r="AE631" s="9" t="n">
        <x:f>K631*G631</x:f>
        <x:v>0</x:v>
      </x:c>
      <x:c r="AF631" s="9" t="n">
        <x:f>R631*G631</x:f>
        <x:v>663</x:v>
      </x:c>
    </x:row>
    <x:row r="632" ht="21" customHeight="1">
      <x:c r="A632" s="1" t="str">
        <x:f>'Inventory inputs'!A632</x:f>
        <x:v>PLAS</x:v>
      </x:c>
      <x:c r="B632" s="1" t="str">
        <x:f>'Inventory inputs'!B632</x:f>
        <x:v>10</x:v>
      </x:c>
      <x:c r="C632" s="1" t="str">
        <x:f>'Inventory inputs'!C632</x:f>
        <x:v>11480ROVRED</x:v>
      </x:c>
      <x:c r="D632" s="7" t="n">
        <x:f>'Inventory inputs'!E632</x:f>
        <x:v>46303</x:v>
      </x:c>
      <x:c r="E632" s="1" t="n">
        <x:f>'Inventory inputs'!F632</x:f>
        <x:v>600</x:v>
      </x:c>
      <x:c r="F632" s="1" t="n">
        <x:f>'Inventory inputs'!G632</x:f>
        <x:v>0</x:v>
      </x:c>
      <x:c r="G632" s="1" t="n">
        <x:f>'Inventory inputs'!H632/'Inventory inputs'!J632</x:f>
        <x:v>0.36810000000000004</x:v>
      </x:c>
      <x:c r="H632" s="1" t="n">
        <x:f>IF('Inventory inputs'!I632&gt;0,'Inventory inputs'!I632*'Inventory inputs'!K632/'Inventory inputs'!J632,"n.a.")</x:f>
        <x:v>0.555807</x:v>
      </x:c>
      <x:c r="I632" s="1" t="n">
        <x:f>'Inventory inputs'!L632</x:f>
        <x:v>0</x:v>
      </x:c>
      <x:c r="J632" s="1" t="n">
        <x:f>'Inventory inputs'!M632</x:f>
        <x:v>0</x:v>
      </x:c>
      <x:c r="K632" s="1" t="n">
        <x:f>'Inventory inputs'!N632</x:f>
        <x:v>600</x:v>
      </x:c>
      <x:c r="L632" s="1" t="n">
        <x:f>'Inventory inputs'!O632</x:f>
        <x:v>0</x:v>
      </x:c>
      <x:c r="M632" s="9" t="n">
        <x:f>E632*G632</x:f>
        <x:v>220.86</x:v>
      </x:c>
      <x:c r="N632" s="9" t="n">
        <x:f>'Inventory inputs'!Q632</x:f>
        <x:v>220.86</x:v>
      </x:c>
      <x:c r="O632" s="9" t="n">
        <x:f>N632-M632</x:f>
        <x:v>0</x:v>
      </x:c>
      <x:c r="P632" s="1" t="n">
        <x:f>SUMIFS('Incoming POs'!$P$2:$P$305,'Incoming POs'!$A$2:$A$305,A632,'Incoming POs'!$B$2:$B$305,B632,'Incoming POs'!$C$2:$C$305,C632,'Incoming POs'!$G$2:$G$305,"&gt;="&amp;D632,'Incoming POs'!$G$2:$G$305,"&lt;"&amp;Dashboard!$I$5)</x:f>
        <x:v>0</x:v>
      </x:c>
      <x:c r="Q632" s="1" t="n">
        <x:f>F632*Dashboard!$L$5*MAX(0,Dashboard!$I$5-D632)/30.4375</x:f>
        <x:v>0</x:v>
      </x:c>
      <x:c r="R632" s="1" t="n">
        <x:f>MAX(0,E632+P632-Q632)</x:f>
        <x:v>600</x:v>
      </x:c>
      <x:c r="S632" s="1" t="n">
        <x:f>MAX(0,Q632-E632-P632)</x:f>
        <x:v>0</x:v>
      </x:c>
      <x:c r="T632" s="1" t="str">
        <x:f>IF(L632=1,MAX(0,I632+AB632-MIN(Q632,E632+P632)),"n.a.")</x:f>
        <x:v>n.a.</x:v>
      </x:c>
      <x:c r="U632" s="9" t="str">
        <x:f>IF(ISNUMBER(T632),T632*G632,"n.a.")</x:f>
        <x:v>n.a.</x:v>
      </x:c>
      <x:c r="V632" s="25" t="n">
        <x:f>IF(Dashboard!$I$6="Flat %",1,IF(ISNUMBER(H632),1,0))</x:f>
        <x:v>1</x:v>
      </x:c>
      <x:c r="W632" s="9" t="n">
        <x:f>IF(Dashboard!$I$6="Flat %",G632*(1+Dashboard!$L$6),H632)</x:f>
        <x:v>0.555807</x:v>
      </x:c>
      <x:c r="X632" s="9" t="n">
        <x:f>IF(V632=1,R632*(W632-G632),"n.a.")</x:f>
        <x:v>112.6242</x:v>
      </x:c>
      <x:c r="Y632" s="9" t="n">
        <x:f>IF(V632=1,R632*W632,"n.a.")</x:f>
        <x:v>333.48420000000004</x:v>
      </x:c>
      <x:c r="Z632" s="1" t="str">
        <x:f>IF(ISNUMBER(T632),R632-T632,"n.a.")</x:f>
        <x:v>n.a.</x:v>
      </x:c>
      <x:c r="AA632" s="1" t="str">
        <x:f>'Inventory inputs'!R632</x:f>
        <x:v>Review receipt reconciliation or original PO baseline</x:v>
      </x:c>
      <x:c r="AB632" s="1" t="str">
        <x:f>IF(L632=1,SUMIFS('Incoming POs'!$P$2:$P$305,'Incoming POs'!$A$2:$A$305,A632,'Incoming POs'!$B$2:$B$305,B632,'Incoming POs'!$C$2:$C$305,C632,'Incoming POs'!$G$2:$G$305,"&gt;="&amp;D632,'Incoming POs'!$G$2:$G$305,"&lt;"&amp;Dashboard!$I$5,'Incoming POs'!$Q$2:$Q$305,"&lt;="&amp;('Inventory inputs'!P632/'Inventory inputs'!J632*1.01)),"n.a.")</x:f>
        <x:v>n.a.</x:v>
      </x:c>
      <x:c r="AC632" s="9" t="n">
        <x:f>I632*G632</x:f>
        <x:v>0</x:v>
      </x:c>
      <x:c r="AD632" s="9" t="n">
        <x:f>J632*G632</x:f>
        <x:v>0</x:v>
      </x:c>
      <x:c r="AE632" s="9" t="n">
        <x:f>K632*G632</x:f>
        <x:v>220.86</x:v>
      </x:c>
      <x:c r="AF632" s="9" t="n">
        <x:f>R632*G632</x:f>
        <x:v>220.86</x:v>
      </x:c>
    </x:row>
    <x:row r="633" ht="21" customHeight="1">
      <x:c r="A633" s="1" t="str">
        <x:f>'Inventory inputs'!A633</x:f>
        <x:v>PLAS</x:v>
      </x:c>
      <x:c r="B633" s="1" t="str">
        <x:f>'Inventory inputs'!B633</x:f>
        <x:v>10</x:v>
      </x:c>
      <x:c r="C633" s="1" t="str">
        <x:f>'Inventory inputs'!C633</x:f>
        <x:v>11480ROVWHT</x:v>
      </x:c>
      <x:c r="D633" s="7" t="n">
        <x:f>'Inventory inputs'!E633</x:f>
        <x:v>46303</x:v>
      </x:c>
      <x:c r="E633" s="1" t="n">
        <x:f>'Inventory inputs'!F633</x:f>
        <x:v>1378</x:v>
      </x:c>
      <x:c r="F633" s="1" t="n">
        <x:f>'Inventory inputs'!G633</x:f>
        <x:v>0</x:v>
      </x:c>
      <x:c r="G633" s="1" t="n">
        <x:f>'Inventory inputs'!H633/'Inventory inputs'!J633</x:f>
        <x:v>0.47509999999999997</x:v>
      </x:c>
      <x:c r="H633" s="1" t="n">
        <x:f>IF('Inventory inputs'!I633&gt;0,'Inventory inputs'!I633*'Inventory inputs'!K633/'Inventory inputs'!J633,"n.a.")</x:f>
        <x:v>0.555807</x:v>
      </x:c>
      <x:c r="I633" s="1" t="n">
        <x:f>'Inventory inputs'!L633</x:f>
        <x:v>0</x:v>
      </x:c>
      <x:c r="J633" s="1" t="n">
        <x:f>'Inventory inputs'!M633</x:f>
        <x:v>0</x:v>
      </x:c>
      <x:c r="K633" s="1" t="n">
        <x:f>'Inventory inputs'!N633</x:f>
        <x:v>1378</x:v>
      </x:c>
      <x:c r="L633" s="1" t="n">
        <x:f>'Inventory inputs'!O633</x:f>
        <x:v>0</x:v>
      </x:c>
      <x:c r="M633" s="9" t="n">
        <x:f>E633*G633</x:f>
        <x:v>654.6877999999999</x:v>
      </x:c>
      <x:c r="N633" s="9" t="n">
        <x:f>'Inventory inputs'!Q633</x:f>
        <x:v>654.6878</x:v>
      </x:c>
      <x:c r="O633" s="9" t="n">
        <x:f>N633-M633</x:f>
        <x:v>1.1368683772161603e-13</x:v>
      </x:c>
      <x:c r="P633" s="1" t="n">
        <x:f>SUMIFS('Incoming POs'!$P$2:$P$305,'Incoming POs'!$A$2:$A$305,A633,'Incoming POs'!$B$2:$B$305,B633,'Incoming POs'!$C$2:$C$305,C633,'Incoming POs'!$G$2:$G$305,"&gt;="&amp;D633,'Incoming POs'!$G$2:$G$305,"&lt;"&amp;Dashboard!$I$5)</x:f>
        <x:v>0</x:v>
      </x:c>
      <x:c r="Q633" s="1" t="n">
        <x:f>F633*Dashboard!$L$5*MAX(0,Dashboard!$I$5-D633)/30.4375</x:f>
        <x:v>0</x:v>
      </x:c>
      <x:c r="R633" s="1" t="n">
        <x:f>MAX(0,E633+P633-Q633)</x:f>
        <x:v>1378</x:v>
      </x:c>
      <x:c r="S633" s="1" t="n">
        <x:f>MAX(0,Q633-E633-P633)</x:f>
        <x:v>0</x:v>
      </x:c>
      <x:c r="T633" s="1" t="str">
        <x:f>IF(L633=1,MAX(0,I633+AB633-MIN(Q633,E633+P633)),"n.a.")</x:f>
        <x:v>n.a.</x:v>
      </x:c>
      <x:c r="U633" s="9" t="str">
        <x:f>IF(ISNUMBER(T633),T633*G633,"n.a.")</x:f>
        <x:v>n.a.</x:v>
      </x:c>
      <x:c r="V633" s="25" t="n">
        <x:f>IF(Dashboard!$I$6="Flat %",1,IF(ISNUMBER(H633),1,0))</x:f>
        <x:v>1</x:v>
      </x:c>
      <x:c r="W633" s="9" t="n">
        <x:f>IF(Dashboard!$I$6="Flat %",G633*(1+Dashboard!$L$6),H633)</x:f>
        <x:v>0.555807</x:v>
      </x:c>
      <x:c r="X633" s="9" t="n">
        <x:f>IF(V633=1,R633*(W633-G633),"n.a.")</x:f>
        <x:v>111.21424600000012</x:v>
      </x:c>
      <x:c r="Y633" s="9" t="n">
        <x:f>IF(V633=1,R633*W633,"n.a.")</x:f>
        <x:v>765.902046</x:v>
      </x:c>
      <x:c r="Z633" s="1" t="str">
        <x:f>IF(ISNUMBER(T633),R633-T633,"n.a.")</x:f>
        <x:v>n.a.</x:v>
      </x:c>
      <x:c r="AA633" s="1" t="str">
        <x:f>'Inventory inputs'!R633</x:f>
        <x:v>Review receipt reconciliation or original PO baseline</x:v>
      </x:c>
      <x:c r="AB633" s="1" t="str">
        <x:f>IF(L633=1,SUMIFS('Incoming POs'!$P$2:$P$305,'Incoming POs'!$A$2:$A$305,A633,'Incoming POs'!$B$2:$B$305,B633,'Incoming POs'!$C$2:$C$305,C633,'Incoming POs'!$G$2:$G$305,"&gt;="&amp;D633,'Incoming POs'!$G$2:$G$305,"&lt;"&amp;Dashboard!$I$5,'Incoming POs'!$Q$2:$Q$305,"&lt;="&amp;('Inventory inputs'!P633/'Inventory inputs'!J633*1.01)),"n.a.")</x:f>
        <x:v>n.a.</x:v>
      </x:c>
      <x:c r="AC633" s="9" t="n">
        <x:f>I633*G633</x:f>
        <x:v>0</x:v>
      </x:c>
      <x:c r="AD633" s="9" t="n">
        <x:f>J633*G633</x:f>
        <x:v>0</x:v>
      </x:c>
      <x:c r="AE633" s="9" t="n">
        <x:f>K633*G633</x:f>
        <x:v>654.6877999999999</x:v>
      </x:c>
      <x:c r="AF633" s="9" t="n">
        <x:f>R633*G633</x:f>
        <x:v>654.6877999999999</x:v>
      </x:c>
    </x:row>
    <x:row r="634" ht="21" customHeight="1">
      <x:c r="A634" s="1" t="str">
        <x:f>'Inventory inputs'!A634</x:f>
        <x:v>PLAS</x:v>
      </x:c>
      <x:c r="B634" s="1" t="str">
        <x:f>'Inventory inputs'!B634</x:f>
        <x:v>10</x:v>
      </x:c>
      <x:c r="C634" s="1" t="str">
        <x:f>'Inventory inputs'!C634</x:f>
        <x:v>11815ROVBLU</x:v>
      </x:c>
      <x:c r="D634" s="7" t="n">
        <x:f>'Inventory inputs'!E634</x:f>
        <x:v>46303</x:v>
      </x:c>
      <x:c r="E634" s="1" t="n">
        <x:f>'Inventory inputs'!F634</x:f>
        <x:v>7000</x:v>
      </x:c>
      <x:c r="F634" s="1" t="n">
        <x:f>'Inventory inputs'!G634</x:f>
        <x:v>0</x:v>
      </x:c>
      <x:c r="G634" s="1" t="n">
        <x:f>'Inventory inputs'!H634/'Inventory inputs'!J634</x:f>
        <x:v>0.08410000000000001</x:v>
      </x:c>
      <x:c r="H634" s="1" t="n">
        <x:f>IF('Inventory inputs'!I634&gt;0,'Inventory inputs'!I634*'Inventory inputs'!K634/'Inventory inputs'!J634,"n.a.")</x:f>
        <x:v>0.09834300000000001</x:v>
      </x:c>
      <x:c r="I634" s="1" t="n">
        <x:f>'Inventory inputs'!L634</x:f>
        <x:v>7000</x:v>
      </x:c>
      <x:c r="J634" s="1" t="n">
        <x:f>'Inventory inputs'!M634</x:f>
        <x:v>0</x:v>
      </x:c>
      <x:c r="K634" s="1" t="n">
        <x:f>'Inventory inputs'!N634</x:f>
        <x:v>0</x:v>
      </x:c>
      <x:c r="L634" s="1" t="n">
        <x:f>'Inventory inputs'!O634</x:f>
        <x:v>1</x:v>
      </x:c>
      <x:c r="M634" s="9" t="n">
        <x:f>E634*G634</x:f>
        <x:v>588.7</x:v>
      </x:c>
      <x:c r="N634" s="9" t="n">
        <x:f>'Inventory inputs'!Q634</x:f>
        <x:v>588.7</x:v>
      </x:c>
      <x:c r="O634" s="9" t="n">
        <x:f>N634-M634</x:f>
        <x:v>0</x:v>
      </x:c>
      <x:c r="P634" s="1" t="n">
        <x:f>SUMIFS('Incoming POs'!$P$2:$P$305,'Incoming POs'!$A$2:$A$305,A634,'Incoming POs'!$B$2:$B$305,B634,'Incoming POs'!$C$2:$C$305,C634,'Incoming POs'!$G$2:$G$305,"&gt;="&amp;D634,'Incoming POs'!$G$2:$G$305,"&lt;"&amp;Dashboard!$I$5)</x:f>
        <x:v>0</x:v>
      </x:c>
      <x:c r="Q634" s="1" t="n">
        <x:f>F634*Dashboard!$L$5*MAX(0,Dashboard!$I$5-D634)/30.4375</x:f>
        <x:v>0</x:v>
      </x:c>
      <x:c r="R634" s="1" t="n">
        <x:f>MAX(0,E634+P634-Q634)</x:f>
        <x:v>7000</x:v>
      </x:c>
      <x:c r="S634" s="1" t="n">
        <x:f>MAX(0,Q634-E634-P634)</x:f>
        <x:v>0</x:v>
      </x:c>
      <x:c r="T634" s="1" t="n">
        <x:f>IF(L634=1,MAX(0,I634+AB634-MIN(Q634,E634+P634)),"n.a.")</x:f>
        <x:v>7000</x:v>
      </x:c>
      <x:c r="U634" s="9" t="n">
        <x:f>IF(ISNUMBER(T634),T634*G634,"n.a.")</x:f>
        <x:v>588.7</x:v>
      </x:c>
      <x:c r="V634" s="25" t="n">
        <x:f>IF(Dashboard!$I$6="Flat %",1,IF(ISNUMBER(H634),1,0))</x:f>
        <x:v>1</x:v>
      </x:c>
      <x:c r="W634" s="9" t="n">
        <x:f>IF(Dashboard!$I$6="Flat %",G634*(1+Dashboard!$L$6),H634)</x:f>
        <x:v>0.09834300000000001</x:v>
      </x:c>
      <x:c r="X634" s="9" t="n">
        <x:f>IF(V634=1,R634*(W634-G634),"n.a.")</x:f>
        <x:v>99.70100000000004</x:v>
      </x:c>
      <x:c r="Y634" s="9" t="n">
        <x:f>IF(V634=1,R634*W634,"n.a.")</x:f>
        <x:v>688.4010000000001</x:v>
      </x:c>
      <x:c r="Z634" s="1" t="n">
        <x:f>IF(ISNUMBER(T634),R634-T634,"n.a.")</x:f>
        <x:v>0</x:v>
      </x:c>
      <x:c r="AA634" s="1" t="str">
        <x:f>'Inventory inputs'!R634</x:f>
        <x:v>Classified</x:v>
      </x:c>
      <x:c r="AB634" s="1" t="n">
        <x:f>IF(L634=1,SUMIFS('Incoming POs'!$P$2:$P$305,'Incoming POs'!$A$2:$A$305,A634,'Incoming POs'!$B$2:$B$305,B634,'Incoming POs'!$C$2:$C$305,C634,'Incoming POs'!$G$2:$G$305,"&gt;="&amp;D634,'Incoming POs'!$G$2:$G$305,"&lt;"&amp;Dashboard!$I$5,'Incoming POs'!$Q$2:$Q$305,"&lt;="&amp;('Inventory inputs'!P634/'Inventory inputs'!J634*1.01)),"n.a.")</x:f>
        <x:v>0</x:v>
      </x:c>
      <x:c r="AC634" s="9" t="n">
        <x:f>I634*G634</x:f>
        <x:v>588.7</x:v>
      </x:c>
      <x:c r="AD634" s="9" t="n">
        <x:f>J634*G634</x:f>
        <x:v>0</x:v>
      </x:c>
      <x:c r="AE634" s="9" t="n">
        <x:f>K634*G634</x:f>
        <x:v>0</x:v>
      </x:c>
      <x:c r="AF634" s="9" t="n">
        <x:f>R634*G634</x:f>
        <x:v>588.7</x:v>
      </x:c>
    </x:row>
    <x:row r="635" ht="21" customHeight="1">
      <x:c r="A635" s="1" t="str">
        <x:f>'Inventory inputs'!A635</x:f>
        <x:v>PLAS</x:v>
      </x:c>
      <x:c r="B635" s="1" t="str">
        <x:f>'Inventory inputs'!B635</x:f>
        <x:v>10</x:v>
      </x:c>
      <x:c r="C635" s="1" t="str">
        <x:f>'Inventory inputs'!C635</x:f>
        <x:v>11815ROVBRN</x:v>
      </x:c>
      <x:c r="D635" s="7" t="n">
        <x:f>'Inventory inputs'!E635</x:f>
        <x:v>46303</x:v>
      </x:c>
      <x:c r="E635" s="1" t="n">
        <x:f>'Inventory inputs'!F635</x:f>
        <x:v>6000</x:v>
      </x:c>
      <x:c r="F635" s="1" t="n">
        <x:f>'Inventory inputs'!G635</x:f>
        <x:v>0</x:v>
      </x:c>
      <x:c r="G635" s="1" t="n">
        <x:f>'Inventory inputs'!H635/'Inventory inputs'!J635</x:f>
        <x:v>0.08410000000000001</x:v>
      </x:c>
      <x:c r="H635" s="1" t="n">
        <x:f>IF('Inventory inputs'!I635&gt;0,'Inventory inputs'!I635*'Inventory inputs'!K635/'Inventory inputs'!J635,"n.a.")</x:f>
        <x:v>0.09834300000000001</x:v>
      </x:c>
      <x:c r="I635" s="1" t="n">
        <x:f>'Inventory inputs'!L635</x:f>
        <x:v>6000</x:v>
      </x:c>
      <x:c r="J635" s="1" t="n">
        <x:f>'Inventory inputs'!M635</x:f>
        <x:v>0</x:v>
      </x:c>
      <x:c r="K635" s="1" t="n">
        <x:f>'Inventory inputs'!N635</x:f>
        <x:v>0</x:v>
      </x:c>
      <x:c r="L635" s="1" t="n">
        <x:f>'Inventory inputs'!O635</x:f>
        <x:v>1</x:v>
      </x:c>
      <x:c r="M635" s="9" t="n">
        <x:f>E635*G635</x:f>
        <x:v>504.6</x:v>
      </x:c>
      <x:c r="N635" s="9" t="n">
        <x:f>'Inventory inputs'!Q635</x:f>
        <x:v>504.6</x:v>
      </x:c>
      <x:c r="O635" s="9" t="n">
        <x:f>N635-M635</x:f>
        <x:v>0</x:v>
      </x:c>
      <x:c r="P635" s="1" t="n">
        <x:f>SUMIFS('Incoming POs'!$P$2:$P$305,'Incoming POs'!$A$2:$A$305,A635,'Incoming POs'!$B$2:$B$305,B635,'Incoming POs'!$C$2:$C$305,C635,'Incoming POs'!$G$2:$G$305,"&gt;="&amp;D635,'Incoming POs'!$G$2:$G$305,"&lt;"&amp;Dashboard!$I$5)</x:f>
        <x:v>0</x:v>
      </x:c>
      <x:c r="Q635" s="1" t="n">
        <x:f>F635*Dashboard!$L$5*MAX(0,Dashboard!$I$5-D635)/30.4375</x:f>
        <x:v>0</x:v>
      </x:c>
      <x:c r="R635" s="1" t="n">
        <x:f>MAX(0,E635+P635-Q635)</x:f>
        <x:v>6000</x:v>
      </x:c>
      <x:c r="S635" s="1" t="n">
        <x:f>MAX(0,Q635-E635-P635)</x:f>
        <x:v>0</x:v>
      </x:c>
      <x:c r="T635" s="1" t="n">
        <x:f>IF(L635=1,MAX(0,I635+AB635-MIN(Q635,E635+P635)),"n.a.")</x:f>
        <x:v>6000</x:v>
      </x:c>
      <x:c r="U635" s="9" t="n">
        <x:f>IF(ISNUMBER(T635),T635*G635,"n.a.")</x:f>
        <x:v>504.6</x:v>
      </x:c>
      <x:c r="V635" s="25" t="n">
        <x:f>IF(Dashboard!$I$6="Flat %",1,IF(ISNUMBER(H635),1,0))</x:f>
        <x:v>1</x:v>
      </x:c>
      <x:c r="W635" s="9" t="n">
        <x:f>IF(Dashboard!$I$6="Flat %",G635*(1+Dashboard!$L$6),H635)</x:f>
        <x:v>0.09834300000000001</x:v>
      </x:c>
      <x:c r="X635" s="9" t="n">
        <x:f>IF(V635=1,R635*(W635-G635),"n.a.")</x:f>
        <x:v>85.45800000000003</x:v>
      </x:c>
      <x:c r="Y635" s="9" t="n">
        <x:f>IF(V635=1,R635*W635,"n.a.")</x:f>
        <x:v>590.0580000000001</x:v>
      </x:c>
      <x:c r="Z635" s="1" t="n">
        <x:f>IF(ISNUMBER(T635),R635-T635,"n.a.")</x:f>
        <x:v>0</x:v>
      </x:c>
      <x:c r="AA635" s="1" t="str">
        <x:f>'Inventory inputs'!R635</x:f>
        <x:v>Classified</x:v>
      </x:c>
      <x:c r="AB635" s="1" t="n">
        <x:f>IF(L635=1,SUMIFS('Incoming POs'!$P$2:$P$305,'Incoming POs'!$A$2:$A$305,A635,'Incoming POs'!$B$2:$B$305,B635,'Incoming POs'!$C$2:$C$305,C635,'Incoming POs'!$G$2:$G$305,"&gt;="&amp;D635,'Incoming POs'!$G$2:$G$305,"&lt;"&amp;Dashboard!$I$5,'Incoming POs'!$Q$2:$Q$305,"&lt;="&amp;('Inventory inputs'!P635/'Inventory inputs'!J635*1.01)),"n.a.")</x:f>
        <x:v>0</x:v>
      </x:c>
      <x:c r="AC635" s="9" t="n">
        <x:f>I635*G635</x:f>
        <x:v>504.6</x:v>
      </x:c>
      <x:c r="AD635" s="9" t="n">
        <x:f>J635*G635</x:f>
        <x:v>0</x:v>
      </x:c>
      <x:c r="AE635" s="9" t="n">
        <x:f>K635*G635</x:f>
        <x:v>0</x:v>
      </x:c>
      <x:c r="AF635" s="9" t="n">
        <x:f>R635*G635</x:f>
        <x:v>504.6</x:v>
      </x:c>
    </x:row>
    <x:row r="636" ht="21" customHeight="1">
      <x:c r="A636" s="1" t="str">
        <x:f>'Inventory inputs'!A636</x:f>
        <x:v>PLAS</x:v>
      </x:c>
      <x:c r="B636" s="1" t="str">
        <x:f>'Inventory inputs'!B636</x:f>
        <x:v>10</x:v>
      </x:c>
      <x:c r="C636" s="1" t="str">
        <x:f>'Inventory inputs'!C636</x:f>
        <x:v>11815ROVNAV</x:v>
      </x:c>
      <x:c r="D636" s="7" t="n">
        <x:f>'Inventory inputs'!E636</x:f>
        <x:v>46303</x:v>
      </x:c>
      <x:c r="E636" s="1" t="n">
        <x:f>'Inventory inputs'!F636</x:f>
        <x:v>2730</x:v>
      </x:c>
      <x:c r="F636" s="1" t="n">
        <x:f>'Inventory inputs'!G636</x:f>
        <x:v>0</x:v>
      </x:c>
      <x:c r="G636" s="1" t="n">
        <x:f>'Inventory inputs'!H636/'Inventory inputs'!J636</x:f>
        <x:v>0.08410000000000001</x:v>
      </x:c>
      <x:c r="H636" s="1" t="n">
        <x:f>IF('Inventory inputs'!I636&gt;0,'Inventory inputs'!I636*'Inventory inputs'!K636/'Inventory inputs'!J636,"n.a.")</x:f>
        <x:v>0.09834300000000001</x:v>
      </x:c>
      <x:c r="I636" s="1" t="n">
        <x:f>'Inventory inputs'!L636</x:f>
        <x:v>0</x:v>
      </x:c>
      <x:c r="J636" s="1" t="n">
        <x:f>'Inventory inputs'!M636</x:f>
        <x:v>0</x:v>
      </x:c>
      <x:c r="K636" s="1" t="n">
        <x:f>'Inventory inputs'!N636</x:f>
        <x:v>2730</x:v>
      </x:c>
      <x:c r="L636" s="1" t="n">
        <x:f>'Inventory inputs'!O636</x:f>
        <x:v>0</x:v>
      </x:c>
      <x:c r="M636" s="9" t="n">
        <x:f>E636*G636</x:f>
        <x:v>229.59300000000002</x:v>
      </x:c>
      <x:c r="N636" s="9" t="n">
        <x:f>'Inventory inputs'!Q636</x:f>
        <x:v>229.593</x:v>
      </x:c>
      <x:c r="O636" s="9" t="n">
        <x:f>N636-M636</x:f>
        <x:v>-2.842170943040401e-14</x:v>
      </x:c>
      <x:c r="P636" s="1" t="n">
        <x:f>SUMIFS('Incoming POs'!$P$2:$P$305,'Incoming POs'!$A$2:$A$305,A636,'Incoming POs'!$B$2:$B$305,B636,'Incoming POs'!$C$2:$C$305,C636,'Incoming POs'!$G$2:$G$305,"&gt;="&amp;D636,'Incoming POs'!$G$2:$G$305,"&lt;"&amp;Dashboard!$I$5)</x:f>
        <x:v>0</x:v>
      </x:c>
      <x:c r="Q636" s="1" t="n">
        <x:f>F636*Dashboard!$L$5*MAX(0,Dashboard!$I$5-D636)/30.4375</x:f>
        <x:v>0</x:v>
      </x:c>
      <x:c r="R636" s="1" t="n">
        <x:f>MAX(0,E636+P636-Q636)</x:f>
        <x:v>2730</x:v>
      </x:c>
      <x:c r="S636" s="1" t="n">
        <x:f>MAX(0,Q636-E636-P636)</x:f>
        <x:v>0</x:v>
      </x:c>
      <x:c r="T636" s="1" t="str">
        <x:f>IF(L636=1,MAX(0,I636+AB636-MIN(Q636,E636+P636)),"n.a.")</x:f>
        <x:v>n.a.</x:v>
      </x:c>
      <x:c r="U636" s="9" t="str">
        <x:f>IF(ISNUMBER(T636),T636*G636,"n.a.")</x:f>
        <x:v>n.a.</x:v>
      </x:c>
      <x:c r="V636" s="25" t="n">
        <x:f>IF(Dashboard!$I$6="Flat %",1,IF(ISNUMBER(H636),1,0))</x:f>
        <x:v>1</x:v>
      </x:c>
      <x:c r="W636" s="9" t="n">
        <x:f>IF(Dashboard!$I$6="Flat %",G636*(1+Dashboard!$L$6),H636)</x:f>
        <x:v>0.09834300000000001</x:v>
      </x:c>
      <x:c r="X636" s="9" t="n">
        <x:f>IF(V636=1,R636*(W636-G636),"n.a.")</x:f>
        <x:v>38.88339000000001</x:v>
      </x:c>
      <x:c r="Y636" s="9" t="n">
        <x:f>IF(V636=1,R636*W636,"n.a.")</x:f>
        <x:v>268.47639000000004</x:v>
      </x:c>
      <x:c r="Z636" s="1" t="str">
        <x:f>IF(ISNUMBER(T636),R636-T636,"n.a.")</x:f>
        <x:v>n.a.</x:v>
      </x:c>
      <x:c r="AA636" s="1" t="str">
        <x:f>'Inventory inputs'!R636</x:f>
        <x:v>Review receipt reconciliation or original PO baseline</x:v>
      </x:c>
      <x:c r="AB636" s="1" t="str">
        <x:f>IF(L636=1,SUMIFS('Incoming POs'!$P$2:$P$305,'Incoming POs'!$A$2:$A$305,A636,'Incoming POs'!$B$2:$B$305,B636,'Incoming POs'!$C$2:$C$305,C636,'Incoming POs'!$G$2:$G$305,"&gt;="&amp;D636,'Incoming POs'!$G$2:$G$305,"&lt;"&amp;Dashboard!$I$5,'Incoming POs'!$Q$2:$Q$305,"&lt;="&amp;('Inventory inputs'!P636/'Inventory inputs'!J636*1.01)),"n.a.")</x:f>
        <x:v>n.a.</x:v>
      </x:c>
      <x:c r="AC636" s="9" t="n">
        <x:f>I636*G636</x:f>
        <x:v>0</x:v>
      </x:c>
      <x:c r="AD636" s="9" t="n">
        <x:f>J636*G636</x:f>
        <x:v>0</x:v>
      </x:c>
      <x:c r="AE636" s="9" t="n">
        <x:f>K636*G636</x:f>
        <x:v>229.59300000000002</x:v>
      </x:c>
      <x:c r="AF636" s="9" t="n">
        <x:f>R636*G636</x:f>
        <x:v>229.59300000000002</x:v>
      </x:c>
    </x:row>
    <x:row r="637" ht="21" customHeight="1">
      <x:c r="A637" s="1" t="str">
        <x:f>'Inventory inputs'!A637</x:f>
        <x:v>PLAS</x:v>
      </x:c>
      <x:c r="B637" s="1" t="str">
        <x:f>'Inventory inputs'!B637</x:f>
        <x:v>10</x:v>
      </x:c>
      <x:c r="C637" s="1" t="str">
        <x:f>'Inventory inputs'!C637</x:f>
        <x:v>11815ROVRED</x:v>
      </x:c>
      <x:c r="D637" s="7" t="n">
        <x:f>'Inventory inputs'!E637</x:f>
        <x:v>46303</x:v>
      </x:c>
      <x:c r="E637" s="1" t="n">
        <x:f>'Inventory inputs'!F637</x:f>
        <x:v>2500</x:v>
      </x:c>
      <x:c r="F637" s="1" t="n">
        <x:f>'Inventory inputs'!G637</x:f>
        <x:v>0</x:v>
      </x:c>
      <x:c r="G637" s="1" t="n">
        <x:f>'Inventory inputs'!H637/'Inventory inputs'!J637</x:f>
        <x:v>0.08410000000000001</x:v>
      </x:c>
      <x:c r="H637" s="1" t="n">
        <x:f>IF('Inventory inputs'!I637&gt;0,'Inventory inputs'!I637*'Inventory inputs'!K637/'Inventory inputs'!J637,"n.a.")</x:f>
        <x:v>0.09834300000000001</x:v>
      </x:c>
      <x:c r="I637" s="1" t="n">
        <x:f>'Inventory inputs'!L637</x:f>
        <x:v>0</x:v>
      </x:c>
      <x:c r="J637" s="1" t="n">
        <x:f>'Inventory inputs'!M637</x:f>
        <x:v>0</x:v>
      </x:c>
      <x:c r="K637" s="1" t="n">
        <x:f>'Inventory inputs'!N637</x:f>
        <x:v>2500</x:v>
      </x:c>
      <x:c r="L637" s="1" t="n">
        <x:f>'Inventory inputs'!O637</x:f>
        <x:v>0</x:v>
      </x:c>
      <x:c r="M637" s="9" t="n">
        <x:f>E637*G637</x:f>
        <x:v>210.25000000000003</x:v>
      </x:c>
      <x:c r="N637" s="9" t="n">
        <x:f>'Inventory inputs'!Q637</x:f>
        <x:v>210.25</x:v>
      </x:c>
      <x:c r="O637" s="9" t="n">
        <x:f>N637-M637</x:f>
        <x:v>-2.842170943040401e-14</x:v>
      </x:c>
      <x:c r="P637" s="1" t="n">
        <x:f>SUMIFS('Incoming POs'!$P$2:$P$305,'Incoming POs'!$A$2:$A$305,A637,'Incoming POs'!$B$2:$B$305,B637,'Incoming POs'!$C$2:$C$305,C637,'Incoming POs'!$G$2:$G$305,"&gt;="&amp;D637,'Incoming POs'!$G$2:$G$305,"&lt;"&amp;Dashboard!$I$5)</x:f>
        <x:v>0</x:v>
      </x:c>
      <x:c r="Q637" s="1" t="n">
        <x:f>F637*Dashboard!$L$5*MAX(0,Dashboard!$I$5-D637)/30.4375</x:f>
        <x:v>0</x:v>
      </x:c>
      <x:c r="R637" s="1" t="n">
        <x:f>MAX(0,E637+P637-Q637)</x:f>
        <x:v>2500</x:v>
      </x:c>
      <x:c r="S637" s="1" t="n">
        <x:f>MAX(0,Q637-E637-P637)</x:f>
        <x:v>0</x:v>
      </x:c>
      <x:c r="T637" s="1" t="str">
        <x:f>IF(L637=1,MAX(0,I637+AB637-MIN(Q637,E637+P637)),"n.a.")</x:f>
        <x:v>n.a.</x:v>
      </x:c>
      <x:c r="U637" s="9" t="str">
        <x:f>IF(ISNUMBER(T637),T637*G637,"n.a.")</x:f>
        <x:v>n.a.</x:v>
      </x:c>
      <x:c r="V637" s="25" t="n">
        <x:f>IF(Dashboard!$I$6="Flat %",1,IF(ISNUMBER(H637),1,0))</x:f>
        <x:v>1</x:v>
      </x:c>
      <x:c r="W637" s="9" t="n">
        <x:f>IF(Dashboard!$I$6="Flat %",G637*(1+Dashboard!$L$6),H637)</x:f>
        <x:v>0.09834300000000001</x:v>
      </x:c>
      <x:c r="X637" s="9" t="n">
        <x:f>IF(V637=1,R637*(W637-G637),"n.a.")</x:f>
        <x:v>35.607500000000016</x:v>
      </x:c>
      <x:c r="Y637" s="9" t="n">
        <x:f>IF(V637=1,R637*W637,"n.a.")</x:f>
        <x:v>245.85750000000004</x:v>
      </x:c>
      <x:c r="Z637" s="1" t="str">
        <x:f>IF(ISNUMBER(T637),R637-T637,"n.a.")</x:f>
        <x:v>n.a.</x:v>
      </x:c>
      <x:c r="AA637" s="1" t="str">
        <x:f>'Inventory inputs'!R637</x:f>
        <x:v>Review receipt reconciliation or original PO baseline</x:v>
      </x:c>
      <x:c r="AB637" s="1" t="str">
        <x:f>IF(L637=1,SUMIFS('Incoming POs'!$P$2:$P$305,'Incoming POs'!$A$2:$A$305,A637,'Incoming POs'!$B$2:$B$305,B637,'Incoming POs'!$C$2:$C$305,C637,'Incoming POs'!$G$2:$G$305,"&gt;="&amp;D637,'Incoming POs'!$G$2:$G$305,"&lt;"&amp;Dashboard!$I$5,'Incoming POs'!$Q$2:$Q$305,"&lt;="&amp;('Inventory inputs'!P637/'Inventory inputs'!J637*1.01)),"n.a.")</x:f>
        <x:v>n.a.</x:v>
      </x:c>
      <x:c r="AC637" s="9" t="n">
        <x:f>I637*G637</x:f>
        <x:v>0</x:v>
      </x:c>
      <x:c r="AD637" s="9" t="n">
        <x:f>J637*G637</x:f>
        <x:v>0</x:v>
      </x:c>
      <x:c r="AE637" s="9" t="n">
        <x:f>K637*G637</x:f>
        <x:v>210.25000000000003</x:v>
      </x:c>
      <x:c r="AF637" s="9" t="n">
        <x:f>R637*G637</x:f>
        <x:v>210.25000000000003</x:v>
      </x:c>
    </x:row>
    <x:row r="638" ht="21" customHeight="1">
      <x:c r="A638" s="1" t="str">
        <x:f>'Inventory inputs'!A638</x:f>
        <x:v>PLAS</x:v>
      </x:c>
      <x:c r="B638" s="1" t="str">
        <x:f>'Inventory inputs'!B638</x:f>
        <x:v>10</x:v>
      </x:c>
      <x:c r="C638" s="1" t="str">
        <x:f>'Inventory inputs'!C638</x:f>
        <x:v>11815ROVWHT</x:v>
      </x:c>
      <x:c r="D638" s="7" t="n">
        <x:f>'Inventory inputs'!E638</x:f>
        <x:v>46303</x:v>
      </x:c>
      <x:c r="E638" s="1" t="n">
        <x:f>'Inventory inputs'!F638</x:f>
        <x:v>5500</x:v>
      </x:c>
      <x:c r="F638" s="1" t="n">
        <x:f>'Inventory inputs'!G638</x:f>
        <x:v>0</x:v>
      </x:c>
      <x:c r="G638" s="1" t="n">
        <x:f>'Inventory inputs'!H638/'Inventory inputs'!J638</x:f>
        <x:v>0.08410000000000001</x:v>
      </x:c>
      <x:c r="H638" s="1" t="n">
        <x:f>IF('Inventory inputs'!I638&gt;0,'Inventory inputs'!I638*'Inventory inputs'!K638/'Inventory inputs'!J638,"n.a.")</x:f>
        <x:v>0.09834300000000001</x:v>
      </x:c>
      <x:c r="I638" s="1" t="n">
        <x:f>'Inventory inputs'!L638</x:f>
        <x:v>0</x:v>
      </x:c>
      <x:c r="J638" s="1" t="n">
        <x:f>'Inventory inputs'!M638</x:f>
        <x:v>0</x:v>
      </x:c>
      <x:c r="K638" s="1" t="n">
        <x:f>'Inventory inputs'!N638</x:f>
        <x:v>5500</x:v>
      </x:c>
      <x:c r="L638" s="1" t="n">
        <x:f>'Inventory inputs'!O638</x:f>
        <x:v>0</x:v>
      </x:c>
      <x:c r="M638" s="9" t="n">
        <x:f>E638*G638</x:f>
        <x:v>462.55000000000007</x:v>
      </x:c>
      <x:c r="N638" s="9" t="n">
        <x:f>'Inventory inputs'!Q638</x:f>
        <x:v>462.55</x:v>
      </x:c>
      <x:c r="O638" s="9" t="n">
        <x:f>N638-M638</x:f>
        <x:v>-5.684341886080802e-14</x:v>
      </x:c>
      <x:c r="P638" s="1" t="n">
        <x:f>SUMIFS('Incoming POs'!$P$2:$P$305,'Incoming POs'!$A$2:$A$305,A638,'Incoming POs'!$B$2:$B$305,B638,'Incoming POs'!$C$2:$C$305,C638,'Incoming POs'!$G$2:$G$305,"&gt;="&amp;D638,'Incoming POs'!$G$2:$G$305,"&lt;"&amp;Dashboard!$I$5)</x:f>
        <x:v>0</x:v>
      </x:c>
      <x:c r="Q638" s="1" t="n">
        <x:f>F638*Dashboard!$L$5*MAX(0,Dashboard!$I$5-D638)/30.4375</x:f>
        <x:v>0</x:v>
      </x:c>
      <x:c r="R638" s="1" t="n">
        <x:f>MAX(0,E638+P638-Q638)</x:f>
        <x:v>5500</x:v>
      </x:c>
      <x:c r="S638" s="1" t="n">
        <x:f>MAX(0,Q638-E638-P638)</x:f>
        <x:v>0</x:v>
      </x:c>
      <x:c r="T638" s="1" t="str">
        <x:f>IF(L638=1,MAX(0,I638+AB638-MIN(Q638,E638+P638)),"n.a.")</x:f>
        <x:v>n.a.</x:v>
      </x:c>
      <x:c r="U638" s="9" t="str">
        <x:f>IF(ISNUMBER(T638),T638*G638,"n.a.")</x:f>
        <x:v>n.a.</x:v>
      </x:c>
      <x:c r="V638" s="25" t="n">
        <x:f>IF(Dashboard!$I$6="Flat %",1,IF(ISNUMBER(H638),1,0))</x:f>
        <x:v>1</x:v>
      </x:c>
      <x:c r="W638" s="9" t="n">
        <x:f>IF(Dashboard!$I$6="Flat %",G638*(1+Dashboard!$L$6),H638)</x:f>
        <x:v>0.09834300000000001</x:v>
      </x:c>
      <x:c r="X638" s="9" t="n">
        <x:f>IF(V638=1,R638*(W638-G638),"n.a.")</x:f>
        <x:v>78.33650000000003</x:v>
      </x:c>
      <x:c r="Y638" s="9" t="n">
        <x:f>IF(V638=1,R638*W638,"n.a.")</x:f>
        <x:v>540.8865000000001</x:v>
      </x:c>
      <x:c r="Z638" s="1" t="str">
        <x:f>IF(ISNUMBER(T638),R638-T638,"n.a.")</x:f>
        <x:v>n.a.</x:v>
      </x:c>
      <x:c r="AA638" s="1" t="str">
        <x:f>'Inventory inputs'!R638</x:f>
        <x:v>Review receipt reconciliation or original PO baseline</x:v>
      </x:c>
      <x:c r="AB638" s="1" t="str">
        <x:f>IF(L638=1,SUMIFS('Incoming POs'!$P$2:$P$305,'Incoming POs'!$A$2:$A$305,A638,'Incoming POs'!$B$2:$B$305,B638,'Incoming POs'!$C$2:$C$305,C638,'Incoming POs'!$G$2:$G$305,"&gt;="&amp;D638,'Incoming POs'!$G$2:$G$305,"&lt;"&amp;Dashboard!$I$5,'Incoming POs'!$Q$2:$Q$305,"&lt;="&amp;('Inventory inputs'!P638/'Inventory inputs'!J638*1.01)),"n.a.")</x:f>
        <x:v>n.a.</x:v>
      </x:c>
      <x:c r="AC638" s="9" t="n">
        <x:f>I638*G638</x:f>
        <x:v>0</x:v>
      </x:c>
      <x:c r="AD638" s="9" t="n">
        <x:f>J638*G638</x:f>
        <x:v>0</x:v>
      </x:c>
      <x:c r="AE638" s="9" t="n">
        <x:f>K638*G638</x:f>
        <x:v>462.55000000000007</x:v>
      </x:c>
      <x:c r="AF638" s="9" t="n">
        <x:f>R638*G638</x:f>
        <x:v>462.55000000000007</x:v>
      </x:c>
    </x:row>
    <x:row r="639" ht="21" customHeight="1">
      <x:c r="A639" s="1" t="str">
        <x:f>'Inventory inputs'!A639</x:f>
        <x:v>PLAS</x:v>
      </x:c>
      <x:c r="B639" s="1" t="str">
        <x:f>'Inventory inputs'!B639</x:f>
        <x:v>10</x:v>
      </x:c>
      <x:c r="C639" s="1" t="str">
        <x:f>'Inventory inputs'!C639</x:f>
        <x:v>11815RWBBLK</x:v>
      </x:c>
      <x:c r="D639" s="7" t="n">
        <x:f>'Inventory inputs'!E639</x:f>
        <x:v>46303</x:v>
      </x:c>
      <x:c r="E639" s="1" t="n">
        <x:f>'Inventory inputs'!F639</x:f>
        <x:v>3982</x:v>
      </x:c>
      <x:c r="F639" s="1" t="n">
        <x:f>'Inventory inputs'!G639</x:f>
        <x:v>0</x:v>
      </x:c>
      <x:c r="G639" s="1" t="n">
        <x:f>'Inventory inputs'!H639/'Inventory inputs'!J639</x:f>
        <x:v>0.0882</x:v>
      </x:c>
      <x:c r="H639" s="1" t="n">
        <x:f>IF('Inventory inputs'!I639&gt;0,'Inventory inputs'!I639*'Inventory inputs'!K639/'Inventory inputs'!J639,"n.a.")</x:f>
        <x:v>0.103194</x:v>
      </x:c>
      <x:c r="I639" s="1" t="n">
        <x:f>'Inventory inputs'!L639</x:f>
        <x:v>0</x:v>
      </x:c>
      <x:c r="J639" s="1" t="n">
        <x:f>'Inventory inputs'!M639</x:f>
        <x:v>0</x:v>
      </x:c>
      <x:c r="K639" s="1" t="n">
        <x:f>'Inventory inputs'!N639</x:f>
        <x:v>3982</x:v>
      </x:c>
      <x:c r="L639" s="1" t="n">
        <x:f>'Inventory inputs'!O639</x:f>
        <x:v>0</x:v>
      </x:c>
      <x:c r="M639" s="9" t="n">
        <x:f>E639*G639</x:f>
        <x:v>351.2124</x:v>
      </x:c>
      <x:c r="N639" s="9" t="n">
        <x:f>'Inventory inputs'!Q639</x:f>
        <x:v>351.2124</x:v>
      </x:c>
      <x:c r="O639" s="9" t="n">
        <x:f>N639-M639</x:f>
        <x:v>0</x:v>
      </x:c>
      <x:c r="P639" s="1" t="n">
        <x:f>SUMIFS('Incoming POs'!$P$2:$P$305,'Incoming POs'!$A$2:$A$305,A639,'Incoming POs'!$B$2:$B$305,B639,'Incoming POs'!$C$2:$C$305,C639,'Incoming POs'!$G$2:$G$305,"&gt;="&amp;D639,'Incoming POs'!$G$2:$G$305,"&lt;"&amp;Dashboard!$I$5)</x:f>
        <x:v>0</x:v>
      </x:c>
      <x:c r="Q639" s="1" t="n">
        <x:f>F639*Dashboard!$L$5*MAX(0,Dashboard!$I$5-D639)/30.4375</x:f>
        <x:v>0</x:v>
      </x:c>
      <x:c r="R639" s="1" t="n">
        <x:f>MAX(0,E639+P639-Q639)</x:f>
        <x:v>3982</x:v>
      </x:c>
      <x:c r="S639" s="1" t="n">
        <x:f>MAX(0,Q639-E639-P639)</x:f>
        <x:v>0</x:v>
      </x:c>
      <x:c r="T639" s="1" t="str">
        <x:f>IF(L639=1,MAX(0,I639+AB639-MIN(Q639,E639+P639)),"n.a.")</x:f>
        <x:v>n.a.</x:v>
      </x:c>
      <x:c r="U639" s="9" t="str">
        <x:f>IF(ISNUMBER(T639),T639*G639,"n.a.")</x:f>
        <x:v>n.a.</x:v>
      </x:c>
      <x:c r="V639" s="25" t="n">
        <x:f>IF(Dashboard!$I$6="Flat %",1,IF(ISNUMBER(H639),1,0))</x:f>
        <x:v>1</x:v>
      </x:c>
      <x:c r="W639" s="9" t="n">
        <x:f>IF(Dashboard!$I$6="Flat %",G639*(1+Dashboard!$L$6),H639)</x:f>
        <x:v>0.103194</x:v>
      </x:c>
      <x:c r="X639" s="9" t="n">
        <x:f>IF(V639=1,R639*(W639-G639),"n.a.")</x:f>
        <x:v>59.70610799999997</x:v>
      </x:c>
      <x:c r="Y639" s="9" t="n">
        <x:f>IF(V639=1,R639*W639,"n.a.")</x:f>
        <x:v>410.918508</x:v>
      </x:c>
      <x:c r="Z639" s="1" t="str">
        <x:f>IF(ISNUMBER(T639),R639-T639,"n.a.")</x:f>
        <x:v>n.a.</x:v>
      </x:c>
      <x:c r="AA639" s="1" t="str">
        <x:f>'Inventory inputs'!R639</x:f>
        <x:v>Review receipt reconciliation or original PO baseline</x:v>
      </x:c>
      <x:c r="AB639" s="1" t="str">
        <x:f>IF(L639=1,SUMIFS('Incoming POs'!$P$2:$P$305,'Incoming POs'!$A$2:$A$305,A639,'Incoming POs'!$B$2:$B$305,B639,'Incoming POs'!$C$2:$C$305,C639,'Incoming POs'!$G$2:$G$305,"&gt;="&amp;D639,'Incoming POs'!$G$2:$G$305,"&lt;"&amp;Dashboard!$I$5,'Incoming POs'!$Q$2:$Q$305,"&lt;="&amp;('Inventory inputs'!P639/'Inventory inputs'!J639*1.01)),"n.a.")</x:f>
        <x:v>n.a.</x:v>
      </x:c>
      <x:c r="AC639" s="9" t="n">
        <x:f>I639*G639</x:f>
        <x:v>0</x:v>
      </x:c>
      <x:c r="AD639" s="9" t="n">
        <x:f>J639*G639</x:f>
        <x:v>0</x:v>
      </x:c>
      <x:c r="AE639" s="9" t="n">
        <x:f>K639*G639</x:f>
        <x:v>351.2124</x:v>
      </x:c>
      <x:c r="AF639" s="9" t="n">
        <x:f>R639*G639</x:f>
        <x:v>351.2124</x:v>
      </x:c>
    </x:row>
    <x:row r="640" ht="21" customHeight="1">
      <x:c r="A640" s="1" t="str">
        <x:f>'Inventory inputs'!A640</x:f>
        <x:v>PLAS</x:v>
      </x:c>
      <x:c r="B640" s="1" t="str">
        <x:f>'Inventory inputs'!B640</x:f>
        <x:v>10</x:v>
      </x:c>
      <x:c r="C640" s="1" t="str">
        <x:f>'Inventory inputs'!C640</x:f>
        <x:v>11815RWBFG</x:v>
      </x:c>
      <x:c r="D640" s="7" t="n">
        <x:f>'Inventory inputs'!E640</x:f>
        <x:v>46303</x:v>
      </x:c>
      <x:c r="E640" s="1" t="n">
        <x:f>'Inventory inputs'!F640</x:f>
        <x:v>18100</x:v>
      </x:c>
      <x:c r="F640" s="1" t="n">
        <x:f>'Inventory inputs'!G640</x:f>
        <x:v>0</x:v>
      </x:c>
      <x:c r="G640" s="1" t="n">
        <x:f>'Inventory inputs'!H640/'Inventory inputs'!J640</x:f>
        <x:v>0.0882</x:v>
      </x:c>
      <x:c r="H640" s="1" t="n">
        <x:f>IF('Inventory inputs'!I640&gt;0,'Inventory inputs'!I640*'Inventory inputs'!K640/'Inventory inputs'!J640,"n.a.")</x:f>
        <x:v>0.103194</x:v>
      </x:c>
      <x:c r="I640" s="1" t="n">
        <x:f>'Inventory inputs'!L640</x:f>
        <x:v>18100</x:v>
      </x:c>
      <x:c r="J640" s="1" t="n">
        <x:f>'Inventory inputs'!M640</x:f>
        <x:v>0</x:v>
      </x:c>
      <x:c r="K640" s="1" t="n">
        <x:f>'Inventory inputs'!N640</x:f>
        <x:v>0</x:v>
      </x:c>
      <x:c r="L640" s="1" t="n">
        <x:f>'Inventory inputs'!O640</x:f>
        <x:v>1</x:v>
      </x:c>
      <x:c r="M640" s="9" t="n">
        <x:f>E640*G640</x:f>
        <x:v>1596.42</x:v>
      </x:c>
      <x:c r="N640" s="9" t="n">
        <x:f>'Inventory inputs'!Q640</x:f>
        <x:v>1596.42</x:v>
      </x:c>
      <x:c r="O640" s="9" t="n">
        <x:f>N640-M640</x:f>
        <x:v>0</x:v>
      </x:c>
      <x:c r="P640" s="1" t="n">
        <x:f>SUMIFS('Incoming POs'!$P$2:$P$305,'Incoming POs'!$A$2:$A$305,A640,'Incoming POs'!$B$2:$B$305,B640,'Incoming POs'!$C$2:$C$305,C640,'Incoming POs'!$G$2:$G$305,"&gt;="&amp;D640,'Incoming POs'!$G$2:$G$305,"&lt;"&amp;Dashboard!$I$5)</x:f>
        <x:v>0</x:v>
      </x:c>
      <x:c r="Q640" s="1" t="n">
        <x:f>F640*Dashboard!$L$5*MAX(0,Dashboard!$I$5-D640)/30.4375</x:f>
        <x:v>0</x:v>
      </x:c>
      <x:c r="R640" s="1" t="n">
        <x:f>MAX(0,E640+P640-Q640)</x:f>
        <x:v>18100</x:v>
      </x:c>
      <x:c r="S640" s="1" t="n">
        <x:f>MAX(0,Q640-E640-P640)</x:f>
        <x:v>0</x:v>
      </x:c>
      <x:c r="T640" s="1" t="n">
        <x:f>IF(L640=1,MAX(0,I640+AB640-MIN(Q640,E640+P640)),"n.a.")</x:f>
        <x:v>18100</x:v>
      </x:c>
      <x:c r="U640" s="9" t="n">
        <x:f>IF(ISNUMBER(T640),T640*G640,"n.a.")</x:f>
        <x:v>1596.42</x:v>
      </x:c>
      <x:c r="V640" s="25" t="n">
        <x:f>IF(Dashboard!$I$6="Flat %",1,IF(ISNUMBER(H640),1,0))</x:f>
        <x:v>1</x:v>
      </x:c>
      <x:c r="W640" s="9" t="n">
        <x:f>IF(Dashboard!$I$6="Flat %",G640*(1+Dashboard!$L$6),H640)</x:f>
        <x:v>0.103194</x:v>
      </x:c>
      <x:c r="X640" s="9" t="n">
        <x:f>IF(V640=1,R640*(W640-G640),"n.a.")</x:f>
        <x:v>271.39139999999986</x:v>
      </x:c>
      <x:c r="Y640" s="9" t="n">
        <x:f>IF(V640=1,R640*W640,"n.a.")</x:f>
        <x:v>1867.8113999999998</x:v>
      </x:c>
      <x:c r="Z640" s="1" t="n">
        <x:f>IF(ISNUMBER(T640),R640-T640,"n.a.")</x:f>
        <x:v>0</x:v>
      </x:c>
      <x:c r="AA640" s="1" t="str">
        <x:f>'Inventory inputs'!R640</x:f>
        <x:v>Classified</x:v>
      </x:c>
      <x:c r="AB640" s="1" t="n">
        <x:f>IF(L640=1,SUMIFS('Incoming POs'!$P$2:$P$305,'Incoming POs'!$A$2:$A$305,A640,'Incoming POs'!$B$2:$B$305,B640,'Incoming POs'!$C$2:$C$305,C640,'Incoming POs'!$G$2:$G$305,"&gt;="&amp;D640,'Incoming POs'!$G$2:$G$305,"&lt;"&amp;Dashboard!$I$5,'Incoming POs'!$Q$2:$Q$305,"&lt;="&amp;('Inventory inputs'!P640/'Inventory inputs'!J640*1.01)),"n.a.")</x:f>
        <x:v>0</x:v>
      </x:c>
      <x:c r="AC640" s="9" t="n">
        <x:f>I640*G640</x:f>
        <x:v>1596.42</x:v>
      </x:c>
      <x:c r="AD640" s="9" t="n">
        <x:f>J640*G640</x:f>
        <x:v>0</x:v>
      </x:c>
      <x:c r="AE640" s="9" t="n">
        <x:f>K640*G640</x:f>
        <x:v>0</x:v>
      </x:c>
      <x:c r="AF640" s="9" t="n">
        <x:f>R640*G640</x:f>
        <x:v>1596.42</x:v>
      </x:c>
    </x:row>
    <x:row r="641" ht="21" customHeight="1">
      <x:c r="A641" s="1" t="str">
        <x:f>'Inventory inputs'!A641</x:f>
        <x:v>PLAS</x:v>
      </x:c>
      <x:c r="B641" s="1" t="str">
        <x:f>'Inventory inputs'!B641</x:f>
        <x:v>10</x:v>
      </x:c>
      <x:c r="C641" s="1" t="str">
        <x:f>'Inventory inputs'!C641</x:f>
        <x:v>11815RWBMAR</x:v>
      </x:c>
      <x:c r="D641" s="7" t="n">
        <x:f>'Inventory inputs'!E641</x:f>
        <x:v>46303</x:v>
      </x:c>
      <x:c r="E641" s="1" t="n">
        <x:f>'Inventory inputs'!F641</x:f>
        <x:v>1500</x:v>
      </x:c>
      <x:c r="F641" s="1" t="n">
        <x:f>'Inventory inputs'!G641</x:f>
        <x:v>0</x:v>
      </x:c>
      <x:c r="G641" s="1" t="n">
        <x:f>'Inventory inputs'!H641/'Inventory inputs'!J641</x:f>
        <x:v>0.0882</x:v>
      </x:c>
      <x:c r="H641" s="1" t="n">
        <x:f>IF('Inventory inputs'!I641&gt;0,'Inventory inputs'!I641*'Inventory inputs'!K641/'Inventory inputs'!J641,"n.a.")</x:f>
        <x:v>0.103194</x:v>
      </x:c>
      <x:c r="I641" s="1" t="n">
        <x:f>'Inventory inputs'!L641</x:f>
        <x:v>0</x:v>
      </x:c>
      <x:c r="J641" s="1" t="n">
        <x:f>'Inventory inputs'!M641</x:f>
        <x:v>0</x:v>
      </x:c>
      <x:c r="K641" s="1" t="n">
        <x:f>'Inventory inputs'!N641</x:f>
        <x:v>1500</x:v>
      </x:c>
      <x:c r="L641" s="1" t="n">
        <x:f>'Inventory inputs'!O641</x:f>
        <x:v>0</x:v>
      </x:c>
      <x:c r="M641" s="9" t="n">
        <x:f>E641*G641</x:f>
        <x:v>132.3</x:v>
      </x:c>
      <x:c r="N641" s="9" t="n">
        <x:f>'Inventory inputs'!Q641</x:f>
        <x:v>132.3</x:v>
      </x:c>
      <x:c r="O641" s="9" t="n">
        <x:f>N641-M641</x:f>
        <x:v>0</x:v>
      </x:c>
      <x:c r="P641" s="1" t="n">
        <x:f>SUMIFS('Incoming POs'!$P$2:$P$305,'Incoming POs'!$A$2:$A$305,A641,'Incoming POs'!$B$2:$B$305,B641,'Incoming POs'!$C$2:$C$305,C641,'Incoming POs'!$G$2:$G$305,"&gt;="&amp;D641,'Incoming POs'!$G$2:$G$305,"&lt;"&amp;Dashboard!$I$5)</x:f>
        <x:v>0</x:v>
      </x:c>
      <x:c r="Q641" s="1" t="n">
        <x:f>F641*Dashboard!$L$5*MAX(0,Dashboard!$I$5-D641)/30.4375</x:f>
        <x:v>0</x:v>
      </x:c>
      <x:c r="R641" s="1" t="n">
        <x:f>MAX(0,E641+P641-Q641)</x:f>
        <x:v>1500</x:v>
      </x:c>
      <x:c r="S641" s="1" t="n">
        <x:f>MAX(0,Q641-E641-P641)</x:f>
        <x:v>0</x:v>
      </x:c>
      <x:c r="T641" s="1" t="str">
        <x:f>IF(L641=1,MAX(0,I641+AB641-MIN(Q641,E641+P641)),"n.a.")</x:f>
        <x:v>n.a.</x:v>
      </x:c>
      <x:c r="U641" s="9" t="str">
        <x:f>IF(ISNUMBER(T641),T641*G641,"n.a.")</x:f>
        <x:v>n.a.</x:v>
      </x:c>
      <x:c r="V641" s="25" t="n">
        <x:f>IF(Dashboard!$I$6="Flat %",1,IF(ISNUMBER(H641),1,0))</x:f>
        <x:v>1</x:v>
      </x:c>
      <x:c r="W641" s="9" t="n">
        <x:f>IF(Dashboard!$I$6="Flat %",G641*(1+Dashboard!$L$6),H641)</x:f>
        <x:v>0.103194</x:v>
      </x:c>
      <x:c r="X641" s="9" t="n">
        <x:f>IF(V641=1,R641*(W641-G641),"n.a.")</x:f>
        <x:v>22.49099999999999</x:v>
      </x:c>
      <x:c r="Y641" s="9" t="n">
        <x:f>IF(V641=1,R641*W641,"n.a.")</x:f>
        <x:v>154.791</x:v>
      </x:c>
      <x:c r="Z641" s="1" t="str">
        <x:f>IF(ISNUMBER(T641),R641-T641,"n.a.")</x:f>
        <x:v>n.a.</x:v>
      </x:c>
      <x:c r="AA641" s="1" t="str">
        <x:f>'Inventory inputs'!R641</x:f>
        <x:v>Review receipt reconciliation or original PO baseline</x:v>
      </x:c>
      <x:c r="AB641" s="1" t="str">
        <x:f>IF(L641=1,SUMIFS('Incoming POs'!$P$2:$P$305,'Incoming POs'!$A$2:$A$305,A641,'Incoming POs'!$B$2:$B$305,B641,'Incoming POs'!$C$2:$C$305,C641,'Incoming POs'!$G$2:$G$305,"&gt;="&amp;D641,'Incoming POs'!$G$2:$G$305,"&lt;"&amp;Dashboard!$I$5,'Incoming POs'!$Q$2:$Q$305,"&lt;="&amp;('Inventory inputs'!P641/'Inventory inputs'!J641*1.01)),"n.a.")</x:f>
        <x:v>n.a.</x:v>
      </x:c>
      <x:c r="AC641" s="9" t="n">
        <x:f>I641*G641</x:f>
        <x:v>0</x:v>
      </x:c>
      <x:c r="AD641" s="9" t="n">
        <x:f>J641*G641</x:f>
        <x:v>0</x:v>
      </x:c>
      <x:c r="AE641" s="9" t="n">
        <x:f>K641*G641</x:f>
        <x:v>132.3</x:v>
      </x:c>
      <x:c r="AF641" s="9" t="n">
        <x:f>R641*G641</x:f>
        <x:v>132.3</x:v>
      </x:c>
    </x:row>
    <x:row r="642" ht="21" customHeight="1">
      <x:c r="A642" s="1" t="str">
        <x:f>'Inventory inputs'!A642</x:f>
        <x:v>PLAS</x:v>
      </x:c>
      <x:c r="B642" s="1" t="str">
        <x:f>'Inventory inputs'!B642</x:f>
        <x:v>10</x:v>
      </x:c>
      <x:c r="C642" s="1" t="str">
        <x:f>'Inventory inputs'!C642</x:f>
        <x:v>11815RWBNAV</x:v>
      </x:c>
      <x:c r="D642" s="7" t="n">
        <x:f>'Inventory inputs'!E642</x:f>
        <x:v>46303</x:v>
      </x:c>
      <x:c r="E642" s="1" t="n">
        <x:f>'Inventory inputs'!F642</x:f>
        <x:v>5000</x:v>
      </x:c>
      <x:c r="F642" s="1" t="n">
        <x:f>'Inventory inputs'!G642</x:f>
        <x:v>0</x:v>
      </x:c>
      <x:c r="G642" s="1" t="n">
        <x:f>'Inventory inputs'!H642/'Inventory inputs'!J642</x:f>
        <x:v>0.0882</x:v>
      </x:c>
      <x:c r="H642" s="1" t="n">
        <x:f>IF('Inventory inputs'!I642&gt;0,'Inventory inputs'!I642*'Inventory inputs'!K642/'Inventory inputs'!J642,"n.a.")</x:f>
        <x:v>0.103194</x:v>
      </x:c>
      <x:c r="I642" s="1" t="n">
        <x:f>'Inventory inputs'!L642</x:f>
        <x:v>0</x:v>
      </x:c>
      <x:c r="J642" s="1" t="n">
        <x:f>'Inventory inputs'!M642</x:f>
        <x:v>0</x:v>
      </x:c>
      <x:c r="K642" s="1" t="n">
        <x:f>'Inventory inputs'!N642</x:f>
        <x:v>5000</x:v>
      </x:c>
      <x:c r="L642" s="1" t="n">
        <x:f>'Inventory inputs'!O642</x:f>
        <x:v>0</x:v>
      </x:c>
      <x:c r="M642" s="9" t="n">
        <x:f>E642*G642</x:f>
        <x:v>441</x:v>
      </x:c>
      <x:c r="N642" s="9" t="n">
        <x:f>'Inventory inputs'!Q642</x:f>
        <x:v>441</x:v>
      </x:c>
      <x:c r="O642" s="9" t="n">
        <x:f>N642-M642</x:f>
        <x:v>0</x:v>
      </x:c>
      <x:c r="P642" s="1" t="n">
        <x:f>SUMIFS('Incoming POs'!$P$2:$P$305,'Incoming POs'!$A$2:$A$305,A642,'Incoming POs'!$B$2:$B$305,B642,'Incoming POs'!$C$2:$C$305,C642,'Incoming POs'!$G$2:$G$305,"&gt;="&amp;D642,'Incoming POs'!$G$2:$G$305,"&lt;"&amp;Dashboard!$I$5)</x:f>
        <x:v>0</x:v>
      </x:c>
      <x:c r="Q642" s="1" t="n">
        <x:f>F642*Dashboard!$L$5*MAX(0,Dashboard!$I$5-D642)/30.4375</x:f>
        <x:v>0</x:v>
      </x:c>
      <x:c r="R642" s="1" t="n">
        <x:f>MAX(0,E642+P642-Q642)</x:f>
        <x:v>5000</x:v>
      </x:c>
      <x:c r="S642" s="1" t="n">
        <x:f>MAX(0,Q642-E642-P642)</x:f>
        <x:v>0</x:v>
      </x:c>
      <x:c r="T642" s="1" t="str">
        <x:f>IF(L642=1,MAX(0,I642+AB642-MIN(Q642,E642+P642)),"n.a.")</x:f>
        <x:v>n.a.</x:v>
      </x:c>
      <x:c r="U642" s="9" t="str">
        <x:f>IF(ISNUMBER(T642),T642*G642,"n.a.")</x:f>
        <x:v>n.a.</x:v>
      </x:c>
      <x:c r="V642" s="25" t="n">
        <x:f>IF(Dashboard!$I$6="Flat %",1,IF(ISNUMBER(H642),1,0))</x:f>
        <x:v>1</x:v>
      </x:c>
      <x:c r="W642" s="9" t="n">
        <x:f>IF(Dashboard!$I$6="Flat %",G642*(1+Dashboard!$L$6),H642)</x:f>
        <x:v>0.103194</x:v>
      </x:c>
      <x:c r="X642" s="9" t="n">
        <x:f>IF(V642=1,R642*(W642-G642),"n.a.")</x:f>
        <x:v>74.96999999999997</x:v>
      </x:c>
      <x:c r="Y642" s="9" t="n">
        <x:f>IF(V642=1,R642*W642,"n.a.")</x:f>
        <x:v>515.9699999999999</x:v>
      </x:c>
      <x:c r="Z642" s="1" t="str">
        <x:f>IF(ISNUMBER(T642),R642-T642,"n.a.")</x:f>
        <x:v>n.a.</x:v>
      </x:c>
      <x:c r="AA642" s="1" t="str">
        <x:f>'Inventory inputs'!R642</x:f>
        <x:v>Review receipt reconciliation or original PO baseline</x:v>
      </x:c>
      <x:c r="AB642" s="1" t="str">
        <x:f>IF(L642=1,SUMIFS('Incoming POs'!$P$2:$P$305,'Incoming POs'!$A$2:$A$305,A642,'Incoming POs'!$B$2:$B$305,B642,'Incoming POs'!$C$2:$C$305,C642,'Incoming POs'!$G$2:$G$305,"&gt;="&amp;D642,'Incoming POs'!$G$2:$G$305,"&lt;"&amp;Dashboard!$I$5,'Incoming POs'!$Q$2:$Q$305,"&lt;="&amp;('Inventory inputs'!P642/'Inventory inputs'!J642*1.01)),"n.a.")</x:f>
        <x:v>n.a.</x:v>
      </x:c>
      <x:c r="AC642" s="9" t="n">
        <x:f>I642*G642</x:f>
        <x:v>0</x:v>
      </x:c>
      <x:c r="AD642" s="9" t="n">
        <x:f>J642*G642</x:f>
        <x:v>0</x:v>
      </x:c>
      <x:c r="AE642" s="9" t="n">
        <x:f>K642*G642</x:f>
        <x:v>441</x:v>
      </x:c>
      <x:c r="AF642" s="9" t="n">
        <x:f>R642*G642</x:f>
        <x:v>441</x:v>
      </x:c>
    </x:row>
    <x:row r="643" ht="21" customHeight="1">
      <x:c r="A643" s="1" t="str">
        <x:f>'Inventory inputs'!A643</x:f>
        <x:v>PLAS</x:v>
      </x:c>
      <x:c r="B643" s="1" t="str">
        <x:f>'Inventory inputs'!B643</x:f>
        <x:v>10</x:v>
      </x:c>
      <x:c r="C643" s="1" t="str">
        <x:f>'Inventory inputs'!C643</x:f>
        <x:v>11815RWBRED</x:v>
      </x:c>
      <x:c r="D643" s="7" t="n">
        <x:f>'Inventory inputs'!E643</x:f>
        <x:v>46303</x:v>
      </x:c>
      <x:c r="E643" s="1" t="n">
        <x:f>'Inventory inputs'!F643</x:f>
        <x:v>1000</x:v>
      </x:c>
      <x:c r="F643" s="1" t="n">
        <x:f>'Inventory inputs'!G643</x:f>
        <x:v>0</x:v>
      </x:c>
      <x:c r="G643" s="1" t="n">
        <x:f>'Inventory inputs'!H643/'Inventory inputs'!J643</x:f>
        <x:v>0.0882</x:v>
      </x:c>
      <x:c r="H643" s="1" t="n">
        <x:f>IF('Inventory inputs'!I643&gt;0,'Inventory inputs'!I643*'Inventory inputs'!K643/'Inventory inputs'!J643,"n.a.")</x:f>
        <x:v>0.103194</x:v>
      </x:c>
      <x:c r="I643" s="1" t="n">
        <x:f>'Inventory inputs'!L643</x:f>
        <x:v>0</x:v>
      </x:c>
      <x:c r="J643" s="1" t="n">
        <x:f>'Inventory inputs'!M643</x:f>
        <x:v>0</x:v>
      </x:c>
      <x:c r="K643" s="1" t="n">
        <x:f>'Inventory inputs'!N643</x:f>
        <x:v>1000</x:v>
      </x:c>
      <x:c r="L643" s="1" t="n">
        <x:f>'Inventory inputs'!O643</x:f>
        <x:v>0</x:v>
      </x:c>
      <x:c r="M643" s="9" t="n">
        <x:f>E643*G643</x:f>
        <x:v>88.2</x:v>
      </x:c>
      <x:c r="N643" s="9" t="n">
        <x:f>'Inventory inputs'!Q643</x:f>
        <x:v>88.2</x:v>
      </x:c>
      <x:c r="O643" s="9" t="n">
        <x:f>N643-M643</x:f>
        <x:v>0</x:v>
      </x:c>
      <x:c r="P643" s="1" t="n">
        <x:f>SUMIFS('Incoming POs'!$P$2:$P$305,'Incoming POs'!$A$2:$A$305,A643,'Incoming POs'!$B$2:$B$305,B643,'Incoming POs'!$C$2:$C$305,C643,'Incoming POs'!$G$2:$G$305,"&gt;="&amp;D643,'Incoming POs'!$G$2:$G$305,"&lt;"&amp;Dashboard!$I$5)</x:f>
        <x:v>0</x:v>
      </x:c>
      <x:c r="Q643" s="1" t="n">
        <x:f>F643*Dashboard!$L$5*MAX(0,Dashboard!$I$5-D643)/30.4375</x:f>
        <x:v>0</x:v>
      </x:c>
      <x:c r="R643" s="1" t="n">
        <x:f>MAX(0,E643+P643-Q643)</x:f>
        <x:v>1000</x:v>
      </x:c>
      <x:c r="S643" s="1" t="n">
        <x:f>MAX(0,Q643-E643-P643)</x:f>
        <x:v>0</x:v>
      </x:c>
      <x:c r="T643" s="1" t="str">
        <x:f>IF(L643=1,MAX(0,I643+AB643-MIN(Q643,E643+P643)),"n.a.")</x:f>
        <x:v>n.a.</x:v>
      </x:c>
      <x:c r="U643" s="9" t="str">
        <x:f>IF(ISNUMBER(T643),T643*G643,"n.a.")</x:f>
        <x:v>n.a.</x:v>
      </x:c>
      <x:c r="V643" s="25" t="n">
        <x:f>IF(Dashboard!$I$6="Flat %",1,IF(ISNUMBER(H643),1,0))</x:f>
        <x:v>1</x:v>
      </x:c>
      <x:c r="W643" s="9" t="n">
        <x:f>IF(Dashboard!$I$6="Flat %",G643*(1+Dashboard!$L$6),H643)</x:f>
        <x:v>0.103194</x:v>
      </x:c>
      <x:c r="X643" s="9" t="n">
        <x:f>IF(V643=1,R643*(W643-G643),"n.a.")</x:f>
        <x:v>14.993999999999993</x:v>
      </x:c>
      <x:c r="Y643" s="9" t="n">
        <x:f>IF(V643=1,R643*W643,"n.a.")</x:f>
        <x:v>103.19399999999999</x:v>
      </x:c>
      <x:c r="Z643" s="1" t="str">
        <x:f>IF(ISNUMBER(T643),R643-T643,"n.a.")</x:f>
        <x:v>n.a.</x:v>
      </x:c>
      <x:c r="AA643" s="1" t="str">
        <x:f>'Inventory inputs'!R643</x:f>
        <x:v>Review receipt reconciliation or original PO baseline</x:v>
      </x:c>
      <x:c r="AB643" s="1" t="str">
        <x:f>IF(L643=1,SUMIFS('Incoming POs'!$P$2:$P$305,'Incoming POs'!$A$2:$A$305,A643,'Incoming POs'!$B$2:$B$305,B643,'Incoming POs'!$C$2:$C$305,C643,'Incoming POs'!$G$2:$G$305,"&gt;="&amp;D643,'Incoming POs'!$G$2:$G$305,"&lt;"&amp;Dashboard!$I$5,'Incoming POs'!$Q$2:$Q$305,"&lt;="&amp;('Inventory inputs'!P643/'Inventory inputs'!J643*1.01)),"n.a.")</x:f>
        <x:v>n.a.</x:v>
      </x:c>
      <x:c r="AC643" s="9" t="n">
        <x:f>I643*G643</x:f>
        <x:v>0</x:v>
      </x:c>
      <x:c r="AD643" s="9" t="n">
        <x:f>J643*G643</x:f>
        <x:v>0</x:v>
      </x:c>
      <x:c r="AE643" s="9" t="n">
        <x:f>K643*G643</x:f>
        <x:v>88.2</x:v>
      </x:c>
      <x:c r="AF643" s="9" t="n">
        <x:f>R643*G643</x:f>
        <x:v>88.2</x:v>
      </x:c>
    </x:row>
    <x:row r="644" ht="21" customHeight="1">
      <x:c r="A644" s="1" t="str">
        <x:f>'Inventory inputs'!A644</x:f>
        <x:v>PLAS</x:v>
      </x:c>
      <x:c r="B644" s="1" t="str">
        <x:f>'Inventory inputs'!B644</x:f>
        <x:v>10</x:v>
      </x:c>
      <x:c r="C644" s="1" t="str">
        <x:f>'Inventory inputs'!C644</x:f>
        <x:v>11819RWBMAR</x:v>
      </x:c>
      <x:c r="D644" s="7" t="n">
        <x:f>'Inventory inputs'!E644</x:f>
        <x:v>46303</x:v>
      </x:c>
      <x:c r="E644" s="1" t="n">
        <x:f>'Inventory inputs'!F644</x:f>
        <x:v>1500</x:v>
      </x:c>
      <x:c r="F644" s="1" t="n">
        <x:f>'Inventory inputs'!G644</x:f>
        <x:v>0</x:v>
      </x:c>
      <x:c r="G644" s="1" t="n">
        <x:f>'Inventory inputs'!H644/'Inventory inputs'!J644</x:f>
        <x:v>0.1323</x:v>
      </x:c>
      <x:c r="H644" s="1" t="n">
        <x:f>IF('Inventory inputs'!I644&gt;0,'Inventory inputs'!I644*'Inventory inputs'!K644/'Inventory inputs'!J644,"n.a.")</x:f>
        <x:v>0.15479099999999998</x:v>
      </x:c>
      <x:c r="I644" s="1" t="n">
        <x:f>'Inventory inputs'!L644</x:f>
        <x:v>0</x:v>
      </x:c>
      <x:c r="J644" s="1" t="n">
        <x:f>'Inventory inputs'!M644</x:f>
        <x:v>0</x:v>
      </x:c>
      <x:c r="K644" s="1" t="n">
        <x:f>'Inventory inputs'!N644</x:f>
        <x:v>1500</x:v>
      </x:c>
      <x:c r="L644" s="1" t="n">
        <x:f>'Inventory inputs'!O644</x:f>
        <x:v>0</x:v>
      </x:c>
      <x:c r="M644" s="9" t="n">
        <x:f>E644*G644</x:f>
        <x:v>198.45</x:v>
      </x:c>
      <x:c r="N644" s="9" t="n">
        <x:f>'Inventory inputs'!Q644</x:f>
        <x:v>198.45000000000002</x:v>
      </x:c>
      <x:c r="O644" s="9" t="n">
        <x:f>N644-M644</x:f>
        <x:v>2.842170943040401e-14</x:v>
      </x:c>
      <x:c r="P644" s="1" t="n">
        <x:f>SUMIFS('Incoming POs'!$P$2:$P$305,'Incoming POs'!$A$2:$A$305,A644,'Incoming POs'!$B$2:$B$305,B644,'Incoming POs'!$C$2:$C$305,C644,'Incoming POs'!$G$2:$G$305,"&gt;="&amp;D644,'Incoming POs'!$G$2:$G$305,"&lt;"&amp;Dashboard!$I$5)</x:f>
        <x:v>0</x:v>
      </x:c>
      <x:c r="Q644" s="1" t="n">
        <x:f>F644*Dashboard!$L$5*MAX(0,Dashboard!$I$5-D644)/30.4375</x:f>
        <x:v>0</x:v>
      </x:c>
      <x:c r="R644" s="1" t="n">
        <x:f>MAX(0,E644+P644-Q644)</x:f>
        <x:v>1500</x:v>
      </x:c>
      <x:c r="S644" s="1" t="n">
        <x:f>MAX(0,Q644-E644-P644)</x:f>
        <x:v>0</x:v>
      </x:c>
      <x:c r="T644" s="1" t="str">
        <x:f>IF(L644=1,MAX(0,I644+AB644-MIN(Q644,E644+P644)),"n.a.")</x:f>
        <x:v>n.a.</x:v>
      </x:c>
      <x:c r="U644" s="9" t="str">
        <x:f>IF(ISNUMBER(T644),T644*G644,"n.a.")</x:f>
        <x:v>n.a.</x:v>
      </x:c>
      <x:c r="V644" s="25" t="n">
        <x:f>IF(Dashboard!$I$6="Flat %",1,IF(ISNUMBER(H644),1,0))</x:f>
        <x:v>1</x:v>
      </x:c>
      <x:c r="W644" s="9" t="n">
        <x:f>IF(Dashboard!$I$6="Flat %",G644*(1+Dashboard!$L$6),H644)</x:f>
        <x:v>0.15479099999999998</x:v>
      </x:c>
      <x:c r="X644" s="9" t="n">
        <x:f>IF(V644=1,R644*(W644-G644),"n.a.")</x:f>
        <x:v>33.73649999999998</x:v>
      </x:c>
      <x:c r="Y644" s="9" t="n">
        <x:f>IF(V644=1,R644*W644,"n.a.")</x:f>
        <x:v>232.18649999999997</x:v>
      </x:c>
      <x:c r="Z644" s="1" t="str">
        <x:f>IF(ISNUMBER(T644),R644-T644,"n.a.")</x:f>
        <x:v>n.a.</x:v>
      </x:c>
      <x:c r="AA644" s="1" t="str">
        <x:f>'Inventory inputs'!R644</x:f>
        <x:v>Review receipt reconciliation or original PO baseline</x:v>
      </x:c>
      <x:c r="AB644" s="1" t="str">
        <x:f>IF(L644=1,SUMIFS('Incoming POs'!$P$2:$P$305,'Incoming POs'!$A$2:$A$305,A644,'Incoming POs'!$B$2:$B$305,B644,'Incoming POs'!$C$2:$C$305,C644,'Incoming POs'!$G$2:$G$305,"&gt;="&amp;D644,'Incoming POs'!$G$2:$G$305,"&lt;"&amp;Dashboard!$I$5,'Incoming POs'!$Q$2:$Q$305,"&lt;="&amp;('Inventory inputs'!P644/'Inventory inputs'!J644*1.01)),"n.a.")</x:f>
        <x:v>n.a.</x:v>
      </x:c>
      <x:c r="AC644" s="9" t="n">
        <x:f>I644*G644</x:f>
        <x:v>0</x:v>
      </x:c>
      <x:c r="AD644" s="9" t="n">
        <x:f>J644*G644</x:f>
        <x:v>0</x:v>
      </x:c>
      <x:c r="AE644" s="9" t="n">
        <x:f>K644*G644</x:f>
        <x:v>198.45</x:v>
      </x:c>
      <x:c r="AF644" s="9" t="n">
        <x:f>R644*G644</x:f>
        <x:v>198.45</x:v>
      </x:c>
    </x:row>
    <x:row r="645" ht="21" customHeight="1">
      <x:c r="A645" s="1" t="str">
        <x:f>'Inventory inputs'!A645</x:f>
        <x:v>PLAS</x:v>
      </x:c>
      <x:c r="B645" s="1" t="str">
        <x:f>'Inventory inputs'!B645</x:f>
        <x:v>10</x:v>
      </x:c>
      <x:c r="C645" s="1" t="str">
        <x:f>'Inventory inputs'!C645</x:f>
        <x:v>11880RWBBLK</x:v>
      </x:c>
      <x:c r="D645" s="7" t="n">
        <x:f>'Inventory inputs'!E645</x:f>
        <x:v>46303</x:v>
      </x:c>
      <x:c r="E645" s="1" t="n">
        <x:f>'Inventory inputs'!F645</x:f>
        <x:v>1102</x:v>
      </x:c>
      <x:c r="F645" s="1" t="n">
        <x:f>'Inventory inputs'!G645</x:f>
        <x:v>0</x:v>
      </x:c>
      <x:c r="G645" s="1" t="n">
        <x:f>'Inventory inputs'!H645/'Inventory inputs'!J645</x:f>
        <x:v>0.4947</x:v>
      </x:c>
      <x:c r="H645" s="1" t="n">
        <x:f>IF('Inventory inputs'!I645&gt;0,'Inventory inputs'!I645*'Inventory inputs'!K645/'Inventory inputs'!J645,"n.a.")</x:f>
        <x:v>0.5787389999999999</x:v>
      </x:c>
      <x:c r="I645" s="1" t="n">
        <x:f>'Inventory inputs'!L645</x:f>
        <x:v>702</x:v>
      </x:c>
      <x:c r="J645" s="1" t="n">
        <x:f>'Inventory inputs'!M645</x:f>
        <x:v>400</x:v>
      </x:c>
      <x:c r="K645" s="1" t="n">
        <x:f>'Inventory inputs'!N645</x:f>
        <x:v>0</x:v>
      </x:c>
      <x:c r="L645" s="1" t="n">
        <x:f>'Inventory inputs'!O645</x:f>
        <x:v>1</x:v>
      </x:c>
      <x:c r="M645" s="9" t="n">
        <x:f>E645*G645</x:f>
        <x:v>545.1594</x:v>
      </x:c>
      <x:c r="N645" s="9" t="n">
        <x:f>'Inventory inputs'!Q645</x:f>
        <x:v>545.1594</x:v>
      </x:c>
      <x:c r="O645" s="9" t="n">
        <x:f>N645-M645</x:f>
        <x:v>0</x:v>
      </x:c>
      <x:c r="P645" s="1" t="n">
        <x:f>SUMIFS('Incoming POs'!$P$2:$P$305,'Incoming POs'!$A$2:$A$305,A645,'Incoming POs'!$B$2:$B$305,B645,'Incoming POs'!$C$2:$C$305,C645,'Incoming POs'!$G$2:$G$305,"&gt;="&amp;D645,'Incoming POs'!$G$2:$G$305,"&lt;"&amp;Dashboard!$I$5)</x:f>
        <x:v>0</x:v>
      </x:c>
      <x:c r="Q645" s="1" t="n">
        <x:f>F645*Dashboard!$L$5*MAX(0,Dashboard!$I$5-D645)/30.4375</x:f>
        <x:v>0</x:v>
      </x:c>
      <x:c r="R645" s="1" t="n">
        <x:f>MAX(0,E645+P645-Q645)</x:f>
        <x:v>1102</x:v>
      </x:c>
      <x:c r="S645" s="1" t="n">
        <x:f>MAX(0,Q645-E645-P645)</x:f>
        <x:v>0</x:v>
      </x:c>
      <x:c r="T645" s="1" t="n">
        <x:f>IF(L645=1,MAX(0,I645+AB645-MIN(Q645,E645+P645)),"n.a.")</x:f>
        <x:v>702</x:v>
      </x:c>
      <x:c r="U645" s="9" t="n">
        <x:f>IF(ISNUMBER(T645),T645*G645,"n.a.")</x:f>
        <x:v>347.27939999999995</x:v>
      </x:c>
      <x:c r="V645" s="25" t="n">
        <x:f>IF(Dashboard!$I$6="Flat %",1,IF(ISNUMBER(H645),1,0))</x:f>
        <x:v>1</x:v>
      </x:c>
      <x:c r="W645" s="9" t="n">
        <x:f>IF(Dashboard!$I$6="Flat %",G645*(1+Dashboard!$L$6),H645)</x:f>
        <x:v>0.5787389999999999</x:v>
      </x:c>
      <x:c r="X645" s="9" t="n">
        <x:f>IF(V645=1,R645*(W645-G645),"n.a.")</x:f>
        <x:v>92.61097799999992</x:v>
      </x:c>
      <x:c r="Y645" s="9" t="n">
        <x:f>IF(V645=1,R645*W645,"n.a.")</x:f>
        <x:v>637.7703779999999</x:v>
      </x:c>
      <x:c r="Z645" s="1" t="n">
        <x:f>IF(ISNUMBER(T645),R645-T645,"n.a.")</x:f>
        <x:v>400</x:v>
      </x:c>
      <x:c r="AA645" s="1" t="str">
        <x:f>'Inventory inputs'!R645</x:f>
        <x:v>Classified</x:v>
      </x:c>
      <x:c r="AB645" s="1" t="n">
        <x:f>IF(L645=1,SUMIFS('Incoming POs'!$P$2:$P$305,'Incoming POs'!$A$2:$A$305,A645,'Incoming POs'!$B$2:$B$305,B645,'Incoming POs'!$C$2:$C$305,C645,'Incoming POs'!$G$2:$G$305,"&gt;="&amp;D645,'Incoming POs'!$G$2:$G$305,"&lt;"&amp;Dashboard!$I$5,'Incoming POs'!$Q$2:$Q$305,"&lt;="&amp;('Inventory inputs'!P645/'Inventory inputs'!J645*1.01)),"n.a.")</x:f>
        <x:v>0</x:v>
      </x:c>
      <x:c r="AC645" s="9" t="n">
        <x:f>I645*G645</x:f>
        <x:v>347.27939999999995</x:v>
      </x:c>
      <x:c r="AD645" s="9" t="n">
        <x:f>J645*G645</x:f>
        <x:v>197.88</x:v>
      </x:c>
      <x:c r="AE645" s="9" t="n">
        <x:f>K645*G645</x:f>
        <x:v>0</x:v>
      </x:c>
      <x:c r="AF645" s="9" t="n">
        <x:f>R645*G645</x:f>
        <x:v>545.1594</x:v>
      </x:c>
    </x:row>
    <x:row r="646" ht="21" customHeight="1">
      <x:c r="A646" s="1" t="str">
        <x:f>'Inventory inputs'!A646</x:f>
        <x:v>PLAS</x:v>
      </x:c>
      <x:c r="B646" s="1" t="str">
        <x:f>'Inventory inputs'!B646</x:f>
        <x:v>10</x:v>
      </x:c>
      <x:c r="C646" s="1" t="str">
        <x:f>'Inventory inputs'!C646</x:f>
        <x:v>11880RWBBLU</x:v>
      </x:c>
      <x:c r="D646" s="7" t="n">
        <x:f>'Inventory inputs'!E646</x:f>
        <x:v>46303</x:v>
      </x:c>
      <x:c r="E646" s="1" t="n">
        <x:f>'Inventory inputs'!F646</x:f>
        <x:v>614</x:v>
      </x:c>
      <x:c r="F646" s="1" t="n">
        <x:f>'Inventory inputs'!G646</x:f>
        <x:v>0</x:v>
      </x:c>
      <x:c r="G646" s="1" t="n">
        <x:f>'Inventory inputs'!H646/'Inventory inputs'!J646</x:f>
        <x:v>0.3901</x:v>
      </x:c>
      <x:c r="H646" s="1" t="str">
        <x:f>IF('Inventory inputs'!I646&gt;0,'Inventory inputs'!I646*'Inventory inputs'!K646/'Inventory inputs'!J646,"n.a.")</x:f>
        <x:v>n.a.</x:v>
      </x:c>
      <x:c r="I646" s="1" t="n">
        <x:f>'Inventory inputs'!L646</x:f>
        <x:v>0</x:v>
      </x:c>
      <x:c r="J646" s="1" t="n">
        <x:f>'Inventory inputs'!M646</x:f>
        <x:v>0</x:v>
      </x:c>
      <x:c r="K646" s="1" t="n">
        <x:f>'Inventory inputs'!N646</x:f>
        <x:v>614</x:v>
      </x:c>
      <x:c r="L646" s="1" t="n">
        <x:f>'Inventory inputs'!O646</x:f>
        <x:v>0</x:v>
      </x:c>
      <x:c r="M646" s="9" t="n">
        <x:f>E646*G646</x:f>
        <x:v>239.5214</x:v>
      </x:c>
      <x:c r="N646" s="9" t="n">
        <x:f>'Inventory inputs'!Q646</x:f>
        <x:v>239.5214</x:v>
      </x:c>
      <x:c r="O646" s="9" t="n">
        <x:f>N646-M646</x:f>
        <x:v>0</x:v>
      </x:c>
      <x:c r="P646" s="1" t="n">
        <x:f>SUMIFS('Incoming POs'!$P$2:$P$305,'Incoming POs'!$A$2:$A$305,A646,'Incoming POs'!$B$2:$B$305,B646,'Incoming POs'!$C$2:$C$305,C646,'Incoming POs'!$G$2:$G$305,"&gt;="&amp;D646,'Incoming POs'!$G$2:$G$305,"&lt;"&amp;Dashboard!$I$5)</x:f>
        <x:v>0</x:v>
      </x:c>
      <x:c r="Q646" s="1" t="n">
        <x:f>F646*Dashboard!$L$5*MAX(0,Dashboard!$I$5-D646)/30.4375</x:f>
        <x:v>0</x:v>
      </x:c>
      <x:c r="R646" s="1" t="n">
        <x:f>MAX(0,E646+P646-Q646)</x:f>
        <x:v>614</x:v>
      </x:c>
      <x:c r="S646" s="1" t="n">
        <x:f>MAX(0,Q646-E646-P646)</x:f>
        <x:v>0</x:v>
      </x:c>
      <x:c r="T646" s="1" t="str">
        <x:f>IF(L646=1,MAX(0,I646+AB646-MIN(Q646,E646+P646)),"n.a.")</x:f>
        <x:v>n.a.</x:v>
      </x:c>
      <x:c r="U646" s="9" t="str">
        <x:f>IF(ISNUMBER(T646),T646*G646,"n.a.")</x:f>
        <x:v>n.a.</x:v>
      </x:c>
      <x:c r="V646" s="25" t="n">
        <x:f>IF(Dashboard!$I$6="Flat %",1,IF(ISNUMBER(H646),1,0))</x:f>
        <x:v>0</x:v>
      </x:c>
      <x:c r="W646" s="9" t="str">
        <x:f>IF(Dashboard!$I$6="Flat %",G646*(1+Dashboard!$L$6),H646)</x:f>
        <x:v>n.a.</x:v>
      </x:c>
      <x:c r="X646" s="9" t="str">
        <x:f>IF(V646=1,R646*(W646-G646),"n.a.")</x:f>
        <x:v>n.a.</x:v>
      </x:c>
      <x:c r="Y646" s="9" t="str">
        <x:f>IF(V646=1,R646*W646,"n.a.")</x:f>
        <x:v>n.a.</x:v>
      </x:c>
      <x:c r="Z646" s="1" t="str">
        <x:f>IF(ISNUMBER(T646),R646-T646,"n.a.")</x:f>
        <x:v>n.a.</x:v>
      </x:c>
      <x:c r="AA646" s="1" t="str">
        <x:f>'Inventory inputs'!R646</x:f>
        <x:v>Review receipt reconciliation or original PO baseline</x:v>
      </x:c>
      <x:c r="AB646" s="1" t="str">
        <x:f>IF(L646=1,SUMIFS('Incoming POs'!$P$2:$P$305,'Incoming POs'!$A$2:$A$305,A646,'Incoming POs'!$B$2:$B$305,B646,'Incoming POs'!$C$2:$C$305,C646,'Incoming POs'!$G$2:$G$305,"&gt;="&amp;D646,'Incoming POs'!$G$2:$G$305,"&lt;"&amp;Dashboard!$I$5,'Incoming POs'!$Q$2:$Q$305,"&lt;="&amp;('Inventory inputs'!P646/'Inventory inputs'!J646*1.01)),"n.a.")</x:f>
        <x:v>n.a.</x:v>
      </x:c>
      <x:c r="AC646" s="9" t="n">
        <x:f>I646*G646</x:f>
        <x:v>0</x:v>
      </x:c>
      <x:c r="AD646" s="9" t="n">
        <x:f>J646*G646</x:f>
        <x:v>0</x:v>
      </x:c>
      <x:c r="AE646" s="9" t="n">
        <x:f>K646*G646</x:f>
        <x:v>239.5214</x:v>
      </x:c>
      <x:c r="AF646" s="9" t="n">
        <x:f>R646*G646</x:f>
        <x:v>239.5214</x:v>
      </x:c>
    </x:row>
    <x:row r="647" ht="21" customHeight="1">
      <x:c r="A647" s="1" t="str">
        <x:f>'Inventory inputs'!A647</x:f>
        <x:v>PLAS</x:v>
      </x:c>
      <x:c r="B647" s="1" t="str">
        <x:f>'Inventory inputs'!B647</x:f>
        <x:v>10</x:v>
      </x:c>
      <x:c r="C647" s="1" t="str">
        <x:f>'Inventory inputs'!C647</x:f>
        <x:v>11880RWBCLR</x:v>
      </x:c>
      <x:c r="D647" s="7" t="n">
        <x:f>'Inventory inputs'!E647</x:f>
        <x:v>46303</x:v>
      </x:c>
      <x:c r="E647" s="1" t="n">
        <x:f>'Inventory inputs'!F647</x:f>
        <x:v>730</x:v>
      </x:c>
      <x:c r="F647" s="1" t="n">
        <x:f>'Inventory inputs'!G647</x:f>
        <x:v>0</x:v>
      </x:c>
      <x:c r="G647" s="1" t="n">
        <x:f>'Inventory inputs'!H647/'Inventory inputs'!J647</x:f>
        <x:v>0.4947</x:v>
      </x:c>
      <x:c r="H647" s="1" t="n">
        <x:f>IF('Inventory inputs'!I647&gt;0,'Inventory inputs'!I647*'Inventory inputs'!K647/'Inventory inputs'!J647,"n.a.")</x:f>
        <x:v>0.5787389999999999</x:v>
      </x:c>
      <x:c r="I647" s="1" t="n">
        <x:f>'Inventory inputs'!L647</x:f>
        <x:v>0</x:v>
      </x:c>
      <x:c r="J647" s="1" t="n">
        <x:f>'Inventory inputs'!M647</x:f>
        <x:v>0</x:v>
      </x:c>
      <x:c r="K647" s="1" t="n">
        <x:f>'Inventory inputs'!N647</x:f>
        <x:v>730</x:v>
      </x:c>
      <x:c r="L647" s="1" t="n">
        <x:f>'Inventory inputs'!O647</x:f>
        <x:v>0</x:v>
      </x:c>
      <x:c r="M647" s="9" t="n">
        <x:f>E647*G647</x:f>
        <x:v>361.131</x:v>
      </x:c>
      <x:c r="N647" s="9" t="n">
        <x:f>'Inventory inputs'!Q647</x:f>
        <x:v>361.131</x:v>
      </x:c>
      <x:c r="O647" s="9" t="n">
        <x:f>N647-M647</x:f>
        <x:v>0</x:v>
      </x:c>
      <x:c r="P647" s="1" t="n">
        <x:f>SUMIFS('Incoming POs'!$P$2:$P$305,'Incoming POs'!$A$2:$A$305,A647,'Incoming POs'!$B$2:$B$305,B647,'Incoming POs'!$C$2:$C$305,C647,'Incoming POs'!$G$2:$G$305,"&gt;="&amp;D647,'Incoming POs'!$G$2:$G$305,"&lt;"&amp;Dashboard!$I$5)</x:f>
        <x:v>0</x:v>
      </x:c>
      <x:c r="Q647" s="1" t="n">
        <x:f>F647*Dashboard!$L$5*MAX(0,Dashboard!$I$5-D647)/30.4375</x:f>
        <x:v>0</x:v>
      </x:c>
      <x:c r="R647" s="1" t="n">
        <x:f>MAX(0,E647+P647-Q647)</x:f>
        <x:v>730</x:v>
      </x:c>
      <x:c r="S647" s="1" t="n">
        <x:f>MAX(0,Q647-E647-P647)</x:f>
        <x:v>0</x:v>
      </x:c>
      <x:c r="T647" s="1" t="str">
        <x:f>IF(L647=1,MAX(0,I647+AB647-MIN(Q647,E647+P647)),"n.a.")</x:f>
        <x:v>n.a.</x:v>
      </x:c>
      <x:c r="U647" s="9" t="str">
        <x:f>IF(ISNUMBER(T647),T647*G647,"n.a.")</x:f>
        <x:v>n.a.</x:v>
      </x:c>
      <x:c r="V647" s="25" t="n">
        <x:f>IF(Dashboard!$I$6="Flat %",1,IF(ISNUMBER(H647),1,0))</x:f>
        <x:v>1</x:v>
      </x:c>
      <x:c r="W647" s="9" t="n">
        <x:f>IF(Dashboard!$I$6="Flat %",G647*(1+Dashboard!$L$6),H647)</x:f>
        <x:v>0.5787389999999999</x:v>
      </x:c>
      <x:c r="X647" s="9" t="n">
        <x:f>IF(V647=1,R647*(W647-G647),"n.a.")</x:f>
        <x:v>61.34846999999994</x:v>
      </x:c>
      <x:c r="Y647" s="9" t="n">
        <x:f>IF(V647=1,R647*W647,"n.a.")</x:f>
        <x:v>422.47946999999994</x:v>
      </x:c>
      <x:c r="Z647" s="1" t="str">
        <x:f>IF(ISNUMBER(T647),R647-T647,"n.a.")</x:f>
        <x:v>n.a.</x:v>
      </x:c>
      <x:c r="AA647" s="1" t="str">
        <x:f>'Inventory inputs'!R647</x:f>
        <x:v>Review receipt reconciliation or original PO baseline</x:v>
      </x:c>
      <x:c r="AB647" s="1" t="str">
        <x:f>IF(L647=1,SUMIFS('Incoming POs'!$P$2:$P$305,'Incoming POs'!$A$2:$A$305,A647,'Incoming POs'!$B$2:$B$305,B647,'Incoming POs'!$C$2:$C$305,C647,'Incoming POs'!$G$2:$G$305,"&gt;="&amp;D647,'Incoming POs'!$G$2:$G$305,"&lt;"&amp;Dashboard!$I$5,'Incoming POs'!$Q$2:$Q$305,"&lt;="&amp;('Inventory inputs'!P647/'Inventory inputs'!J647*1.01)),"n.a.")</x:f>
        <x:v>n.a.</x:v>
      </x:c>
      <x:c r="AC647" s="9" t="n">
        <x:f>I647*G647</x:f>
        <x:v>0</x:v>
      </x:c>
      <x:c r="AD647" s="9" t="n">
        <x:f>J647*G647</x:f>
        <x:v>0</x:v>
      </x:c>
      <x:c r="AE647" s="9" t="n">
        <x:f>K647*G647</x:f>
        <x:v>361.131</x:v>
      </x:c>
      <x:c r="AF647" s="9" t="n">
        <x:f>R647*G647</x:f>
        <x:v>361.131</x:v>
      </x:c>
    </x:row>
    <x:row r="648" ht="21" customHeight="1">
      <x:c r="A648" s="1" t="str">
        <x:f>'Inventory inputs'!A648</x:f>
        <x:v>PLAS</x:v>
      </x:c>
      <x:c r="B648" s="1" t="str">
        <x:f>'Inventory inputs'!B648</x:f>
        <x:v>10</x:v>
      </x:c>
      <x:c r="C648" s="1" t="str">
        <x:f>'Inventory inputs'!C648</x:f>
        <x:v>11880RWBFG</x:v>
      </x:c>
      <x:c r="D648" s="7" t="n">
        <x:f>'Inventory inputs'!E648</x:f>
        <x:v>46303</x:v>
      </x:c>
      <x:c r="E648" s="1" t="n">
        <x:f>'Inventory inputs'!F648</x:f>
        <x:v>3000</x:v>
      </x:c>
      <x:c r="F648" s="1" t="n">
        <x:f>'Inventory inputs'!G648</x:f>
        <x:v>0</x:v>
      </x:c>
      <x:c r="G648" s="1" t="n">
        <x:f>'Inventory inputs'!H648/'Inventory inputs'!J648</x:f>
        <x:v>0.4947</x:v>
      </x:c>
      <x:c r="H648" s="1" t="n">
        <x:f>IF('Inventory inputs'!I648&gt;0,'Inventory inputs'!I648*'Inventory inputs'!K648/'Inventory inputs'!J648,"n.a.")</x:f>
        <x:v>0.5787389999999999</x:v>
      </x:c>
      <x:c r="I648" s="1" t="n">
        <x:f>'Inventory inputs'!L648</x:f>
        <x:v>3000</x:v>
      </x:c>
      <x:c r="J648" s="1" t="n">
        <x:f>'Inventory inputs'!M648</x:f>
        <x:v>0</x:v>
      </x:c>
      <x:c r="K648" s="1" t="n">
        <x:f>'Inventory inputs'!N648</x:f>
        <x:v>0</x:v>
      </x:c>
      <x:c r="L648" s="1" t="n">
        <x:f>'Inventory inputs'!O648</x:f>
        <x:v>1</x:v>
      </x:c>
      <x:c r="M648" s="9" t="n">
        <x:f>E648*G648</x:f>
        <x:v>1484.1</x:v>
      </x:c>
      <x:c r="N648" s="9" t="n">
        <x:f>'Inventory inputs'!Q648</x:f>
        <x:v>1484.1000000000001</x:v>
      </x:c>
      <x:c r="O648" s="9" t="n">
        <x:f>N648-M648</x:f>
        <x:v>2.2737367544323206e-13</x:v>
      </x:c>
      <x:c r="P648" s="1" t="n">
        <x:f>SUMIFS('Incoming POs'!$P$2:$P$305,'Incoming POs'!$A$2:$A$305,A648,'Incoming POs'!$B$2:$B$305,B648,'Incoming POs'!$C$2:$C$305,C648,'Incoming POs'!$G$2:$G$305,"&gt;="&amp;D648,'Incoming POs'!$G$2:$G$305,"&lt;"&amp;Dashboard!$I$5)</x:f>
        <x:v>0</x:v>
      </x:c>
      <x:c r="Q648" s="1" t="n">
        <x:f>F648*Dashboard!$L$5*MAX(0,Dashboard!$I$5-D648)/30.4375</x:f>
        <x:v>0</x:v>
      </x:c>
      <x:c r="R648" s="1" t="n">
        <x:f>MAX(0,E648+P648-Q648)</x:f>
        <x:v>3000</x:v>
      </x:c>
      <x:c r="S648" s="1" t="n">
        <x:f>MAX(0,Q648-E648-P648)</x:f>
        <x:v>0</x:v>
      </x:c>
      <x:c r="T648" s="1" t="n">
        <x:f>IF(L648=1,MAX(0,I648+AB648-MIN(Q648,E648+P648)),"n.a.")</x:f>
        <x:v>3000</x:v>
      </x:c>
      <x:c r="U648" s="9" t="n">
        <x:f>IF(ISNUMBER(T648),T648*G648,"n.a.")</x:f>
        <x:v>1484.1</x:v>
      </x:c>
      <x:c r="V648" s="25" t="n">
        <x:f>IF(Dashboard!$I$6="Flat %",1,IF(ISNUMBER(H648),1,0))</x:f>
        <x:v>1</x:v>
      </x:c>
      <x:c r="W648" s="9" t="n">
        <x:f>IF(Dashboard!$I$6="Flat %",G648*(1+Dashboard!$L$6),H648)</x:f>
        <x:v>0.5787389999999999</x:v>
      </x:c>
      <x:c r="X648" s="9" t="n">
        <x:f>IF(V648=1,R648*(W648-G648),"n.a.")</x:f>
        <x:v>252.11699999999976</x:v>
      </x:c>
      <x:c r="Y648" s="9" t="n">
        <x:f>IF(V648=1,R648*W648,"n.a.")</x:f>
        <x:v>1736.2169999999996</x:v>
      </x:c>
      <x:c r="Z648" s="1" t="n">
        <x:f>IF(ISNUMBER(T648),R648-T648,"n.a.")</x:f>
        <x:v>0</x:v>
      </x:c>
      <x:c r="AA648" s="1" t="str">
        <x:f>'Inventory inputs'!R648</x:f>
        <x:v>Classified</x:v>
      </x:c>
      <x:c r="AB648" s="1" t="n">
        <x:f>IF(L648=1,SUMIFS('Incoming POs'!$P$2:$P$305,'Incoming POs'!$A$2:$A$305,A648,'Incoming POs'!$B$2:$B$305,B648,'Incoming POs'!$C$2:$C$305,C648,'Incoming POs'!$G$2:$G$305,"&gt;="&amp;D648,'Incoming POs'!$G$2:$G$305,"&lt;"&amp;Dashboard!$I$5,'Incoming POs'!$Q$2:$Q$305,"&lt;="&amp;('Inventory inputs'!P648/'Inventory inputs'!J648*1.01)),"n.a.")</x:f>
        <x:v>0</x:v>
      </x:c>
      <x:c r="AC648" s="9" t="n">
        <x:f>I648*G648</x:f>
        <x:v>1484.1</x:v>
      </x:c>
      <x:c r="AD648" s="9" t="n">
        <x:f>J648*G648</x:f>
        <x:v>0</x:v>
      </x:c>
      <x:c r="AE648" s="9" t="n">
        <x:f>K648*G648</x:f>
        <x:v>0</x:v>
      </x:c>
      <x:c r="AF648" s="9" t="n">
        <x:f>R648*G648</x:f>
        <x:v>1484.1</x:v>
      </x:c>
    </x:row>
    <x:row r="649" ht="21" customHeight="1">
      <x:c r="A649" s="1" t="str">
        <x:f>'Inventory inputs'!A649</x:f>
        <x:v>PLAS</x:v>
      </x:c>
      <x:c r="B649" s="1" t="str">
        <x:f>'Inventory inputs'!B649</x:f>
        <x:v>10</x:v>
      </x:c>
      <x:c r="C649" s="1" t="str">
        <x:f>'Inventory inputs'!C649</x:f>
        <x:v>11880RWBMAR</x:v>
      </x:c>
      <x:c r="D649" s="7" t="n">
        <x:f>'Inventory inputs'!E649</x:f>
        <x:v>46303</x:v>
      </x:c>
      <x:c r="E649" s="1" t="n">
        <x:f>'Inventory inputs'!F649</x:f>
        <x:v>500</x:v>
      </x:c>
      <x:c r="F649" s="1" t="n">
        <x:f>'Inventory inputs'!G649</x:f>
        <x:v>0</x:v>
      </x:c>
      <x:c r="G649" s="1" t="n">
        <x:f>'Inventory inputs'!H649/'Inventory inputs'!J649</x:f>
        <x:v>0.3901</x:v>
      </x:c>
      <x:c r="H649" s="1" t="str">
        <x:f>IF('Inventory inputs'!I649&gt;0,'Inventory inputs'!I649*'Inventory inputs'!K649/'Inventory inputs'!J649,"n.a.")</x:f>
        <x:v>n.a.</x:v>
      </x:c>
      <x:c r="I649" s="1" t="n">
        <x:f>'Inventory inputs'!L649</x:f>
        <x:v>0</x:v>
      </x:c>
      <x:c r="J649" s="1" t="n">
        <x:f>'Inventory inputs'!M649</x:f>
        <x:v>0</x:v>
      </x:c>
      <x:c r="K649" s="1" t="n">
        <x:f>'Inventory inputs'!N649</x:f>
        <x:v>500</x:v>
      </x:c>
      <x:c r="L649" s="1" t="n">
        <x:f>'Inventory inputs'!O649</x:f>
        <x:v>0</x:v>
      </x:c>
      <x:c r="M649" s="9" t="n">
        <x:f>E649*G649</x:f>
        <x:v>195.05</x:v>
      </x:c>
      <x:c r="N649" s="9" t="n">
        <x:f>'Inventory inputs'!Q649</x:f>
        <x:v>195.05</x:v>
      </x:c>
      <x:c r="O649" s="9" t="n">
        <x:f>N649-M649</x:f>
        <x:v>0</x:v>
      </x:c>
      <x:c r="P649" s="1" t="n">
        <x:f>SUMIFS('Incoming POs'!$P$2:$P$305,'Incoming POs'!$A$2:$A$305,A649,'Incoming POs'!$B$2:$B$305,B649,'Incoming POs'!$C$2:$C$305,C649,'Incoming POs'!$G$2:$G$305,"&gt;="&amp;D649,'Incoming POs'!$G$2:$G$305,"&lt;"&amp;Dashboard!$I$5)</x:f>
        <x:v>0</x:v>
      </x:c>
      <x:c r="Q649" s="1" t="n">
        <x:f>F649*Dashboard!$L$5*MAX(0,Dashboard!$I$5-D649)/30.4375</x:f>
        <x:v>0</x:v>
      </x:c>
      <x:c r="R649" s="1" t="n">
        <x:f>MAX(0,E649+P649-Q649)</x:f>
        <x:v>500</x:v>
      </x:c>
      <x:c r="S649" s="1" t="n">
        <x:f>MAX(0,Q649-E649-P649)</x:f>
        <x:v>0</x:v>
      </x:c>
      <x:c r="T649" s="1" t="str">
        <x:f>IF(L649=1,MAX(0,I649+AB649-MIN(Q649,E649+P649)),"n.a.")</x:f>
        <x:v>n.a.</x:v>
      </x:c>
      <x:c r="U649" s="9" t="str">
        <x:f>IF(ISNUMBER(T649),T649*G649,"n.a.")</x:f>
        <x:v>n.a.</x:v>
      </x:c>
      <x:c r="V649" s="25" t="n">
        <x:f>IF(Dashboard!$I$6="Flat %",1,IF(ISNUMBER(H649),1,0))</x:f>
        <x:v>0</x:v>
      </x:c>
      <x:c r="W649" s="9" t="str">
        <x:f>IF(Dashboard!$I$6="Flat %",G649*(1+Dashboard!$L$6),H649)</x:f>
        <x:v>n.a.</x:v>
      </x:c>
      <x:c r="X649" s="9" t="str">
        <x:f>IF(V649=1,R649*(W649-G649),"n.a.")</x:f>
        <x:v>n.a.</x:v>
      </x:c>
      <x:c r="Y649" s="9" t="str">
        <x:f>IF(V649=1,R649*W649,"n.a.")</x:f>
        <x:v>n.a.</x:v>
      </x:c>
      <x:c r="Z649" s="1" t="str">
        <x:f>IF(ISNUMBER(T649),R649-T649,"n.a.")</x:f>
        <x:v>n.a.</x:v>
      </x:c>
      <x:c r="AA649" s="1" t="str">
        <x:f>'Inventory inputs'!R649</x:f>
        <x:v>Review receipt reconciliation or original PO baseline</x:v>
      </x:c>
      <x:c r="AB649" s="1" t="str">
        <x:f>IF(L649=1,SUMIFS('Incoming POs'!$P$2:$P$305,'Incoming POs'!$A$2:$A$305,A649,'Incoming POs'!$B$2:$B$305,B649,'Incoming POs'!$C$2:$C$305,C649,'Incoming POs'!$G$2:$G$305,"&gt;="&amp;D649,'Incoming POs'!$G$2:$G$305,"&lt;"&amp;Dashboard!$I$5,'Incoming POs'!$Q$2:$Q$305,"&lt;="&amp;('Inventory inputs'!P649/'Inventory inputs'!J649*1.01)),"n.a.")</x:f>
        <x:v>n.a.</x:v>
      </x:c>
      <x:c r="AC649" s="9" t="n">
        <x:f>I649*G649</x:f>
        <x:v>0</x:v>
      </x:c>
      <x:c r="AD649" s="9" t="n">
        <x:f>J649*G649</x:f>
        <x:v>0</x:v>
      </x:c>
      <x:c r="AE649" s="9" t="n">
        <x:f>K649*G649</x:f>
        <x:v>195.05</x:v>
      </x:c>
      <x:c r="AF649" s="9" t="n">
        <x:f>R649*G649</x:f>
        <x:v>195.05</x:v>
      </x:c>
    </x:row>
    <x:row r="650" ht="21" customHeight="1">
      <x:c r="A650" s="1" t="str">
        <x:f>'Inventory inputs'!A650</x:f>
        <x:v>PLAS</x:v>
      </x:c>
      <x:c r="B650" s="1" t="str">
        <x:f>'Inventory inputs'!B650</x:f>
        <x:v>10</x:v>
      </x:c>
      <x:c r="C650" s="1" t="str">
        <x:f>'Inventory inputs'!C650</x:f>
        <x:v>11880RWBNAV</x:v>
      </x:c>
      <x:c r="D650" s="7" t="n">
        <x:f>'Inventory inputs'!E650</x:f>
        <x:v>46303</x:v>
      </x:c>
      <x:c r="E650" s="1" t="n">
        <x:f>'Inventory inputs'!F650</x:f>
        <x:v>736</x:v>
      </x:c>
      <x:c r="F650" s="1" t="n">
        <x:f>'Inventory inputs'!G650</x:f>
        <x:v>0</x:v>
      </x:c>
      <x:c r="G650" s="1" t="n">
        <x:f>'Inventory inputs'!H650/'Inventory inputs'!J650</x:f>
        <x:v>0.3901</x:v>
      </x:c>
      <x:c r="H650" s="1" t="str">
        <x:f>IF('Inventory inputs'!I650&gt;0,'Inventory inputs'!I650*'Inventory inputs'!K650/'Inventory inputs'!J650,"n.a.")</x:f>
        <x:v>n.a.</x:v>
      </x:c>
      <x:c r="I650" s="1" t="n">
        <x:f>'Inventory inputs'!L650</x:f>
        <x:v>0</x:v>
      </x:c>
      <x:c r="J650" s="1" t="n">
        <x:f>'Inventory inputs'!M650</x:f>
        <x:v>0</x:v>
      </x:c>
      <x:c r="K650" s="1" t="n">
        <x:f>'Inventory inputs'!N650</x:f>
        <x:v>736</x:v>
      </x:c>
      <x:c r="L650" s="1" t="n">
        <x:f>'Inventory inputs'!O650</x:f>
        <x:v>0</x:v>
      </x:c>
      <x:c r="M650" s="9" t="n">
        <x:f>E650*G650</x:f>
        <x:v>287.1136</x:v>
      </x:c>
      <x:c r="N650" s="9" t="n">
        <x:f>'Inventory inputs'!Q650</x:f>
        <x:v>287.11359999999996</x:v>
      </x:c>
      <x:c r="O650" s="9" t="n">
        <x:f>N650-M650</x:f>
        <x:v>-5.684341886080802e-14</x:v>
      </x:c>
      <x:c r="P650" s="1" t="n">
        <x:f>SUMIFS('Incoming POs'!$P$2:$P$305,'Incoming POs'!$A$2:$A$305,A650,'Incoming POs'!$B$2:$B$305,B650,'Incoming POs'!$C$2:$C$305,C650,'Incoming POs'!$G$2:$G$305,"&gt;="&amp;D650,'Incoming POs'!$G$2:$G$305,"&lt;"&amp;Dashboard!$I$5)</x:f>
        <x:v>0</x:v>
      </x:c>
      <x:c r="Q650" s="1" t="n">
        <x:f>F650*Dashboard!$L$5*MAX(0,Dashboard!$I$5-D650)/30.4375</x:f>
        <x:v>0</x:v>
      </x:c>
      <x:c r="R650" s="1" t="n">
        <x:f>MAX(0,E650+P650-Q650)</x:f>
        <x:v>736</x:v>
      </x:c>
      <x:c r="S650" s="1" t="n">
        <x:f>MAX(0,Q650-E650-P650)</x:f>
        <x:v>0</x:v>
      </x:c>
      <x:c r="T650" s="1" t="str">
        <x:f>IF(L650=1,MAX(0,I650+AB650-MIN(Q650,E650+P650)),"n.a.")</x:f>
        <x:v>n.a.</x:v>
      </x:c>
      <x:c r="U650" s="9" t="str">
        <x:f>IF(ISNUMBER(T650),T650*G650,"n.a.")</x:f>
        <x:v>n.a.</x:v>
      </x:c>
      <x:c r="V650" s="25" t="n">
        <x:f>IF(Dashboard!$I$6="Flat %",1,IF(ISNUMBER(H650),1,0))</x:f>
        <x:v>0</x:v>
      </x:c>
      <x:c r="W650" s="9" t="str">
        <x:f>IF(Dashboard!$I$6="Flat %",G650*(1+Dashboard!$L$6),H650)</x:f>
        <x:v>n.a.</x:v>
      </x:c>
      <x:c r="X650" s="9" t="str">
        <x:f>IF(V650=1,R650*(W650-G650),"n.a.")</x:f>
        <x:v>n.a.</x:v>
      </x:c>
      <x:c r="Y650" s="9" t="str">
        <x:f>IF(V650=1,R650*W650,"n.a.")</x:f>
        <x:v>n.a.</x:v>
      </x:c>
      <x:c r="Z650" s="1" t="str">
        <x:f>IF(ISNUMBER(T650),R650-T650,"n.a.")</x:f>
        <x:v>n.a.</x:v>
      </x:c>
      <x:c r="AA650" s="1" t="str">
        <x:f>'Inventory inputs'!R650</x:f>
        <x:v>Review receipt reconciliation or original PO baseline</x:v>
      </x:c>
      <x:c r="AB650" s="1" t="str">
        <x:f>IF(L650=1,SUMIFS('Incoming POs'!$P$2:$P$305,'Incoming POs'!$A$2:$A$305,A650,'Incoming POs'!$B$2:$B$305,B650,'Incoming POs'!$C$2:$C$305,C650,'Incoming POs'!$G$2:$G$305,"&gt;="&amp;D650,'Incoming POs'!$G$2:$G$305,"&lt;"&amp;Dashboard!$I$5,'Incoming POs'!$Q$2:$Q$305,"&lt;="&amp;('Inventory inputs'!P650/'Inventory inputs'!J650*1.01)),"n.a.")</x:f>
        <x:v>n.a.</x:v>
      </x:c>
      <x:c r="AC650" s="9" t="n">
        <x:f>I650*G650</x:f>
        <x:v>0</x:v>
      </x:c>
      <x:c r="AD650" s="9" t="n">
        <x:f>J650*G650</x:f>
        <x:v>0</x:v>
      </x:c>
      <x:c r="AE650" s="9" t="n">
        <x:f>K650*G650</x:f>
        <x:v>287.1136</x:v>
      </x:c>
      <x:c r="AF650" s="9" t="n">
        <x:f>R650*G650</x:f>
        <x:v>287.1136</x:v>
      </x:c>
    </x:row>
    <x:row r="651" ht="21" customHeight="1">
      <x:c r="A651" s="1" t="str">
        <x:f>'Inventory inputs'!A651</x:f>
        <x:v>PLAS</x:v>
      </x:c>
      <x:c r="B651" s="1" t="str">
        <x:f>'Inventory inputs'!B651</x:f>
        <x:v>10</x:v>
      </x:c>
      <x:c r="C651" s="1" t="str">
        <x:f>'Inventory inputs'!C651</x:f>
        <x:v>11880RWBRED</x:v>
      </x:c>
      <x:c r="D651" s="7" t="n">
        <x:f>'Inventory inputs'!E651</x:f>
        <x:v>46303</x:v>
      </x:c>
      <x:c r="E651" s="1" t="n">
        <x:f>'Inventory inputs'!F651</x:f>
        <x:v>437</x:v>
      </x:c>
      <x:c r="F651" s="1" t="n">
        <x:f>'Inventory inputs'!G651</x:f>
        <x:v>0</x:v>
      </x:c>
      <x:c r="G651" s="1" t="n">
        <x:f>'Inventory inputs'!H651/'Inventory inputs'!J651</x:f>
        <x:v>0.3901</x:v>
      </x:c>
      <x:c r="H651" s="1" t="str">
        <x:f>IF('Inventory inputs'!I651&gt;0,'Inventory inputs'!I651*'Inventory inputs'!K651/'Inventory inputs'!J651,"n.a.")</x:f>
        <x:v>n.a.</x:v>
      </x:c>
      <x:c r="I651" s="1" t="n">
        <x:f>'Inventory inputs'!L651</x:f>
        <x:v>0</x:v>
      </x:c>
      <x:c r="J651" s="1" t="n">
        <x:f>'Inventory inputs'!M651</x:f>
        <x:v>0</x:v>
      </x:c>
      <x:c r="K651" s="1" t="n">
        <x:f>'Inventory inputs'!N651</x:f>
        <x:v>437</x:v>
      </x:c>
      <x:c r="L651" s="1" t="n">
        <x:f>'Inventory inputs'!O651</x:f>
        <x:v>0</x:v>
      </x:c>
      <x:c r="M651" s="9" t="n">
        <x:f>E651*G651</x:f>
        <x:v>170.4737</x:v>
      </x:c>
      <x:c r="N651" s="9" t="n">
        <x:f>'Inventory inputs'!Q651</x:f>
        <x:v>170.47369999999998</x:v>
      </x:c>
      <x:c r="O651" s="9" t="n">
        <x:f>N651-M651</x:f>
        <x:v>-2.842170943040401e-14</x:v>
      </x:c>
      <x:c r="P651" s="1" t="n">
        <x:f>SUMIFS('Incoming POs'!$P$2:$P$305,'Incoming POs'!$A$2:$A$305,A651,'Incoming POs'!$B$2:$B$305,B651,'Incoming POs'!$C$2:$C$305,C651,'Incoming POs'!$G$2:$G$305,"&gt;="&amp;D651,'Incoming POs'!$G$2:$G$305,"&lt;"&amp;Dashboard!$I$5)</x:f>
        <x:v>0</x:v>
      </x:c>
      <x:c r="Q651" s="1" t="n">
        <x:f>F651*Dashboard!$L$5*MAX(0,Dashboard!$I$5-D651)/30.4375</x:f>
        <x:v>0</x:v>
      </x:c>
      <x:c r="R651" s="1" t="n">
        <x:f>MAX(0,E651+P651-Q651)</x:f>
        <x:v>437</x:v>
      </x:c>
      <x:c r="S651" s="1" t="n">
        <x:f>MAX(0,Q651-E651-P651)</x:f>
        <x:v>0</x:v>
      </x:c>
      <x:c r="T651" s="1" t="str">
        <x:f>IF(L651=1,MAX(0,I651+AB651-MIN(Q651,E651+P651)),"n.a.")</x:f>
        <x:v>n.a.</x:v>
      </x:c>
      <x:c r="U651" s="9" t="str">
        <x:f>IF(ISNUMBER(T651),T651*G651,"n.a.")</x:f>
        <x:v>n.a.</x:v>
      </x:c>
      <x:c r="V651" s="25" t="n">
        <x:f>IF(Dashboard!$I$6="Flat %",1,IF(ISNUMBER(H651),1,0))</x:f>
        <x:v>0</x:v>
      </x:c>
      <x:c r="W651" s="9" t="str">
        <x:f>IF(Dashboard!$I$6="Flat %",G651*(1+Dashboard!$L$6),H651)</x:f>
        <x:v>n.a.</x:v>
      </x:c>
      <x:c r="X651" s="9" t="str">
        <x:f>IF(V651=1,R651*(W651-G651),"n.a.")</x:f>
        <x:v>n.a.</x:v>
      </x:c>
      <x:c r="Y651" s="9" t="str">
        <x:f>IF(V651=1,R651*W651,"n.a.")</x:f>
        <x:v>n.a.</x:v>
      </x:c>
      <x:c r="Z651" s="1" t="str">
        <x:f>IF(ISNUMBER(T651),R651-T651,"n.a.")</x:f>
        <x:v>n.a.</x:v>
      </x:c>
      <x:c r="AA651" s="1" t="str">
        <x:f>'Inventory inputs'!R651</x:f>
        <x:v>Review receipt reconciliation or original PO baseline</x:v>
      </x:c>
      <x:c r="AB651" s="1" t="str">
        <x:f>IF(L651=1,SUMIFS('Incoming POs'!$P$2:$P$305,'Incoming POs'!$A$2:$A$305,A651,'Incoming POs'!$B$2:$B$305,B651,'Incoming POs'!$C$2:$C$305,C651,'Incoming POs'!$G$2:$G$305,"&gt;="&amp;D651,'Incoming POs'!$G$2:$G$305,"&lt;"&amp;Dashboard!$I$5,'Incoming POs'!$Q$2:$Q$305,"&lt;="&amp;('Inventory inputs'!P651/'Inventory inputs'!J651*1.01)),"n.a.")</x:f>
        <x:v>n.a.</x:v>
      </x:c>
      <x:c r="AC651" s="9" t="n">
        <x:f>I651*G651</x:f>
        <x:v>0</x:v>
      </x:c>
      <x:c r="AD651" s="9" t="n">
        <x:f>J651*G651</x:f>
        <x:v>0</x:v>
      </x:c>
      <x:c r="AE651" s="9" t="n">
        <x:f>K651*G651</x:f>
        <x:v>170.4737</x:v>
      </x:c>
      <x:c r="AF651" s="9" t="n">
        <x:f>R651*G651</x:f>
        <x:v>170.4737</x:v>
      </x:c>
    </x:row>
    <x:row r="652" ht="21" customHeight="1">
      <x:c r="A652" s="1" t="str">
        <x:f>'Inventory inputs'!A652</x:f>
        <x:v>PLAS</x:v>
      </x:c>
      <x:c r="B652" s="1" t="str">
        <x:f>'Inventory inputs'!B652</x:f>
        <x:v>10</x:v>
      </x:c>
      <x:c r="C652" s="1" t="str">
        <x:f>'Inventory inputs'!C652</x:f>
        <x:v>11880RWBWHT</x:v>
      </x:c>
      <x:c r="D652" s="7" t="n">
        <x:f>'Inventory inputs'!E652</x:f>
        <x:v>46303</x:v>
      </x:c>
      <x:c r="E652" s="1" t="n">
        <x:f>'Inventory inputs'!F652</x:f>
        <x:v>1823</x:v>
      </x:c>
      <x:c r="F652" s="1" t="n">
        <x:f>'Inventory inputs'!G652</x:f>
        <x:v>0</x:v>
      </x:c>
      <x:c r="G652" s="1" t="n">
        <x:f>'Inventory inputs'!H652/'Inventory inputs'!J652</x:f>
        <x:v>0.4947</x:v>
      </x:c>
      <x:c r="H652" s="1" t="n">
        <x:f>IF('Inventory inputs'!I652&gt;0,'Inventory inputs'!I652*'Inventory inputs'!K652/'Inventory inputs'!J652,"n.a.")</x:f>
        <x:v>0.5787389999999999</x:v>
      </x:c>
      <x:c r="I652" s="1" t="n">
        <x:f>'Inventory inputs'!L652</x:f>
        <x:v>1423</x:v>
      </x:c>
      <x:c r="J652" s="1" t="n">
        <x:f>'Inventory inputs'!M652</x:f>
        <x:v>400</x:v>
      </x:c>
      <x:c r="K652" s="1" t="n">
        <x:f>'Inventory inputs'!N652</x:f>
        <x:v>0</x:v>
      </x:c>
      <x:c r="L652" s="1" t="n">
        <x:f>'Inventory inputs'!O652</x:f>
        <x:v>1</x:v>
      </x:c>
      <x:c r="M652" s="9" t="n">
        <x:f>E652*G652</x:f>
        <x:v>901.8380999999999</x:v>
      </x:c>
      <x:c r="N652" s="9" t="n">
        <x:f>'Inventory inputs'!Q652</x:f>
        <x:v>901.8380999999999</x:v>
      </x:c>
      <x:c r="O652" s="9" t="n">
        <x:f>N652-M652</x:f>
        <x:v>0</x:v>
      </x:c>
      <x:c r="P652" s="1" t="n">
        <x:f>SUMIFS('Incoming POs'!$P$2:$P$305,'Incoming POs'!$A$2:$A$305,A652,'Incoming POs'!$B$2:$B$305,B652,'Incoming POs'!$C$2:$C$305,C652,'Incoming POs'!$G$2:$G$305,"&gt;="&amp;D652,'Incoming POs'!$G$2:$G$305,"&lt;"&amp;Dashboard!$I$5)</x:f>
        <x:v>0</x:v>
      </x:c>
      <x:c r="Q652" s="1" t="n">
        <x:f>F652*Dashboard!$L$5*MAX(0,Dashboard!$I$5-D652)/30.4375</x:f>
        <x:v>0</x:v>
      </x:c>
      <x:c r="R652" s="1" t="n">
        <x:f>MAX(0,E652+P652-Q652)</x:f>
        <x:v>1823</x:v>
      </x:c>
      <x:c r="S652" s="1" t="n">
        <x:f>MAX(0,Q652-E652-P652)</x:f>
        <x:v>0</x:v>
      </x:c>
      <x:c r="T652" s="1" t="n">
        <x:f>IF(L652=1,MAX(0,I652+AB652-MIN(Q652,E652+P652)),"n.a.")</x:f>
        <x:v>1423</x:v>
      </x:c>
      <x:c r="U652" s="9" t="n">
        <x:f>IF(ISNUMBER(T652),T652*G652,"n.a.")</x:f>
        <x:v>703.9581</x:v>
      </x:c>
      <x:c r="V652" s="25" t="n">
        <x:f>IF(Dashboard!$I$6="Flat %",1,IF(ISNUMBER(H652),1,0))</x:f>
        <x:v>1</x:v>
      </x:c>
      <x:c r="W652" s="9" t="n">
        <x:f>IF(Dashboard!$I$6="Flat %",G652*(1+Dashboard!$L$6),H652)</x:f>
        <x:v>0.5787389999999999</x:v>
      </x:c>
      <x:c r="X652" s="9" t="n">
        <x:f>IF(V652=1,R652*(W652-G652),"n.a.")</x:f>
        <x:v>153.20309699999984</x:v>
      </x:c>
      <x:c r="Y652" s="9" t="n">
        <x:f>IF(V652=1,R652*W652,"n.a.")</x:f>
        <x:v>1055.0411969999998</x:v>
      </x:c>
      <x:c r="Z652" s="1" t="n">
        <x:f>IF(ISNUMBER(T652),R652-T652,"n.a.")</x:f>
        <x:v>400</x:v>
      </x:c>
      <x:c r="AA652" s="1" t="str">
        <x:f>'Inventory inputs'!R652</x:f>
        <x:v>Classified</x:v>
      </x:c>
      <x:c r="AB652" s="1" t="n">
        <x:f>IF(L652=1,SUMIFS('Incoming POs'!$P$2:$P$305,'Incoming POs'!$A$2:$A$305,A652,'Incoming POs'!$B$2:$B$305,B652,'Incoming POs'!$C$2:$C$305,C652,'Incoming POs'!$G$2:$G$305,"&gt;="&amp;D652,'Incoming POs'!$G$2:$G$305,"&lt;"&amp;Dashboard!$I$5,'Incoming POs'!$Q$2:$Q$305,"&lt;="&amp;('Inventory inputs'!P652/'Inventory inputs'!J652*1.01)),"n.a.")</x:f>
        <x:v>0</x:v>
      </x:c>
      <x:c r="AC652" s="9" t="n">
        <x:f>I652*G652</x:f>
        <x:v>703.9581</x:v>
      </x:c>
      <x:c r="AD652" s="9" t="n">
        <x:f>J652*G652</x:f>
        <x:v>197.88</x:v>
      </x:c>
      <x:c r="AE652" s="9" t="n">
        <x:f>K652*G652</x:f>
        <x:v>0</x:v>
      </x:c>
      <x:c r="AF652" s="9" t="n">
        <x:f>R652*G652</x:f>
        <x:v>901.8380999999999</x:v>
      </x:c>
    </x:row>
    <x:row r="653" ht="21" customHeight="1">
      <x:c r="A653" s="1" t="str">
        <x:f>'Inventory inputs'!A653</x:f>
        <x:v>PLAS</x:v>
      </x:c>
      <x:c r="B653" s="1" t="str">
        <x:f>'Inventory inputs'!B653</x:f>
        <x:v>10</x:v>
      </x:c>
      <x:c r="C653" s="1" t="str">
        <x:f>'Inventory inputs'!C653</x:f>
        <x:v>13415ROVMAR</x:v>
      </x:c>
      <x:c r="D653" s="7" t="n">
        <x:f>'Inventory inputs'!E653</x:f>
        <x:v>46303</x:v>
      </x:c>
      <x:c r="E653" s="1" t="n">
        <x:f>'Inventory inputs'!F653</x:f>
        <x:v>500</x:v>
      </x:c>
      <x:c r="F653" s="1" t="n">
        <x:f>'Inventory inputs'!G653</x:f>
        <x:v>0</x:v>
      </x:c>
      <x:c r="G653" s="1" t="n">
        <x:f>'Inventory inputs'!H653/'Inventory inputs'!J653</x:f>
        <x:v>0.08560000000000001</x:v>
      </x:c>
      <x:c r="H653" s="1" t="str">
        <x:f>IF('Inventory inputs'!I653&gt;0,'Inventory inputs'!I653*'Inventory inputs'!K653/'Inventory inputs'!J653,"n.a.")</x:f>
        <x:v>n.a.</x:v>
      </x:c>
      <x:c r="I653" s="1" t="n">
        <x:f>'Inventory inputs'!L653</x:f>
        <x:v>0</x:v>
      </x:c>
      <x:c r="J653" s="1" t="n">
        <x:f>'Inventory inputs'!M653</x:f>
        <x:v>0</x:v>
      </x:c>
      <x:c r="K653" s="1" t="n">
        <x:f>'Inventory inputs'!N653</x:f>
        <x:v>500</x:v>
      </x:c>
      <x:c r="L653" s="1" t="n">
        <x:f>'Inventory inputs'!O653</x:f>
        <x:v>0</x:v>
      </x:c>
      <x:c r="M653" s="9" t="n">
        <x:f>E653*G653</x:f>
        <x:v>42.800000000000004</x:v>
      </x:c>
      <x:c r="N653" s="9" t="n">
        <x:f>'Inventory inputs'!Q653</x:f>
        <x:v>42.800000000000004</x:v>
      </x:c>
      <x:c r="O653" s="9" t="n">
        <x:f>N653-M653</x:f>
        <x:v>0</x:v>
      </x:c>
      <x:c r="P653" s="1" t="n">
        <x:f>SUMIFS('Incoming POs'!$P$2:$P$305,'Incoming POs'!$A$2:$A$305,A653,'Incoming POs'!$B$2:$B$305,B653,'Incoming POs'!$C$2:$C$305,C653,'Incoming POs'!$G$2:$G$305,"&gt;="&amp;D653,'Incoming POs'!$G$2:$G$305,"&lt;"&amp;Dashboard!$I$5)</x:f>
        <x:v>0</x:v>
      </x:c>
      <x:c r="Q653" s="1" t="n">
        <x:f>F653*Dashboard!$L$5*MAX(0,Dashboard!$I$5-D653)/30.4375</x:f>
        <x:v>0</x:v>
      </x:c>
      <x:c r="R653" s="1" t="n">
        <x:f>MAX(0,E653+P653-Q653)</x:f>
        <x:v>500</x:v>
      </x:c>
      <x:c r="S653" s="1" t="n">
        <x:f>MAX(0,Q653-E653-P653)</x:f>
        <x:v>0</x:v>
      </x:c>
      <x:c r="T653" s="1" t="str">
        <x:f>IF(L653=1,MAX(0,I653+AB653-MIN(Q653,E653+P653)),"n.a.")</x:f>
        <x:v>n.a.</x:v>
      </x:c>
      <x:c r="U653" s="9" t="str">
        <x:f>IF(ISNUMBER(T653),T653*G653,"n.a.")</x:f>
        <x:v>n.a.</x:v>
      </x:c>
      <x:c r="V653" s="25" t="n">
        <x:f>IF(Dashboard!$I$6="Flat %",1,IF(ISNUMBER(H653),1,0))</x:f>
        <x:v>0</x:v>
      </x:c>
      <x:c r="W653" s="9" t="str">
        <x:f>IF(Dashboard!$I$6="Flat %",G653*(1+Dashboard!$L$6),H653)</x:f>
        <x:v>n.a.</x:v>
      </x:c>
      <x:c r="X653" s="9" t="str">
        <x:f>IF(V653=1,R653*(W653-G653),"n.a.")</x:f>
        <x:v>n.a.</x:v>
      </x:c>
      <x:c r="Y653" s="9" t="str">
        <x:f>IF(V653=1,R653*W653,"n.a.")</x:f>
        <x:v>n.a.</x:v>
      </x:c>
      <x:c r="Z653" s="1" t="str">
        <x:f>IF(ISNUMBER(T653),R653-T653,"n.a.")</x:f>
        <x:v>n.a.</x:v>
      </x:c>
      <x:c r="AA653" s="1" t="str">
        <x:f>'Inventory inputs'!R653</x:f>
        <x:v>Review receipt reconciliation or original PO baseline</x:v>
      </x:c>
      <x:c r="AB653" s="1" t="str">
        <x:f>IF(L653=1,SUMIFS('Incoming POs'!$P$2:$P$305,'Incoming POs'!$A$2:$A$305,A653,'Incoming POs'!$B$2:$B$305,B653,'Incoming POs'!$C$2:$C$305,C653,'Incoming POs'!$G$2:$G$305,"&gt;="&amp;D653,'Incoming POs'!$G$2:$G$305,"&lt;"&amp;Dashboard!$I$5,'Incoming POs'!$Q$2:$Q$305,"&lt;="&amp;('Inventory inputs'!P653/'Inventory inputs'!J653*1.01)),"n.a.")</x:f>
        <x:v>n.a.</x:v>
      </x:c>
      <x:c r="AC653" s="9" t="n">
        <x:f>I653*G653</x:f>
        <x:v>0</x:v>
      </x:c>
      <x:c r="AD653" s="9" t="n">
        <x:f>J653*G653</x:f>
        <x:v>0</x:v>
      </x:c>
      <x:c r="AE653" s="9" t="n">
        <x:f>K653*G653</x:f>
        <x:v>42.800000000000004</x:v>
      </x:c>
      <x:c r="AF653" s="9" t="n">
        <x:f>R653*G653</x:f>
        <x:v>42.800000000000004</x:v>
      </x:c>
    </x:row>
    <x:row r="654" ht="21" customHeight="1">
      <x:c r="A654" s="1" t="str">
        <x:f>'Inventory inputs'!A654</x:f>
        <x:v>PLAS</x:v>
      </x:c>
      <x:c r="B654" s="1" t="str">
        <x:f>'Inventory inputs'!B654</x:f>
        <x:v>10</x:v>
      </x:c>
      <x:c r="C654" s="1" t="str">
        <x:f>'Inventory inputs'!C654</x:f>
        <x:v>13415ROVNAV</x:v>
      </x:c>
      <x:c r="D654" s="7" t="n">
        <x:f>'Inventory inputs'!E654</x:f>
        <x:v>46303</x:v>
      </x:c>
      <x:c r="E654" s="1" t="n">
        <x:f>'Inventory inputs'!F654</x:f>
        <x:v>690</x:v>
      </x:c>
      <x:c r="F654" s="1" t="n">
        <x:f>'Inventory inputs'!G654</x:f>
        <x:v>0</x:v>
      </x:c>
      <x:c r="G654" s="1" t="n">
        <x:f>'Inventory inputs'!H654/'Inventory inputs'!J654</x:f>
        <x:v>0.08560000000000001</x:v>
      </x:c>
      <x:c r="H654" s="1" t="str">
        <x:f>IF('Inventory inputs'!I654&gt;0,'Inventory inputs'!I654*'Inventory inputs'!K654/'Inventory inputs'!J654,"n.a.")</x:f>
        <x:v>n.a.</x:v>
      </x:c>
      <x:c r="I654" s="1" t="n">
        <x:f>'Inventory inputs'!L654</x:f>
        <x:v>0</x:v>
      </x:c>
      <x:c r="J654" s="1" t="n">
        <x:f>'Inventory inputs'!M654</x:f>
        <x:v>0</x:v>
      </x:c>
      <x:c r="K654" s="1" t="n">
        <x:f>'Inventory inputs'!N654</x:f>
        <x:v>690</x:v>
      </x:c>
      <x:c r="L654" s="1" t="n">
        <x:f>'Inventory inputs'!O654</x:f>
        <x:v>0</x:v>
      </x:c>
      <x:c r="M654" s="9" t="n">
        <x:f>E654*G654</x:f>
        <x:v>59.06400000000001</x:v>
      </x:c>
      <x:c r="N654" s="9" t="n">
        <x:f>'Inventory inputs'!Q654</x:f>
        <x:v>59.06400000000001</x:v>
      </x:c>
      <x:c r="O654" s="9" t="n">
        <x:f>N654-M654</x:f>
        <x:v>0</x:v>
      </x:c>
      <x:c r="P654" s="1" t="n">
        <x:f>SUMIFS('Incoming POs'!$P$2:$P$305,'Incoming POs'!$A$2:$A$305,A654,'Incoming POs'!$B$2:$B$305,B654,'Incoming POs'!$C$2:$C$305,C654,'Incoming POs'!$G$2:$G$305,"&gt;="&amp;D654,'Incoming POs'!$G$2:$G$305,"&lt;"&amp;Dashboard!$I$5)</x:f>
        <x:v>0</x:v>
      </x:c>
      <x:c r="Q654" s="1" t="n">
        <x:f>F654*Dashboard!$L$5*MAX(0,Dashboard!$I$5-D654)/30.4375</x:f>
        <x:v>0</x:v>
      </x:c>
      <x:c r="R654" s="1" t="n">
        <x:f>MAX(0,E654+P654-Q654)</x:f>
        <x:v>690</x:v>
      </x:c>
      <x:c r="S654" s="1" t="n">
        <x:f>MAX(0,Q654-E654-P654)</x:f>
        <x:v>0</x:v>
      </x:c>
      <x:c r="T654" s="1" t="str">
        <x:f>IF(L654=1,MAX(0,I654+AB654-MIN(Q654,E654+P654)),"n.a.")</x:f>
        <x:v>n.a.</x:v>
      </x:c>
      <x:c r="U654" s="9" t="str">
        <x:f>IF(ISNUMBER(T654),T654*G654,"n.a.")</x:f>
        <x:v>n.a.</x:v>
      </x:c>
      <x:c r="V654" s="25" t="n">
        <x:f>IF(Dashboard!$I$6="Flat %",1,IF(ISNUMBER(H654),1,0))</x:f>
        <x:v>0</x:v>
      </x:c>
      <x:c r="W654" s="9" t="str">
        <x:f>IF(Dashboard!$I$6="Flat %",G654*(1+Dashboard!$L$6),H654)</x:f>
        <x:v>n.a.</x:v>
      </x:c>
      <x:c r="X654" s="9" t="str">
        <x:f>IF(V654=1,R654*(W654-G654),"n.a.")</x:f>
        <x:v>n.a.</x:v>
      </x:c>
      <x:c r="Y654" s="9" t="str">
        <x:f>IF(V654=1,R654*W654,"n.a.")</x:f>
        <x:v>n.a.</x:v>
      </x:c>
      <x:c r="Z654" s="1" t="str">
        <x:f>IF(ISNUMBER(T654),R654-T654,"n.a.")</x:f>
        <x:v>n.a.</x:v>
      </x:c>
      <x:c r="AA654" s="1" t="str">
        <x:f>'Inventory inputs'!R654</x:f>
        <x:v>Review receipt reconciliation or original PO baseline</x:v>
      </x:c>
      <x:c r="AB654" s="1" t="str">
        <x:f>IF(L654=1,SUMIFS('Incoming POs'!$P$2:$P$305,'Incoming POs'!$A$2:$A$305,A654,'Incoming POs'!$B$2:$B$305,B654,'Incoming POs'!$C$2:$C$305,C654,'Incoming POs'!$G$2:$G$305,"&gt;="&amp;D654,'Incoming POs'!$G$2:$G$305,"&lt;"&amp;Dashboard!$I$5,'Incoming POs'!$Q$2:$Q$305,"&lt;="&amp;('Inventory inputs'!P654/'Inventory inputs'!J654*1.01)),"n.a.")</x:f>
        <x:v>n.a.</x:v>
      </x:c>
      <x:c r="AC654" s="9" t="n">
        <x:f>I654*G654</x:f>
        <x:v>0</x:v>
      </x:c>
      <x:c r="AD654" s="9" t="n">
        <x:f>J654*G654</x:f>
        <x:v>0</x:v>
      </x:c>
      <x:c r="AE654" s="9" t="n">
        <x:f>K654*G654</x:f>
        <x:v>59.06400000000001</x:v>
      </x:c>
      <x:c r="AF654" s="9" t="n">
        <x:f>R654*G654</x:f>
        <x:v>59.06400000000001</x:v>
      </x:c>
    </x:row>
    <x:row r="655" ht="21" customHeight="1">
      <x:c r="A655" s="1" t="str">
        <x:f>'Inventory inputs'!A655</x:f>
        <x:v>PLAS</x:v>
      </x:c>
      <x:c r="B655" s="1" t="str">
        <x:f>'Inventory inputs'!B655</x:f>
        <x:v>10</x:v>
      </x:c>
      <x:c r="C655" s="1" t="str">
        <x:f>'Inventory inputs'!C655</x:f>
        <x:v>13415RSLBLU</x:v>
      </x:c>
      <x:c r="D655" s="7" t="n">
        <x:f>'Inventory inputs'!E655</x:f>
        <x:v>46303</x:v>
      </x:c>
      <x:c r="E655" s="1" t="n">
        <x:f>'Inventory inputs'!F655</x:f>
        <x:v>1000</x:v>
      </x:c>
      <x:c r="F655" s="1" t="n">
        <x:f>'Inventory inputs'!G655</x:f>
        <x:v>0</x:v>
      </x:c>
      <x:c r="G655" s="1" t="n">
        <x:f>'Inventory inputs'!H655/'Inventory inputs'!J655</x:f>
        <x:v>0.081</x:v>
      </x:c>
      <x:c r="H655" s="1" t="n">
        <x:f>IF('Inventory inputs'!I655&gt;0,'Inventory inputs'!I655*'Inventory inputs'!K655/'Inventory inputs'!J655,"n.a.")</x:f>
        <x:v>0.1176</x:v>
      </x:c>
      <x:c r="I655" s="1" t="n">
        <x:f>'Inventory inputs'!L655</x:f>
        <x:v>0</x:v>
      </x:c>
      <x:c r="J655" s="1" t="n">
        <x:f>'Inventory inputs'!M655</x:f>
        <x:v>0</x:v>
      </x:c>
      <x:c r="K655" s="1" t="n">
        <x:f>'Inventory inputs'!N655</x:f>
        <x:v>1000</x:v>
      </x:c>
      <x:c r="L655" s="1" t="n">
        <x:f>'Inventory inputs'!O655</x:f>
        <x:v>0</x:v>
      </x:c>
      <x:c r="M655" s="9" t="n">
        <x:f>E655*G655</x:f>
        <x:v>81</x:v>
      </x:c>
      <x:c r="N655" s="9" t="n">
        <x:f>'Inventory inputs'!Q655</x:f>
        <x:v>81</x:v>
      </x:c>
      <x:c r="O655" s="9" t="n">
        <x:f>N655-M655</x:f>
        <x:v>0</x:v>
      </x:c>
      <x:c r="P655" s="1" t="n">
        <x:f>SUMIFS('Incoming POs'!$P$2:$P$305,'Incoming POs'!$A$2:$A$305,A655,'Incoming POs'!$B$2:$B$305,B655,'Incoming POs'!$C$2:$C$305,C655,'Incoming POs'!$G$2:$G$305,"&gt;="&amp;D655,'Incoming POs'!$G$2:$G$305,"&lt;"&amp;Dashboard!$I$5)</x:f>
        <x:v>0</x:v>
      </x:c>
      <x:c r="Q655" s="1" t="n">
        <x:f>F655*Dashboard!$L$5*MAX(0,Dashboard!$I$5-D655)/30.4375</x:f>
        <x:v>0</x:v>
      </x:c>
      <x:c r="R655" s="1" t="n">
        <x:f>MAX(0,E655+P655-Q655)</x:f>
        <x:v>1000</x:v>
      </x:c>
      <x:c r="S655" s="1" t="n">
        <x:f>MAX(0,Q655-E655-P655)</x:f>
        <x:v>0</x:v>
      </x:c>
      <x:c r="T655" s="1" t="str">
        <x:f>IF(L655=1,MAX(0,I655+AB655-MIN(Q655,E655+P655)),"n.a.")</x:f>
        <x:v>n.a.</x:v>
      </x:c>
      <x:c r="U655" s="9" t="str">
        <x:f>IF(ISNUMBER(T655),T655*G655,"n.a.")</x:f>
        <x:v>n.a.</x:v>
      </x:c>
      <x:c r="V655" s="25" t="n">
        <x:f>IF(Dashboard!$I$6="Flat %",1,IF(ISNUMBER(H655),1,0))</x:f>
        <x:v>1</x:v>
      </x:c>
      <x:c r="W655" s="9" t="n">
        <x:f>IF(Dashboard!$I$6="Flat %",G655*(1+Dashboard!$L$6),H655)</x:f>
        <x:v>0.1176</x:v>
      </x:c>
      <x:c r="X655" s="9" t="n">
        <x:f>IF(V655=1,R655*(W655-G655),"n.a.")</x:f>
        <x:v>36.599999999999994</x:v>
      </x:c>
      <x:c r="Y655" s="9" t="n">
        <x:f>IF(V655=1,R655*W655,"n.a.")</x:f>
        <x:v>117.6</x:v>
      </x:c>
      <x:c r="Z655" s="1" t="str">
        <x:f>IF(ISNUMBER(T655),R655-T655,"n.a.")</x:f>
        <x:v>n.a.</x:v>
      </x:c>
      <x:c r="AA655" s="1" t="str">
        <x:f>'Inventory inputs'!R655</x:f>
        <x:v>Review receipt reconciliation or original PO baseline</x:v>
      </x:c>
      <x:c r="AB655" s="1" t="str">
        <x:f>IF(L655=1,SUMIFS('Incoming POs'!$P$2:$P$305,'Incoming POs'!$A$2:$A$305,A655,'Incoming POs'!$B$2:$B$305,B655,'Incoming POs'!$C$2:$C$305,C655,'Incoming POs'!$G$2:$G$305,"&gt;="&amp;D655,'Incoming POs'!$G$2:$G$305,"&lt;"&amp;Dashboard!$I$5,'Incoming POs'!$Q$2:$Q$305,"&lt;="&amp;('Inventory inputs'!P655/'Inventory inputs'!J655*1.01)),"n.a.")</x:f>
        <x:v>n.a.</x:v>
      </x:c>
      <x:c r="AC655" s="9" t="n">
        <x:f>I655*G655</x:f>
        <x:v>0</x:v>
      </x:c>
      <x:c r="AD655" s="9" t="n">
        <x:f>J655*G655</x:f>
        <x:v>0</x:v>
      </x:c>
      <x:c r="AE655" s="9" t="n">
        <x:f>K655*G655</x:f>
        <x:v>81</x:v>
      </x:c>
      <x:c r="AF655" s="9" t="n">
        <x:f>R655*G655</x:f>
        <x:v>81</x:v>
      </x:c>
    </x:row>
    <x:row r="656" ht="21" customHeight="1">
      <x:c r="A656" s="1" t="str">
        <x:f>'Inventory inputs'!A656</x:f>
        <x:v>PLAS</x:v>
      </x:c>
      <x:c r="B656" s="1" t="str">
        <x:f>'Inventory inputs'!B656</x:f>
        <x:v>10</x:v>
      </x:c>
      <x:c r="C656" s="1" t="str">
        <x:f>'Inventory inputs'!C656</x:f>
        <x:v>13415RSLBRN</x:v>
      </x:c>
      <x:c r="D656" s="7" t="n">
        <x:f>'Inventory inputs'!E656</x:f>
        <x:v>46303</x:v>
      </x:c>
      <x:c r="E656" s="1" t="n">
        <x:f>'Inventory inputs'!F656</x:f>
        <x:v>2500</x:v>
      </x:c>
      <x:c r="F656" s="1" t="n">
        <x:f>'Inventory inputs'!G656</x:f>
        <x:v>0</x:v>
      </x:c>
      <x:c r="G656" s="1" t="n">
        <x:f>'Inventory inputs'!H656/'Inventory inputs'!J656</x:f>
        <x:v>0.081</x:v>
      </x:c>
      <x:c r="H656" s="1" t="str">
        <x:f>IF('Inventory inputs'!I656&gt;0,'Inventory inputs'!I656*'Inventory inputs'!K656/'Inventory inputs'!J656,"n.a.")</x:f>
        <x:v>n.a.</x:v>
      </x:c>
      <x:c r="I656" s="1" t="n">
        <x:f>'Inventory inputs'!L656</x:f>
        <x:v>0</x:v>
      </x:c>
      <x:c r="J656" s="1" t="n">
        <x:f>'Inventory inputs'!M656</x:f>
        <x:v>0</x:v>
      </x:c>
      <x:c r="K656" s="1" t="n">
        <x:f>'Inventory inputs'!N656</x:f>
        <x:v>2500</x:v>
      </x:c>
      <x:c r="L656" s="1" t="n">
        <x:f>'Inventory inputs'!O656</x:f>
        <x:v>0</x:v>
      </x:c>
      <x:c r="M656" s="9" t="n">
        <x:f>E656*G656</x:f>
        <x:v>202.5</x:v>
      </x:c>
      <x:c r="N656" s="9" t="n">
        <x:f>'Inventory inputs'!Q656</x:f>
        <x:v>202.5</x:v>
      </x:c>
      <x:c r="O656" s="9" t="n">
        <x:f>N656-M656</x:f>
        <x:v>0</x:v>
      </x:c>
      <x:c r="P656" s="1" t="n">
        <x:f>SUMIFS('Incoming POs'!$P$2:$P$305,'Incoming POs'!$A$2:$A$305,A656,'Incoming POs'!$B$2:$B$305,B656,'Incoming POs'!$C$2:$C$305,C656,'Incoming POs'!$G$2:$G$305,"&gt;="&amp;D656,'Incoming POs'!$G$2:$G$305,"&lt;"&amp;Dashboard!$I$5)</x:f>
        <x:v>0</x:v>
      </x:c>
      <x:c r="Q656" s="1" t="n">
        <x:f>F656*Dashboard!$L$5*MAX(0,Dashboard!$I$5-D656)/30.4375</x:f>
        <x:v>0</x:v>
      </x:c>
      <x:c r="R656" s="1" t="n">
        <x:f>MAX(0,E656+P656-Q656)</x:f>
        <x:v>2500</x:v>
      </x:c>
      <x:c r="S656" s="1" t="n">
        <x:f>MAX(0,Q656-E656-P656)</x:f>
        <x:v>0</x:v>
      </x:c>
      <x:c r="T656" s="1" t="str">
        <x:f>IF(L656=1,MAX(0,I656+AB656-MIN(Q656,E656+P656)),"n.a.")</x:f>
        <x:v>n.a.</x:v>
      </x:c>
      <x:c r="U656" s="9" t="str">
        <x:f>IF(ISNUMBER(T656),T656*G656,"n.a.")</x:f>
        <x:v>n.a.</x:v>
      </x:c>
      <x:c r="V656" s="25" t="n">
        <x:f>IF(Dashboard!$I$6="Flat %",1,IF(ISNUMBER(H656),1,0))</x:f>
        <x:v>0</x:v>
      </x:c>
      <x:c r="W656" s="9" t="str">
        <x:f>IF(Dashboard!$I$6="Flat %",G656*(1+Dashboard!$L$6),H656)</x:f>
        <x:v>n.a.</x:v>
      </x:c>
      <x:c r="X656" s="9" t="str">
        <x:f>IF(V656=1,R656*(W656-G656),"n.a.")</x:f>
        <x:v>n.a.</x:v>
      </x:c>
      <x:c r="Y656" s="9" t="str">
        <x:f>IF(V656=1,R656*W656,"n.a.")</x:f>
        <x:v>n.a.</x:v>
      </x:c>
      <x:c r="Z656" s="1" t="str">
        <x:f>IF(ISNUMBER(T656),R656-T656,"n.a.")</x:f>
        <x:v>n.a.</x:v>
      </x:c>
      <x:c r="AA656" s="1" t="str">
        <x:f>'Inventory inputs'!R656</x:f>
        <x:v>Review receipt reconciliation or original PO baseline</x:v>
      </x:c>
      <x:c r="AB656" s="1" t="str">
        <x:f>IF(L656=1,SUMIFS('Incoming POs'!$P$2:$P$305,'Incoming POs'!$A$2:$A$305,A656,'Incoming POs'!$B$2:$B$305,B656,'Incoming POs'!$C$2:$C$305,C656,'Incoming POs'!$G$2:$G$305,"&gt;="&amp;D656,'Incoming POs'!$G$2:$G$305,"&lt;"&amp;Dashboard!$I$5,'Incoming POs'!$Q$2:$Q$305,"&lt;="&amp;('Inventory inputs'!P656/'Inventory inputs'!J656*1.01)),"n.a.")</x:f>
        <x:v>n.a.</x:v>
      </x:c>
      <x:c r="AC656" s="9" t="n">
        <x:f>I656*G656</x:f>
        <x:v>0</x:v>
      </x:c>
      <x:c r="AD656" s="9" t="n">
        <x:f>J656*G656</x:f>
        <x:v>0</x:v>
      </x:c>
      <x:c r="AE656" s="9" t="n">
        <x:f>K656*G656</x:f>
        <x:v>202.5</x:v>
      </x:c>
      <x:c r="AF656" s="9" t="n">
        <x:f>R656*G656</x:f>
        <x:v>202.5</x:v>
      </x:c>
    </x:row>
    <x:row r="657" ht="21" customHeight="1">
      <x:c r="A657" s="1" t="str">
        <x:f>'Inventory inputs'!A657</x:f>
        <x:v>PLAS</x:v>
      </x:c>
      <x:c r="B657" s="1" t="str">
        <x:f>'Inventory inputs'!B657</x:f>
        <x:v>10</x:v>
      </x:c>
      <x:c r="C657" s="1" t="str">
        <x:f>'Inventory inputs'!C657</x:f>
        <x:v>13415RSLCLR</x:v>
      </x:c>
      <x:c r="D657" s="7" t="n">
        <x:f>'Inventory inputs'!E657</x:f>
        <x:v>46303</x:v>
      </x:c>
      <x:c r="E657" s="1" t="n">
        <x:f>'Inventory inputs'!F657</x:f>
        <x:v>500</x:v>
      </x:c>
      <x:c r="F657" s="1" t="n">
        <x:f>'Inventory inputs'!G657</x:f>
        <x:v>0</x:v>
      </x:c>
      <x:c r="G657" s="1" t="n">
        <x:f>'Inventory inputs'!H657/'Inventory inputs'!J657</x:f>
        <x:v>0.081</x:v>
      </x:c>
      <x:c r="H657" s="1" t="n">
        <x:f>IF('Inventory inputs'!I657&gt;0,'Inventory inputs'!I657*'Inventory inputs'!K657/'Inventory inputs'!J657,"n.a.")</x:f>
        <x:v>0.1176</x:v>
      </x:c>
      <x:c r="I657" s="1" t="n">
        <x:f>'Inventory inputs'!L657</x:f>
        <x:v>0</x:v>
      </x:c>
      <x:c r="J657" s="1" t="n">
        <x:f>'Inventory inputs'!M657</x:f>
        <x:v>0</x:v>
      </x:c>
      <x:c r="K657" s="1" t="n">
        <x:f>'Inventory inputs'!N657</x:f>
        <x:v>500</x:v>
      </x:c>
      <x:c r="L657" s="1" t="n">
        <x:f>'Inventory inputs'!O657</x:f>
        <x:v>0</x:v>
      </x:c>
      <x:c r="M657" s="9" t="n">
        <x:f>E657*G657</x:f>
        <x:v>40.5</x:v>
      </x:c>
      <x:c r="N657" s="9" t="n">
        <x:f>'Inventory inputs'!Q657</x:f>
        <x:v>40.5</x:v>
      </x:c>
      <x:c r="O657" s="9" t="n">
        <x:f>N657-M657</x:f>
        <x:v>0</x:v>
      </x:c>
      <x:c r="P657" s="1" t="n">
        <x:f>SUMIFS('Incoming POs'!$P$2:$P$305,'Incoming POs'!$A$2:$A$305,A657,'Incoming POs'!$B$2:$B$305,B657,'Incoming POs'!$C$2:$C$305,C657,'Incoming POs'!$G$2:$G$305,"&gt;="&amp;D657,'Incoming POs'!$G$2:$G$305,"&lt;"&amp;Dashboard!$I$5)</x:f>
        <x:v>0</x:v>
      </x:c>
      <x:c r="Q657" s="1" t="n">
        <x:f>F657*Dashboard!$L$5*MAX(0,Dashboard!$I$5-D657)/30.4375</x:f>
        <x:v>0</x:v>
      </x:c>
      <x:c r="R657" s="1" t="n">
        <x:f>MAX(0,E657+P657-Q657)</x:f>
        <x:v>500</x:v>
      </x:c>
      <x:c r="S657" s="1" t="n">
        <x:f>MAX(0,Q657-E657-P657)</x:f>
        <x:v>0</x:v>
      </x:c>
      <x:c r="T657" s="1" t="str">
        <x:f>IF(L657=1,MAX(0,I657+AB657-MIN(Q657,E657+P657)),"n.a.")</x:f>
        <x:v>n.a.</x:v>
      </x:c>
      <x:c r="U657" s="9" t="str">
        <x:f>IF(ISNUMBER(T657),T657*G657,"n.a.")</x:f>
        <x:v>n.a.</x:v>
      </x:c>
      <x:c r="V657" s="25" t="n">
        <x:f>IF(Dashboard!$I$6="Flat %",1,IF(ISNUMBER(H657),1,0))</x:f>
        <x:v>1</x:v>
      </x:c>
      <x:c r="W657" s="9" t="n">
        <x:f>IF(Dashboard!$I$6="Flat %",G657*(1+Dashboard!$L$6),H657)</x:f>
        <x:v>0.1176</x:v>
      </x:c>
      <x:c r="X657" s="9" t="n">
        <x:f>IF(V657=1,R657*(W657-G657),"n.a.")</x:f>
        <x:v>18.299999999999997</x:v>
      </x:c>
      <x:c r="Y657" s="9" t="n">
        <x:f>IF(V657=1,R657*W657,"n.a.")</x:f>
        <x:v>58.8</x:v>
      </x:c>
      <x:c r="Z657" s="1" t="str">
        <x:f>IF(ISNUMBER(T657),R657-T657,"n.a.")</x:f>
        <x:v>n.a.</x:v>
      </x:c>
      <x:c r="AA657" s="1" t="str">
        <x:f>'Inventory inputs'!R657</x:f>
        <x:v>Review receipt reconciliation or original PO baseline</x:v>
      </x:c>
      <x:c r="AB657" s="1" t="str">
        <x:f>IF(L657=1,SUMIFS('Incoming POs'!$P$2:$P$305,'Incoming POs'!$A$2:$A$305,A657,'Incoming POs'!$B$2:$B$305,B657,'Incoming POs'!$C$2:$C$305,C657,'Incoming POs'!$G$2:$G$305,"&gt;="&amp;D657,'Incoming POs'!$G$2:$G$305,"&lt;"&amp;Dashboard!$I$5,'Incoming POs'!$Q$2:$Q$305,"&lt;="&amp;('Inventory inputs'!P657/'Inventory inputs'!J657*1.01)),"n.a.")</x:f>
        <x:v>n.a.</x:v>
      </x:c>
      <x:c r="AC657" s="9" t="n">
        <x:f>I657*G657</x:f>
        <x:v>0</x:v>
      </x:c>
      <x:c r="AD657" s="9" t="n">
        <x:f>J657*G657</x:f>
        <x:v>0</x:v>
      </x:c>
      <x:c r="AE657" s="9" t="n">
        <x:f>K657*G657</x:f>
        <x:v>40.5</x:v>
      </x:c>
      <x:c r="AF657" s="9" t="n">
        <x:f>R657*G657</x:f>
        <x:v>40.5</x:v>
      </x:c>
    </x:row>
    <x:row r="658" ht="21" customHeight="1">
      <x:c r="A658" s="1" t="str">
        <x:f>'Inventory inputs'!A658</x:f>
        <x:v>PLAS</x:v>
      </x:c>
      <x:c r="B658" s="1" t="str">
        <x:f>'Inventory inputs'!B658</x:f>
        <x:v>10</x:v>
      </x:c>
      <x:c r="C658" s="1" t="str">
        <x:f>'Inventory inputs'!C658</x:f>
        <x:v>13415RSLNAV</x:v>
      </x:c>
      <x:c r="D658" s="7" t="n">
        <x:f>'Inventory inputs'!E658</x:f>
        <x:v>46303</x:v>
      </x:c>
      <x:c r="E658" s="1" t="n">
        <x:f>'Inventory inputs'!F658</x:f>
        <x:v>1595</x:v>
      </x:c>
      <x:c r="F658" s="1" t="n">
        <x:f>'Inventory inputs'!G658</x:f>
        <x:v>0</x:v>
      </x:c>
      <x:c r="G658" s="1" t="n">
        <x:f>'Inventory inputs'!H658/'Inventory inputs'!J658</x:f>
        <x:v>0.081</x:v>
      </x:c>
      <x:c r="H658" s="1" t="n">
        <x:f>IF('Inventory inputs'!I658&gt;0,'Inventory inputs'!I658*'Inventory inputs'!K658/'Inventory inputs'!J658,"n.a.")</x:f>
        <x:v>0.1176</x:v>
      </x:c>
      <x:c r="I658" s="1" t="n">
        <x:f>'Inventory inputs'!L658</x:f>
        <x:v>0</x:v>
      </x:c>
      <x:c r="J658" s="1" t="n">
        <x:f>'Inventory inputs'!M658</x:f>
        <x:v>0</x:v>
      </x:c>
      <x:c r="K658" s="1" t="n">
        <x:f>'Inventory inputs'!N658</x:f>
        <x:v>1595</x:v>
      </x:c>
      <x:c r="L658" s="1" t="n">
        <x:f>'Inventory inputs'!O658</x:f>
        <x:v>0</x:v>
      </x:c>
      <x:c r="M658" s="9" t="n">
        <x:f>E658*G658</x:f>
        <x:v>129.195</x:v>
      </x:c>
      <x:c r="N658" s="9" t="n">
        <x:f>'Inventory inputs'!Q658</x:f>
        <x:v>129.195</x:v>
      </x:c>
      <x:c r="O658" s="9" t="n">
        <x:f>N658-M658</x:f>
        <x:v>0</x:v>
      </x:c>
      <x:c r="P658" s="1" t="n">
        <x:f>SUMIFS('Incoming POs'!$P$2:$P$305,'Incoming POs'!$A$2:$A$305,A658,'Incoming POs'!$B$2:$B$305,B658,'Incoming POs'!$C$2:$C$305,C658,'Incoming POs'!$G$2:$G$305,"&gt;="&amp;D658,'Incoming POs'!$G$2:$G$305,"&lt;"&amp;Dashboard!$I$5)</x:f>
        <x:v>0</x:v>
      </x:c>
      <x:c r="Q658" s="1" t="n">
        <x:f>F658*Dashboard!$L$5*MAX(0,Dashboard!$I$5-D658)/30.4375</x:f>
        <x:v>0</x:v>
      </x:c>
      <x:c r="R658" s="1" t="n">
        <x:f>MAX(0,E658+P658-Q658)</x:f>
        <x:v>1595</x:v>
      </x:c>
      <x:c r="S658" s="1" t="n">
        <x:f>MAX(0,Q658-E658-P658)</x:f>
        <x:v>0</x:v>
      </x:c>
      <x:c r="T658" s="1" t="str">
        <x:f>IF(L658=1,MAX(0,I658+AB658-MIN(Q658,E658+P658)),"n.a.")</x:f>
        <x:v>n.a.</x:v>
      </x:c>
      <x:c r="U658" s="9" t="str">
        <x:f>IF(ISNUMBER(T658),T658*G658,"n.a.")</x:f>
        <x:v>n.a.</x:v>
      </x:c>
      <x:c r="V658" s="25" t="n">
        <x:f>IF(Dashboard!$I$6="Flat %",1,IF(ISNUMBER(H658),1,0))</x:f>
        <x:v>1</x:v>
      </x:c>
      <x:c r="W658" s="9" t="n">
        <x:f>IF(Dashboard!$I$6="Flat %",G658*(1+Dashboard!$L$6),H658)</x:f>
        <x:v>0.1176</x:v>
      </x:c>
      <x:c r="X658" s="9" t="n">
        <x:f>IF(V658=1,R658*(W658-G658),"n.a.")</x:f>
        <x:v>58.37699999999999</x:v>
      </x:c>
      <x:c r="Y658" s="9" t="n">
        <x:f>IF(V658=1,R658*W658,"n.a.")</x:f>
        <x:v>187.572</x:v>
      </x:c>
      <x:c r="Z658" s="1" t="str">
        <x:f>IF(ISNUMBER(T658),R658-T658,"n.a.")</x:f>
        <x:v>n.a.</x:v>
      </x:c>
      <x:c r="AA658" s="1" t="str">
        <x:f>'Inventory inputs'!R658</x:f>
        <x:v>Review receipt reconciliation or original PO baseline</x:v>
      </x:c>
      <x:c r="AB658" s="1" t="str">
        <x:f>IF(L658=1,SUMIFS('Incoming POs'!$P$2:$P$305,'Incoming POs'!$A$2:$A$305,A658,'Incoming POs'!$B$2:$B$305,B658,'Incoming POs'!$C$2:$C$305,C658,'Incoming POs'!$G$2:$G$305,"&gt;="&amp;D658,'Incoming POs'!$G$2:$G$305,"&lt;"&amp;Dashboard!$I$5,'Incoming POs'!$Q$2:$Q$305,"&lt;="&amp;('Inventory inputs'!P658/'Inventory inputs'!J658*1.01)),"n.a.")</x:f>
        <x:v>n.a.</x:v>
      </x:c>
      <x:c r="AC658" s="9" t="n">
        <x:f>I658*G658</x:f>
        <x:v>0</x:v>
      </x:c>
      <x:c r="AD658" s="9" t="n">
        <x:f>J658*G658</x:f>
        <x:v>0</x:v>
      </x:c>
      <x:c r="AE658" s="9" t="n">
        <x:f>K658*G658</x:f>
        <x:v>129.195</x:v>
      </x:c>
      <x:c r="AF658" s="9" t="n">
        <x:f>R658*G658</x:f>
        <x:v>129.195</x:v>
      </x:c>
    </x:row>
    <x:row r="659" ht="21" customHeight="1">
      <x:c r="A659" s="1" t="str">
        <x:f>'Inventory inputs'!A659</x:f>
        <x:v>PLAS</x:v>
      </x:c>
      <x:c r="B659" s="1" t="str">
        <x:f>'Inventory inputs'!B659</x:f>
        <x:v>10</x:v>
      </x:c>
      <x:c r="C659" s="1" t="str">
        <x:f>'Inventory inputs'!C659</x:f>
        <x:v>13416RSLBLK</x:v>
      </x:c>
      <x:c r="D659" s="7" t="n">
        <x:f>'Inventory inputs'!E659</x:f>
        <x:v>46303</x:v>
      </x:c>
      <x:c r="E659" s="1" t="n">
        <x:f>'Inventory inputs'!F659</x:f>
        <x:v>1300</x:v>
      </x:c>
      <x:c r="F659" s="1" t="n">
        <x:f>'Inventory inputs'!G659</x:f>
        <x:v>0</x:v>
      </x:c>
      <x:c r="G659" s="1" t="n">
        <x:f>'Inventory inputs'!H659/'Inventory inputs'!J659</x:f>
        <x:v>0.0866</x:v>
      </x:c>
      <x:c r="H659" s="1" t="str">
        <x:f>IF('Inventory inputs'!I659&gt;0,'Inventory inputs'!I659*'Inventory inputs'!K659/'Inventory inputs'!J659,"n.a.")</x:f>
        <x:v>n.a.</x:v>
      </x:c>
      <x:c r="I659" s="1" t="n">
        <x:f>'Inventory inputs'!L659</x:f>
        <x:v>0</x:v>
      </x:c>
      <x:c r="J659" s="1" t="n">
        <x:f>'Inventory inputs'!M659</x:f>
        <x:v>0</x:v>
      </x:c>
      <x:c r="K659" s="1" t="n">
        <x:f>'Inventory inputs'!N659</x:f>
        <x:v>1300</x:v>
      </x:c>
      <x:c r="L659" s="1" t="n">
        <x:f>'Inventory inputs'!O659</x:f>
        <x:v>0</x:v>
      </x:c>
      <x:c r="M659" s="9" t="n">
        <x:f>E659*G659</x:f>
        <x:v>112.58</x:v>
      </x:c>
      <x:c r="N659" s="9" t="n">
        <x:f>'Inventory inputs'!Q659</x:f>
        <x:v>112.58</x:v>
      </x:c>
      <x:c r="O659" s="9" t="n">
        <x:f>N659-M659</x:f>
        <x:v>0</x:v>
      </x:c>
      <x:c r="P659" s="1" t="n">
        <x:f>SUMIFS('Incoming POs'!$P$2:$P$305,'Incoming POs'!$A$2:$A$305,A659,'Incoming POs'!$B$2:$B$305,B659,'Incoming POs'!$C$2:$C$305,C659,'Incoming POs'!$G$2:$G$305,"&gt;="&amp;D659,'Incoming POs'!$G$2:$G$305,"&lt;"&amp;Dashboard!$I$5)</x:f>
        <x:v>0</x:v>
      </x:c>
      <x:c r="Q659" s="1" t="n">
        <x:f>F659*Dashboard!$L$5*MAX(0,Dashboard!$I$5-D659)/30.4375</x:f>
        <x:v>0</x:v>
      </x:c>
      <x:c r="R659" s="1" t="n">
        <x:f>MAX(0,E659+P659-Q659)</x:f>
        <x:v>1300</x:v>
      </x:c>
      <x:c r="S659" s="1" t="n">
        <x:f>MAX(0,Q659-E659-P659)</x:f>
        <x:v>0</x:v>
      </x:c>
      <x:c r="T659" s="1" t="str">
        <x:f>IF(L659=1,MAX(0,I659+AB659-MIN(Q659,E659+P659)),"n.a.")</x:f>
        <x:v>n.a.</x:v>
      </x:c>
      <x:c r="U659" s="9" t="str">
        <x:f>IF(ISNUMBER(T659),T659*G659,"n.a.")</x:f>
        <x:v>n.a.</x:v>
      </x:c>
      <x:c r="V659" s="25" t="n">
        <x:f>IF(Dashboard!$I$6="Flat %",1,IF(ISNUMBER(H659),1,0))</x:f>
        <x:v>0</x:v>
      </x:c>
      <x:c r="W659" s="9" t="str">
        <x:f>IF(Dashboard!$I$6="Flat %",G659*(1+Dashboard!$L$6),H659)</x:f>
        <x:v>n.a.</x:v>
      </x:c>
      <x:c r="X659" s="9" t="str">
        <x:f>IF(V659=1,R659*(W659-G659),"n.a.")</x:f>
        <x:v>n.a.</x:v>
      </x:c>
      <x:c r="Y659" s="9" t="str">
        <x:f>IF(V659=1,R659*W659,"n.a.")</x:f>
        <x:v>n.a.</x:v>
      </x:c>
      <x:c r="Z659" s="1" t="str">
        <x:f>IF(ISNUMBER(T659),R659-T659,"n.a.")</x:f>
        <x:v>n.a.</x:v>
      </x:c>
      <x:c r="AA659" s="1" t="str">
        <x:f>'Inventory inputs'!R659</x:f>
        <x:v>Review receipt reconciliation or original PO baseline</x:v>
      </x:c>
      <x:c r="AB659" s="1" t="str">
        <x:f>IF(L659=1,SUMIFS('Incoming POs'!$P$2:$P$305,'Incoming POs'!$A$2:$A$305,A659,'Incoming POs'!$B$2:$B$305,B659,'Incoming POs'!$C$2:$C$305,C659,'Incoming POs'!$G$2:$G$305,"&gt;="&amp;D659,'Incoming POs'!$G$2:$G$305,"&lt;"&amp;Dashboard!$I$5,'Incoming POs'!$Q$2:$Q$305,"&lt;="&amp;('Inventory inputs'!P659/'Inventory inputs'!J659*1.01)),"n.a.")</x:f>
        <x:v>n.a.</x:v>
      </x:c>
      <x:c r="AC659" s="9" t="n">
        <x:f>I659*G659</x:f>
        <x:v>0</x:v>
      </x:c>
      <x:c r="AD659" s="9" t="n">
        <x:f>J659*G659</x:f>
        <x:v>0</x:v>
      </x:c>
      <x:c r="AE659" s="9" t="n">
        <x:f>K659*G659</x:f>
        <x:v>112.58</x:v>
      </x:c>
      <x:c r="AF659" s="9" t="n">
        <x:f>R659*G659</x:f>
        <x:v>112.58</x:v>
      </x:c>
    </x:row>
    <x:row r="660" ht="21" customHeight="1">
      <x:c r="A660" s="1" t="str">
        <x:f>'Inventory inputs'!A660</x:f>
        <x:v>PLAS</x:v>
      </x:c>
      <x:c r="B660" s="1" t="str">
        <x:f>'Inventory inputs'!B660</x:f>
        <x:v>10</x:v>
      </x:c>
      <x:c r="C660" s="1" t="str">
        <x:f>'Inventory inputs'!C660</x:f>
        <x:v>13421RSLWHT</x:v>
      </x:c>
      <x:c r="D660" s="7" t="n">
        <x:f>'Inventory inputs'!E660</x:f>
        <x:v>46303</x:v>
      </x:c>
      <x:c r="E660" s="1" t="n">
        <x:f>'Inventory inputs'!F660</x:f>
        <x:v>1800</x:v>
      </x:c>
      <x:c r="F660" s="1" t="n">
        <x:f>'Inventory inputs'!G660</x:f>
        <x:v>0</x:v>
      </x:c>
      <x:c r="G660" s="1" t="n">
        <x:f>'Inventory inputs'!H660/'Inventory inputs'!J660</x:f>
        <x:v>0.1421</x:v>
      </x:c>
      <x:c r="H660" s="1" t="n">
        <x:f>IF('Inventory inputs'!I660&gt;0,'Inventory inputs'!I660*'Inventory inputs'!K660/'Inventory inputs'!J660,"n.a.")</x:f>
        <x:v>0.16625700000000002</x:v>
      </x:c>
      <x:c r="I660" s="1" t="n">
        <x:f>'Inventory inputs'!L660</x:f>
        <x:v>0</x:v>
      </x:c>
      <x:c r="J660" s="1" t="n">
        <x:f>'Inventory inputs'!M660</x:f>
        <x:v>0</x:v>
      </x:c>
      <x:c r="K660" s="1" t="n">
        <x:f>'Inventory inputs'!N660</x:f>
        <x:v>1800</x:v>
      </x:c>
      <x:c r="L660" s="1" t="n">
        <x:f>'Inventory inputs'!O660</x:f>
        <x:v>0</x:v>
      </x:c>
      <x:c r="M660" s="9" t="n">
        <x:f>E660*G660</x:f>
        <x:v>255.78</x:v>
      </x:c>
      <x:c r="N660" s="9" t="n">
        <x:f>'Inventory inputs'!Q660</x:f>
        <x:v>255.78</x:v>
      </x:c>
      <x:c r="O660" s="9" t="n">
        <x:f>N660-M660</x:f>
        <x:v>0</x:v>
      </x:c>
      <x:c r="P660" s="1" t="n">
        <x:f>SUMIFS('Incoming POs'!$P$2:$P$305,'Incoming POs'!$A$2:$A$305,A660,'Incoming POs'!$B$2:$B$305,B660,'Incoming POs'!$C$2:$C$305,C660,'Incoming POs'!$G$2:$G$305,"&gt;="&amp;D660,'Incoming POs'!$G$2:$G$305,"&lt;"&amp;Dashboard!$I$5)</x:f>
        <x:v>0</x:v>
      </x:c>
      <x:c r="Q660" s="1" t="n">
        <x:f>F660*Dashboard!$L$5*MAX(0,Dashboard!$I$5-D660)/30.4375</x:f>
        <x:v>0</x:v>
      </x:c>
      <x:c r="R660" s="1" t="n">
        <x:f>MAX(0,E660+P660-Q660)</x:f>
        <x:v>1800</x:v>
      </x:c>
      <x:c r="S660" s="1" t="n">
        <x:f>MAX(0,Q660-E660-P660)</x:f>
        <x:v>0</x:v>
      </x:c>
      <x:c r="T660" s="1" t="str">
        <x:f>IF(L660=1,MAX(0,I660+AB660-MIN(Q660,E660+P660)),"n.a.")</x:f>
        <x:v>n.a.</x:v>
      </x:c>
      <x:c r="U660" s="9" t="str">
        <x:f>IF(ISNUMBER(T660),T660*G660,"n.a.")</x:f>
        <x:v>n.a.</x:v>
      </x:c>
      <x:c r="V660" s="25" t="n">
        <x:f>IF(Dashboard!$I$6="Flat %",1,IF(ISNUMBER(H660),1,0))</x:f>
        <x:v>1</x:v>
      </x:c>
      <x:c r="W660" s="9" t="n">
        <x:f>IF(Dashboard!$I$6="Flat %",G660*(1+Dashboard!$L$6),H660)</x:f>
        <x:v>0.16625700000000002</x:v>
      </x:c>
      <x:c r="X660" s="9" t="n">
        <x:f>IF(V660=1,R660*(W660-G660),"n.a.")</x:f>
        <x:v>43.48260000000002</x:v>
      </x:c>
      <x:c r="Y660" s="9" t="n">
        <x:f>IF(V660=1,R660*W660,"n.a.")</x:f>
        <x:v>299.2626</x:v>
      </x:c>
      <x:c r="Z660" s="1" t="str">
        <x:f>IF(ISNUMBER(T660),R660-T660,"n.a.")</x:f>
        <x:v>n.a.</x:v>
      </x:c>
      <x:c r="AA660" s="1" t="str">
        <x:f>'Inventory inputs'!R660</x:f>
        <x:v>Review receipt reconciliation or original PO baseline</x:v>
      </x:c>
      <x:c r="AB660" s="1" t="str">
        <x:f>IF(L660=1,SUMIFS('Incoming POs'!$P$2:$P$305,'Incoming POs'!$A$2:$A$305,A660,'Incoming POs'!$B$2:$B$305,B660,'Incoming POs'!$C$2:$C$305,C660,'Incoming POs'!$G$2:$G$305,"&gt;="&amp;D660,'Incoming POs'!$G$2:$G$305,"&lt;"&amp;Dashboard!$I$5,'Incoming POs'!$Q$2:$Q$305,"&lt;="&amp;('Inventory inputs'!P660/'Inventory inputs'!J660*1.01)),"n.a.")</x:f>
        <x:v>n.a.</x:v>
      </x:c>
      <x:c r="AC660" s="9" t="n">
        <x:f>I660*G660</x:f>
        <x:v>0</x:v>
      </x:c>
      <x:c r="AD660" s="9" t="n">
        <x:f>J660*G660</x:f>
        <x:v>0</x:v>
      </x:c>
      <x:c r="AE660" s="9" t="n">
        <x:f>K660*G660</x:f>
        <x:v>255.78</x:v>
      </x:c>
      <x:c r="AF660" s="9" t="n">
        <x:f>R660*G660</x:f>
        <x:v>255.78</x:v>
      </x:c>
    </x:row>
    <x:row r="661" ht="21" customHeight="1">
      <x:c r="A661" s="1" t="str">
        <x:f>'Inventory inputs'!A661</x:f>
        <x:v>PLAS</x:v>
      </x:c>
      <x:c r="B661" s="1" t="str">
        <x:f>'Inventory inputs'!B661</x:f>
        <x:v>10</x:v>
      </x:c>
      <x:c r="C661" s="1" t="str">
        <x:f>'Inventory inputs'!C661</x:f>
        <x:v>13480ROVBLK</x:v>
      </x:c>
      <x:c r="D661" s="7" t="n">
        <x:f>'Inventory inputs'!E661</x:f>
        <x:v>46303</x:v>
      </x:c>
      <x:c r="E661" s="1" t="n">
        <x:f>'Inventory inputs'!F661</x:f>
        <x:v>1674</x:v>
      </x:c>
      <x:c r="F661" s="1" t="n">
        <x:f>'Inventory inputs'!G661</x:f>
        <x:v>0</x:v>
      </x:c>
      <x:c r="G661" s="1" t="n">
        <x:f>'Inventory inputs'!H661/'Inventory inputs'!J661</x:f>
        <x:v>0.49340000000000006</x:v>
      </x:c>
      <x:c r="H661" s="1" t="n">
        <x:f>IF('Inventory inputs'!I661&gt;0,'Inventory inputs'!I661*'Inventory inputs'!K661/'Inventory inputs'!J661,"n.a.")</x:f>
        <x:v>0.733383</x:v>
      </x:c>
      <x:c r="I661" s="1" t="n">
        <x:f>'Inventory inputs'!L661</x:f>
        <x:v>0</x:v>
      </x:c>
      <x:c r="J661" s="1" t="n">
        <x:f>'Inventory inputs'!M661</x:f>
        <x:v>0</x:v>
      </x:c>
      <x:c r="K661" s="1" t="n">
        <x:f>'Inventory inputs'!N661</x:f>
        <x:v>1674</x:v>
      </x:c>
      <x:c r="L661" s="1" t="n">
        <x:f>'Inventory inputs'!O661</x:f>
        <x:v>0</x:v>
      </x:c>
      <x:c r="M661" s="9" t="n">
        <x:f>E661*G661</x:f>
        <x:v>825.9516000000001</x:v>
      </x:c>
      <x:c r="N661" s="9" t="n">
        <x:f>'Inventory inputs'!Q661</x:f>
        <x:v>825.9516000000001</x:v>
      </x:c>
      <x:c r="O661" s="9" t="n">
        <x:f>N661-M661</x:f>
        <x:v>0</x:v>
      </x:c>
      <x:c r="P661" s="1" t="n">
        <x:f>SUMIFS('Incoming POs'!$P$2:$P$305,'Incoming POs'!$A$2:$A$305,A661,'Incoming POs'!$B$2:$B$305,B661,'Incoming POs'!$C$2:$C$305,C661,'Incoming POs'!$G$2:$G$305,"&gt;="&amp;D661,'Incoming POs'!$G$2:$G$305,"&lt;"&amp;Dashboard!$I$5)</x:f>
        <x:v>0</x:v>
      </x:c>
      <x:c r="Q661" s="1" t="n">
        <x:f>F661*Dashboard!$L$5*MAX(0,Dashboard!$I$5-D661)/30.4375</x:f>
        <x:v>0</x:v>
      </x:c>
      <x:c r="R661" s="1" t="n">
        <x:f>MAX(0,E661+P661-Q661)</x:f>
        <x:v>1674</x:v>
      </x:c>
      <x:c r="S661" s="1" t="n">
        <x:f>MAX(0,Q661-E661-P661)</x:f>
        <x:v>0</x:v>
      </x:c>
      <x:c r="T661" s="1" t="str">
        <x:f>IF(L661=1,MAX(0,I661+AB661-MIN(Q661,E661+P661)),"n.a.")</x:f>
        <x:v>n.a.</x:v>
      </x:c>
      <x:c r="U661" s="9" t="str">
        <x:f>IF(ISNUMBER(T661),T661*G661,"n.a.")</x:f>
        <x:v>n.a.</x:v>
      </x:c>
      <x:c r="V661" s="25" t="n">
        <x:f>IF(Dashboard!$I$6="Flat %",1,IF(ISNUMBER(H661),1,0))</x:f>
        <x:v>1</x:v>
      </x:c>
      <x:c r="W661" s="9" t="n">
        <x:f>IF(Dashboard!$I$6="Flat %",G661*(1+Dashboard!$L$6),H661)</x:f>
        <x:v>0.733383</x:v>
      </x:c>
      <x:c r="X661" s="9" t="n">
        <x:f>IF(V661=1,R661*(W661-G661),"n.a.")</x:f>
        <x:v>401.73154199999993</x:v>
      </x:c>
      <x:c r="Y661" s="9" t="n">
        <x:f>IF(V661=1,R661*W661,"n.a.")</x:f>
        <x:v>1227.683142</x:v>
      </x:c>
      <x:c r="Z661" s="1" t="str">
        <x:f>IF(ISNUMBER(T661),R661-T661,"n.a.")</x:f>
        <x:v>n.a.</x:v>
      </x:c>
      <x:c r="AA661" s="1" t="str">
        <x:f>'Inventory inputs'!R661</x:f>
        <x:v>Review receipt reconciliation or original PO baseline</x:v>
      </x:c>
      <x:c r="AB661" s="1" t="str">
        <x:f>IF(L661=1,SUMIFS('Incoming POs'!$P$2:$P$305,'Incoming POs'!$A$2:$A$305,A661,'Incoming POs'!$B$2:$B$305,B661,'Incoming POs'!$C$2:$C$305,C661,'Incoming POs'!$G$2:$G$305,"&gt;="&amp;D661,'Incoming POs'!$G$2:$G$305,"&lt;"&amp;Dashboard!$I$5,'Incoming POs'!$Q$2:$Q$305,"&lt;="&amp;('Inventory inputs'!P661/'Inventory inputs'!J661*1.01)),"n.a.")</x:f>
        <x:v>n.a.</x:v>
      </x:c>
      <x:c r="AC661" s="9" t="n">
        <x:f>I661*G661</x:f>
        <x:v>0</x:v>
      </x:c>
      <x:c r="AD661" s="9" t="n">
        <x:f>J661*G661</x:f>
        <x:v>0</x:v>
      </x:c>
      <x:c r="AE661" s="9" t="n">
        <x:f>K661*G661</x:f>
        <x:v>825.9516000000001</x:v>
      </x:c>
      <x:c r="AF661" s="9" t="n">
        <x:f>R661*G661</x:f>
        <x:v>825.9516000000001</x:v>
      </x:c>
    </x:row>
    <x:row r="662" ht="21" customHeight="1">
      <x:c r="A662" s="1" t="str">
        <x:f>'Inventory inputs'!A662</x:f>
        <x:v>PLAS</x:v>
      </x:c>
      <x:c r="B662" s="1" t="str">
        <x:f>'Inventory inputs'!B662</x:f>
        <x:v>10</x:v>
      </x:c>
      <x:c r="C662" s="1" t="str">
        <x:f>'Inventory inputs'!C662</x:f>
        <x:v>13480ROVRED</x:v>
      </x:c>
      <x:c r="D662" s="7" t="n">
        <x:f>'Inventory inputs'!E662</x:f>
        <x:v>46303</x:v>
      </x:c>
      <x:c r="E662" s="1" t="n">
        <x:f>'Inventory inputs'!F662</x:f>
        <x:v>200</x:v>
      </x:c>
      <x:c r="F662" s="1" t="n">
        <x:f>'Inventory inputs'!G662</x:f>
        <x:v>0</x:v>
      </x:c>
      <x:c r="G662" s="1" t="n">
        <x:f>'Inventory inputs'!H662/'Inventory inputs'!J662</x:f>
        <x:v>0.4047</x:v>
      </x:c>
      <x:c r="H662" s="1" t="str">
        <x:f>IF('Inventory inputs'!I662&gt;0,'Inventory inputs'!I662*'Inventory inputs'!K662/'Inventory inputs'!J662,"n.a.")</x:f>
        <x:v>n.a.</x:v>
      </x:c>
      <x:c r="I662" s="1" t="n">
        <x:f>'Inventory inputs'!L662</x:f>
        <x:v>0</x:v>
      </x:c>
      <x:c r="J662" s="1" t="n">
        <x:f>'Inventory inputs'!M662</x:f>
        <x:v>0</x:v>
      </x:c>
      <x:c r="K662" s="1" t="n">
        <x:f>'Inventory inputs'!N662</x:f>
        <x:v>200</x:v>
      </x:c>
      <x:c r="L662" s="1" t="n">
        <x:f>'Inventory inputs'!O662</x:f>
        <x:v>0</x:v>
      </x:c>
      <x:c r="M662" s="9" t="n">
        <x:f>E662*G662</x:f>
        <x:v>80.94</x:v>
      </x:c>
      <x:c r="N662" s="9" t="n">
        <x:f>'Inventory inputs'!Q662</x:f>
        <x:v>80.94</x:v>
      </x:c>
      <x:c r="O662" s="9" t="n">
        <x:f>N662-M662</x:f>
        <x:v>0</x:v>
      </x:c>
      <x:c r="P662" s="1" t="n">
        <x:f>SUMIFS('Incoming POs'!$P$2:$P$305,'Incoming POs'!$A$2:$A$305,A662,'Incoming POs'!$B$2:$B$305,B662,'Incoming POs'!$C$2:$C$305,C662,'Incoming POs'!$G$2:$G$305,"&gt;="&amp;D662,'Incoming POs'!$G$2:$G$305,"&lt;"&amp;Dashboard!$I$5)</x:f>
        <x:v>0</x:v>
      </x:c>
      <x:c r="Q662" s="1" t="n">
        <x:f>F662*Dashboard!$L$5*MAX(0,Dashboard!$I$5-D662)/30.4375</x:f>
        <x:v>0</x:v>
      </x:c>
      <x:c r="R662" s="1" t="n">
        <x:f>MAX(0,E662+P662-Q662)</x:f>
        <x:v>200</x:v>
      </x:c>
      <x:c r="S662" s="1" t="n">
        <x:f>MAX(0,Q662-E662-P662)</x:f>
        <x:v>0</x:v>
      </x:c>
      <x:c r="T662" s="1" t="str">
        <x:f>IF(L662=1,MAX(0,I662+AB662-MIN(Q662,E662+P662)),"n.a.")</x:f>
        <x:v>n.a.</x:v>
      </x:c>
      <x:c r="U662" s="9" t="str">
        <x:f>IF(ISNUMBER(T662),T662*G662,"n.a.")</x:f>
        <x:v>n.a.</x:v>
      </x:c>
      <x:c r="V662" s="25" t="n">
        <x:f>IF(Dashboard!$I$6="Flat %",1,IF(ISNUMBER(H662),1,0))</x:f>
        <x:v>0</x:v>
      </x:c>
      <x:c r="W662" s="9" t="str">
        <x:f>IF(Dashboard!$I$6="Flat %",G662*(1+Dashboard!$L$6),H662)</x:f>
        <x:v>n.a.</x:v>
      </x:c>
      <x:c r="X662" s="9" t="str">
        <x:f>IF(V662=1,R662*(W662-G662),"n.a.")</x:f>
        <x:v>n.a.</x:v>
      </x:c>
      <x:c r="Y662" s="9" t="str">
        <x:f>IF(V662=1,R662*W662,"n.a.")</x:f>
        <x:v>n.a.</x:v>
      </x:c>
      <x:c r="Z662" s="1" t="str">
        <x:f>IF(ISNUMBER(T662),R662-T662,"n.a.")</x:f>
        <x:v>n.a.</x:v>
      </x:c>
      <x:c r="AA662" s="1" t="str">
        <x:f>'Inventory inputs'!R662</x:f>
        <x:v>Review receipt reconciliation or original PO baseline</x:v>
      </x:c>
      <x:c r="AB662" s="1" t="str">
        <x:f>IF(L662=1,SUMIFS('Incoming POs'!$P$2:$P$305,'Incoming POs'!$A$2:$A$305,A662,'Incoming POs'!$B$2:$B$305,B662,'Incoming POs'!$C$2:$C$305,C662,'Incoming POs'!$G$2:$G$305,"&gt;="&amp;D662,'Incoming POs'!$G$2:$G$305,"&lt;"&amp;Dashboard!$I$5,'Incoming POs'!$Q$2:$Q$305,"&lt;="&amp;('Inventory inputs'!P662/'Inventory inputs'!J662*1.01)),"n.a.")</x:f>
        <x:v>n.a.</x:v>
      </x:c>
      <x:c r="AC662" s="9" t="n">
        <x:f>I662*G662</x:f>
        <x:v>0</x:v>
      </x:c>
      <x:c r="AD662" s="9" t="n">
        <x:f>J662*G662</x:f>
        <x:v>0</x:v>
      </x:c>
      <x:c r="AE662" s="9" t="n">
        <x:f>K662*G662</x:f>
        <x:v>80.94</x:v>
      </x:c>
      <x:c r="AF662" s="9" t="n">
        <x:f>R662*G662</x:f>
        <x:v>80.94</x:v>
      </x:c>
    </x:row>
    <x:row r="663" ht="21" customHeight="1">
      <x:c r="A663" s="1" t="str">
        <x:f>'Inventory inputs'!A663</x:f>
        <x:v>PLAS</x:v>
      </x:c>
      <x:c r="B663" s="1" t="str">
        <x:f>'Inventory inputs'!B663</x:f>
        <x:v>10</x:v>
      </x:c>
      <x:c r="C663" s="1" t="str">
        <x:f>'Inventory inputs'!C663</x:f>
        <x:v>51615RWBBLK</x:v>
      </x:c>
      <x:c r="D663" s="7" t="n">
        <x:f>'Inventory inputs'!E663</x:f>
        <x:v>46303</x:v>
      </x:c>
      <x:c r="E663" s="1" t="n">
        <x:f>'Inventory inputs'!F663</x:f>
        <x:v>11832</x:v>
      </x:c>
      <x:c r="F663" s="1" t="n">
        <x:f>'Inventory inputs'!G663</x:f>
        <x:v>0</x:v>
      </x:c>
      <x:c r="G663" s="1" t="n">
        <x:f>'Inventory inputs'!H663/'Inventory inputs'!J663</x:f>
        <x:v>0.0131</x:v>
      </x:c>
      <x:c r="H663" s="1" t="n">
        <x:f>IF('Inventory inputs'!I663&gt;0,'Inventory inputs'!I663*'Inventory inputs'!K663/'Inventory inputs'!J663,"n.a.")</x:f>
        <x:v>0.015288</x:v>
      </x:c>
      <x:c r="I663" s="1" t="n">
        <x:f>'Inventory inputs'!L663</x:f>
        <x:v>11832</x:v>
      </x:c>
      <x:c r="J663" s="1" t="n">
        <x:f>'Inventory inputs'!M663</x:f>
        <x:v>0</x:v>
      </x:c>
      <x:c r="K663" s="1" t="n">
        <x:f>'Inventory inputs'!N663</x:f>
        <x:v>0</x:v>
      </x:c>
      <x:c r="L663" s="1" t="n">
        <x:f>'Inventory inputs'!O663</x:f>
        <x:v>1</x:v>
      </x:c>
      <x:c r="M663" s="9" t="n">
        <x:f>E663*G663</x:f>
        <x:v>154.9992</x:v>
      </x:c>
      <x:c r="N663" s="9" t="n">
        <x:f>'Inventory inputs'!Q663</x:f>
        <x:v>154.9992</x:v>
      </x:c>
      <x:c r="O663" s="9" t="n">
        <x:f>N663-M663</x:f>
        <x:v>0</x:v>
      </x:c>
      <x:c r="P663" s="1" t="n">
        <x:f>SUMIFS('Incoming POs'!$P$2:$P$305,'Incoming POs'!$A$2:$A$305,A663,'Incoming POs'!$B$2:$B$305,B663,'Incoming POs'!$C$2:$C$305,C663,'Incoming POs'!$G$2:$G$305,"&gt;="&amp;D663,'Incoming POs'!$G$2:$G$305,"&lt;"&amp;Dashboard!$I$5)</x:f>
        <x:v>0</x:v>
      </x:c>
      <x:c r="Q663" s="1" t="n">
        <x:f>F663*Dashboard!$L$5*MAX(0,Dashboard!$I$5-D663)/30.4375</x:f>
        <x:v>0</x:v>
      </x:c>
      <x:c r="R663" s="1" t="n">
        <x:f>MAX(0,E663+P663-Q663)</x:f>
        <x:v>11832</x:v>
      </x:c>
      <x:c r="S663" s="1" t="n">
        <x:f>MAX(0,Q663-E663-P663)</x:f>
        <x:v>0</x:v>
      </x:c>
      <x:c r="T663" s="1" t="n">
        <x:f>IF(L663=1,MAX(0,I663+AB663-MIN(Q663,E663+P663)),"n.a.")</x:f>
        <x:v>11832</x:v>
      </x:c>
      <x:c r="U663" s="9" t="n">
        <x:f>IF(ISNUMBER(T663),T663*G663,"n.a.")</x:f>
        <x:v>154.9992</x:v>
      </x:c>
      <x:c r="V663" s="25" t="n">
        <x:f>IF(Dashboard!$I$6="Flat %",1,IF(ISNUMBER(H663),1,0))</x:f>
        <x:v>1</x:v>
      </x:c>
      <x:c r="W663" s="9" t="n">
        <x:f>IF(Dashboard!$I$6="Flat %",G663*(1+Dashboard!$L$6),H663)</x:f>
        <x:v>0.015288</x:v>
      </x:c>
      <x:c r="X663" s="9" t="n">
        <x:f>IF(V663=1,R663*(W663-G663),"n.a.")</x:f>
        <x:v>25.88841599999999</x:v>
      </x:c>
      <x:c r="Y663" s="9" t="n">
        <x:f>IF(V663=1,R663*W663,"n.a.")</x:f>
        <x:v>180.88761599999998</x:v>
      </x:c>
      <x:c r="Z663" s="1" t="n">
        <x:f>IF(ISNUMBER(T663),R663-T663,"n.a.")</x:f>
        <x:v>0</x:v>
      </x:c>
      <x:c r="AA663" s="1" t="str">
        <x:f>'Inventory inputs'!R663</x:f>
        <x:v>Classified</x:v>
      </x:c>
      <x:c r="AB663" s="1" t="n">
        <x:f>IF(L663=1,SUMIFS('Incoming POs'!$P$2:$P$305,'Incoming POs'!$A$2:$A$305,A663,'Incoming POs'!$B$2:$B$305,B663,'Incoming POs'!$C$2:$C$305,C663,'Incoming POs'!$G$2:$G$305,"&gt;="&amp;D663,'Incoming POs'!$G$2:$G$305,"&lt;"&amp;Dashboard!$I$5,'Incoming POs'!$Q$2:$Q$305,"&lt;="&amp;('Inventory inputs'!P663/'Inventory inputs'!J663*1.01)),"n.a.")</x:f>
        <x:v>0</x:v>
      </x:c>
      <x:c r="AC663" s="9" t="n">
        <x:f>I663*G663</x:f>
        <x:v>154.9992</x:v>
      </x:c>
      <x:c r="AD663" s="9" t="n">
        <x:f>J663*G663</x:f>
        <x:v>0</x:v>
      </x:c>
      <x:c r="AE663" s="9" t="n">
        <x:f>K663*G663</x:f>
        <x:v>0</x:v>
      </x:c>
      <x:c r="AF663" s="9" t="n">
        <x:f>R663*G663</x:f>
        <x:v>154.9992</x:v>
      </x:c>
    </x:row>
    <x:row r="664" ht="21" customHeight="1">
      <x:c r="A664" s="1" t="str">
        <x:f>'Inventory inputs'!A664</x:f>
        <x:v>PLAS</x:v>
      </x:c>
      <x:c r="B664" s="1" t="str">
        <x:f>'Inventory inputs'!B664</x:f>
        <x:v>10</x:v>
      </x:c>
      <x:c r="C664" s="1" t="str">
        <x:f>'Inventory inputs'!C664</x:f>
        <x:v>51615RWBBLU</x:v>
      </x:c>
      <x:c r="D664" s="7" t="n">
        <x:f>'Inventory inputs'!E664</x:f>
        <x:v>46303</x:v>
      </x:c>
      <x:c r="E664" s="1" t="n">
        <x:f>'Inventory inputs'!F664</x:f>
        <x:v>4900</x:v>
      </x:c>
      <x:c r="F664" s="1" t="n">
        <x:f>'Inventory inputs'!G664</x:f>
        <x:v>0</x:v>
      </x:c>
      <x:c r="G664" s="1" t="n">
        <x:f>'Inventory inputs'!H664/'Inventory inputs'!J664</x:f>
        <x:v>0.0101</x:v>
      </x:c>
      <x:c r="H664" s="1" t="n">
        <x:f>IF('Inventory inputs'!I664&gt;0,'Inventory inputs'!I664*'Inventory inputs'!K664/'Inventory inputs'!J664,"n.a.")</x:f>
        <x:v>0.015288</x:v>
      </x:c>
      <x:c r="I664" s="1" t="n">
        <x:f>'Inventory inputs'!L664</x:f>
        <x:v>0</x:v>
      </x:c>
      <x:c r="J664" s="1" t="n">
        <x:f>'Inventory inputs'!M664</x:f>
        <x:v>0</x:v>
      </x:c>
      <x:c r="K664" s="1" t="n">
        <x:f>'Inventory inputs'!N664</x:f>
        <x:v>4900</x:v>
      </x:c>
      <x:c r="L664" s="1" t="n">
        <x:f>'Inventory inputs'!O664</x:f>
        <x:v>0</x:v>
      </x:c>
      <x:c r="M664" s="9" t="n">
        <x:f>E664*G664</x:f>
        <x:v>49.489999999999995</x:v>
      </x:c>
      <x:c r="N664" s="9" t="n">
        <x:f>'Inventory inputs'!Q664</x:f>
        <x:v>49.49</x:v>
      </x:c>
      <x:c r="O664" s="9" t="n">
        <x:f>N664-M664</x:f>
        <x:v>7.105427357601002e-15</x:v>
      </x:c>
      <x:c r="P664" s="1" t="n">
        <x:f>SUMIFS('Incoming POs'!$P$2:$P$305,'Incoming POs'!$A$2:$A$305,A664,'Incoming POs'!$B$2:$B$305,B664,'Incoming POs'!$C$2:$C$305,C664,'Incoming POs'!$G$2:$G$305,"&gt;="&amp;D664,'Incoming POs'!$G$2:$G$305,"&lt;"&amp;Dashboard!$I$5)</x:f>
        <x:v>0</x:v>
      </x:c>
      <x:c r="Q664" s="1" t="n">
        <x:f>F664*Dashboard!$L$5*MAX(0,Dashboard!$I$5-D664)/30.4375</x:f>
        <x:v>0</x:v>
      </x:c>
      <x:c r="R664" s="1" t="n">
        <x:f>MAX(0,E664+P664-Q664)</x:f>
        <x:v>4900</x:v>
      </x:c>
      <x:c r="S664" s="1" t="n">
        <x:f>MAX(0,Q664-E664-P664)</x:f>
        <x:v>0</x:v>
      </x:c>
      <x:c r="T664" s="1" t="str">
        <x:f>IF(L664=1,MAX(0,I664+AB664-MIN(Q664,E664+P664)),"n.a.")</x:f>
        <x:v>n.a.</x:v>
      </x:c>
      <x:c r="U664" s="9" t="str">
        <x:f>IF(ISNUMBER(T664),T664*G664,"n.a.")</x:f>
        <x:v>n.a.</x:v>
      </x:c>
      <x:c r="V664" s="25" t="n">
        <x:f>IF(Dashboard!$I$6="Flat %",1,IF(ISNUMBER(H664),1,0))</x:f>
        <x:v>1</x:v>
      </x:c>
      <x:c r="W664" s="9" t="n">
        <x:f>IF(Dashboard!$I$6="Flat %",G664*(1+Dashboard!$L$6),H664)</x:f>
        <x:v>0.015288</x:v>
      </x:c>
      <x:c r="X664" s="9" t="n">
        <x:f>IF(V664=1,R664*(W664-G664),"n.a.")</x:f>
        <x:v>25.4212</x:v>
      </x:c>
      <x:c r="Y664" s="9" t="n">
        <x:f>IF(V664=1,R664*W664,"n.a.")</x:f>
        <x:v>74.9112</x:v>
      </x:c>
      <x:c r="Z664" s="1" t="str">
        <x:f>IF(ISNUMBER(T664),R664-T664,"n.a.")</x:f>
        <x:v>n.a.</x:v>
      </x:c>
      <x:c r="AA664" s="1" t="str">
        <x:f>'Inventory inputs'!R664</x:f>
        <x:v>Review receipt reconciliation or original PO baseline</x:v>
      </x:c>
      <x:c r="AB664" s="1" t="str">
        <x:f>IF(L664=1,SUMIFS('Incoming POs'!$P$2:$P$305,'Incoming POs'!$A$2:$A$305,A664,'Incoming POs'!$B$2:$B$305,B664,'Incoming POs'!$C$2:$C$305,C664,'Incoming POs'!$G$2:$G$305,"&gt;="&amp;D664,'Incoming POs'!$G$2:$G$305,"&lt;"&amp;Dashboard!$I$5,'Incoming POs'!$Q$2:$Q$305,"&lt;="&amp;('Inventory inputs'!P664/'Inventory inputs'!J664*1.01)),"n.a.")</x:f>
        <x:v>n.a.</x:v>
      </x:c>
      <x:c r="AC664" s="9" t="n">
        <x:f>I664*G664</x:f>
        <x:v>0</x:v>
      </x:c>
      <x:c r="AD664" s="9" t="n">
        <x:f>J664*G664</x:f>
        <x:v>0</x:v>
      </x:c>
      <x:c r="AE664" s="9" t="n">
        <x:f>K664*G664</x:f>
        <x:v>49.489999999999995</x:v>
      </x:c>
      <x:c r="AF664" s="9" t="n">
        <x:f>R664*G664</x:f>
        <x:v>49.489999999999995</x:v>
      </x:c>
    </x:row>
    <x:row r="665" ht="21" customHeight="1">
      <x:c r="A665" s="1" t="str">
        <x:f>'Inventory inputs'!A665</x:f>
        <x:v>PLAS</x:v>
      </x:c>
      <x:c r="B665" s="1" t="str">
        <x:f>'Inventory inputs'!B665</x:f>
        <x:v>10</x:v>
      </x:c>
      <x:c r="C665" s="1" t="str">
        <x:f>'Inventory inputs'!C665</x:f>
        <x:v>51615RWBBRN</x:v>
      </x:c>
      <x:c r="D665" s="7" t="n">
        <x:f>'Inventory inputs'!E665</x:f>
        <x:v>46303</x:v>
      </x:c>
      <x:c r="E665" s="1" t="n">
        <x:f>'Inventory inputs'!F665</x:f>
        <x:v>0</x:v>
      </x:c>
      <x:c r="F665" s="1" t="n">
        <x:f>'Inventory inputs'!G665</x:f>
        <x:v>0</x:v>
      </x:c>
      <x:c r="G665" s="1" t="n">
        <x:f>'Inventory inputs'!H665/'Inventory inputs'!J665</x:f>
        <x:v>0.0101</x:v>
      </x:c>
      <x:c r="H665" s="1" t="str">
        <x:f>IF('Inventory inputs'!I665&gt;0,'Inventory inputs'!I665*'Inventory inputs'!K665/'Inventory inputs'!J665,"n.a.")</x:f>
        <x:v>n.a.</x:v>
      </x:c>
      <x:c r="I665" s="1" t="n">
        <x:f>'Inventory inputs'!L665</x:f>
        <x:v>0</x:v>
      </x:c>
      <x:c r="J665" s="1" t="n">
        <x:f>'Inventory inputs'!M665</x:f>
        <x:v>0</x:v>
      </x:c>
      <x:c r="K665" s="1" t="n">
        <x:f>'Inventory inputs'!N665</x:f>
        <x:v>0</x:v>
      </x:c>
      <x:c r="L665" s="1" t="n">
        <x:f>'Inventory inputs'!O665</x:f>
        <x:v>0</x:v>
      </x:c>
      <x:c r="M665" s="9" t="n">
        <x:f>E665*G665</x:f>
        <x:v>0</x:v>
      </x:c>
      <x:c r="N665" s="9" t="n">
        <x:f>'Inventory inputs'!Q665</x:f>
        <x:v>0</x:v>
      </x:c>
      <x:c r="O665" s="9" t="n">
        <x:f>N665-M665</x:f>
        <x:v>0</x:v>
      </x:c>
      <x:c r="P665" s="1" t="n">
        <x:f>SUMIFS('Incoming POs'!$P$2:$P$305,'Incoming POs'!$A$2:$A$305,A665,'Incoming POs'!$B$2:$B$305,B665,'Incoming POs'!$C$2:$C$305,C665,'Incoming POs'!$G$2:$G$305,"&gt;="&amp;D665,'Incoming POs'!$G$2:$G$305,"&lt;"&amp;Dashboard!$I$5)</x:f>
        <x:v>0</x:v>
      </x:c>
      <x:c r="Q665" s="1" t="n">
        <x:f>F665*Dashboard!$L$5*MAX(0,Dashboard!$I$5-D665)/30.4375</x:f>
        <x:v>0</x:v>
      </x:c>
      <x:c r="R665" s="1" t="n">
        <x:f>MAX(0,E665+P665-Q665)</x:f>
        <x:v>0</x:v>
      </x:c>
      <x:c r="S665" s="1" t="n">
        <x:f>MAX(0,Q665-E665-P665)</x:f>
        <x:v>0</x:v>
      </x:c>
      <x:c r="T665" s="1" t="str">
        <x:f>IF(L665=1,MAX(0,I665+AB665-MIN(Q665,E665+P665)),"n.a.")</x:f>
        <x:v>n.a.</x:v>
      </x:c>
      <x:c r="U665" s="9" t="str">
        <x:f>IF(ISNUMBER(T665),T665*G665,"n.a.")</x:f>
        <x:v>n.a.</x:v>
      </x:c>
      <x:c r="V665" s="25" t="n">
        <x:f>IF(Dashboard!$I$6="Flat %",1,IF(ISNUMBER(H665),1,0))</x:f>
        <x:v>0</x:v>
      </x:c>
      <x:c r="W665" s="9" t="str">
        <x:f>IF(Dashboard!$I$6="Flat %",G665*(1+Dashboard!$L$6),H665)</x:f>
        <x:v>n.a.</x:v>
      </x:c>
      <x:c r="X665" s="9" t="str">
        <x:f>IF(V665=1,R665*(W665-G665),"n.a.")</x:f>
        <x:v>n.a.</x:v>
      </x:c>
      <x:c r="Y665" s="9" t="str">
        <x:f>IF(V665=1,R665*W665,"n.a.")</x:f>
        <x:v>n.a.</x:v>
      </x:c>
      <x:c r="Z665" s="1" t="str">
        <x:f>IF(ISNUMBER(T665),R665-T665,"n.a.")</x:f>
        <x:v>n.a.</x:v>
      </x:c>
      <x:c r="AA665" s="1" t="str">
        <x:f>'Inventory inputs'!R665</x:f>
        <x:v>Review receipt reconciliation or original PO baseline</x:v>
      </x:c>
      <x:c r="AB665" s="1" t="str">
        <x:f>IF(L665=1,SUMIFS('Incoming POs'!$P$2:$P$305,'Incoming POs'!$A$2:$A$305,A665,'Incoming POs'!$B$2:$B$305,B665,'Incoming POs'!$C$2:$C$305,C665,'Incoming POs'!$G$2:$G$305,"&gt;="&amp;D665,'Incoming POs'!$G$2:$G$305,"&lt;"&amp;Dashboard!$I$5,'Incoming POs'!$Q$2:$Q$305,"&lt;="&amp;('Inventory inputs'!P665/'Inventory inputs'!J665*1.01)),"n.a.")</x:f>
        <x:v>n.a.</x:v>
      </x:c>
      <x:c r="AC665" s="9" t="n">
        <x:f>I665*G665</x:f>
        <x:v>0</x:v>
      </x:c>
      <x:c r="AD665" s="9" t="n">
        <x:f>J665*G665</x:f>
        <x:v>0</x:v>
      </x:c>
      <x:c r="AE665" s="9" t="n">
        <x:f>K665*G665</x:f>
        <x:v>0</x:v>
      </x:c>
      <x:c r="AF665" s="9" t="n">
        <x:f>R665*G665</x:f>
        <x:v>0</x:v>
      </x:c>
    </x:row>
    <x:row r="666" ht="21" customHeight="1">
      <x:c r="A666" s="1" t="str">
        <x:f>'Inventory inputs'!A666</x:f>
        <x:v>PLAS</x:v>
      </x:c>
      <x:c r="B666" s="1" t="str">
        <x:f>'Inventory inputs'!B666</x:f>
        <x:v>10</x:v>
      </x:c>
      <x:c r="C666" s="1" t="str">
        <x:f>'Inventory inputs'!C666</x:f>
        <x:v>51615RWBFG</x:v>
      </x:c>
      <x:c r="D666" s="7" t="n">
        <x:f>'Inventory inputs'!E666</x:f>
        <x:v>46303</x:v>
      </x:c>
      <x:c r="E666" s="1" t="n">
        <x:f>'Inventory inputs'!F666</x:f>
        <x:v>5600</x:v>
      </x:c>
      <x:c r="F666" s="1" t="n">
        <x:f>'Inventory inputs'!G666</x:f>
        <x:v>0</x:v>
      </x:c>
      <x:c r="G666" s="1" t="n">
        <x:f>'Inventory inputs'!H666/'Inventory inputs'!J666</x:f>
        <x:v>0.0101</x:v>
      </x:c>
      <x:c r="H666" s="1" t="n">
        <x:f>IF('Inventory inputs'!I666&gt;0,'Inventory inputs'!I666*'Inventory inputs'!K666/'Inventory inputs'!J666,"n.a.")</x:f>
        <x:v>0.015288</x:v>
      </x:c>
      <x:c r="I666" s="1" t="n">
        <x:f>'Inventory inputs'!L666</x:f>
        <x:v>0</x:v>
      </x:c>
      <x:c r="J666" s="1" t="n">
        <x:f>'Inventory inputs'!M666</x:f>
        <x:v>0</x:v>
      </x:c>
      <x:c r="K666" s="1" t="n">
        <x:f>'Inventory inputs'!N666</x:f>
        <x:v>5600</x:v>
      </x:c>
      <x:c r="L666" s="1" t="n">
        <x:f>'Inventory inputs'!O666</x:f>
        <x:v>0</x:v>
      </x:c>
      <x:c r="M666" s="9" t="n">
        <x:f>E666*G666</x:f>
        <x:v>56.559999999999995</x:v>
      </x:c>
      <x:c r="N666" s="9" t="n">
        <x:f>'Inventory inputs'!Q666</x:f>
        <x:v>56.56</x:v>
      </x:c>
      <x:c r="O666" s="9" t="n">
        <x:f>N666-M666</x:f>
        <x:v>7.105427357601002e-15</x:v>
      </x:c>
      <x:c r="P666" s="1" t="n">
        <x:f>SUMIFS('Incoming POs'!$P$2:$P$305,'Incoming POs'!$A$2:$A$305,A666,'Incoming POs'!$B$2:$B$305,B666,'Incoming POs'!$C$2:$C$305,C666,'Incoming POs'!$G$2:$G$305,"&gt;="&amp;D666,'Incoming POs'!$G$2:$G$305,"&lt;"&amp;Dashboard!$I$5)</x:f>
        <x:v>0</x:v>
      </x:c>
      <x:c r="Q666" s="1" t="n">
        <x:f>F666*Dashboard!$L$5*MAX(0,Dashboard!$I$5-D666)/30.4375</x:f>
        <x:v>0</x:v>
      </x:c>
      <x:c r="R666" s="1" t="n">
        <x:f>MAX(0,E666+P666-Q666)</x:f>
        <x:v>5600</x:v>
      </x:c>
      <x:c r="S666" s="1" t="n">
        <x:f>MAX(0,Q666-E666-P666)</x:f>
        <x:v>0</x:v>
      </x:c>
      <x:c r="T666" s="1" t="str">
        <x:f>IF(L666=1,MAX(0,I666+AB666-MIN(Q666,E666+P666)),"n.a.")</x:f>
        <x:v>n.a.</x:v>
      </x:c>
      <x:c r="U666" s="9" t="str">
        <x:f>IF(ISNUMBER(T666),T666*G666,"n.a.")</x:f>
        <x:v>n.a.</x:v>
      </x:c>
      <x:c r="V666" s="25" t="n">
        <x:f>IF(Dashboard!$I$6="Flat %",1,IF(ISNUMBER(H666),1,0))</x:f>
        <x:v>1</x:v>
      </x:c>
      <x:c r="W666" s="9" t="n">
        <x:f>IF(Dashboard!$I$6="Flat %",G666*(1+Dashboard!$L$6),H666)</x:f>
        <x:v>0.015288</x:v>
      </x:c>
      <x:c r="X666" s="9" t="n">
        <x:f>IF(V666=1,R666*(W666-G666),"n.a.")</x:f>
        <x:v>29.052799999999998</x:v>
      </x:c>
      <x:c r="Y666" s="9" t="n">
        <x:f>IF(V666=1,R666*W666,"n.a.")</x:f>
        <x:v>85.6128</x:v>
      </x:c>
      <x:c r="Z666" s="1" t="str">
        <x:f>IF(ISNUMBER(T666),R666-T666,"n.a.")</x:f>
        <x:v>n.a.</x:v>
      </x:c>
      <x:c r="AA666" s="1" t="str">
        <x:f>'Inventory inputs'!R666</x:f>
        <x:v>Review receipt reconciliation or original PO baseline</x:v>
      </x:c>
      <x:c r="AB666" s="1" t="str">
        <x:f>IF(L666=1,SUMIFS('Incoming POs'!$P$2:$P$305,'Incoming POs'!$A$2:$A$305,A666,'Incoming POs'!$B$2:$B$305,B666,'Incoming POs'!$C$2:$C$305,C666,'Incoming POs'!$G$2:$G$305,"&gt;="&amp;D666,'Incoming POs'!$G$2:$G$305,"&lt;"&amp;Dashboard!$I$5,'Incoming POs'!$Q$2:$Q$305,"&lt;="&amp;('Inventory inputs'!P666/'Inventory inputs'!J666*1.01)),"n.a.")</x:f>
        <x:v>n.a.</x:v>
      </x:c>
      <x:c r="AC666" s="9" t="n">
        <x:f>I666*G666</x:f>
        <x:v>0</x:v>
      </x:c>
      <x:c r="AD666" s="9" t="n">
        <x:f>J666*G666</x:f>
        <x:v>0</x:v>
      </x:c>
      <x:c r="AE666" s="9" t="n">
        <x:f>K666*G666</x:f>
        <x:v>56.559999999999995</x:v>
      </x:c>
      <x:c r="AF666" s="9" t="n">
        <x:f>R666*G666</x:f>
        <x:v>56.559999999999995</x:v>
      </x:c>
    </x:row>
    <x:row r="667" ht="21" customHeight="1">
      <x:c r="A667" s="1" t="str">
        <x:f>'Inventory inputs'!A667</x:f>
        <x:v>PLAS</x:v>
      </x:c>
      <x:c r="B667" s="1" t="str">
        <x:f>'Inventory inputs'!B667</x:f>
        <x:v>10</x:v>
      </x:c>
      <x:c r="C667" s="1" t="str">
        <x:f>'Inventory inputs'!C667</x:f>
        <x:v>51615RWBMAR</x:v>
      </x:c>
      <x:c r="D667" s="7" t="n">
        <x:f>'Inventory inputs'!E667</x:f>
        <x:v>46303</x:v>
      </x:c>
      <x:c r="E667" s="1" t="n">
        <x:f>'Inventory inputs'!F667</x:f>
        <x:v>8000</x:v>
      </x:c>
      <x:c r="F667" s="1" t="n">
        <x:f>'Inventory inputs'!G667</x:f>
        <x:v>0</x:v>
      </x:c>
      <x:c r="G667" s="1" t="n">
        <x:f>'Inventory inputs'!H667/'Inventory inputs'!J667</x:f>
        <x:v>0.0101</x:v>
      </x:c>
      <x:c r="H667" s="1" t="n">
        <x:f>IF('Inventory inputs'!I667&gt;0,'Inventory inputs'!I667*'Inventory inputs'!K667/'Inventory inputs'!J667,"n.a.")</x:f>
        <x:v>0.015288</x:v>
      </x:c>
      <x:c r="I667" s="1" t="n">
        <x:f>'Inventory inputs'!L667</x:f>
        <x:v>0</x:v>
      </x:c>
      <x:c r="J667" s="1" t="n">
        <x:f>'Inventory inputs'!M667</x:f>
        <x:v>0</x:v>
      </x:c>
      <x:c r="K667" s="1" t="n">
        <x:f>'Inventory inputs'!N667</x:f>
        <x:v>8000</x:v>
      </x:c>
      <x:c r="L667" s="1" t="n">
        <x:f>'Inventory inputs'!O667</x:f>
        <x:v>0</x:v>
      </x:c>
      <x:c r="M667" s="9" t="n">
        <x:f>E667*G667</x:f>
        <x:v>80.8</x:v>
      </x:c>
      <x:c r="N667" s="9" t="n">
        <x:f>'Inventory inputs'!Q667</x:f>
        <x:v>80.8</x:v>
      </x:c>
      <x:c r="O667" s="9" t="n">
        <x:f>N667-M667</x:f>
        <x:v>0</x:v>
      </x:c>
      <x:c r="P667" s="1" t="n">
        <x:f>SUMIFS('Incoming POs'!$P$2:$P$305,'Incoming POs'!$A$2:$A$305,A667,'Incoming POs'!$B$2:$B$305,B667,'Incoming POs'!$C$2:$C$305,C667,'Incoming POs'!$G$2:$G$305,"&gt;="&amp;D667,'Incoming POs'!$G$2:$G$305,"&lt;"&amp;Dashboard!$I$5)</x:f>
        <x:v>0</x:v>
      </x:c>
      <x:c r="Q667" s="1" t="n">
        <x:f>F667*Dashboard!$L$5*MAX(0,Dashboard!$I$5-D667)/30.4375</x:f>
        <x:v>0</x:v>
      </x:c>
      <x:c r="R667" s="1" t="n">
        <x:f>MAX(0,E667+P667-Q667)</x:f>
        <x:v>8000</x:v>
      </x:c>
      <x:c r="S667" s="1" t="n">
        <x:f>MAX(0,Q667-E667-P667)</x:f>
        <x:v>0</x:v>
      </x:c>
      <x:c r="T667" s="1" t="str">
        <x:f>IF(L667=1,MAX(0,I667+AB667-MIN(Q667,E667+P667)),"n.a.")</x:f>
        <x:v>n.a.</x:v>
      </x:c>
      <x:c r="U667" s="9" t="str">
        <x:f>IF(ISNUMBER(T667),T667*G667,"n.a.")</x:f>
        <x:v>n.a.</x:v>
      </x:c>
      <x:c r="V667" s="25" t="n">
        <x:f>IF(Dashboard!$I$6="Flat %",1,IF(ISNUMBER(H667),1,0))</x:f>
        <x:v>1</x:v>
      </x:c>
      <x:c r="W667" s="9" t="n">
        <x:f>IF(Dashboard!$I$6="Flat %",G667*(1+Dashboard!$L$6),H667)</x:f>
        <x:v>0.015288</x:v>
      </x:c>
      <x:c r="X667" s="9" t="n">
        <x:f>IF(V667=1,R667*(W667-G667),"n.a.")</x:f>
        <x:v>41.504</x:v>
      </x:c>
      <x:c r="Y667" s="9" t="n">
        <x:f>IF(V667=1,R667*W667,"n.a.")</x:f>
        <x:v>122.304</x:v>
      </x:c>
      <x:c r="Z667" s="1" t="str">
        <x:f>IF(ISNUMBER(T667),R667-T667,"n.a.")</x:f>
        <x:v>n.a.</x:v>
      </x:c>
      <x:c r="AA667" s="1" t="str">
        <x:f>'Inventory inputs'!R667</x:f>
        <x:v>Review receipt reconciliation or original PO baseline</x:v>
      </x:c>
      <x:c r="AB667" s="1" t="str">
        <x:f>IF(L667=1,SUMIFS('Incoming POs'!$P$2:$P$305,'Incoming POs'!$A$2:$A$305,A667,'Incoming POs'!$B$2:$B$305,B667,'Incoming POs'!$C$2:$C$305,C667,'Incoming POs'!$G$2:$G$305,"&gt;="&amp;D667,'Incoming POs'!$G$2:$G$305,"&lt;"&amp;Dashboard!$I$5,'Incoming POs'!$Q$2:$Q$305,"&lt;="&amp;('Inventory inputs'!P667/'Inventory inputs'!J667*1.01)),"n.a.")</x:f>
        <x:v>n.a.</x:v>
      </x:c>
      <x:c r="AC667" s="9" t="n">
        <x:f>I667*G667</x:f>
        <x:v>0</x:v>
      </x:c>
      <x:c r="AD667" s="9" t="n">
        <x:f>J667*G667</x:f>
        <x:v>0</x:v>
      </x:c>
      <x:c r="AE667" s="9" t="n">
        <x:f>K667*G667</x:f>
        <x:v>80.8</x:v>
      </x:c>
      <x:c r="AF667" s="9" t="n">
        <x:f>R667*G667</x:f>
        <x:v>80.8</x:v>
      </x:c>
    </x:row>
    <x:row r="668" ht="21" customHeight="1">
      <x:c r="A668" s="1" t="str">
        <x:f>'Inventory inputs'!A668</x:f>
        <x:v>PLAS</x:v>
      </x:c>
      <x:c r="B668" s="1" t="str">
        <x:f>'Inventory inputs'!B668</x:f>
        <x:v>10</x:v>
      </x:c>
      <x:c r="C668" s="1" t="str">
        <x:f>'Inventory inputs'!C668</x:f>
        <x:v>51615RWBNAV</x:v>
      </x:c>
      <x:c r="D668" s="7" t="n">
        <x:f>'Inventory inputs'!E668</x:f>
        <x:v>46303</x:v>
      </x:c>
      <x:c r="E668" s="1" t="n">
        <x:f>'Inventory inputs'!F668</x:f>
        <x:v>4100</x:v>
      </x:c>
      <x:c r="F668" s="1" t="n">
        <x:f>'Inventory inputs'!G668</x:f>
        <x:v>0</x:v>
      </x:c>
      <x:c r="G668" s="1" t="n">
        <x:f>'Inventory inputs'!H668/'Inventory inputs'!J668</x:f>
        <x:v>0.0101</x:v>
      </x:c>
      <x:c r="H668" s="1" t="n">
        <x:f>IF('Inventory inputs'!I668&gt;0,'Inventory inputs'!I668*'Inventory inputs'!K668/'Inventory inputs'!J668,"n.a.")</x:f>
        <x:v>0.015288</x:v>
      </x:c>
      <x:c r="I668" s="1" t="n">
        <x:f>'Inventory inputs'!L668</x:f>
        <x:v>0</x:v>
      </x:c>
      <x:c r="J668" s="1" t="n">
        <x:f>'Inventory inputs'!M668</x:f>
        <x:v>0</x:v>
      </x:c>
      <x:c r="K668" s="1" t="n">
        <x:f>'Inventory inputs'!N668</x:f>
        <x:v>4100</x:v>
      </x:c>
      <x:c r="L668" s="1" t="n">
        <x:f>'Inventory inputs'!O668</x:f>
        <x:v>0</x:v>
      </x:c>
      <x:c r="M668" s="9" t="n">
        <x:f>E668*G668</x:f>
        <x:v>41.41</x:v>
      </x:c>
      <x:c r="N668" s="9" t="n">
        <x:f>'Inventory inputs'!Q668</x:f>
        <x:v>41.410000000000004</x:v>
      </x:c>
      <x:c r="O668" s="9" t="n">
        <x:f>N668-M668</x:f>
        <x:v>7.105427357601002e-15</x:v>
      </x:c>
      <x:c r="P668" s="1" t="n">
        <x:f>SUMIFS('Incoming POs'!$P$2:$P$305,'Incoming POs'!$A$2:$A$305,A668,'Incoming POs'!$B$2:$B$305,B668,'Incoming POs'!$C$2:$C$305,C668,'Incoming POs'!$G$2:$G$305,"&gt;="&amp;D668,'Incoming POs'!$G$2:$G$305,"&lt;"&amp;Dashboard!$I$5)</x:f>
        <x:v>0</x:v>
      </x:c>
      <x:c r="Q668" s="1" t="n">
        <x:f>F668*Dashboard!$L$5*MAX(0,Dashboard!$I$5-D668)/30.4375</x:f>
        <x:v>0</x:v>
      </x:c>
      <x:c r="R668" s="1" t="n">
        <x:f>MAX(0,E668+P668-Q668)</x:f>
        <x:v>4100</x:v>
      </x:c>
      <x:c r="S668" s="1" t="n">
        <x:f>MAX(0,Q668-E668-P668)</x:f>
        <x:v>0</x:v>
      </x:c>
      <x:c r="T668" s="1" t="str">
        <x:f>IF(L668=1,MAX(0,I668+AB668-MIN(Q668,E668+P668)),"n.a.")</x:f>
        <x:v>n.a.</x:v>
      </x:c>
      <x:c r="U668" s="9" t="str">
        <x:f>IF(ISNUMBER(T668),T668*G668,"n.a.")</x:f>
        <x:v>n.a.</x:v>
      </x:c>
      <x:c r="V668" s="25" t="n">
        <x:f>IF(Dashboard!$I$6="Flat %",1,IF(ISNUMBER(H668),1,0))</x:f>
        <x:v>1</x:v>
      </x:c>
      <x:c r="W668" s="9" t="n">
        <x:f>IF(Dashboard!$I$6="Flat %",G668*(1+Dashboard!$L$6),H668)</x:f>
        <x:v>0.015288</x:v>
      </x:c>
      <x:c r="X668" s="9" t="n">
        <x:f>IF(V668=1,R668*(W668-G668),"n.a.")</x:f>
        <x:v>21.2708</x:v>
      </x:c>
      <x:c r="Y668" s="9" t="n">
        <x:f>IF(V668=1,R668*W668,"n.a.")</x:f>
        <x:v>62.6808</x:v>
      </x:c>
      <x:c r="Z668" s="1" t="str">
        <x:f>IF(ISNUMBER(T668),R668-T668,"n.a.")</x:f>
        <x:v>n.a.</x:v>
      </x:c>
      <x:c r="AA668" s="1" t="str">
        <x:f>'Inventory inputs'!R668</x:f>
        <x:v>Review receipt reconciliation or original PO baseline</x:v>
      </x:c>
      <x:c r="AB668" s="1" t="str">
        <x:f>IF(L668=1,SUMIFS('Incoming POs'!$P$2:$P$305,'Incoming POs'!$A$2:$A$305,A668,'Incoming POs'!$B$2:$B$305,B668,'Incoming POs'!$C$2:$C$305,C668,'Incoming POs'!$G$2:$G$305,"&gt;="&amp;D668,'Incoming POs'!$G$2:$G$305,"&lt;"&amp;Dashboard!$I$5,'Incoming POs'!$Q$2:$Q$305,"&lt;="&amp;('Inventory inputs'!P668/'Inventory inputs'!J668*1.01)),"n.a.")</x:f>
        <x:v>n.a.</x:v>
      </x:c>
      <x:c r="AC668" s="9" t="n">
        <x:f>I668*G668</x:f>
        <x:v>0</x:v>
      </x:c>
      <x:c r="AD668" s="9" t="n">
        <x:f>J668*G668</x:f>
        <x:v>0</x:v>
      </x:c>
      <x:c r="AE668" s="9" t="n">
        <x:f>K668*G668</x:f>
        <x:v>41.41</x:v>
      </x:c>
      <x:c r="AF668" s="9" t="n">
        <x:f>R668*G668</x:f>
        <x:v>41.41</x:v>
      </x:c>
    </x:row>
    <x:row r="669" ht="21" customHeight="1">
      <x:c r="A669" s="1" t="str">
        <x:f>'Inventory inputs'!A669</x:f>
        <x:v>PLAS</x:v>
      </x:c>
      <x:c r="B669" s="1" t="str">
        <x:f>'Inventory inputs'!B669</x:f>
        <x:v>10</x:v>
      </x:c>
      <x:c r="C669" s="1" t="str">
        <x:f>'Inventory inputs'!C669</x:f>
        <x:v>51615RWBRED</x:v>
      </x:c>
      <x:c r="D669" s="7" t="n">
        <x:f>'Inventory inputs'!E669</x:f>
        <x:v>46303</x:v>
      </x:c>
      <x:c r="E669" s="1" t="n">
        <x:f>'Inventory inputs'!F669</x:f>
        <x:v>2000</x:v>
      </x:c>
      <x:c r="F669" s="1" t="n">
        <x:f>'Inventory inputs'!G669</x:f>
        <x:v>0</x:v>
      </x:c>
      <x:c r="G669" s="1" t="n">
        <x:f>'Inventory inputs'!H669/'Inventory inputs'!J669</x:f>
        <x:v>0.0101</x:v>
      </x:c>
      <x:c r="H669" s="1" t="n">
        <x:f>IF('Inventory inputs'!I669&gt;0,'Inventory inputs'!I669*'Inventory inputs'!K669/'Inventory inputs'!J669,"n.a.")</x:f>
        <x:v>0.015288</x:v>
      </x:c>
      <x:c r="I669" s="1" t="n">
        <x:f>'Inventory inputs'!L669</x:f>
        <x:v>0</x:v>
      </x:c>
      <x:c r="J669" s="1" t="n">
        <x:f>'Inventory inputs'!M669</x:f>
        <x:v>0</x:v>
      </x:c>
      <x:c r="K669" s="1" t="n">
        <x:f>'Inventory inputs'!N669</x:f>
        <x:v>2000</x:v>
      </x:c>
      <x:c r="L669" s="1" t="n">
        <x:f>'Inventory inputs'!O669</x:f>
        <x:v>0</x:v>
      </x:c>
      <x:c r="M669" s="9" t="n">
        <x:f>E669*G669</x:f>
        <x:v>20.2</x:v>
      </x:c>
      <x:c r="N669" s="9" t="n">
        <x:f>'Inventory inputs'!Q669</x:f>
        <x:v>20.2</x:v>
      </x:c>
      <x:c r="O669" s="9" t="n">
        <x:f>N669-M669</x:f>
        <x:v>0</x:v>
      </x:c>
      <x:c r="P669" s="1" t="n">
        <x:f>SUMIFS('Incoming POs'!$P$2:$P$305,'Incoming POs'!$A$2:$A$305,A669,'Incoming POs'!$B$2:$B$305,B669,'Incoming POs'!$C$2:$C$305,C669,'Incoming POs'!$G$2:$G$305,"&gt;="&amp;D669,'Incoming POs'!$G$2:$G$305,"&lt;"&amp;Dashboard!$I$5)</x:f>
        <x:v>0</x:v>
      </x:c>
      <x:c r="Q669" s="1" t="n">
        <x:f>F669*Dashboard!$L$5*MAX(0,Dashboard!$I$5-D669)/30.4375</x:f>
        <x:v>0</x:v>
      </x:c>
      <x:c r="R669" s="1" t="n">
        <x:f>MAX(0,E669+P669-Q669)</x:f>
        <x:v>2000</x:v>
      </x:c>
      <x:c r="S669" s="1" t="n">
        <x:f>MAX(0,Q669-E669-P669)</x:f>
        <x:v>0</x:v>
      </x:c>
      <x:c r="T669" s="1" t="str">
        <x:f>IF(L669=1,MAX(0,I669+AB669-MIN(Q669,E669+P669)),"n.a.")</x:f>
        <x:v>n.a.</x:v>
      </x:c>
      <x:c r="U669" s="9" t="str">
        <x:f>IF(ISNUMBER(T669),T669*G669,"n.a.")</x:f>
        <x:v>n.a.</x:v>
      </x:c>
      <x:c r="V669" s="25" t="n">
        <x:f>IF(Dashboard!$I$6="Flat %",1,IF(ISNUMBER(H669),1,0))</x:f>
        <x:v>1</x:v>
      </x:c>
      <x:c r="W669" s="9" t="n">
        <x:f>IF(Dashboard!$I$6="Flat %",G669*(1+Dashboard!$L$6),H669)</x:f>
        <x:v>0.015288</x:v>
      </x:c>
      <x:c r="X669" s="9" t="n">
        <x:f>IF(V669=1,R669*(W669-G669),"n.a.")</x:f>
        <x:v>10.376</x:v>
      </x:c>
      <x:c r="Y669" s="9" t="n">
        <x:f>IF(V669=1,R669*W669,"n.a.")</x:f>
        <x:v>30.576</x:v>
      </x:c>
      <x:c r="Z669" s="1" t="str">
        <x:f>IF(ISNUMBER(T669),R669-T669,"n.a.")</x:f>
        <x:v>n.a.</x:v>
      </x:c>
      <x:c r="AA669" s="1" t="str">
        <x:f>'Inventory inputs'!R669</x:f>
        <x:v>Review receipt reconciliation or original PO baseline</x:v>
      </x:c>
      <x:c r="AB669" s="1" t="str">
        <x:f>IF(L669=1,SUMIFS('Incoming POs'!$P$2:$P$305,'Incoming POs'!$A$2:$A$305,A669,'Incoming POs'!$B$2:$B$305,B669,'Incoming POs'!$C$2:$C$305,C669,'Incoming POs'!$G$2:$G$305,"&gt;="&amp;D669,'Incoming POs'!$G$2:$G$305,"&lt;"&amp;Dashboard!$I$5,'Incoming POs'!$Q$2:$Q$305,"&lt;="&amp;('Inventory inputs'!P669/'Inventory inputs'!J669*1.01)),"n.a.")</x:f>
        <x:v>n.a.</x:v>
      </x:c>
      <x:c r="AC669" s="9" t="n">
        <x:f>I669*G669</x:f>
        <x:v>0</x:v>
      </x:c>
      <x:c r="AD669" s="9" t="n">
        <x:f>J669*G669</x:f>
        <x:v>0</x:v>
      </x:c>
      <x:c r="AE669" s="9" t="n">
        <x:f>K669*G669</x:f>
        <x:v>20.2</x:v>
      </x:c>
      <x:c r="AF669" s="9" t="n">
        <x:f>R669*G669</x:f>
        <x:v>20.2</x:v>
      </x:c>
    </x:row>
    <x:row r="670" ht="21" customHeight="1">
      <x:c r="A670" s="1" t="str">
        <x:f>'Inventory inputs'!A670</x:f>
        <x:v>PLAS</x:v>
      </x:c>
      <x:c r="B670" s="1" t="str">
        <x:f>'Inventory inputs'!B670</x:f>
        <x:v>10</x:v>
      </x:c>
      <x:c r="C670" s="1" t="str">
        <x:f>'Inventory inputs'!C670</x:f>
        <x:v>51615RWBWHT</x:v>
      </x:c>
      <x:c r="D670" s="7" t="n">
        <x:f>'Inventory inputs'!E670</x:f>
        <x:v>46303</x:v>
      </x:c>
      <x:c r="E670" s="1" t="n">
        <x:f>'Inventory inputs'!F670</x:f>
        <x:v>3000</x:v>
      </x:c>
      <x:c r="F670" s="1" t="n">
        <x:f>'Inventory inputs'!G670</x:f>
        <x:v>0</x:v>
      </x:c>
      <x:c r="G670" s="1" t="n">
        <x:f>'Inventory inputs'!H670/'Inventory inputs'!J670</x:f>
        <x:v>0.0131</x:v>
      </x:c>
      <x:c r="H670" s="1" t="n">
        <x:f>IF('Inventory inputs'!I670&gt;0,'Inventory inputs'!I670*'Inventory inputs'!K670/'Inventory inputs'!J670,"n.a.")</x:f>
        <x:v>0.015288</x:v>
      </x:c>
      <x:c r="I670" s="1" t="n">
        <x:f>'Inventory inputs'!L670</x:f>
        <x:v>0</x:v>
      </x:c>
      <x:c r="J670" s="1" t="n">
        <x:f>'Inventory inputs'!M670</x:f>
        <x:v>0</x:v>
      </x:c>
      <x:c r="K670" s="1" t="n">
        <x:f>'Inventory inputs'!N670</x:f>
        <x:v>3000</x:v>
      </x:c>
      <x:c r="L670" s="1" t="n">
        <x:f>'Inventory inputs'!O670</x:f>
        <x:v>0</x:v>
      </x:c>
      <x:c r="M670" s="9" t="n">
        <x:f>E670*G670</x:f>
        <x:v>39.300000000000004</x:v>
      </x:c>
      <x:c r="N670" s="9" t="n">
        <x:f>'Inventory inputs'!Q670</x:f>
        <x:v>39.300000000000004</x:v>
      </x:c>
      <x:c r="O670" s="9" t="n">
        <x:f>N670-M670</x:f>
        <x:v>0</x:v>
      </x:c>
      <x:c r="P670" s="1" t="n">
        <x:f>SUMIFS('Incoming POs'!$P$2:$P$305,'Incoming POs'!$A$2:$A$305,A670,'Incoming POs'!$B$2:$B$305,B670,'Incoming POs'!$C$2:$C$305,C670,'Incoming POs'!$G$2:$G$305,"&gt;="&amp;D670,'Incoming POs'!$G$2:$G$305,"&lt;"&amp;Dashboard!$I$5)</x:f>
        <x:v>0</x:v>
      </x:c>
      <x:c r="Q670" s="1" t="n">
        <x:f>F670*Dashboard!$L$5*MAX(0,Dashboard!$I$5-D670)/30.4375</x:f>
        <x:v>0</x:v>
      </x:c>
      <x:c r="R670" s="1" t="n">
        <x:f>MAX(0,E670+P670-Q670)</x:f>
        <x:v>3000</x:v>
      </x:c>
      <x:c r="S670" s="1" t="n">
        <x:f>MAX(0,Q670-E670-P670)</x:f>
        <x:v>0</x:v>
      </x:c>
      <x:c r="T670" s="1" t="str">
        <x:f>IF(L670=1,MAX(0,I670+AB670-MIN(Q670,E670+P670)),"n.a.")</x:f>
        <x:v>n.a.</x:v>
      </x:c>
      <x:c r="U670" s="9" t="str">
        <x:f>IF(ISNUMBER(T670),T670*G670,"n.a.")</x:f>
        <x:v>n.a.</x:v>
      </x:c>
      <x:c r="V670" s="25" t="n">
        <x:f>IF(Dashboard!$I$6="Flat %",1,IF(ISNUMBER(H670),1,0))</x:f>
        <x:v>1</x:v>
      </x:c>
      <x:c r="W670" s="9" t="n">
        <x:f>IF(Dashboard!$I$6="Flat %",G670*(1+Dashboard!$L$6),H670)</x:f>
        <x:v>0.015288</x:v>
      </x:c>
      <x:c r="X670" s="9" t="n">
        <x:f>IF(V670=1,R670*(W670-G670),"n.a.")</x:f>
        <x:v>6.5639999999999965</x:v>
      </x:c>
      <x:c r="Y670" s="9" t="n">
        <x:f>IF(V670=1,R670*W670,"n.a.")</x:f>
        <x:v>45.864</x:v>
      </x:c>
      <x:c r="Z670" s="1" t="str">
        <x:f>IF(ISNUMBER(T670),R670-T670,"n.a.")</x:f>
        <x:v>n.a.</x:v>
      </x:c>
      <x:c r="AA670" s="1" t="str">
        <x:f>'Inventory inputs'!R670</x:f>
        <x:v>Review receipt reconciliation or original PO baseline</x:v>
      </x:c>
      <x:c r="AB670" s="1" t="str">
        <x:f>IF(L670=1,SUMIFS('Incoming POs'!$P$2:$P$305,'Incoming POs'!$A$2:$A$305,A670,'Incoming POs'!$B$2:$B$305,B670,'Incoming POs'!$C$2:$C$305,C670,'Incoming POs'!$G$2:$G$305,"&gt;="&amp;D670,'Incoming POs'!$G$2:$G$305,"&lt;"&amp;Dashboard!$I$5,'Incoming POs'!$Q$2:$Q$305,"&lt;="&amp;('Inventory inputs'!P670/'Inventory inputs'!J670*1.01)),"n.a.")</x:f>
        <x:v>n.a.</x:v>
      </x:c>
      <x:c r="AC670" s="9" t="n">
        <x:f>I670*G670</x:f>
        <x:v>0</x:v>
      </x:c>
      <x:c r="AD670" s="9" t="n">
        <x:f>J670*G670</x:f>
        <x:v>0</x:v>
      </x:c>
      <x:c r="AE670" s="9" t="n">
        <x:f>K670*G670</x:f>
        <x:v>39.300000000000004</x:v>
      </x:c>
      <x:c r="AF670" s="9" t="n">
        <x:f>R670*G670</x:f>
        <x:v>39.300000000000004</x:v>
      </x:c>
    </x:row>
    <x:row r="671" ht="21" customHeight="1">
      <x:c r="A671" s="1" t="str">
        <x:f>'Inventory inputs'!A671</x:f>
        <x:v>PLAS</x:v>
      </x:c>
      <x:c r="B671" s="1" t="str">
        <x:f>'Inventory inputs'!B671</x:f>
        <x:v>10</x:v>
      </x:c>
      <x:c r="C671" s="1" t="str">
        <x:f>'Inventory inputs'!C671</x:f>
        <x:v>51617RWBBLK</x:v>
      </x:c>
      <x:c r="D671" s="7" t="n">
        <x:f>'Inventory inputs'!E671</x:f>
        <x:v>46303</x:v>
      </x:c>
      <x:c r="E671" s="1" t="n">
        <x:f>'Inventory inputs'!F671</x:f>
        <x:v>51900</x:v>
      </x:c>
      <x:c r="F671" s="1" t="n">
        <x:f>'Inventory inputs'!G671</x:f>
        <x:v>0</x:v>
      </x:c>
      <x:c r="G671" s="1" t="n">
        <x:f>'Inventory inputs'!H671/'Inventory inputs'!J671</x:f>
        <x:v>0.0123</x:v>
      </x:c>
      <x:c r="H671" s="1" t="n">
        <x:f>IF('Inventory inputs'!I671&gt;0,'Inventory inputs'!I671*'Inventory inputs'!K671/'Inventory inputs'!J671,"n.a.")</x:f>
        <x:v>0.017492999999999998</x:v>
      </x:c>
      <x:c r="I671" s="1" t="n">
        <x:f>'Inventory inputs'!L671</x:f>
        <x:v>0</x:v>
      </x:c>
      <x:c r="J671" s="1" t="n">
        <x:f>'Inventory inputs'!M671</x:f>
        <x:v>0</x:v>
      </x:c>
      <x:c r="K671" s="1" t="n">
        <x:f>'Inventory inputs'!N671</x:f>
        <x:v>51900</x:v>
      </x:c>
      <x:c r="L671" s="1" t="n">
        <x:f>'Inventory inputs'!O671</x:f>
        <x:v>0</x:v>
      </x:c>
      <x:c r="M671" s="9" t="n">
        <x:f>E671*G671</x:f>
        <x:v>638.37</x:v>
      </x:c>
      <x:c r="N671" s="9" t="n">
        <x:f>'Inventory inputs'!Q671</x:f>
        <x:v>638.37</x:v>
      </x:c>
      <x:c r="O671" s="9" t="n">
        <x:f>N671-M671</x:f>
        <x:v>0</x:v>
      </x:c>
      <x:c r="P671" s="1" t="n">
        <x:f>SUMIFS('Incoming POs'!$P$2:$P$305,'Incoming POs'!$A$2:$A$305,A671,'Incoming POs'!$B$2:$B$305,B671,'Incoming POs'!$C$2:$C$305,C671,'Incoming POs'!$G$2:$G$305,"&gt;="&amp;D671,'Incoming POs'!$G$2:$G$305,"&lt;"&amp;Dashboard!$I$5)</x:f>
        <x:v>0</x:v>
      </x:c>
      <x:c r="Q671" s="1" t="n">
        <x:f>F671*Dashboard!$L$5*MAX(0,Dashboard!$I$5-D671)/30.4375</x:f>
        <x:v>0</x:v>
      </x:c>
      <x:c r="R671" s="1" t="n">
        <x:f>MAX(0,E671+P671-Q671)</x:f>
        <x:v>51900</x:v>
      </x:c>
      <x:c r="S671" s="1" t="n">
        <x:f>MAX(0,Q671-E671-P671)</x:f>
        <x:v>0</x:v>
      </x:c>
      <x:c r="T671" s="1" t="str">
        <x:f>IF(L671=1,MAX(0,I671+AB671-MIN(Q671,E671+P671)),"n.a.")</x:f>
        <x:v>n.a.</x:v>
      </x:c>
      <x:c r="U671" s="9" t="str">
        <x:f>IF(ISNUMBER(T671),T671*G671,"n.a.")</x:f>
        <x:v>n.a.</x:v>
      </x:c>
      <x:c r="V671" s="25" t="n">
        <x:f>IF(Dashboard!$I$6="Flat %",1,IF(ISNUMBER(H671),1,0))</x:f>
        <x:v>1</x:v>
      </x:c>
      <x:c r="W671" s="9" t="n">
        <x:f>IF(Dashboard!$I$6="Flat %",G671*(1+Dashboard!$L$6),H671)</x:f>
        <x:v>0.017492999999999998</x:v>
      </x:c>
      <x:c r="X671" s="9" t="n">
        <x:f>IF(V671=1,R671*(W671-G671),"n.a.")</x:f>
        <x:v>269.5166999999999</x:v>
      </x:c>
      <x:c r="Y671" s="9" t="n">
        <x:f>IF(V671=1,R671*W671,"n.a.")</x:f>
        <x:v>907.8866999999999</x:v>
      </x:c>
      <x:c r="Z671" s="1" t="str">
        <x:f>IF(ISNUMBER(T671),R671-T671,"n.a.")</x:f>
        <x:v>n.a.</x:v>
      </x:c>
      <x:c r="AA671" s="1" t="str">
        <x:f>'Inventory inputs'!R671</x:f>
        <x:v>Review receipt reconciliation or original PO baseline</x:v>
      </x:c>
      <x:c r="AB671" s="1" t="str">
        <x:f>IF(L671=1,SUMIFS('Incoming POs'!$P$2:$P$305,'Incoming POs'!$A$2:$A$305,A671,'Incoming POs'!$B$2:$B$305,B671,'Incoming POs'!$C$2:$C$305,C671,'Incoming POs'!$G$2:$G$305,"&gt;="&amp;D671,'Incoming POs'!$G$2:$G$305,"&lt;"&amp;Dashboard!$I$5,'Incoming POs'!$Q$2:$Q$305,"&lt;="&amp;('Inventory inputs'!P671/'Inventory inputs'!J671*1.01)),"n.a.")</x:f>
        <x:v>n.a.</x:v>
      </x:c>
      <x:c r="AC671" s="9" t="n">
        <x:f>I671*G671</x:f>
        <x:v>0</x:v>
      </x:c>
      <x:c r="AD671" s="9" t="n">
        <x:f>J671*G671</x:f>
        <x:v>0</x:v>
      </x:c>
      <x:c r="AE671" s="9" t="n">
        <x:f>K671*G671</x:f>
        <x:v>638.37</x:v>
      </x:c>
      <x:c r="AF671" s="9" t="n">
        <x:f>R671*G671</x:f>
        <x:v>638.37</x:v>
      </x:c>
    </x:row>
    <x:row r="672" ht="21" customHeight="1">
      <x:c r="A672" s="1" t="str">
        <x:f>'Inventory inputs'!A672</x:f>
        <x:v>PLAS</x:v>
      </x:c>
      <x:c r="B672" s="1" t="str">
        <x:f>'Inventory inputs'!B672</x:f>
        <x:v>10</x:v>
      </x:c>
      <x:c r="C672" s="1" t="str">
        <x:f>'Inventory inputs'!C672</x:f>
        <x:v>51617RWBBLU</x:v>
      </x:c>
      <x:c r="D672" s="7" t="n">
        <x:f>'Inventory inputs'!E672</x:f>
        <x:v>46303</x:v>
      </x:c>
      <x:c r="E672" s="1" t="n">
        <x:f>'Inventory inputs'!F672</x:f>
        <x:v>26000</x:v>
      </x:c>
      <x:c r="F672" s="1" t="n">
        <x:f>'Inventory inputs'!G672</x:f>
        <x:v>0</x:v>
      </x:c>
      <x:c r="G672" s="1" t="n">
        <x:f>'Inventory inputs'!H672/'Inventory inputs'!J672</x:f>
        <x:v>0.01</x:v>
      </x:c>
      <x:c r="H672" s="1" t="str">
        <x:f>IF('Inventory inputs'!I672&gt;0,'Inventory inputs'!I672*'Inventory inputs'!K672/'Inventory inputs'!J672,"n.a.")</x:f>
        <x:v>n.a.</x:v>
      </x:c>
      <x:c r="I672" s="1" t="n">
        <x:f>'Inventory inputs'!L672</x:f>
        <x:v>0</x:v>
      </x:c>
      <x:c r="J672" s="1" t="n">
        <x:f>'Inventory inputs'!M672</x:f>
        <x:v>0</x:v>
      </x:c>
      <x:c r="K672" s="1" t="n">
        <x:f>'Inventory inputs'!N672</x:f>
        <x:v>26000</x:v>
      </x:c>
      <x:c r="L672" s="1" t="n">
        <x:f>'Inventory inputs'!O672</x:f>
        <x:v>0</x:v>
      </x:c>
      <x:c r="M672" s="9" t="n">
        <x:f>E672*G672</x:f>
        <x:v>260</x:v>
      </x:c>
      <x:c r="N672" s="9" t="n">
        <x:f>'Inventory inputs'!Q672</x:f>
        <x:v>260</x:v>
      </x:c>
      <x:c r="O672" s="9" t="n">
        <x:f>N672-M672</x:f>
        <x:v>0</x:v>
      </x:c>
      <x:c r="P672" s="1" t="n">
        <x:f>SUMIFS('Incoming POs'!$P$2:$P$305,'Incoming POs'!$A$2:$A$305,A672,'Incoming POs'!$B$2:$B$305,B672,'Incoming POs'!$C$2:$C$305,C672,'Incoming POs'!$G$2:$G$305,"&gt;="&amp;D672,'Incoming POs'!$G$2:$G$305,"&lt;"&amp;Dashboard!$I$5)</x:f>
        <x:v>0</x:v>
      </x:c>
      <x:c r="Q672" s="1" t="n">
        <x:f>F672*Dashboard!$L$5*MAX(0,Dashboard!$I$5-D672)/30.4375</x:f>
        <x:v>0</x:v>
      </x:c>
      <x:c r="R672" s="1" t="n">
        <x:f>MAX(0,E672+P672-Q672)</x:f>
        <x:v>26000</x:v>
      </x:c>
      <x:c r="S672" s="1" t="n">
        <x:f>MAX(0,Q672-E672-P672)</x:f>
        <x:v>0</x:v>
      </x:c>
      <x:c r="T672" s="1" t="str">
        <x:f>IF(L672=1,MAX(0,I672+AB672-MIN(Q672,E672+P672)),"n.a.")</x:f>
        <x:v>n.a.</x:v>
      </x:c>
      <x:c r="U672" s="9" t="str">
        <x:f>IF(ISNUMBER(T672),T672*G672,"n.a.")</x:f>
        <x:v>n.a.</x:v>
      </x:c>
      <x:c r="V672" s="25" t="n">
        <x:f>IF(Dashboard!$I$6="Flat %",1,IF(ISNUMBER(H672),1,0))</x:f>
        <x:v>0</x:v>
      </x:c>
      <x:c r="W672" s="9" t="str">
        <x:f>IF(Dashboard!$I$6="Flat %",G672*(1+Dashboard!$L$6),H672)</x:f>
        <x:v>n.a.</x:v>
      </x:c>
      <x:c r="X672" s="9" t="str">
        <x:f>IF(V672=1,R672*(W672-G672),"n.a.")</x:f>
        <x:v>n.a.</x:v>
      </x:c>
      <x:c r="Y672" s="9" t="str">
        <x:f>IF(V672=1,R672*W672,"n.a.")</x:f>
        <x:v>n.a.</x:v>
      </x:c>
      <x:c r="Z672" s="1" t="str">
        <x:f>IF(ISNUMBER(T672),R672-T672,"n.a.")</x:f>
        <x:v>n.a.</x:v>
      </x:c>
      <x:c r="AA672" s="1" t="str">
        <x:f>'Inventory inputs'!R672</x:f>
        <x:v>Review receipt reconciliation or original PO baseline</x:v>
      </x:c>
      <x:c r="AB672" s="1" t="str">
        <x:f>IF(L672=1,SUMIFS('Incoming POs'!$P$2:$P$305,'Incoming POs'!$A$2:$A$305,A672,'Incoming POs'!$B$2:$B$305,B672,'Incoming POs'!$C$2:$C$305,C672,'Incoming POs'!$G$2:$G$305,"&gt;="&amp;D672,'Incoming POs'!$G$2:$G$305,"&lt;"&amp;Dashboard!$I$5,'Incoming POs'!$Q$2:$Q$305,"&lt;="&amp;('Inventory inputs'!P672/'Inventory inputs'!J672*1.01)),"n.a.")</x:f>
        <x:v>n.a.</x:v>
      </x:c>
      <x:c r="AC672" s="9" t="n">
        <x:f>I672*G672</x:f>
        <x:v>0</x:v>
      </x:c>
      <x:c r="AD672" s="9" t="n">
        <x:f>J672*G672</x:f>
        <x:v>0</x:v>
      </x:c>
      <x:c r="AE672" s="9" t="n">
        <x:f>K672*G672</x:f>
        <x:v>260</x:v>
      </x:c>
      <x:c r="AF672" s="9" t="n">
        <x:f>R672*G672</x:f>
        <x:v>260</x:v>
      </x:c>
    </x:row>
    <x:row r="673" ht="21" customHeight="1">
      <x:c r="A673" s="1" t="str">
        <x:f>'Inventory inputs'!A673</x:f>
        <x:v>PLAS</x:v>
      </x:c>
      <x:c r="B673" s="1" t="str">
        <x:f>'Inventory inputs'!B673</x:f>
        <x:v>10</x:v>
      </x:c>
      <x:c r="C673" s="1" t="str">
        <x:f>'Inventory inputs'!C673</x:f>
        <x:v>51621RWBWHT</x:v>
      </x:c>
      <x:c r="D673" s="7" t="n">
        <x:f>'Inventory inputs'!E673</x:f>
        <x:v>46303</x:v>
      </x:c>
      <x:c r="E673" s="1" t="n">
        <x:f>'Inventory inputs'!F673</x:f>
        <x:v>39970</x:v>
      </x:c>
      <x:c r="F673" s="1" t="n">
        <x:f>'Inventory inputs'!G673</x:f>
        <x:v>0</x:v>
      </x:c>
      <x:c r="G673" s="1" t="n">
        <x:f>'Inventory inputs'!H673/'Inventory inputs'!J673</x:f>
        <x:v>0.018799999999999997</x:v>
      </x:c>
      <x:c r="H673" s="1" t="n">
        <x:f>IF('Inventory inputs'!I673&gt;0,'Inventory inputs'!I673*'Inventory inputs'!K673/'Inventory inputs'!J673,"n.a.")</x:f>
        <x:v>0.02205</x:v>
      </x:c>
      <x:c r="I673" s="1" t="n">
        <x:f>'Inventory inputs'!L673</x:f>
        <x:v>0</x:v>
      </x:c>
      <x:c r="J673" s="1" t="n">
        <x:f>'Inventory inputs'!M673</x:f>
        <x:v>0</x:v>
      </x:c>
      <x:c r="K673" s="1" t="n">
        <x:f>'Inventory inputs'!N673</x:f>
        <x:v>39970</x:v>
      </x:c>
      <x:c r="L673" s="1" t="n">
        <x:f>'Inventory inputs'!O673</x:f>
        <x:v>0</x:v>
      </x:c>
      <x:c r="M673" s="9" t="n">
        <x:f>E673*G673</x:f>
        <x:v>751.4359999999999</x:v>
      </x:c>
      <x:c r="N673" s="9" t="n">
        <x:f>'Inventory inputs'!Q673</x:f>
        <x:v>751.4359999999999</x:v>
      </x:c>
      <x:c r="O673" s="9" t="n">
        <x:f>N673-M673</x:f>
        <x:v>0</x:v>
      </x:c>
      <x:c r="P673" s="1" t="n">
        <x:f>SUMIFS('Incoming POs'!$P$2:$P$305,'Incoming POs'!$A$2:$A$305,A673,'Incoming POs'!$B$2:$B$305,B673,'Incoming POs'!$C$2:$C$305,C673,'Incoming POs'!$G$2:$G$305,"&gt;="&amp;D673,'Incoming POs'!$G$2:$G$305,"&lt;"&amp;Dashboard!$I$5)</x:f>
        <x:v>0</x:v>
      </x:c>
      <x:c r="Q673" s="1" t="n">
        <x:f>F673*Dashboard!$L$5*MAX(0,Dashboard!$I$5-D673)/30.4375</x:f>
        <x:v>0</x:v>
      </x:c>
      <x:c r="R673" s="1" t="n">
        <x:f>MAX(0,E673+P673-Q673)</x:f>
        <x:v>39970</x:v>
      </x:c>
      <x:c r="S673" s="1" t="n">
        <x:f>MAX(0,Q673-E673-P673)</x:f>
        <x:v>0</x:v>
      </x:c>
      <x:c r="T673" s="1" t="str">
        <x:f>IF(L673=1,MAX(0,I673+AB673-MIN(Q673,E673+P673)),"n.a.")</x:f>
        <x:v>n.a.</x:v>
      </x:c>
      <x:c r="U673" s="9" t="str">
        <x:f>IF(ISNUMBER(T673),T673*G673,"n.a.")</x:f>
        <x:v>n.a.</x:v>
      </x:c>
      <x:c r="V673" s="25" t="n">
        <x:f>IF(Dashboard!$I$6="Flat %",1,IF(ISNUMBER(H673),1,0))</x:f>
        <x:v>1</x:v>
      </x:c>
      <x:c r="W673" s="9" t="n">
        <x:f>IF(Dashboard!$I$6="Flat %",G673*(1+Dashboard!$L$6),H673)</x:f>
        <x:v>0.02205</x:v>
      </x:c>
      <x:c r="X673" s="9" t="n">
        <x:f>IF(V673=1,R673*(W673-G673),"n.a.")</x:f>
        <x:v>129.90250000000012</x:v>
      </x:c>
      <x:c r="Y673" s="9" t="n">
        <x:f>IF(V673=1,R673*W673,"n.a.")</x:f>
        <x:v>881.3385</x:v>
      </x:c>
      <x:c r="Z673" s="1" t="str">
        <x:f>IF(ISNUMBER(T673),R673-T673,"n.a.")</x:f>
        <x:v>n.a.</x:v>
      </x:c>
      <x:c r="AA673" s="1" t="str">
        <x:f>'Inventory inputs'!R673</x:f>
        <x:v>Review receipt reconciliation or original PO baseline</x:v>
      </x:c>
      <x:c r="AB673" s="1" t="str">
        <x:f>IF(L673=1,SUMIFS('Incoming POs'!$P$2:$P$305,'Incoming POs'!$A$2:$A$305,A673,'Incoming POs'!$B$2:$B$305,B673,'Incoming POs'!$C$2:$C$305,C673,'Incoming POs'!$G$2:$G$305,"&gt;="&amp;D673,'Incoming POs'!$G$2:$G$305,"&lt;"&amp;Dashboard!$I$5,'Incoming POs'!$Q$2:$Q$305,"&lt;="&amp;('Inventory inputs'!P673/'Inventory inputs'!J673*1.01)),"n.a.")</x:f>
        <x:v>n.a.</x:v>
      </x:c>
      <x:c r="AC673" s="9" t="n">
        <x:f>I673*G673</x:f>
        <x:v>0</x:v>
      </x:c>
      <x:c r="AD673" s="9" t="n">
        <x:f>J673*G673</x:f>
        <x:v>0</x:v>
      </x:c>
      <x:c r="AE673" s="9" t="n">
        <x:f>K673*G673</x:f>
        <x:v>751.4359999999999</x:v>
      </x:c>
      <x:c r="AF673" s="9" t="n">
        <x:f>R673*G673</x:f>
        <x:v>751.4359999999999</x:v>
      </x:c>
    </x:row>
    <x:row r="674" ht="21" customHeight="1">
      <x:c r="A674" s="1" t="str">
        <x:f>'Inventory inputs'!A674</x:f>
        <x:v>PLAS</x:v>
      </x:c>
      <x:c r="B674" s="1" t="str">
        <x:f>'Inventory inputs'!B674</x:f>
        <x:v>10</x:v>
      </x:c>
      <x:c r="C674" s="1" t="str">
        <x:f>'Inventory inputs'!C674</x:f>
        <x:v>51680RWBBLK</x:v>
      </x:c>
      <x:c r="D674" s="7" t="n">
        <x:f>'Inventory inputs'!E674</x:f>
        <x:v>46303</x:v>
      </x:c>
      <x:c r="E674" s="1" t="n">
        <x:f>'Inventory inputs'!F674</x:f>
        <x:v>4344</x:v>
      </x:c>
      <x:c r="F674" s="1" t="n">
        <x:f>'Inventory inputs'!G674</x:f>
        <x:v>0</x:v>
      </x:c>
      <x:c r="G674" s="1" t="n">
        <x:f>'Inventory inputs'!H674/'Inventory inputs'!J674</x:f>
        <x:v>0.0741</x:v>
      </x:c>
      <x:c r="H674" s="1" t="n">
        <x:f>IF('Inventory inputs'!I674&gt;0,'Inventory inputs'!I674*'Inventory inputs'!K674/'Inventory inputs'!J674,"n.a.")</x:f>
        <x:v>0.08673</x:v>
      </x:c>
      <x:c r="I674" s="1" t="n">
        <x:f>'Inventory inputs'!L674</x:f>
        <x:v>2844</x:v>
      </x:c>
      <x:c r="J674" s="1" t="n">
        <x:f>'Inventory inputs'!M674</x:f>
        <x:v>1500</x:v>
      </x:c>
      <x:c r="K674" s="1" t="n">
        <x:f>'Inventory inputs'!N674</x:f>
        <x:v>0</x:v>
      </x:c>
      <x:c r="L674" s="1" t="n">
        <x:f>'Inventory inputs'!O674</x:f>
        <x:v>1</x:v>
      </x:c>
      <x:c r="M674" s="9" t="n">
        <x:f>E674*G674</x:f>
        <x:v>321.8904</x:v>
      </x:c>
      <x:c r="N674" s="9" t="n">
        <x:f>'Inventory inputs'!Q674</x:f>
        <x:v>321.8904</x:v>
      </x:c>
      <x:c r="O674" s="9" t="n">
        <x:f>N674-M674</x:f>
        <x:v>0</x:v>
      </x:c>
      <x:c r="P674" s="1" t="n">
        <x:f>SUMIFS('Incoming POs'!$P$2:$P$305,'Incoming POs'!$A$2:$A$305,A674,'Incoming POs'!$B$2:$B$305,B674,'Incoming POs'!$C$2:$C$305,C674,'Incoming POs'!$G$2:$G$305,"&gt;="&amp;D674,'Incoming POs'!$G$2:$G$305,"&lt;"&amp;Dashboard!$I$5)</x:f>
        <x:v>0</x:v>
      </x:c>
      <x:c r="Q674" s="1" t="n">
        <x:f>F674*Dashboard!$L$5*MAX(0,Dashboard!$I$5-D674)/30.4375</x:f>
        <x:v>0</x:v>
      </x:c>
      <x:c r="R674" s="1" t="n">
        <x:f>MAX(0,E674+P674-Q674)</x:f>
        <x:v>4344</x:v>
      </x:c>
      <x:c r="S674" s="1" t="n">
        <x:f>MAX(0,Q674-E674-P674)</x:f>
        <x:v>0</x:v>
      </x:c>
      <x:c r="T674" s="1" t="n">
        <x:f>IF(L674=1,MAX(0,I674+AB674-MIN(Q674,E674+P674)),"n.a.")</x:f>
        <x:v>2844</x:v>
      </x:c>
      <x:c r="U674" s="9" t="n">
        <x:f>IF(ISNUMBER(T674),T674*G674,"n.a.")</x:f>
        <x:v>210.7404</x:v>
      </x:c>
      <x:c r="V674" s="25" t="n">
        <x:f>IF(Dashboard!$I$6="Flat %",1,IF(ISNUMBER(H674),1,0))</x:f>
        <x:v>1</x:v>
      </x:c>
      <x:c r="W674" s="9" t="n">
        <x:f>IF(Dashboard!$I$6="Flat %",G674*(1+Dashboard!$L$6),H674)</x:f>
        <x:v>0.08673</x:v>
      </x:c>
      <x:c r="X674" s="9" t="n">
        <x:f>IF(V674=1,R674*(W674-G674),"n.a.")</x:f>
        <x:v>54.86472000000001</x:v>
      </x:c>
      <x:c r="Y674" s="9" t="n">
        <x:f>IF(V674=1,R674*W674,"n.a.")</x:f>
        <x:v>376.75512000000003</x:v>
      </x:c>
      <x:c r="Z674" s="1" t="n">
        <x:f>IF(ISNUMBER(T674),R674-T674,"n.a.")</x:f>
        <x:v>1500</x:v>
      </x:c>
      <x:c r="AA674" s="1" t="str">
        <x:f>'Inventory inputs'!R674</x:f>
        <x:v>Classified</x:v>
      </x:c>
      <x:c r="AB674" s="1" t="n">
        <x:f>IF(L674=1,SUMIFS('Incoming POs'!$P$2:$P$305,'Incoming POs'!$A$2:$A$305,A674,'Incoming POs'!$B$2:$B$305,B674,'Incoming POs'!$C$2:$C$305,C674,'Incoming POs'!$G$2:$G$305,"&gt;="&amp;D674,'Incoming POs'!$G$2:$G$305,"&lt;"&amp;Dashboard!$I$5,'Incoming POs'!$Q$2:$Q$305,"&lt;="&amp;('Inventory inputs'!P674/'Inventory inputs'!J674*1.01)),"n.a.")</x:f>
        <x:v>0</x:v>
      </x:c>
      <x:c r="AC674" s="9" t="n">
        <x:f>I674*G674</x:f>
        <x:v>210.7404</x:v>
      </x:c>
      <x:c r="AD674" s="9" t="n">
        <x:f>J674*G674</x:f>
        <x:v>111.15</x:v>
      </x:c>
      <x:c r="AE674" s="9" t="n">
        <x:f>K674*G674</x:f>
        <x:v>0</x:v>
      </x:c>
      <x:c r="AF674" s="9" t="n">
        <x:f>R674*G674</x:f>
        <x:v>321.8904</x:v>
      </x:c>
    </x:row>
    <x:row r="675" ht="21" customHeight="1">
      <x:c r="A675" s="1" t="str">
        <x:f>'Inventory inputs'!A675</x:f>
        <x:v>PLAS</x:v>
      </x:c>
      <x:c r="B675" s="1" t="str">
        <x:f>'Inventory inputs'!B675</x:f>
        <x:v>10</x:v>
      </x:c>
      <x:c r="C675" s="1" t="str">
        <x:f>'Inventory inputs'!C675</x:f>
        <x:v>51680RWBCLR</x:v>
      </x:c>
      <x:c r="D675" s="7" t="n">
        <x:f>'Inventory inputs'!E675</x:f>
        <x:v>46303</x:v>
      </x:c>
      <x:c r="E675" s="1" t="n">
        <x:f>'Inventory inputs'!F675</x:f>
        <x:v>402</x:v>
      </x:c>
      <x:c r="F675" s="1" t="n">
        <x:f>'Inventory inputs'!G675</x:f>
        <x:v>0</x:v>
      </x:c>
      <x:c r="G675" s="1" t="n">
        <x:f>'Inventory inputs'!H675/'Inventory inputs'!J675</x:f>
        <x:v>0.0553</x:v>
      </x:c>
      <x:c r="H675" s="1" t="str">
        <x:f>IF('Inventory inputs'!I675&gt;0,'Inventory inputs'!I675*'Inventory inputs'!K675/'Inventory inputs'!J675,"n.a.")</x:f>
        <x:v>n.a.</x:v>
      </x:c>
      <x:c r="I675" s="1" t="n">
        <x:f>'Inventory inputs'!L675</x:f>
        <x:v>0</x:v>
      </x:c>
      <x:c r="J675" s="1" t="n">
        <x:f>'Inventory inputs'!M675</x:f>
        <x:v>0</x:v>
      </x:c>
      <x:c r="K675" s="1" t="n">
        <x:f>'Inventory inputs'!N675</x:f>
        <x:v>402</x:v>
      </x:c>
      <x:c r="L675" s="1" t="n">
        <x:f>'Inventory inputs'!O675</x:f>
        <x:v>0</x:v>
      </x:c>
      <x:c r="M675" s="9" t="n">
        <x:f>E675*G675</x:f>
        <x:v>22.2306</x:v>
      </x:c>
      <x:c r="N675" s="9" t="n">
        <x:f>'Inventory inputs'!Q675</x:f>
        <x:v>22.2306</x:v>
      </x:c>
      <x:c r="O675" s="9" t="n">
        <x:f>N675-M675</x:f>
        <x:v>0</x:v>
      </x:c>
      <x:c r="P675" s="1" t="n">
        <x:f>SUMIFS('Incoming POs'!$P$2:$P$305,'Incoming POs'!$A$2:$A$305,A675,'Incoming POs'!$B$2:$B$305,B675,'Incoming POs'!$C$2:$C$305,C675,'Incoming POs'!$G$2:$G$305,"&gt;="&amp;D675,'Incoming POs'!$G$2:$G$305,"&lt;"&amp;Dashboard!$I$5)</x:f>
        <x:v>0</x:v>
      </x:c>
      <x:c r="Q675" s="1" t="n">
        <x:f>F675*Dashboard!$L$5*MAX(0,Dashboard!$I$5-D675)/30.4375</x:f>
        <x:v>0</x:v>
      </x:c>
      <x:c r="R675" s="1" t="n">
        <x:f>MAX(0,E675+P675-Q675)</x:f>
        <x:v>402</x:v>
      </x:c>
      <x:c r="S675" s="1" t="n">
        <x:f>MAX(0,Q675-E675-P675)</x:f>
        <x:v>0</x:v>
      </x:c>
      <x:c r="T675" s="1" t="str">
        <x:f>IF(L675=1,MAX(0,I675+AB675-MIN(Q675,E675+P675)),"n.a.")</x:f>
        <x:v>n.a.</x:v>
      </x:c>
      <x:c r="U675" s="9" t="str">
        <x:f>IF(ISNUMBER(T675),T675*G675,"n.a.")</x:f>
        <x:v>n.a.</x:v>
      </x:c>
      <x:c r="V675" s="25" t="n">
        <x:f>IF(Dashboard!$I$6="Flat %",1,IF(ISNUMBER(H675),1,0))</x:f>
        <x:v>0</x:v>
      </x:c>
      <x:c r="W675" s="9" t="str">
        <x:f>IF(Dashboard!$I$6="Flat %",G675*(1+Dashboard!$L$6),H675)</x:f>
        <x:v>n.a.</x:v>
      </x:c>
      <x:c r="X675" s="9" t="str">
        <x:f>IF(V675=1,R675*(W675-G675),"n.a.")</x:f>
        <x:v>n.a.</x:v>
      </x:c>
      <x:c r="Y675" s="9" t="str">
        <x:f>IF(V675=1,R675*W675,"n.a.")</x:f>
        <x:v>n.a.</x:v>
      </x:c>
      <x:c r="Z675" s="1" t="str">
        <x:f>IF(ISNUMBER(T675),R675-T675,"n.a.")</x:f>
        <x:v>n.a.</x:v>
      </x:c>
      <x:c r="AA675" s="1" t="str">
        <x:f>'Inventory inputs'!R675</x:f>
        <x:v>Review receipt reconciliation or original PO baseline</x:v>
      </x:c>
      <x:c r="AB675" s="1" t="str">
        <x:f>IF(L675=1,SUMIFS('Incoming POs'!$P$2:$P$305,'Incoming POs'!$A$2:$A$305,A675,'Incoming POs'!$B$2:$B$305,B675,'Incoming POs'!$C$2:$C$305,C675,'Incoming POs'!$G$2:$G$305,"&gt;="&amp;D675,'Incoming POs'!$G$2:$G$305,"&lt;"&amp;Dashboard!$I$5,'Incoming POs'!$Q$2:$Q$305,"&lt;="&amp;('Inventory inputs'!P675/'Inventory inputs'!J675*1.01)),"n.a.")</x:f>
        <x:v>n.a.</x:v>
      </x:c>
      <x:c r="AC675" s="9" t="n">
        <x:f>I675*G675</x:f>
        <x:v>0</x:v>
      </x:c>
      <x:c r="AD675" s="9" t="n">
        <x:f>J675*G675</x:f>
        <x:v>0</x:v>
      </x:c>
      <x:c r="AE675" s="9" t="n">
        <x:f>K675*G675</x:f>
        <x:v>22.2306</x:v>
      </x:c>
      <x:c r="AF675" s="9" t="n">
        <x:f>R675*G675</x:f>
        <x:v>22.2306</x:v>
      </x:c>
    </x:row>
    <x:row r="676" ht="21" customHeight="1">
      <x:c r="A676" s="1" t="str">
        <x:f>'Inventory inputs'!A676</x:f>
        <x:v>PLAS</x:v>
      </x:c>
      <x:c r="B676" s="1" t="str">
        <x:f>'Inventory inputs'!B676</x:f>
        <x:v>10</x:v>
      </x:c>
      <x:c r="C676" s="1" t="str">
        <x:f>'Inventory inputs'!C676</x:f>
        <x:v>51680RWBFG</x:v>
      </x:c>
      <x:c r="D676" s="7" t="n">
        <x:f>'Inventory inputs'!E676</x:f>
        <x:v>46303</x:v>
      </x:c>
      <x:c r="E676" s="1" t="n">
        <x:f>'Inventory inputs'!F676</x:f>
        <x:v>2290</x:v>
      </x:c>
      <x:c r="F676" s="1" t="n">
        <x:f>'Inventory inputs'!G676</x:f>
        <x:v>0</x:v>
      </x:c>
      <x:c r="G676" s="1" t="n">
        <x:f>'Inventory inputs'!H676/'Inventory inputs'!J676</x:f>
        <x:v>0.0553</x:v>
      </x:c>
      <x:c r="H676" s="1" t="str">
        <x:f>IF('Inventory inputs'!I676&gt;0,'Inventory inputs'!I676*'Inventory inputs'!K676/'Inventory inputs'!J676,"n.a.")</x:f>
        <x:v>n.a.</x:v>
      </x:c>
      <x:c r="I676" s="1" t="n">
        <x:f>'Inventory inputs'!L676</x:f>
        <x:v>0</x:v>
      </x:c>
      <x:c r="J676" s="1" t="n">
        <x:f>'Inventory inputs'!M676</x:f>
        <x:v>0</x:v>
      </x:c>
      <x:c r="K676" s="1" t="n">
        <x:f>'Inventory inputs'!N676</x:f>
        <x:v>2290</x:v>
      </x:c>
      <x:c r="L676" s="1" t="n">
        <x:f>'Inventory inputs'!O676</x:f>
        <x:v>0</x:v>
      </x:c>
      <x:c r="M676" s="9" t="n">
        <x:f>E676*G676</x:f>
        <x:v>126.637</x:v>
      </x:c>
      <x:c r="N676" s="9" t="n">
        <x:f>'Inventory inputs'!Q676</x:f>
        <x:v>126.63700000000001</x:v>
      </x:c>
      <x:c r="O676" s="9" t="n">
        <x:f>N676-M676</x:f>
        <x:v>1.4210854715202004e-14</x:v>
      </x:c>
      <x:c r="P676" s="1" t="n">
        <x:f>SUMIFS('Incoming POs'!$P$2:$P$305,'Incoming POs'!$A$2:$A$305,A676,'Incoming POs'!$B$2:$B$305,B676,'Incoming POs'!$C$2:$C$305,C676,'Incoming POs'!$G$2:$G$305,"&gt;="&amp;D676,'Incoming POs'!$G$2:$G$305,"&lt;"&amp;Dashboard!$I$5)</x:f>
        <x:v>0</x:v>
      </x:c>
      <x:c r="Q676" s="1" t="n">
        <x:f>F676*Dashboard!$L$5*MAX(0,Dashboard!$I$5-D676)/30.4375</x:f>
        <x:v>0</x:v>
      </x:c>
      <x:c r="R676" s="1" t="n">
        <x:f>MAX(0,E676+P676-Q676)</x:f>
        <x:v>2290</x:v>
      </x:c>
      <x:c r="S676" s="1" t="n">
        <x:f>MAX(0,Q676-E676-P676)</x:f>
        <x:v>0</x:v>
      </x:c>
      <x:c r="T676" s="1" t="str">
        <x:f>IF(L676=1,MAX(0,I676+AB676-MIN(Q676,E676+P676)),"n.a.")</x:f>
        <x:v>n.a.</x:v>
      </x:c>
      <x:c r="U676" s="9" t="str">
        <x:f>IF(ISNUMBER(T676),T676*G676,"n.a.")</x:f>
        <x:v>n.a.</x:v>
      </x:c>
      <x:c r="V676" s="25" t="n">
        <x:f>IF(Dashboard!$I$6="Flat %",1,IF(ISNUMBER(H676),1,0))</x:f>
        <x:v>0</x:v>
      </x:c>
      <x:c r="W676" s="9" t="str">
        <x:f>IF(Dashboard!$I$6="Flat %",G676*(1+Dashboard!$L$6),H676)</x:f>
        <x:v>n.a.</x:v>
      </x:c>
      <x:c r="X676" s="9" t="str">
        <x:f>IF(V676=1,R676*(W676-G676),"n.a.")</x:f>
        <x:v>n.a.</x:v>
      </x:c>
      <x:c r="Y676" s="9" t="str">
        <x:f>IF(V676=1,R676*W676,"n.a.")</x:f>
        <x:v>n.a.</x:v>
      </x:c>
      <x:c r="Z676" s="1" t="str">
        <x:f>IF(ISNUMBER(T676),R676-T676,"n.a.")</x:f>
        <x:v>n.a.</x:v>
      </x:c>
      <x:c r="AA676" s="1" t="str">
        <x:f>'Inventory inputs'!R676</x:f>
        <x:v>Review receipt reconciliation or original PO baseline</x:v>
      </x:c>
      <x:c r="AB676" s="1" t="str">
        <x:f>IF(L676=1,SUMIFS('Incoming POs'!$P$2:$P$305,'Incoming POs'!$A$2:$A$305,A676,'Incoming POs'!$B$2:$B$305,B676,'Incoming POs'!$C$2:$C$305,C676,'Incoming POs'!$G$2:$G$305,"&gt;="&amp;D676,'Incoming POs'!$G$2:$G$305,"&lt;"&amp;Dashboard!$I$5,'Incoming POs'!$Q$2:$Q$305,"&lt;="&amp;('Inventory inputs'!P676/'Inventory inputs'!J676*1.01)),"n.a.")</x:f>
        <x:v>n.a.</x:v>
      </x:c>
      <x:c r="AC676" s="9" t="n">
        <x:f>I676*G676</x:f>
        <x:v>0</x:v>
      </x:c>
      <x:c r="AD676" s="9" t="n">
        <x:f>J676*G676</x:f>
        <x:v>0</x:v>
      </x:c>
      <x:c r="AE676" s="9" t="n">
        <x:f>K676*G676</x:f>
        <x:v>126.637</x:v>
      </x:c>
      <x:c r="AF676" s="9" t="n">
        <x:f>R676*G676</x:f>
        <x:v>126.637</x:v>
      </x:c>
    </x:row>
    <x:row r="677" ht="21" customHeight="1">
      <x:c r="A677" s="1" t="str">
        <x:f>'Inventory inputs'!A677</x:f>
        <x:v>PLAS</x:v>
      </x:c>
      <x:c r="B677" s="1" t="str">
        <x:f>'Inventory inputs'!B677</x:f>
        <x:v>10</x:v>
      </x:c>
      <x:c r="C677" s="1" t="str">
        <x:f>'Inventory inputs'!C677</x:f>
        <x:v>51680RWBMAR</x:v>
      </x:c>
      <x:c r="D677" s="7" t="n">
        <x:f>'Inventory inputs'!E677</x:f>
        <x:v>46303</x:v>
      </x:c>
      <x:c r="E677" s="1" t="n">
        <x:f>'Inventory inputs'!F677</x:f>
        <x:v>2348</x:v>
      </x:c>
      <x:c r="F677" s="1" t="n">
        <x:f>'Inventory inputs'!G677</x:f>
        <x:v>0</x:v>
      </x:c>
      <x:c r="G677" s="1" t="n">
        <x:f>'Inventory inputs'!H677/'Inventory inputs'!J677</x:f>
        <x:v>0.0553</x:v>
      </x:c>
      <x:c r="H677" s="1" t="str">
        <x:f>IF('Inventory inputs'!I677&gt;0,'Inventory inputs'!I677*'Inventory inputs'!K677/'Inventory inputs'!J677,"n.a.")</x:f>
        <x:v>n.a.</x:v>
      </x:c>
      <x:c r="I677" s="1" t="n">
        <x:f>'Inventory inputs'!L677</x:f>
        <x:v>0</x:v>
      </x:c>
      <x:c r="J677" s="1" t="n">
        <x:f>'Inventory inputs'!M677</x:f>
        <x:v>0</x:v>
      </x:c>
      <x:c r="K677" s="1" t="n">
        <x:f>'Inventory inputs'!N677</x:f>
        <x:v>2348</x:v>
      </x:c>
      <x:c r="L677" s="1" t="n">
        <x:f>'Inventory inputs'!O677</x:f>
        <x:v>0</x:v>
      </x:c>
      <x:c r="M677" s="9" t="n">
        <x:f>E677*G677</x:f>
        <x:v>129.8444</x:v>
      </x:c>
      <x:c r="N677" s="9" t="n">
        <x:f>'Inventory inputs'!Q677</x:f>
        <x:v>129.8444</x:v>
      </x:c>
      <x:c r="O677" s="9" t="n">
        <x:f>N677-M677</x:f>
        <x:v>0</x:v>
      </x:c>
      <x:c r="P677" s="1" t="n">
        <x:f>SUMIFS('Incoming POs'!$P$2:$P$305,'Incoming POs'!$A$2:$A$305,A677,'Incoming POs'!$B$2:$B$305,B677,'Incoming POs'!$C$2:$C$305,C677,'Incoming POs'!$G$2:$G$305,"&gt;="&amp;D677,'Incoming POs'!$G$2:$G$305,"&lt;"&amp;Dashboard!$I$5)</x:f>
        <x:v>0</x:v>
      </x:c>
      <x:c r="Q677" s="1" t="n">
        <x:f>F677*Dashboard!$L$5*MAX(0,Dashboard!$I$5-D677)/30.4375</x:f>
        <x:v>0</x:v>
      </x:c>
      <x:c r="R677" s="1" t="n">
        <x:f>MAX(0,E677+P677-Q677)</x:f>
        <x:v>2348</x:v>
      </x:c>
      <x:c r="S677" s="1" t="n">
        <x:f>MAX(0,Q677-E677-P677)</x:f>
        <x:v>0</x:v>
      </x:c>
      <x:c r="T677" s="1" t="str">
        <x:f>IF(L677=1,MAX(0,I677+AB677-MIN(Q677,E677+P677)),"n.a.")</x:f>
        <x:v>n.a.</x:v>
      </x:c>
      <x:c r="U677" s="9" t="str">
        <x:f>IF(ISNUMBER(T677),T677*G677,"n.a.")</x:f>
        <x:v>n.a.</x:v>
      </x:c>
      <x:c r="V677" s="25" t="n">
        <x:f>IF(Dashboard!$I$6="Flat %",1,IF(ISNUMBER(H677),1,0))</x:f>
        <x:v>0</x:v>
      </x:c>
      <x:c r="W677" s="9" t="str">
        <x:f>IF(Dashboard!$I$6="Flat %",G677*(1+Dashboard!$L$6),H677)</x:f>
        <x:v>n.a.</x:v>
      </x:c>
      <x:c r="X677" s="9" t="str">
        <x:f>IF(V677=1,R677*(W677-G677),"n.a.")</x:f>
        <x:v>n.a.</x:v>
      </x:c>
      <x:c r="Y677" s="9" t="str">
        <x:f>IF(V677=1,R677*W677,"n.a.")</x:f>
        <x:v>n.a.</x:v>
      </x:c>
      <x:c r="Z677" s="1" t="str">
        <x:f>IF(ISNUMBER(T677),R677-T677,"n.a.")</x:f>
        <x:v>n.a.</x:v>
      </x:c>
      <x:c r="AA677" s="1" t="str">
        <x:f>'Inventory inputs'!R677</x:f>
        <x:v>Review receipt reconciliation or original PO baseline</x:v>
      </x:c>
      <x:c r="AB677" s="1" t="str">
        <x:f>IF(L677=1,SUMIFS('Incoming POs'!$P$2:$P$305,'Incoming POs'!$A$2:$A$305,A677,'Incoming POs'!$B$2:$B$305,B677,'Incoming POs'!$C$2:$C$305,C677,'Incoming POs'!$G$2:$G$305,"&gt;="&amp;D677,'Incoming POs'!$G$2:$G$305,"&lt;"&amp;Dashboard!$I$5,'Incoming POs'!$Q$2:$Q$305,"&lt;="&amp;('Inventory inputs'!P677/'Inventory inputs'!J677*1.01)),"n.a.")</x:f>
        <x:v>n.a.</x:v>
      </x:c>
      <x:c r="AC677" s="9" t="n">
        <x:f>I677*G677</x:f>
        <x:v>0</x:v>
      </x:c>
      <x:c r="AD677" s="9" t="n">
        <x:f>J677*G677</x:f>
        <x:v>0</x:v>
      </x:c>
      <x:c r="AE677" s="9" t="n">
        <x:f>K677*G677</x:f>
        <x:v>129.8444</x:v>
      </x:c>
      <x:c r="AF677" s="9" t="n">
        <x:f>R677*G677</x:f>
        <x:v>129.8444</x:v>
      </x:c>
    </x:row>
    <x:row r="678" ht="21" customHeight="1">
      <x:c r="A678" s="1" t="str">
        <x:f>'Inventory inputs'!A678</x:f>
        <x:v>PLAS</x:v>
      </x:c>
      <x:c r="B678" s="1" t="str">
        <x:f>'Inventory inputs'!B678</x:f>
        <x:v>10</x:v>
      </x:c>
      <x:c r="C678" s="1" t="str">
        <x:f>'Inventory inputs'!C678</x:f>
        <x:v>51680RWBNAV</x:v>
      </x:c>
      <x:c r="D678" s="7" t="n">
        <x:f>'Inventory inputs'!E678</x:f>
        <x:v>46303</x:v>
      </x:c>
      <x:c r="E678" s="1" t="n">
        <x:f>'Inventory inputs'!F678</x:f>
        <x:v>214</x:v>
      </x:c>
      <x:c r="F678" s="1" t="n">
        <x:f>'Inventory inputs'!G678</x:f>
        <x:v>0</x:v>
      </x:c>
      <x:c r="G678" s="1" t="n">
        <x:f>'Inventory inputs'!H678/'Inventory inputs'!J678</x:f>
        <x:v>0.0742</x:v>
      </x:c>
      <x:c r="H678" s="1" t="n">
        <x:f>IF('Inventory inputs'!I678&gt;0,'Inventory inputs'!I678*'Inventory inputs'!K678/'Inventory inputs'!J678,"n.a.")</x:f>
        <x:v>0.086877</x:v>
      </x:c>
      <x:c r="I678" s="1" t="n">
        <x:f>'Inventory inputs'!L678</x:f>
        <x:v>214</x:v>
      </x:c>
      <x:c r="J678" s="1" t="n">
        <x:f>'Inventory inputs'!M678</x:f>
        <x:v>0</x:v>
      </x:c>
      <x:c r="K678" s="1" t="n">
        <x:f>'Inventory inputs'!N678</x:f>
        <x:v>0</x:v>
      </x:c>
      <x:c r="L678" s="1" t="n">
        <x:f>'Inventory inputs'!O678</x:f>
        <x:v>1</x:v>
      </x:c>
      <x:c r="M678" s="9" t="n">
        <x:f>E678*G678</x:f>
        <x:v>15.8788</x:v>
      </x:c>
      <x:c r="N678" s="9" t="n">
        <x:f>'Inventory inputs'!Q678</x:f>
        <x:v>15.8788</x:v>
      </x:c>
      <x:c r="O678" s="9" t="n">
        <x:f>N678-M678</x:f>
        <x:v>0</x:v>
      </x:c>
      <x:c r="P678" s="1" t="n">
        <x:f>SUMIFS('Incoming POs'!$P$2:$P$305,'Incoming POs'!$A$2:$A$305,A678,'Incoming POs'!$B$2:$B$305,B678,'Incoming POs'!$C$2:$C$305,C678,'Incoming POs'!$G$2:$G$305,"&gt;="&amp;D678,'Incoming POs'!$G$2:$G$305,"&lt;"&amp;Dashboard!$I$5)</x:f>
        <x:v>0</x:v>
      </x:c>
      <x:c r="Q678" s="1" t="n">
        <x:f>F678*Dashboard!$L$5*MAX(0,Dashboard!$I$5-D678)/30.4375</x:f>
        <x:v>0</x:v>
      </x:c>
      <x:c r="R678" s="1" t="n">
        <x:f>MAX(0,E678+P678-Q678)</x:f>
        <x:v>214</x:v>
      </x:c>
      <x:c r="S678" s="1" t="n">
        <x:f>MAX(0,Q678-E678-P678)</x:f>
        <x:v>0</x:v>
      </x:c>
      <x:c r="T678" s="1" t="n">
        <x:f>IF(L678=1,MAX(0,I678+AB678-MIN(Q678,E678+P678)),"n.a.")</x:f>
        <x:v>214</x:v>
      </x:c>
      <x:c r="U678" s="9" t="n">
        <x:f>IF(ISNUMBER(T678),T678*G678,"n.a.")</x:f>
        <x:v>15.8788</x:v>
      </x:c>
      <x:c r="V678" s="25" t="n">
        <x:f>IF(Dashboard!$I$6="Flat %",1,IF(ISNUMBER(H678),1,0))</x:f>
        <x:v>1</x:v>
      </x:c>
      <x:c r="W678" s="9" t="n">
        <x:f>IF(Dashboard!$I$6="Flat %",G678*(1+Dashboard!$L$6),H678)</x:f>
        <x:v>0.086877</x:v>
      </x:c>
      <x:c r="X678" s="9" t="n">
        <x:f>IF(V678=1,R678*(W678-G678),"n.a.")</x:f>
        <x:v>2.7128779999999986</x:v>
      </x:c>
      <x:c r="Y678" s="9" t="n">
        <x:f>IF(V678=1,R678*W678,"n.a.")</x:f>
        <x:v>18.591677999999998</x:v>
      </x:c>
      <x:c r="Z678" s="1" t="n">
        <x:f>IF(ISNUMBER(T678),R678-T678,"n.a.")</x:f>
        <x:v>0</x:v>
      </x:c>
      <x:c r="AA678" s="1" t="str">
        <x:f>'Inventory inputs'!R678</x:f>
        <x:v>Classified</x:v>
      </x:c>
      <x:c r="AB678" s="1" t="n">
        <x:f>IF(L678=1,SUMIFS('Incoming POs'!$P$2:$P$305,'Incoming POs'!$A$2:$A$305,A678,'Incoming POs'!$B$2:$B$305,B678,'Incoming POs'!$C$2:$C$305,C678,'Incoming POs'!$G$2:$G$305,"&gt;="&amp;D678,'Incoming POs'!$G$2:$G$305,"&lt;"&amp;Dashboard!$I$5,'Incoming POs'!$Q$2:$Q$305,"&lt;="&amp;('Inventory inputs'!P678/'Inventory inputs'!J678*1.01)),"n.a.")</x:f>
        <x:v>0</x:v>
      </x:c>
      <x:c r="AC678" s="9" t="n">
        <x:f>I678*G678</x:f>
        <x:v>15.8788</x:v>
      </x:c>
      <x:c r="AD678" s="9" t="n">
        <x:f>J678*G678</x:f>
        <x:v>0</x:v>
      </x:c>
      <x:c r="AE678" s="9" t="n">
        <x:f>K678*G678</x:f>
        <x:v>0</x:v>
      </x:c>
      <x:c r="AF678" s="9" t="n">
        <x:f>R678*G678</x:f>
        <x:v>15.8788</x:v>
      </x:c>
    </x:row>
    <x:row r="679" ht="21" customHeight="1">
      <x:c r="A679" s="1" t="str">
        <x:f>'Inventory inputs'!A679</x:f>
        <x:v>PLAS</x:v>
      </x:c>
      <x:c r="B679" s="1" t="str">
        <x:f>'Inventory inputs'!B679</x:f>
        <x:v>10</x:v>
      </x:c>
      <x:c r="C679" s="1" t="str">
        <x:f>'Inventory inputs'!C679</x:f>
        <x:v>51680RWBRED</x:v>
      </x:c>
      <x:c r="D679" s="7" t="n">
        <x:f>'Inventory inputs'!E679</x:f>
        <x:v>46303</x:v>
      </x:c>
      <x:c r="E679" s="1" t="n">
        <x:f>'Inventory inputs'!F679</x:f>
        <x:v>2112</x:v>
      </x:c>
      <x:c r="F679" s="1" t="n">
        <x:f>'Inventory inputs'!G679</x:f>
        <x:v>0</x:v>
      </x:c>
      <x:c r="G679" s="1" t="n">
        <x:f>'Inventory inputs'!H679/'Inventory inputs'!J679</x:f>
        <x:v>0.0553</x:v>
      </x:c>
      <x:c r="H679" s="1" t="str">
        <x:f>IF('Inventory inputs'!I679&gt;0,'Inventory inputs'!I679*'Inventory inputs'!K679/'Inventory inputs'!J679,"n.a.")</x:f>
        <x:v>n.a.</x:v>
      </x:c>
      <x:c r="I679" s="1" t="n">
        <x:f>'Inventory inputs'!L679</x:f>
        <x:v>0</x:v>
      </x:c>
      <x:c r="J679" s="1" t="n">
        <x:f>'Inventory inputs'!M679</x:f>
        <x:v>0</x:v>
      </x:c>
      <x:c r="K679" s="1" t="n">
        <x:f>'Inventory inputs'!N679</x:f>
        <x:v>2112</x:v>
      </x:c>
      <x:c r="L679" s="1" t="n">
        <x:f>'Inventory inputs'!O679</x:f>
        <x:v>0</x:v>
      </x:c>
      <x:c r="M679" s="9" t="n">
        <x:f>E679*G679</x:f>
        <x:v>116.7936</x:v>
      </x:c>
      <x:c r="N679" s="9" t="n">
        <x:f>'Inventory inputs'!Q679</x:f>
        <x:v>116.79360000000001</x:v>
      </x:c>
      <x:c r="O679" s="9" t="n">
        <x:f>N679-M679</x:f>
        <x:v>1.4210854715202004e-14</x:v>
      </x:c>
      <x:c r="P679" s="1" t="n">
        <x:f>SUMIFS('Incoming POs'!$P$2:$P$305,'Incoming POs'!$A$2:$A$305,A679,'Incoming POs'!$B$2:$B$305,B679,'Incoming POs'!$C$2:$C$305,C679,'Incoming POs'!$G$2:$G$305,"&gt;="&amp;D679,'Incoming POs'!$G$2:$G$305,"&lt;"&amp;Dashboard!$I$5)</x:f>
        <x:v>0</x:v>
      </x:c>
      <x:c r="Q679" s="1" t="n">
        <x:f>F679*Dashboard!$L$5*MAX(0,Dashboard!$I$5-D679)/30.4375</x:f>
        <x:v>0</x:v>
      </x:c>
      <x:c r="R679" s="1" t="n">
        <x:f>MAX(0,E679+P679-Q679)</x:f>
        <x:v>2112</x:v>
      </x:c>
      <x:c r="S679" s="1" t="n">
        <x:f>MAX(0,Q679-E679-P679)</x:f>
        <x:v>0</x:v>
      </x:c>
      <x:c r="T679" s="1" t="str">
        <x:f>IF(L679=1,MAX(0,I679+AB679-MIN(Q679,E679+P679)),"n.a.")</x:f>
        <x:v>n.a.</x:v>
      </x:c>
      <x:c r="U679" s="9" t="str">
        <x:f>IF(ISNUMBER(T679),T679*G679,"n.a.")</x:f>
        <x:v>n.a.</x:v>
      </x:c>
      <x:c r="V679" s="25" t="n">
        <x:f>IF(Dashboard!$I$6="Flat %",1,IF(ISNUMBER(H679),1,0))</x:f>
        <x:v>0</x:v>
      </x:c>
      <x:c r="W679" s="9" t="str">
        <x:f>IF(Dashboard!$I$6="Flat %",G679*(1+Dashboard!$L$6),H679)</x:f>
        <x:v>n.a.</x:v>
      </x:c>
      <x:c r="X679" s="9" t="str">
        <x:f>IF(V679=1,R679*(W679-G679),"n.a.")</x:f>
        <x:v>n.a.</x:v>
      </x:c>
      <x:c r="Y679" s="9" t="str">
        <x:f>IF(V679=1,R679*W679,"n.a.")</x:f>
        <x:v>n.a.</x:v>
      </x:c>
      <x:c r="Z679" s="1" t="str">
        <x:f>IF(ISNUMBER(T679),R679-T679,"n.a.")</x:f>
        <x:v>n.a.</x:v>
      </x:c>
      <x:c r="AA679" s="1" t="str">
        <x:f>'Inventory inputs'!R679</x:f>
        <x:v>Review receipt reconciliation or original PO baseline</x:v>
      </x:c>
      <x:c r="AB679" s="1" t="str">
        <x:f>IF(L679=1,SUMIFS('Incoming POs'!$P$2:$P$305,'Incoming POs'!$A$2:$A$305,A679,'Incoming POs'!$B$2:$B$305,B679,'Incoming POs'!$C$2:$C$305,C679,'Incoming POs'!$G$2:$G$305,"&gt;="&amp;D679,'Incoming POs'!$G$2:$G$305,"&lt;"&amp;Dashboard!$I$5,'Incoming POs'!$Q$2:$Q$305,"&lt;="&amp;('Inventory inputs'!P679/'Inventory inputs'!J679*1.01)),"n.a.")</x:f>
        <x:v>n.a.</x:v>
      </x:c>
      <x:c r="AC679" s="9" t="n">
        <x:f>I679*G679</x:f>
        <x:v>0</x:v>
      </x:c>
      <x:c r="AD679" s="9" t="n">
        <x:f>J679*G679</x:f>
        <x:v>0</x:v>
      </x:c>
      <x:c r="AE679" s="9" t="n">
        <x:f>K679*G679</x:f>
        <x:v>116.7936</x:v>
      </x:c>
      <x:c r="AF679" s="9" t="n">
        <x:f>R679*G679</x:f>
        <x:v>116.7936</x:v>
      </x:c>
    </x:row>
    <x:row r="680" ht="21" customHeight="1">
      <x:c r="A680" s="1" t="str">
        <x:f>'Inventory inputs'!A680</x:f>
        <x:v>PLAS</x:v>
      </x:c>
      <x:c r="B680" s="1" t="str">
        <x:f>'Inventory inputs'!B680</x:f>
        <x:v>10</x:v>
      </x:c>
      <x:c r="C680" s="1" t="str">
        <x:f>'Inventory inputs'!C680</x:f>
        <x:v>51680RWBWHT</x:v>
      </x:c>
      <x:c r="D680" s="7" t="n">
        <x:f>'Inventory inputs'!E680</x:f>
        <x:v>46303</x:v>
      </x:c>
      <x:c r="E680" s="1" t="n">
        <x:f>'Inventory inputs'!F680</x:f>
        <x:v>3088</x:v>
      </x:c>
      <x:c r="F680" s="1" t="n">
        <x:f>'Inventory inputs'!G680</x:f>
        <x:v>0</x:v>
      </x:c>
      <x:c r="G680" s="1" t="n">
        <x:f>'Inventory inputs'!H680/'Inventory inputs'!J680</x:f>
        <x:v>0.0741</x:v>
      </x:c>
      <x:c r="H680" s="1" t="n">
        <x:f>IF('Inventory inputs'!I680&gt;0,'Inventory inputs'!I680*'Inventory inputs'!K680/'Inventory inputs'!J680,"n.a.")</x:f>
        <x:v>0.08673</x:v>
      </x:c>
      <x:c r="I680" s="1" t="n">
        <x:f>'Inventory inputs'!L680</x:f>
        <x:v>3088</x:v>
      </x:c>
      <x:c r="J680" s="1" t="n">
        <x:f>'Inventory inputs'!M680</x:f>
        <x:v>0</x:v>
      </x:c>
      <x:c r="K680" s="1" t="n">
        <x:f>'Inventory inputs'!N680</x:f>
        <x:v>0</x:v>
      </x:c>
      <x:c r="L680" s="1" t="n">
        <x:f>'Inventory inputs'!O680</x:f>
        <x:v>1</x:v>
      </x:c>
      <x:c r="M680" s="9" t="n">
        <x:f>E680*G680</x:f>
        <x:v>228.8208</x:v>
      </x:c>
      <x:c r="N680" s="9" t="n">
        <x:f>'Inventory inputs'!Q680</x:f>
        <x:v>228.82080000000002</x:v>
      </x:c>
      <x:c r="O680" s="9" t="n">
        <x:f>N680-M680</x:f>
        <x:v>2.842170943040401e-14</x:v>
      </x:c>
      <x:c r="P680" s="1" t="n">
        <x:f>SUMIFS('Incoming POs'!$P$2:$P$305,'Incoming POs'!$A$2:$A$305,A680,'Incoming POs'!$B$2:$B$305,B680,'Incoming POs'!$C$2:$C$305,C680,'Incoming POs'!$G$2:$G$305,"&gt;="&amp;D680,'Incoming POs'!$G$2:$G$305,"&lt;"&amp;Dashboard!$I$5)</x:f>
        <x:v>0</x:v>
      </x:c>
      <x:c r="Q680" s="1" t="n">
        <x:f>F680*Dashboard!$L$5*MAX(0,Dashboard!$I$5-D680)/30.4375</x:f>
        <x:v>0</x:v>
      </x:c>
      <x:c r="R680" s="1" t="n">
        <x:f>MAX(0,E680+P680-Q680)</x:f>
        <x:v>3088</x:v>
      </x:c>
      <x:c r="S680" s="1" t="n">
        <x:f>MAX(0,Q680-E680-P680)</x:f>
        <x:v>0</x:v>
      </x:c>
      <x:c r="T680" s="1" t="n">
        <x:f>IF(L680=1,MAX(0,I680+AB680-MIN(Q680,E680+P680)),"n.a.")</x:f>
        <x:v>3088</x:v>
      </x:c>
      <x:c r="U680" s="9" t="n">
        <x:f>IF(ISNUMBER(T680),T680*G680,"n.a.")</x:f>
        <x:v>228.8208</x:v>
      </x:c>
      <x:c r="V680" s="25" t="n">
        <x:f>IF(Dashboard!$I$6="Flat %",1,IF(ISNUMBER(H680),1,0))</x:f>
        <x:v>1</x:v>
      </x:c>
      <x:c r="W680" s="9" t="n">
        <x:f>IF(Dashboard!$I$6="Flat %",G680*(1+Dashboard!$L$6),H680)</x:f>
        <x:v>0.08673</x:v>
      </x:c>
      <x:c r="X680" s="9" t="n">
        <x:f>IF(V680=1,R680*(W680-G680),"n.a.")</x:f>
        <x:v>39.00144000000001</x:v>
      </x:c>
      <x:c r="Y680" s="9" t="n">
        <x:f>IF(V680=1,R680*W680,"n.a.")</x:f>
        <x:v>267.82224</x:v>
      </x:c>
      <x:c r="Z680" s="1" t="n">
        <x:f>IF(ISNUMBER(T680),R680-T680,"n.a.")</x:f>
        <x:v>0</x:v>
      </x:c>
      <x:c r="AA680" s="1" t="str">
        <x:f>'Inventory inputs'!R680</x:f>
        <x:v>Classified</x:v>
      </x:c>
      <x:c r="AB680" s="1" t="n">
        <x:f>IF(L680=1,SUMIFS('Incoming POs'!$P$2:$P$305,'Incoming POs'!$A$2:$A$305,A680,'Incoming POs'!$B$2:$B$305,B680,'Incoming POs'!$C$2:$C$305,C680,'Incoming POs'!$G$2:$G$305,"&gt;="&amp;D680,'Incoming POs'!$G$2:$G$305,"&lt;"&amp;Dashboard!$I$5,'Incoming POs'!$Q$2:$Q$305,"&lt;="&amp;('Inventory inputs'!P680/'Inventory inputs'!J680*1.01)),"n.a.")</x:f>
        <x:v>0</x:v>
      </x:c>
      <x:c r="AC680" s="9" t="n">
        <x:f>I680*G680</x:f>
        <x:v>228.8208</x:v>
      </x:c>
      <x:c r="AD680" s="9" t="n">
        <x:f>J680*G680</x:f>
        <x:v>0</x:v>
      </x:c>
      <x:c r="AE680" s="9" t="n">
        <x:f>K680*G680</x:f>
        <x:v>0</x:v>
      </x:c>
      <x:c r="AF680" s="9" t="n">
        <x:f>R680*G680</x:f>
        <x:v>228.8208</x:v>
      </x:c>
    </x:row>
    <x:row r="681" ht="21" customHeight="1">
      <x:c r="A681" s="1" t="str">
        <x:f>'Inventory inputs'!A681</x:f>
        <x:v>PLAS</x:v>
      </x:c>
      <x:c r="B681" s="1" t="str">
        <x:f>'Inventory inputs'!B681</x:f>
        <x:v>10</x:v>
      </x:c>
      <x:c r="C681" s="1" t="str">
        <x:f>'Inventory inputs'!C681</x:f>
        <x:v>71621RWBWHT</x:v>
      </x:c>
      <x:c r="D681" s="7" t="n">
        <x:f>'Inventory inputs'!E681</x:f>
        <x:v>46303</x:v>
      </x:c>
      <x:c r="E681" s="1" t="n">
        <x:f>'Inventory inputs'!F681</x:f>
        <x:v>2000</x:v>
      </x:c>
      <x:c r="F681" s="1" t="n">
        <x:f>'Inventory inputs'!G681</x:f>
        <x:v>0</x:v>
      </x:c>
      <x:c r="G681" s="1" t="n">
        <x:f>'Inventory inputs'!H681/'Inventory inputs'!J681</x:f>
        <x:v>0.030899999999999997</x:v>
      </x:c>
      <x:c r="H681" s="1" t="n">
        <x:f>IF('Inventory inputs'!I681&gt;0,'Inventory inputs'!I681*'Inventory inputs'!K681/'Inventory inputs'!J681,"n.a.")</x:f>
        <x:v>0.036162</x:v>
      </x:c>
      <x:c r="I681" s="1" t="n">
        <x:f>'Inventory inputs'!L681</x:f>
        <x:v>0</x:v>
      </x:c>
      <x:c r="J681" s="1" t="n">
        <x:f>'Inventory inputs'!M681</x:f>
        <x:v>0</x:v>
      </x:c>
      <x:c r="K681" s="1" t="n">
        <x:f>'Inventory inputs'!N681</x:f>
        <x:v>2000</x:v>
      </x:c>
      <x:c r="L681" s="1" t="n">
        <x:f>'Inventory inputs'!O681</x:f>
        <x:v>0</x:v>
      </x:c>
      <x:c r="M681" s="9" t="n">
        <x:f>E681*G681</x:f>
        <x:v>61.8</x:v>
      </x:c>
      <x:c r="N681" s="9" t="n">
        <x:f>'Inventory inputs'!Q681</x:f>
        <x:v>61.800000000000004</x:v>
      </x:c>
      <x:c r="O681" s="9" t="n">
        <x:f>N681-M681</x:f>
        <x:v>7.105427357601002e-15</x:v>
      </x:c>
      <x:c r="P681" s="1" t="n">
        <x:f>SUMIFS('Incoming POs'!$P$2:$P$305,'Incoming POs'!$A$2:$A$305,A681,'Incoming POs'!$B$2:$B$305,B681,'Incoming POs'!$C$2:$C$305,C681,'Incoming POs'!$G$2:$G$305,"&gt;="&amp;D681,'Incoming POs'!$G$2:$G$305,"&lt;"&amp;Dashboard!$I$5)</x:f>
        <x:v>0</x:v>
      </x:c>
      <x:c r="Q681" s="1" t="n">
        <x:f>F681*Dashboard!$L$5*MAX(0,Dashboard!$I$5-D681)/30.4375</x:f>
        <x:v>0</x:v>
      </x:c>
      <x:c r="R681" s="1" t="n">
        <x:f>MAX(0,E681+P681-Q681)</x:f>
        <x:v>2000</x:v>
      </x:c>
      <x:c r="S681" s="1" t="n">
        <x:f>MAX(0,Q681-E681-P681)</x:f>
        <x:v>0</x:v>
      </x:c>
      <x:c r="T681" s="1" t="str">
        <x:f>IF(L681=1,MAX(0,I681+AB681-MIN(Q681,E681+P681)),"n.a.")</x:f>
        <x:v>n.a.</x:v>
      </x:c>
      <x:c r="U681" s="9" t="str">
        <x:f>IF(ISNUMBER(T681),T681*G681,"n.a.")</x:f>
        <x:v>n.a.</x:v>
      </x:c>
      <x:c r="V681" s="25" t="n">
        <x:f>IF(Dashboard!$I$6="Flat %",1,IF(ISNUMBER(H681),1,0))</x:f>
        <x:v>1</x:v>
      </x:c>
      <x:c r="W681" s="9" t="n">
        <x:f>IF(Dashboard!$I$6="Flat %",G681*(1+Dashboard!$L$6),H681)</x:f>
        <x:v>0.036162</x:v>
      </x:c>
      <x:c r="X681" s="9" t="n">
        <x:f>IF(V681=1,R681*(W681-G681),"n.a.")</x:f>
        <x:v>10.524000000000006</x:v>
      </x:c>
      <x:c r="Y681" s="9" t="n">
        <x:f>IF(V681=1,R681*W681,"n.a.")</x:f>
        <x:v>72.324</x:v>
      </x:c>
      <x:c r="Z681" s="1" t="str">
        <x:f>IF(ISNUMBER(T681),R681-T681,"n.a.")</x:f>
        <x:v>n.a.</x:v>
      </x:c>
      <x:c r="AA681" s="1" t="str">
        <x:f>'Inventory inputs'!R681</x:f>
        <x:v>Review receipt reconciliation or original PO baseline</x:v>
      </x:c>
      <x:c r="AB681" s="1" t="str">
        <x:f>IF(L681=1,SUMIFS('Incoming POs'!$P$2:$P$305,'Incoming POs'!$A$2:$A$305,A681,'Incoming POs'!$B$2:$B$305,B681,'Incoming POs'!$C$2:$C$305,C681,'Incoming POs'!$G$2:$G$305,"&gt;="&amp;D681,'Incoming POs'!$G$2:$G$305,"&lt;"&amp;Dashboard!$I$5,'Incoming POs'!$Q$2:$Q$305,"&lt;="&amp;('Inventory inputs'!P681/'Inventory inputs'!J681*1.01)),"n.a.")</x:f>
        <x:v>n.a.</x:v>
      </x:c>
      <x:c r="AC681" s="9" t="n">
        <x:f>I681*G681</x:f>
        <x:v>0</x:v>
      </x:c>
      <x:c r="AD681" s="9" t="n">
        <x:f>J681*G681</x:f>
        <x:v>0</x:v>
      </x:c>
      <x:c r="AE681" s="9" t="n">
        <x:f>K681*G681</x:f>
        <x:v>61.8</x:v>
      </x:c>
      <x:c r="AF681" s="9" t="n">
        <x:f>R681*G681</x:f>
        <x:v>61.8</x:v>
      </x:c>
    </x:row>
    <x:row r="682" ht="21" customHeight="1">
      <x:c r="A682" s="1" t="str">
        <x:f>'Inventory inputs'!A682</x:f>
        <x:v>PLAS</x:v>
      </x:c>
      <x:c r="B682" s="1" t="str">
        <x:f>'Inventory inputs'!B682</x:f>
        <x:v>10</x:v>
      </x:c>
      <x:c r="C682" s="1" t="str">
        <x:f>'Inventory inputs'!C682</x:f>
        <x:v>71680RWBBLK</x:v>
      </x:c>
      <x:c r="D682" s="7" t="n">
        <x:f>'Inventory inputs'!E682</x:f>
        <x:v>46303</x:v>
      </x:c>
      <x:c r="E682" s="1" t="n">
        <x:f>'Inventory inputs'!F682</x:f>
        <x:v>2368</x:v>
      </x:c>
      <x:c r="F682" s="1" t="n">
        <x:f>'Inventory inputs'!G682</x:f>
        <x:v>0</x:v>
      </x:c>
      <x:c r="G682" s="1" t="n">
        <x:f>'Inventory inputs'!H682/'Inventory inputs'!J682</x:f>
        <x:v>0.1226</x:v>
      </x:c>
      <x:c r="H682" s="1" t="n">
        <x:f>IF('Inventory inputs'!I682&gt;0,'Inventory inputs'!I682*'Inventory inputs'!K682/'Inventory inputs'!J682,"n.a.")</x:f>
        <x:v>0.143472</x:v>
      </x:c>
      <x:c r="I682" s="1" t="n">
        <x:f>'Inventory inputs'!L682</x:f>
        <x:v>2368</x:v>
      </x:c>
      <x:c r="J682" s="1" t="n">
        <x:f>'Inventory inputs'!M682</x:f>
        <x:v>0</x:v>
      </x:c>
      <x:c r="K682" s="1" t="n">
        <x:f>'Inventory inputs'!N682</x:f>
        <x:v>0</x:v>
      </x:c>
      <x:c r="L682" s="1" t="n">
        <x:f>'Inventory inputs'!O682</x:f>
        <x:v>1</x:v>
      </x:c>
      <x:c r="M682" s="9" t="n">
        <x:f>E682*G682</x:f>
        <x:v>290.3168</x:v>
      </x:c>
      <x:c r="N682" s="9" t="n">
        <x:f>'Inventory inputs'!Q682</x:f>
        <x:v>290.3168</x:v>
      </x:c>
      <x:c r="O682" s="9" t="n">
        <x:f>N682-M682</x:f>
        <x:v>0</x:v>
      </x:c>
      <x:c r="P682" s="1" t="n">
        <x:f>SUMIFS('Incoming POs'!$P$2:$P$305,'Incoming POs'!$A$2:$A$305,A682,'Incoming POs'!$B$2:$B$305,B682,'Incoming POs'!$C$2:$C$305,C682,'Incoming POs'!$G$2:$G$305,"&gt;="&amp;D682,'Incoming POs'!$G$2:$G$305,"&lt;"&amp;Dashboard!$I$5)</x:f>
        <x:v>0</x:v>
      </x:c>
      <x:c r="Q682" s="1" t="n">
        <x:f>F682*Dashboard!$L$5*MAX(0,Dashboard!$I$5-D682)/30.4375</x:f>
        <x:v>0</x:v>
      </x:c>
      <x:c r="R682" s="1" t="n">
        <x:f>MAX(0,E682+P682-Q682)</x:f>
        <x:v>2368</x:v>
      </x:c>
      <x:c r="S682" s="1" t="n">
        <x:f>MAX(0,Q682-E682-P682)</x:f>
        <x:v>0</x:v>
      </x:c>
      <x:c r="T682" s="1" t="n">
        <x:f>IF(L682=1,MAX(0,I682+AB682-MIN(Q682,E682+P682)),"n.a.")</x:f>
        <x:v>2368</x:v>
      </x:c>
      <x:c r="U682" s="9" t="n">
        <x:f>IF(ISNUMBER(T682),T682*G682,"n.a.")</x:f>
        <x:v>290.3168</x:v>
      </x:c>
      <x:c r="V682" s="25" t="n">
        <x:f>IF(Dashboard!$I$6="Flat %",1,IF(ISNUMBER(H682),1,0))</x:f>
        <x:v>1</x:v>
      </x:c>
      <x:c r="W682" s="9" t="n">
        <x:f>IF(Dashboard!$I$6="Flat %",G682*(1+Dashboard!$L$6),H682)</x:f>
        <x:v>0.143472</x:v>
      </x:c>
      <x:c r="X682" s="9" t="n">
        <x:f>IF(V682=1,R682*(W682-G682),"n.a.")</x:f>
        <x:v>49.42489599999997</x:v>
      </x:c>
      <x:c r="Y682" s="9" t="n">
        <x:f>IF(V682=1,R682*W682,"n.a.")</x:f>
        <x:v>339.741696</x:v>
      </x:c>
      <x:c r="Z682" s="1" t="n">
        <x:f>IF(ISNUMBER(T682),R682-T682,"n.a.")</x:f>
        <x:v>0</x:v>
      </x:c>
      <x:c r="AA682" s="1" t="str">
        <x:f>'Inventory inputs'!R682</x:f>
        <x:v>Classified</x:v>
      </x:c>
      <x:c r="AB682" s="1" t="n">
        <x:f>IF(L682=1,SUMIFS('Incoming POs'!$P$2:$P$305,'Incoming POs'!$A$2:$A$305,A682,'Incoming POs'!$B$2:$B$305,B682,'Incoming POs'!$C$2:$C$305,C682,'Incoming POs'!$G$2:$G$305,"&gt;="&amp;D682,'Incoming POs'!$G$2:$G$305,"&lt;"&amp;Dashboard!$I$5,'Incoming POs'!$Q$2:$Q$305,"&lt;="&amp;('Inventory inputs'!P682/'Inventory inputs'!J682*1.01)),"n.a.")</x:f>
        <x:v>0</x:v>
      </x:c>
      <x:c r="AC682" s="9" t="n">
        <x:f>I682*G682</x:f>
        <x:v>290.3168</x:v>
      </x:c>
      <x:c r="AD682" s="9" t="n">
        <x:f>J682*G682</x:f>
        <x:v>0</x:v>
      </x:c>
      <x:c r="AE682" s="9" t="n">
        <x:f>K682*G682</x:f>
        <x:v>0</x:v>
      </x:c>
      <x:c r="AF682" s="9" t="n">
        <x:f>R682*G682</x:f>
        <x:v>290.3168</x:v>
      </x:c>
    </x:row>
    <x:row r="683" ht="21" customHeight="1">
      <x:c r="A683" s="1" t="str">
        <x:f>'Inventory inputs'!A683</x:f>
        <x:v>PLAS</x:v>
      </x:c>
      <x:c r="B683" s="1" t="str">
        <x:f>'Inventory inputs'!B683</x:f>
        <x:v>10</x:v>
      </x:c>
      <x:c r="C683" s="1" t="str">
        <x:f>'Inventory inputs'!C683</x:f>
        <x:v>71680RWBBLU</x:v>
      </x:c>
      <x:c r="D683" s="7" t="n">
        <x:f>'Inventory inputs'!E683</x:f>
        <x:v>46303</x:v>
      </x:c>
      <x:c r="E683" s="1" t="n">
        <x:f>'Inventory inputs'!F683</x:f>
        <x:v>2998</x:v>
      </x:c>
      <x:c r="F683" s="1" t="n">
        <x:f>'Inventory inputs'!G683</x:f>
        <x:v>0</x:v>
      </x:c>
      <x:c r="G683" s="1" t="n">
        <x:f>'Inventory inputs'!H683/'Inventory inputs'!J683</x:f>
        <x:v>0.0924</x:v>
      </x:c>
      <x:c r="H683" s="1" t="str">
        <x:f>IF('Inventory inputs'!I683&gt;0,'Inventory inputs'!I683*'Inventory inputs'!K683/'Inventory inputs'!J683,"n.a.")</x:f>
        <x:v>n.a.</x:v>
      </x:c>
      <x:c r="I683" s="1" t="n">
        <x:f>'Inventory inputs'!L683</x:f>
        <x:v>0</x:v>
      </x:c>
      <x:c r="J683" s="1" t="n">
        <x:f>'Inventory inputs'!M683</x:f>
        <x:v>0</x:v>
      </x:c>
      <x:c r="K683" s="1" t="n">
        <x:f>'Inventory inputs'!N683</x:f>
        <x:v>2998</x:v>
      </x:c>
      <x:c r="L683" s="1" t="n">
        <x:f>'Inventory inputs'!O683</x:f>
        <x:v>0</x:v>
      </x:c>
      <x:c r="M683" s="9" t="n">
        <x:f>E683*G683</x:f>
        <x:v>277.0152</x:v>
      </x:c>
      <x:c r="N683" s="9" t="n">
        <x:f>'Inventory inputs'!Q683</x:f>
        <x:v>277.0152</x:v>
      </x:c>
      <x:c r="O683" s="9" t="n">
        <x:f>N683-M683</x:f>
        <x:v>0</x:v>
      </x:c>
      <x:c r="P683" s="1" t="n">
        <x:f>SUMIFS('Incoming POs'!$P$2:$P$305,'Incoming POs'!$A$2:$A$305,A683,'Incoming POs'!$B$2:$B$305,B683,'Incoming POs'!$C$2:$C$305,C683,'Incoming POs'!$G$2:$G$305,"&gt;="&amp;D683,'Incoming POs'!$G$2:$G$305,"&lt;"&amp;Dashboard!$I$5)</x:f>
        <x:v>0</x:v>
      </x:c>
      <x:c r="Q683" s="1" t="n">
        <x:f>F683*Dashboard!$L$5*MAX(0,Dashboard!$I$5-D683)/30.4375</x:f>
        <x:v>0</x:v>
      </x:c>
      <x:c r="R683" s="1" t="n">
        <x:f>MAX(0,E683+P683-Q683)</x:f>
        <x:v>2998</x:v>
      </x:c>
      <x:c r="S683" s="1" t="n">
        <x:f>MAX(0,Q683-E683-P683)</x:f>
        <x:v>0</x:v>
      </x:c>
      <x:c r="T683" s="1" t="str">
        <x:f>IF(L683=1,MAX(0,I683+AB683-MIN(Q683,E683+P683)),"n.a.")</x:f>
        <x:v>n.a.</x:v>
      </x:c>
      <x:c r="U683" s="9" t="str">
        <x:f>IF(ISNUMBER(T683),T683*G683,"n.a.")</x:f>
        <x:v>n.a.</x:v>
      </x:c>
      <x:c r="V683" s="25" t="n">
        <x:f>IF(Dashboard!$I$6="Flat %",1,IF(ISNUMBER(H683),1,0))</x:f>
        <x:v>0</x:v>
      </x:c>
      <x:c r="W683" s="9" t="str">
        <x:f>IF(Dashboard!$I$6="Flat %",G683*(1+Dashboard!$L$6),H683)</x:f>
        <x:v>n.a.</x:v>
      </x:c>
      <x:c r="X683" s="9" t="str">
        <x:f>IF(V683=1,R683*(W683-G683),"n.a.")</x:f>
        <x:v>n.a.</x:v>
      </x:c>
      <x:c r="Y683" s="9" t="str">
        <x:f>IF(V683=1,R683*W683,"n.a.")</x:f>
        <x:v>n.a.</x:v>
      </x:c>
      <x:c r="Z683" s="1" t="str">
        <x:f>IF(ISNUMBER(T683),R683-T683,"n.a.")</x:f>
        <x:v>n.a.</x:v>
      </x:c>
      <x:c r="AA683" s="1" t="str">
        <x:f>'Inventory inputs'!R683</x:f>
        <x:v>Review receipt reconciliation or original PO baseline</x:v>
      </x:c>
      <x:c r="AB683" s="1" t="str">
        <x:f>IF(L683=1,SUMIFS('Incoming POs'!$P$2:$P$305,'Incoming POs'!$A$2:$A$305,A683,'Incoming POs'!$B$2:$B$305,B683,'Incoming POs'!$C$2:$C$305,C683,'Incoming POs'!$G$2:$G$305,"&gt;="&amp;D683,'Incoming POs'!$G$2:$G$305,"&lt;"&amp;Dashboard!$I$5,'Incoming POs'!$Q$2:$Q$305,"&lt;="&amp;('Inventory inputs'!P683/'Inventory inputs'!J683*1.01)),"n.a.")</x:f>
        <x:v>n.a.</x:v>
      </x:c>
      <x:c r="AC683" s="9" t="n">
        <x:f>I683*G683</x:f>
        <x:v>0</x:v>
      </x:c>
      <x:c r="AD683" s="9" t="n">
        <x:f>J683*G683</x:f>
        <x:v>0</x:v>
      </x:c>
      <x:c r="AE683" s="9" t="n">
        <x:f>K683*G683</x:f>
        <x:v>277.0152</x:v>
      </x:c>
      <x:c r="AF683" s="9" t="n">
        <x:f>R683*G683</x:f>
        <x:v>277.0152</x:v>
      </x:c>
    </x:row>
    <x:row r="684" ht="21" customHeight="1">
      <x:c r="A684" s="1" t="str">
        <x:f>'Inventory inputs'!A684</x:f>
        <x:v>PLAS</x:v>
      </x:c>
      <x:c r="B684" s="1" t="str">
        <x:f>'Inventory inputs'!B684</x:f>
        <x:v>10</x:v>
      </x:c>
      <x:c r="C684" s="1" t="str">
        <x:f>'Inventory inputs'!C684</x:f>
        <x:v>71680RWBCLR</x:v>
      </x:c>
      <x:c r="D684" s="7" t="n">
        <x:f>'Inventory inputs'!E684</x:f>
        <x:v>46303</x:v>
      </x:c>
      <x:c r="E684" s="1" t="n">
        <x:f>'Inventory inputs'!F684</x:f>
        <x:v>1592</x:v>
      </x:c>
      <x:c r="F684" s="1" t="n">
        <x:f>'Inventory inputs'!G684</x:f>
        <x:v>0</x:v>
      </x:c>
      <x:c r="G684" s="1" t="n">
        <x:f>'Inventory inputs'!H684/'Inventory inputs'!J684</x:f>
        <x:v>0.0924</x:v>
      </x:c>
      <x:c r="H684" s="1" t="str">
        <x:f>IF('Inventory inputs'!I684&gt;0,'Inventory inputs'!I684*'Inventory inputs'!K684/'Inventory inputs'!J684,"n.a.")</x:f>
        <x:v>n.a.</x:v>
      </x:c>
      <x:c r="I684" s="1" t="n">
        <x:f>'Inventory inputs'!L684</x:f>
        <x:v>0</x:v>
      </x:c>
      <x:c r="J684" s="1" t="n">
        <x:f>'Inventory inputs'!M684</x:f>
        <x:v>0</x:v>
      </x:c>
      <x:c r="K684" s="1" t="n">
        <x:f>'Inventory inputs'!N684</x:f>
        <x:v>1592</x:v>
      </x:c>
      <x:c r="L684" s="1" t="n">
        <x:f>'Inventory inputs'!O684</x:f>
        <x:v>0</x:v>
      </x:c>
      <x:c r="M684" s="9" t="n">
        <x:f>E684*G684</x:f>
        <x:v>147.1008</x:v>
      </x:c>
      <x:c r="N684" s="9" t="n">
        <x:f>'Inventory inputs'!Q684</x:f>
        <x:v>147.1008</x:v>
      </x:c>
      <x:c r="O684" s="9" t="n">
        <x:f>N684-M684</x:f>
        <x:v>0</x:v>
      </x:c>
      <x:c r="P684" s="1" t="n">
        <x:f>SUMIFS('Incoming POs'!$P$2:$P$305,'Incoming POs'!$A$2:$A$305,A684,'Incoming POs'!$B$2:$B$305,B684,'Incoming POs'!$C$2:$C$305,C684,'Incoming POs'!$G$2:$G$305,"&gt;="&amp;D684,'Incoming POs'!$G$2:$G$305,"&lt;"&amp;Dashboard!$I$5)</x:f>
        <x:v>0</x:v>
      </x:c>
      <x:c r="Q684" s="1" t="n">
        <x:f>F684*Dashboard!$L$5*MAX(0,Dashboard!$I$5-D684)/30.4375</x:f>
        <x:v>0</x:v>
      </x:c>
      <x:c r="R684" s="1" t="n">
        <x:f>MAX(0,E684+P684-Q684)</x:f>
        <x:v>1592</x:v>
      </x:c>
      <x:c r="S684" s="1" t="n">
        <x:f>MAX(0,Q684-E684-P684)</x:f>
        <x:v>0</x:v>
      </x:c>
      <x:c r="T684" s="1" t="str">
        <x:f>IF(L684=1,MAX(0,I684+AB684-MIN(Q684,E684+P684)),"n.a.")</x:f>
        <x:v>n.a.</x:v>
      </x:c>
      <x:c r="U684" s="9" t="str">
        <x:f>IF(ISNUMBER(T684),T684*G684,"n.a.")</x:f>
        <x:v>n.a.</x:v>
      </x:c>
      <x:c r="V684" s="25" t="n">
        <x:f>IF(Dashboard!$I$6="Flat %",1,IF(ISNUMBER(H684),1,0))</x:f>
        <x:v>0</x:v>
      </x:c>
      <x:c r="W684" s="9" t="str">
        <x:f>IF(Dashboard!$I$6="Flat %",G684*(1+Dashboard!$L$6),H684)</x:f>
        <x:v>n.a.</x:v>
      </x:c>
      <x:c r="X684" s="9" t="str">
        <x:f>IF(V684=1,R684*(W684-G684),"n.a.")</x:f>
        <x:v>n.a.</x:v>
      </x:c>
      <x:c r="Y684" s="9" t="str">
        <x:f>IF(V684=1,R684*W684,"n.a.")</x:f>
        <x:v>n.a.</x:v>
      </x:c>
      <x:c r="Z684" s="1" t="str">
        <x:f>IF(ISNUMBER(T684),R684-T684,"n.a.")</x:f>
        <x:v>n.a.</x:v>
      </x:c>
      <x:c r="AA684" s="1" t="str">
        <x:f>'Inventory inputs'!R684</x:f>
        <x:v>Review receipt reconciliation or original PO baseline</x:v>
      </x:c>
      <x:c r="AB684" s="1" t="str">
        <x:f>IF(L684=1,SUMIFS('Incoming POs'!$P$2:$P$305,'Incoming POs'!$A$2:$A$305,A684,'Incoming POs'!$B$2:$B$305,B684,'Incoming POs'!$C$2:$C$305,C684,'Incoming POs'!$G$2:$G$305,"&gt;="&amp;D684,'Incoming POs'!$G$2:$G$305,"&lt;"&amp;Dashboard!$I$5,'Incoming POs'!$Q$2:$Q$305,"&lt;="&amp;('Inventory inputs'!P684/'Inventory inputs'!J684*1.01)),"n.a.")</x:f>
        <x:v>n.a.</x:v>
      </x:c>
      <x:c r="AC684" s="9" t="n">
        <x:f>I684*G684</x:f>
        <x:v>0</x:v>
      </x:c>
      <x:c r="AD684" s="9" t="n">
        <x:f>J684*G684</x:f>
        <x:v>0</x:v>
      </x:c>
      <x:c r="AE684" s="9" t="n">
        <x:f>K684*G684</x:f>
        <x:v>147.1008</x:v>
      </x:c>
      <x:c r="AF684" s="9" t="n">
        <x:f>R684*G684</x:f>
        <x:v>147.1008</x:v>
      </x:c>
    </x:row>
    <x:row r="685" ht="21" customHeight="1">
      <x:c r="A685" s="1" t="str">
        <x:f>'Inventory inputs'!A685</x:f>
        <x:v>PLAS</x:v>
      </x:c>
      <x:c r="B685" s="1" t="str">
        <x:f>'Inventory inputs'!B685</x:f>
        <x:v>10</x:v>
      </x:c>
      <x:c r="C685" s="1" t="str">
        <x:f>'Inventory inputs'!C685</x:f>
        <x:v>71680RWBFG</x:v>
      </x:c>
      <x:c r="D685" s="7" t="n">
        <x:f>'Inventory inputs'!E685</x:f>
        <x:v>46303</x:v>
      </x:c>
      <x:c r="E685" s="1" t="n">
        <x:f>'Inventory inputs'!F685</x:f>
        <x:v>1800</x:v>
      </x:c>
      <x:c r="F685" s="1" t="n">
        <x:f>'Inventory inputs'!G685</x:f>
        <x:v>0</x:v>
      </x:c>
      <x:c r="G685" s="1" t="n">
        <x:f>'Inventory inputs'!H685/'Inventory inputs'!J685</x:f>
        <x:v>0.1226</x:v>
      </x:c>
      <x:c r="H685" s="1" t="n">
        <x:f>IF('Inventory inputs'!I685&gt;0,'Inventory inputs'!I685*'Inventory inputs'!K685/'Inventory inputs'!J685,"n.a.")</x:f>
        <x:v>0.143472</x:v>
      </x:c>
      <x:c r="I685" s="1" t="n">
        <x:f>'Inventory inputs'!L685</x:f>
        <x:v>0</x:v>
      </x:c>
      <x:c r="J685" s="1" t="n">
        <x:f>'Inventory inputs'!M685</x:f>
        <x:v>0</x:v>
      </x:c>
      <x:c r="K685" s="1" t="n">
        <x:f>'Inventory inputs'!N685</x:f>
        <x:v>1800</x:v>
      </x:c>
      <x:c r="L685" s="1" t="n">
        <x:f>'Inventory inputs'!O685</x:f>
        <x:v>0</x:v>
      </x:c>
      <x:c r="M685" s="9" t="n">
        <x:f>E685*G685</x:f>
        <x:v>220.68</x:v>
      </x:c>
      <x:c r="N685" s="9" t="n">
        <x:f>'Inventory inputs'!Q685</x:f>
        <x:v>220.68</x:v>
      </x:c>
      <x:c r="O685" s="9" t="n">
        <x:f>N685-M685</x:f>
        <x:v>0</x:v>
      </x:c>
      <x:c r="P685" s="1" t="n">
        <x:f>SUMIFS('Incoming POs'!$P$2:$P$305,'Incoming POs'!$A$2:$A$305,A685,'Incoming POs'!$B$2:$B$305,B685,'Incoming POs'!$C$2:$C$305,C685,'Incoming POs'!$G$2:$G$305,"&gt;="&amp;D685,'Incoming POs'!$G$2:$G$305,"&lt;"&amp;Dashboard!$I$5)</x:f>
        <x:v>0</x:v>
      </x:c>
      <x:c r="Q685" s="1" t="n">
        <x:f>F685*Dashboard!$L$5*MAX(0,Dashboard!$I$5-D685)/30.4375</x:f>
        <x:v>0</x:v>
      </x:c>
      <x:c r="R685" s="1" t="n">
        <x:f>MAX(0,E685+P685-Q685)</x:f>
        <x:v>1800</x:v>
      </x:c>
      <x:c r="S685" s="1" t="n">
        <x:f>MAX(0,Q685-E685-P685)</x:f>
        <x:v>0</x:v>
      </x:c>
      <x:c r="T685" s="1" t="str">
        <x:f>IF(L685=1,MAX(0,I685+AB685-MIN(Q685,E685+P685)),"n.a.")</x:f>
        <x:v>n.a.</x:v>
      </x:c>
      <x:c r="U685" s="9" t="str">
        <x:f>IF(ISNUMBER(T685),T685*G685,"n.a.")</x:f>
        <x:v>n.a.</x:v>
      </x:c>
      <x:c r="V685" s="25" t="n">
        <x:f>IF(Dashboard!$I$6="Flat %",1,IF(ISNUMBER(H685),1,0))</x:f>
        <x:v>1</x:v>
      </x:c>
      <x:c r="W685" s="9" t="n">
        <x:f>IF(Dashboard!$I$6="Flat %",G685*(1+Dashboard!$L$6),H685)</x:f>
        <x:v>0.143472</x:v>
      </x:c>
      <x:c r="X685" s="9" t="n">
        <x:f>IF(V685=1,R685*(W685-G685),"n.a.")</x:f>
        <x:v>37.56959999999998</x:v>
      </x:c>
      <x:c r="Y685" s="9" t="n">
        <x:f>IF(V685=1,R685*W685,"n.a.")</x:f>
        <x:v>258.2496</x:v>
      </x:c>
      <x:c r="Z685" s="1" t="str">
        <x:f>IF(ISNUMBER(T685),R685-T685,"n.a.")</x:f>
        <x:v>n.a.</x:v>
      </x:c>
      <x:c r="AA685" s="1" t="str">
        <x:f>'Inventory inputs'!R685</x:f>
        <x:v>Review receipt reconciliation or original PO baseline</x:v>
      </x:c>
      <x:c r="AB685" s="1" t="str">
        <x:f>IF(L685=1,SUMIFS('Incoming POs'!$P$2:$P$305,'Incoming POs'!$A$2:$A$305,A685,'Incoming POs'!$B$2:$B$305,B685,'Incoming POs'!$C$2:$C$305,C685,'Incoming POs'!$G$2:$G$305,"&gt;="&amp;D685,'Incoming POs'!$G$2:$G$305,"&lt;"&amp;Dashboard!$I$5,'Incoming POs'!$Q$2:$Q$305,"&lt;="&amp;('Inventory inputs'!P685/'Inventory inputs'!J685*1.01)),"n.a.")</x:f>
        <x:v>n.a.</x:v>
      </x:c>
      <x:c r="AC685" s="9" t="n">
        <x:f>I685*G685</x:f>
        <x:v>0</x:v>
      </x:c>
      <x:c r="AD685" s="9" t="n">
        <x:f>J685*G685</x:f>
        <x:v>0</x:v>
      </x:c>
      <x:c r="AE685" s="9" t="n">
        <x:f>K685*G685</x:f>
        <x:v>220.68</x:v>
      </x:c>
      <x:c r="AF685" s="9" t="n">
        <x:f>R685*G685</x:f>
        <x:v>220.68</x:v>
      </x:c>
    </x:row>
    <x:row r="686" ht="21" customHeight="1">
      <x:c r="A686" s="1" t="str">
        <x:f>'Inventory inputs'!A686</x:f>
        <x:v>PLAS</x:v>
      </x:c>
      <x:c r="B686" s="1" t="str">
        <x:f>'Inventory inputs'!B686</x:f>
        <x:v>10</x:v>
      </x:c>
      <x:c r="C686" s="1" t="str">
        <x:f>'Inventory inputs'!C686</x:f>
        <x:v>71680RWBMAR</x:v>
      </x:c>
      <x:c r="D686" s="7" t="n">
        <x:f>'Inventory inputs'!E686</x:f>
        <x:v>46303</x:v>
      </x:c>
      <x:c r="E686" s="1" t="n">
        <x:f>'Inventory inputs'!F686</x:f>
        <x:v>1335</x:v>
      </x:c>
      <x:c r="F686" s="1" t="n">
        <x:f>'Inventory inputs'!G686</x:f>
        <x:v>0</x:v>
      </x:c>
      <x:c r="G686" s="1" t="n">
        <x:f>'Inventory inputs'!H686/'Inventory inputs'!J686</x:f>
        <x:v>0.0924</x:v>
      </x:c>
      <x:c r="H686" s="1" t="str">
        <x:f>IF('Inventory inputs'!I686&gt;0,'Inventory inputs'!I686*'Inventory inputs'!K686/'Inventory inputs'!J686,"n.a.")</x:f>
        <x:v>n.a.</x:v>
      </x:c>
      <x:c r="I686" s="1" t="n">
        <x:f>'Inventory inputs'!L686</x:f>
        <x:v>0</x:v>
      </x:c>
      <x:c r="J686" s="1" t="n">
        <x:f>'Inventory inputs'!M686</x:f>
        <x:v>0</x:v>
      </x:c>
      <x:c r="K686" s="1" t="n">
        <x:f>'Inventory inputs'!N686</x:f>
        <x:v>1335</x:v>
      </x:c>
      <x:c r="L686" s="1" t="n">
        <x:f>'Inventory inputs'!O686</x:f>
        <x:v>0</x:v>
      </x:c>
      <x:c r="M686" s="9" t="n">
        <x:f>E686*G686</x:f>
        <x:v>123.354</x:v>
      </x:c>
      <x:c r="N686" s="9" t="n">
        <x:f>'Inventory inputs'!Q686</x:f>
        <x:v>123.354</x:v>
      </x:c>
      <x:c r="O686" s="9" t="n">
        <x:f>N686-M686</x:f>
        <x:v>0</x:v>
      </x:c>
      <x:c r="P686" s="1" t="n">
        <x:f>SUMIFS('Incoming POs'!$P$2:$P$305,'Incoming POs'!$A$2:$A$305,A686,'Incoming POs'!$B$2:$B$305,B686,'Incoming POs'!$C$2:$C$305,C686,'Incoming POs'!$G$2:$G$305,"&gt;="&amp;D686,'Incoming POs'!$G$2:$G$305,"&lt;"&amp;Dashboard!$I$5)</x:f>
        <x:v>0</x:v>
      </x:c>
      <x:c r="Q686" s="1" t="n">
        <x:f>F686*Dashboard!$L$5*MAX(0,Dashboard!$I$5-D686)/30.4375</x:f>
        <x:v>0</x:v>
      </x:c>
      <x:c r="R686" s="1" t="n">
        <x:f>MAX(0,E686+P686-Q686)</x:f>
        <x:v>1335</x:v>
      </x:c>
      <x:c r="S686" s="1" t="n">
        <x:f>MAX(0,Q686-E686-P686)</x:f>
        <x:v>0</x:v>
      </x:c>
      <x:c r="T686" s="1" t="str">
        <x:f>IF(L686=1,MAX(0,I686+AB686-MIN(Q686,E686+P686)),"n.a.")</x:f>
        <x:v>n.a.</x:v>
      </x:c>
      <x:c r="U686" s="9" t="str">
        <x:f>IF(ISNUMBER(T686),T686*G686,"n.a.")</x:f>
        <x:v>n.a.</x:v>
      </x:c>
      <x:c r="V686" s="25" t="n">
        <x:f>IF(Dashboard!$I$6="Flat %",1,IF(ISNUMBER(H686),1,0))</x:f>
        <x:v>0</x:v>
      </x:c>
      <x:c r="W686" s="9" t="str">
        <x:f>IF(Dashboard!$I$6="Flat %",G686*(1+Dashboard!$L$6),H686)</x:f>
        <x:v>n.a.</x:v>
      </x:c>
      <x:c r="X686" s="9" t="str">
        <x:f>IF(V686=1,R686*(W686-G686),"n.a.")</x:f>
        <x:v>n.a.</x:v>
      </x:c>
      <x:c r="Y686" s="9" t="str">
        <x:f>IF(V686=1,R686*W686,"n.a.")</x:f>
        <x:v>n.a.</x:v>
      </x:c>
      <x:c r="Z686" s="1" t="str">
        <x:f>IF(ISNUMBER(T686),R686-T686,"n.a.")</x:f>
        <x:v>n.a.</x:v>
      </x:c>
      <x:c r="AA686" s="1" t="str">
        <x:f>'Inventory inputs'!R686</x:f>
        <x:v>Review receipt reconciliation or original PO baseline</x:v>
      </x:c>
      <x:c r="AB686" s="1" t="str">
        <x:f>IF(L686=1,SUMIFS('Incoming POs'!$P$2:$P$305,'Incoming POs'!$A$2:$A$305,A686,'Incoming POs'!$B$2:$B$305,B686,'Incoming POs'!$C$2:$C$305,C686,'Incoming POs'!$G$2:$G$305,"&gt;="&amp;D686,'Incoming POs'!$G$2:$G$305,"&lt;"&amp;Dashboard!$I$5,'Incoming POs'!$Q$2:$Q$305,"&lt;="&amp;('Inventory inputs'!P686/'Inventory inputs'!J686*1.01)),"n.a.")</x:f>
        <x:v>n.a.</x:v>
      </x:c>
      <x:c r="AC686" s="9" t="n">
        <x:f>I686*G686</x:f>
        <x:v>0</x:v>
      </x:c>
      <x:c r="AD686" s="9" t="n">
        <x:f>J686*G686</x:f>
        <x:v>0</x:v>
      </x:c>
      <x:c r="AE686" s="9" t="n">
        <x:f>K686*G686</x:f>
        <x:v>123.354</x:v>
      </x:c>
      <x:c r="AF686" s="9" t="n">
        <x:f>R686*G686</x:f>
        <x:v>123.354</x:v>
      </x:c>
    </x:row>
    <x:row r="687" ht="21" customHeight="1">
      <x:c r="A687" s="1" t="str">
        <x:f>'Inventory inputs'!A687</x:f>
        <x:v>PLAS</x:v>
      </x:c>
      <x:c r="B687" s="1" t="str">
        <x:f>'Inventory inputs'!B687</x:f>
        <x:v>10</x:v>
      </x:c>
      <x:c r="C687" s="1" t="str">
        <x:f>'Inventory inputs'!C687</x:f>
        <x:v>71680RWBNAV</x:v>
      </x:c>
      <x:c r="D687" s="7" t="n">
        <x:f>'Inventory inputs'!E687</x:f>
        <x:v>46303</x:v>
      </x:c>
      <x:c r="E687" s="1" t="n">
        <x:f>'Inventory inputs'!F687</x:f>
        <x:v>582</x:v>
      </x:c>
      <x:c r="F687" s="1" t="n">
        <x:f>'Inventory inputs'!G687</x:f>
        <x:v>0</x:v>
      </x:c>
      <x:c r="G687" s="1" t="n">
        <x:f>'Inventory inputs'!H687/'Inventory inputs'!J687</x:f>
        <x:v>0.0924</x:v>
      </x:c>
      <x:c r="H687" s="1" t="n">
        <x:f>IF('Inventory inputs'!I687&gt;0,'Inventory inputs'!I687*'Inventory inputs'!K687/'Inventory inputs'!J687,"n.a.")</x:f>
        <x:v>0.143472</x:v>
      </x:c>
      <x:c r="I687" s="1" t="n">
        <x:f>'Inventory inputs'!L687</x:f>
        <x:v>582</x:v>
      </x:c>
      <x:c r="J687" s="1" t="n">
        <x:f>'Inventory inputs'!M687</x:f>
        <x:v>0</x:v>
      </x:c>
      <x:c r="K687" s="1" t="n">
        <x:f>'Inventory inputs'!N687</x:f>
        <x:v>0</x:v>
      </x:c>
      <x:c r="L687" s="1" t="n">
        <x:f>'Inventory inputs'!O687</x:f>
        <x:v>1</x:v>
      </x:c>
      <x:c r="M687" s="9" t="n">
        <x:f>E687*G687</x:f>
        <x:v>53.776799999999994</x:v>
      </x:c>
      <x:c r="N687" s="9" t="n">
        <x:f>'Inventory inputs'!Q687</x:f>
        <x:v>53.7768</x:v>
      </x:c>
      <x:c r="O687" s="9" t="n">
        <x:f>N687-M687</x:f>
        <x:v>7.105427357601002e-15</x:v>
      </x:c>
      <x:c r="P687" s="1" t="n">
        <x:f>SUMIFS('Incoming POs'!$P$2:$P$305,'Incoming POs'!$A$2:$A$305,A687,'Incoming POs'!$B$2:$B$305,B687,'Incoming POs'!$C$2:$C$305,C687,'Incoming POs'!$G$2:$G$305,"&gt;="&amp;D687,'Incoming POs'!$G$2:$G$305,"&lt;"&amp;Dashboard!$I$5)</x:f>
        <x:v>0</x:v>
      </x:c>
      <x:c r="Q687" s="1" t="n">
        <x:f>F687*Dashboard!$L$5*MAX(0,Dashboard!$I$5-D687)/30.4375</x:f>
        <x:v>0</x:v>
      </x:c>
      <x:c r="R687" s="1" t="n">
        <x:f>MAX(0,E687+P687-Q687)</x:f>
        <x:v>582</x:v>
      </x:c>
      <x:c r="S687" s="1" t="n">
        <x:f>MAX(0,Q687-E687-P687)</x:f>
        <x:v>0</x:v>
      </x:c>
      <x:c r="T687" s="1" t="n">
        <x:f>IF(L687=1,MAX(0,I687+AB687-MIN(Q687,E687+P687)),"n.a.")</x:f>
        <x:v>582</x:v>
      </x:c>
      <x:c r="U687" s="9" t="n">
        <x:f>IF(ISNUMBER(T687),T687*G687,"n.a.")</x:f>
        <x:v>53.776799999999994</x:v>
      </x:c>
      <x:c r="V687" s="25" t="n">
        <x:f>IF(Dashboard!$I$6="Flat %",1,IF(ISNUMBER(H687),1,0))</x:f>
        <x:v>1</x:v>
      </x:c>
      <x:c r="W687" s="9" t="n">
        <x:f>IF(Dashboard!$I$6="Flat %",G687*(1+Dashboard!$L$6),H687)</x:f>
        <x:v>0.143472</x:v>
      </x:c>
      <x:c r="X687" s="9" t="n">
        <x:f>IF(V687=1,R687*(W687-G687),"n.a.")</x:f>
        <x:v>29.723903999999994</x:v>
      </x:c>
      <x:c r="Y687" s="9" t="n">
        <x:f>IF(V687=1,R687*W687,"n.a.")</x:f>
        <x:v>83.500704</x:v>
      </x:c>
      <x:c r="Z687" s="1" t="n">
        <x:f>IF(ISNUMBER(T687),R687-T687,"n.a.")</x:f>
        <x:v>0</x:v>
      </x:c>
      <x:c r="AA687" s="1" t="str">
        <x:f>'Inventory inputs'!R687</x:f>
        <x:v>Classified</x:v>
      </x:c>
      <x:c r="AB687" s="1" t="n">
        <x:f>IF(L687=1,SUMIFS('Incoming POs'!$P$2:$P$305,'Incoming POs'!$A$2:$A$305,A687,'Incoming POs'!$B$2:$B$305,B687,'Incoming POs'!$C$2:$C$305,C687,'Incoming POs'!$G$2:$G$305,"&gt;="&amp;D687,'Incoming POs'!$G$2:$G$305,"&lt;"&amp;Dashboard!$I$5,'Incoming POs'!$Q$2:$Q$305,"&lt;="&amp;('Inventory inputs'!P687/'Inventory inputs'!J687*1.01)),"n.a.")</x:f>
        <x:v>0</x:v>
      </x:c>
      <x:c r="AC687" s="9" t="n">
        <x:f>I687*G687</x:f>
        <x:v>53.776799999999994</x:v>
      </x:c>
      <x:c r="AD687" s="9" t="n">
        <x:f>J687*G687</x:f>
        <x:v>0</x:v>
      </x:c>
      <x:c r="AE687" s="9" t="n">
        <x:f>K687*G687</x:f>
        <x:v>0</x:v>
      </x:c>
      <x:c r="AF687" s="9" t="n">
        <x:f>R687*G687</x:f>
        <x:v>53.776799999999994</x:v>
      </x:c>
    </x:row>
    <x:row r="688" ht="21" customHeight="1">
      <x:c r="A688" s="1" t="str">
        <x:f>'Inventory inputs'!A688</x:f>
        <x:v>PLAS</x:v>
      </x:c>
      <x:c r="B688" s="1" t="str">
        <x:f>'Inventory inputs'!B688</x:f>
        <x:v>10</x:v>
      </x:c>
      <x:c r="C688" s="1" t="str">
        <x:f>'Inventory inputs'!C688</x:f>
        <x:v>71680RWBRED</x:v>
      </x:c>
      <x:c r="D688" s="7" t="n">
        <x:f>'Inventory inputs'!E688</x:f>
        <x:v>46303</x:v>
      </x:c>
      <x:c r="E688" s="1" t="n">
        <x:f>'Inventory inputs'!F688</x:f>
        <x:v>3611</x:v>
      </x:c>
      <x:c r="F688" s="1" t="n">
        <x:f>'Inventory inputs'!G688</x:f>
        <x:v>0</x:v>
      </x:c>
      <x:c r="G688" s="1" t="n">
        <x:f>'Inventory inputs'!H688/'Inventory inputs'!J688</x:f>
        <x:v>0.0924</x:v>
      </x:c>
      <x:c r="H688" s="1" t="str">
        <x:f>IF('Inventory inputs'!I688&gt;0,'Inventory inputs'!I688*'Inventory inputs'!K688/'Inventory inputs'!J688,"n.a.")</x:f>
        <x:v>n.a.</x:v>
      </x:c>
      <x:c r="I688" s="1" t="n">
        <x:f>'Inventory inputs'!L688</x:f>
        <x:v>0</x:v>
      </x:c>
      <x:c r="J688" s="1" t="n">
        <x:f>'Inventory inputs'!M688</x:f>
        <x:v>0</x:v>
      </x:c>
      <x:c r="K688" s="1" t="n">
        <x:f>'Inventory inputs'!N688</x:f>
        <x:v>3611</x:v>
      </x:c>
      <x:c r="L688" s="1" t="n">
        <x:f>'Inventory inputs'!O688</x:f>
        <x:v>0</x:v>
      </x:c>
      <x:c r="M688" s="9" t="n">
        <x:f>E688*G688</x:f>
        <x:v>333.65639999999996</x:v>
      </x:c>
      <x:c r="N688" s="9" t="n">
        <x:f>'Inventory inputs'!Q688</x:f>
        <x:v>333.6564</x:v>
      </x:c>
      <x:c r="O688" s="9" t="n">
        <x:f>N688-M688</x:f>
        <x:v>5.684341886080802e-14</x:v>
      </x:c>
      <x:c r="P688" s="1" t="n">
        <x:f>SUMIFS('Incoming POs'!$P$2:$P$305,'Incoming POs'!$A$2:$A$305,A688,'Incoming POs'!$B$2:$B$305,B688,'Incoming POs'!$C$2:$C$305,C688,'Incoming POs'!$G$2:$G$305,"&gt;="&amp;D688,'Incoming POs'!$G$2:$G$305,"&lt;"&amp;Dashboard!$I$5)</x:f>
        <x:v>0</x:v>
      </x:c>
      <x:c r="Q688" s="1" t="n">
        <x:f>F688*Dashboard!$L$5*MAX(0,Dashboard!$I$5-D688)/30.4375</x:f>
        <x:v>0</x:v>
      </x:c>
      <x:c r="R688" s="1" t="n">
        <x:f>MAX(0,E688+P688-Q688)</x:f>
        <x:v>3611</x:v>
      </x:c>
      <x:c r="S688" s="1" t="n">
        <x:f>MAX(0,Q688-E688-P688)</x:f>
        <x:v>0</x:v>
      </x:c>
      <x:c r="T688" s="1" t="str">
        <x:f>IF(L688=1,MAX(0,I688+AB688-MIN(Q688,E688+P688)),"n.a.")</x:f>
        <x:v>n.a.</x:v>
      </x:c>
      <x:c r="U688" s="9" t="str">
        <x:f>IF(ISNUMBER(T688),T688*G688,"n.a.")</x:f>
        <x:v>n.a.</x:v>
      </x:c>
      <x:c r="V688" s="25" t="n">
        <x:f>IF(Dashboard!$I$6="Flat %",1,IF(ISNUMBER(H688),1,0))</x:f>
        <x:v>0</x:v>
      </x:c>
      <x:c r="W688" s="9" t="str">
        <x:f>IF(Dashboard!$I$6="Flat %",G688*(1+Dashboard!$L$6),H688)</x:f>
        <x:v>n.a.</x:v>
      </x:c>
      <x:c r="X688" s="9" t="str">
        <x:f>IF(V688=1,R688*(W688-G688),"n.a.")</x:f>
        <x:v>n.a.</x:v>
      </x:c>
      <x:c r="Y688" s="9" t="str">
        <x:f>IF(V688=1,R688*W688,"n.a.")</x:f>
        <x:v>n.a.</x:v>
      </x:c>
      <x:c r="Z688" s="1" t="str">
        <x:f>IF(ISNUMBER(T688),R688-T688,"n.a.")</x:f>
        <x:v>n.a.</x:v>
      </x:c>
      <x:c r="AA688" s="1" t="str">
        <x:f>'Inventory inputs'!R688</x:f>
        <x:v>Review receipt reconciliation or original PO baseline</x:v>
      </x:c>
      <x:c r="AB688" s="1" t="str">
        <x:f>IF(L688=1,SUMIFS('Incoming POs'!$P$2:$P$305,'Incoming POs'!$A$2:$A$305,A688,'Incoming POs'!$B$2:$B$305,B688,'Incoming POs'!$C$2:$C$305,C688,'Incoming POs'!$G$2:$G$305,"&gt;="&amp;D688,'Incoming POs'!$G$2:$G$305,"&lt;"&amp;Dashboard!$I$5,'Incoming POs'!$Q$2:$Q$305,"&lt;="&amp;('Inventory inputs'!P688/'Inventory inputs'!J688*1.01)),"n.a.")</x:f>
        <x:v>n.a.</x:v>
      </x:c>
      <x:c r="AC688" s="9" t="n">
        <x:f>I688*G688</x:f>
        <x:v>0</x:v>
      </x:c>
      <x:c r="AD688" s="9" t="n">
        <x:f>J688*G688</x:f>
        <x:v>0</x:v>
      </x:c>
      <x:c r="AE688" s="9" t="n">
        <x:f>K688*G688</x:f>
        <x:v>333.65639999999996</x:v>
      </x:c>
      <x:c r="AF688" s="9" t="n">
        <x:f>R688*G688</x:f>
        <x:v>333.65639999999996</x:v>
      </x:c>
    </x:row>
    <x:row r="689" ht="21" customHeight="1">
      <x:c r="A689" s="1" t="str">
        <x:f>'Inventory inputs'!A689</x:f>
        <x:v>PLAS</x:v>
      </x:c>
      <x:c r="B689" s="1" t="str">
        <x:f>'Inventory inputs'!B689</x:f>
        <x:v>10</x:v>
      </x:c>
      <x:c r="C689" s="1" t="str">
        <x:f>'Inventory inputs'!C689</x:f>
        <x:v>71680RWBWHT</x:v>
      </x:c>
      <x:c r="D689" s="7" t="n">
        <x:f>'Inventory inputs'!E689</x:f>
        <x:v>46303</x:v>
      </x:c>
      <x:c r="E689" s="1" t="n">
        <x:f>'Inventory inputs'!F689</x:f>
        <x:v>4044</x:v>
      </x:c>
      <x:c r="F689" s="1" t="n">
        <x:f>'Inventory inputs'!G689</x:f>
        <x:v>0</x:v>
      </x:c>
      <x:c r="G689" s="1" t="n">
        <x:f>'Inventory inputs'!H689/'Inventory inputs'!J689</x:f>
        <x:v>0.1226</x:v>
      </x:c>
      <x:c r="H689" s="1" t="n">
        <x:f>IF('Inventory inputs'!I689&gt;0,'Inventory inputs'!I689*'Inventory inputs'!K689/'Inventory inputs'!J689,"n.a.")</x:f>
        <x:v>0.143472</x:v>
      </x:c>
      <x:c r="I689" s="1" t="n">
        <x:f>'Inventory inputs'!L689</x:f>
        <x:v>4044</x:v>
      </x:c>
      <x:c r="J689" s="1" t="n">
        <x:f>'Inventory inputs'!M689</x:f>
        <x:v>0</x:v>
      </x:c>
      <x:c r="K689" s="1" t="n">
        <x:f>'Inventory inputs'!N689</x:f>
        <x:v>0</x:v>
      </x:c>
      <x:c r="L689" s="1" t="n">
        <x:f>'Inventory inputs'!O689</x:f>
        <x:v>1</x:v>
      </x:c>
      <x:c r="M689" s="9" t="n">
        <x:f>E689*G689</x:f>
        <x:v>495.7944</x:v>
      </x:c>
      <x:c r="N689" s="9" t="n">
        <x:f>'Inventory inputs'!Q689</x:f>
        <x:v>495.79440000000005</x:v>
      </x:c>
      <x:c r="O689" s="9" t="n">
        <x:f>N689-M689</x:f>
        <x:v>5.684341886080802e-14</x:v>
      </x:c>
      <x:c r="P689" s="1" t="n">
        <x:f>SUMIFS('Incoming POs'!$P$2:$P$305,'Incoming POs'!$A$2:$A$305,A689,'Incoming POs'!$B$2:$B$305,B689,'Incoming POs'!$C$2:$C$305,C689,'Incoming POs'!$G$2:$G$305,"&gt;="&amp;D689,'Incoming POs'!$G$2:$G$305,"&lt;"&amp;Dashboard!$I$5)</x:f>
        <x:v>0</x:v>
      </x:c>
      <x:c r="Q689" s="1" t="n">
        <x:f>F689*Dashboard!$L$5*MAX(0,Dashboard!$I$5-D689)/30.4375</x:f>
        <x:v>0</x:v>
      </x:c>
      <x:c r="R689" s="1" t="n">
        <x:f>MAX(0,E689+P689-Q689)</x:f>
        <x:v>4044</x:v>
      </x:c>
      <x:c r="S689" s="1" t="n">
        <x:f>MAX(0,Q689-E689-P689)</x:f>
        <x:v>0</x:v>
      </x:c>
      <x:c r="T689" s="1" t="n">
        <x:f>IF(L689=1,MAX(0,I689+AB689-MIN(Q689,E689+P689)),"n.a.")</x:f>
        <x:v>4044</x:v>
      </x:c>
      <x:c r="U689" s="9" t="n">
        <x:f>IF(ISNUMBER(T689),T689*G689,"n.a.")</x:f>
        <x:v>495.7944</x:v>
      </x:c>
      <x:c r="V689" s="25" t="n">
        <x:f>IF(Dashboard!$I$6="Flat %",1,IF(ISNUMBER(H689),1,0))</x:f>
        <x:v>1</x:v>
      </x:c>
      <x:c r="W689" s="9" t="n">
        <x:f>IF(Dashboard!$I$6="Flat %",G689*(1+Dashboard!$L$6),H689)</x:f>
        <x:v>0.143472</x:v>
      </x:c>
      <x:c r="X689" s="9" t="n">
        <x:f>IF(V689=1,R689*(W689-G689),"n.a.")</x:f>
        <x:v>84.40636799999994</x:v>
      </x:c>
      <x:c r="Y689" s="9" t="n">
        <x:f>IF(V689=1,R689*W689,"n.a.")</x:f>
        <x:v>580.2007679999999</x:v>
      </x:c>
      <x:c r="Z689" s="1" t="n">
        <x:f>IF(ISNUMBER(T689),R689-T689,"n.a.")</x:f>
        <x:v>0</x:v>
      </x:c>
      <x:c r="AA689" s="1" t="str">
        <x:f>'Inventory inputs'!R689</x:f>
        <x:v>Classified</x:v>
      </x:c>
      <x:c r="AB689" s="1" t="n">
        <x:f>IF(L689=1,SUMIFS('Incoming POs'!$P$2:$P$305,'Incoming POs'!$A$2:$A$305,A689,'Incoming POs'!$B$2:$B$305,B689,'Incoming POs'!$C$2:$C$305,C689,'Incoming POs'!$G$2:$G$305,"&gt;="&amp;D689,'Incoming POs'!$G$2:$G$305,"&lt;"&amp;Dashboard!$I$5,'Incoming POs'!$Q$2:$Q$305,"&lt;="&amp;('Inventory inputs'!P689/'Inventory inputs'!J689*1.01)),"n.a.")</x:f>
        <x:v>0</x:v>
      </x:c>
      <x:c r="AC689" s="9" t="n">
        <x:f>I689*G689</x:f>
        <x:v>495.7944</x:v>
      </x:c>
      <x:c r="AD689" s="9" t="n">
        <x:f>J689*G689</x:f>
        <x:v>0</x:v>
      </x:c>
      <x:c r="AE689" s="9" t="n">
        <x:f>K689*G689</x:f>
        <x:v>0</x:v>
      </x:c>
      <x:c r="AF689" s="9" t="n">
        <x:f>R689*G689</x:f>
        <x:v>495.7944</x:v>
      </x:c>
    </x:row>
    <x:row r="690" ht="21" customHeight="1">
      <x:c r="A690" s="1" t="str">
        <x:f>'Inventory inputs'!A690</x:f>
        <x:v>PLAS</x:v>
      </x:c>
      <x:c r="B690" s="1" t="str">
        <x:f>'Inventory inputs'!B690</x:f>
        <x:v>10</x:v>
      </x:c>
      <x:c r="C690" s="1" t="str">
        <x:f>'Inventory inputs'!C690</x:f>
        <x:v>91615RWBBRN</x:v>
      </x:c>
      <x:c r="D690" s="7" t="n">
        <x:f>'Inventory inputs'!E690</x:f>
        <x:v>46303</x:v>
      </x:c>
      <x:c r="E690" s="1" t="n">
        <x:f>'Inventory inputs'!F690</x:f>
        <x:v>4850</x:v>
      </x:c>
      <x:c r="F690" s="1" t="n">
        <x:f>'Inventory inputs'!G690</x:f>
        <x:v>0</x:v>
      </x:c>
      <x:c r="G690" s="1" t="n">
        <x:f>'Inventory inputs'!H690/'Inventory inputs'!J690</x:f>
        <x:v>0.0291</x:v>
      </x:c>
      <x:c r="H690" s="1" t="n">
        <x:f>IF('Inventory inputs'!I690&gt;0,'Inventory inputs'!I690*'Inventory inputs'!K690/'Inventory inputs'!J690,"n.a.")</x:f>
        <x:v>0.034103999999999995</x:v>
      </x:c>
      <x:c r="I690" s="1" t="n">
        <x:f>'Inventory inputs'!L690</x:f>
        <x:v>4850</x:v>
      </x:c>
      <x:c r="J690" s="1" t="n">
        <x:f>'Inventory inputs'!M690</x:f>
        <x:v>0</x:v>
      </x:c>
      <x:c r="K690" s="1" t="n">
        <x:f>'Inventory inputs'!N690</x:f>
        <x:v>0</x:v>
      </x:c>
      <x:c r="L690" s="1" t="n">
        <x:f>'Inventory inputs'!O690</x:f>
        <x:v>1</x:v>
      </x:c>
      <x:c r="M690" s="9" t="n">
        <x:f>E690*G690</x:f>
        <x:v>141.135</x:v>
      </x:c>
      <x:c r="N690" s="9" t="n">
        <x:f>'Inventory inputs'!Q690</x:f>
        <x:v>141.135</x:v>
      </x:c>
      <x:c r="O690" s="9" t="n">
        <x:f>N690-M690</x:f>
        <x:v>0</x:v>
      </x:c>
      <x:c r="P690" s="1" t="n">
        <x:f>SUMIFS('Incoming POs'!$P$2:$P$305,'Incoming POs'!$A$2:$A$305,A690,'Incoming POs'!$B$2:$B$305,B690,'Incoming POs'!$C$2:$C$305,C690,'Incoming POs'!$G$2:$G$305,"&gt;="&amp;D690,'Incoming POs'!$G$2:$G$305,"&lt;"&amp;Dashboard!$I$5)</x:f>
        <x:v>0</x:v>
      </x:c>
      <x:c r="Q690" s="1" t="n">
        <x:f>F690*Dashboard!$L$5*MAX(0,Dashboard!$I$5-D690)/30.4375</x:f>
        <x:v>0</x:v>
      </x:c>
      <x:c r="R690" s="1" t="n">
        <x:f>MAX(0,E690+P690-Q690)</x:f>
        <x:v>4850</x:v>
      </x:c>
      <x:c r="S690" s="1" t="n">
        <x:f>MAX(0,Q690-E690-P690)</x:f>
        <x:v>0</x:v>
      </x:c>
      <x:c r="T690" s="1" t="n">
        <x:f>IF(L690=1,MAX(0,I690+AB690-MIN(Q690,E690+P690)),"n.a.")</x:f>
        <x:v>4850</x:v>
      </x:c>
      <x:c r="U690" s="9" t="n">
        <x:f>IF(ISNUMBER(T690),T690*G690,"n.a.")</x:f>
        <x:v>141.135</x:v>
      </x:c>
      <x:c r="V690" s="25" t="n">
        <x:f>IF(Dashboard!$I$6="Flat %",1,IF(ISNUMBER(H690),1,0))</x:f>
        <x:v>1</x:v>
      </x:c>
      <x:c r="W690" s="9" t="n">
        <x:f>IF(Dashboard!$I$6="Flat %",G690*(1+Dashboard!$L$6),H690)</x:f>
        <x:v>0.034103999999999995</x:v>
      </x:c>
      <x:c r="X690" s="9" t="n">
        <x:f>IF(V690=1,R690*(W690-G690),"n.a.")</x:f>
        <x:v>24.269399999999973</x:v>
      </x:c>
      <x:c r="Y690" s="9" t="n">
        <x:f>IF(V690=1,R690*W690,"n.a.")</x:f>
        <x:v>165.40439999999998</x:v>
      </x:c>
      <x:c r="Z690" s="1" t="n">
        <x:f>IF(ISNUMBER(T690),R690-T690,"n.a.")</x:f>
        <x:v>0</x:v>
      </x:c>
      <x:c r="AA690" s="1" t="str">
        <x:f>'Inventory inputs'!R690</x:f>
        <x:v>Classified</x:v>
      </x:c>
      <x:c r="AB690" s="1" t="n">
        <x:f>IF(L690=1,SUMIFS('Incoming POs'!$P$2:$P$305,'Incoming POs'!$A$2:$A$305,A690,'Incoming POs'!$B$2:$B$305,B690,'Incoming POs'!$C$2:$C$305,C690,'Incoming POs'!$G$2:$G$305,"&gt;="&amp;D690,'Incoming POs'!$G$2:$G$305,"&lt;"&amp;Dashboard!$I$5,'Incoming POs'!$Q$2:$Q$305,"&lt;="&amp;('Inventory inputs'!P690/'Inventory inputs'!J690*1.01)),"n.a.")</x:f>
        <x:v>0</x:v>
      </x:c>
      <x:c r="AC690" s="9" t="n">
        <x:f>I690*G690</x:f>
        <x:v>141.135</x:v>
      </x:c>
      <x:c r="AD690" s="9" t="n">
        <x:f>J690*G690</x:f>
        <x:v>0</x:v>
      </x:c>
      <x:c r="AE690" s="9" t="n">
        <x:f>K690*G690</x:f>
        <x:v>0</x:v>
      </x:c>
      <x:c r="AF690" s="9" t="n">
        <x:f>R690*G690</x:f>
        <x:v>141.135</x:v>
      </x:c>
    </x:row>
    <x:row r="691" ht="21" customHeight="1">
      <x:c r="A691" s="1" t="str">
        <x:f>'Inventory inputs'!A691</x:f>
        <x:v>PLAS</x:v>
      </x:c>
      <x:c r="B691" s="1" t="str">
        <x:f>'Inventory inputs'!B691</x:f>
        <x:v>10</x:v>
      </x:c>
      <x:c r="C691" s="1" t="str">
        <x:f>'Inventory inputs'!C691</x:f>
        <x:v>91615RWBCLR</x:v>
      </x:c>
      <x:c r="D691" s="7" t="n">
        <x:f>'Inventory inputs'!E691</x:f>
        <x:v>46303</x:v>
      </x:c>
      <x:c r="E691" s="1" t="n">
        <x:f>'Inventory inputs'!F691</x:f>
        <x:v>4086</x:v>
      </x:c>
      <x:c r="F691" s="1" t="n">
        <x:f>'Inventory inputs'!G691</x:f>
        <x:v>0</x:v>
      </x:c>
      <x:c r="G691" s="1" t="n">
        <x:f>'Inventory inputs'!H691/'Inventory inputs'!J691</x:f>
        <x:v>0.0246</x:v>
      </x:c>
      <x:c r="H691" s="1" t="n">
        <x:f>IF('Inventory inputs'!I691&gt;0,'Inventory inputs'!I691*'Inventory inputs'!K691/'Inventory inputs'!J691,"n.a.")</x:f>
        <x:v>0.034103999999999995</x:v>
      </x:c>
      <x:c r="I691" s="1" t="n">
        <x:f>'Inventory inputs'!L691</x:f>
        <x:v>0</x:v>
      </x:c>
      <x:c r="J691" s="1" t="n">
        <x:f>'Inventory inputs'!M691</x:f>
        <x:v>0</x:v>
      </x:c>
      <x:c r="K691" s="1" t="n">
        <x:f>'Inventory inputs'!N691</x:f>
        <x:v>4086</x:v>
      </x:c>
      <x:c r="L691" s="1" t="n">
        <x:f>'Inventory inputs'!O691</x:f>
        <x:v>0</x:v>
      </x:c>
      <x:c r="M691" s="9" t="n">
        <x:f>E691*G691</x:f>
        <x:v>100.5156</x:v>
      </x:c>
      <x:c r="N691" s="9" t="n">
        <x:f>'Inventory inputs'!Q691</x:f>
        <x:v>100.51559999999999</x:v>
      </x:c>
      <x:c r="O691" s="9" t="n">
        <x:f>N691-M691</x:f>
        <x:v>-1.4210854715202004e-14</x:v>
      </x:c>
      <x:c r="P691" s="1" t="n">
        <x:f>SUMIFS('Incoming POs'!$P$2:$P$305,'Incoming POs'!$A$2:$A$305,A691,'Incoming POs'!$B$2:$B$305,B691,'Incoming POs'!$C$2:$C$305,C691,'Incoming POs'!$G$2:$G$305,"&gt;="&amp;D691,'Incoming POs'!$G$2:$G$305,"&lt;"&amp;Dashboard!$I$5)</x:f>
        <x:v>0</x:v>
      </x:c>
      <x:c r="Q691" s="1" t="n">
        <x:f>F691*Dashboard!$L$5*MAX(0,Dashboard!$I$5-D691)/30.4375</x:f>
        <x:v>0</x:v>
      </x:c>
      <x:c r="R691" s="1" t="n">
        <x:f>MAX(0,E691+P691-Q691)</x:f>
        <x:v>4086</x:v>
      </x:c>
      <x:c r="S691" s="1" t="n">
        <x:f>MAX(0,Q691-E691-P691)</x:f>
        <x:v>0</x:v>
      </x:c>
      <x:c r="T691" s="1" t="str">
        <x:f>IF(L691=1,MAX(0,I691+AB691-MIN(Q691,E691+P691)),"n.a.")</x:f>
        <x:v>n.a.</x:v>
      </x:c>
      <x:c r="U691" s="9" t="str">
        <x:f>IF(ISNUMBER(T691),T691*G691,"n.a.")</x:f>
        <x:v>n.a.</x:v>
      </x:c>
      <x:c r="V691" s="25" t="n">
        <x:f>IF(Dashboard!$I$6="Flat %",1,IF(ISNUMBER(H691),1,0))</x:f>
        <x:v>1</x:v>
      </x:c>
      <x:c r="W691" s="9" t="n">
        <x:f>IF(Dashboard!$I$6="Flat %",G691*(1+Dashboard!$L$6),H691)</x:f>
        <x:v>0.034103999999999995</x:v>
      </x:c>
      <x:c r="X691" s="9" t="n">
        <x:f>IF(V691=1,R691*(W691-G691),"n.a.")</x:f>
        <x:v>38.83334399999998</x:v>
      </x:c>
      <x:c r="Y691" s="9" t="n">
        <x:f>IF(V691=1,R691*W691,"n.a.")</x:f>
        <x:v>139.348944</x:v>
      </x:c>
      <x:c r="Z691" s="1" t="str">
        <x:f>IF(ISNUMBER(T691),R691-T691,"n.a.")</x:f>
        <x:v>n.a.</x:v>
      </x:c>
      <x:c r="AA691" s="1" t="str">
        <x:f>'Inventory inputs'!R691</x:f>
        <x:v>Review receipt reconciliation or original PO baseline</x:v>
      </x:c>
      <x:c r="AB691" s="1" t="str">
        <x:f>IF(L691=1,SUMIFS('Incoming POs'!$P$2:$P$305,'Incoming POs'!$A$2:$A$305,A691,'Incoming POs'!$B$2:$B$305,B691,'Incoming POs'!$C$2:$C$305,C691,'Incoming POs'!$G$2:$G$305,"&gt;="&amp;D691,'Incoming POs'!$G$2:$G$305,"&lt;"&amp;Dashboard!$I$5,'Incoming POs'!$Q$2:$Q$305,"&lt;="&amp;('Inventory inputs'!P691/'Inventory inputs'!J691*1.01)),"n.a.")</x:f>
        <x:v>n.a.</x:v>
      </x:c>
      <x:c r="AC691" s="9" t="n">
        <x:f>I691*G691</x:f>
        <x:v>0</x:v>
      </x:c>
      <x:c r="AD691" s="9" t="n">
        <x:f>J691*G691</x:f>
        <x:v>0</x:v>
      </x:c>
      <x:c r="AE691" s="9" t="n">
        <x:f>K691*G691</x:f>
        <x:v>100.5156</x:v>
      </x:c>
      <x:c r="AF691" s="9" t="n">
        <x:f>R691*G691</x:f>
        <x:v>100.5156</x:v>
      </x:c>
    </x:row>
    <x:row r="692" ht="21" customHeight="1">
      <x:c r="A692" s="1" t="str">
        <x:f>'Inventory inputs'!A692</x:f>
        <x:v>PLAS</x:v>
      </x:c>
      <x:c r="B692" s="1" t="str">
        <x:f>'Inventory inputs'!B692</x:f>
        <x:v>10</x:v>
      </x:c>
      <x:c r="C692" s="1" t="str">
        <x:f>'Inventory inputs'!C692</x:f>
        <x:v>91615RWBFG</x:v>
      </x:c>
      <x:c r="D692" s="7" t="n">
        <x:f>'Inventory inputs'!E692</x:f>
        <x:v>46303</x:v>
      </x:c>
      <x:c r="E692" s="1" t="n">
        <x:f>'Inventory inputs'!F692</x:f>
        <x:v>7500</x:v>
      </x:c>
      <x:c r="F692" s="1" t="n">
        <x:f>'Inventory inputs'!G692</x:f>
        <x:v>0</x:v>
      </x:c>
      <x:c r="G692" s="1" t="n">
        <x:f>'Inventory inputs'!H692/'Inventory inputs'!J692</x:f>
        <x:v>0.0291</x:v>
      </x:c>
      <x:c r="H692" s="1" t="n">
        <x:f>IF('Inventory inputs'!I692&gt;0,'Inventory inputs'!I692*'Inventory inputs'!K692/'Inventory inputs'!J692,"n.a.")</x:f>
        <x:v>0.034103999999999995</x:v>
      </x:c>
      <x:c r="I692" s="1" t="n">
        <x:f>'Inventory inputs'!L692</x:f>
        <x:v>7500</x:v>
      </x:c>
      <x:c r="J692" s="1" t="n">
        <x:f>'Inventory inputs'!M692</x:f>
        <x:v>0</x:v>
      </x:c>
      <x:c r="K692" s="1" t="n">
        <x:f>'Inventory inputs'!N692</x:f>
        <x:v>0</x:v>
      </x:c>
      <x:c r="L692" s="1" t="n">
        <x:f>'Inventory inputs'!O692</x:f>
        <x:v>1</x:v>
      </x:c>
      <x:c r="M692" s="9" t="n">
        <x:f>E692*G692</x:f>
        <x:v>218.25</x:v>
      </x:c>
      <x:c r="N692" s="9" t="n">
        <x:f>'Inventory inputs'!Q692</x:f>
        <x:v>218.25</x:v>
      </x:c>
      <x:c r="O692" s="9" t="n">
        <x:f>N692-M692</x:f>
        <x:v>0</x:v>
      </x:c>
      <x:c r="P692" s="1" t="n">
        <x:f>SUMIFS('Incoming POs'!$P$2:$P$305,'Incoming POs'!$A$2:$A$305,A692,'Incoming POs'!$B$2:$B$305,B692,'Incoming POs'!$C$2:$C$305,C692,'Incoming POs'!$G$2:$G$305,"&gt;="&amp;D692,'Incoming POs'!$G$2:$G$305,"&lt;"&amp;Dashboard!$I$5)</x:f>
        <x:v>0</x:v>
      </x:c>
      <x:c r="Q692" s="1" t="n">
        <x:f>F692*Dashboard!$L$5*MAX(0,Dashboard!$I$5-D692)/30.4375</x:f>
        <x:v>0</x:v>
      </x:c>
      <x:c r="R692" s="1" t="n">
        <x:f>MAX(0,E692+P692-Q692)</x:f>
        <x:v>7500</x:v>
      </x:c>
      <x:c r="S692" s="1" t="n">
        <x:f>MAX(0,Q692-E692-P692)</x:f>
        <x:v>0</x:v>
      </x:c>
      <x:c r="T692" s="1" t="n">
        <x:f>IF(L692=1,MAX(0,I692+AB692-MIN(Q692,E692+P692)),"n.a.")</x:f>
        <x:v>7500</x:v>
      </x:c>
      <x:c r="U692" s="9" t="n">
        <x:f>IF(ISNUMBER(T692),T692*G692,"n.a.")</x:f>
        <x:v>218.25</x:v>
      </x:c>
      <x:c r="V692" s="25" t="n">
        <x:f>IF(Dashboard!$I$6="Flat %",1,IF(ISNUMBER(H692),1,0))</x:f>
        <x:v>1</x:v>
      </x:c>
      <x:c r="W692" s="9" t="n">
        <x:f>IF(Dashboard!$I$6="Flat %",G692*(1+Dashboard!$L$6),H692)</x:f>
        <x:v>0.034103999999999995</x:v>
      </x:c>
      <x:c r="X692" s="9" t="n">
        <x:f>IF(V692=1,R692*(W692-G692),"n.a.")</x:f>
        <x:v>37.52999999999996</x:v>
      </x:c>
      <x:c r="Y692" s="9" t="n">
        <x:f>IF(V692=1,R692*W692,"n.a.")</x:f>
        <x:v>255.77999999999997</x:v>
      </x:c>
      <x:c r="Z692" s="1" t="n">
        <x:f>IF(ISNUMBER(T692),R692-T692,"n.a.")</x:f>
        <x:v>0</x:v>
      </x:c>
      <x:c r="AA692" s="1" t="str">
        <x:f>'Inventory inputs'!R692</x:f>
        <x:v>Classified</x:v>
      </x:c>
      <x:c r="AB692" s="1" t="n">
        <x:f>IF(L692=1,SUMIFS('Incoming POs'!$P$2:$P$305,'Incoming POs'!$A$2:$A$305,A692,'Incoming POs'!$B$2:$B$305,B692,'Incoming POs'!$C$2:$C$305,C692,'Incoming POs'!$G$2:$G$305,"&gt;="&amp;D692,'Incoming POs'!$G$2:$G$305,"&lt;"&amp;Dashboard!$I$5,'Incoming POs'!$Q$2:$Q$305,"&lt;="&amp;('Inventory inputs'!P692/'Inventory inputs'!J692*1.01)),"n.a.")</x:f>
        <x:v>0</x:v>
      </x:c>
      <x:c r="AC692" s="9" t="n">
        <x:f>I692*G692</x:f>
        <x:v>218.25</x:v>
      </x:c>
      <x:c r="AD692" s="9" t="n">
        <x:f>J692*G692</x:f>
        <x:v>0</x:v>
      </x:c>
      <x:c r="AE692" s="9" t="n">
        <x:f>K692*G692</x:f>
        <x:v>0</x:v>
      </x:c>
      <x:c r="AF692" s="9" t="n">
        <x:f>R692*G692</x:f>
        <x:v>218.25</x:v>
      </x:c>
    </x:row>
    <x:row r="693" ht="21" customHeight="1">
      <x:c r="A693" s="1" t="str">
        <x:f>'Inventory inputs'!A693</x:f>
        <x:v>PLAS</x:v>
      </x:c>
      <x:c r="B693" s="1" t="str">
        <x:f>'Inventory inputs'!B693</x:f>
        <x:v>10</x:v>
      </x:c>
      <x:c r="C693" s="1" t="str">
        <x:f>'Inventory inputs'!C693</x:f>
        <x:v>91615RWBMAR</x:v>
      </x:c>
      <x:c r="D693" s="7" t="n">
        <x:f>'Inventory inputs'!E693</x:f>
        <x:v>46303</x:v>
      </x:c>
      <x:c r="E693" s="1" t="n">
        <x:f>'Inventory inputs'!F693</x:f>
        <x:v>6000</x:v>
      </x:c>
      <x:c r="F693" s="1" t="n">
        <x:f>'Inventory inputs'!G693</x:f>
        <x:v>0</x:v>
      </x:c>
      <x:c r="G693" s="1" t="n">
        <x:f>'Inventory inputs'!H693/'Inventory inputs'!J693</x:f>
        <x:v>0.0246</x:v>
      </x:c>
      <x:c r="H693" s="1" t="n">
        <x:f>IF('Inventory inputs'!I693&gt;0,'Inventory inputs'!I693*'Inventory inputs'!K693/'Inventory inputs'!J693,"n.a.")</x:f>
        <x:v>0.034103999999999995</x:v>
      </x:c>
      <x:c r="I693" s="1" t="n">
        <x:f>'Inventory inputs'!L693</x:f>
        <x:v>0</x:v>
      </x:c>
      <x:c r="J693" s="1" t="n">
        <x:f>'Inventory inputs'!M693</x:f>
        <x:v>0</x:v>
      </x:c>
      <x:c r="K693" s="1" t="n">
        <x:f>'Inventory inputs'!N693</x:f>
        <x:v>6000</x:v>
      </x:c>
      <x:c r="L693" s="1" t="n">
        <x:f>'Inventory inputs'!O693</x:f>
        <x:v>0</x:v>
      </x:c>
      <x:c r="M693" s="9" t="n">
        <x:f>E693*G693</x:f>
        <x:v>147.6</x:v>
      </x:c>
      <x:c r="N693" s="9" t="n">
        <x:f>'Inventory inputs'!Q693</x:f>
        <x:v>147.6</x:v>
      </x:c>
      <x:c r="O693" s="9" t="n">
        <x:f>N693-M693</x:f>
        <x:v>0</x:v>
      </x:c>
      <x:c r="P693" s="1" t="n">
        <x:f>SUMIFS('Incoming POs'!$P$2:$P$305,'Incoming POs'!$A$2:$A$305,A693,'Incoming POs'!$B$2:$B$305,B693,'Incoming POs'!$C$2:$C$305,C693,'Incoming POs'!$G$2:$G$305,"&gt;="&amp;D693,'Incoming POs'!$G$2:$G$305,"&lt;"&amp;Dashboard!$I$5)</x:f>
        <x:v>0</x:v>
      </x:c>
      <x:c r="Q693" s="1" t="n">
        <x:f>F693*Dashboard!$L$5*MAX(0,Dashboard!$I$5-D693)/30.4375</x:f>
        <x:v>0</x:v>
      </x:c>
      <x:c r="R693" s="1" t="n">
        <x:f>MAX(0,E693+P693-Q693)</x:f>
        <x:v>6000</x:v>
      </x:c>
      <x:c r="S693" s="1" t="n">
        <x:f>MAX(0,Q693-E693-P693)</x:f>
        <x:v>0</x:v>
      </x:c>
      <x:c r="T693" s="1" t="str">
        <x:f>IF(L693=1,MAX(0,I693+AB693-MIN(Q693,E693+P693)),"n.a.")</x:f>
        <x:v>n.a.</x:v>
      </x:c>
      <x:c r="U693" s="9" t="str">
        <x:f>IF(ISNUMBER(T693),T693*G693,"n.a.")</x:f>
        <x:v>n.a.</x:v>
      </x:c>
      <x:c r="V693" s="25" t="n">
        <x:f>IF(Dashboard!$I$6="Flat %",1,IF(ISNUMBER(H693),1,0))</x:f>
        <x:v>1</x:v>
      </x:c>
      <x:c r="W693" s="9" t="n">
        <x:f>IF(Dashboard!$I$6="Flat %",G693*(1+Dashboard!$L$6),H693)</x:f>
        <x:v>0.034103999999999995</x:v>
      </x:c>
      <x:c r="X693" s="9" t="n">
        <x:f>IF(V693=1,R693*(W693-G693),"n.a.")</x:f>
        <x:v>57.02399999999997</x:v>
      </x:c>
      <x:c r="Y693" s="9" t="n">
        <x:f>IF(V693=1,R693*W693,"n.a.")</x:f>
        <x:v>204.62399999999997</x:v>
      </x:c>
      <x:c r="Z693" s="1" t="str">
        <x:f>IF(ISNUMBER(T693),R693-T693,"n.a.")</x:f>
        <x:v>n.a.</x:v>
      </x:c>
      <x:c r="AA693" s="1" t="str">
        <x:f>'Inventory inputs'!R693</x:f>
        <x:v>Review receipt reconciliation or original PO baseline</x:v>
      </x:c>
      <x:c r="AB693" s="1" t="str">
        <x:f>IF(L693=1,SUMIFS('Incoming POs'!$P$2:$P$305,'Incoming POs'!$A$2:$A$305,A693,'Incoming POs'!$B$2:$B$305,B693,'Incoming POs'!$C$2:$C$305,C693,'Incoming POs'!$G$2:$G$305,"&gt;="&amp;D693,'Incoming POs'!$G$2:$G$305,"&lt;"&amp;Dashboard!$I$5,'Incoming POs'!$Q$2:$Q$305,"&lt;="&amp;('Inventory inputs'!P693/'Inventory inputs'!J693*1.01)),"n.a.")</x:f>
        <x:v>n.a.</x:v>
      </x:c>
      <x:c r="AC693" s="9" t="n">
        <x:f>I693*G693</x:f>
        <x:v>0</x:v>
      </x:c>
      <x:c r="AD693" s="9" t="n">
        <x:f>J693*G693</x:f>
        <x:v>0</x:v>
      </x:c>
      <x:c r="AE693" s="9" t="n">
        <x:f>K693*G693</x:f>
        <x:v>147.6</x:v>
      </x:c>
      <x:c r="AF693" s="9" t="n">
        <x:f>R693*G693</x:f>
        <x:v>147.6</x:v>
      </x:c>
    </x:row>
    <x:row r="694" ht="21" customHeight="1">
      <x:c r="A694" s="1" t="str">
        <x:f>'Inventory inputs'!A694</x:f>
        <x:v>PLAS</x:v>
      </x:c>
      <x:c r="B694" s="1" t="str">
        <x:f>'Inventory inputs'!B694</x:f>
        <x:v>10</x:v>
      </x:c>
      <x:c r="C694" s="1" t="str">
        <x:f>'Inventory inputs'!C694</x:f>
        <x:v>91621RWBWHT</x:v>
      </x:c>
      <x:c r="D694" s="7" t="n">
        <x:f>'Inventory inputs'!E694</x:f>
        <x:v>46303</x:v>
      </x:c>
      <x:c r="E694" s="1" t="n">
        <x:f>'Inventory inputs'!F694</x:f>
        <x:v>13436</x:v>
      </x:c>
      <x:c r="F694" s="1" t="n">
        <x:f>'Inventory inputs'!G694</x:f>
        <x:v>0</x:v>
      </x:c>
      <x:c r="G694" s="1" t="n">
        <x:f>'Inventory inputs'!H694/'Inventory inputs'!J694</x:f>
        <x:v>0.040999999999999995</x:v>
      </x:c>
      <x:c r="H694" s="1" t="n">
        <x:f>IF('Inventory inputs'!I694&gt;0,'Inventory inputs'!I694*'Inventory inputs'!K694/'Inventory inputs'!J694,"n.a.")</x:f>
        <x:v>0.04792199999999999</x:v>
      </x:c>
      <x:c r="I694" s="1" t="n">
        <x:f>'Inventory inputs'!L694</x:f>
        <x:v>13436</x:v>
      </x:c>
      <x:c r="J694" s="1" t="n">
        <x:f>'Inventory inputs'!M694</x:f>
        <x:v>0</x:v>
      </x:c>
      <x:c r="K694" s="1" t="n">
        <x:f>'Inventory inputs'!N694</x:f>
        <x:v>0</x:v>
      </x:c>
      <x:c r="L694" s="1" t="n">
        <x:f>'Inventory inputs'!O694</x:f>
        <x:v>1</x:v>
      </x:c>
      <x:c r="M694" s="9" t="n">
        <x:f>E694*G694</x:f>
        <x:v>550.876</x:v>
      </x:c>
      <x:c r="N694" s="9" t="n">
        <x:f>'Inventory inputs'!Q694</x:f>
        <x:v>550.876</x:v>
      </x:c>
      <x:c r="O694" s="9" t="n">
        <x:f>N694-M694</x:f>
        <x:v>0</x:v>
      </x:c>
      <x:c r="P694" s="1" t="n">
        <x:f>SUMIFS('Incoming POs'!$P$2:$P$305,'Incoming POs'!$A$2:$A$305,A694,'Incoming POs'!$B$2:$B$305,B694,'Incoming POs'!$C$2:$C$305,C694,'Incoming POs'!$G$2:$G$305,"&gt;="&amp;D694,'Incoming POs'!$G$2:$G$305,"&lt;"&amp;Dashboard!$I$5)</x:f>
        <x:v>0</x:v>
      </x:c>
      <x:c r="Q694" s="1" t="n">
        <x:f>F694*Dashboard!$L$5*MAX(0,Dashboard!$I$5-D694)/30.4375</x:f>
        <x:v>0</x:v>
      </x:c>
      <x:c r="R694" s="1" t="n">
        <x:f>MAX(0,E694+P694-Q694)</x:f>
        <x:v>13436</x:v>
      </x:c>
      <x:c r="S694" s="1" t="n">
        <x:f>MAX(0,Q694-E694-P694)</x:f>
        <x:v>0</x:v>
      </x:c>
      <x:c r="T694" s="1" t="n">
        <x:f>IF(L694=1,MAX(0,I694+AB694-MIN(Q694,E694+P694)),"n.a.")</x:f>
        <x:v>13436</x:v>
      </x:c>
      <x:c r="U694" s="9" t="n">
        <x:f>IF(ISNUMBER(T694),T694*G694,"n.a.")</x:f>
        <x:v>550.876</x:v>
      </x:c>
      <x:c r="V694" s="25" t="n">
        <x:f>IF(Dashboard!$I$6="Flat %",1,IF(ISNUMBER(H694),1,0))</x:f>
        <x:v>1</x:v>
      </x:c>
      <x:c r="W694" s="9" t="n">
        <x:f>IF(Dashboard!$I$6="Flat %",G694*(1+Dashboard!$L$6),H694)</x:f>
        <x:v>0.04792199999999999</x:v>
      </x:c>
      <x:c r="X694" s="9" t="n">
        <x:f>IF(V694=1,R694*(W694-G694),"n.a.")</x:f>
        <x:v>93.00399199999997</x:v>
      </x:c>
      <x:c r="Y694" s="9" t="n">
        <x:f>IF(V694=1,R694*W694,"n.a.")</x:f>
        <x:v>643.8799919999999</x:v>
      </x:c>
      <x:c r="Z694" s="1" t="n">
        <x:f>IF(ISNUMBER(T694),R694-T694,"n.a.")</x:f>
        <x:v>0</x:v>
      </x:c>
      <x:c r="AA694" s="1" t="str">
        <x:f>'Inventory inputs'!R694</x:f>
        <x:v>Classified</x:v>
      </x:c>
      <x:c r="AB694" s="1" t="n">
        <x:f>IF(L694=1,SUMIFS('Incoming POs'!$P$2:$P$305,'Incoming POs'!$A$2:$A$305,A694,'Incoming POs'!$B$2:$B$305,B694,'Incoming POs'!$C$2:$C$305,C694,'Incoming POs'!$G$2:$G$305,"&gt;="&amp;D694,'Incoming POs'!$G$2:$G$305,"&lt;"&amp;Dashboard!$I$5,'Incoming POs'!$Q$2:$Q$305,"&lt;="&amp;('Inventory inputs'!P694/'Inventory inputs'!J694*1.01)),"n.a.")</x:f>
        <x:v>0</x:v>
      </x:c>
      <x:c r="AC694" s="9" t="n">
        <x:f>I694*G694</x:f>
        <x:v>550.876</x:v>
      </x:c>
      <x:c r="AD694" s="9" t="n">
        <x:f>J694*G694</x:f>
        <x:v>0</x:v>
      </x:c>
      <x:c r="AE694" s="9" t="n">
        <x:f>K694*G694</x:f>
        <x:v>0</x:v>
      </x:c>
      <x:c r="AF694" s="9" t="n">
        <x:f>R694*G694</x:f>
        <x:v>550.876</x:v>
      </x:c>
    </x:row>
    <x:row r="695" ht="21" customHeight="1">
      <x:c r="A695" s="1" t="str">
        <x:f>'Inventory inputs'!A695</x:f>
        <x:v>PLAS</x:v>
      </x:c>
      <x:c r="B695" s="1" t="str">
        <x:f>'Inventory inputs'!B695</x:f>
        <x:v>10</x:v>
      </x:c>
      <x:c r="C695" s="1" t="str">
        <x:f>'Inventory inputs'!C695</x:f>
        <x:v>91680RWBBLK</x:v>
      </x:c>
      <x:c r="D695" s="7" t="n">
        <x:f>'Inventory inputs'!E695</x:f>
        <x:v>46303</x:v>
      </x:c>
      <x:c r="E695" s="1" t="n">
        <x:f>'Inventory inputs'!F695</x:f>
        <x:v>1500</x:v>
      </x:c>
      <x:c r="F695" s="1" t="n">
        <x:f>'Inventory inputs'!G695</x:f>
        <x:v>0</x:v>
      </x:c>
      <x:c r="G695" s="1" t="n">
        <x:f>'Inventory inputs'!H695/'Inventory inputs'!J695</x:f>
        <x:v>0.1618</x:v>
      </x:c>
      <x:c r="H695" s="1" t="n">
        <x:f>IF('Inventory inputs'!I695&gt;0,'Inventory inputs'!I695*'Inventory inputs'!K695/'Inventory inputs'!J695,"n.a.")</x:f>
        <x:v>0.18933600000000003</x:v>
      </x:c>
      <x:c r="I695" s="1" t="n">
        <x:f>'Inventory inputs'!L695</x:f>
        <x:v>1000</x:v>
      </x:c>
      <x:c r="J695" s="1" t="n">
        <x:f>'Inventory inputs'!M695</x:f>
        <x:v>500</x:v>
      </x:c>
      <x:c r="K695" s="1" t="n">
        <x:f>'Inventory inputs'!N695</x:f>
        <x:v>0</x:v>
      </x:c>
      <x:c r="L695" s="1" t="n">
        <x:f>'Inventory inputs'!O695</x:f>
        <x:v>1</x:v>
      </x:c>
      <x:c r="M695" s="9" t="n">
        <x:f>E695*G695</x:f>
        <x:v>242.7</x:v>
      </x:c>
      <x:c r="N695" s="9" t="n">
        <x:f>'Inventory inputs'!Q695</x:f>
        <x:v>242.70000000000002</x:v>
      </x:c>
      <x:c r="O695" s="9" t="n">
        <x:f>N695-M695</x:f>
        <x:v>2.842170943040401e-14</x:v>
      </x:c>
      <x:c r="P695" s="1" t="n">
        <x:f>SUMIFS('Incoming POs'!$P$2:$P$305,'Incoming POs'!$A$2:$A$305,A695,'Incoming POs'!$B$2:$B$305,B695,'Incoming POs'!$C$2:$C$305,C695,'Incoming POs'!$G$2:$G$305,"&gt;="&amp;D695,'Incoming POs'!$G$2:$G$305,"&lt;"&amp;Dashboard!$I$5)</x:f>
        <x:v>0</x:v>
      </x:c>
      <x:c r="Q695" s="1" t="n">
        <x:f>F695*Dashboard!$L$5*MAX(0,Dashboard!$I$5-D695)/30.4375</x:f>
        <x:v>0</x:v>
      </x:c>
      <x:c r="R695" s="1" t="n">
        <x:f>MAX(0,E695+P695-Q695)</x:f>
        <x:v>1500</x:v>
      </x:c>
      <x:c r="S695" s="1" t="n">
        <x:f>MAX(0,Q695-E695-P695)</x:f>
        <x:v>0</x:v>
      </x:c>
      <x:c r="T695" s="1" t="n">
        <x:f>IF(L695=1,MAX(0,I695+AB695-MIN(Q695,E695+P695)),"n.a.")</x:f>
        <x:v>1000</x:v>
      </x:c>
      <x:c r="U695" s="9" t="n">
        <x:f>IF(ISNUMBER(T695),T695*G695,"n.a.")</x:f>
        <x:v>161.8</x:v>
      </x:c>
      <x:c r="V695" s="25" t="n">
        <x:f>IF(Dashboard!$I$6="Flat %",1,IF(ISNUMBER(H695),1,0))</x:f>
        <x:v>1</x:v>
      </x:c>
      <x:c r="W695" s="9" t="n">
        <x:f>IF(Dashboard!$I$6="Flat %",G695*(1+Dashboard!$L$6),H695)</x:f>
        <x:v>0.18933600000000003</x:v>
      </x:c>
      <x:c r="X695" s="9" t="n">
        <x:f>IF(V695=1,R695*(W695-G695),"n.a.")</x:f>
        <x:v>41.30400000000005</x:v>
      </x:c>
      <x:c r="Y695" s="9" t="n">
        <x:f>IF(V695=1,R695*W695,"n.a.")</x:f>
        <x:v>284.0040000000001</x:v>
      </x:c>
      <x:c r="Z695" s="1" t="n">
        <x:f>IF(ISNUMBER(T695),R695-T695,"n.a.")</x:f>
        <x:v>500</x:v>
      </x:c>
      <x:c r="AA695" s="1" t="str">
        <x:f>'Inventory inputs'!R695</x:f>
        <x:v>Classified</x:v>
      </x:c>
      <x:c r="AB695" s="1" t="n">
        <x:f>IF(L695=1,SUMIFS('Incoming POs'!$P$2:$P$305,'Incoming POs'!$A$2:$A$305,A695,'Incoming POs'!$B$2:$B$305,B695,'Incoming POs'!$C$2:$C$305,C695,'Incoming POs'!$G$2:$G$305,"&gt;="&amp;D695,'Incoming POs'!$G$2:$G$305,"&lt;"&amp;Dashboard!$I$5,'Incoming POs'!$Q$2:$Q$305,"&lt;="&amp;('Inventory inputs'!P695/'Inventory inputs'!J695*1.01)),"n.a.")</x:f>
        <x:v>0</x:v>
      </x:c>
      <x:c r="AC695" s="9" t="n">
        <x:f>I695*G695</x:f>
        <x:v>161.8</x:v>
      </x:c>
      <x:c r="AD695" s="9" t="n">
        <x:f>J695*G695</x:f>
        <x:v>80.9</x:v>
      </x:c>
      <x:c r="AE695" s="9" t="n">
        <x:f>K695*G695</x:f>
        <x:v>0</x:v>
      </x:c>
      <x:c r="AF695" s="9" t="n">
        <x:f>R695*G695</x:f>
        <x:v>242.7</x:v>
      </x:c>
    </x:row>
    <x:row r="696" ht="21" customHeight="1">
      <x:c r="A696" s="1" t="str">
        <x:f>'Inventory inputs'!A696</x:f>
        <x:v>PLAS</x:v>
      </x:c>
      <x:c r="B696" s="1" t="str">
        <x:f>'Inventory inputs'!B696</x:f>
        <x:v>10</x:v>
      </x:c>
      <x:c r="C696" s="1" t="str">
        <x:f>'Inventory inputs'!C696</x:f>
        <x:v>91680RWBBLU</x:v>
      </x:c>
      <x:c r="D696" s="7" t="n">
        <x:f>'Inventory inputs'!E696</x:f>
        <x:v>46303</x:v>
      </x:c>
      <x:c r="E696" s="1" t="n">
        <x:f>'Inventory inputs'!F696</x:f>
        <x:v>800</x:v>
      </x:c>
      <x:c r="F696" s="1" t="n">
        <x:f>'Inventory inputs'!G696</x:f>
        <x:v>0</x:v>
      </x:c>
      <x:c r="G696" s="1" t="n">
        <x:f>'Inventory inputs'!H696/'Inventory inputs'!J696</x:f>
        <x:v>0.1245</x:v>
      </x:c>
      <x:c r="H696" s="1" t="str">
        <x:f>IF('Inventory inputs'!I696&gt;0,'Inventory inputs'!I696*'Inventory inputs'!K696/'Inventory inputs'!J696,"n.a.")</x:f>
        <x:v>n.a.</x:v>
      </x:c>
      <x:c r="I696" s="1" t="n">
        <x:f>'Inventory inputs'!L696</x:f>
        <x:v>0</x:v>
      </x:c>
      <x:c r="J696" s="1" t="n">
        <x:f>'Inventory inputs'!M696</x:f>
        <x:v>0</x:v>
      </x:c>
      <x:c r="K696" s="1" t="n">
        <x:f>'Inventory inputs'!N696</x:f>
        <x:v>800</x:v>
      </x:c>
      <x:c r="L696" s="1" t="n">
        <x:f>'Inventory inputs'!O696</x:f>
        <x:v>0</x:v>
      </x:c>
      <x:c r="M696" s="9" t="n">
        <x:f>E696*G696</x:f>
        <x:v>99.6</x:v>
      </x:c>
      <x:c r="N696" s="9" t="n">
        <x:f>'Inventory inputs'!Q696</x:f>
        <x:v>99.60000000000001</x:v>
      </x:c>
      <x:c r="O696" s="9" t="n">
        <x:f>N696-M696</x:f>
        <x:v>1.4210854715202004e-14</x:v>
      </x:c>
      <x:c r="P696" s="1" t="n">
        <x:f>SUMIFS('Incoming POs'!$P$2:$P$305,'Incoming POs'!$A$2:$A$305,A696,'Incoming POs'!$B$2:$B$305,B696,'Incoming POs'!$C$2:$C$305,C696,'Incoming POs'!$G$2:$G$305,"&gt;="&amp;D696,'Incoming POs'!$G$2:$G$305,"&lt;"&amp;Dashboard!$I$5)</x:f>
        <x:v>0</x:v>
      </x:c>
      <x:c r="Q696" s="1" t="n">
        <x:f>F696*Dashboard!$L$5*MAX(0,Dashboard!$I$5-D696)/30.4375</x:f>
        <x:v>0</x:v>
      </x:c>
      <x:c r="R696" s="1" t="n">
        <x:f>MAX(0,E696+P696-Q696)</x:f>
        <x:v>800</x:v>
      </x:c>
      <x:c r="S696" s="1" t="n">
        <x:f>MAX(0,Q696-E696-P696)</x:f>
        <x:v>0</x:v>
      </x:c>
      <x:c r="T696" s="1" t="str">
        <x:f>IF(L696=1,MAX(0,I696+AB696-MIN(Q696,E696+P696)),"n.a.")</x:f>
        <x:v>n.a.</x:v>
      </x:c>
      <x:c r="U696" s="9" t="str">
        <x:f>IF(ISNUMBER(T696),T696*G696,"n.a.")</x:f>
        <x:v>n.a.</x:v>
      </x:c>
      <x:c r="V696" s="25" t="n">
        <x:f>IF(Dashboard!$I$6="Flat %",1,IF(ISNUMBER(H696),1,0))</x:f>
        <x:v>0</x:v>
      </x:c>
      <x:c r="W696" s="9" t="str">
        <x:f>IF(Dashboard!$I$6="Flat %",G696*(1+Dashboard!$L$6),H696)</x:f>
        <x:v>n.a.</x:v>
      </x:c>
      <x:c r="X696" s="9" t="str">
        <x:f>IF(V696=1,R696*(W696-G696),"n.a.")</x:f>
        <x:v>n.a.</x:v>
      </x:c>
      <x:c r="Y696" s="9" t="str">
        <x:f>IF(V696=1,R696*W696,"n.a.")</x:f>
        <x:v>n.a.</x:v>
      </x:c>
      <x:c r="Z696" s="1" t="str">
        <x:f>IF(ISNUMBER(T696),R696-T696,"n.a.")</x:f>
        <x:v>n.a.</x:v>
      </x:c>
      <x:c r="AA696" s="1" t="str">
        <x:f>'Inventory inputs'!R696</x:f>
        <x:v>Review receipt reconciliation or original PO baseline</x:v>
      </x:c>
      <x:c r="AB696" s="1" t="str">
        <x:f>IF(L696=1,SUMIFS('Incoming POs'!$P$2:$P$305,'Incoming POs'!$A$2:$A$305,A696,'Incoming POs'!$B$2:$B$305,B696,'Incoming POs'!$C$2:$C$305,C696,'Incoming POs'!$G$2:$G$305,"&gt;="&amp;D696,'Incoming POs'!$G$2:$G$305,"&lt;"&amp;Dashboard!$I$5,'Incoming POs'!$Q$2:$Q$305,"&lt;="&amp;('Inventory inputs'!P696/'Inventory inputs'!J696*1.01)),"n.a.")</x:f>
        <x:v>n.a.</x:v>
      </x:c>
      <x:c r="AC696" s="9" t="n">
        <x:f>I696*G696</x:f>
        <x:v>0</x:v>
      </x:c>
      <x:c r="AD696" s="9" t="n">
        <x:f>J696*G696</x:f>
        <x:v>0</x:v>
      </x:c>
      <x:c r="AE696" s="9" t="n">
        <x:f>K696*G696</x:f>
        <x:v>99.6</x:v>
      </x:c>
      <x:c r="AF696" s="9" t="n">
        <x:f>R696*G696</x:f>
        <x:v>99.6</x:v>
      </x:c>
    </x:row>
    <x:row r="697" ht="21" customHeight="1">
      <x:c r="A697" s="1" t="str">
        <x:f>'Inventory inputs'!A697</x:f>
        <x:v>PLAS</x:v>
      </x:c>
      <x:c r="B697" s="1" t="str">
        <x:f>'Inventory inputs'!B697</x:f>
        <x:v>10</x:v>
      </x:c>
      <x:c r="C697" s="1" t="str">
        <x:f>'Inventory inputs'!C697</x:f>
        <x:v>91680RWBCLR</x:v>
      </x:c>
      <x:c r="D697" s="7" t="n">
        <x:f>'Inventory inputs'!E697</x:f>
        <x:v>46303</x:v>
      </x:c>
      <x:c r="E697" s="1" t="n">
        <x:f>'Inventory inputs'!F697</x:f>
        <x:v>574</x:v>
      </x:c>
      <x:c r="F697" s="1" t="n">
        <x:f>'Inventory inputs'!G697</x:f>
        <x:v>0</x:v>
      </x:c>
      <x:c r="G697" s="1" t="n">
        <x:f>'Inventory inputs'!H697/'Inventory inputs'!J697</x:f>
        <x:v>0.1618</x:v>
      </x:c>
      <x:c r="H697" s="1" t="n">
        <x:f>IF('Inventory inputs'!I697&gt;0,'Inventory inputs'!I697*'Inventory inputs'!K697/'Inventory inputs'!J697,"n.a.")</x:f>
        <x:v>0.18933600000000003</x:v>
      </x:c>
      <x:c r="I697" s="1" t="n">
        <x:f>'Inventory inputs'!L697</x:f>
        <x:v>574</x:v>
      </x:c>
      <x:c r="J697" s="1" t="n">
        <x:f>'Inventory inputs'!M697</x:f>
        <x:v>0</x:v>
      </x:c>
      <x:c r="K697" s="1" t="n">
        <x:f>'Inventory inputs'!N697</x:f>
        <x:v>0</x:v>
      </x:c>
      <x:c r="L697" s="1" t="n">
        <x:f>'Inventory inputs'!O697</x:f>
        <x:v>1</x:v>
      </x:c>
      <x:c r="M697" s="9" t="n">
        <x:f>E697*G697</x:f>
        <x:v>92.8732</x:v>
      </x:c>
      <x:c r="N697" s="9" t="n">
        <x:f>'Inventory inputs'!Q697</x:f>
        <x:v>92.8732</x:v>
      </x:c>
      <x:c r="O697" s="9" t="n">
        <x:f>N697-M697</x:f>
        <x:v>0</x:v>
      </x:c>
      <x:c r="P697" s="1" t="n">
        <x:f>SUMIFS('Incoming POs'!$P$2:$P$305,'Incoming POs'!$A$2:$A$305,A697,'Incoming POs'!$B$2:$B$305,B697,'Incoming POs'!$C$2:$C$305,C697,'Incoming POs'!$G$2:$G$305,"&gt;="&amp;D697,'Incoming POs'!$G$2:$G$305,"&lt;"&amp;Dashboard!$I$5)</x:f>
        <x:v>0</x:v>
      </x:c>
      <x:c r="Q697" s="1" t="n">
        <x:f>F697*Dashboard!$L$5*MAX(0,Dashboard!$I$5-D697)/30.4375</x:f>
        <x:v>0</x:v>
      </x:c>
      <x:c r="R697" s="1" t="n">
        <x:f>MAX(0,E697+P697-Q697)</x:f>
        <x:v>574</x:v>
      </x:c>
      <x:c r="S697" s="1" t="n">
        <x:f>MAX(0,Q697-E697-P697)</x:f>
        <x:v>0</x:v>
      </x:c>
      <x:c r="T697" s="1" t="n">
        <x:f>IF(L697=1,MAX(0,I697+AB697-MIN(Q697,E697+P697)),"n.a.")</x:f>
        <x:v>574</x:v>
      </x:c>
      <x:c r="U697" s="9" t="n">
        <x:f>IF(ISNUMBER(T697),T697*G697,"n.a.")</x:f>
        <x:v>92.8732</x:v>
      </x:c>
      <x:c r="V697" s="25" t="n">
        <x:f>IF(Dashboard!$I$6="Flat %",1,IF(ISNUMBER(H697),1,0))</x:f>
        <x:v>1</x:v>
      </x:c>
      <x:c r="W697" s="9" t="n">
        <x:f>IF(Dashboard!$I$6="Flat %",G697*(1+Dashboard!$L$6),H697)</x:f>
        <x:v>0.18933600000000003</x:v>
      </x:c>
      <x:c r="X697" s="9" t="n">
        <x:f>IF(V697=1,R697*(W697-G697),"n.a.")</x:f>
        <x:v>15.805664000000018</x:v>
      </x:c>
      <x:c r="Y697" s="9" t="n">
        <x:f>IF(V697=1,R697*W697,"n.a.")</x:f>
        <x:v>108.67886400000002</x:v>
      </x:c>
      <x:c r="Z697" s="1" t="n">
        <x:f>IF(ISNUMBER(T697),R697-T697,"n.a.")</x:f>
        <x:v>0</x:v>
      </x:c>
      <x:c r="AA697" s="1" t="str">
        <x:f>'Inventory inputs'!R697</x:f>
        <x:v>Classified</x:v>
      </x:c>
      <x:c r="AB697" s="1" t="n">
        <x:f>IF(L697=1,SUMIFS('Incoming POs'!$P$2:$P$305,'Incoming POs'!$A$2:$A$305,A697,'Incoming POs'!$B$2:$B$305,B697,'Incoming POs'!$C$2:$C$305,C697,'Incoming POs'!$G$2:$G$305,"&gt;="&amp;D697,'Incoming POs'!$G$2:$G$305,"&lt;"&amp;Dashboard!$I$5,'Incoming POs'!$Q$2:$Q$305,"&lt;="&amp;('Inventory inputs'!P697/'Inventory inputs'!J697*1.01)),"n.a.")</x:f>
        <x:v>0</x:v>
      </x:c>
      <x:c r="AC697" s="9" t="n">
        <x:f>I697*G697</x:f>
        <x:v>92.8732</x:v>
      </x:c>
      <x:c r="AD697" s="9" t="n">
        <x:f>J697*G697</x:f>
        <x:v>0</x:v>
      </x:c>
      <x:c r="AE697" s="9" t="n">
        <x:f>K697*G697</x:f>
        <x:v>0</x:v>
      </x:c>
      <x:c r="AF697" s="9" t="n">
        <x:f>R697*G697</x:f>
        <x:v>92.8732</x:v>
      </x:c>
    </x:row>
    <x:row r="698" ht="21" customHeight="1">
      <x:c r="A698" s="1" t="str">
        <x:f>'Inventory inputs'!A698</x:f>
        <x:v>PLAS</x:v>
      </x:c>
      <x:c r="B698" s="1" t="str">
        <x:f>'Inventory inputs'!B698</x:f>
        <x:v>10</x:v>
      </x:c>
      <x:c r="C698" s="1" t="str">
        <x:f>'Inventory inputs'!C698</x:f>
        <x:v>91680RWBFG</x:v>
      </x:c>
      <x:c r="D698" s="7" t="n">
        <x:f>'Inventory inputs'!E698</x:f>
        <x:v>46303</x:v>
      </x:c>
      <x:c r="E698" s="1" t="n">
        <x:f>'Inventory inputs'!F698</x:f>
        <x:v>880</x:v>
      </x:c>
      <x:c r="F698" s="1" t="n">
        <x:f>'Inventory inputs'!G698</x:f>
        <x:v>0</x:v>
      </x:c>
      <x:c r="G698" s="1" t="n">
        <x:f>'Inventory inputs'!H698/'Inventory inputs'!J698</x:f>
        <x:v>0.1245</x:v>
      </x:c>
      <x:c r="H698" s="1" t="str">
        <x:f>IF('Inventory inputs'!I698&gt;0,'Inventory inputs'!I698*'Inventory inputs'!K698/'Inventory inputs'!J698,"n.a.")</x:f>
        <x:v>n.a.</x:v>
      </x:c>
      <x:c r="I698" s="1" t="n">
        <x:f>'Inventory inputs'!L698</x:f>
        <x:v>0</x:v>
      </x:c>
      <x:c r="J698" s="1" t="n">
        <x:f>'Inventory inputs'!M698</x:f>
        <x:v>0</x:v>
      </x:c>
      <x:c r="K698" s="1" t="n">
        <x:f>'Inventory inputs'!N698</x:f>
        <x:v>880</x:v>
      </x:c>
      <x:c r="L698" s="1" t="n">
        <x:f>'Inventory inputs'!O698</x:f>
        <x:v>0</x:v>
      </x:c>
      <x:c r="M698" s="9" t="n">
        <x:f>E698*G698</x:f>
        <x:v>109.56</x:v>
      </x:c>
      <x:c r="N698" s="9" t="n">
        <x:f>'Inventory inputs'!Q698</x:f>
        <x:v>109.56</x:v>
      </x:c>
      <x:c r="O698" s="9" t="n">
        <x:f>N698-M698</x:f>
        <x:v>0</x:v>
      </x:c>
      <x:c r="P698" s="1" t="n">
        <x:f>SUMIFS('Incoming POs'!$P$2:$P$305,'Incoming POs'!$A$2:$A$305,A698,'Incoming POs'!$B$2:$B$305,B698,'Incoming POs'!$C$2:$C$305,C698,'Incoming POs'!$G$2:$G$305,"&gt;="&amp;D698,'Incoming POs'!$G$2:$G$305,"&lt;"&amp;Dashboard!$I$5)</x:f>
        <x:v>0</x:v>
      </x:c>
      <x:c r="Q698" s="1" t="n">
        <x:f>F698*Dashboard!$L$5*MAX(0,Dashboard!$I$5-D698)/30.4375</x:f>
        <x:v>0</x:v>
      </x:c>
      <x:c r="R698" s="1" t="n">
        <x:f>MAX(0,E698+P698-Q698)</x:f>
        <x:v>880</x:v>
      </x:c>
      <x:c r="S698" s="1" t="n">
        <x:f>MAX(0,Q698-E698-P698)</x:f>
        <x:v>0</x:v>
      </x:c>
      <x:c r="T698" s="1" t="str">
        <x:f>IF(L698=1,MAX(0,I698+AB698-MIN(Q698,E698+P698)),"n.a.")</x:f>
        <x:v>n.a.</x:v>
      </x:c>
      <x:c r="U698" s="9" t="str">
        <x:f>IF(ISNUMBER(T698),T698*G698,"n.a.")</x:f>
        <x:v>n.a.</x:v>
      </x:c>
      <x:c r="V698" s="25" t="n">
        <x:f>IF(Dashboard!$I$6="Flat %",1,IF(ISNUMBER(H698),1,0))</x:f>
        <x:v>0</x:v>
      </x:c>
      <x:c r="W698" s="9" t="str">
        <x:f>IF(Dashboard!$I$6="Flat %",G698*(1+Dashboard!$L$6),H698)</x:f>
        <x:v>n.a.</x:v>
      </x:c>
      <x:c r="X698" s="9" t="str">
        <x:f>IF(V698=1,R698*(W698-G698),"n.a.")</x:f>
        <x:v>n.a.</x:v>
      </x:c>
      <x:c r="Y698" s="9" t="str">
        <x:f>IF(V698=1,R698*W698,"n.a.")</x:f>
        <x:v>n.a.</x:v>
      </x:c>
      <x:c r="Z698" s="1" t="str">
        <x:f>IF(ISNUMBER(T698),R698-T698,"n.a.")</x:f>
        <x:v>n.a.</x:v>
      </x:c>
      <x:c r="AA698" s="1" t="str">
        <x:f>'Inventory inputs'!R698</x:f>
        <x:v>Review receipt reconciliation or original PO baseline</x:v>
      </x:c>
      <x:c r="AB698" s="1" t="str">
        <x:f>IF(L698=1,SUMIFS('Incoming POs'!$P$2:$P$305,'Incoming POs'!$A$2:$A$305,A698,'Incoming POs'!$B$2:$B$305,B698,'Incoming POs'!$C$2:$C$305,C698,'Incoming POs'!$G$2:$G$305,"&gt;="&amp;D698,'Incoming POs'!$G$2:$G$305,"&lt;"&amp;Dashboard!$I$5,'Incoming POs'!$Q$2:$Q$305,"&lt;="&amp;('Inventory inputs'!P698/'Inventory inputs'!J698*1.01)),"n.a.")</x:f>
        <x:v>n.a.</x:v>
      </x:c>
      <x:c r="AC698" s="9" t="n">
        <x:f>I698*G698</x:f>
        <x:v>0</x:v>
      </x:c>
      <x:c r="AD698" s="9" t="n">
        <x:f>J698*G698</x:f>
        <x:v>0</x:v>
      </x:c>
      <x:c r="AE698" s="9" t="n">
        <x:f>K698*G698</x:f>
        <x:v>109.56</x:v>
      </x:c>
      <x:c r="AF698" s="9" t="n">
        <x:f>R698*G698</x:f>
        <x:v>109.56</x:v>
      </x:c>
    </x:row>
    <x:row r="699" ht="21" customHeight="1">
      <x:c r="A699" s="1" t="str">
        <x:f>'Inventory inputs'!A699</x:f>
        <x:v>PLAS</x:v>
      </x:c>
      <x:c r="B699" s="1" t="str">
        <x:f>'Inventory inputs'!B699</x:f>
        <x:v>10</x:v>
      </x:c>
      <x:c r="C699" s="1" t="str">
        <x:f>'Inventory inputs'!C699</x:f>
        <x:v>91680RWBMAR</x:v>
      </x:c>
      <x:c r="D699" s="7" t="n">
        <x:f>'Inventory inputs'!E699</x:f>
        <x:v>46303</x:v>
      </x:c>
      <x:c r="E699" s="1" t="n">
        <x:f>'Inventory inputs'!F699</x:f>
        <x:v>1395</x:v>
      </x:c>
      <x:c r="F699" s="1" t="n">
        <x:f>'Inventory inputs'!G699</x:f>
        <x:v>0</x:v>
      </x:c>
      <x:c r="G699" s="1" t="n">
        <x:f>'Inventory inputs'!H699/'Inventory inputs'!J699</x:f>
        <x:v>0.1245</x:v>
      </x:c>
      <x:c r="H699" s="1" t="str">
        <x:f>IF('Inventory inputs'!I699&gt;0,'Inventory inputs'!I699*'Inventory inputs'!K699/'Inventory inputs'!J699,"n.a.")</x:f>
        <x:v>n.a.</x:v>
      </x:c>
      <x:c r="I699" s="1" t="n">
        <x:f>'Inventory inputs'!L699</x:f>
        <x:v>0</x:v>
      </x:c>
      <x:c r="J699" s="1" t="n">
        <x:f>'Inventory inputs'!M699</x:f>
        <x:v>0</x:v>
      </x:c>
      <x:c r="K699" s="1" t="n">
        <x:f>'Inventory inputs'!N699</x:f>
        <x:v>1395</x:v>
      </x:c>
      <x:c r="L699" s="1" t="n">
        <x:f>'Inventory inputs'!O699</x:f>
        <x:v>0</x:v>
      </x:c>
      <x:c r="M699" s="9" t="n">
        <x:f>E699*G699</x:f>
        <x:v>173.6775</x:v>
      </x:c>
      <x:c r="N699" s="9" t="n">
        <x:f>'Inventory inputs'!Q699</x:f>
        <x:v>173.6775</x:v>
      </x:c>
      <x:c r="O699" s="9" t="n">
        <x:f>N699-M699</x:f>
        <x:v>0</x:v>
      </x:c>
      <x:c r="P699" s="1" t="n">
        <x:f>SUMIFS('Incoming POs'!$P$2:$P$305,'Incoming POs'!$A$2:$A$305,A699,'Incoming POs'!$B$2:$B$305,B699,'Incoming POs'!$C$2:$C$305,C699,'Incoming POs'!$G$2:$G$305,"&gt;="&amp;D699,'Incoming POs'!$G$2:$G$305,"&lt;"&amp;Dashboard!$I$5)</x:f>
        <x:v>0</x:v>
      </x:c>
      <x:c r="Q699" s="1" t="n">
        <x:f>F699*Dashboard!$L$5*MAX(0,Dashboard!$I$5-D699)/30.4375</x:f>
        <x:v>0</x:v>
      </x:c>
      <x:c r="R699" s="1" t="n">
        <x:f>MAX(0,E699+P699-Q699)</x:f>
        <x:v>1395</x:v>
      </x:c>
      <x:c r="S699" s="1" t="n">
        <x:f>MAX(0,Q699-E699-P699)</x:f>
        <x:v>0</x:v>
      </x:c>
      <x:c r="T699" s="1" t="str">
        <x:f>IF(L699=1,MAX(0,I699+AB699-MIN(Q699,E699+P699)),"n.a.")</x:f>
        <x:v>n.a.</x:v>
      </x:c>
      <x:c r="U699" s="9" t="str">
        <x:f>IF(ISNUMBER(T699),T699*G699,"n.a.")</x:f>
        <x:v>n.a.</x:v>
      </x:c>
      <x:c r="V699" s="25" t="n">
        <x:f>IF(Dashboard!$I$6="Flat %",1,IF(ISNUMBER(H699),1,0))</x:f>
        <x:v>0</x:v>
      </x:c>
      <x:c r="W699" s="9" t="str">
        <x:f>IF(Dashboard!$I$6="Flat %",G699*(1+Dashboard!$L$6),H699)</x:f>
        <x:v>n.a.</x:v>
      </x:c>
      <x:c r="X699" s="9" t="str">
        <x:f>IF(V699=1,R699*(W699-G699),"n.a.")</x:f>
        <x:v>n.a.</x:v>
      </x:c>
      <x:c r="Y699" s="9" t="str">
        <x:f>IF(V699=1,R699*W699,"n.a.")</x:f>
        <x:v>n.a.</x:v>
      </x:c>
      <x:c r="Z699" s="1" t="str">
        <x:f>IF(ISNUMBER(T699),R699-T699,"n.a.")</x:f>
        <x:v>n.a.</x:v>
      </x:c>
      <x:c r="AA699" s="1" t="str">
        <x:f>'Inventory inputs'!R699</x:f>
        <x:v>Review receipt reconciliation or original PO baseline</x:v>
      </x:c>
      <x:c r="AB699" s="1" t="str">
        <x:f>IF(L699=1,SUMIFS('Incoming POs'!$P$2:$P$305,'Incoming POs'!$A$2:$A$305,A699,'Incoming POs'!$B$2:$B$305,B699,'Incoming POs'!$C$2:$C$305,C699,'Incoming POs'!$G$2:$G$305,"&gt;="&amp;D699,'Incoming POs'!$G$2:$G$305,"&lt;"&amp;Dashboard!$I$5,'Incoming POs'!$Q$2:$Q$305,"&lt;="&amp;('Inventory inputs'!P699/'Inventory inputs'!J699*1.01)),"n.a.")</x:f>
        <x:v>n.a.</x:v>
      </x:c>
      <x:c r="AC699" s="9" t="n">
        <x:f>I699*G699</x:f>
        <x:v>0</x:v>
      </x:c>
      <x:c r="AD699" s="9" t="n">
        <x:f>J699*G699</x:f>
        <x:v>0</x:v>
      </x:c>
      <x:c r="AE699" s="9" t="n">
        <x:f>K699*G699</x:f>
        <x:v>173.6775</x:v>
      </x:c>
      <x:c r="AF699" s="9" t="n">
        <x:f>R699*G699</x:f>
        <x:v>173.6775</x:v>
      </x:c>
    </x:row>
    <x:row r="700" ht="21" customHeight="1">
      <x:c r="A700" s="1" t="str">
        <x:f>'Inventory inputs'!A700</x:f>
        <x:v>PLAS</x:v>
      </x:c>
      <x:c r="B700" s="1" t="str">
        <x:f>'Inventory inputs'!B700</x:f>
        <x:v>10</x:v>
      </x:c>
      <x:c r="C700" s="1" t="str">
        <x:f>'Inventory inputs'!C700</x:f>
        <x:v>91680RWBNAV</x:v>
      </x:c>
      <x:c r="D700" s="7" t="n">
        <x:f>'Inventory inputs'!E700</x:f>
        <x:v>46303</x:v>
      </x:c>
      <x:c r="E700" s="1" t="n">
        <x:f>'Inventory inputs'!F700</x:f>
        <x:v>536</x:v>
      </x:c>
      <x:c r="F700" s="1" t="n">
        <x:f>'Inventory inputs'!G700</x:f>
        <x:v>0</x:v>
      </x:c>
      <x:c r="G700" s="1" t="n">
        <x:f>'Inventory inputs'!H700/'Inventory inputs'!J700</x:f>
        <x:v>0.1245</x:v>
      </x:c>
      <x:c r="H700" s="1" t="str">
        <x:f>IF('Inventory inputs'!I700&gt;0,'Inventory inputs'!I700*'Inventory inputs'!K700/'Inventory inputs'!J700,"n.a.")</x:f>
        <x:v>n.a.</x:v>
      </x:c>
      <x:c r="I700" s="1" t="n">
        <x:f>'Inventory inputs'!L700</x:f>
        <x:v>0</x:v>
      </x:c>
      <x:c r="J700" s="1" t="n">
        <x:f>'Inventory inputs'!M700</x:f>
        <x:v>0</x:v>
      </x:c>
      <x:c r="K700" s="1" t="n">
        <x:f>'Inventory inputs'!N700</x:f>
        <x:v>536</x:v>
      </x:c>
      <x:c r="L700" s="1" t="n">
        <x:f>'Inventory inputs'!O700</x:f>
        <x:v>0</x:v>
      </x:c>
      <x:c r="M700" s="9" t="n">
        <x:f>E700*G700</x:f>
        <x:v>66.732</x:v>
      </x:c>
      <x:c r="N700" s="9" t="n">
        <x:f>'Inventory inputs'!Q700</x:f>
        <x:v>66.732</x:v>
      </x:c>
      <x:c r="O700" s="9" t="n">
        <x:f>N700-M700</x:f>
        <x:v>0</x:v>
      </x:c>
      <x:c r="P700" s="1" t="n">
        <x:f>SUMIFS('Incoming POs'!$P$2:$P$305,'Incoming POs'!$A$2:$A$305,A700,'Incoming POs'!$B$2:$B$305,B700,'Incoming POs'!$C$2:$C$305,C700,'Incoming POs'!$G$2:$G$305,"&gt;="&amp;D700,'Incoming POs'!$G$2:$G$305,"&lt;"&amp;Dashboard!$I$5)</x:f>
        <x:v>0</x:v>
      </x:c>
      <x:c r="Q700" s="1" t="n">
        <x:f>F700*Dashboard!$L$5*MAX(0,Dashboard!$I$5-D700)/30.4375</x:f>
        <x:v>0</x:v>
      </x:c>
      <x:c r="R700" s="1" t="n">
        <x:f>MAX(0,E700+P700-Q700)</x:f>
        <x:v>536</x:v>
      </x:c>
      <x:c r="S700" s="1" t="n">
        <x:f>MAX(0,Q700-E700-P700)</x:f>
        <x:v>0</x:v>
      </x:c>
      <x:c r="T700" s="1" t="str">
        <x:f>IF(L700=1,MAX(0,I700+AB700-MIN(Q700,E700+P700)),"n.a.")</x:f>
        <x:v>n.a.</x:v>
      </x:c>
      <x:c r="U700" s="9" t="str">
        <x:f>IF(ISNUMBER(T700),T700*G700,"n.a.")</x:f>
        <x:v>n.a.</x:v>
      </x:c>
      <x:c r="V700" s="25" t="n">
        <x:f>IF(Dashboard!$I$6="Flat %",1,IF(ISNUMBER(H700),1,0))</x:f>
        <x:v>0</x:v>
      </x:c>
      <x:c r="W700" s="9" t="str">
        <x:f>IF(Dashboard!$I$6="Flat %",G700*(1+Dashboard!$L$6),H700)</x:f>
        <x:v>n.a.</x:v>
      </x:c>
      <x:c r="X700" s="9" t="str">
        <x:f>IF(V700=1,R700*(W700-G700),"n.a.")</x:f>
        <x:v>n.a.</x:v>
      </x:c>
      <x:c r="Y700" s="9" t="str">
        <x:f>IF(V700=1,R700*W700,"n.a.")</x:f>
        <x:v>n.a.</x:v>
      </x:c>
      <x:c r="Z700" s="1" t="str">
        <x:f>IF(ISNUMBER(T700),R700-T700,"n.a.")</x:f>
        <x:v>n.a.</x:v>
      </x:c>
      <x:c r="AA700" s="1" t="str">
        <x:f>'Inventory inputs'!R700</x:f>
        <x:v>Review receipt reconciliation or original PO baseline</x:v>
      </x:c>
      <x:c r="AB700" s="1" t="str">
        <x:f>IF(L700=1,SUMIFS('Incoming POs'!$P$2:$P$305,'Incoming POs'!$A$2:$A$305,A700,'Incoming POs'!$B$2:$B$305,B700,'Incoming POs'!$C$2:$C$305,C700,'Incoming POs'!$G$2:$G$305,"&gt;="&amp;D700,'Incoming POs'!$G$2:$G$305,"&lt;"&amp;Dashboard!$I$5,'Incoming POs'!$Q$2:$Q$305,"&lt;="&amp;('Inventory inputs'!P700/'Inventory inputs'!J700*1.01)),"n.a.")</x:f>
        <x:v>n.a.</x:v>
      </x:c>
      <x:c r="AC700" s="9" t="n">
        <x:f>I700*G700</x:f>
        <x:v>0</x:v>
      </x:c>
      <x:c r="AD700" s="9" t="n">
        <x:f>J700*G700</x:f>
        <x:v>0</x:v>
      </x:c>
      <x:c r="AE700" s="9" t="n">
        <x:f>K700*G700</x:f>
        <x:v>66.732</x:v>
      </x:c>
      <x:c r="AF700" s="9" t="n">
        <x:f>R700*G700</x:f>
        <x:v>66.732</x:v>
      </x:c>
    </x:row>
    <x:row r="701" ht="21" customHeight="1">
      <x:c r="A701" s="1" t="str">
        <x:f>'Inventory inputs'!A701</x:f>
        <x:v>PLAS</x:v>
      </x:c>
      <x:c r="B701" s="1" t="str">
        <x:f>'Inventory inputs'!B701</x:f>
        <x:v>10</x:v>
      </x:c>
      <x:c r="C701" s="1" t="str">
        <x:f>'Inventory inputs'!C701</x:f>
        <x:v>91680RWBRED</x:v>
      </x:c>
      <x:c r="D701" s="7" t="n">
        <x:f>'Inventory inputs'!E701</x:f>
        <x:v>46303</x:v>
      </x:c>
      <x:c r="E701" s="1" t="n">
        <x:f>'Inventory inputs'!F701</x:f>
        <x:v>921</x:v>
      </x:c>
      <x:c r="F701" s="1" t="n">
        <x:f>'Inventory inputs'!G701</x:f>
        <x:v>0</x:v>
      </x:c>
      <x:c r="G701" s="1" t="n">
        <x:f>'Inventory inputs'!H701/'Inventory inputs'!J701</x:f>
        <x:v>0.1245</x:v>
      </x:c>
      <x:c r="H701" s="1" t="str">
        <x:f>IF('Inventory inputs'!I701&gt;0,'Inventory inputs'!I701*'Inventory inputs'!K701/'Inventory inputs'!J701,"n.a.")</x:f>
        <x:v>n.a.</x:v>
      </x:c>
      <x:c r="I701" s="1" t="n">
        <x:f>'Inventory inputs'!L701</x:f>
        <x:v>0</x:v>
      </x:c>
      <x:c r="J701" s="1" t="n">
        <x:f>'Inventory inputs'!M701</x:f>
        <x:v>0</x:v>
      </x:c>
      <x:c r="K701" s="1" t="n">
        <x:f>'Inventory inputs'!N701</x:f>
        <x:v>921</x:v>
      </x:c>
      <x:c r="L701" s="1" t="n">
        <x:f>'Inventory inputs'!O701</x:f>
        <x:v>0</x:v>
      </x:c>
      <x:c r="M701" s="9" t="n">
        <x:f>E701*G701</x:f>
        <x:v>114.6645</x:v>
      </x:c>
      <x:c r="N701" s="9" t="n">
        <x:f>'Inventory inputs'!Q701</x:f>
        <x:v>114.66449999999999</x:v>
      </x:c>
      <x:c r="O701" s="9" t="n">
        <x:f>N701-M701</x:f>
        <x:v>-1.4210854715202004e-14</x:v>
      </x:c>
      <x:c r="P701" s="1" t="n">
        <x:f>SUMIFS('Incoming POs'!$P$2:$P$305,'Incoming POs'!$A$2:$A$305,A701,'Incoming POs'!$B$2:$B$305,B701,'Incoming POs'!$C$2:$C$305,C701,'Incoming POs'!$G$2:$G$305,"&gt;="&amp;D701,'Incoming POs'!$G$2:$G$305,"&lt;"&amp;Dashboard!$I$5)</x:f>
        <x:v>0</x:v>
      </x:c>
      <x:c r="Q701" s="1" t="n">
        <x:f>F701*Dashboard!$L$5*MAX(0,Dashboard!$I$5-D701)/30.4375</x:f>
        <x:v>0</x:v>
      </x:c>
      <x:c r="R701" s="1" t="n">
        <x:f>MAX(0,E701+P701-Q701)</x:f>
        <x:v>921</x:v>
      </x:c>
      <x:c r="S701" s="1" t="n">
        <x:f>MAX(0,Q701-E701-P701)</x:f>
        <x:v>0</x:v>
      </x:c>
      <x:c r="T701" s="1" t="str">
        <x:f>IF(L701=1,MAX(0,I701+AB701-MIN(Q701,E701+P701)),"n.a.")</x:f>
        <x:v>n.a.</x:v>
      </x:c>
      <x:c r="U701" s="9" t="str">
        <x:f>IF(ISNUMBER(T701),T701*G701,"n.a.")</x:f>
        <x:v>n.a.</x:v>
      </x:c>
      <x:c r="V701" s="25" t="n">
        <x:f>IF(Dashboard!$I$6="Flat %",1,IF(ISNUMBER(H701),1,0))</x:f>
        <x:v>0</x:v>
      </x:c>
      <x:c r="W701" s="9" t="str">
        <x:f>IF(Dashboard!$I$6="Flat %",G701*(1+Dashboard!$L$6),H701)</x:f>
        <x:v>n.a.</x:v>
      </x:c>
      <x:c r="X701" s="9" t="str">
        <x:f>IF(V701=1,R701*(W701-G701),"n.a.")</x:f>
        <x:v>n.a.</x:v>
      </x:c>
      <x:c r="Y701" s="9" t="str">
        <x:f>IF(V701=1,R701*W701,"n.a.")</x:f>
        <x:v>n.a.</x:v>
      </x:c>
      <x:c r="Z701" s="1" t="str">
        <x:f>IF(ISNUMBER(T701),R701-T701,"n.a.")</x:f>
        <x:v>n.a.</x:v>
      </x:c>
      <x:c r="AA701" s="1" t="str">
        <x:f>'Inventory inputs'!R701</x:f>
        <x:v>Review receipt reconciliation or original PO baseline</x:v>
      </x:c>
      <x:c r="AB701" s="1" t="str">
        <x:f>IF(L701=1,SUMIFS('Incoming POs'!$P$2:$P$305,'Incoming POs'!$A$2:$A$305,A701,'Incoming POs'!$B$2:$B$305,B701,'Incoming POs'!$C$2:$C$305,C701,'Incoming POs'!$G$2:$G$305,"&gt;="&amp;D701,'Incoming POs'!$G$2:$G$305,"&lt;"&amp;Dashboard!$I$5,'Incoming POs'!$Q$2:$Q$305,"&lt;="&amp;('Inventory inputs'!P701/'Inventory inputs'!J701*1.01)),"n.a.")</x:f>
        <x:v>n.a.</x:v>
      </x:c>
      <x:c r="AC701" s="9" t="n">
        <x:f>I701*G701</x:f>
        <x:v>0</x:v>
      </x:c>
      <x:c r="AD701" s="9" t="n">
        <x:f>J701*G701</x:f>
        <x:v>0</x:v>
      </x:c>
      <x:c r="AE701" s="9" t="n">
        <x:f>K701*G701</x:f>
        <x:v>114.6645</x:v>
      </x:c>
      <x:c r="AF701" s="9" t="n">
        <x:f>R701*G701</x:f>
        <x:v>114.6645</x:v>
      </x:c>
    </x:row>
    <x:row r="702" ht="21" customHeight="1">
      <x:c r="A702" s="1" t="str">
        <x:f>'Inventory inputs'!A702</x:f>
        <x:v>PLAS</x:v>
      </x:c>
      <x:c r="B702" s="1" t="str">
        <x:f>'Inventory inputs'!B702</x:f>
        <x:v>10</x:v>
      </x:c>
      <x:c r="C702" s="1" t="str">
        <x:f>'Inventory inputs'!C702</x:f>
        <x:v>91680RWBWHT</x:v>
      </x:c>
      <x:c r="D702" s="7" t="n">
        <x:f>'Inventory inputs'!E702</x:f>
        <x:v>46303</x:v>
      </x:c>
      <x:c r="E702" s="1" t="n">
        <x:f>'Inventory inputs'!F702</x:f>
        <x:v>4351</x:v>
      </x:c>
      <x:c r="F702" s="1" t="n">
        <x:f>'Inventory inputs'!G702</x:f>
        <x:v>0</x:v>
      </x:c>
      <x:c r="G702" s="1" t="n">
        <x:f>'Inventory inputs'!H702/'Inventory inputs'!J702</x:f>
        <x:v>0.1618</x:v>
      </x:c>
      <x:c r="H702" s="1" t="n">
        <x:f>IF('Inventory inputs'!I702&gt;0,'Inventory inputs'!I702*'Inventory inputs'!K702/'Inventory inputs'!J702,"n.a.")</x:f>
        <x:v>0.18933600000000003</x:v>
      </x:c>
      <x:c r="I702" s="1" t="n">
        <x:f>'Inventory inputs'!L702</x:f>
        <x:v>4351</x:v>
      </x:c>
      <x:c r="J702" s="1" t="n">
        <x:f>'Inventory inputs'!M702</x:f>
        <x:v>0</x:v>
      </x:c>
      <x:c r="K702" s="1" t="n">
        <x:f>'Inventory inputs'!N702</x:f>
        <x:v>0</x:v>
      </x:c>
      <x:c r="L702" s="1" t="n">
        <x:f>'Inventory inputs'!O702</x:f>
        <x:v>1</x:v>
      </x:c>
      <x:c r="M702" s="9" t="n">
        <x:f>E702*G702</x:f>
        <x:v>703.9918</x:v>
      </x:c>
      <x:c r="N702" s="9" t="n">
        <x:f>'Inventory inputs'!Q702</x:f>
        <x:v>703.9917999999999</x:v>
      </x:c>
      <x:c r="O702" s="9" t="n">
        <x:f>N702-M702</x:f>
        <x:v>-1.1368683772161603e-13</x:v>
      </x:c>
      <x:c r="P702" s="1" t="n">
        <x:f>SUMIFS('Incoming POs'!$P$2:$P$305,'Incoming POs'!$A$2:$A$305,A702,'Incoming POs'!$B$2:$B$305,B702,'Incoming POs'!$C$2:$C$305,C702,'Incoming POs'!$G$2:$G$305,"&gt;="&amp;D702,'Incoming POs'!$G$2:$G$305,"&lt;"&amp;Dashboard!$I$5)</x:f>
        <x:v>0</x:v>
      </x:c>
      <x:c r="Q702" s="1" t="n">
        <x:f>F702*Dashboard!$L$5*MAX(0,Dashboard!$I$5-D702)/30.4375</x:f>
        <x:v>0</x:v>
      </x:c>
      <x:c r="R702" s="1" t="n">
        <x:f>MAX(0,E702+P702-Q702)</x:f>
        <x:v>4351</x:v>
      </x:c>
      <x:c r="S702" s="1" t="n">
        <x:f>MAX(0,Q702-E702-P702)</x:f>
        <x:v>0</x:v>
      </x:c>
      <x:c r="T702" s="1" t="n">
        <x:f>IF(L702=1,MAX(0,I702+AB702-MIN(Q702,E702+P702)),"n.a.")</x:f>
        <x:v>4351</x:v>
      </x:c>
      <x:c r="U702" s="9" t="n">
        <x:f>IF(ISNUMBER(T702),T702*G702,"n.a.")</x:f>
        <x:v>703.9918</x:v>
      </x:c>
      <x:c r="V702" s="25" t="n">
        <x:f>IF(Dashboard!$I$6="Flat %",1,IF(ISNUMBER(H702),1,0))</x:f>
        <x:v>1</x:v>
      </x:c>
      <x:c r="W702" s="9" t="n">
        <x:f>IF(Dashboard!$I$6="Flat %",G702*(1+Dashboard!$L$6),H702)</x:f>
        <x:v>0.18933600000000003</x:v>
      </x:c>
      <x:c r="X702" s="9" t="n">
        <x:f>IF(V702=1,R702*(W702-G702),"n.a.")</x:f>
        <x:v>119.80913600000014</x:v>
      </x:c>
      <x:c r="Y702" s="9" t="n">
        <x:f>IF(V702=1,R702*W702,"n.a.")</x:f>
        <x:v>823.8009360000001</x:v>
      </x:c>
      <x:c r="Z702" s="1" t="n">
        <x:f>IF(ISNUMBER(T702),R702-T702,"n.a.")</x:f>
        <x:v>0</x:v>
      </x:c>
      <x:c r="AA702" s="1" t="str">
        <x:f>'Inventory inputs'!R702</x:f>
        <x:v>Classified</x:v>
      </x:c>
      <x:c r="AB702" s="1" t="n">
        <x:f>IF(L702=1,SUMIFS('Incoming POs'!$P$2:$P$305,'Incoming POs'!$A$2:$A$305,A702,'Incoming POs'!$B$2:$B$305,B702,'Incoming POs'!$C$2:$C$305,C702,'Incoming POs'!$G$2:$G$305,"&gt;="&amp;D702,'Incoming POs'!$G$2:$G$305,"&lt;"&amp;Dashboard!$I$5,'Incoming POs'!$Q$2:$Q$305,"&lt;="&amp;('Inventory inputs'!P702/'Inventory inputs'!J702*1.01)),"n.a.")</x:f>
        <x:v>0</x:v>
      </x:c>
      <x:c r="AC702" s="9" t="n">
        <x:f>I702*G702</x:f>
        <x:v>703.9918</x:v>
      </x:c>
      <x:c r="AD702" s="9" t="n">
        <x:f>J702*G702</x:f>
        <x:v>0</x:v>
      </x:c>
      <x:c r="AE702" s="9" t="n">
        <x:f>K702*G702</x:f>
        <x:v>0</x:v>
      </x:c>
      <x:c r="AF702" s="9" t="n">
        <x:f>R702*G702</x:f>
        <x:v>703.9918</x:v>
      </x:c>
    </x:row>
    <x:row r="703" ht="21" customHeight="1">
      <x:c r="A703" s="1" t="str">
        <x:f>'Inventory inputs'!A703</x:f>
        <x:v>PLAS</x:v>
      </x:c>
      <x:c r="B703" s="1" t="str">
        <x:f>'Inventory inputs'!B703</x:f>
        <x:v>30</x:v>
      </x:c>
      <x:c r="C703" s="1" t="str">
        <x:f>'Inventory inputs'!C703</x:f>
        <x:v>00115RWBWHT</x:v>
      </x:c>
      <x:c r="D703" s="7" t="n">
        <x:f>'Inventory inputs'!E703</x:f>
        <x:v>46303</x:v>
      </x:c>
      <x:c r="E703" s="1" t="n">
        <x:f>'Inventory inputs'!F703</x:f>
        <x:v>1000</x:v>
      </x:c>
      <x:c r="F703" s="1" t="n">
        <x:f>'Inventory inputs'!G703</x:f>
        <x:v>0</x:v>
      </x:c>
      <x:c r="G703" s="1" t="n">
        <x:f>'Inventory inputs'!H703/'Inventory inputs'!J703</x:f>
        <x:v>0.0736</x:v>
      </x:c>
      <x:c r="H703" s="1" t="n">
        <x:f>IF('Inventory inputs'!I703&gt;0,'Inventory inputs'!I703*'Inventory inputs'!K703/'Inventory inputs'!J703,"n.a.")</x:f>
        <x:v>0.086142</x:v>
      </x:c>
      <x:c r="I703" s="1" t="n">
        <x:f>'Inventory inputs'!L703</x:f>
        <x:v>0</x:v>
      </x:c>
      <x:c r="J703" s="1" t="n">
        <x:f>'Inventory inputs'!M703</x:f>
        <x:v>0</x:v>
      </x:c>
      <x:c r="K703" s="1" t="n">
        <x:f>'Inventory inputs'!N703</x:f>
        <x:v>1000</x:v>
      </x:c>
      <x:c r="L703" s="1" t="n">
        <x:f>'Inventory inputs'!O703</x:f>
        <x:v>0</x:v>
      </x:c>
      <x:c r="M703" s="9" t="n">
        <x:f>E703*G703</x:f>
        <x:v>73.6</x:v>
      </x:c>
      <x:c r="N703" s="9" t="n">
        <x:f>'Inventory inputs'!Q703</x:f>
        <x:v>73.60000000000001</x:v>
      </x:c>
      <x:c r="O703" s="9" t="n">
        <x:f>N703-M703</x:f>
        <x:v>1.4210854715202004e-14</x:v>
      </x:c>
      <x:c r="P703" s="1" t="n">
        <x:f>SUMIFS('Incoming POs'!$P$2:$P$305,'Incoming POs'!$A$2:$A$305,A703,'Incoming POs'!$B$2:$B$305,B703,'Incoming POs'!$C$2:$C$305,C703,'Incoming POs'!$G$2:$G$305,"&gt;="&amp;D703,'Incoming POs'!$G$2:$G$305,"&lt;"&amp;Dashboard!$I$5)</x:f>
        <x:v>0</x:v>
      </x:c>
      <x:c r="Q703" s="1" t="n">
        <x:f>F703*Dashboard!$L$5*MAX(0,Dashboard!$I$5-D703)/30.4375</x:f>
        <x:v>0</x:v>
      </x:c>
      <x:c r="R703" s="1" t="n">
        <x:f>MAX(0,E703+P703-Q703)</x:f>
        <x:v>1000</x:v>
      </x:c>
      <x:c r="S703" s="1" t="n">
        <x:f>MAX(0,Q703-E703-P703)</x:f>
        <x:v>0</x:v>
      </x:c>
      <x:c r="T703" s="1" t="str">
        <x:f>IF(L703=1,MAX(0,I703+AB703-MIN(Q703,E703+P703)),"n.a.")</x:f>
        <x:v>n.a.</x:v>
      </x:c>
      <x:c r="U703" s="9" t="str">
        <x:f>IF(ISNUMBER(T703),T703*G703,"n.a.")</x:f>
        <x:v>n.a.</x:v>
      </x:c>
      <x:c r="V703" s="25" t="n">
        <x:f>IF(Dashboard!$I$6="Flat %",1,IF(ISNUMBER(H703),1,0))</x:f>
        <x:v>1</x:v>
      </x:c>
      <x:c r="W703" s="9" t="n">
        <x:f>IF(Dashboard!$I$6="Flat %",G703*(1+Dashboard!$L$6),H703)</x:f>
        <x:v>0.086142</x:v>
      </x:c>
      <x:c r="X703" s="9" t="n">
        <x:f>IF(V703=1,R703*(W703-G703),"n.a.")</x:f>
        <x:v>12.541999999999998</x:v>
      </x:c>
      <x:c r="Y703" s="9" t="n">
        <x:f>IF(V703=1,R703*W703,"n.a.")</x:f>
        <x:v>86.142</x:v>
      </x:c>
      <x:c r="Z703" s="1" t="str">
        <x:f>IF(ISNUMBER(T703),R703-T703,"n.a.")</x:f>
        <x:v>n.a.</x:v>
      </x:c>
      <x:c r="AA703" s="1" t="str">
        <x:f>'Inventory inputs'!R703</x:f>
        <x:v>Review receipt reconciliation or original PO baseline</x:v>
      </x:c>
      <x:c r="AB703" s="1" t="str">
        <x:f>IF(L703=1,SUMIFS('Incoming POs'!$P$2:$P$305,'Incoming POs'!$A$2:$A$305,A703,'Incoming POs'!$B$2:$B$305,B703,'Incoming POs'!$C$2:$C$305,C703,'Incoming POs'!$G$2:$G$305,"&gt;="&amp;D703,'Incoming POs'!$G$2:$G$305,"&lt;"&amp;Dashboard!$I$5,'Incoming POs'!$Q$2:$Q$305,"&lt;="&amp;('Inventory inputs'!P703/'Inventory inputs'!J703*1.01)),"n.a.")</x:f>
        <x:v>n.a.</x:v>
      </x:c>
      <x:c r="AC703" s="9" t="n">
        <x:f>I703*G703</x:f>
        <x:v>0</x:v>
      </x:c>
      <x:c r="AD703" s="9" t="n">
        <x:f>J703*G703</x:f>
        <x:v>0</x:v>
      </x:c>
      <x:c r="AE703" s="9" t="n">
        <x:f>K703*G703</x:f>
        <x:v>73.6</x:v>
      </x:c>
      <x:c r="AF703" s="9" t="n">
        <x:f>R703*G703</x:f>
        <x:v>73.6</x:v>
      </x:c>
    </x:row>
    <x:row r="704" ht="21" customHeight="1">
      <x:c r="A704" s="1" t="str">
        <x:f>'Inventory inputs'!A704</x:f>
        <x:v>PLAS</x:v>
      </x:c>
      <x:c r="B704" s="1" t="str">
        <x:f>'Inventory inputs'!B704</x:f>
        <x:v>30</x:v>
      </x:c>
      <x:c r="C704" s="1" t="str">
        <x:f>'Inventory inputs'!C704</x:f>
        <x:v>00119RWBFG</x:v>
      </x:c>
      <x:c r="D704" s="7" t="n">
        <x:f>'Inventory inputs'!E704</x:f>
        <x:v>46303</x:v>
      </x:c>
      <x:c r="E704" s="1" t="n">
        <x:f>'Inventory inputs'!F704</x:f>
        <x:v>750</x:v>
      </x:c>
      <x:c r="F704" s="1" t="n">
        <x:f>'Inventory inputs'!G704</x:f>
        <x:v>0</x:v>
      </x:c>
      <x:c r="G704" s="1" t="n">
        <x:f>'Inventory inputs'!H704/'Inventory inputs'!J704</x:f>
        <x:v>0.1054</x:v>
      </x:c>
      <x:c r="H704" s="1" t="n">
        <x:f>IF('Inventory inputs'!I704&gt;0,'Inventory inputs'!I704*'Inventory inputs'!K704/'Inventory inputs'!J704,"n.a.")</x:f>
        <x:v>0.12333300000000001</x:v>
      </x:c>
      <x:c r="I704" s="1" t="n">
        <x:f>'Inventory inputs'!L704</x:f>
        <x:v>0</x:v>
      </x:c>
      <x:c r="J704" s="1" t="n">
        <x:f>'Inventory inputs'!M704</x:f>
        <x:v>0</x:v>
      </x:c>
      <x:c r="K704" s="1" t="n">
        <x:f>'Inventory inputs'!N704</x:f>
        <x:v>750</x:v>
      </x:c>
      <x:c r="L704" s="1" t="n">
        <x:f>'Inventory inputs'!O704</x:f>
        <x:v>0</x:v>
      </x:c>
      <x:c r="M704" s="9" t="n">
        <x:f>E704*G704</x:f>
        <x:v>79.05</x:v>
      </x:c>
      <x:c r="N704" s="9" t="n">
        <x:f>'Inventory inputs'!Q704</x:f>
        <x:v>79.05</x:v>
      </x:c>
      <x:c r="O704" s="9" t="n">
        <x:f>N704-M704</x:f>
        <x:v>0</x:v>
      </x:c>
      <x:c r="P704" s="1" t="n">
        <x:f>SUMIFS('Incoming POs'!$P$2:$P$305,'Incoming POs'!$A$2:$A$305,A704,'Incoming POs'!$B$2:$B$305,B704,'Incoming POs'!$C$2:$C$305,C704,'Incoming POs'!$G$2:$G$305,"&gt;="&amp;D704,'Incoming POs'!$G$2:$G$305,"&lt;"&amp;Dashboard!$I$5)</x:f>
        <x:v>0</x:v>
      </x:c>
      <x:c r="Q704" s="1" t="n">
        <x:f>F704*Dashboard!$L$5*MAX(0,Dashboard!$I$5-D704)/30.4375</x:f>
        <x:v>0</x:v>
      </x:c>
      <x:c r="R704" s="1" t="n">
        <x:f>MAX(0,E704+P704-Q704)</x:f>
        <x:v>750</x:v>
      </x:c>
      <x:c r="S704" s="1" t="n">
        <x:f>MAX(0,Q704-E704-P704)</x:f>
        <x:v>0</x:v>
      </x:c>
      <x:c r="T704" s="1" t="str">
        <x:f>IF(L704=1,MAX(0,I704+AB704-MIN(Q704,E704+P704)),"n.a.")</x:f>
        <x:v>n.a.</x:v>
      </x:c>
      <x:c r="U704" s="9" t="str">
        <x:f>IF(ISNUMBER(T704),T704*G704,"n.a.")</x:f>
        <x:v>n.a.</x:v>
      </x:c>
      <x:c r="V704" s="25" t="n">
        <x:f>IF(Dashboard!$I$6="Flat %",1,IF(ISNUMBER(H704),1,0))</x:f>
        <x:v>1</x:v>
      </x:c>
      <x:c r="W704" s="9" t="n">
        <x:f>IF(Dashboard!$I$6="Flat %",G704*(1+Dashboard!$L$6),H704)</x:f>
        <x:v>0.12333300000000001</x:v>
      </x:c>
      <x:c r="X704" s="9" t="n">
        <x:f>IF(V704=1,R704*(W704-G704),"n.a.")</x:f>
        <x:v>13.449750000000014</x:v>
      </x:c>
      <x:c r="Y704" s="9" t="n">
        <x:f>IF(V704=1,R704*W704,"n.a.")</x:f>
        <x:v>92.49975</x:v>
      </x:c>
      <x:c r="Z704" s="1" t="str">
        <x:f>IF(ISNUMBER(T704),R704-T704,"n.a.")</x:f>
        <x:v>n.a.</x:v>
      </x:c>
      <x:c r="AA704" s="1" t="str">
        <x:f>'Inventory inputs'!R704</x:f>
        <x:v>Review receipt reconciliation or original PO baseline</x:v>
      </x:c>
      <x:c r="AB704" s="1" t="str">
        <x:f>IF(L704=1,SUMIFS('Incoming POs'!$P$2:$P$305,'Incoming POs'!$A$2:$A$305,A704,'Incoming POs'!$B$2:$B$305,B704,'Incoming POs'!$C$2:$C$305,C704,'Incoming POs'!$G$2:$G$305,"&gt;="&amp;D704,'Incoming POs'!$G$2:$G$305,"&lt;"&amp;Dashboard!$I$5,'Incoming POs'!$Q$2:$Q$305,"&lt;="&amp;('Inventory inputs'!P704/'Inventory inputs'!J704*1.01)),"n.a.")</x:f>
        <x:v>n.a.</x:v>
      </x:c>
      <x:c r="AC704" s="9" t="n">
        <x:f>I704*G704</x:f>
        <x:v>0</x:v>
      </x:c>
      <x:c r="AD704" s="9" t="n">
        <x:f>J704*G704</x:f>
        <x:v>0</x:v>
      </x:c>
      <x:c r="AE704" s="9" t="n">
        <x:f>K704*G704</x:f>
        <x:v>79.05</x:v>
      </x:c>
      <x:c r="AF704" s="9" t="n">
        <x:f>R704*G704</x:f>
        <x:v>79.05</x:v>
      </x:c>
    </x:row>
    <x:row r="705" ht="21" customHeight="1">
      <x:c r="A705" s="1" t="str">
        <x:f>'Inventory inputs'!A705</x:f>
        <x:v>PLAS</x:v>
      </x:c>
      <x:c r="B705" s="1" t="str">
        <x:f>'Inventory inputs'!B705</x:f>
        <x:v>30</x:v>
      </x:c>
      <x:c r="C705" s="1" t="str">
        <x:f>'Inventory inputs'!C705</x:f>
        <x:v>00119RWBMAR</x:v>
      </x:c>
      <x:c r="D705" s="7" t="n">
        <x:f>'Inventory inputs'!E705</x:f>
        <x:v>46303</x:v>
      </x:c>
      <x:c r="E705" s="1" t="n">
        <x:f>'Inventory inputs'!F705</x:f>
        <x:v>550</x:v>
      </x:c>
      <x:c r="F705" s="1" t="n">
        <x:f>'Inventory inputs'!G705</x:f>
        <x:v>0</x:v>
      </x:c>
      <x:c r="G705" s="1" t="n">
        <x:f>'Inventory inputs'!H705/'Inventory inputs'!J705</x:f>
        <x:v>0.1054</x:v>
      </x:c>
      <x:c r="H705" s="1" t="n">
        <x:f>IF('Inventory inputs'!I705&gt;0,'Inventory inputs'!I705*'Inventory inputs'!K705/'Inventory inputs'!J705,"n.a.")</x:f>
        <x:v>0.12333300000000001</x:v>
      </x:c>
      <x:c r="I705" s="1" t="n">
        <x:f>'Inventory inputs'!L705</x:f>
        <x:v>0</x:v>
      </x:c>
      <x:c r="J705" s="1" t="n">
        <x:f>'Inventory inputs'!M705</x:f>
        <x:v>0</x:v>
      </x:c>
      <x:c r="K705" s="1" t="n">
        <x:f>'Inventory inputs'!N705</x:f>
        <x:v>550</x:v>
      </x:c>
      <x:c r="L705" s="1" t="n">
        <x:f>'Inventory inputs'!O705</x:f>
        <x:v>0</x:v>
      </x:c>
      <x:c r="M705" s="9" t="n">
        <x:f>E705*G705</x:f>
        <x:v>57.97</x:v>
      </x:c>
      <x:c r="N705" s="9" t="n">
        <x:f>'Inventory inputs'!Q705</x:f>
        <x:v>57.96999999999999</x:v>
      </x:c>
      <x:c r="O705" s="9" t="n">
        <x:f>N705-M705</x:f>
        <x:v>-7.105427357601002e-15</x:v>
      </x:c>
      <x:c r="P705" s="1" t="n">
        <x:f>SUMIFS('Incoming POs'!$P$2:$P$305,'Incoming POs'!$A$2:$A$305,A705,'Incoming POs'!$B$2:$B$305,B705,'Incoming POs'!$C$2:$C$305,C705,'Incoming POs'!$G$2:$G$305,"&gt;="&amp;D705,'Incoming POs'!$G$2:$G$305,"&lt;"&amp;Dashboard!$I$5)</x:f>
        <x:v>0</x:v>
      </x:c>
      <x:c r="Q705" s="1" t="n">
        <x:f>F705*Dashboard!$L$5*MAX(0,Dashboard!$I$5-D705)/30.4375</x:f>
        <x:v>0</x:v>
      </x:c>
      <x:c r="R705" s="1" t="n">
        <x:f>MAX(0,E705+P705-Q705)</x:f>
        <x:v>550</x:v>
      </x:c>
      <x:c r="S705" s="1" t="n">
        <x:f>MAX(0,Q705-E705-P705)</x:f>
        <x:v>0</x:v>
      </x:c>
      <x:c r="T705" s="1" t="str">
        <x:f>IF(L705=1,MAX(0,I705+AB705-MIN(Q705,E705+P705)),"n.a.")</x:f>
        <x:v>n.a.</x:v>
      </x:c>
      <x:c r="U705" s="9" t="str">
        <x:f>IF(ISNUMBER(T705),T705*G705,"n.a.")</x:f>
        <x:v>n.a.</x:v>
      </x:c>
      <x:c r="V705" s="25" t="n">
        <x:f>IF(Dashboard!$I$6="Flat %",1,IF(ISNUMBER(H705),1,0))</x:f>
        <x:v>1</x:v>
      </x:c>
      <x:c r="W705" s="9" t="n">
        <x:f>IF(Dashboard!$I$6="Flat %",G705*(1+Dashboard!$L$6),H705)</x:f>
        <x:v>0.12333300000000001</x:v>
      </x:c>
      <x:c r="X705" s="9" t="n">
        <x:f>IF(V705=1,R705*(W705-G705),"n.a.")</x:f>
        <x:v>9.86315000000001</x:v>
      </x:c>
      <x:c r="Y705" s="9" t="n">
        <x:f>IF(V705=1,R705*W705,"n.a.")</x:f>
        <x:v>67.83315</x:v>
      </x:c>
      <x:c r="Z705" s="1" t="str">
        <x:f>IF(ISNUMBER(T705),R705-T705,"n.a.")</x:f>
        <x:v>n.a.</x:v>
      </x:c>
      <x:c r="AA705" s="1" t="str">
        <x:f>'Inventory inputs'!R705</x:f>
        <x:v>Review receipt reconciliation or original PO baseline</x:v>
      </x:c>
      <x:c r="AB705" s="1" t="str">
        <x:f>IF(L705=1,SUMIFS('Incoming POs'!$P$2:$P$305,'Incoming POs'!$A$2:$A$305,A705,'Incoming POs'!$B$2:$B$305,B705,'Incoming POs'!$C$2:$C$305,C705,'Incoming POs'!$G$2:$G$305,"&gt;="&amp;D705,'Incoming POs'!$G$2:$G$305,"&lt;"&amp;Dashboard!$I$5,'Incoming POs'!$Q$2:$Q$305,"&lt;="&amp;('Inventory inputs'!P705/'Inventory inputs'!J705*1.01)),"n.a.")</x:f>
        <x:v>n.a.</x:v>
      </x:c>
      <x:c r="AC705" s="9" t="n">
        <x:f>I705*G705</x:f>
        <x:v>0</x:v>
      </x:c>
      <x:c r="AD705" s="9" t="n">
        <x:f>J705*G705</x:f>
        <x:v>0</x:v>
      </x:c>
      <x:c r="AE705" s="9" t="n">
        <x:f>K705*G705</x:f>
        <x:v>57.97</x:v>
      </x:c>
      <x:c r="AF705" s="9" t="n">
        <x:f>R705*G705</x:f>
        <x:v>57.97</x:v>
      </x:c>
    </x:row>
    <x:row r="706" ht="21" customHeight="1">
      <x:c r="A706" s="1" t="str">
        <x:f>'Inventory inputs'!A706</x:f>
        <x:v>PLAS</x:v>
      </x:c>
      <x:c r="B706" s="1" t="str">
        <x:f>'Inventory inputs'!B706</x:f>
        <x:v>30</x:v>
      </x:c>
      <x:c r="C706" s="1" t="str">
        <x:f>'Inventory inputs'!C706</x:f>
        <x:v>00180RWBBLK</x:v>
      </x:c>
      <x:c r="D706" s="7" t="n">
        <x:f>'Inventory inputs'!E706</x:f>
        <x:v>46303</x:v>
      </x:c>
      <x:c r="E706" s="1" t="n">
        <x:f>'Inventory inputs'!F706</x:f>
        <x:v>0</x:v>
      </x:c>
      <x:c r="F706" s="1" t="n">
        <x:f>'Inventory inputs'!G706</x:f>
        <x:v>0</x:v>
      </x:c>
      <x:c r="G706" s="1" t="n">
        <x:f>'Inventory inputs'!H706/'Inventory inputs'!J706</x:f>
        <x:v>0.4125</x:v>
      </x:c>
      <x:c r="H706" s="1" t="n">
        <x:f>IF('Inventory inputs'!I706&gt;0,'Inventory inputs'!I706*'Inventory inputs'!K706/'Inventory inputs'!J706,"n.a.")</x:f>
        <x:v>0.48260099999999995</x:v>
      </x:c>
      <x:c r="I706" s="1" t="n">
        <x:f>'Inventory inputs'!L706</x:f>
        <x:v>0</x:v>
      </x:c>
      <x:c r="J706" s="1" t="n">
        <x:f>'Inventory inputs'!M706</x:f>
        <x:v>0</x:v>
      </x:c>
      <x:c r="K706" s="1" t="n">
        <x:f>'Inventory inputs'!N706</x:f>
        <x:v>0</x:v>
      </x:c>
      <x:c r="L706" s="1" t="n">
        <x:f>'Inventory inputs'!O706</x:f>
        <x:v>1</x:v>
      </x:c>
      <x:c r="M706" s="9" t="n">
        <x:f>E706*G706</x:f>
        <x:v>0</x:v>
      </x:c>
      <x:c r="N706" s="9" t="n">
        <x:f>'Inventory inputs'!Q706</x:f>
        <x:v>0</x:v>
      </x:c>
      <x:c r="O706" s="9" t="n">
        <x:f>N706-M706</x:f>
        <x:v>0</x:v>
      </x:c>
      <x:c r="P706" s="1" t="n">
        <x:f>SUMIFS('Incoming POs'!$P$2:$P$305,'Incoming POs'!$A$2:$A$305,A706,'Incoming POs'!$B$2:$B$305,B706,'Incoming POs'!$C$2:$C$305,C706,'Incoming POs'!$G$2:$G$305,"&gt;="&amp;D706,'Incoming POs'!$G$2:$G$305,"&lt;"&amp;Dashboard!$I$5)</x:f>
        <x:v>0</x:v>
      </x:c>
      <x:c r="Q706" s="1" t="n">
        <x:f>F706*Dashboard!$L$5*MAX(0,Dashboard!$I$5-D706)/30.4375</x:f>
        <x:v>0</x:v>
      </x:c>
      <x:c r="R706" s="1" t="n">
        <x:f>MAX(0,E706+P706-Q706)</x:f>
        <x:v>0</x:v>
      </x:c>
      <x:c r="S706" s="1" t="n">
        <x:f>MAX(0,Q706-E706-P706)</x:f>
        <x:v>0</x:v>
      </x:c>
      <x:c r="T706" s="1" t="n">
        <x:f>IF(L706=1,MAX(0,I706+AB706-MIN(Q706,E706+P706)),"n.a.")</x:f>
        <x:v>0</x:v>
      </x:c>
      <x:c r="U706" s="9" t="n">
        <x:f>IF(ISNUMBER(T706),T706*G706,"n.a.")</x:f>
        <x:v>0</x:v>
      </x:c>
      <x:c r="V706" s="25" t="n">
        <x:f>IF(Dashboard!$I$6="Flat %",1,IF(ISNUMBER(H706),1,0))</x:f>
        <x:v>1</x:v>
      </x:c>
      <x:c r="W706" s="9" t="n">
        <x:f>IF(Dashboard!$I$6="Flat %",G706*(1+Dashboard!$L$6),H706)</x:f>
        <x:v>0.48260099999999995</x:v>
      </x:c>
      <x:c r="X706" s="9" t="n">
        <x:f>IF(V706=1,R706*(W706-G706),"n.a.")</x:f>
        <x:v>0</x:v>
      </x:c>
      <x:c r="Y706" s="9" t="n">
        <x:f>IF(V706=1,R706*W706,"n.a.")</x:f>
        <x:v>0</x:v>
      </x:c>
      <x:c r="Z706" s="1" t="n">
        <x:f>IF(ISNUMBER(T706),R706-T706,"n.a.")</x:f>
        <x:v>0</x:v>
      </x:c>
      <x:c r="AA706" s="1" t="str">
        <x:f>'Inventory inputs'!R706</x:f>
        <x:v>Classified</x:v>
      </x:c>
      <x:c r="AB706" s="1" t="n">
        <x:f>IF(L706=1,SUMIFS('Incoming POs'!$P$2:$P$305,'Incoming POs'!$A$2:$A$305,A706,'Incoming POs'!$B$2:$B$305,B706,'Incoming POs'!$C$2:$C$305,C706,'Incoming POs'!$G$2:$G$305,"&gt;="&amp;D706,'Incoming POs'!$G$2:$G$305,"&lt;"&amp;Dashboard!$I$5,'Incoming POs'!$Q$2:$Q$305,"&lt;="&amp;('Inventory inputs'!P706/'Inventory inputs'!J706*1.01)),"n.a.")</x:f>
        <x:v>0</x:v>
      </x:c>
      <x:c r="AC706" s="9" t="n">
        <x:f>I706*G706</x:f>
        <x:v>0</x:v>
      </x:c>
      <x:c r="AD706" s="9" t="n">
        <x:f>J706*G706</x:f>
        <x:v>0</x:v>
      </x:c>
      <x:c r="AE706" s="9" t="n">
        <x:f>K706*G706</x:f>
        <x:v>0</x:v>
      </x:c>
      <x:c r="AF706" s="9" t="n">
        <x:f>R706*G706</x:f>
        <x:v>0</x:v>
      </x:c>
    </x:row>
    <x:row r="707" ht="21" customHeight="1">
      <x:c r="A707" s="1" t="str">
        <x:f>'Inventory inputs'!A707</x:f>
        <x:v>PLAS</x:v>
      </x:c>
      <x:c r="B707" s="1" t="str">
        <x:f>'Inventory inputs'!B707</x:f>
        <x:v>30</x:v>
      </x:c>
      <x:c r="C707" s="1" t="str">
        <x:f>'Inventory inputs'!C707</x:f>
        <x:v>00180RWBWHT</x:v>
      </x:c>
      <x:c r="D707" s="7" t="n">
        <x:f>'Inventory inputs'!E707</x:f>
        <x:v>46303</x:v>
      </x:c>
      <x:c r="E707" s="1" t="n">
        <x:f>'Inventory inputs'!F707</x:f>
        <x:v>0</x:v>
      </x:c>
      <x:c r="F707" s="1" t="n">
        <x:f>'Inventory inputs'!G707</x:f>
        <x:v>0</x:v>
      </x:c>
      <x:c r="G707" s="1" t="n">
        <x:f>'Inventory inputs'!H707/'Inventory inputs'!J707</x:f>
        <x:v>0.4125</x:v>
      </x:c>
      <x:c r="H707" s="1" t="n">
        <x:f>IF('Inventory inputs'!I707&gt;0,'Inventory inputs'!I707*'Inventory inputs'!K707/'Inventory inputs'!J707,"n.a.")</x:f>
        <x:v>0.48260099999999995</x:v>
      </x:c>
      <x:c r="I707" s="1" t="n">
        <x:f>'Inventory inputs'!L707</x:f>
        <x:v>0</x:v>
      </x:c>
      <x:c r="J707" s="1" t="n">
        <x:f>'Inventory inputs'!M707</x:f>
        <x:v>0</x:v>
      </x:c>
      <x:c r="K707" s="1" t="n">
        <x:f>'Inventory inputs'!N707</x:f>
        <x:v>0</x:v>
      </x:c>
      <x:c r="L707" s="1" t="n">
        <x:f>'Inventory inputs'!O707</x:f>
        <x:v>1</x:v>
      </x:c>
      <x:c r="M707" s="9" t="n">
        <x:f>E707*G707</x:f>
        <x:v>0</x:v>
      </x:c>
      <x:c r="N707" s="9" t="n">
        <x:f>'Inventory inputs'!Q707</x:f>
        <x:v>0</x:v>
      </x:c>
      <x:c r="O707" s="9" t="n">
        <x:f>N707-M707</x:f>
        <x:v>0</x:v>
      </x:c>
      <x:c r="P707" s="1" t="n">
        <x:f>SUMIFS('Incoming POs'!$P$2:$P$305,'Incoming POs'!$A$2:$A$305,A707,'Incoming POs'!$B$2:$B$305,B707,'Incoming POs'!$C$2:$C$305,C707,'Incoming POs'!$G$2:$G$305,"&gt;="&amp;D707,'Incoming POs'!$G$2:$G$305,"&lt;"&amp;Dashboard!$I$5)</x:f>
        <x:v>0</x:v>
      </x:c>
      <x:c r="Q707" s="1" t="n">
        <x:f>F707*Dashboard!$L$5*MAX(0,Dashboard!$I$5-D707)/30.4375</x:f>
        <x:v>0</x:v>
      </x:c>
      <x:c r="R707" s="1" t="n">
        <x:f>MAX(0,E707+P707-Q707)</x:f>
        <x:v>0</x:v>
      </x:c>
      <x:c r="S707" s="1" t="n">
        <x:f>MAX(0,Q707-E707-P707)</x:f>
        <x:v>0</x:v>
      </x:c>
      <x:c r="T707" s="1" t="n">
        <x:f>IF(L707=1,MAX(0,I707+AB707-MIN(Q707,E707+P707)),"n.a.")</x:f>
        <x:v>0</x:v>
      </x:c>
      <x:c r="U707" s="9" t="n">
        <x:f>IF(ISNUMBER(T707),T707*G707,"n.a.")</x:f>
        <x:v>0</x:v>
      </x:c>
      <x:c r="V707" s="25" t="n">
        <x:f>IF(Dashboard!$I$6="Flat %",1,IF(ISNUMBER(H707),1,0))</x:f>
        <x:v>1</x:v>
      </x:c>
      <x:c r="W707" s="9" t="n">
        <x:f>IF(Dashboard!$I$6="Flat %",G707*(1+Dashboard!$L$6),H707)</x:f>
        <x:v>0.48260099999999995</x:v>
      </x:c>
      <x:c r="X707" s="9" t="n">
        <x:f>IF(V707=1,R707*(W707-G707),"n.a.")</x:f>
        <x:v>0</x:v>
      </x:c>
      <x:c r="Y707" s="9" t="n">
        <x:f>IF(V707=1,R707*W707,"n.a.")</x:f>
        <x:v>0</x:v>
      </x:c>
      <x:c r="Z707" s="1" t="n">
        <x:f>IF(ISNUMBER(T707),R707-T707,"n.a.")</x:f>
        <x:v>0</x:v>
      </x:c>
      <x:c r="AA707" s="1" t="str">
        <x:f>'Inventory inputs'!R707</x:f>
        <x:v>Classified</x:v>
      </x:c>
      <x:c r="AB707" s="1" t="n">
        <x:f>IF(L707=1,SUMIFS('Incoming POs'!$P$2:$P$305,'Incoming POs'!$A$2:$A$305,A707,'Incoming POs'!$B$2:$B$305,B707,'Incoming POs'!$C$2:$C$305,C707,'Incoming POs'!$G$2:$G$305,"&gt;="&amp;D707,'Incoming POs'!$G$2:$G$305,"&lt;"&amp;Dashboard!$I$5,'Incoming POs'!$Q$2:$Q$305,"&lt;="&amp;('Inventory inputs'!P707/'Inventory inputs'!J707*1.01)),"n.a.")</x:f>
        <x:v>0</x:v>
      </x:c>
      <x:c r="AC707" s="9" t="n">
        <x:f>I707*G707</x:f>
        <x:v>0</x:v>
      </x:c>
      <x:c r="AD707" s="9" t="n">
        <x:f>J707*G707</x:f>
        <x:v>0</x:v>
      </x:c>
      <x:c r="AE707" s="9" t="n">
        <x:f>K707*G707</x:f>
        <x:v>0</x:v>
      </x:c>
      <x:c r="AF707" s="9" t="n">
        <x:f>R707*G707</x:f>
        <x:v>0</x:v>
      </x:c>
    </x:row>
    <x:row r="708" ht="21" customHeight="1">
      <x:c r="A708" s="1" t="str">
        <x:f>'Inventory inputs'!A708</x:f>
        <x:v>PLAS</x:v>
      </x:c>
      <x:c r="B708" s="1" t="str">
        <x:f>'Inventory inputs'!B708</x:f>
        <x:v>30</x:v>
      </x:c>
      <x:c r="C708" s="1" t="str">
        <x:f>'Inventory inputs'!C708</x:f>
        <x:v>00215RSLWHT</x:v>
      </x:c>
      <x:c r="D708" s="7" t="n">
        <x:f>'Inventory inputs'!E708</x:f>
        <x:v>46303</x:v>
      </x:c>
      <x:c r="E708" s="1" t="n">
        <x:f>'Inventory inputs'!F708</x:f>
        <x:v>500</x:v>
      </x:c>
      <x:c r="F708" s="1" t="n">
        <x:f>'Inventory inputs'!G708</x:f>
        <x:v>0</x:v>
      </x:c>
      <x:c r="G708" s="1" t="n">
        <x:f>'Inventory inputs'!H708/'Inventory inputs'!J708</x:f>
        <x:v>0.10189999999999999</x:v>
      </x:c>
      <x:c r="H708" s="1" t="n">
        <x:f>IF('Inventory inputs'!I708&gt;0,'Inventory inputs'!I708*'Inventory inputs'!K708/'Inventory inputs'!J708,"n.a.")</x:f>
        <x:v>0.11921699999999999</x:v>
      </x:c>
      <x:c r="I708" s="1" t="n">
        <x:f>'Inventory inputs'!L708</x:f>
        <x:v>0</x:v>
      </x:c>
      <x:c r="J708" s="1" t="n">
        <x:f>'Inventory inputs'!M708</x:f>
        <x:v>0</x:v>
      </x:c>
      <x:c r="K708" s="1" t="n">
        <x:f>'Inventory inputs'!N708</x:f>
        <x:v>500</x:v>
      </x:c>
      <x:c r="L708" s="1" t="n">
        <x:f>'Inventory inputs'!O708</x:f>
        <x:v>0</x:v>
      </x:c>
      <x:c r="M708" s="9" t="n">
        <x:f>E708*G708</x:f>
        <x:v>50.949999999999996</x:v>
      </x:c>
      <x:c r="N708" s="9" t="n">
        <x:f>'Inventory inputs'!Q708</x:f>
        <x:v>50.95</x:v>
      </x:c>
      <x:c r="O708" s="9" t="n">
        <x:f>N708-M708</x:f>
        <x:v>7.105427357601002e-15</x:v>
      </x:c>
      <x:c r="P708" s="1" t="n">
        <x:f>SUMIFS('Incoming POs'!$P$2:$P$305,'Incoming POs'!$A$2:$A$305,A708,'Incoming POs'!$B$2:$B$305,B708,'Incoming POs'!$C$2:$C$305,C708,'Incoming POs'!$G$2:$G$305,"&gt;="&amp;D708,'Incoming POs'!$G$2:$G$305,"&lt;"&amp;Dashboard!$I$5)</x:f>
        <x:v>0</x:v>
      </x:c>
      <x:c r="Q708" s="1" t="n">
        <x:f>F708*Dashboard!$L$5*MAX(0,Dashboard!$I$5-D708)/30.4375</x:f>
        <x:v>0</x:v>
      </x:c>
      <x:c r="R708" s="1" t="n">
        <x:f>MAX(0,E708+P708-Q708)</x:f>
        <x:v>500</x:v>
      </x:c>
      <x:c r="S708" s="1" t="n">
        <x:f>MAX(0,Q708-E708-P708)</x:f>
        <x:v>0</x:v>
      </x:c>
      <x:c r="T708" s="1" t="str">
        <x:f>IF(L708=1,MAX(0,I708+AB708-MIN(Q708,E708+P708)),"n.a.")</x:f>
        <x:v>n.a.</x:v>
      </x:c>
      <x:c r="U708" s="9" t="str">
        <x:f>IF(ISNUMBER(T708),T708*G708,"n.a.")</x:f>
        <x:v>n.a.</x:v>
      </x:c>
      <x:c r="V708" s="25" t="n">
        <x:f>IF(Dashboard!$I$6="Flat %",1,IF(ISNUMBER(H708),1,0))</x:f>
        <x:v>1</x:v>
      </x:c>
      <x:c r="W708" s="9" t="n">
        <x:f>IF(Dashboard!$I$6="Flat %",G708*(1+Dashboard!$L$6),H708)</x:f>
        <x:v>0.11921699999999999</x:v>
      </x:c>
      <x:c r="X708" s="9" t="n">
        <x:f>IF(V708=1,R708*(W708-G708),"n.a.")</x:f>
        <x:v>8.6585</x:v>
      </x:c>
      <x:c r="Y708" s="9" t="n">
        <x:f>IF(V708=1,R708*W708,"n.a.")</x:f>
        <x:v>59.60849999999999</x:v>
      </x:c>
      <x:c r="Z708" s="1" t="str">
        <x:f>IF(ISNUMBER(T708),R708-T708,"n.a.")</x:f>
        <x:v>n.a.</x:v>
      </x:c>
      <x:c r="AA708" s="1" t="str">
        <x:f>'Inventory inputs'!R708</x:f>
        <x:v>Review receipt reconciliation or original PO baseline</x:v>
      </x:c>
      <x:c r="AB708" s="1" t="str">
        <x:f>IF(L708=1,SUMIFS('Incoming POs'!$P$2:$P$305,'Incoming POs'!$A$2:$A$305,A708,'Incoming POs'!$B$2:$B$305,B708,'Incoming POs'!$C$2:$C$305,C708,'Incoming POs'!$G$2:$G$305,"&gt;="&amp;D708,'Incoming POs'!$G$2:$G$305,"&lt;"&amp;Dashboard!$I$5,'Incoming POs'!$Q$2:$Q$305,"&lt;="&amp;('Inventory inputs'!P708/'Inventory inputs'!J708*1.01)),"n.a.")</x:f>
        <x:v>n.a.</x:v>
      </x:c>
      <x:c r="AC708" s="9" t="n">
        <x:f>I708*G708</x:f>
        <x:v>0</x:v>
      </x:c>
      <x:c r="AD708" s="9" t="n">
        <x:f>J708*G708</x:f>
        <x:v>0</x:v>
      </x:c>
      <x:c r="AE708" s="9" t="n">
        <x:f>K708*G708</x:f>
        <x:v>50.949999999999996</x:v>
      </x:c>
      <x:c r="AF708" s="9" t="n">
        <x:f>R708*G708</x:f>
        <x:v>50.949999999999996</x:v>
      </x:c>
    </x:row>
    <x:row r="709" ht="21" customHeight="1">
      <x:c r="A709" s="1" t="str">
        <x:f>'Inventory inputs'!A709</x:f>
        <x:v>PLAS</x:v>
      </x:c>
      <x:c r="B709" s="1" t="str">
        <x:f>'Inventory inputs'!B709</x:f>
        <x:v>30</x:v>
      </x:c>
      <x:c r="C709" s="1" t="str">
        <x:f>'Inventory inputs'!C709</x:f>
        <x:v>00219RSLBLU</x:v>
      </x:c>
      <x:c r="D709" s="7" t="n">
        <x:f>'Inventory inputs'!E709</x:f>
        <x:v>46303</x:v>
      </x:c>
      <x:c r="E709" s="1" t="n">
        <x:f>'Inventory inputs'!F709</x:f>
        <x:v>240</x:v>
      </x:c>
      <x:c r="F709" s="1" t="n">
        <x:f>'Inventory inputs'!G709</x:f>
        <x:v>0</x:v>
      </x:c>
      <x:c r="G709" s="1" t="n">
        <x:f>'Inventory inputs'!H709/'Inventory inputs'!J709</x:f>
        <x:v>0.1477</x:v>
      </x:c>
      <x:c r="H709" s="1" t="n">
        <x:f>IF('Inventory inputs'!I709&gt;0,'Inventory inputs'!I709*'Inventory inputs'!K709/'Inventory inputs'!J709,"n.a.")</x:f>
        <x:v>0.172872</x:v>
      </x:c>
      <x:c r="I709" s="1" t="n">
        <x:f>'Inventory inputs'!L709</x:f>
        <x:v>0</x:v>
      </x:c>
      <x:c r="J709" s="1" t="n">
        <x:f>'Inventory inputs'!M709</x:f>
        <x:v>0</x:v>
      </x:c>
      <x:c r="K709" s="1" t="n">
        <x:f>'Inventory inputs'!N709</x:f>
        <x:v>240</x:v>
      </x:c>
      <x:c r="L709" s="1" t="n">
        <x:f>'Inventory inputs'!O709</x:f>
        <x:v>0</x:v>
      </x:c>
      <x:c r="M709" s="9" t="n">
        <x:f>E709*G709</x:f>
        <x:v>35.448</x:v>
      </x:c>
      <x:c r="N709" s="9" t="n">
        <x:f>'Inventory inputs'!Q709</x:f>
        <x:v>35.448</x:v>
      </x:c>
      <x:c r="O709" s="9" t="n">
        <x:f>N709-M709</x:f>
        <x:v>0</x:v>
      </x:c>
      <x:c r="P709" s="1" t="n">
        <x:f>SUMIFS('Incoming POs'!$P$2:$P$305,'Incoming POs'!$A$2:$A$305,A709,'Incoming POs'!$B$2:$B$305,B709,'Incoming POs'!$C$2:$C$305,C709,'Incoming POs'!$G$2:$G$305,"&gt;="&amp;D709,'Incoming POs'!$G$2:$G$305,"&lt;"&amp;Dashboard!$I$5)</x:f>
        <x:v>0</x:v>
      </x:c>
      <x:c r="Q709" s="1" t="n">
        <x:f>F709*Dashboard!$L$5*MAX(0,Dashboard!$I$5-D709)/30.4375</x:f>
        <x:v>0</x:v>
      </x:c>
      <x:c r="R709" s="1" t="n">
        <x:f>MAX(0,E709+P709-Q709)</x:f>
        <x:v>240</x:v>
      </x:c>
      <x:c r="S709" s="1" t="n">
        <x:f>MAX(0,Q709-E709-P709)</x:f>
        <x:v>0</x:v>
      </x:c>
      <x:c r="T709" s="1" t="str">
        <x:f>IF(L709=1,MAX(0,I709+AB709-MIN(Q709,E709+P709)),"n.a.")</x:f>
        <x:v>n.a.</x:v>
      </x:c>
      <x:c r="U709" s="9" t="str">
        <x:f>IF(ISNUMBER(T709),T709*G709,"n.a.")</x:f>
        <x:v>n.a.</x:v>
      </x:c>
      <x:c r="V709" s="25" t="n">
        <x:f>IF(Dashboard!$I$6="Flat %",1,IF(ISNUMBER(H709),1,0))</x:f>
        <x:v>1</x:v>
      </x:c>
      <x:c r="W709" s="9" t="n">
        <x:f>IF(Dashboard!$I$6="Flat %",G709*(1+Dashboard!$L$6),H709)</x:f>
        <x:v>0.172872</x:v>
      </x:c>
      <x:c r="X709" s="9" t="n">
        <x:f>IF(V709=1,R709*(W709-G709),"n.a.")</x:f>
        <x:v>6.04128</x:v>
      </x:c>
      <x:c r="Y709" s="9" t="n">
        <x:f>IF(V709=1,R709*W709,"n.a.")</x:f>
        <x:v>41.48928</x:v>
      </x:c>
      <x:c r="Z709" s="1" t="str">
        <x:f>IF(ISNUMBER(T709),R709-T709,"n.a.")</x:f>
        <x:v>n.a.</x:v>
      </x:c>
      <x:c r="AA709" s="1" t="str">
        <x:f>'Inventory inputs'!R709</x:f>
        <x:v>Review receipt reconciliation or original PO baseline</x:v>
      </x:c>
      <x:c r="AB709" s="1" t="str">
        <x:f>IF(L709=1,SUMIFS('Incoming POs'!$P$2:$P$305,'Incoming POs'!$A$2:$A$305,A709,'Incoming POs'!$B$2:$B$305,B709,'Incoming POs'!$C$2:$C$305,C709,'Incoming POs'!$G$2:$G$305,"&gt;="&amp;D709,'Incoming POs'!$G$2:$G$305,"&lt;"&amp;Dashboard!$I$5,'Incoming POs'!$Q$2:$Q$305,"&lt;="&amp;('Inventory inputs'!P709/'Inventory inputs'!J709*1.01)),"n.a.")</x:f>
        <x:v>n.a.</x:v>
      </x:c>
      <x:c r="AC709" s="9" t="n">
        <x:f>I709*G709</x:f>
        <x:v>0</x:v>
      </x:c>
      <x:c r="AD709" s="9" t="n">
        <x:f>J709*G709</x:f>
        <x:v>0</x:v>
      </x:c>
      <x:c r="AE709" s="9" t="n">
        <x:f>K709*G709</x:f>
        <x:v>35.448</x:v>
      </x:c>
      <x:c r="AF709" s="9" t="n">
        <x:f>R709*G709</x:f>
        <x:v>35.448</x:v>
      </x:c>
    </x:row>
    <x:row r="710" ht="21" customHeight="1">
      <x:c r="A710" s="1" t="str">
        <x:f>'Inventory inputs'!A710</x:f>
        <x:v>PLAS</x:v>
      </x:c>
      <x:c r="B710" s="1" t="str">
        <x:f>'Inventory inputs'!B710</x:f>
        <x:v>30</x:v>
      </x:c>
      <x:c r="C710" s="1" t="str">
        <x:f>'Inventory inputs'!C710</x:f>
        <x:v>00219RSLCLR</x:v>
      </x:c>
      <x:c r="D710" s="7" t="n">
        <x:f>'Inventory inputs'!E710</x:f>
        <x:v>46303</x:v>
      </x:c>
      <x:c r="E710" s="1" t="n">
        <x:f>'Inventory inputs'!F710</x:f>
        <x:v>240</x:v>
      </x:c>
      <x:c r="F710" s="1" t="n">
        <x:f>'Inventory inputs'!G710</x:f>
        <x:v>0</x:v>
      </x:c>
      <x:c r="G710" s="1" t="n">
        <x:f>'Inventory inputs'!H710/'Inventory inputs'!J710</x:f>
        <x:v>0.1477</x:v>
      </x:c>
      <x:c r="H710" s="1" t="n">
        <x:f>IF('Inventory inputs'!I710&gt;0,'Inventory inputs'!I710*'Inventory inputs'!K710/'Inventory inputs'!J710,"n.a.")</x:f>
        <x:v>0.172872</x:v>
      </x:c>
      <x:c r="I710" s="1" t="n">
        <x:f>'Inventory inputs'!L710</x:f>
        <x:v>0</x:v>
      </x:c>
      <x:c r="J710" s="1" t="n">
        <x:f>'Inventory inputs'!M710</x:f>
        <x:v>0</x:v>
      </x:c>
      <x:c r="K710" s="1" t="n">
        <x:f>'Inventory inputs'!N710</x:f>
        <x:v>240</x:v>
      </x:c>
      <x:c r="L710" s="1" t="n">
        <x:f>'Inventory inputs'!O710</x:f>
        <x:v>0</x:v>
      </x:c>
      <x:c r="M710" s="9" t="n">
        <x:f>E710*G710</x:f>
        <x:v>35.448</x:v>
      </x:c>
      <x:c r="N710" s="9" t="n">
        <x:f>'Inventory inputs'!Q710</x:f>
        <x:v>35.448</x:v>
      </x:c>
      <x:c r="O710" s="9" t="n">
        <x:f>N710-M710</x:f>
        <x:v>0</x:v>
      </x:c>
      <x:c r="P710" s="1" t="n">
        <x:f>SUMIFS('Incoming POs'!$P$2:$P$305,'Incoming POs'!$A$2:$A$305,A710,'Incoming POs'!$B$2:$B$305,B710,'Incoming POs'!$C$2:$C$305,C710,'Incoming POs'!$G$2:$G$305,"&gt;="&amp;D710,'Incoming POs'!$G$2:$G$305,"&lt;"&amp;Dashboard!$I$5)</x:f>
        <x:v>0</x:v>
      </x:c>
      <x:c r="Q710" s="1" t="n">
        <x:f>F710*Dashboard!$L$5*MAX(0,Dashboard!$I$5-D710)/30.4375</x:f>
        <x:v>0</x:v>
      </x:c>
      <x:c r="R710" s="1" t="n">
        <x:f>MAX(0,E710+P710-Q710)</x:f>
        <x:v>240</x:v>
      </x:c>
      <x:c r="S710" s="1" t="n">
        <x:f>MAX(0,Q710-E710-P710)</x:f>
        <x:v>0</x:v>
      </x:c>
      <x:c r="T710" s="1" t="str">
        <x:f>IF(L710=1,MAX(0,I710+AB710-MIN(Q710,E710+P710)),"n.a.")</x:f>
        <x:v>n.a.</x:v>
      </x:c>
      <x:c r="U710" s="9" t="str">
        <x:f>IF(ISNUMBER(T710),T710*G710,"n.a.")</x:f>
        <x:v>n.a.</x:v>
      </x:c>
      <x:c r="V710" s="25" t="n">
        <x:f>IF(Dashboard!$I$6="Flat %",1,IF(ISNUMBER(H710),1,0))</x:f>
        <x:v>1</x:v>
      </x:c>
      <x:c r="W710" s="9" t="n">
        <x:f>IF(Dashboard!$I$6="Flat %",G710*(1+Dashboard!$L$6),H710)</x:f>
        <x:v>0.172872</x:v>
      </x:c>
      <x:c r="X710" s="9" t="n">
        <x:f>IF(V710=1,R710*(W710-G710),"n.a.")</x:f>
        <x:v>6.04128</x:v>
      </x:c>
      <x:c r="Y710" s="9" t="n">
        <x:f>IF(V710=1,R710*W710,"n.a.")</x:f>
        <x:v>41.48928</x:v>
      </x:c>
      <x:c r="Z710" s="1" t="str">
        <x:f>IF(ISNUMBER(T710),R710-T710,"n.a.")</x:f>
        <x:v>n.a.</x:v>
      </x:c>
      <x:c r="AA710" s="1" t="str">
        <x:f>'Inventory inputs'!R710</x:f>
        <x:v>Review receipt reconciliation or original PO baseline</x:v>
      </x:c>
      <x:c r="AB710" s="1" t="str">
        <x:f>IF(L710=1,SUMIFS('Incoming POs'!$P$2:$P$305,'Incoming POs'!$A$2:$A$305,A710,'Incoming POs'!$B$2:$B$305,B710,'Incoming POs'!$C$2:$C$305,C710,'Incoming POs'!$G$2:$G$305,"&gt;="&amp;D710,'Incoming POs'!$G$2:$G$305,"&lt;"&amp;Dashboard!$I$5,'Incoming POs'!$Q$2:$Q$305,"&lt;="&amp;('Inventory inputs'!P710/'Inventory inputs'!J710*1.01)),"n.a.")</x:f>
        <x:v>n.a.</x:v>
      </x:c>
      <x:c r="AC710" s="9" t="n">
        <x:f>I710*G710</x:f>
        <x:v>0</x:v>
      </x:c>
      <x:c r="AD710" s="9" t="n">
        <x:f>J710*G710</x:f>
        <x:v>0</x:v>
      </x:c>
      <x:c r="AE710" s="9" t="n">
        <x:f>K710*G710</x:f>
        <x:v>35.448</x:v>
      </x:c>
      <x:c r="AF710" s="9" t="n">
        <x:f>R710*G710</x:f>
        <x:v>35.448</x:v>
      </x:c>
    </x:row>
    <x:row r="711" ht="21" customHeight="1">
      <x:c r="A711" s="1" t="str">
        <x:f>'Inventory inputs'!A711</x:f>
        <x:v>PLAS</x:v>
      </x:c>
      <x:c r="B711" s="1" t="str">
        <x:f>'Inventory inputs'!B711</x:f>
        <x:v>30</x:v>
      </x:c>
      <x:c r="C711" s="1" t="str">
        <x:f>'Inventory inputs'!C711</x:f>
        <x:v>00219RSLFG</x:v>
      </x:c>
      <x:c r="D711" s="7" t="n">
        <x:f>'Inventory inputs'!E711</x:f>
        <x:v>46303</x:v>
      </x:c>
      <x:c r="E711" s="1" t="n">
        <x:f>'Inventory inputs'!F711</x:f>
        <x:v>240</x:v>
      </x:c>
      <x:c r="F711" s="1" t="n">
        <x:f>'Inventory inputs'!G711</x:f>
        <x:v>0</x:v>
      </x:c>
      <x:c r="G711" s="1" t="n">
        <x:f>'Inventory inputs'!H711/'Inventory inputs'!J711</x:f>
        <x:v>0.1477</x:v>
      </x:c>
      <x:c r="H711" s="1" t="n">
        <x:f>IF('Inventory inputs'!I711&gt;0,'Inventory inputs'!I711*'Inventory inputs'!K711/'Inventory inputs'!J711,"n.a.")</x:f>
        <x:v>0.172872</x:v>
      </x:c>
      <x:c r="I711" s="1" t="n">
        <x:f>'Inventory inputs'!L711</x:f>
        <x:v>0</x:v>
      </x:c>
      <x:c r="J711" s="1" t="n">
        <x:f>'Inventory inputs'!M711</x:f>
        <x:v>0</x:v>
      </x:c>
      <x:c r="K711" s="1" t="n">
        <x:f>'Inventory inputs'!N711</x:f>
        <x:v>240</x:v>
      </x:c>
      <x:c r="L711" s="1" t="n">
        <x:f>'Inventory inputs'!O711</x:f>
        <x:v>0</x:v>
      </x:c>
      <x:c r="M711" s="9" t="n">
        <x:f>E711*G711</x:f>
        <x:v>35.448</x:v>
      </x:c>
      <x:c r="N711" s="9" t="n">
        <x:f>'Inventory inputs'!Q711</x:f>
        <x:v>35.448</x:v>
      </x:c>
      <x:c r="O711" s="9" t="n">
        <x:f>N711-M711</x:f>
        <x:v>0</x:v>
      </x:c>
      <x:c r="P711" s="1" t="n">
        <x:f>SUMIFS('Incoming POs'!$P$2:$P$305,'Incoming POs'!$A$2:$A$305,A711,'Incoming POs'!$B$2:$B$305,B711,'Incoming POs'!$C$2:$C$305,C711,'Incoming POs'!$G$2:$G$305,"&gt;="&amp;D711,'Incoming POs'!$G$2:$G$305,"&lt;"&amp;Dashboard!$I$5)</x:f>
        <x:v>0</x:v>
      </x:c>
      <x:c r="Q711" s="1" t="n">
        <x:f>F711*Dashboard!$L$5*MAX(0,Dashboard!$I$5-D711)/30.4375</x:f>
        <x:v>0</x:v>
      </x:c>
      <x:c r="R711" s="1" t="n">
        <x:f>MAX(0,E711+P711-Q711)</x:f>
        <x:v>240</x:v>
      </x:c>
      <x:c r="S711" s="1" t="n">
        <x:f>MAX(0,Q711-E711-P711)</x:f>
        <x:v>0</x:v>
      </x:c>
      <x:c r="T711" s="1" t="str">
        <x:f>IF(L711=1,MAX(0,I711+AB711-MIN(Q711,E711+P711)),"n.a.")</x:f>
        <x:v>n.a.</x:v>
      </x:c>
      <x:c r="U711" s="9" t="str">
        <x:f>IF(ISNUMBER(T711),T711*G711,"n.a.")</x:f>
        <x:v>n.a.</x:v>
      </x:c>
      <x:c r="V711" s="25" t="n">
        <x:f>IF(Dashboard!$I$6="Flat %",1,IF(ISNUMBER(H711),1,0))</x:f>
        <x:v>1</x:v>
      </x:c>
      <x:c r="W711" s="9" t="n">
        <x:f>IF(Dashboard!$I$6="Flat %",G711*(1+Dashboard!$L$6),H711)</x:f>
        <x:v>0.172872</x:v>
      </x:c>
      <x:c r="X711" s="9" t="n">
        <x:f>IF(V711=1,R711*(W711-G711),"n.a.")</x:f>
        <x:v>6.04128</x:v>
      </x:c>
      <x:c r="Y711" s="9" t="n">
        <x:f>IF(V711=1,R711*W711,"n.a.")</x:f>
        <x:v>41.48928</x:v>
      </x:c>
      <x:c r="Z711" s="1" t="str">
        <x:f>IF(ISNUMBER(T711),R711-T711,"n.a.")</x:f>
        <x:v>n.a.</x:v>
      </x:c>
      <x:c r="AA711" s="1" t="str">
        <x:f>'Inventory inputs'!R711</x:f>
        <x:v>Review receipt reconciliation or original PO baseline</x:v>
      </x:c>
      <x:c r="AB711" s="1" t="str">
        <x:f>IF(L711=1,SUMIFS('Incoming POs'!$P$2:$P$305,'Incoming POs'!$A$2:$A$305,A711,'Incoming POs'!$B$2:$B$305,B711,'Incoming POs'!$C$2:$C$305,C711,'Incoming POs'!$G$2:$G$305,"&gt;="&amp;D711,'Incoming POs'!$G$2:$G$305,"&lt;"&amp;Dashboard!$I$5,'Incoming POs'!$Q$2:$Q$305,"&lt;="&amp;('Inventory inputs'!P711/'Inventory inputs'!J711*1.01)),"n.a.")</x:f>
        <x:v>n.a.</x:v>
      </x:c>
      <x:c r="AC711" s="9" t="n">
        <x:f>I711*G711</x:f>
        <x:v>0</x:v>
      </x:c>
      <x:c r="AD711" s="9" t="n">
        <x:f>J711*G711</x:f>
        <x:v>0</x:v>
      </x:c>
      <x:c r="AE711" s="9" t="n">
        <x:f>K711*G711</x:f>
        <x:v>35.448</x:v>
      </x:c>
      <x:c r="AF711" s="9" t="n">
        <x:f>R711*G711</x:f>
        <x:v>35.448</x:v>
      </x:c>
    </x:row>
    <x:row r="712" ht="21" customHeight="1">
      <x:c r="A712" s="1" t="str">
        <x:f>'Inventory inputs'!A712</x:f>
        <x:v>PLAS</x:v>
      </x:c>
      <x:c r="B712" s="1" t="str">
        <x:f>'Inventory inputs'!B712</x:f>
        <x:v>30</x:v>
      </x:c>
      <x:c r="C712" s="1" t="str">
        <x:f>'Inventory inputs'!C712</x:f>
        <x:v>00219RSLMAR</x:v>
      </x:c>
      <x:c r="D712" s="7" t="n">
        <x:f>'Inventory inputs'!E712</x:f>
        <x:v>46303</x:v>
      </x:c>
      <x:c r="E712" s="1" t="n">
        <x:f>'Inventory inputs'!F712</x:f>
        <x:v>160</x:v>
      </x:c>
      <x:c r="F712" s="1" t="n">
        <x:f>'Inventory inputs'!G712</x:f>
        <x:v>0</x:v>
      </x:c>
      <x:c r="G712" s="1" t="n">
        <x:f>'Inventory inputs'!H712/'Inventory inputs'!J712</x:f>
        <x:v>0.1477</x:v>
      </x:c>
      <x:c r="H712" s="1" t="n">
        <x:f>IF('Inventory inputs'!I712&gt;0,'Inventory inputs'!I712*'Inventory inputs'!K712/'Inventory inputs'!J712,"n.a.")</x:f>
        <x:v>0.172872</x:v>
      </x:c>
      <x:c r="I712" s="1" t="n">
        <x:f>'Inventory inputs'!L712</x:f>
        <x:v>0</x:v>
      </x:c>
      <x:c r="J712" s="1" t="n">
        <x:f>'Inventory inputs'!M712</x:f>
        <x:v>0</x:v>
      </x:c>
      <x:c r="K712" s="1" t="n">
        <x:f>'Inventory inputs'!N712</x:f>
        <x:v>160</x:v>
      </x:c>
      <x:c r="L712" s="1" t="n">
        <x:f>'Inventory inputs'!O712</x:f>
        <x:v>0</x:v>
      </x:c>
      <x:c r="M712" s="9" t="n">
        <x:f>E712*G712</x:f>
        <x:v>23.631999999999998</x:v>
      </x:c>
      <x:c r="N712" s="9" t="n">
        <x:f>'Inventory inputs'!Q712</x:f>
        <x:v>23.631999999999998</x:v>
      </x:c>
      <x:c r="O712" s="9" t="n">
        <x:f>N712-M712</x:f>
        <x:v>0</x:v>
      </x:c>
      <x:c r="P712" s="1" t="n">
        <x:f>SUMIFS('Incoming POs'!$P$2:$P$305,'Incoming POs'!$A$2:$A$305,A712,'Incoming POs'!$B$2:$B$305,B712,'Incoming POs'!$C$2:$C$305,C712,'Incoming POs'!$G$2:$G$305,"&gt;="&amp;D712,'Incoming POs'!$G$2:$G$305,"&lt;"&amp;Dashboard!$I$5)</x:f>
        <x:v>0</x:v>
      </x:c>
      <x:c r="Q712" s="1" t="n">
        <x:f>F712*Dashboard!$L$5*MAX(0,Dashboard!$I$5-D712)/30.4375</x:f>
        <x:v>0</x:v>
      </x:c>
      <x:c r="R712" s="1" t="n">
        <x:f>MAX(0,E712+P712-Q712)</x:f>
        <x:v>160</x:v>
      </x:c>
      <x:c r="S712" s="1" t="n">
        <x:f>MAX(0,Q712-E712-P712)</x:f>
        <x:v>0</x:v>
      </x:c>
      <x:c r="T712" s="1" t="str">
        <x:f>IF(L712=1,MAX(0,I712+AB712-MIN(Q712,E712+P712)),"n.a.")</x:f>
        <x:v>n.a.</x:v>
      </x:c>
      <x:c r="U712" s="9" t="str">
        <x:f>IF(ISNUMBER(T712),T712*G712,"n.a.")</x:f>
        <x:v>n.a.</x:v>
      </x:c>
      <x:c r="V712" s="25" t="n">
        <x:f>IF(Dashboard!$I$6="Flat %",1,IF(ISNUMBER(H712),1,0))</x:f>
        <x:v>1</x:v>
      </x:c>
      <x:c r="W712" s="9" t="n">
        <x:f>IF(Dashboard!$I$6="Flat %",G712*(1+Dashboard!$L$6),H712)</x:f>
        <x:v>0.172872</x:v>
      </x:c>
      <x:c r="X712" s="9" t="n">
        <x:f>IF(V712=1,R712*(W712-G712),"n.a.")</x:f>
        <x:v>4.02752</x:v>
      </x:c>
      <x:c r="Y712" s="9" t="n">
        <x:f>IF(V712=1,R712*W712,"n.a.")</x:f>
        <x:v>27.65952</x:v>
      </x:c>
      <x:c r="Z712" s="1" t="str">
        <x:f>IF(ISNUMBER(T712),R712-T712,"n.a.")</x:f>
        <x:v>n.a.</x:v>
      </x:c>
      <x:c r="AA712" s="1" t="str">
        <x:f>'Inventory inputs'!R712</x:f>
        <x:v>Review receipt reconciliation or original PO baseline</x:v>
      </x:c>
      <x:c r="AB712" s="1" t="str">
        <x:f>IF(L712=1,SUMIFS('Incoming POs'!$P$2:$P$305,'Incoming POs'!$A$2:$A$305,A712,'Incoming POs'!$B$2:$B$305,B712,'Incoming POs'!$C$2:$C$305,C712,'Incoming POs'!$G$2:$G$305,"&gt;="&amp;D712,'Incoming POs'!$G$2:$G$305,"&lt;"&amp;Dashboard!$I$5,'Incoming POs'!$Q$2:$Q$305,"&lt;="&amp;('Inventory inputs'!P712/'Inventory inputs'!J712*1.01)),"n.a.")</x:f>
        <x:v>n.a.</x:v>
      </x:c>
      <x:c r="AC712" s="9" t="n">
        <x:f>I712*G712</x:f>
        <x:v>0</x:v>
      </x:c>
      <x:c r="AD712" s="9" t="n">
        <x:f>J712*G712</x:f>
        <x:v>0</x:v>
      </x:c>
      <x:c r="AE712" s="9" t="n">
        <x:f>K712*G712</x:f>
        <x:v>23.631999999999998</x:v>
      </x:c>
      <x:c r="AF712" s="9" t="n">
        <x:f>R712*G712</x:f>
        <x:v>23.631999999999998</x:v>
      </x:c>
    </x:row>
    <x:row r="713" ht="21" customHeight="1">
      <x:c r="A713" s="1" t="str">
        <x:f>'Inventory inputs'!A713</x:f>
        <x:v>PLAS</x:v>
      </x:c>
      <x:c r="B713" s="1" t="str">
        <x:f>'Inventory inputs'!B713</x:f>
        <x:v>30</x:v>
      </x:c>
      <x:c r="C713" s="1" t="str">
        <x:f>'Inventory inputs'!C713</x:f>
        <x:v>01215RWBWHT</x:v>
      </x:c>
      <x:c r="D713" s="7" t="n">
        <x:f>'Inventory inputs'!E713</x:f>
        <x:v>46303</x:v>
      </x:c>
      <x:c r="E713" s="1" t="n">
        <x:f>'Inventory inputs'!F713</x:f>
        <x:v>4000</x:v>
      </x:c>
      <x:c r="F713" s="1" t="n">
        <x:f>'Inventory inputs'!G713</x:f>
        <x:v>0</x:v>
      </x:c>
      <x:c r="G713" s="1" t="n">
        <x:f>'Inventory inputs'!H713/'Inventory inputs'!J713</x:f>
        <x:v>0.025</x:v>
      </x:c>
      <x:c r="H713" s="1" t="n">
        <x:f>IF('Inventory inputs'!I713&gt;0,'Inventory inputs'!I713*'Inventory inputs'!K713/'Inventory inputs'!J713,"n.a.")</x:f>
        <x:v>0.029253</x:v>
      </x:c>
      <x:c r="I713" s="1" t="n">
        <x:f>'Inventory inputs'!L713</x:f>
        <x:v>0</x:v>
      </x:c>
      <x:c r="J713" s="1" t="n">
        <x:f>'Inventory inputs'!M713</x:f>
        <x:v>0</x:v>
      </x:c>
      <x:c r="K713" s="1" t="n">
        <x:f>'Inventory inputs'!N713</x:f>
        <x:v>4000</x:v>
      </x:c>
      <x:c r="L713" s="1" t="n">
        <x:f>'Inventory inputs'!O713</x:f>
        <x:v>0</x:v>
      </x:c>
      <x:c r="M713" s="9" t="n">
        <x:f>E713*G713</x:f>
        <x:v>100</x:v>
      </x:c>
      <x:c r="N713" s="9" t="n">
        <x:f>'Inventory inputs'!Q713</x:f>
        <x:v>100</x:v>
      </x:c>
      <x:c r="O713" s="9" t="n">
        <x:f>N713-M713</x:f>
        <x:v>0</x:v>
      </x:c>
      <x:c r="P713" s="1" t="n">
        <x:f>SUMIFS('Incoming POs'!$P$2:$P$305,'Incoming POs'!$A$2:$A$305,A713,'Incoming POs'!$B$2:$B$305,B713,'Incoming POs'!$C$2:$C$305,C713,'Incoming POs'!$G$2:$G$305,"&gt;="&amp;D713,'Incoming POs'!$G$2:$G$305,"&lt;"&amp;Dashboard!$I$5)</x:f>
        <x:v>0</x:v>
      </x:c>
      <x:c r="Q713" s="1" t="n">
        <x:f>F713*Dashboard!$L$5*MAX(0,Dashboard!$I$5-D713)/30.4375</x:f>
        <x:v>0</x:v>
      </x:c>
      <x:c r="R713" s="1" t="n">
        <x:f>MAX(0,E713+P713-Q713)</x:f>
        <x:v>4000</x:v>
      </x:c>
      <x:c r="S713" s="1" t="n">
        <x:f>MAX(0,Q713-E713-P713)</x:f>
        <x:v>0</x:v>
      </x:c>
      <x:c r="T713" s="1" t="str">
        <x:f>IF(L713=1,MAX(0,I713+AB713-MIN(Q713,E713+P713)),"n.a.")</x:f>
        <x:v>n.a.</x:v>
      </x:c>
      <x:c r="U713" s="9" t="str">
        <x:f>IF(ISNUMBER(T713),T713*G713,"n.a.")</x:f>
        <x:v>n.a.</x:v>
      </x:c>
      <x:c r="V713" s="25" t="n">
        <x:f>IF(Dashboard!$I$6="Flat %",1,IF(ISNUMBER(H713),1,0))</x:f>
        <x:v>1</x:v>
      </x:c>
      <x:c r="W713" s="9" t="n">
        <x:f>IF(Dashboard!$I$6="Flat %",G713*(1+Dashboard!$L$6),H713)</x:f>
        <x:v>0.029253</x:v>
      </x:c>
      <x:c r="X713" s="9" t="n">
        <x:f>IF(V713=1,R713*(W713-G713),"n.a.")</x:f>
        <x:v>17.012</x:v>
      </x:c>
      <x:c r="Y713" s="9" t="n">
        <x:f>IF(V713=1,R713*W713,"n.a.")</x:f>
        <x:v>117.012</x:v>
      </x:c>
      <x:c r="Z713" s="1" t="str">
        <x:f>IF(ISNUMBER(T713),R713-T713,"n.a.")</x:f>
        <x:v>n.a.</x:v>
      </x:c>
      <x:c r="AA713" s="1" t="str">
        <x:f>'Inventory inputs'!R713</x:f>
        <x:v>Review receipt reconciliation or original PO baseline</x:v>
      </x:c>
      <x:c r="AB713" s="1" t="str">
        <x:f>IF(L713=1,SUMIFS('Incoming POs'!$P$2:$P$305,'Incoming POs'!$A$2:$A$305,A713,'Incoming POs'!$B$2:$B$305,B713,'Incoming POs'!$C$2:$C$305,C713,'Incoming POs'!$G$2:$G$305,"&gt;="&amp;D713,'Incoming POs'!$G$2:$G$305,"&lt;"&amp;Dashboard!$I$5,'Incoming POs'!$Q$2:$Q$305,"&lt;="&amp;('Inventory inputs'!P713/'Inventory inputs'!J713*1.01)),"n.a.")</x:f>
        <x:v>n.a.</x:v>
      </x:c>
      <x:c r="AC713" s="9" t="n">
        <x:f>I713*G713</x:f>
        <x:v>0</x:v>
      </x:c>
      <x:c r="AD713" s="9" t="n">
        <x:f>J713*G713</x:f>
        <x:v>0</x:v>
      </x:c>
      <x:c r="AE713" s="9" t="n">
        <x:f>K713*G713</x:f>
        <x:v>100</x:v>
      </x:c>
      <x:c r="AF713" s="9" t="n">
        <x:f>R713*G713</x:f>
        <x:v>100</x:v>
      </x:c>
    </x:row>
    <x:row r="714" ht="21" customHeight="1">
      <x:c r="A714" s="1" t="str">
        <x:f>'Inventory inputs'!A714</x:f>
        <x:v>PLAS</x:v>
      </x:c>
      <x:c r="B714" s="1" t="str">
        <x:f>'Inventory inputs'!B714</x:f>
        <x:v>30</x:v>
      </x:c>
      <x:c r="C714" s="1" t="str">
        <x:f>'Inventory inputs'!C714</x:f>
        <x:v>01219RWBRED</x:v>
      </x:c>
      <x:c r="D714" s="7" t="n">
        <x:f>'Inventory inputs'!E714</x:f>
        <x:v>46303</x:v>
      </x:c>
      <x:c r="E714" s="1" t="n">
        <x:f>'Inventory inputs'!F714</x:f>
        <x:v>900</x:v>
      </x:c>
      <x:c r="F714" s="1" t="n">
        <x:f>'Inventory inputs'!G714</x:f>
        <x:v>0</x:v>
      </x:c>
      <x:c r="G714" s="1" t="n">
        <x:f>'Inventory inputs'!H714/'Inventory inputs'!J714</x:f>
        <x:v>0.036000000000000004</x:v>
      </x:c>
      <x:c r="H714" s="1" t="n">
        <x:f>IF('Inventory inputs'!I714&gt;0,'Inventory inputs'!I714*'Inventory inputs'!K714/'Inventory inputs'!J714,"n.a.")</x:f>
        <x:v>0.042189</x:v>
      </x:c>
      <x:c r="I714" s="1" t="n">
        <x:f>'Inventory inputs'!L714</x:f>
        <x:v>0</x:v>
      </x:c>
      <x:c r="J714" s="1" t="n">
        <x:f>'Inventory inputs'!M714</x:f>
        <x:v>0</x:v>
      </x:c>
      <x:c r="K714" s="1" t="n">
        <x:f>'Inventory inputs'!N714</x:f>
        <x:v>900</x:v>
      </x:c>
      <x:c r="L714" s="1" t="n">
        <x:f>'Inventory inputs'!O714</x:f>
        <x:v>0</x:v>
      </x:c>
      <x:c r="M714" s="9" t="n">
        <x:f>E714*G714</x:f>
        <x:v>32.400000000000006</x:v>
      </x:c>
      <x:c r="N714" s="9" t="n">
        <x:f>'Inventory inputs'!Q714</x:f>
        <x:v>32.4</x:v>
      </x:c>
      <x:c r="O714" s="9" t="n">
        <x:f>N714-M714</x:f>
        <x:v>-7.105427357601002e-15</x:v>
      </x:c>
      <x:c r="P714" s="1" t="n">
        <x:f>SUMIFS('Incoming POs'!$P$2:$P$305,'Incoming POs'!$A$2:$A$305,A714,'Incoming POs'!$B$2:$B$305,B714,'Incoming POs'!$C$2:$C$305,C714,'Incoming POs'!$G$2:$G$305,"&gt;="&amp;D714,'Incoming POs'!$G$2:$G$305,"&lt;"&amp;Dashboard!$I$5)</x:f>
        <x:v>0</x:v>
      </x:c>
      <x:c r="Q714" s="1" t="n">
        <x:f>F714*Dashboard!$L$5*MAX(0,Dashboard!$I$5-D714)/30.4375</x:f>
        <x:v>0</x:v>
      </x:c>
      <x:c r="R714" s="1" t="n">
        <x:f>MAX(0,E714+P714-Q714)</x:f>
        <x:v>900</x:v>
      </x:c>
      <x:c r="S714" s="1" t="n">
        <x:f>MAX(0,Q714-E714-P714)</x:f>
        <x:v>0</x:v>
      </x:c>
      <x:c r="T714" s="1" t="str">
        <x:f>IF(L714=1,MAX(0,I714+AB714-MIN(Q714,E714+P714)),"n.a.")</x:f>
        <x:v>n.a.</x:v>
      </x:c>
      <x:c r="U714" s="9" t="str">
        <x:f>IF(ISNUMBER(T714),T714*G714,"n.a.")</x:f>
        <x:v>n.a.</x:v>
      </x:c>
      <x:c r="V714" s="25" t="n">
        <x:f>IF(Dashboard!$I$6="Flat %",1,IF(ISNUMBER(H714),1,0))</x:f>
        <x:v>1</x:v>
      </x:c>
      <x:c r="W714" s="9" t="n">
        <x:f>IF(Dashboard!$I$6="Flat %",G714*(1+Dashboard!$L$6),H714)</x:f>
        <x:v>0.042189</x:v>
      </x:c>
      <x:c r="X714" s="9" t="n">
        <x:f>IF(V714=1,R714*(W714-G714),"n.a.")</x:f>
        <x:v>5.570099999999994</x:v>
      </x:c>
      <x:c r="Y714" s="9" t="n">
        <x:f>IF(V714=1,R714*W714,"n.a.")</x:f>
        <x:v>37.970099999999995</x:v>
      </x:c>
      <x:c r="Z714" s="1" t="str">
        <x:f>IF(ISNUMBER(T714),R714-T714,"n.a.")</x:f>
        <x:v>n.a.</x:v>
      </x:c>
      <x:c r="AA714" s="1" t="str">
        <x:f>'Inventory inputs'!R714</x:f>
        <x:v>Review receipt reconciliation or original PO baseline</x:v>
      </x:c>
      <x:c r="AB714" s="1" t="str">
        <x:f>IF(L714=1,SUMIFS('Incoming POs'!$P$2:$P$305,'Incoming POs'!$A$2:$A$305,A714,'Incoming POs'!$B$2:$B$305,B714,'Incoming POs'!$C$2:$C$305,C714,'Incoming POs'!$G$2:$G$305,"&gt;="&amp;D714,'Incoming POs'!$G$2:$G$305,"&lt;"&amp;Dashboard!$I$5,'Incoming POs'!$Q$2:$Q$305,"&lt;="&amp;('Inventory inputs'!P714/'Inventory inputs'!J714*1.01)),"n.a.")</x:f>
        <x:v>n.a.</x:v>
      </x:c>
      <x:c r="AC714" s="9" t="n">
        <x:f>I714*G714</x:f>
        <x:v>0</x:v>
      </x:c>
      <x:c r="AD714" s="9" t="n">
        <x:f>J714*G714</x:f>
        <x:v>0</x:v>
      </x:c>
      <x:c r="AE714" s="9" t="n">
        <x:f>K714*G714</x:f>
        <x:v>32.400000000000006</x:v>
      </x:c>
      <x:c r="AF714" s="9" t="n">
        <x:f>R714*G714</x:f>
        <x:v>32.400000000000006</x:v>
      </x:c>
    </x:row>
    <x:row r="715" ht="21" customHeight="1">
      <x:c r="A715" s="1" t="str">
        <x:f>'Inventory inputs'!A715</x:f>
        <x:v>PLAS</x:v>
      </x:c>
      <x:c r="B715" s="1" t="str">
        <x:f>'Inventory inputs'!B715</x:f>
        <x:v>30</x:v>
      </x:c>
      <x:c r="C715" s="1" t="str">
        <x:f>'Inventory inputs'!C715</x:f>
        <x:v>01280RWBBLK</x:v>
      </x:c>
      <x:c r="D715" s="7" t="n">
        <x:f>'Inventory inputs'!E715</x:f>
        <x:v>46303</x:v>
      </x:c>
      <x:c r="E715" s="1" t="n">
        <x:f>'Inventory inputs'!F715</x:f>
        <x:v>0</x:v>
      </x:c>
      <x:c r="F715" s="1" t="n">
        <x:f>'Inventory inputs'!G715</x:f>
        <x:v>0</x:v>
      </x:c>
      <x:c r="G715" s="1" t="n">
        <x:f>'Inventory inputs'!H715/'Inventory inputs'!J715</x:f>
        <x:v>0.1386</x:v>
      </x:c>
      <x:c r="H715" s="1" t="n">
        <x:f>IF('Inventory inputs'!I715&gt;0,'Inventory inputs'!I715*'Inventory inputs'!K715/'Inventory inputs'!J715,"n.a.")</x:f>
        <x:v>0.16214099999999998</x:v>
      </x:c>
      <x:c r="I715" s="1" t="n">
        <x:f>'Inventory inputs'!L715</x:f>
        <x:v>0</x:v>
      </x:c>
      <x:c r="J715" s="1" t="n">
        <x:f>'Inventory inputs'!M715</x:f>
        <x:v>0</x:v>
      </x:c>
      <x:c r="K715" s="1" t="n">
        <x:f>'Inventory inputs'!N715</x:f>
        <x:v>0</x:v>
      </x:c>
      <x:c r="L715" s="1" t="n">
        <x:f>'Inventory inputs'!O715</x:f>
        <x:v>1</x:v>
      </x:c>
      <x:c r="M715" s="9" t="n">
        <x:f>E715*G715</x:f>
        <x:v>0</x:v>
      </x:c>
      <x:c r="N715" s="9" t="n">
        <x:f>'Inventory inputs'!Q715</x:f>
        <x:v>0</x:v>
      </x:c>
      <x:c r="O715" s="9" t="n">
        <x:f>N715-M715</x:f>
        <x:v>0</x:v>
      </x:c>
      <x:c r="P715" s="1" t="n">
        <x:f>SUMIFS('Incoming POs'!$P$2:$P$305,'Incoming POs'!$A$2:$A$305,A715,'Incoming POs'!$B$2:$B$305,B715,'Incoming POs'!$C$2:$C$305,C715,'Incoming POs'!$G$2:$G$305,"&gt;="&amp;D715,'Incoming POs'!$G$2:$G$305,"&lt;"&amp;Dashboard!$I$5)</x:f>
        <x:v>0</x:v>
      </x:c>
      <x:c r="Q715" s="1" t="n">
        <x:f>F715*Dashboard!$L$5*MAX(0,Dashboard!$I$5-D715)/30.4375</x:f>
        <x:v>0</x:v>
      </x:c>
      <x:c r="R715" s="1" t="n">
        <x:f>MAX(0,E715+P715-Q715)</x:f>
        <x:v>0</x:v>
      </x:c>
      <x:c r="S715" s="1" t="n">
        <x:f>MAX(0,Q715-E715-P715)</x:f>
        <x:v>0</x:v>
      </x:c>
      <x:c r="T715" s="1" t="n">
        <x:f>IF(L715=1,MAX(0,I715+AB715-MIN(Q715,E715+P715)),"n.a.")</x:f>
        <x:v>0</x:v>
      </x:c>
      <x:c r="U715" s="9" t="n">
        <x:f>IF(ISNUMBER(T715),T715*G715,"n.a.")</x:f>
        <x:v>0</x:v>
      </x:c>
      <x:c r="V715" s="25" t="n">
        <x:f>IF(Dashboard!$I$6="Flat %",1,IF(ISNUMBER(H715),1,0))</x:f>
        <x:v>1</x:v>
      </x:c>
      <x:c r="W715" s="9" t="n">
        <x:f>IF(Dashboard!$I$6="Flat %",G715*(1+Dashboard!$L$6),H715)</x:f>
        <x:v>0.16214099999999998</x:v>
      </x:c>
      <x:c r="X715" s="9" t="n">
        <x:f>IF(V715=1,R715*(W715-G715),"n.a.")</x:f>
        <x:v>0</x:v>
      </x:c>
      <x:c r="Y715" s="9" t="n">
        <x:f>IF(V715=1,R715*W715,"n.a.")</x:f>
        <x:v>0</x:v>
      </x:c>
      <x:c r="Z715" s="1" t="n">
        <x:f>IF(ISNUMBER(T715),R715-T715,"n.a.")</x:f>
        <x:v>0</x:v>
      </x:c>
      <x:c r="AA715" s="1" t="str">
        <x:f>'Inventory inputs'!R715</x:f>
        <x:v>Classified</x:v>
      </x:c>
      <x:c r="AB715" s="1" t="n">
        <x:f>IF(L715=1,SUMIFS('Incoming POs'!$P$2:$P$305,'Incoming POs'!$A$2:$A$305,A715,'Incoming POs'!$B$2:$B$305,B715,'Incoming POs'!$C$2:$C$305,C715,'Incoming POs'!$G$2:$G$305,"&gt;="&amp;D715,'Incoming POs'!$G$2:$G$305,"&lt;"&amp;Dashboard!$I$5,'Incoming POs'!$Q$2:$Q$305,"&lt;="&amp;('Inventory inputs'!P715/'Inventory inputs'!J715*1.01)),"n.a.")</x:f>
        <x:v>0</x:v>
      </x:c>
      <x:c r="AC715" s="9" t="n">
        <x:f>I715*G715</x:f>
        <x:v>0</x:v>
      </x:c>
      <x:c r="AD715" s="9" t="n">
        <x:f>J715*G715</x:f>
        <x:v>0</x:v>
      </x:c>
      <x:c r="AE715" s="9" t="n">
        <x:f>K715*G715</x:f>
        <x:v>0</x:v>
      </x:c>
      <x:c r="AF715" s="9" t="n">
        <x:f>R715*G715</x:f>
        <x:v>0</x:v>
      </x:c>
    </x:row>
    <x:row r="716" ht="21" customHeight="1">
      <x:c r="A716" s="1" t="str">
        <x:f>'Inventory inputs'!A716</x:f>
        <x:v>PLAS</x:v>
      </x:c>
      <x:c r="B716" s="1" t="str">
        <x:f>'Inventory inputs'!B716</x:f>
        <x:v>30</x:v>
      </x:c>
      <x:c r="C716" s="1" t="str">
        <x:f>'Inventory inputs'!C716</x:f>
        <x:v>01280RWBWHT</x:v>
      </x:c>
      <x:c r="D716" s="7" t="n">
        <x:f>'Inventory inputs'!E716</x:f>
        <x:v>46303</x:v>
      </x:c>
      <x:c r="E716" s="1" t="n">
        <x:f>'Inventory inputs'!F716</x:f>
        <x:v>0</x:v>
      </x:c>
      <x:c r="F716" s="1" t="n">
        <x:f>'Inventory inputs'!G716</x:f>
        <x:v>0</x:v>
      </x:c>
      <x:c r="G716" s="1" t="n">
        <x:f>'Inventory inputs'!H716/'Inventory inputs'!J716</x:f>
        <x:v>0.1386</x:v>
      </x:c>
      <x:c r="H716" s="1" t="n">
        <x:f>IF('Inventory inputs'!I716&gt;0,'Inventory inputs'!I716*'Inventory inputs'!K716/'Inventory inputs'!J716,"n.a.")</x:f>
        <x:v>0.16214099999999998</x:v>
      </x:c>
      <x:c r="I716" s="1" t="n">
        <x:f>'Inventory inputs'!L716</x:f>
        <x:v>0</x:v>
      </x:c>
      <x:c r="J716" s="1" t="n">
        <x:f>'Inventory inputs'!M716</x:f>
        <x:v>0</x:v>
      </x:c>
      <x:c r="K716" s="1" t="n">
        <x:f>'Inventory inputs'!N716</x:f>
        <x:v>0</x:v>
      </x:c>
      <x:c r="L716" s="1" t="n">
        <x:f>'Inventory inputs'!O716</x:f>
        <x:v>1</x:v>
      </x:c>
      <x:c r="M716" s="9" t="n">
        <x:f>E716*G716</x:f>
        <x:v>0</x:v>
      </x:c>
      <x:c r="N716" s="9" t="n">
        <x:f>'Inventory inputs'!Q716</x:f>
        <x:v>0</x:v>
      </x:c>
      <x:c r="O716" s="9" t="n">
        <x:f>N716-M716</x:f>
        <x:v>0</x:v>
      </x:c>
      <x:c r="P716" s="1" t="n">
        <x:f>SUMIFS('Incoming POs'!$P$2:$P$305,'Incoming POs'!$A$2:$A$305,A716,'Incoming POs'!$B$2:$B$305,B716,'Incoming POs'!$C$2:$C$305,C716,'Incoming POs'!$G$2:$G$305,"&gt;="&amp;D716,'Incoming POs'!$G$2:$G$305,"&lt;"&amp;Dashboard!$I$5)</x:f>
        <x:v>0</x:v>
      </x:c>
      <x:c r="Q716" s="1" t="n">
        <x:f>F716*Dashboard!$L$5*MAX(0,Dashboard!$I$5-D716)/30.4375</x:f>
        <x:v>0</x:v>
      </x:c>
      <x:c r="R716" s="1" t="n">
        <x:f>MAX(0,E716+P716-Q716)</x:f>
        <x:v>0</x:v>
      </x:c>
      <x:c r="S716" s="1" t="n">
        <x:f>MAX(0,Q716-E716-P716)</x:f>
        <x:v>0</x:v>
      </x:c>
      <x:c r="T716" s="1" t="n">
        <x:f>IF(L716=1,MAX(0,I716+AB716-MIN(Q716,E716+P716)),"n.a.")</x:f>
        <x:v>0</x:v>
      </x:c>
      <x:c r="U716" s="9" t="n">
        <x:f>IF(ISNUMBER(T716),T716*G716,"n.a.")</x:f>
        <x:v>0</x:v>
      </x:c>
      <x:c r="V716" s="25" t="n">
        <x:f>IF(Dashboard!$I$6="Flat %",1,IF(ISNUMBER(H716),1,0))</x:f>
        <x:v>1</x:v>
      </x:c>
      <x:c r="W716" s="9" t="n">
        <x:f>IF(Dashboard!$I$6="Flat %",G716*(1+Dashboard!$L$6),H716)</x:f>
        <x:v>0.16214099999999998</x:v>
      </x:c>
      <x:c r="X716" s="9" t="n">
        <x:f>IF(V716=1,R716*(W716-G716),"n.a.")</x:f>
        <x:v>0</x:v>
      </x:c>
      <x:c r="Y716" s="9" t="n">
        <x:f>IF(V716=1,R716*W716,"n.a.")</x:f>
        <x:v>0</x:v>
      </x:c>
      <x:c r="Z716" s="1" t="n">
        <x:f>IF(ISNUMBER(T716),R716-T716,"n.a.")</x:f>
        <x:v>0</x:v>
      </x:c>
      <x:c r="AA716" s="1" t="str">
        <x:f>'Inventory inputs'!R716</x:f>
        <x:v>Classified</x:v>
      </x:c>
      <x:c r="AB716" s="1" t="n">
        <x:f>IF(L716=1,SUMIFS('Incoming POs'!$P$2:$P$305,'Incoming POs'!$A$2:$A$305,A716,'Incoming POs'!$B$2:$B$305,B716,'Incoming POs'!$C$2:$C$305,C716,'Incoming POs'!$G$2:$G$305,"&gt;="&amp;D716,'Incoming POs'!$G$2:$G$305,"&lt;"&amp;Dashboard!$I$5,'Incoming POs'!$Q$2:$Q$305,"&lt;="&amp;('Inventory inputs'!P716/'Inventory inputs'!J716*1.01)),"n.a.")</x:f>
        <x:v>0</x:v>
      </x:c>
      <x:c r="AC716" s="9" t="n">
        <x:f>I716*G716</x:f>
        <x:v>0</x:v>
      </x:c>
      <x:c r="AD716" s="9" t="n">
        <x:f>J716*G716</x:f>
        <x:v>0</x:v>
      </x:c>
      <x:c r="AE716" s="9" t="n">
        <x:f>K716*G716</x:f>
        <x:v>0</x:v>
      </x:c>
      <x:c r="AF716" s="9" t="n">
        <x:f>R716*G716</x:f>
        <x:v>0</x:v>
      </x:c>
    </x:row>
    <x:row r="717" ht="21" customHeight="1">
      <x:c r="A717" s="1" t="str">
        <x:f>'Inventory inputs'!A717</x:f>
        <x:v>PLAS</x:v>
      </x:c>
      <x:c r="B717" s="1" t="str">
        <x:f>'Inventory inputs'!B717</x:f>
        <x:v>30</x:v>
      </x:c>
      <x:c r="C717" s="1" t="str">
        <x:f>'Inventory inputs'!C717</x:f>
        <x:v>01415RWBBLK</x:v>
      </x:c>
      <x:c r="D717" s="7" t="n">
        <x:f>'Inventory inputs'!E717</x:f>
        <x:v>46303</x:v>
      </x:c>
      <x:c r="E717" s="1" t="n">
        <x:f>'Inventory inputs'!F717</x:f>
        <x:v>3500</x:v>
      </x:c>
      <x:c r="F717" s="1" t="n">
        <x:f>'Inventory inputs'!G717</x:f>
        <x:v>0</x:v>
      </x:c>
      <x:c r="G717" s="1" t="n">
        <x:f>'Inventory inputs'!H717/'Inventory inputs'!J717</x:f>
        <x:v>0.0116</x:v>
      </x:c>
      <x:c r="H717" s="1" t="n">
        <x:f>IF('Inventory inputs'!I717&gt;0,'Inventory inputs'!I717*'Inventory inputs'!K717/'Inventory inputs'!J717,"n.a.")</x:f>
        <x:v>0.013524000000000001</x:v>
      </x:c>
      <x:c r="I717" s="1" t="n">
        <x:f>'Inventory inputs'!L717</x:f>
        <x:v>0</x:v>
      </x:c>
      <x:c r="J717" s="1" t="n">
        <x:f>'Inventory inputs'!M717</x:f>
        <x:v>0</x:v>
      </x:c>
      <x:c r="K717" s="1" t="n">
        <x:f>'Inventory inputs'!N717</x:f>
        <x:v>3500</x:v>
      </x:c>
      <x:c r="L717" s="1" t="n">
        <x:f>'Inventory inputs'!O717</x:f>
        <x:v>0</x:v>
      </x:c>
      <x:c r="M717" s="9" t="n">
        <x:f>E717*G717</x:f>
        <x:v>40.599999999999994</x:v>
      </x:c>
      <x:c r="N717" s="9" t="n">
        <x:f>'Inventory inputs'!Q717</x:f>
        <x:v>40.599999999999994</x:v>
      </x:c>
      <x:c r="O717" s="9" t="n">
        <x:f>N717-M717</x:f>
        <x:v>0</x:v>
      </x:c>
      <x:c r="P717" s="1" t="n">
        <x:f>SUMIFS('Incoming POs'!$P$2:$P$305,'Incoming POs'!$A$2:$A$305,A717,'Incoming POs'!$B$2:$B$305,B717,'Incoming POs'!$C$2:$C$305,C717,'Incoming POs'!$G$2:$G$305,"&gt;="&amp;D717,'Incoming POs'!$G$2:$G$305,"&lt;"&amp;Dashboard!$I$5)</x:f>
        <x:v>0</x:v>
      </x:c>
      <x:c r="Q717" s="1" t="n">
        <x:f>F717*Dashboard!$L$5*MAX(0,Dashboard!$I$5-D717)/30.4375</x:f>
        <x:v>0</x:v>
      </x:c>
      <x:c r="R717" s="1" t="n">
        <x:f>MAX(0,E717+P717-Q717)</x:f>
        <x:v>3500</x:v>
      </x:c>
      <x:c r="S717" s="1" t="n">
        <x:f>MAX(0,Q717-E717-P717)</x:f>
        <x:v>0</x:v>
      </x:c>
      <x:c r="T717" s="1" t="str">
        <x:f>IF(L717=1,MAX(0,I717+AB717-MIN(Q717,E717+P717)),"n.a.")</x:f>
        <x:v>n.a.</x:v>
      </x:c>
      <x:c r="U717" s="9" t="str">
        <x:f>IF(ISNUMBER(T717),T717*G717,"n.a.")</x:f>
        <x:v>n.a.</x:v>
      </x:c>
      <x:c r="V717" s="25" t="n">
        <x:f>IF(Dashboard!$I$6="Flat %",1,IF(ISNUMBER(H717),1,0))</x:f>
        <x:v>1</x:v>
      </x:c>
      <x:c r="W717" s="9" t="n">
        <x:f>IF(Dashboard!$I$6="Flat %",G717*(1+Dashboard!$L$6),H717)</x:f>
        <x:v>0.013524000000000001</x:v>
      </x:c>
      <x:c r="X717" s="9" t="n">
        <x:f>IF(V717=1,R717*(W717-G717),"n.a.")</x:f>
        <x:v>6.734000000000007</x:v>
      </x:c>
      <x:c r="Y717" s="9" t="n">
        <x:f>IF(V717=1,R717*W717,"n.a.")</x:f>
        <x:v>47.334</x:v>
      </x:c>
      <x:c r="Z717" s="1" t="str">
        <x:f>IF(ISNUMBER(T717),R717-T717,"n.a.")</x:f>
        <x:v>n.a.</x:v>
      </x:c>
      <x:c r="AA717" s="1" t="str">
        <x:f>'Inventory inputs'!R717</x:f>
        <x:v>Review receipt reconciliation or original PO baseline</x:v>
      </x:c>
      <x:c r="AB717" s="1" t="str">
        <x:f>IF(L717=1,SUMIFS('Incoming POs'!$P$2:$P$305,'Incoming POs'!$A$2:$A$305,A717,'Incoming POs'!$B$2:$B$305,B717,'Incoming POs'!$C$2:$C$305,C717,'Incoming POs'!$G$2:$G$305,"&gt;="&amp;D717,'Incoming POs'!$G$2:$G$305,"&lt;"&amp;Dashboard!$I$5,'Incoming POs'!$Q$2:$Q$305,"&lt;="&amp;('Inventory inputs'!P717/'Inventory inputs'!J717*1.01)),"n.a.")</x:f>
        <x:v>n.a.</x:v>
      </x:c>
      <x:c r="AC717" s="9" t="n">
        <x:f>I717*G717</x:f>
        <x:v>0</x:v>
      </x:c>
      <x:c r="AD717" s="9" t="n">
        <x:f>J717*G717</x:f>
        <x:v>0</x:v>
      </x:c>
      <x:c r="AE717" s="9" t="n">
        <x:f>K717*G717</x:f>
        <x:v>40.599999999999994</x:v>
      </x:c>
      <x:c r="AF717" s="9" t="n">
        <x:f>R717*G717</x:f>
        <x:v>40.599999999999994</x:v>
      </x:c>
    </x:row>
    <x:row r="718" ht="21" customHeight="1">
      <x:c r="A718" s="1" t="str">
        <x:f>'Inventory inputs'!A718</x:f>
        <x:v>PLAS</x:v>
      </x:c>
      <x:c r="B718" s="1" t="str">
        <x:f>'Inventory inputs'!B718</x:f>
        <x:v>30</x:v>
      </x:c>
      <x:c r="C718" s="1" t="str">
        <x:f>'Inventory inputs'!C718</x:f>
        <x:v>01415RWBWHT</x:v>
      </x:c>
      <x:c r="D718" s="7" t="n">
        <x:f>'Inventory inputs'!E718</x:f>
        <x:v>46303</x:v>
      </x:c>
      <x:c r="E718" s="1" t="n">
        <x:f>'Inventory inputs'!F718</x:f>
        <x:v>0</x:v>
      </x:c>
      <x:c r="F718" s="1" t="n">
        <x:f>'Inventory inputs'!G718</x:f>
        <x:v>0</x:v>
      </x:c>
      <x:c r="G718" s="1" t="n">
        <x:f>'Inventory inputs'!H718/'Inventory inputs'!J718</x:f>
        <x:v>0.0116</x:v>
      </x:c>
      <x:c r="H718" s="1" t="n">
        <x:f>IF('Inventory inputs'!I718&gt;0,'Inventory inputs'!I718*'Inventory inputs'!K718/'Inventory inputs'!J718,"n.a.")</x:f>
        <x:v>0.013524000000000001</x:v>
      </x:c>
      <x:c r="I718" s="1" t="n">
        <x:f>'Inventory inputs'!L718</x:f>
        <x:v>0</x:v>
      </x:c>
      <x:c r="J718" s="1" t="n">
        <x:f>'Inventory inputs'!M718</x:f>
        <x:v>0</x:v>
      </x:c>
      <x:c r="K718" s="1" t="n">
        <x:f>'Inventory inputs'!N718</x:f>
        <x:v>0</x:v>
      </x:c>
      <x:c r="L718" s="1" t="n">
        <x:f>'Inventory inputs'!O718</x:f>
        <x:v>1</x:v>
      </x:c>
      <x:c r="M718" s="9" t="n">
        <x:f>E718*G718</x:f>
        <x:v>0</x:v>
      </x:c>
      <x:c r="N718" s="9" t="n">
        <x:f>'Inventory inputs'!Q718</x:f>
        <x:v>0</x:v>
      </x:c>
      <x:c r="O718" s="9" t="n">
        <x:f>N718-M718</x:f>
        <x:v>0</x:v>
      </x:c>
      <x:c r="P718" s="1" t="n">
        <x:f>SUMIFS('Incoming POs'!$P$2:$P$305,'Incoming POs'!$A$2:$A$305,A718,'Incoming POs'!$B$2:$B$305,B718,'Incoming POs'!$C$2:$C$305,C718,'Incoming POs'!$G$2:$G$305,"&gt;="&amp;D718,'Incoming POs'!$G$2:$G$305,"&lt;"&amp;Dashboard!$I$5)</x:f>
        <x:v>0</x:v>
      </x:c>
      <x:c r="Q718" s="1" t="n">
        <x:f>F718*Dashboard!$L$5*MAX(0,Dashboard!$I$5-D718)/30.4375</x:f>
        <x:v>0</x:v>
      </x:c>
      <x:c r="R718" s="1" t="n">
        <x:f>MAX(0,E718+P718-Q718)</x:f>
        <x:v>0</x:v>
      </x:c>
      <x:c r="S718" s="1" t="n">
        <x:f>MAX(0,Q718-E718-P718)</x:f>
        <x:v>0</x:v>
      </x:c>
      <x:c r="T718" s="1" t="n">
        <x:f>IF(L718=1,MAX(0,I718+AB718-MIN(Q718,E718+P718)),"n.a.")</x:f>
        <x:v>0</x:v>
      </x:c>
      <x:c r="U718" s="9" t="n">
        <x:f>IF(ISNUMBER(T718),T718*G718,"n.a.")</x:f>
        <x:v>0</x:v>
      </x:c>
      <x:c r="V718" s="25" t="n">
        <x:f>IF(Dashboard!$I$6="Flat %",1,IF(ISNUMBER(H718),1,0))</x:f>
        <x:v>1</x:v>
      </x:c>
      <x:c r="W718" s="9" t="n">
        <x:f>IF(Dashboard!$I$6="Flat %",G718*(1+Dashboard!$L$6),H718)</x:f>
        <x:v>0.013524000000000001</x:v>
      </x:c>
      <x:c r="X718" s="9" t="n">
        <x:f>IF(V718=1,R718*(W718-G718),"n.a.")</x:f>
        <x:v>0</x:v>
      </x:c>
      <x:c r="Y718" s="9" t="n">
        <x:f>IF(V718=1,R718*W718,"n.a.")</x:f>
        <x:v>0</x:v>
      </x:c>
      <x:c r="Z718" s="1" t="n">
        <x:f>IF(ISNUMBER(T718),R718-T718,"n.a.")</x:f>
        <x:v>0</x:v>
      </x:c>
      <x:c r="AA718" s="1" t="str">
        <x:f>'Inventory inputs'!R718</x:f>
        <x:v>Classified</x:v>
      </x:c>
      <x:c r="AB718" s="1" t="n">
        <x:f>IF(L718=1,SUMIFS('Incoming POs'!$P$2:$P$305,'Incoming POs'!$A$2:$A$305,A718,'Incoming POs'!$B$2:$B$305,B718,'Incoming POs'!$C$2:$C$305,C718,'Incoming POs'!$G$2:$G$305,"&gt;="&amp;D718,'Incoming POs'!$G$2:$G$305,"&lt;"&amp;Dashboard!$I$5,'Incoming POs'!$Q$2:$Q$305,"&lt;="&amp;('Inventory inputs'!P718/'Inventory inputs'!J718*1.01)),"n.a.")</x:f>
        <x:v>0</x:v>
      </x:c>
      <x:c r="AC718" s="9" t="n">
        <x:f>I718*G718</x:f>
        <x:v>0</x:v>
      </x:c>
      <x:c r="AD718" s="9" t="n">
        <x:f>J718*G718</x:f>
        <x:v>0</x:v>
      </x:c>
      <x:c r="AE718" s="9" t="n">
        <x:f>K718*G718</x:f>
        <x:v>0</x:v>
      </x:c>
      <x:c r="AF718" s="9" t="n">
        <x:f>R718*G718</x:f>
        <x:v>0</x:v>
      </x:c>
    </x:row>
    <x:row r="719" ht="21" customHeight="1">
      <x:c r="A719" s="1" t="str">
        <x:f>'Inventory inputs'!A719</x:f>
        <x:v>PLAS</x:v>
      </x:c>
      <x:c r="B719" s="1" t="str">
        <x:f>'Inventory inputs'!B719</x:f>
        <x:v>30</x:v>
      </x:c>
      <x:c r="C719" s="1" t="str">
        <x:f>'Inventory inputs'!C719</x:f>
        <x:v>01419RWBBLU</x:v>
      </x:c>
      <x:c r="D719" s="7" t="n">
        <x:f>'Inventory inputs'!E719</x:f>
        <x:v>46303</x:v>
      </x:c>
      <x:c r="E719" s="1" t="n">
        <x:f>'Inventory inputs'!F719</x:f>
        <x:v>100</x:v>
      </x:c>
      <x:c r="F719" s="1" t="n">
        <x:f>'Inventory inputs'!G719</x:f>
        <x:v>0</x:v>
      </x:c>
      <x:c r="G719" s="1" t="n">
        <x:f>'Inventory inputs'!H719/'Inventory inputs'!J719</x:f>
        <x:v>0.0181</x:v>
      </x:c>
      <x:c r="H719" s="1" t="n">
        <x:f>IF('Inventory inputs'!I719&gt;0,'Inventory inputs'!I719*'Inventory inputs'!K719/'Inventory inputs'!J719,"n.a.")</x:f>
        <x:v>0.021168</x:v>
      </x:c>
      <x:c r="I719" s="1" t="n">
        <x:f>'Inventory inputs'!L719</x:f>
        <x:v>0</x:v>
      </x:c>
      <x:c r="J719" s="1" t="n">
        <x:f>'Inventory inputs'!M719</x:f>
        <x:v>0</x:v>
      </x:c>
      <x:c r="K719" s="1" t="n">
        <x:f>'Inventory inputs'!N719</x:f>
        <x:v>100</x:v>
      </x:c>
      <x:c r="L719" s="1" t="n">
        <x:f>'Inventory inputs'!O719</x:f>
        <x:v>0</x:v>
      </x:c>
      <x:c r="M719" s="9" t="n">
        <x:f>E719*G719</x:f>
        <x:v>1.81</x:v>
      </x:c>
      <x:c r="N719" s="9" t="n">
        <x:f>'Inventory inputs'!Q719</x:f>
        <x:v>1.81</x:v>
      </x:c>
      <x:c r="O719" s="9" t="n">
        <x:f>N719-M719</x:f>
        <x:v>0</x:v>
      </x:c>
      <x:c r="P719" s="1" t="n">
        <x:f>SUMIFS('Incoming POs'!$P$2:$P$305,'Incoming POs'!$A$2:$A$305,A719,'Incoming POs'!$B$2:$B$305,B719,'Incoming POs'!$C$2:$C$305,C719,'Incoming POs'!$G$2:$G$305,"&gt;="&amp;D719,'Incoming POs'!$G$2:$G$305,"&lt;"&amp;Dashboard!$I$5)</x:f>
        <x:v>0</x:v>
      </x:c>
      <x:c r="Q719" s="1" t="n">
        <x:f>F719*Dashboard!$L$5*MAX(0,Dashboard!$I$5-D719)/30.4375</x:f>
        <x:v>0</x:v>
      </x:c>
      <x:c r="R719" s="1" t="n">
        <x:f>MAX(0,E719+P719-Q719)</x:f>
        <x:v>100</x:v>
      </x:c>
      <x:c r="S719" s="1" t="n">
        <x:f>MAX(0,Q719-E719-P719)</x:f>
        <x:v>0</x:v>
      </x:c>
      <x:c r="T719" s="1" t="str">
        <x:f>IF(L719=1,MAX(0,I719+AB719-MIN(Q719,E719+P719)),"n.a.")</x:f>
        <x:v>n.a.</x:v>
      </x:c>
      <x:c r="U719" s="9" t="str">
        <x:f>IF(ISNUMBER(T719),T719*G719,"n.a.")</x:f>
        <x:v>n.a.</x:v>
      </x:c>
      <x:c r="V719" s="25" t="n">
        <x:f>IF(Dashboard!$I$6="Flat %",1,IF(ISNUMBER(H719),1,0))</x:f>
        <x:v>1</x:v>
      </x:c>
      <x:c r="W719" s="9" t="n">
        <x:f>IF(Dashboard!$I$6="Flat %",G719*(1+Dashboard!$L$6),H719)</x:f>
        <x:v>0.021168</x:v>
      </x:c>
      <x:c r="X719" s="9" t="n">
        <x:f>IF(V719=1,R719*(W719-G719),"n.a.")</x:f>
        <x:v>0.3067999999999998</x:v>
      </x:c>
      <x:c r="Y719" s="9" t="n">
        <x:f>IF(V719=1,R719*W719,"n.a.")</x:f>
        <x:v>2.1168</x:v>
      </x:c>
      <x:c r="Z719" s="1" t="str">
        <x:f>IF(ISNUMBER(T719),R719-T719,"n.a.")</x:f>
        <x:v>n.a.</x:v>
      </x:c>
      <x:c r="AA719" s="1" t="str">
        <x:f>'Inventory inputs'!R719</x:f>
        <x:v>Review receipt reconciliation or original PO baseline</x:v>
      </x:c>
      <x:c r="AB719" s="1" t="str">
        <x:f>IF(L719=1,SUMIFS('Incoming POs'!$P$2:$P$305,'Incoming POs'!$A$2:$A$305,A719,'Incoming POs'!$B$2:$B$305,B719,'Incoming POs'!$C$2:$C$305,C719,'Incoming POs'!$G$2:$G$305,"&gt;="&amp;D719,'Incoming POs'!$G$2:$G$305,"&lt;"&amp;Dashboard!$I$5,'Incoming POs'!$Q$2:$Q$305,"&lt;="&amp;('Inventory inputs'!P719/'Inventory inputs'!J719*1.01)),"n.a.")</x:f>
        <x:v>n.a.</x:v>
      </x:c>
      <x:c r="AC719" s="9" t="n">
        <x:f>I719*G719</x:f>
        <x:v>0</x:v>
      </x:c>
      <x:c r="AD719" s="9" t="n">
        <x:f>J719*G719</x:f>
        <x:v>0</x:v>
      </x:c>
      <x:c r="AE719" s="9" t="n">
        <x:f>K719*G719</x:f>
        <x:v>1.81</x:v>
      </x:c>
      <x:c r="AF719" s="9" t="n">
        <x:f>R719*G719</x:f>
        <x:v>1.81</x:v>
      </x:c>
    </x:row>
    <x:row r="720" ht="21" customHeight="1">
      <x:c r="A720" s="1" t="str">
        <x:f>'Inventory inputs'!A720</x:f>
        <x:v>PLAS</x:v>
      </x:c>
      <x:c r="B720" s="1" t="str">
        <x:f>'Inventory inputs'!B720</x:f>
        <x:v>30</x:v>
      </x:c>
      <x:c r="C720" s="1" t="str">
        <x:f>'Inventory inputs'!C720</x:f>
        <x:v>01419RWBMAR</x:v>
      </x:c>
      <x:c r="D720" s="7" t="n">
        <x:f>'Inventory inputs'!E720</x:f>
        <x:v>46303</x:v>
      </x:c>
      <x:c r="E720" s="1" t="n">
        <x:f>'Inventory inputs'!F720</x:f>
        <x:v>2000</x:v>
      </x:c>
      <x:c r="F720" s="1" t="n">
        <x:f>'Inventory inputs'!G720</x:f>
        <x:v>0</x:v>
      </x:c>
      <x:c r="G720" s="1" t="n">
        <x:f>'Inventory inputs'!H720/'Inventory inputs'!J720</x:f>
        <x:v>0.0181</x:v>
      </x:c>
      <x:c r="H720" s="1" t="n">
        <x:f>IF('Inventory inputs'!I720&gt;0,'Inventory inputs'!I720*'Inventory inputs'!K720/'Inventory inputs'!J720,"n.a.")</x:f>
        <x:v>0.021168</x:v>
      </x:c>
      <x:c r="I720" s="1" t="n">
        <x:f>'Inventory inputs'!L720</x:f>
        <x:v>0</x:v>
      </x:c>
      <x:c r="J720" s="1" t="n">
        <x:f>'Inventory inputs'!M720</x:f>
        <x:v>0</x:v>
      </x:c>
      <x:c r="K720" s="1" t="n">
        <x:f>'Inventory inputs'!N720</x:f>
        <x:v>2000</x:v>
      </x:c>
      <x:c r="L720" s="1" t="n">
        <x:f>'Inventory inputs'!O720</x:f>
        <x:v>0</x:v>
      </x:c>
      <x:c r="M720" s="9" t="n">
        <x:f>E720*G720</x:f>
        <x:v>36.2</x:v>
      </x:c>
      <x:c r="N720" s="9" t="n">
        <x:f>'Inventory inputs'!Q720</x:f>
        <x:v>36.2</x:v>
      </x:c>
      <x:c r="O720" s="9" t="n">
        <x:f>N720-M720</x:f>
        <x:v>0</x:v>
      </x:c>
      <x:c r="P720" s="1" t="n">
        <x:f>SUMIFS('Incoming POs'!$P$2:$P$305,'Incoming POs'!$A$2:$A$305,A720,'Incoming POs'!$B$2:$B$305,B720,'Incoming POs'!$C$2:$C$305,C720,'Incoming POs'!$G$2:$G$305,"&gt;="&amp;D720,'Incoming POs'!$G$2:$G$305,"&lt;"&amp;Dashboard!$I$5)</x:f>
        <x:v>0</x:v>
      </x:c>
      <x:c r="Q720" s="1" t="n">
        <x:f>F720*Dashboard!$L$5*MAX(0,Dashboard!$I$5-D720)/30.4375</x:f>
        <x:v>0</x:v>
      </x:c>
      <x:c r="R720" s="1" t="n">
        <x:f>MAX(0,E720+P720-Q720)</x:f>
        <x:v>2000</x:v>
      </x:c>
      <x:c r="S720" s="1" t="n">
        <x:f>MAX(0,Q720-E720-P720)</x:f>
        <x:v>0</x:v>
      </x:c>
      <x:c r="T720" s="1" t="str">
        <x:f>IF(L720=1,MAX(0,I720+AB720-MIN(Q720,E720+P720)),"n.a.")</x:f>
        <x:v>n.a.</x:v>
      </x:c>
      <x:c r="U720" s="9" t="str">
        <x:f>IF(ISNUMBER(T720),T720*G720,"n.a.")</x:f>
        <x:v>n.a.</x:v>
      </x:c>
      <x:c r="V720" s="25" t="n">
        <x:f>IF(Dashboard!$I$6="Flat %",1,IF(ISNUMBER(H720),1,0))</x:f>
        <x:v>1</x:v>
      </x:c>
      <x:c r="W720" s="9" t="n">
        <x:f>IF(Dashboard!$I$6="Flat %",G720*(1+Dashboard!$L$6),H720)</x:f>
        <x:v>0.021168</x:v>
      </x:c>
      <x:c r="X720" s="9" t="n">
        <x:f>IF(V720=1,R720*(W720-G720),"n.a.")</x:f>
        <x:v>6.135999999999996</x:v>
      </x:c>
      <x:c r="Y720" s="9" t="n">
        <x:f>IF(V720=1,R720*W720,"n.a.")</x:f>
        <x:v>42.336</x:v>
      </x:c>
      <x:c r="Z720" s="1" t="str">
        <x:f>IF(ISNUMBER(T720),R720-T720,"n.a.")</x:f>
        <x:v>n.a.</x:v>
      </x:c>
      <x:c r="AA720" s="1" t="str">
        <x:f>'Inventory inputs'!R720</x:f>
        <x:v>Review receipt reconciliation or original PO baseline</x:v>
      </x:c>
      <x:c r="AB720" s="1" t="str">
        <x:f>IF(L720=1,SUMIFS('Incoming POs'!$P$2:$P$305,'Incoming POs'!$A$2:$A$305,A720,'Incoming POs'!$B$2:$B$305,B720,'Incoming POs'!$C$2:$C$305,C720,'Incoming POs'!$G$2:$G$305,"&gt;="&amp;D720,'Incoming POs'!$G$2:$G$305,"&lt;"&amp;Dashboard!$I$5,'Incoming POs'!$Q$2:$Q$305,"&lt;="&amp;('Inventory inputs'!P720/'Inventory inputs'!J720*1.01)),"n.a.")</x:f>
        <x:v>n.a.</x:v>
      </x:c>
      <x:c r="AC720" s="9" t="n">
        <x:f>I720*G720</x:f>
        <x:v>0</x:v>
      </x:c>
      <x:c r="AD720" s="9" t="n">
        <x:f>J720*G720</x:f>
        <x:v>0</x:v>
      </x:c>
      <x:c r="AE720" s="9" t="n">
        <x:f>K720*G720</x:f>
        <x:v>36.2</x:v>
      </x:c>
      <x:c r="AF720" s="9" t="n">
        <x:f>R720*G720</x:f>
        <x:v>36.2</x:v>
      </x:c>
    </x:row>
    <x:row r="721" ht="21" customHeight="1">
      <x:c r="A721" s="1" t="str">
        <x:f>'Inventory inputs'!A721</x:f>
        <x:v>PLAS</x:v>
      </x:c>
      <x:c r="B721" s="1" t="str">
        <x:f>'Inventory inputs'!B721</x:f>
        <x:v>30</x:v>
      </x:c>
      <x:c r="C721" s="1" t="str">
        <x:f>'Inventory inputs'!C721</x:f>
        <x:v>01419RWBRED</x:v>
      </x:c>
      <x:c r="D721" s="7" t="n">
        <x:f>'Inventory inputs'!E721</x:f>
        <x:v>46303</x:v>
      </x:c>
      <x:c r="E721" s="1" t="n">
        <x:f>'Inventory inputs'!F721</x:f>
        <x:v>1500</x:v>
      </x:c>
      <x:c r="F721" s="1" t="n">
        <x:f>'Inventory inputs'!G721</x:f>
        <x:v>0</x:v>
      </x:c>
      <x:c r="G721" s="1" t="n">
        <x:f>'Inventory inputs'!H721/'Inventory inputs'!J721</x:f>
        <x:v>0.0181</x:v>
      </x:c>
      <x:c r="H721" s="1" t="n">
        <x:f>IF('Inventory inputs'!I721&gt;0,'Inventory inputs'!I721*'Inventory inputs'!K721/'Inventory inputs'!J721,"n.a.")</x:f>
        <x:v>0.021168</x:v>
      </x:c>
      <x:c r="I721" s="1" t="n">
        <x:f>'Inventory inputs'!L721</x:f>
        <x:v>0</x:v>
      </x:c>
      <x:c r="J721" s="1" t="n">
        <x:f>'Inventory inputs'!M721</x:f>
        <x:v>0</x:v>
      </x:c>
      <x:c r="K721" s="1" t="n">
        <x:f>'Inventory inputs'!N721</x:f>
        <x:v>1500</x:v>
      </x:c>
      <x:c r="L721" s="1" t="n">
        <x:f>'Inventory inputs'!O721</x:f>
        <x:v>0</x:v>
      </x:c>
      <x:c r="M721" s="9" t="n">
        <x:f>E721*G721</x:f>
        <x:v>27.150000000000002</x:v>
      </x:c>
      <x:c r="N721" s="9" t="n">
        <x:f>'Inventory inputs'!Q721</x:f>
        <x:v>27.150000000000002</x:v>
      </x:c>
      <x:c r="O721" s="9" t="n">
        <x:f>N721-M721</x:f>
        <x:v>0</x:v>
      </x:c>
      <x:c r="P721" s="1" t="n">
        <x:f>SUMIFS('Incoming POs'!$P$2:$P$305,'Incoming POs'!$A$2:$A$305,A721,'Incoming POs'!$B$2:$B$305,B721,'Incoming POs'!$C$2:$C$305,C721,'Incoming POs'!$G$2:$G$305,"&gt;="&amp;D721,'Incoming POs'!$G$2:$G$305,"&lt;"&amp;Dashboard!$I$5)</x:f>
        <x:v>0</x:v>
      </x:c>
      <x:c r="Q721" s="1" t="n">
        <x:f>F721*Dashboard!$L$5*MAX(0,Dashboard!$I$5-D721)/30.4375</x:f>
        <x:v>0</x:v>
      </x:c>
      <x:c r="R721" s="1" t="n">
        <x:f>MAX(0,E721+P721-Q721)</x:f>
        <x:v>1500</x:v>
      </x:c>
      <x:c r="S721" s="1" t="n">
        <x:f>MAX(0,Q721-E721-P721)</x:f>
        <x:v>0</x:v>
      </x:c>
      <x:c r="T721" s="1" t="str">
        <x:f>IF(L721=1,MAX(0,I721+AB721-MIN(Q721,E721+P721)),"n.a.")</x:f>
        <x:v>n.a.</x:v>
      </x:c>
      <x:c r="U721" s="9" t="str">
        <x:f>IF(ISNUMBER(T721),T721*G721,"n.a.")</x:f>
        <x:v>n.a.</x:v>
      </x:c>
      <x:c r="V721" s="25" t="n">
        <x:f>IF(Dashboard!$I$6="Flat %",1,IF(ISNUMBER(H721),1,0))</x:f>
        <x:v>1</x:v>
      </x:c>
      <x:c r="W721" s="9" t="n">
        <x:f>IF(Dashboard!$I$6="Flat %",G721*(1+Dashboard!$L$6),H721)</x:f>
        <x:v>0.021168</x:v>
      </x:c>
      <x:c r="X721" s="9" t="n">
        <x:f>IF(V721=1,R721*(W721-G721),"n.a.")</x:f>
        <x:v>4.601999999999997</x:v>
      </x:c>
      <x:c r="Y721" s="9" t="n">
        <x:f>IF(V721=1,R721*W721,"n.a.")</x:f>
        <x:v>31.752</x:v>
      </x:c>
      <x:c r="Z721" s="1" t="str">
        <x:f>IF(ISNUMBER(T721),R721-T721,"n.a.")</x:f>
        <x:v>n.a.</x:v>
      </x:c>
      <x:c r="AA721" s="1" t="str">
        <x:f>'Inventory inputs'!R721</x:f>
        <x:v>Review receipt reconciliation or original PO baseline</x:v>
      </x:c>
      <x:c r="AB721" s="1" t="str">
        <x:f>IF(L721=1,SUMIFS('Incoming POs'!$P$2:$P$305,'Incoming POs'!$A$2:$A$305,A721,'Incoming POs'!$B$2:$B$305,B721,'Incoming POs'!$C$2:$C$305,C721,'Incoming POs'!$G$2:$G$305,"&gt;="&amp;D721,'Incoming POs'!$G$2:$G$305,"&lt;"&amp;Dashboard!$I$5,'Incoming POs'!$Q$2:$Q$305,"&lt;="&amp;('Inventory inputs'!P721/'Inventory inputs'!J721*1.01)),"n.a.")</x:f>
        <x:v>n.a.</x:v>
      </x:c>
      <x:c r="AC721" s="9" t="n">
        <x:f>I721*G721</x:f>
        <x:v>0</x:v>
      </x:c>
      <x:c r="AD721" s="9" t="n">
        <x:f>J721*G721</x:f>
        <x:v>0</x:v>
      </x:c>
      <x:c r="AE721" s="9" t="n">
        <x:f>K721*G721</x:f>
        <x:v>27.150000000000002</x:v>
      </x:c>
      <x:c r="AF721" s="9" t="n">
        <x:f>R721*G721</x:f>
        <x:v>27.150000000000002</x:v>
      </x:c>
    </x:row>
    <x:row r="722" ht="21" customHeight="1">
      <x:c r="A722" s="1" t="str">
        <x:f>'Inventory inputs'!A722</x:f>
        <x:v>PLAS</x:v>
      </x:c>
      <x:c r="B722" s="1" t="str">
        <x:f>'Inventory inputs'!B722</x:f>
        <x:v>30</x:v>
      </x:c>
      <x:c r="C722" s="1" t="str">
        <x:f>'Inventory inputs'!C722</x:f>
        <x:v>01480RWBBLK</x:v>
      </x:c>
      <x:c r="D722" s="7" t="n">
        <x:f>'Inventory inputs'!E722</x:f>
        <x:v>46303</x:v>
      </x:c>
      <x:c r="E722" s="1" t="n">
        <x:f>'Inventory inputs'!F722</x:f>
        <x:v>0</x:v>
      </x:c>
      <x:c r="F722" s="1" t="n">
        <x:f>'Inventory inputs'!G722</x:f>
        <x:v>0</x:v>
      </x:c>
      <x:c r="G722" s="1" t="n">
        <x:f>'Inventory inputs'!H722/'Inventory inputs'!J722</x:f>
        <x:v>0.0629</x:v>
      </x:c>
      <x:c r="H722" s="1" t="n">
        <x:f>IF('Inventory inputs'!I722&gt;0,'Inventory inputs'!I722*'Inventory inputs'!K722/'Inventory inputs'!J722,"n.a.")</x:f>
        <x:v>0.07364699999999999</x:v>
      </x:c>
      <x:c r="I722" s="1" t="n">
        <x:f>'Inventory inputs'!L722</x:f>
        <x:v>0</x:v>
      </x:c>
      <x:c r="J722" s="1" t="n">
        <x:f>'Inventory inputs'!M722</x:f>
        <x:v>0</x:v>
      </x:c>
      <x:c r="K722" s="1" t="n">
        <x:f>'Inventory inputs'!N722</x:f>
        <x:v>0</x:v>
      </x:c>
      <x:c r="L722" s="1" t="n">
        <x:f>'Inventory inputs'!O722</x:f>
        <x:v>1</x:v>
      </x:c>
      <x:c r="M722" s="9" t="n">
        <x:f>E722*G722</x:f>
        <x:v>0</x:v>
      </x:c>
      <x:c r="N722" s="9" t="n">
        <x:f>'Inventory inputs'!Q722</x:f>
        <x:v>0</x:v>
      </x:c>
      <x:c r="O722" s="9" t="n">
        <x:f>N722-M722</x:f>
        <x:v>0</x:v>
      </x:c>
      <x:c r="P722" s="1" t="n">
        <x:f>SUMIFS('Incoming POs'!$P$2:$P$305,'Incoming POs'!$A$2:$A$305,A722,'Incoming POs'!$B$2:$B$305,B722,'Incoming POs'!$C$2:$C$305,C722,'Incoming POs'!$G$2:$G$305,"&gt;="&amp;D722,'Incoming POs'!$G$2:$G$305,"&lt;"&amp;Dashboard!$I$5)</x:f>
        <x:v>0</x:v>
      </x:c>
      <x:c r="Q722" s="1" t="n">
        <x:f>F722*Dashboard!$L$5*MAX(0,Dashboard!$I$5-D722)/30.4375</x:f>
        <x:v>0</x:v>
      </x:c>
      <x:c r="R722" s="1" t="n">
        <x:f>MAX(0,E722+P722-Q722)</x:f>
        <x:v>0</x:v>
      </x:c>
      <x:c r="S722" s="1" t="n">
        <x:f>MAX(0,Q722-E722-P722)</x:f>
        <x:v>0</x:v>
      </x:c>
      <x:c r="T722" s="1" t="n">
        <x:f>IF(L722=1,MAX(0,I722+AB722-MIN(Q722,E722+P722)),"n.a.")</x:f>
        <x:v>0</x:v>
      </x:c>
      <x:c r="U722" s="9" t="n">
        <x:f>IF(ISNUMBER(T722),T722*G722,"n.a.")</x:f>
        <x:v>0</x:v>
      </x:c>
      <x:c r="V722" s="25" t="n">
        <x:f>IF(Dashboard!$I$6="Flat %",1,IF(ISNUMBER(H722),1,0))</x:f>
        <x:v>1</x:v>
      </x:c>
      <x:c r="W722" s="9" t="n">
        <x:f>IF(Dashboard!$I$6="Flat %",G722*(1+Dashboard!$L$6),H722)</x:f>
        <x:v>0.07364699999999999</x:v>
      </x:c>
      <x:c r="X722" s="9" t="n">
        <x:f>IF(V722=1,R722*(W722-G722),"n.a.")</x:f>
        <x:v>0</x:v>
      </x:c>
      <x:c r="Y722" s="9" t="n">
        <x:f>IF(V722=1,R722*W722,"n.a.")</x:f>
        <x:v>0</x:v>
      </x:c>
      <x:c r="Z722" s="1" t="n">
        <x:f>IF(ISNUMBER(T722),R722-T722,"n.a.")</x:f>
        <x:v>0</x:v>
      </x:c>
      <x:c r="AA722" s="1" t="str">
        <x:f>'Inventory inputs'!R722</x:f>
        <x:v>Classified</x:v>
      </x:c>
      <x:c r="AB722" s="1" t="n">
        <x:f>IF(L722=1,SUMIFS('Incoming POs'!$P$2:$P$305,'Incoming POs'!$A$2:$A$305,A722,'Incoming POs'!$B$2:$B$305,B722,'Incoming POs'!$C$2:$C$305,C722,'Incoming POs'!$G$2:$G$305,"&gt;="&amp;D722,'Incoming POs'!$G$2:$G$305,"&lt;"&amp;Dashboard!$I$5,'Incoming POs'!$Q$2:$Q$305,"&lt;="&amp;('Inventory inputs'!P722/'Inventory inputs'!J722*1.01)),"n.a.")</x:f>
        <x:v>0</x:v>
      </x:c>
      <x:c r="AC722" s="9" t="n">
        <x:f>I722*G722</x:f>
        <x:v>0</x:v>
      </x:c>
      <x:c r="AD722" s="9" t="n">
        <x:f>J722*G722</x:f>
        <x:v>0</x:v>
      </x:c>
      <x:c r="AE722" s="9" t="n">
        <x:f>K722*G722</x:f>
        <x:v>0</x:v>
      </x:c>
      <x:c r="AF722" s="9" t="n">
        <x:f>R722*G722</x:f>
        <x:v>0</x:v>
      </x:c>
    </x:row>
    <x:row r="723" ht="21" customHeight="1">
      <x:c r="A723" s="1" t="str">
        <x:f>'Inventory inputs'!A723</x:f>
        <x:v>PLAS</x:v>
      </x:c>
      <x:c r="B723" s="1" t="str">
        <x:f>'Inventory inputs'!B723</x:f>
        <x:v>30</x:v>
      </x:c>
      <x:c r="C723" s="1" t="str">
        <x:f>'Inventory inputs'!C723</x:f>
        <x:v>01480RWBWHT</x:v>
      </x:c>
      <x:c r="D723" s="7" t="n">
        <x:f>'Inventory inputs'!E723</x:f>
        <x:v>46303</x:v>
      </x:c>
      <x:c r="E723" s="1" t="n">
        <x:f>'Inventory inputs'!F723</x:f>
        <x:v>0</x:v>
      </x:c>
      <x:c r="F723" s="1" t="n">
        <x:f>'Inventory inputs'!G723</x:f>
        <x:v>0</x:v>
      </x:c>
      <x:c r="G723" s="1" t="n">
        <x:f>'Inventory inputs'!H723/'Inventory inputs'!J723</x:f>
        <x:v>0.0629</x:v>
      </x:c>
      <x:c r="H723" s="1" t="n">
        <x:f>IF('Inventory inputs'!I723&gt;0,'Inventory inputs'!I723*'Inventory inputs'!K723/'Inventory inputs'!J723,"n.a.")</x:f>
        <x:v>0.07364699999999999</x:v>
      </x:c>
      <x:c r="I723" s="1" t="n">
        <x:f>'Inventory inputs'!L723</x:f>
        <x:v>0</x:v>
      </x:c>
      <x:c r="J723" s="1" t="n">
        <x:f>'Inventory inputs'!M723</x:f>
        <x:v>0</x:v>
      </x:c>
      <x:c r="K723" s="1" t="n">
        <x:f>'Inventory inputs'!N723</x:f>
        <x:v>0</x:v>
      </x:c>
      <x:c r="L723" s="1" t="n">
        <x:f>'Inventory inputs'!O723</x:f>
        <x:v>1</x:v>
      </x:c>
      <x:c r="M723" s="9" t="n">
        <x:f>E723*G723</x:f>
        <x:v>0</x:v>
      </x:c>
      <x:c r="N723" s="9" t="n">
        <x:f>'Inventory inputs'!Q723</x:f>
        <x:v>0</x:v>
      </x:c>
      <x:c r="O723" s="9" t="n">
        <x:f>N723-M723</x:f>
        <x:v>0</x:v>
      </x:c>
      <x:c r="P723" s="1" t="n">
        <x:f>SUMIFS('Incoming POs'!$P$2:$P$305,'Incoming POs'!$A$2:$A$305,A723,'Incoming POs'!$B$2:$B$305,B723,'Incoming POs'!$C$2:$C$305,C723,'Incoming POs'!$G$2:$G$305,"&gt;="&amp;D723,'Incoming POs'!$G$2:$G$305,"&lt;"&amp;Dashboard!$I$5)</x:f>
        <x:v>0</x:v>
      </x:c>
      <x:c r="Q723" s="1" t="n">
        <x:f>F723*Dashboard!$L$5*MAX(0,Dashboard!$I$5-D723)/30.4375</x:f>
        <x:v>0</x:v>
      </x:c>
      <x:c r="R723" s="1" t="n">
        <x:f>MAX(0,E723+P723-Q723)</x:f>
        <x:v>0</x:v>
      </x:c>
      <x:c r="S723" s="1" t="n">
        <x:f>MAX(0,Q723-E723-P723)</x:f>
        <x:v>0</x:v>
      </x:c>
      <x:c r="T723" s="1" t="n">
        <x:f>IF(L723=1,MAX(0,I723+AB723-MIN(Q723,E723+P723)),"n.a.")</x:f>
        <x:v>0</x:v>
      </x:c>
      <x:c r="U723" s="9" t="n">
        <x:f>IF(ISNUMBER(T723),T723*G723,"n.a.")</x:f>
        <x:v>0</x:v>
      </x:c>
      <x:c r="V723" s="25" t="n">
        <x:f>IF(Dashboard!$I$6="Flat %",1,IF(ISNUMBER(H723),1,0))</x:f>
        <x:v>1</x:v>
      </x:c>
      <x:c r="W723" s="9" t="n">
        <x:f>IF(Dashboard!$I$6="Flat %",G723*(1+Dashboard!$L$6),H723)</x:f>
        <x:v>0.07364699999999999</x:v>
      </x:c>
      <x:c r="X723" s="9" t="n">
        <x:f>IF(V723=1,R723*(W723-G723),"n.a.")</x:f>
        <x:v>0</x:v>
      </x:c>
      <x:c r="Y723" s="9" t="n">
        <x:f>IF(V723=1,R723*W723,"n.a.")</x:f>
        <x:v>0</x:v>
      </x:c>
      <x:c r="Z723" s="1" t="n">
        <x:f>IF(ISNUMBER(T723),R723-T723,"n.a.")</x:f>
        <x:v>0</x:v>
      </x:c>
      <x:c r="AA723" s="1" t="str">
        <x:f>'Inventory inputs'!R723</x:f>
        <x:v>Classified</x:v>
      </x:c>
      <x:c r="AB723" s="1" t="n">
        <x:f>IF(L723=1,SUMIFS('Incoming POs'!$P$2:$P$305,'Incoming POs'!$A$2:$A$305,A723,'Incoming POs'!$B$2:$B$305,B723,'Incoming POs'!$C$2:$C$305,C723,'Incoming POs'!$G$2:$G$305,"&gt;="&amp;D723,'Incoming POs'!$G$2:$G$305,"&lt;"&amp;Dashboard!$I$5,'Incoming POs'!$Q$2:$Q$305,"&lt;="&amp;('Inventory inputs'!P723/'Inventory inputs'!J723*1.01)),"n.a.")</x:f>
        <x:v>0</x:v>
      </x:c>
      <x:c r="AC723" s="9" t="n">
        <x:f>I723*G723</x:f>
        <x:v>0</x:v>
      </x:c>
      <x:c r="AD723" s="9" t="n">
        <x:f>J723*G723</x:f>
        <x:v>0</x:v>
      </x:c>
      <x:c r="AE723" s="9" t="n">
        <x:f>K723*G723</x:f>
        <x:v>0</x:v>
      </x:c>
      <x:c r="AF723" s="9" t="n">
        <x:f>R723*G723</x:f>
        <x:v>0</x:v>
      </x:c>
    </x:row>
    <x:row r="724" ht="21" customHeight="1">
      <x:c r="A724" s="1" t="str">
        <x:f>'Inventory inputs'!A724</x:f>
        <x:v>PLAS</x:v>
      </x:c>
      <x:c r="B724" s="1" t="str">
        <x:f>'Inventory inputs'!B724</x:f>
        <x:v>30</x:v>
      </x:c>
      <x:c r="C724" s="1" t="str">
        <x:f>'Inventory inputs'!C724</x:f>
        <x:v>03415RWBWHT</x:v>
      </x:c>
      <x:c r="D724" s="7" t="n">
        <x:f>'Inventory inputs'!E724</x:f>
        <x:v>46303</x:v>
      </x:c>
      <x:c r="E724" s="1" t="n">
        <x:f>'Inventory inputs'!F724</x:f>
        <x:v>1000</x:v>
      </x:c>
      <x:c r="F724" s="1" t="n">
        <x:f>'Inventory inputs'!G724</x:f>
        <x:v>0</x:v>
      </x:c>
      <x:c r="G724" s="1" t="n">
        <x:f>'Inventory inputs'!H724/'Inventory inputs'!J724</x:f>
        <x:v>0.044000000000000004</x:v>
      </x:c>
      <x:c r="H724" s="1" t="n">
        <x:f>IF('Inventory inputs'!I724&gt;0,'Inventory inputs'!I724*'Inventory inputs'!K724/'Inventory inputs'!J724,"n.a.")</x:f>
        <x:v>0.051449999999999996</x:v>
      </x:c>
      <x:c r="I724" s="1" t="n">
        <x:f>'Inventory inputs'!L724</x:f>
        <x:v>0</x:v>
      </x:c>
      <x:c r="J724" s="1" t="n">
        <x:f>'Inventory inputs'!M724</x:f>
        <x:v>0</x:v>
      </x:c>
      <x:c r="K724" s="1" t="n">
        <x:f>'Inventory inputs'!N724</x:f>
        <x:v>1000</x:v>
      </x:c>
      <x:c r="L724" s="1" t="n">
        <x:f>'Inventory inputs'!O724</x:f>
        <x:v>0</x:v>
      </x:c>
      <x:c r="M724" s="9" t="n">
        <x:f>E724*G724</x:f>
        <x:v>44.00000000000001</x:v>
      </x:c>
      <x:c r="N724" s="9" t="n">
        <x:f>'Inventory inputs'!Q724</x:f>
        <x:v>44</x:v>
      </x:c>
      <x:c r="O724" s="9" t="n">
        <x:f>N724-M724</x:f>
        <x:v>-7.105427357601002e-15</x:v>
      </x:c>
      <x:c r="P724" s="1" t="n">
        <x:f>SUMIFS('Incoming POs'!$P$2:$P$305,'Incoming POs'!$A$2:$A$305,A724,'Incoming POs'!$B$2:$B$305,B724,'Incoming POs'!$C$2:$C$305,C724,'Incoming POs'!$G$2:$G$305,"&gt;="&amp;D724,'Incoming POs'!$G$2:$G$305,"&lt;"&amp;Dashboard!$I$5)</x:f>
        <x:v>0</x:v>
      </x:c>
      <x:c r="Q724" s="1" t="n">
        <x:f>F724*Dashboard!$L$5*MAX(0,Dashboard!$I$5-D724)/30.4375</x:f>
        <x:v>0</x:v>
      </x:c>
      <x:c r="R724" s="1" t="n">
        <x:f>MAX(0,E724+P724-Q724)</x:f>
        <x:v>1000</x:v>
      </x:c>
      <x:c r="S724" s="1" t="n">
        <x:f>MAX(0,Q724-E724-P724)</x:f>
        <x:v>0</x:v>
      </x:c>
      <x:c r="T724" s="1" t="str">
        <x:f>IF(L724=1,MAX(0,I724+AB724-MIN(Q724,E724+P724)),"n.a.")</x:f>
        <x:v>n.a.</x:v>
      </x:c>
      <x:c r="U724" s="9" t="str">
        <x:f>IF(ISNUMBER(T724),T724*G724,"n.a.")</x:f>
        <x:v>n.a.</x:v>
      </x:c>
      <x:c r="V724" s="25" t="n">
        <x:f>IF(Dashboard!$I$6="Flat %",1,IF(ISNUMBER(H724),1,0))</x:f>
        <x:v>1</x:v>
      </x:c>
      <x:c r="W724" s="9" t="n">
        <x:f>IF(Dashboard!$I$6="Flat %",G724*(1+Dashboard!$L$6),H724)</x:f>
        <x:v>0.051449999999999996</x:v>
      </x:c>
      <x:c r="X724" s="9" t="n">
        <x:f>IF(V724=1,R724*(W724-G724),"n.a.")</x:f>
        <x:v>7.449999999999991</x:v>
      </x:c>
      <x:c r="Y724" s="9" t="n">
        <x:f>IF(V724=1,R724*W724,"n.a.")</x:f>
        <x:v>51.449999999999996</x:v>
      </x:c>
      <x:c r="Z724" s="1" t="str">
        <x:f>IF(ISNUMBER(T724),R724-T724,"n.a.")</x:f>
        <x:v>n.a.</x:v>
      </x:c>
      <x:c r="AA724" s="1" t="str">
        <x:f>'Inventory inputs'!R724</x:f>
        <x:v>Review receipt reconciliation or original PO baseline</x:v>
      </x:c>
      <x:c r="AB724" s="1" t="str">
        <x:f>IF(L724=1,SUMIFS('Incoming POs'!$P$2:$P$305,'Incoming POs'!$A$2:$A$305,A724,'Incoming POs'!$B$2:$B$305,B724,'Incoming POs'!$C$2:$C$305,C724,'Incoming POs'!$G$2:$G$305,"&gt;="&amp;D724,'Incoming POs'!$G$2:$G$305,"&lt;"&amp;Dashboard!$I$5,'Incoming POs'!$Q$2:$Q$305,"&lt;="&amp;('Inventory inputs'!P724/'Inventory inputs'!J724*1.01)),"n.a.")</x:f>
        <x:v>n.a.</x:v>
      </x:c>
      <x:c r="AC724" s="9" t="n">
        <x:f>I724*G724</x:f>
        <x:v>0</x:v>
      </x:c>
      <x:c r="AD724" s="9" t="n">
        <x:f>J724*G724</x:f>
        <x:v>0</x:v>
      </x:c>
      <x:c r="AE724" s="9" t="n">
        <x:f>K724*G724</x:f>
        <x:v>44.00000000000001</x:v>
      </x:c>
      <x:c r="AF724" s="9" t="n">
        <x:f>R724*G724</x:f>
        <x:v>44.00000000000001</x:v>
      </x:c>
    </x:row>
    <x:row r="725" ht="21" customHeight="1">
      <x:c r="A725" s="1" t="str">
        <x:f>'Inventory inputs'!A725</x:f>
        <x:v>PLAS</x:v>
      </x:c>
      <x:c r="B725" s="1" t="str">
        <x:f>'Inventory inputs'!B725</x:f>
        <x:v>30</x:v>
      </x:c>
      <x:c r="C725" s="1" t="str">
        <x:f>'Inventory inputs'!C725</x:f>
        <x:v>03480RWBBLK</x:v>
      </x:c>
      <x:c r="D725" s="7" t="n">
        <x:f>'Inventory inputs'!E725</x:f>
        <x:v>46303</x:v>
      </x:c>
      <x:c r="E725" s="1" t="n">
        <x:f>'Inventory inputs'!F725</x:f>
        <x:v>0</x:v>
      </x:c>
      <x:c r="F725" s="1" t="n">
        <x:f>'Inventory inputs'!G725</x:f>
        <x:v>0</x:v>
      </x:c>
      <x:c r="G725" s="1" t="n">
        <x:f>'Inventory inputs'!H725/'Inventory inputs'!J725</x:f>
        <x:v>0.2452</x:v>
      </x:c>
      <x:c r="H725" s="1" t="n">
        <x:f>IF('Inventory inputs'!I725&gt;0,'Inventory inputs'!I725*'Inventory inputs'!K725/'Inventory inputs'!J725,"n.a.")</x:f>
        <x:v>0.286944</x:v>
      </x:c>
      <x:c r="I725" s="1" t="n">
        <x:f>'Inventory inputs'!L725</x:f>
        <x:v>0</x:v>
      </x:c>
      <x:c r="J725" s="1" t="n">
        <x:f>'Inventory inputs'!M725</x:f>
        <x:v>0</x:v>
      </x:c>
      <x:c r="K725" s="1" t="n">
        <x:f>'Inventory inputs'!N725</x:f>
        <x:v>0</x:v>
      </x:c>
      <x:c r="L725" s="1" t="n">
        <x:f>'Inventory inputs'!O725</x:f>
        <x:v>1</x:v>
      </x:c>
      <x:c r="M725" s="9" t="n">
        <x:f>E725*G725</x:f>
        <x:v>0</x:v>
      </x:c>
      <x:c r="N725" s="9" t="n">
        <x:f>'Inventory inputs'!Q725</x:f>
        <x:v>0</x:v>
      </x:c>
      <x:c r="O725" s="9" t="n">
        <x:f>N725-M725</x:f>
        <x:v>0</x:v>
      </x:c>
      <x:c r="P725" s="1" t="n">
        <x:f>SUMIFS('Incoming POs'!$P$2:$P$305,'Incoming POs'!$A$2:$A$305,A725,'Incoming POs'!$B$2:$B$305,B725,'Incoming POs'!$C$2:$C$305,C725,'Incoming POs'!$G$2:$G$305,"&gt;="&amp;D725,'Incoming POs'!$G$2:$G$305,"&lt;"&amp;Dashboard!$I$5)</x:f>
        <x:v>0</x:v>
      </x:c>
      <x:c r="Q725" s="1" t="n">
        <x:f>F725*Dashboard!$L$5*MAX(0,Dashboard!$I$5-D725)/30.4375</x:f>
        <x:v>0</x:v>
      </x:c>
      <x:c r="R725" s="1" t="n">
        <x:f>MAX(0,E725+P725-Q725)</x:f>
        <x:v>0</x:v>
      </x:c>
      <x:c r="S725" s="1" t="n">
        <x:f>MAX(0,Q725-E725-P725)</x:f>
        <x:v>0</x:v>
      </x:c>
      <x:c r="T725" s="1" t="n">
        <x:f>IF(L725=1,MAX(0,I725+AB725-MIN(Q725,E725+P725)),"n.a.")</x:f>
        <x:v>0</x:v>
      </x:c>
      <x:c r="U725" s="9" t="n">
        <x:f>IF(ISNUMBER(T725),T725*G725,"n.a.")</x:f>
        <x:v>0</x:v>
      </x:c>
      <x:c r="V725" s="25" t="n">
        <x:f>IF(Dashboard!$I$6="Flat %",1,IF(ISNUMBER(H725),1,0))</x:f>
        <x:v>1</x:v>
      </x:c>
      <x:c r="W725" s="9" t="n">
        <x:f>IF(Dashboard!$I$6="Flat %",G725*(1+Dashboard!$L$6),H725)</x:f>
        <x:v>0.286944</x:v>
      </x:c>
      <x:c r="X725" s="9" t="n">
        <x:f>IF(V725=1,R725*(W725-G725),"n.a.")</x:f>
        <x:v>0</x:v>
      </x:c>
      <x:c r="Y725" s="9" t="n">
        <x:f>IF(V725=1,R725*W725,"n.a.")</x:f>
        <x:v>0</x:v>
      </x:c>
      <x:c r="Z725" s="1" t="n">
        <x:f>IF(ISNUMBER(T725),R725-T725,"n.a.")</x:f>
        <x:v>0</x:v>
      </x:c>
      <x:c r="AA725" s="1" t="str">
        <x:f>'Inventory inputs'!R725</x:f>
        <x:v>Classified</x:v>
      </x:c>
      <x:c r="AB725" s="1" t="n">
        <x:f>IF(L725=1,SUMIFS('Incoming POs'!$P$2:$P$305,'Incoming POs'!$A$2:$A$305,A725,'Incoming POs'!$B$2:$B$305,B725,'Incoming POs'!$C$2:$C$305,C725,'Incoming POs'!$G$2:$G$305,"&gt;="&amp;D725,'Incoming POs'!$G$2:$G$305,"&lt;"&amp;Dashboard!$I$5,'Incoming POs'!$Q$2:$Q$305,"&lt;="&amp;('Inventory inputs'!P725/'Inventory inputs'!J725*1.01)),"n.a.")</x:f>
        <x:v>0</x:v>
      </x:c>
      <x:c r="AC725" s="9" t="n">
        <x:f>I725*G725</x:f>
        <x:v>0</x:v>
      </x:c>
      <x:c r="AD725" s="9" t="n">
        <x:f>J725*G725</x:f>
        <x:v>0</x:v>
      </x:c>
      <x:c r="AE725" s="9" t="n">
        <x:f>K725*G725</x:f>
        <x:v>0</x:v>
      </x:c>
      <x:c r="AF725" s="9" t="n">
        <x:f>R725*G725</x:f>
        <x:v>0</x:v>
      </x:c>
    </x:row>
    <x:row r="726" ht="21" customHeight="1">
      <x:c r="A726" s="1" t="str">
        <x:f>'Inventory inputs'!A726</x:f>
        <x:v>PLAS</x:v>
      </x:c>
      <x:c r="B726" s="1" t="str">
        <x:f>'Inventory inputs'!B726</x:f>
        <x:v>30</x:v>
      </x:c>
      <x:c r="C726" s="1" t="str">
        <x:f>'Inventory inputs'!C726</x:f>
        <x:v>03480RWBWHT</x:v>
      </x:c>
      <x:c r="D726" s="7" t="n">
        <x:f>'Inventory inputs'!E726</x:f>
        <x:v>46303</x:v>
      </x:c>
      <x:c r="E726" s="1" t="n">
        <x:f>'Inventory inputs'!F726</x:f>
        <x:v>0</x:v>
      </x:c>
      <x:c r="F726" s="1" t="n">
        <x:f>'Inventory inputs'!G726</x:f>
        <x:v>0</x:v>
      </x:c>
      <x:c r="G726" s="1" t="n">
        <x:f>'Inventory inputs'!H726/'Inventory inputs'!J726</x:f>
        <x:v>0.2452</x:v>
      </x:c>
      <x:c r="H726" s="1" t="n">
        <x:f>IF('Inventory inputs'!I726&gt;0,'Inventory inputs'!I726*'Inventory inputs'!K726/'Inventory inputs'!J726,"n.a.")</x:f>
        <x:v>0.286944</x:v>
      </x:c>
      <x:c r="I726" s="1" t="n">
        <x:f>'Inventory inputs'!L726</x:f>
        <x:v>0</x:v>
      </x:c>
      <x:c r="J726" s="1" t="n">
        <x:f>'Inventory inputs'!M726</x:f>
        <x:v>0</x:v>
      </x:c>
      <x:c r="K726" s="1" t="n">
        <x:f>'Inventory inputs'!N726</x:f>
        <x:v>0</x:v>
      </x:c>
      <x:c r="L726" s="1" t="n">
        <x:f>'Inventory inputs'!O726</x:f>
        <x:v>1</x:v>
      </x:c>
      <x:c r="M726" s="9" t="n">
        <x:f>E726*G726</x:f>
        <x:v>0</x:v>
      </x:c>
      <x:c r="N726" s="9" t="n">
        <x:f>'Inventory inputs'!Q726</x:f>
        <x:v>0</x:v>
      </x:c>
      <x:c r="O726" s="9" t="n">
        <x:f>N726-M726</x:f>
        <x:v>0</x:v>
      </x:c>
      <x:c r="P726" s="1" t="n">
        <x:f>SUMIFS('Incoming POs'!$P$2:$P$305,'Incoming POs'!$A$2:$A$305,A726,'Incoming POs'!$B$2:$B$305,B726,'Incoming POs'!$C$2:$C$305,C726,'Incoming POs'!$G$2:$G$305,"&gt;="&amp;D726,'Incoming POs'!$G$2:$G$305,"&lt;"&amp;Dashboard!$I$5)</x:f>
        <x:v>0</x:v>
      </x:c>
      <x:c r="Q726" s="1" t="n">
        <x:f>F726*Dashboard!$L$5*MAX(0,Dashboard!$I$5-D726)/30.4375</x:f>
        <x:v>0</x:v>
      </x:c>
      <x:c r="R726" s="1" t="n">
        <x:f>MAX(0,E726+P726-Q726)</x:f>
        <x:v>0</x:v>
      </x:c>
      <x:c r="S726" s="1" t="n">
        <x:f>MAX(0,Q726-E726-P726)</x:f>
        <x:v>0</x:v>
      </x:c>
      <x:c r="T726" s="1" t="n">
        <x:f>IF(L726=1,MAX(0,I726+AB726-MIN(Q726,E726+P726)),"n.a.")</x:f>
        <x:v>0</x:v>
      </x:c>
      <x:c r="U726" s="9" t="n">
        <x:f>IF(ISNUMBER(T726),T726*G726,"n.a.")</x:f>
        <x:v>0</x:v>
      </x:c>
      <x:c r="V726" s="25" t="n">
        <x:f>IF(Dashboard!$I$6="Flat %",1,IF(ISNUMBER(H726),1,0))</x:f>
        <x:v>1</x:v>
      </x:c>
      <x:c r="W726" s="9" t="n">
        <x:f>IF(Dashboard!$I$6="Flat %",G726*(1+Dashboard!$L$6),H726)</x:f>
        <x:v>0.286944</x:v>
      </x:c>
      <x:c r="X726" s="9" t="n">
        <x:f>IF(V726=1,R726*(W726-G726),"n.a.")</x:f>
        <x:v>0</x:v>
      </x:c>
      <x:c r="Y726" s="9" t="n">
        <x:f>IF(V726=1,R726*W726,"n.a.")</x:f>
        <x:v>0</x:v>
      </x:c>
      <x:c r="Z726" s="1" t="n">
        <x:f>IF(ISNUMBER(T726),R726-T726,"n.a.")</x:f>
        <x:v>0</x:v>
      </x:c>
      <x:c r="AA726" s="1" t="str">
        <x:f>'Inventory inputs'!R726</x:f>
        <x:v>Classified</x:v>
      </x:c>
      <x:c r="AB726" s="1" t="n">
        <x:f>IF(L726=1,SUMIFS('Incoming POs'!$P$2:$P$305,'Incoming POs'!$A$2:$A$305,A726,'Incoming POs'!$B$2:$B$305,B726,'Incoming POs'!$C$2:$C$305,C726,'Incoming POs'!$G$2:$G$305,"&gt;="&amp;D726,'Incoming POs'!$G$2:$G$305,"&lt;"&amp;Dashboard!$I$5,'Incoming POs'!$Q$2:$Q$305,"&lt;="&amp;('Inventory inputs'!P726/'Inventory inputs'!J726*1.01)),"n.a.")</x:f>
        <x:v>0</x:v>
      </x:c>
      <x:c r="AC726" s="9" t="n">
        <x:f>I726*G726</x:f>
        <x:v>0</x:v>
      </x:c>
      <x:c r="AD726" s="9" t="n">
        <x:f>J726*G726</x:f>
        <x:v>0</x:v>
      </x:c>
      <x:c r="AE726" s="9" t="n">
        <x:f>K726*G726</x:f>
        <x:v>0</x:v>
      </x:c>
      <x:c r="AF726" s="9" t="n">
        <x:f>R726*G726</x:f>
        <x:v>0</x:v>
      </x:c>
    </x:row>
    <x:row r="727" ht="21" customHeight="1">
      <x:c r="A727" s="1" t="str">
        <x:f>'Inventory inputs'!A727</x:f>
        <x:v>PLAS</x:v>
      </x:c>
      <x:c r="B727" s="1" t="str">
        <x:f>'Inventory inputs'!B727</x:f>
        <x:v>30</x:v>
      </x:c>
      <x:c r="C727" s="1" t="str">
        <x:f>'Inventory inputs'!C727</x:f>
        <x:v>03815RWBWHT</x:v>
      </x:c>
      <x:c r="D727" s="7" t="n">
        <x:f>'Inventory inputs'!E727</x:f>
        <x:v>46303</x:v>
      </x:c>
      <x:c r="E727" s="1" t="n">
        <x:f>'Inventory inputs'!F727</x:f>
        <x:v>1500</x:v>
      </x:c>
      <x:c r="F727" s="1" t="n">
        <x:f>'Inventory inputs'!G727</x:f>
        <x:v>0</x:v>
      </x:c>
      <x:c r="G727" s="1" t="n">
        <x:f>'Inventory inputs'!H727/'Inventory inputs'!J727</x:f>
        <x:v>0.016200000000000003</x:v>
      </x:c>
      <x:c r="H727" s="1" t="n">
        <x:f>IF('Inventory inputs'!I727&gt;0,'Inventory inputs'!I727*'Inventory inputs'!K727/'Inventory inputs'!J727,"n.a.")</x:f>
        <x:v>0.018963</x:v>
      </x:c>
      <x:c r="I727" s="1" t="n">
        <x:f>'Inventory inputs'!L727</x:f>
        <x:v>0</x:v>
      </x:c>
      <x:c r="J727" s="1" t="n">
        <x:f>'Inventory inputs'!M727</x:f>
        <x:v>0</x:v>
      </x:c>
      <x:c r="K727" s="1" t="n">
        <x:f>'Inventory inputs'!N727</x:f>
        <x:v>1500</x:v>
      </x:c>
      <x:c r="L727" s="1" t="n">
        <x:f>'Inventory inputs'!O727</x:f>
        <x:v>0</x:v>
      </x:c>
      <x:c r="M727" s="9" t="n">
        <x:f>E727*G727</x:f>
        <x:v>24.300000000000004</x:v>
      </x:c>
      <x:c r="N727" s="9" t="n">
        <x:f>'Inventory inputs'!Q727</x:f>
        <x:v>24.3</x:v>
      </x:c>
      <x:c r="O727" s="9" t="n">
        <x:f>N727-M727</x:f>
        <x:v>-3.552713678800501e-15</x:v>
      </x:c>
      <x:c r="P727" s="1" t="n">
        <x:f>SUMIFS('Incoming POs'!$P$2:$P$305,'Incoming POs'!$A$2:$A$305,A727,'Incoming POs'!$B$2:$B$305,B727,'Incoming POs'!$C$2:$C$305,C727,'Incoming POs'!$G$2:$G$305,"&gt;="&amp;D727,'Incoming POs'!$G$2:$G$305,"&lt;"&amp;Dashboard!$I$5)</x:f>
        <x:v>0</x:v>
      </x:c>
      <x:c r="Q727" s="1" t="n">
        <x:f>F727*Dashboard!$L$5*MAX(0,Dashboard!$I$5-D727)/30.4375</x:f>
        <x:v>0</x:v>
      </x:c>
      <x:c r="R727" s="1" t="n">
        <x:f>MAX(0,E727+P727-Q727)</x:f>
        <x:v>1500</x:v>
      </x:c>
      <x:c r="S727" s="1" t="n">
        <x:f>MAX(0,Q727-E727-P727)</x:f>
        <x:v>0</x:v>
      </x:c>
      <x:c r="T727" s="1" t="str">
        <x:f>IF(L727=1,MAX(0,I727+AB727-MIN(Q727,E727+P727)),"n.a.")</x:f>
        <x:v>n.a.</x:v>
      </x:c>
      <x:c r="U727" s="9" t="str">
        <x:f>IF(ISNUMBER(T727),T727*G727,"n.a.")</x:f>
        <x:v>n.a.</x:v>
      </x:c>
      <x:c r="V727" s="25" t="n">
        <x:f>IF(Dashboard!$I$6="Flat %",1,IF(ISNUMBER(H727),1,0))</x:f>
        <x:v>1</x:v>
      </x:c>
      <x:c r="W727" s="9" t="n">
        <x:f>IF(Dashboard!$I$6="Flat %",G727*(1+Dashboard!$L$6),H727)</x:f>
        <x:v>0.018963</x:v>
      </x:c>
      <x:c r="X727" s="9" t="n">
        <x:f>IF(V727=1,R727*(W727-G727),"n.a.")</x:f>
        <x:v>4.144499999999997</x:v>
      </x:c>
      <x:c r="Y727" s="9" t="n">
        <x:f>IF(V727=1,R727*W727,"n.a.")</x:f>
        <x:v>28.4445</x:v>
      </x:c>
      <x:c r="Z727" s="1" t="str">
        <x:f>IF(ISNUMBER(T727),R727-T727,"n.a.")</x:f>
        <x:v>n.a.</x:v>
      </x:c>
      <x:c r="AA727" s="1" t="str">
        <x:f>'Inventory inputs'!R727</x:f>
        <x:v>Review receipt reconciliation or original PO baseline</x:v>
      </x:c>
      <x:c r="AB727" s="1" t="str">
        <x:f>IF(L727=1,SUMIFS('Incoming POs'!$P$2:$P$305,'Incoming POs'!$A$2:$A$305,A727,'Incoming POs'!$B$2:$B$305,B727,'Incoming POs'!$C$2:$C$305,C727,'Incoming POs'!$G$2:$G$305,"&gt;="&amp;D727,'Incoming POs'!$G$2:$G$305,"&lt;"&amp;Dashboard!$I$5,'Incoming POs'!$Q$2:$Q$305,"&lt;="&amp;('Inventory inputs'!P727/'Inventory inputs'!J727*1.01)),"n.a.")</x:f>
        <x:v>n.a.</x:v>
      </x:c>
      <x:c r="AC727" s="9" t="n">
        <x:f>I727*G727</x:f>
        <x:v>0</x:v>
      </x:c>
      <x:c r="AD727" s="9" t="n">
        <x:f>J727*G727</x:f>
        <x:v>0</x:v>
      </x:c>
      <x:c r="AE727" s="9" t="n">
        <x:f>K727*G727</x:f>
        <x:v>24.300000000000004</x:v>
      </x:c>
      <x:c r="AF727" s="9" t="n">
        <x:f>R727*G727</x:f>
        <x:v>24.300000000000004</x:v>
      </x:c>
    </x:row>
    <x:row r="728" ht="21" customHeight="1">
      <x:c r="A728" s="1" t="str">
        <x:f>'Inventory inputs'!A728</x:f>
        <x:v>PLAS</x:v>
      </x:c>
      <x:c r="B728" s="1" t="str">
        <x:f>'Inventory inputs'!B728</x:f>
        <x:v>30</x:v>
      </x:c>
      <x:c r="C728" s="1" t="str">
        <x:f>'Inventory inputs'!C728</x:f>
        <x:v>03880RWBBLK</x:v>
      </x:c>
      <x:c r="D728" s="7" t="n">
        <x:f>'Inventory inputs'!E728</x:f>
        <x:v>46303</x:v>
      </x:c>
      <x:c r="E728" s="1" t="n">
        <x:f>'Inventory inputs'!F728</x:f>
        <x:v>0</x:v>
      </x:c>
      <x:c r="F728" s="1" t="n">
        <x:f>'Inventory inputs'!G728</x:f>
        <x:v>0</x:v>
      </x:c>
      <x:c r="G728" s="1" t="n">
        <x:f>'Inventory inputs'!H728/'Inventory inputs'!J728</x:f>
        <x:v>0.0907</x:v>
      </x:c>
      <x:c r="H728" s="1" t="n">
        <x:f>IF('Inventory inputs'!I728&gt;0,'Inventory inputs'!I728*'Inventory inputs'!K728/'Inventory inputs'!J728,"n.a.")</x:f>
        <x:v>0.10613399999999999</x:v>
      </x:c>
      <x:c r="I728" s="1" t="n">
        <x:f>'Inventory inputs'!L728</x:f>
        <x:v>0</x:v>
      </x:c>
      <x:c r="J728" s="1" t="n">
        <x:f>'Inventory inputs'!M728</x:f>
        <x:v>0</x:v>
      </x:c>
      <x:c r="K728" s="1" t="n">
        <x:f>'Inventory inputs'!N728</x:f>
        <x:v>0</x:v>
      </x:c>
      <x:c r="L728" s="1" t="n">
        <x:f>'Inventory inputs'!O728</x:f>
        <x:v>1</x:v>
      </x:c>
      <x:c r="M728" s="9" t="n">
        <x:f>E728*G728</x:f>
        <x:v>0</x:v>
      </x:c>
      <x:c r="N728" s="9" t="n">
        <x:f>'Inventory inputs'!Q728</x:f>
        <x:v>0</x:v>
      </x:c>
      <x:c r="O728" s="9" t="n">
        <x:f>N728-M728</x:f>
        <x:v>0</x:v>
      </x:c>
      <x:c r="P728" s="1" t="n">
        <x:f>SUMIFS('Incoming POs'!$P$2:$P$305,'Incoming POs'!$A$2:$A$305,A728,'Incoming POs'!$B$2:$B$305,B728,'Incoming POs'!$C$2:$C$305,C728,'Incoming POs'!$G$2:$G$305,"&gt;="&amp;D728,'Incoming POs'!$G$2:$G$305,"&lt;"&amp;Dashboard!$I$5)</x:f>
        <x:v>0</x:v>
      </x:c>
      <x:c r="Q728" s="1" t="n">
        <x:f>F728*Dashboard!$L$5*MAX(0,Dashboard!$I$5-D728)/30.4375</x:f>
        <x:v>0</x:v>
      </x:c>
      <x:c r="R728" s="1" t="n">
        <x:f>MAX(0,E728+P728-Q728)</x:f>
        <x:v>0</x:v>
      </x:c>
      <x:c r="S728" s="1" t="n">
        <x:f>MAX(0,Q728-E728-P728)</x:f>
        <x:v>0</x:v>
      </x:c>
      <x:c r="T728" s="1" t="n">
        <x:f>IF(L728=1,MAX(0,I728+AB728-MIN(Q728,E728+P728)),"n.a.")</x:f>
        <x:v>0</x:v>
      </x:c>
      <x:c r="U728" s="9" t="n">
        <x:f>IF(ISNUMBER(T728),T728*G728,"n.a.")</x:f>
        <x:v>0</x:v>
      </x:c>
      <x:c r="V728" s="25" t="n">
        <x:f>IF(Dashboard!$I$6="Flat %",1,IF(ISNUMBER(H728),1,0))</x:f>
        <x:v>1</x:v>
      </x:c>
      <x:c r="W728" s="9" t="n">
        <x:f>IF(Dashboard!$I$6="Flat %",G728*(1+Dashboard!$L$6),H728)</x:f>
        <x:v>0.10613399999999999</x:v>
      </x:c>
      <x:c r="X728" s="9" t="n">
        <x:f>IF(V728=1,R728*(W728-G728),"n.a.")</x:f>
        <x:v>0</x:v>
      </x:c>
      <x:c r="Y728" s="9" t="n">
        <x:f>IF(V728=1,R728*W728,"n.a.")</x:f>
        <x:v>0</x:v>
      </x:c>
      <x:c r="Z728" s="1" t="n">
        <x:f>IF(ISNUMBER(T728),R728-T728,"n.a.")</x:f>
        <x:v>0</x:v>
      </x:c>
      <x:c r="AA728" s="1" t="str">
        <x:f>'Inventory inputs'!R728</x:f>
        <x:v>Classified</x:v>
      </x:c>
      <x:c r="AB728" s="1" t="n">
        <x:f>IF(L728=1,SUMIFS('Incoming POs'!$P$2:$P$305,'Incoming POs'!$A$2:$A$305,A728,'Incoming POs'!$B$2:$B$305,B728,'Incoming POs'!$C$2:$C$305,C728,'Incoming POs'!$G$2:$G$305,"&gt;="&amp;D728,'Incoming POs'!$G$2:$G$305,"&lt;"&amp;Dashboard!$I$5,'Incoming POs'!$Q$2:$Q$305,"&lt;="&amp;('Inventory inputs'!P728/'Inventory inputs'!J728*1.01)),"n.a.")</x:f>
        <x:v>0</x:v>
      </x:c>
      <x:c r="AC728" s="9" t="n">
        <x:f>I728*G728</x:f>
        <x:v>0</x:v>
      </x:c>
      <x:c r="AD728" s="9" t="n">
        <x:f>J728*G728</x:f>
        <x:v>0</x:v>
      </x:c>
      <x:c r="AE728" s="9" t="n">
        <x:f>K728*G728</x:f>
        <x:v>0</x:v>
      </x:c>
      <x:c r="AF728" s="9" t="n">
        <x:f>R728*G728</x:f>
        <x:v>0</x:v>
      </x:c>
    </x:row>
    <x:row r="729" ht="21" customHeight="1">
      <x:c r="A729" s="1" t="str">
        <x:f>'Inventory inputs'!A729</x:f>
        <x:v>PLAS</x:v>
      </x:c>
      <x:c r="B729" s="1" t="str">
        <x:f>'Inventory inputs'!B729</x:f>
        <x:v>30</x:v>
      </x:c>
      <x:c r="C729" s="1" t="str">
        <x:f>'Inventory inputs'!C729</x:f>
        <x:v>03880RWBWHT</x:v>
      </x:c>
      <x:c r="D729" s="7" t="n">
        <x:f>'Inventory inputs'!E729</x:f>
        <x:v>46303</x:v>
      </x:c>
      <x:c r="E729" s="1" t="n">
        <x:f>'Inventory inputs'!F729</x:f>
        <x:v>0</x:v>
      </x:c>
      <x:c r="F729" s="1" t="n">
        <x:f>'Inventory inputs'!G729</x:f>
        <x:v>0</x:v>
      </x:c>
      <x:c r="G729" s="1" t="n">
        <x:f>'Inventory inputs'!H729/'Inventory inputs'!J729</x:f>
        <x:v>0.0907</x:v>
      </x:c>
      <x:c r="H729" s="1" t="n">
        <x:f>IF('Inventory inputs'!I729&gt;0,'Inventory inputs'!I729*'Inventory inputs'!K729/'Inventory inputs'!J729,"n.a.")</x:f>
        <x:v>0.10613399999999999</x:v>
      </x:c>
      <x:c r="I729" s="1" t="n">
        <x:f>'Inventory inputs'!L729</x:f>
        <x:v>0</x:v>
      </x:c>
      <x:c r="J729" s="1" t="n">
        <x:f>'Inventory inputs'!M729</x:f>
        <x:v>0</x:v>
      </x:c>
      <x:c r="K729" s="1" t="n">
        <x:f>'Inventory inputs'!N729</x:f>
        <x:v>0</x:v>
      </x:c>
      <x:c r="L729" s="1" t="n">
        <x:f>'Inventory inputs'!O729</x:f>
        <x:v>1</x:v>
      </x:c>
      <x:c r="M729" s="9" t="n">
        <x:f>E729*G729</x:f>
        <x:v>0</x:v>
      </x:c>
      <x:c r="N729" s="9" t="n">
        <x:f>'Inventory inputs'!Q729</x:f>
        <x:v>0</x:v>
      </x:c>
      <x:c r="O729" s="9" t="n">
        <x:f>N729-M729</x:f>
        <x:v>0</x:v>
      </x:c>
      <x:c r="P729" s="1" t="n">
        <x:f>SUMIFS('Incoming POs'!$P$2:$P$305,'Incoming POs'!$A$2:$A$305,A729,'Incoming POs'!$B$2:$B$305,B729,'Incoming POs'!$C$2:$C$305,C729,'Incoming POs'!$G$2:$G$305,"&gt;="&amp;D729,'Incoming POs'!$G$2:$G$305,"&lt;"&amp;Dashboard!$I$5)</x:f>
        <x:v>0</x:v>
      </x:c>
      <x:c r="Q729" s="1" t="n">
        <x:f>F729*Dashboard!$L$5*MAX(0,Dashboard!$I$5-D729)/30.4375</x:f>
        <x:v>0</x:v>
      </x:c>
      <x:c r="R729" s="1" t="n">
        <x:f>MAX(0,E729+P729-Q729)</x:f>
        <x:v>0</x:v>
      </x:c>
      <x:c r="S729" s="1" t="n">
        <x:f>MAX(0,Q729-E729-P729)</x:f>
        <x:v>0</x:v>
      </x:c>
      <x:c r="T729" s="1" t="n">
        <x:f>IF(L729=1,MAX(0,I729+AB729-MIN(Q729,E729+P729)),"n.a.")</x:f>
        <x:v>0</x:v>
      </x:c>
      <x:c r="U729" s="9" t="n">
        <x:f>IF(ISNUMBER(T729),T729*G729,"n.a.")</x:f>
        <x:v>0</x:v>
      </x:c>
      <x:c r="V729" s="25" t="n">
        <x:f>IF(Dashboard!$I$6="Flat %",1,IF(ISNUMBER(H729),1,0))</x:f>
        <x:v>1</x:v>
      </x:c>
      <x:c r="W729" s="9" t="n">
        <x:f>IF(Dashboard!$I$6="Flat %",G729*(1+Dashboard!$L$6),H729)</x:f>
        <x:v>0.10613399999999999</x:v>
      </x:c>
      <x:c r="X729" s="9" t="n">
        <x:f>IF(V729=1,R729*(W729-G729),"n.a.")</x:f>
        <x:v>0</x:v>
      </x:c>
      <x:c r="Y729" s="9" t="n">
        <x:f>IF(V729=1,R729*W729,"n.a.")</x:f>
        <x:v>0</x:v>
      </x:c>
      <x:c r="Z729" s="1" t="n">
        <x:f>IF(ISNUMBER(T729),R729-T729,"n.a.")</x:f>
        <x:v>0</x:v>
      </x:c>
      <x:c r="AA729" s="1" t="str">
        <x:f>'Inventory inputs'!R729</x:f>
        <x:v>Classified</x:v>
      </x:c>
      <x:c r="AB729" s="1" t="n">
        <x:f>IF(L729=1,SUMIFS('Incoming POs'!$P$2:$P$305,'Incoming POs'!$A$2:$A$305,A729,'Incoming POs'!$B$2:$B$305,B729,'Incoming POs'!$C$2:$C$305,C729,'Incoming POs'!$G$2:$G$305,"&gt;="&amp;D729,'Incoming POs'!$G$2:$G$305,"&lt;"&amp;Dashboard!$I$5,'Incoming POs'!$Q$2:$Q$305,"&lt;="&amp;('Inventory inputs'!P729/'Inventory inputs'!J729*1.01)),"n.a.")</x:f>
        <x:v>0</x:v>
      </x:c>
      <x:c r="AC729" s="9" t="n">
        <x:f>I729*G729</x:f>
        <x:v>0</x:v>
      </x:c>
      <x:c r="AD729" s="9" t="n">
        <x:f>J729*G729</x:f>
        <x:v>0</x:v>
      </x:c>
      <x:c r="AE729" s="9" t="n">
        <x:f>K729*G729</x:f>
        <x:v>0</x:v>
      </x:c>
      <x:c r="AF729" s="9" t="n">
        <x:f>R729*G729</x:f>
        <x:v>0</x:v>
      </x:c>
    </x:row>
    <x:row r="730" ht="21" customHeight="1">
      <x:c r="A730" s="1" t="str">
        <x:f>'Inventory inputs'!A730</x:f>
        <x:v>PLAS</x:v>
      </x:c>
      <x:c r="B730" s="1" t="str">
        <x:f>'Inventory inputs'!B730</x:f>
        <x:v>30</x:v>
      </x:c>
      <x:c r="C730" s="1" t="str">
        <x:f>'Inventory inputs'!C730</x:f>
        <x:v>05815RWBWHT</x:v>
      </x:c>
      <x:c r="D730" s="7" t="n">
        <x:f>'Inventory inputs'!E730</x:f>
        <x:v>46303</x:v>
      </x:c>
      <x:c r="E730" s="1" t="n">
        <x:f>'Inventory inputs'!F730</x:f>
        <x:v>2000</x:v>
      </x:c>
      <x:c r="F730" s="1" t="n">
        <x:f>'Inventory inputs'!G730</x:f>
        <x:v>0</x:v>
      </x:c>
      <x:c r="G730" s="1" t="n">
        <x:f>'Inventory inputs'!H730/'Inventory inputs'!J730</x:f>
        <x:v>0.030899999999999997</x:v>
      </x:c>
      <x:c r="H730" s="1" t="n">
        <x:f>IF('Inventory inputs'!I730&gt;0,'Inventory inputs'!I730*'Inventory inputs'!K730/'Inventory inputs'!J730,"n.a.")</x:f>
        <x:v>0.036162</x:v>
      </x:c>
      <x:c r="I730" s="1" t="n">
        <x:f>'Inventory inputs'!L730</x:f>
        <x:v>0</x:v>
      </x:c>
      <x:c r="J730" s="1" t="n">
        <x:f>'Inventory inputs'!M730</x:f>
        <x:v>0</x:v>
      </x:c>
      <x:c r="K730" s="1" t="n">
        <x:f>'Inventory inputs'!N730</x:f>
        <x:v>2000</x:v>
      </x:c>
      <x:c r="L730" s="1" t="n">
        <x:f>'Inventory inputs'!O730</x:f>
        <x:v>0</x:v>
      </x:c>
      <x:c r="M730" s="9" t="n">
        <x:f>E730*G730</x:f>
        <x:v>61.8</x:v>
      </x:c>
      <x:c r="N730" s="9" t="n">
        <x:f>'Inventory inputs'!Q730</x:f>
        <x:v>61.800000000000004</x:v>
      </x:c>
      <x:c r="O730" s="9" t="n">
        <x:f>N730-M730</x:f>
        <x:v>7.105427357601002e-15</x:v>
      </x:c>
      <x:c r="P730" s="1" t="n">
        <x:f>SUMIFS('Incoming POs'!$P$2:$P$305,'Incoming POs'!$A$2:$A$305,A730,'Incoming POs'!$B$2:$B$305,B730,'Incoming POs'!$C$2:$C$305,C730,'Incoming POs'!$G$2:$G$305,"&gt;="&amp;D730,'Incoming POs'!$G$2:$G$305,"&lt;"&amp;Dashboard!$I$5)</x:f>
        <x:v>0</x:v>
      </x:c>
      <x:c r="Q730" s="1" t="n">
        <x:f>F730*Dashboard!$L$5*MAX(0,Dashboard!$I$5-D730)/30.4375</x:f>
        <x:v>0</x:v>
      </x:c>
      <x:c r="R730" s="1" t="n">
        <x:f>MAX(0,E730+P730-Q730)</x:f>
        <x:v>2000</x:v>
      </x:c>
      <x:c r="S730" s="1" t="n">
        <x:f>MAX(0,Q730-E730-P730)</x:f>
        <x:v>0</x:v>
      </x:c>
      <x:c r="T730" s="1" t="str">
        <x:f>IF(L730=1,MAX(0,I730+AB730-MIN(Q730,E730+P730)),"n.a.")</x:f>
        <x:v>n.a.</x:v>
      </x:c>
      <x:c r="U730" s="9" t="str">
        <x:f>IF(ISNUMBER(T730),T730*G730,"n.a.")</x:f>
        <x:v>n.a.</x:v>
      </x:c>
      <x:c r="V730" s="25" t="n">
        <x:f>IF(Dashboard!$I$6="Flat %",1,IF(ISNUMBER(H730),1,0))</x:f>
        <x:v>1</x:v>
      </x:c>
      <x:c r="W730" s="9" t="n">
        <x:f>IF(Dashboard!$I$6="Flat %",G730*(1+Dashboard!$L$6),H730)</x:f>
        <x:v>0.036162</x:v>
      </x:c>
      <x:c r="X730" s="9" t="n">
        <x:f>IF(V730=1,R730*(W730-G730),"n.a.")</x:f>
        <x:v>10.524000000000006</x:v>
      </x:c>
      <x:c r="Y730" s="9" t="n">
        <x:f>IF(V730=1,R730*W730,"n.a.")</x:f>
        <x:v>72.324</x:v>
      </x:c>
      <x:c r="Z730" s="1" t="str">
        <x:f>IF(ISNUMBER(T730),R730-T730,"n.a.")</x:f>
        <x:v>n.a.</x:v>
      </x:c>
      <x:c r="AA730" s="1" t="str">
        <x:f>'Inventory inputs'!R730</x:f>
        <x:v>Review receipt reconciliation or original PO baseline</x:v>
      </x:c>
      <x:c r="AB730" s="1" t="str">
        <x:f>IF(L730=1,SUMIFS('Incoming POs'!$P$2:$P$305,'Incoming POs'!$A$2:$A$305,A730,'Incoming POs'!$B$2:$B$305,B730,'Incoming POs'!$C$2:$C$305,C730,'Incoming POs'!$G$2:$G$305,"&gt;="&amp;D730,'Incoming POs'!$G$2:$G$305,"&lt;"&amp;Dashboard!$I$5,'Incoming POs'!$Q$2:$Q$305,"&lt;="&amp;('Inventory inputs'!P730/'Inventory inputs'!J730*1.01)),"n.a.")</x:f>
        <x:v>n.a.</x:v>
      </x:c>
      <x:c r="AC730" s="9" t="n">
        <x:f>I730*G730</x:f>
        <x:v>0</x:v>
      </x:c>
      <x:c r="AD730" s="9" t="n">
        <x:f>J730*G730</x:f>
        <x:v>0</x:v>
      </x:c>
      <x:c r="AE730" s="9" t="n">
        <x:f>K730*G730</x:f>
        <x:v>61.8</x:v>
      </x:c>
      <x:c r="AF730" s="9" t="n">
        <x:f>R730*G730</x:f>
        <x:v>61.8</x:v>
      </x:c>
    </x:row>
    <x:row r="731" ht="21" customHeight="1">
      <x:c r="A731" s="1" t="str">
        <x:f>'Inventory inputs'!A731</x:f>
        <x:v>PLAS</x:v>
      </x:c>
      <x:c r="B731" s="1" t="str">
        <x:f>'Inventory inputs'!B731</x:f>
        <x:v>30</x:v>
      </x:c>
      <x:c r="C731" s="1" t="str">
        <x:f>'Inventory inputs'!C731</x:f>
        <x:v>05819RWBRED</x:v>
      </x:c>
      <x:c r="D731" s="7" t="n">
        <x:f>'Inventory inputs'!E731</x:f>
        <x:v>46303</x:v>
      </x:c>
      <x:c r="E731" s="1" t="n">
        <x:f>'Inventory inputs'!F731</x:f>
        <x:v>800</x:v>
      </x:c>
      <x:c r="F731" s="1" t="n">
        <x:f>'Inventory inputs'!G731</x:f>
        <x:v>0</x:v>
      </x:c>
      <x:c r="G731" s="1" t="n">
        <x:f>'Inventory inputs'!H731/'Inventory inputs'!J731</x:f>
        <x:v>0.045599999999999995</x:v>
      </x:c>
      <x:c r="H731" s="1" t="n">
        <x:f>IF('Inventory inputs'!I731&gt;0,'Inventory inputs'!I731*'Inventory inputs'!K731/'Inventory inputs'!J731,"n.a.")</x:f>
        <x:v>0.053361</x:v>
      </x:c>
      <x:c r="I731" s="1" t="n">
        <x:f>'Inventory inputs'!L731</x:f>
        <x:v>0</x:v>
      </x:c>
      <x:c r="J731" s="1" t="n">
        <x:f>'Inventory inputs'!M731</x:f>
        <x:v>0</x:v>
      </x:c>
      <x:c r="K731" s="1" t="n">
        <x:f>'Inventory inputs'!N731</x:f>
        <x:v>800</x:v>
      </x:c>
      <x:c r="L731" s="1" t="n">
        <x:f>'Inventory inputs'!O731</x:f>
        <x:v>0</x:v>
      </x:c>
      <x:c r="M731" s="9" t="n">
        <x:f>E731*G731</x:f>
        <x:v>36.48</x:v>
      </x:c>
      <x:c r="N731" s="9" t="n">
        <x:f>'Inventory inputs'!Q731</x:f>
        <x:v>36.48</x:v>
      </x:c>
      <x:c r="O731" s="9" t="n">
        <x:f>N731-M731</x:f>
        <x:v>0</x:v>
      </x:c>
      <x:c r="P731" s="1" t="n">
        <x:f>SUMIFS('Incoming POs'!$P$2:$P$305,'Incoming POs'!$A$2:$A$305,A731,'Incoming POs'!$B$2:$B$305,B731,'Incoming POs'!$C$2:$C$305,C731,'Incoming POs'!$G$2:$G$305,"&gt;="&amp;D731,'Incoming POs'!$G$2:$G$305,"&lt;"&amp;Dashboard!$I$5)</x:f>
        <x:v>0</x:v>
      </x:c>
      <x:c r="Q731" s="1" t="n">
        <x:f>F731*Dashboard!$L$5*MAX(0,Dashboard!$I$5-D731)/30.4375</x:f>
        <x:v>0</x:v>
      </x:c>
      <x:c r="R731" s="1" t="n">
        <x:f>MAX(0,E731+P731-Q731)</x:f>
        <x:v>800</x:v>
      </x:c>
      <x:c r="S731" s="1" t="n">
        <x:f>MAX(0,Q731-E731-P731)</x:f>
        <x:v>0</x:v>
      </x:c>
      <x:c r="T731" s="1" t="str">
        <x:f>IF(L731=1,MAX(0,I731+AB731-MIN(Q731,E731+P731)),"n.a.")</x:f>
        <x:v>n.a.</x:v>
      </x:c>
      <x:c r="U731" s="9" t="str">
        <x:f>IF(ISNUMBER(T731),T731*G731,"n.a.")</x:f>
        <x:v>n.a.</x:v>
      </x:c>
      <x:c r="V731" s="25" t="n">
        <x:f>IF(Dashboard!$I$6="Flat %",1,IF(ISNUMBER(H731),1,0))</x:f>
        <x:v>1</x:v>
      </x:c>
      <x:c r="W731" s="9" t="n">
        <x:f>IF(Dashboard!$I$6="Flat %",G731*(1+Dashboard!$L$6),H731)</x:f>
        <x:v>0.053361</x:v>
      </x:c>
      <x:c r="X731" s="9" t="n">
        <x:f>IF(V731=1,R731*(W731-G731),"n.a.")</x:f>
        <x:v>6.208800000000004</x:v>
      </x:c>
      <x:c r="Y731" s="9" t="n">
        <x:f>IF(V731=1,R731*W731,"n.a.")</x:f>
        <x:v>42.6888</x:v>
      </x:c>
      <x:c r="Z731" s="1" t="str">
        <x:f>IF(ISNUMBER(T731),R731-T731,"n.a.")</x:f>
        <x:v>n.a.</x:v>
      </x:c>
      <x:c r="AA731" s="1" t="str">
        <x:f>'Inventory inputs'!R731</x:f>
        <x:v>Review receipt reconciliation or original PO baseline</x:v>
      </x:c>
      <x:c r="AB731" s="1" t="str">
        <x:f>IF(L731=1,SUMIFS('Incoming POs'!$P$2:$P$305,'Incoming POs'!$A$2:$A$305,A731,'Incoming POs'!$B$2:$B$305,B731,'Incoming POs'!$C$2:$C$305,C731,'Incoming POs'!$G$2:$G$305,"&gt;="&amp;D731,'Incoming POs'!$G$2:$G$305,"&lt;"&amp;Dashboard!$I$5,'Incoming POs'!$Q$2:$Q$305,"&lt;="&amp;('Inventory inputs'!P731/'Inventory inputs'!J731*1.01)),"n.a.")</x:f>
        <x:v>n.a.</x:v>
      </x:c>
      <x:c r="AC731" s="9" t="n">
        <x:f>I731*G731</x:f>
        <x:v>0</x:v>
      </x:c>
      <x:c r="AD731" s="9" t="n">
        <x:f>J731*G731</x:f>
        <x:v>0</x:v>
      </x:c>
      <x:c r="AE731" s="9" t="n">
        <x:f>K731*G731</x:f>
        <x:v>36.48</x:v>
      </x:c>
      <x:c r="AF731" s="9" t="n">
        <x:f>R731*G731</x:f>
        <x:v>36.48</x:v>
      </x:c>
    </x:row>
    <x:row r="732" ht="21" customHeight="1">
      <x:c r="A732" s="1" t="str">
        <x:f>'Inventory inputs'!A732</x:f>
        <x:v>PLAS</x:v>
      </x:c>
      <x:c r="B732" s="1" t="str">
        <x:f>'Inventory inputs'!B732</x:f>
        <x:v>30</x:v>
      </x:c>
      <x:c r="C732" s="1" t="str">
        <x:f>'Inventory inputs'!C732</x:f>
        <x:v>05880RWBBLK</x:v>
      </x:c>
      <x:c r="D732" s="7" t="n">
        <x:f>'Inventory inputs'!E732</x:f>
        <x:v>46303</x:v>
      </x:c>
      <x:c r="E732" s="1" t="n">
        <x:f>'Inventory inputs'!F732</x:f>
        <x:v>0</x:v>
      </x:c>
      <x:c r="F732" s="1" t="n">
        <x:f>'Inventory inputs'!G732</x:f>
        <x:v>0</x:v>
      </x:c>
      <x:c r="G732" s="1" t="n">
        <x:f>'Inventory inputs'!H732/'Inventory inputs'!J732</x:f>
        <x:v>0.1726</x:v>
      </x:c>
      <x:c r="H732" s="1" t="n">
        <x:f>IF('Inventory inputs'!I732&gt;0,'Inventory inputs'!I732*'Inventory inputs'!K732/'Inventory inputs'!J732,"n.a.")</x:f>
        <x:v>0.20197800000000002</x:v>
      </x:c>
      <x:c r="I732" s="1" t="n">
        <x:f>'Inventory inputs'!L732</x:f>
        <x:v>0</x:v>
      </x:c>
      <x:c r="J732" s="1" t="n">
        <x:f>'Inventory inputs'!M732</x:f>
        <x:v>0</x:v>
      </x:c>
      <x:c r="K732" s="1" t="n">
        <x:f>'Inventory inputs'!N732</x:f>
        <x:v>0</x:v>
      </x:c>
      <x:c r="L732" s="1" t="n">
        <x:f>'Inventory inputs'!O732</x:f>
        <x:v>1</x:v>
      </x:c>
      <x:c r="M732" s="9" t="n">
        <x:f>E732*G732</x:f>
        <x:v>0</x:v>
      </x:c>
      <x:c r="N732" s="9" t="n">
        <x:f>'Inventory inputs'!Q732</x:f>
        <x:v>0</x:v>
      </x:c>
      <x:c r="O732" s="9" t="n">
        <x:f>N732-M732</x:f>
        <x:v>0</x:v>
      </x:c>
      <x:c r="P732" s="1" t="n">
        <x:f>SUMIFS('Incoming POs'!$P$2:$P$305,'Incoming POs'!$A$2:$A$305,A732,'Incoming POs'!$B$2:$B$305,B732,'Incoming POs'!$C$2:$C$305,C732,'Incoming POs'!$G$2:$G$305,"&gt;="&amp;D732,'Incoming POs'!$G$2:$G$305,"&lt;"&amp;Dashboard!$I$5)</x:f>
        <x:v>0</x:v>
      </x:c>
      <x:c r="Q732" s="1" t="n">
        <x:f>F732*Dashboard!$L$5*MAX(0,Dashboard!$I$5-D732)/30.4375</x:f>
        <x:v>0</x:v>
      </x:c>
      <x:c r="R732" s="1" t="n">
        <x:f>MAX(0,E732+P732-Q732)</x:f>
        <x:v>0</x:v>
      </x:c>
      <x:c r="S732" s="1" t="n">
        <x:f>MAX(0,Q732-E732-P732)</x:f>
        <x:v>0</x:v>
      </x:c>
      <x:c r="T732" s="1" t="n">
        <x:f>IF(L732=1,MAX(0,I732+AB732-MIN(Q732,E732+P732)),"n.a.")</x:f>
        <x:v>0</x:v>
      </x:c>
      <x:c r="U732" s="9" t="n">
        <x:f>IF(ISNUMBER(T732),T732*G732,"n.a.")</x:f>
        <x:v>0</x:v>
      </x:c>
      <x:c r="V732" s="25" t="n">
        <x:f>IF(Dashboard!$I$6="Flat %",1,IF(ISNUMBER(H732),1,0))</x:f>
        <x:v>1</x:v>
      </x:c>
      <x:c r="W732" s="9" t="n">
        <x:f>IF(Dashboard!$I$6="Flat %",G732*(1+Dashboard!$L$6),H732)</x:f>
        <x:v>0.20197800000000002</x:v>
      </x:c>
      <x:c r="X732" s="9" t="n">
        <x:f>IF(V732=1,R732*(W732-G732),"n.a.")</x:f>
        <x:v>0</x:v>
      </x:c>
      <x:c r="Y732" s="9" t="n">
        <x:f>IF(V732=1,R732*W732,"n.a.")</x:f>
        <x:v>0</x:v>
      </x:c>
      <x:c r="Z732" s="1" t="n">
        <x:f>IF(ISNUMBER(T732),R732-T732,"n.a.")</x:f>
        <x:v>0</x:v>
      </x:c>
      <x:c r="AA732" s="1" t="str">
        <x:f>'Inventory inputs'!R732</x:f>
        <x:v>Classified</x:v>
      </x:c>
      <x:c r="AB732" s="1" t="n">
        <x:f>IF(L732=1,SUMIFS('Incoming POs'!$P$2:$P$305,'Incoming POs'!$A$2:$A$305,A732,'Incoming POs'!$B$2:$B$305,B732,'Incoming POs'!$C$2:$C$305,C732,'Incoming POs'!$G$2:$G$305,"&gt;="&amp;D732,'Incoming POs'!$G$2:$G$305,"&lt;"&amp;Dashboard!$I$5,'Incoming POs'!$Q$2:$Q$305,"&lt;="&amp;('Inventory inputs'!P732/'Inventory inputs'!J732*1.01)),"n.a.")</x:f>
        <x:v>0</x:v>
      </x:c>
      <x:c r="AC732" s="9" t="n">
        <x:f>I732*G732</x:f>
        <x:v>0</x:v>
      </x:c>
      <x:c r="AD732" s="9" t="n">
        <x:f>J732*G732</x:f>
        <x:v>0</x:v>
      </x:c>
      <x:c r="AE732" s="9" t="n">
        <x:f>K732*G732</x:f>
        <x:v>0</x:v>
      </x:c>
      <x:c r="AF732" s="9" t="n">
        <x:f>R732*G732</x:f>
        <x:v>0</x:v>
      </x:c>
    </x:row>
    <x:row r="733" ht="21" customHeight="1">
      <x:c r="A733" s="1" t="str">
        <x:f>'Inventory inputs'!A733</x:f>
        <x:v>PLAS</x:v>
      </x:c>
      <x:c r="B733" s="1" t="str">
        <x:f>'Inventory inputs'!B733</x:f>
        <x:v>30</x:v>
      </x:c>
      <x:c r="C733" s="1" t="str">
        <x:f>'Inventory inputs'!C733</x:f>
        <x:v>05880RWBWHT</x:v>
      </x:c>
      <x:c r="D733" s="7" t="n">
        <x:f>'Inventory inputs'!E733</x:f>
        <x:v>46303</x:v>
      </x:c>
      <x:c r="E733" s="1" t="n">
        <x:f>'Inventory inputs'!F733</x:f>
        <x:v>0</x:v>
      </x:c>
      <x:c r="F733" s="1" t="n">
        <x:f>'Inventory inputs'!G733</x:f>
        <x:v>0</x:v>
      </x:c>
      <x:c r="G733" s="1" t="n">
        <x:f>'Inventory inputs'!H733/'Inventory inputs'!J733</x:f>
        <x:v>0.1726</x:v>
      </x:c>
      <x:c r="H733" s="1" t="n">
        <x:f>IF('Inventory inputs'!I733&gt;0,'Inventory inputs'!I733*'Inventory inputs'!K733/'Inventory inputs'!J733,"n.a.")</x:f>
        <x:v>0.20197800000000002</x:v>
      </x:c>
      <x:c r="I733" s="1" t="n">
        <x:f>'Inventory inputs'!L733</x:f>
        <x:v>0</x:v>
      </x:c>
      <x:c r="J733" s="1" t="n">
        <x:f>'Inventory inputs'!M733</x:f>
        <x:v>0</x:v>
      </x:c>
      <x:c r="K733" s="1" t="n">
        <x:f>'Inventory inputs'!N733</x:f>
        <x:v>0</x:v>
      </x:c>
      <x:c r="L733" s="1" t="n">
        <x:f>'Inventory inputs'!O733</x:f>
        <x:v>1</x:v>
      </x:c>
      <x:c r="M733" s="9" t="n">
        <x:f>E733*G733</x:f>
        <x:v>0</x:v>
      </x:c>
      <x:c r="N733" s="9" t="n">
        <x:f>'Inventory inputs'!Q733</x:f>
        <x:v>0</x:v>
      </x:c>
      <x:c r="O733" s="9" t="n">
        <x:f>N733-M733</x:f>
        <x:v>0</x:v>
      </x:c>
      <x:c r="P733" s="1" t="n">
        <x:f>SUMIFS('Incoming POs'!$P$2:$P$305,'Incoming POs'!$A$2:$A$305,A733,'Incoming POs'!$B$2:$B$305,B733,'Incoming POs'!$C$2:$C$305,C733,'Incoming POs'!$G$2:$G$305,"&gt;="&amp;D733,'Incoming POs'!$G$2:$G$305,"&lt;"&amp;Dashboard!$I$5)</x:f>
        <x:v>0</x:v>
      </x:c>
      <x:c r="Q733" s="1" t="n">
        <x:f>F733*Dashboard!$L$5*MAX(0,Dashboard!$I$5-D733)/30.4375</x:f>
        <x:v>0</x:v>
      </x:c>
      <x:c r="R733" s="1" t="n">
        <x:f>MAX(0,E733+P733-Q733)</x:f>
        <x:v>0</x:v>
      </x:c>
      <x:c r="S733" s="1" t="n">
        <x:f>MAX(0,Q733-E733-P733)</x:f>
        <x:v>0</x:v>
      </x:c>
      <x:c r="T733" s="1" t="n">
        <x:f>IF(L733=1,MAX(0,I733+AB733-MIN(Q733,E733+P733)),"n.a.")</x:f>
        <x:v>0</x:v>
      </x:c>
      <x:c r="U733" s="9" t="n">
        <x:f>IF(ISNUMBER(T733),T733*G733,"n.a.")</x:f>
        <x:v>0</x:v>
      </x:c>
      <x:c r="V733" s="25" t="n">
        <x:f>IF(Dashboard!$I$6="Flat %",1,IF(ISNUMBER(H733),1,0))</x:f>
        <x:v>1</x:v>
      </x:c>
      <x:c r="W733" s="9" t="n">
        <x:f>IF(Dashboard!$I$6="Flat %",G733*(1+Dashboard!$L$6),H733)</x:f>
        <x:v>0.20197800000000002</x:v>
      </x:c>
      <x:c r="X733" s="9" t="n">
        <x:f>IF(V733=1,R733*(W733-G733),"n.a.")</x:f>
        <x:v>0</x:v>
      </x:c>
      <x:c r="Y733" s="9" t="n">
        <x:f>IF(V733=1,R733*W733,"n.a.")</x:f>
        <x:v>0</x:v>
      </x:c>
      <x:c r="Z733" s="1" t="n">
        <x:f>IF(ISNUMBER(T733),R733-T733,"n.a.")</x:f>
        <x:v>0</x:v>
      </x:c>
      <x:c r="AA733" s="1" t="str">
        <x:f>'Inventory inputs'!R733</x:f>
        <x:v>Classified</x:v>
      </x:c>
      <x:c r="AB733" s="1" t="n">
        <x:f>IF(L733=1,SUMIFS('Incoming POs'!$P$2:$P$305,'Incoming POs'!$A$2:$A$305,A733,'Incoming POs'!$B$2:$B$305,B733,'Incoming POs'!$C$2:$C$305,C733,'Incoming POs'!$G$2:$G$305,"&gt;="&amp;D733,'Incoming POs'!$G$2:$G$305,"&lt;"&amp;Dashboard!$I$5,'Incoming POs'!$Q$2:$Q$305,"&lt;="&amp;('Inventory inputs'!P733/'Inventory inputs'!J733*1.01)),"n.a.")</x:f>
        <x:v>0</x:v>
      </x:c>
      <x:c r="AC733" s="9" t="n">
        <x:f>I733*G733</x:f>
        <x:v>0</x:v>
      </x:c>
      <x:c r="AD733" s="9" t="n">
        <x:f>J733*G733</x:f>
        <x:v>0</x:v>
      </x:c>
      <x:c r="AE733" s="9" t="n">
        <x:f>K733*G733</x:f>
        <x:v>0</x:v>
      </x:c>
      <x:c r="AF733" s="9" t="n">
        <x:f>R733*G733</x:f>
        <x:v>0</x:v>
      </x:c>
    </x:row>
    <x:row r="734" ht="21" customHeight="1">
      <x:c r="A734" s="1" t="str">
        <x:f>'Inventory inputs'!A734</x:f>
        <x:v>PLAS</x:v>
      </x:c>
      <x:c r="B734" s="1" t="str">
        <x:f>'Inventory inputs'!B734</x:f>
        <x:v>30</x:v>
      </x:c>
      <x:c r="C734" s="1" t="str">
        <x:f>'Inventory inputs'!C734</x:f>
        <x:v>07815RWBBLK</x:v>
      </x:c>
      <x:c r="D734" s="7" t="n">
        <x:f>'Inventory inputs'!E734</x:f>
        <x:v>46303</x:v>
      </x:c>
      <x:c r="E734" s="1" t="n">
        <x:f>'Inventory inputs'!F734</x:f>
        <x:v>400</x:v>
      </x:c>
      <x:c r="F734" s="1" t="n">
        <x:f>'Inventory inputs'!G734</x:f>
        <x:v>0</x:v>
      </x:c>
      <x:c r="G734" s="1" t="n">
        <x:f>'Inventory inputs'!H734/'Inventory inputs'!J734</x:f>
        <x:v>0.0538</x:v>
      </x:c>
      <x:c r="H734" s="1" t="n">
        <x:f>IF('Inventory inputs'!I734&gt;0,'Inventory inputs'!I734*'Inventory inputs'!K734/'Inventory inputs'!J734,"n.a.")</x:f>
        <x:v>0.062916</x:v>
      </x:c>
      <x:c r="I734" s="1" t="n">
        <x:f>'Inventory inputs'!L734</x:f>
        <x:v>0</x:v>
      </x:c>
      <x:c r="J734" s="1" t="n">
        <x:f>'Inventory inputs'!M734</x:f>
        <x:v>0</x:v>
      </x:c>
      <x:c r="K734" s="1" t="n">
        <x:f>'Inventory inputs'!N734</x:f>
        <x:v>400</x:v>
      </x:c>
      <x:c r="L734" s="1" t="n">
        <x:f>'Inventory inputs'!O734</x:f>
        <x:v>0</x:v>
      </x:c>
      <x:c r="M734" s="9" t="n">
        <x:f>E734*G734</x:f>
        <x:v>21.52</x:v>
      </x:c>
      <x:c r="N734" s="9" t="n">
        <x:f>'Inventory inputs'!Q734</x:f>
        <x:v>21.52</x:v>
      </x:c>
      <x:c r="O734" s="9" t="n">
        <x:f>N734-M734</x:f>
        <x:v>0</x:v>
      </x:c>
      <x:c r="P734" s="1" t="n">
        <x:f>SUMIFS('Incoming POs'!$P$2:$P$305,'Incoming POs'!$A$2:$A$305,A734,'Incoming POs'!$B$2:$B$305,B734,'Incoming POs'!$C$2:$C$305,C734,'Incoming POs'!$G$2:$G$305,"&gt;="&amp;D734,'Incoming POs'!$G$2:$G$305,"&lt;"&amp;Dashboard!$I$5)</x:f>
        <x:v>0</x:v>
      </x:c>
      <x:c r="Q734" s="1" t="n">
        <x:f>F734*Dashboard!$L$5*MAX(0,Dashboard!$I$5-D734)/30.4375</x:f>
        <x:v>0</x:v>
      </x:c>
      <x:c r="R734" s="1" t="n">
        <x:f>MAX(0,E734+P734-Q734)</x:f>
        <x:v>400</x:v>
      </x:c>
      <x:c r="S734" s="1" t="n">
        <x:f>MAX(0,Q734-E734-P734)</x:f>
        <x:v>0</x:v>
      </x:c>
      <x:c r="T734" s="1" t="str">
        <x:f>IF(L734=1,MAX(0,I734+AB734-MIN(Q734,E734+P734)),"n.a.")</x:f>
        <x:v>n.a.</x:v>
      </x:c>
      <x:c r="U734" s="9" t="str">
        <x:f>IF(ISNUMBER(T734),T734*G734,"n.a.")</x:f>
        <x:v>n.a.</x:v>
      </x:c>
      <x:c r="V734" s="25" t="n">
        <x:f>IF(Dashboard!$I$6="Flat %",1,IF(ISNUMBER(H734),1,0))</x:f>
        <x:v>1</x:v>
      </x:c>
      <x:c r="W734" s="9" t="n">
        <x:f>IF(Dashboard!$I$6="Flat %",G734*(1+Dashboard!$L$6),H734)</x:f>
        <x:v>0.062916</x:v>
      </x:c>
      <x:c r="X734" s="9" t="n">
        <x:f>IF(V734=1,R734*(W734-G734),"n.a.")</x:f>
        <x:v>3.6464</x:v>
      </x:c>
      <x:c r="Y734" s="9" t="n">
        <x:f>IF(V734=1,R734*W734,"n.a.")</x:f>
        <x:v>25.1664</x:v>
      </x:c>
      <x:c r="Z734" s="1" t="str">
        <x:f>IF(ISNUMBER(T734),R734-T734,"n.a.")</x:f>
        <x:v>n.a.</x:v>
      </x:c>
      <x:c r="AA734" s="1" t="str">
        <x:f>'Inventory inputs'!R734</x:f>
        <x:v>Review receipt reconciliation or original PO baseline</x:v>
      </x:c>
      <x:c r="AB734" s="1" t="str">
        <x:f>IF(L734=1,SUMIFS('Incoming POs'!$P$2:$P$305,'Incoming POs'!$A$2:$A$305,A734,'Incoming POs'!$B$2:$B$305,B734,'Incoming POs'!$C$2:$C$305,C734,'Incoming POs'!$G$2:$G$305,"&gt;="&amp;D734,'Incoming POs'!$G$2:$G$305,"&lt;"&amp;Dashboard!$I$5,'Incoming POs'!$Q$2:$Q$305,"&lt;="&amp;('Inventory inputs'!P734/'Inventory inputs'!J734*1.01)),"n.a.")</x:f>
        <x:v>n.a.</x:v>
      </x:c>
      <x:c r="AC734" s="9" t="n">
        <x:f>I734*G734</x:f>
        <x:v>0</x:v>
      </x:c>
      <x:c r="AD734" s="9" t="n">
        <x:f>J734*G734</x:f>
        <x:v>0</x:v>
      </x:c>
      <x:c r="AE734" s="9" t="n">
        <x:f>K734*G734</x:f>
        <x:v>21.52</x:v>
      </x:c>
      <x:c r="AF734" s="9" t="n">
        <x:f>R734*G734</x:f>
        <x:v>21.52</x:v>
      </x:c>
    </x:row>
    <x:row r="735" ht="21" customHeight="1">
      <x:c r="A735" s="1" t="str">
        <x:f>'Inventory inputs'!A735</x:f>
        <x:v>PLAS</x:v>
      </x:c>
      <x:c r="B735" s="1" t="str">
        <x:f>'Inventory inputs'!B735</x:f>
        <x:v>30</x:v>
      </x:c>
      <x:c r="C735" s="1" t="str">
        <x:f>'Inventory inputs'!C735</x:f>
        <x:v>07815RWBWHT</x:v>
      </x:c>
      <x:c r="D735" s="7" t="n">
        <x:f>'Inventory inputs'!E735</x:f>
        <x:v>46303</x:v>
      </x:c>
      <x:c r="E735" s="1" t="n">
        <x:f>'Inventory inputs'!F735</x:f>
        <x:v>500</x:v>
      </x:c>
      <x:c r="F735" s="1" t="n">
        <x:f>'Inventory inputs'!G735</x:f>
        <x:v>0</x:v>
      </x:c>
      <x:c r="G735" s="1" t="n">
        <x:f>'Inventory inputs'!H735/'Inventory inputs'!J735</x:f>
        <x:v>0.0538</x:v>
      </x:c>
      <x:c r="H735" s="1" t="n">
        <x:f>IF('Inventory inputs'!I735&gt;0,'Inventory inputs'!I735*'Inventory inputs'!K735/'Inventory inputs'!J735,"n.a.")</x:f>
        <x:v>0.062916</x:v>
      </x:c>
      <x:c r="I735" s="1" t="n">
        <x:f>'Inventory inputs'!L735</x:f>
        <x:v>0</x:v>
      </x:c>
      <x:c r="J735" s="1" t="n">
        <x:f>'Inventory inputs'!M735</x:f>
        <x:v>0</x:v>
      </x:c>
      <x:c r="K735" s="1" t="n">
        <x:f>'Inventory inputs'!N735</x:f>
        <x:v>500</x:v>
      </x:c>
      <x:c r="L735" s="1" t="n">
        <x:f>'Inventory inputs'!O735</x:f>
        <x:v>0</x:v>
      </x:c>
      <x:c r="M735" s="9" t="n">
        <x:f>E735*G735</x:f>
        <x:v>26.9</x:v>
      </x:c>
      <x:c r="N735" s="9" t="n">
        <x:f>'Inventory inputs'!Q735</x:f>
        <x:v>26.900000000000002</x:v>
      </x:c>
      <x:c r="O735" s="9" t="n">
        <x:f>N735-M735</x:f>
        <x:v>3.552713678800501e-15</x:v>
      </x:c>
      <x:c r="P735" s="1" t="n">
        <x:f>SUMIFS('Incoming POs'!$P$2:$P$305,'Incoming POs'!$A$2:$A$305,A735,'Incoming POs'!$B$2:$B$305,B735,'Incoming POs'!$C$2:$C$305,C735,'Incoming POs'!$G$2:$G$305,"&gt;="&amp;D735,'Incoming POs'!$G$2:$G$305,"&lt;"&amp;Dashboard!$I$5)</x:f>
        <x:v>0</x:v>
      </x:c>
      <x:c r="Q735" s="1" t="n">
        <x:f>F735*Dashboard!$L$5*MAX(0,Dashboard!$I$5-D735)/30.4375</x:f>
        <x:v>0</x:v>
      </x:c>
      <x:c r="R735" s="1" t="n">
        <x:f>MAX(0,E735+P735-Q735)</x:f>
        <x:v>500</x:v>
      </x:c>
      <x:c r="S735" s="1" t="n">
        <x:f>MAX(0,Q735-E735-P735)</x:f>
        <x:v>0</x:v>
      </x:c>
      <x:c r="T735" s="1" t="str">
        <x:f>IF(L735=1,MAX(0,I735+AB735-MIN(Q735,E735+P735)),"n.a.")</x:f>
        <x:v>n.a.</x:v>
      </x:c>
      <x:c r="U735" s="9" t="str">
        <x:f>IF(ISNUMBER(T735),T735*G735,"n.a.")</x:f>
        <x:v>n.a.</x:v>
      </x:c>
      <x:c r="V735" s="25" t="n">
        <x:f>IF(Dashboard!$I$6="Flat %",1,IF(ISNUMBER(H735),1,0))</x:f>
        <x:v>1</x:v>
      </x:c>
      <x:c r="W735" s="9" t="n">
        <x:f>IF(Dashboard!$I$6="Flat %",G735*(1+Dashboard!$L$6),H735)</x:f>
        <x:v>0.062916</x:v>
      </x:c>
      <x:c r="X735" s="9" t="n">
        <x:f>IF(V735=1,R735*(W735-G735),"n.a.")</x:f>
        <x:v>4.558</x:v>
      </x:c>
      <x:c r="Y735" s="9" t="n">
        <x:f>IF(V735=1,R735*W735,"n.a.")</x:f>
        <x:v>31.458</x:v>
      </x:c>
      <x:c r="Z735" s="1" t="str">
        <x:f>IF(ISNUMBER(T735),R735-T735,"n.a.")</x:f>
        <x:v>n.a.</x:v>
      </x:c>
      <x:c r="AA735" s="1" t="str">
        <x:f>'Inventory inputs'!R735</x:f>
        <x:v>Review receipt reconciliation or original PO baseline</x:v>
      </x:c>
      <x:c r="AB735" s="1" t="str">
        <x:f>IF(L735=1,SUMIFS('Incoming POs'!$P$2:$P$305,'Incoming POs'!$A$2:$A$305,A735,'Incoming POs'!$B$2:$B$305,B735,'Incoming POs'!$C$2:$C$305,C735,'Incoming POs'!$G$2:$G$305,"&gt;="&amp;D735,'Incoming POs'!$G$2:$G$305,"&lt;"&amp;Dashboard!$I$5,'Incoming POs'!$Q$2:$Q$305,"&lt;="&amp;('Inventory inputs'!P735/'Inventory inputs'!J735*1.01)),"n.a.")</x:f>
        <x:v>n.a.</x:v>
      </x:c>
      <x:c r="AC735" s="9" t="n">
        <x:f>I735*G735</x:f>
        <x:v>0</x:v>
      </x:c>
      <x:c r="AD735" s="9" t="n">
        <x:f>J735*G735</x:f>
        <x:v>0</x:v>
      </x:c>
      <x:c r="AE735" s="9" t="n">
        <x:f>K735*G735</x:f>
        <x:v>26.9</x:v>
      </x:c>
      <x:c r="AF735" s="9" t="n">
        <x:f>R735*G735</x:f>
        <x:v>26.9</x:v>
      </x:c>
    </x:row>
    <x:row r="736" ht="21" customHeight="1">
      <x:c r="A736" s="1" t="str">
        <x:f>'Inventory inputs'!A736</x:f>
        <x:v>PLAS</x:v>
      </x:c>
      <x:c r="B736" s="1" t="str">
        <x:f>'Inventory inputs'!B736</x:f>
        <x:v>30</x:v>
      </x:c>
      <x:c r="C736" s="1" t="str">
        <x:f>'Inventory inputs'!C736</x:f>
        <x:v>07819RWBCLR</x:v>
      </x:c>
      <x:c r="D736" s="7" t="n">
        <x:f>'Inventory inputs'!E736</x:f>
        <x:v>46303</x:v>
      </x:c>
      <x:c r="E736" s="1" t="n">
        <x:f>'Inventory inputs'!F736</x:f>
        <x:v>1300</x:v>
      </x:c>
      <x:c r="F736" s="1" t="n">
        <x:f>'Inventory inputs'!G736</x:f>
        <x:v>0</x:v>
      </x:c>
      <x:c r="G736" s="1" t="n">
        <x:f>'Inventory inputs'!H736/'Inventory inputs'!J736</x:f>
        <x:v>0.0797</x:v>
      </x:c>
      <x:c r="H736" s="1" t="n">
        <x:f>IF('Inventory inputs'!I736&gt;0,'Inventory inputs'!I736*'Inventory inputs'!K736/'Inventory inputs'!J736,"n.a.")</x:f>
        <x:v>0.09319799999999999</x:v>
      </x:c>
      <x:c r="I736" s="1" t="n">
        <x:f>'Inventory inputs'!L736</x:f>
        <x:v>0</x:v>
      </x:c>
      <x:c r="J736" s="1" t="n">
        <x:f>'Inventory inputs'!M736</x:f>
        <x:v>0</x:v>
      </x:c>
      <x:c r="K736" s="1" t="n">
        <x:f>'Inventory inputs'!N736</x:f>
        <x:v>1300</x:v>
      </x:c>
      <x:c r="L736" s="1" t="n">
        <x:f>'Inventory inputs'!O736</x:f>
        <x:v>0</x:v>
      </x:c>
      <x:c r="M736" s="9" t="n">
        <x:f>E736*G736</x:f>
        <x:v>103.60999999999999</x:v>
      </x:c>
      <x:c r="N736" s="9" t="n">
        <x:f>'Inventory inputs'!Q736</x:f>
        <x:v>103.61</x:v>
      </x:c>
      <x:c r="O736" s="9" t="n">
        <x:f>N736-M736</x:f>
        <x:v>1.4210854715202004e-14</x:v>
      </x:c>
      <x:c r="P736" s="1" t="n">
        <x:f>SUMIFS('Incoming POs'!$P$2:$P$305,'Incoming POs'!$A$2:$A$305,A736,'Incoming POs'!$B$2:$B$305,B736,'Incoming POs'!$C$2:$C$305,C736,'Incoming POs'!$G$2:$G$305,"&gt;="&amp;D736,'Incoming POs'!$G$2:$G$305,"&lt;"&amp;Dashboard!$I$5)</x:f>
        <x:v>0</x:v>
      </x:c>
      <x:c r="Q736" s="1" t="n">
        <x:f>F736*Dashboard!$L$5*MAX(0,Dashboard!$I$5-D736)/30.4375</x:f>
        <x:v>0</x:v>
      </x:c>
      <x:c r="R736" s="1" t="n">
        <x:f>MAX(0,E736+P736-Q736)</x:f>
        <x:v>1300</x:v>
      </x:c>
      <x:c r="S736" s="1" t="n">
        <x:f>MAX(0,Q736-E736-P736)</x:f>
        <x:v>0</x:v>
      </x:c>
      <x:c r="T736" s="1" t="str">
        <x:f>IF(L736=1,MAX(0,I736+AB736-MIN(Q736,E736+P736)),"n.a.")</x:f>
        <x:v>n.a.</x:v>
      </x:c>
      <x:c r="U736" s="9" t="str">
        <x:f>IF(ISNUMBER(T736),T736*G736,"n.a.")</x:f>
        <x:v>n.a.</x:v>
      </x:c>
      <x:c r="V736" s="25" t="n">
        <x:f>IF(Dashboard!$I$6="Flat %",1,IF(ISNUMBER(H736),1,0))</x:f>
        <x:v>1</x:v>
      </x:c>
      <x:c r="W736" s="9" t="n">
        <x:f>IF(Dashboard!$I$6="Flat %",G736*(1+Dashboard!$L$6),H736)</x:f>
        <x:v>0.09319799999999999</x:v>
      </x:c>
      <x:c r="X736" s="9" t="n">
        <x:f>IF(V736=1,R736*(W736-G736),"n.a.")</x:f>
        <x:v>17.547399999999996</x:v>
      </x:c>
      <x:c r="Y736" s="9" t="n">
        <x:f>IF(V736=1,R736*W736,"n.a.")</x:f>
        <x:v>121.15739999999998</x:v>
      </x:c>
      <x:c r="Z736" s="1" t="str">
        <x:f>IF(ISNUMBER(T736),R736-T736,"n.a.")</x:f>
        <x:v>n.a.</x:v>
      </x:c>
      <x:c r="AA736" s="1" t="str">
        <x:f>'Inventory inputs'!R736</x:f>
        <x:v>Review receipt reconciliation or original PO baseline</x:v>
      </x:c>
      <x:c r="AB736" s="1" t="str">
        <x:f>IF(L736=1,SUMIFS('Incoming POs'!$P$2:$P$305,'Incoming POs'!$A$2:$A$305,A736,'Incoming POs'!$B$2:$B$305,B736,'Incoming POs'!$C$2:$C$305,C736,'Incoming POs'!$G$2:$G$305,"&gt;="&amp;D736,'Incoming POs'!$G$2:$G$305,"&lt;"&amp;Dashboard!$I$5,'Incoming POs'!$Q$2:$Q$305,"&lt;="&amp;('Inventory inputs'!P736/'Inventory inputs'!J736*1.01)),"n.a.")</x:f>
        <x:v>n.a.</x:v>
      </x:c>
      <x:c r="AC736" s="9" t="n">
        <x:f>I736*G736</x:f>
        <x:v>0</x:v>
      </x:c>
      <x:c r="AD736" s="9" t="n">
        <x:f>J736*G736</x:f>
        <x:v>0</x:v>
      </x:c>
      <x:c r="AE736" s="9" t="n">
        <x:f>K736*G736</x:f>
        <x:v>103.60999999999999</x:v>
      </x:c>
      <x:c r="AF736" s="9" t="n">
        <x:f>R736*G736</x:f>
        <x:v>103.60999999999999</x:v>
      </x:c>
    </x:row>
    <x:row r="737" ht="21" customHeight="1">
      <x:c r="A737" s="1" t="str">
        <x:f>'Inventory inputs'!A737</x:f>
        <x:v>PLAS</x:v>
      </x:c>
      <x:c r="B737" s="1" t="str">
        <x:f>'Inventory inputs'!B737</x:f>
        <x:v>30</x:v>
      </x:c>
      <x:c r="C737" s="1" t="str">
        <x:f>'Inventory inputs'!C737</x:f>
        <x:v>07819RWBNAV</x:v>
      </x:c>
      <x:c r="D737" s="7" t="n">
        <x:f>'Inventory inputs'!E737</x:f>
        <x:v>46303</x:v>
      </x:c>
      <x:c r="E737" s="1" t="n">
        <x:f>'Inventory inputs'!F737</x:f>
        <x:v>400</x:v>
      </x:c>
      <x:c r="F737" s="1" t="n">
        <x:f>'Inventory inputs'!G737</x:f>
        <x:v>0</x:v>
      </x:c>
      <x:c r="G737" s="1" t="n">
        <x:f>'Inventory inputs'!H737/'Inventory inputs'!J737</x:f>
        <x:v>0.0797</x:v>
      </x:c>
      <x:c r="H737" s="1" t="n">
        <x:f>IF('Inventory inputs'!I737&gt;0,'Inventory inputs'!I737*'Inventory inputs'!K737/'Inventory inputs'!J737,"n.a.")</x:f>
        <x:v>0.09319799999999999</x:v>
      </x:c>
      <x:c r="I737" s="1" t="n">
        <x:f>'Inventory inputs'!L737</x:f>
        <x:v>0</x:v>
      </x:c>
      <x:c r="J737" s="1" t="n">
        <x:f>'Inventory inputs'!M737</x:f>
        <x:v>0</x:v>
      </x:c>
      <x:c r="K737" s="1" t="n">
        <x:f>'Inventory inputs'!N737</x:f>
        <x:v>400</x:v>
      </x:c>
      <x:c r="L737" s="1" t="n">
        <x:f>'Inventory inputs'!O737</x:f>
        <x:v>0</x:v>
      </x:c>
      <x:c r="M737" s="9" t="n">
        <x:f>E737*G737</x:f>
        <x:v>31.879999999999995</x:v>
      </x:c>
      <x:c r="N737" s="9" t="n">
        <x:f>'Inventory inputs'!Q737</x:f>
        <x:v>31.88</x:v>
      </x:c>
      <x:c r="O737" s="9" t="n">
        <x:f>N737-M737</x:f>
        <x:v>3.552713678800501e-15</x:v>
      </x:c>
      <x:c r="P737" s="1" t="n">
        <x:f>SUMIFS('Incoming POs'!$P$2:$P$305,'Incoming POs'!$A$2:$A$305,A737,'Incoming POs'!$B$2:$B$305,B737,'Incoming POs'!$C$2:$C$305,C737,'Incoming POs'!$G$2:$G$305,"&gt;="&amp;D737,'Incoming POs'!$G$2:$G$305,"&lt;"&amp;Dashboard!$I$5)</x:f>
        <x:v>0</x:v>
      </x:c>
      <x:c r="Q737" s="1" t="n">
        <x:f>F737*Dashboard!$L$5*MAX(0,Dashboard!$I$5-D737)/30.4375</x:f>
        <x:v>0</x:v>
      </x:c>
      <x:c r="R737" s="1" t="n">
        <x:f>MAX(0,E737+P737-Q737)</x:f>
        <x:v>400</x:v>
      </x:c>
      <x:c r="S737" s="1" t="n">
        <x:f>MAX(0,Q737-E737-P737)</x:f>
        <x:v>0</x:v>
      </x:c>
      <x:c r="T737" s="1" t="str">
        <x:f>IF(L737=1,MAX(0,I737+AB737-MIN(Q737,E737+P737)),"n.a.")</x:f>
        <x:v>n.a.</x:v>
      </x:c>
      <x:c r="U737" s="9" t="str">
        <x:f>IF(ISNUMBER(T737),T737*G737,"n.a.")</x:f>
        <x:v>n.a.</x:v>
      </x:c>
      <x:c r="V737" s="25" t="n">
        <x:f>IF(Dashboard!$I$6="Flat %",1,IF(ISNUMBER(H737),1,0))</x:f>
        <x:v>1</x:v>
      </x:c>
      <x:c r="W737" s="9" t="n">
        <x:f>IF(Dashboard!$I$6="Flat %",G737*(1+Dashboard!$L$6),H737)</x:f>
        <x:v>0.09319799999999999</x:v>
      </x:c>
      <x:c r="X737" s="9" t="n">
        <x:f>IF(V737=1,R737*(W737-G737),"n.a.")</x:f>
        <x:v>5.399199999999999</x:v>
      </x:c>
      <x:c r="Y737" s="9" t="n">
        <x:f>IF(V737=1,R737*W737,"n.a.")</x:f>
        <x:v>37.279199999999996</x:v>
      </x:c>
      <x:c r="Z737" s="1" t="str">
        <x:f>IF(ISNUMBER(T737),R737-T737,"n.a.")</x:f>
        <x:v>n.a.</x:v>
      </x:c>
      <x:c r="AA737" s="1" t="str">
        <x:f>'Inventory inputs'!R737</x:f>
        <x:v>Review receipt reconciliation or original PO baseline</x:v>
      </x:c>
      <x:c r="AB737" s="1" t="str">
        <x:f>IF(L737=1,SUMIFS('Incoming POs'!$P$2:$P$305,'Incoming POs'!$A$2:$A$305,A737,'Incoming POs'!$B$2:$B$305,B737,'Incoming POs'!$C$2:$C$305,C737,'Incoming POs'!$G$2:$G$305,"&gt;="&amp;D737,'Incoming POs'!$G$2:$G$305,"&lt;"&amp;Dashboard!$I$5,'Incoming POs'!$Q$2:$Q$305,"&lt;="&amp;('Inventory inputs'!P737/'Inventory inputs'!J737*1.01)),"n.a.")</x:f>
        <x:v>n.a.</x:v>
      </x:c>
      <x:c r="AC737" s="9" t="n">
        <x:f>I737*G737</x:f>
        <x:v>0</x:v>
      </x:c>
      <x:c r="AD737" s="9" t="n">
        <x:f>J737*G737</x:f>
        <x:v>0</x:v>
      </x:c>
      <x:c r="AE737" s="9" t="n">
        <x:f>K737*G737</x:f>
        <x:v>31.879999999999995</x:v>
      </x:c>
      <x:c r="AF737" s="9" t="n">
        <x:f>R737*G737</x:f>
        <x:v>31.879999999999995</x:v>
      </x:c>
    </x:row>
    <x:row r="738" ht="21" customHeight="1">
      <x:c r="A738" s="1" t="str">
        <x:f>'Inventory inputs'!A738</x:f>
        <x:v>PLAS</x:v>
      </x:c>
      <x:c r="B738" s="1" t="str">
        <x:f>'Inventory inputs'!B738</x:f>
        <x:v>30</x:v>
      </x:c>
      <x:c r="C738" s="1" t="str">
        <x:f>'Inventory inputs'!C738</x:f>
        <x:v>07819RWBRED</x:v>
      </x:c>
      <x:c r="D738" s="7" t="n">
        <x:f>'Inventory inputs'!E738</x:f>
        <x:v>46303</x:v>
      </x:c>
      <x:c r="E738" s="1" t="n">
        <x:f>'Inventory inputs'!F738</x:f>
        <x:v>800</x:v>
      </x:c>
      <x:c r="F738" s="1" t="n">
        <x:f>'Inventory inputs'!G738</x:f>
        <x:v>0</x:v>
      </x:c>
      <x:c r="G738" s="1" t="n">
        <x:f>'Inventory inputs'!H738/'Inventory inputs'!J738</x:f>
        <x:v>0.0797</x:v>
      </x:c>
      <x:c r="H738" s="1" t="n">
        <x:f>IF('Inventory inputs'!I738&gt;0,'Inventory inputs'!I738*'Inventory inputs'!K738/'Inventory inputs'!J738,"n.a.")</x:f>
        <x:v>0.09319799999999999</x:v>
      </x:c>
      <x:c r="I738" s="1" t="n">
        <x:f>'Inventory inputs'!L738</x:f>
        <x:v>0</x:v>
      </x:c>
      <x:c r="J738" s="1" t="n">
        <x:f>'Inventory inputs'!M738</x:f>
        <x:v>0</x:v>
      </x:c>
      <x:c r="K738" s="1" t="n">
        <x:f>'Inventory inputs'!N738</x:f>
        <x:v>800</x:v>
      </x:c>
      <x:c r="L738" s="1" t="n">
        <x:f>'Inventory inputs'!O738</x:f>
        <x:v>0</x:v>
      </x:c>
      <x:c r="M738" s="9" t="n">
        <x:f>E738*G738</x:f>
        <x:v>63.75999999999999</x:v>
      </x:c>
      <x:c r="N738" s="9" t="n">
        <x:f>'Inventory inputs'!Q738</x:f>
        <x:v>63.76</x:v>
      </x:c>
      <x:c r="O738" s="9" t="n">
        <x:f>N738-M738</x:f>
        <x:v>7.105427357601002e-15</x:v>
      </x:c>
      <x:c r="P738" s="1" t="n">
        <x:f>SUMIFS('Incoming POs'!$P$2:$P$305,'Incoming POs'!$A$2:$A$305,A738,'Incoming POs'!$B$2:$B$305,B738,'Incoming POs'!$C$2:$C$305,C738,'Incoming POs'!$G$2:$G$305,"&gt;="&amp;D738,'Incoming POs'!$G$2:$G$305,"&lt;"&amp;Dashboard!$I$5)</x:f>
        <x:v>0</x:v>
      </x:c>
      <x:c r="Q738" s="1" t="n">
        <x:f>F738*Dashboard!$L$5*MAX(0,Dashboard!$I$5-D738)/30.4375</x:f>
        <x:v>0</x:v>
      </x:c>
      <x:c r="R738" s="1" t="n">
        <x:f>MAX(0,E738+P738-Q738)</x:f>
        <x:v>800</x:v>
      </x:c>
      <x:c r="S738" s="1" t="n">
        <x:f>MAX(0,Q738-E738-P738)</x:f>
        <x:v>0</x:v>
      </x:c>
      <x:c r="T738" s="1" t="str">
        <x:f>IF(L738=1,MAX(0,I738+AB738-MIN(Q738,E738+P738)),"n.a.")</x:f>
        <x:v>n.a.</x:v>
      </x:c>
      <x:c r="U738" s="9" t="str">
        <x:f>IF(ISNUMBER(T738),T738*G738,"n.a.")</x:f>
        <x:v>n.a.</x:v>
      </x:c>
      <x:c r="V738" s="25" t="n">
        <x:f>IF(Dashboard!$I$6="Flat %",1,IF(ISNUMBER(H738),1,0))</x:f>
        <x:v>1</x:v>
      </x:c>
      <x:c r="W738" s="9" t="n">
        <x:f>IF(Dashboard!$I$6="Flat %",G738*(1+Dashboard!$L$6),H738)</x:f>
        <x:v>0.09319799999999999</x:v>
      </x:c>
      <x:c r="X738" s="9" t="n">
        <x:f>IF(V738=1,R738*(W738-G738),"n.a.")</x:f>
        <x:v>10.798399999999997</x:v>
      </x:c>
      <x:c r="Y738" s="9" t="n">
        <x:f>IF(V738=1,R738*W738,"n.a.")</x:f>
        <x:v>74.55839999999999</x:v>
      </x:c>
      <x:c r="Z738" s="1" t="str">
        <x:f>IF(ISNUMBER(T738),R738-T738,"n.a.")</x:f>
        <x:v>n.a.</x:v>
      </x:c>
      <x:c r="AA738" s="1" t="str">
        <x:f>'Inventory inputs'!R738</x:f>
        <x:v>Review receipt reconciliation or original PO baseline</x:v>
      </x:c>
      <x:c r="AB738" s="1" t="str">
        <x:f>IF(L738=1,SUMIFS('Incoming POs'!$P$2:$P$305,'Incoming POs'!$A$2:$A$305,A738,'Incoming POs'!$B$2:$B$305,B738,'Incoming POs'!$C$2:$C$305,C738,'Incoming POs'!$G$2:$G$305,"&gt;="&amp;D738,'Incoming POs'!$G$2:$G$305,"&lt;"&amp;Dashboard!$I$5,'Incoming POs'!$Q$2:$Q$305,"&lt;="&amp;('Inventory inputs'!P738/'Inventory inputs'!J738*1.01)),"n.a.")</x:f>
        <x:v>n.a.</x:v>
      </x:c>
      <x:c r="AC738" s="9" t="n">
        <x:f>I738*G738</x:f>
        <x:v>0</x:v>
      </x:c>
      <x:c r="AD738" s="9" t="n">
        <x:f>J738*G738</x:f>
        <x:v>0</x:v>
      </x:c>
      <x:c r="AE738" s="9" t="n">
        <x:f>K738*G738</x:f>
        <x:v>63.75999999999999</x:v>
      </x:c>
      <x:c r="AF738" s="9" t="n">
        <x:f>R738*G738</x:f>
        <x:v>63.75999999999999</x:v>
      </x:c>
    </x:row>
    <x:row r="739" ht="21" customHeight="1">
      <x:c r="A739" s="1" t="str">
        <x:f>'Inventory inputs'!A739</x:f>
        <x:v>PLAS</x:v>
      </x:c>
      <x:c r="B739" s="1" t="str">
        <x:f>'Inventory inputs'!B739</x:f>
        <x:v>30</x:v>
      </x:c>
      <x:c r="C739" s="1" t="str">
        <x:f>'Inventory inputs'!C739</x:f>
        <x:v>07880RWBBLK</x:v>
      </x:c>
      <x:c r="D739" s="7" t="n">
        <x:f>'Inventory inputs'!E739</x:f>
        <x:v>46303</x:v>
      </x:c>
      <x:c r="E739" s="1" t="n">
        <x:f>'Inventory inputs'!F739</x:f>
        <x:v>0</x:v>
      </x:c>
      <x:c r="F739" s="1" t="n">
        <x:f>'Inventory inputs'!G739</x:f>
        <x:v>0</x:v>
      </x:c>
      <x:c r="G739" s="1" t="n">
        <x:f>'Inventory inputs'!H739/'Inventory inputs'!J739</x:f>
        <x:v>0.2962</x:v>
      </x:c>
      <x:c r="H739" s="1" t="n">
        <x:f>IF('Inventory inputs'!I739&gt;0,'Inventory inputs'!I739*'Inventory inputs'!K739/'Inventory inputs'!J739,"n.a.")</x:f>
        <x:v>0.346626</x:v>
      </x:c>
      <x:c r="I739" s="1" t="n">
        <x:f>'Inventory inputs'!L739</x:f>
        <x:v>0</x:v>
      </x:c>
      <x:c r="J739" s="1" t="n">
        <x:f>'Inventory inputs'!M739</x:f>
        <x:v>0</x:v>
      </x:c>
      <x:c r="K739" s="1" t="n">
        <x:f>'Inventory inputs'!N739</x:f>
        <x:v>0</x:v>
      </x:c>
      <x:c r="L739" s="1" t="n">
        <x:f>'Inventory inputs'!O739</x:f>
        <x:v>1</x:v>
      </x:c>
      <x:c r="M739" s="9" t="n">
        <x:f>E739*G739</x:f>
        <x:v>0</x:v>
      </x:c>
      <x:c r="N739" s="9" t="n">
        <x:f>'Inventory inputs'!Q739</x:f>
        <x:v>0</x:v>
      </x:c>
      <x:c r="O739" s="9" t="n">
        <x:f>N739-M739</x:f>
        <x:v>0</x:v>
      </x:c>
      <x:c r="P739" s="1" t="n">
        <x:f>SUMIFS('Incoming POs'!$P$2:$P$305,'Incoming POs'!$A$2:$A$305,A739,'Incoming POs'!$B$2:$B$305,B739,'Incoming POs'!$C$2:$C$305,C739,'Incoming POs'!$G$2:$G$305,"&gt;="&amp;D739,'Incoming POs'!$G$2:$G$305,"&lt;"&amp;Dashboard!$I$5)</x:f>
        <x:v>0</x:v>
      </x:c>
      <x:c r="Q739" s="1" t="n">
        <x:f>F739*Dashboard!$L$5*MAX(0,Dashboard!$I$5-D739)/30.4375</x:f>
        <x:v>0</x:v>
      </x:c>
      <x:c r="R739" s="1" t="n">
        <x:f>MAX(0,E739+P739-Q739)</x:f>
        <x:v>0</x:v>
      </x:c>
      <x:c r="S739" s="1" t="n">
        <x:f>MAX(0,Q739-E739-P739)</x:f>
        <x:v>0</x:v>
      </x:c>
      <x:c r="T739" s="1" t="n">
        <x:f>IF(L739=1,MAX(0,I739+AB739-MIN(Q739,E739+P739)),"n.a.")</x:f>
        <x:v>0</x:v>
      </x:c>
      <x:c r="U739" s="9" t="n">
        <x:f>IF(ISNUMBER(T739),T739*G739,"n.a.")</x:f>
        <x:v>0</x:v>
      </x:c>
      <x:c r="V739" s="25" t="n">
        <x:f>IF(Dashboard!$I$6="Flat %",1,IF(ISNUMBER(H739),1,0))</x:f>
        <x:v>1</x:v>
      </x:c>
      <x:c r="W739" s="9" t="n">
        <x:f>IF(Dashboard!$I$6="Flat %",G739*(1+Dashboard!$L$6),H739)</x:f>
        <x:v>0.346626</x:v>
      </x:c>
      <x:c r="X739" s="9" t="n">
        <x:f>IF(V739=1,R739*(W739-G739),"n.a.")</x:f>
        <x:v>0</x:v>
      </x:c>
      <x:c r="Y739" s="9" t="n">
        <x:f>IF(V739=1,R739*W739,"n.a.")</x:f>
        <x:v>0</x:v>
      </x:c>
      <x:c r="Z739" s="1" t="n">
        <x:f>IF(ISNUMBER(T739),R739-T739,"n.a.")</x:f>
        <x:v>0</x:v>
      </x:c>
      <x:c r="AA739" s="1" t="str">
        <x:f>'Inventory inputs'!R739</x:f>
        <x:v>Classified</x:v>
      </x:c>
      <x:c r="AB739" s="1" t="n">
        <x:f>IF(L739=1,SUMIFS('Incoming POs'!$P$2:$P$305,'Incoming POs'!$A$2:$A$305,A739,'Incoming POs'!$B$2:$B$305,B739,'Incoming POs'!$C$2:$C$305,C739,'Incoming POs'!$G$2:$G$305,"&gt;="&amp;D739,'Incoming POs'!$G$2:$G$305,"&lt;"&amp;Dashboard!$I$5,'Incoming POs'!$Q$2:$Q$305,"&lt;="&amp;('Inventory inputs'!P739/'Inventory inputs'!J739*1.01)),"n.a.")</x:f>
        <x:v>0</x:v>
      </x:c>
      <x:c r="AC739" s="9" t="n">
        <x:f>I739*G739</x:f>
        <x:v>0</x:v>
      </x:c>
      <x:c r="AD739" s="9" t="n">
        <x:f>J739*G739</x:f>
        <x:v>0</x:v>
      </x:c>
      <x:c r="AE739" s="9" t="n">
        <x:f>K739*G739</x:f>
        <x:v>0</x:v>
      </x:c>
      <x:c r="AF739" s="9" t="n">
        <x:f>R739*G739</x:f>
        <x:v>0</x:v>
      </x:c>
    </x:row>
    <x:row r="740" ht="21" customHeight="1">
      <x:c r="A740" s="1" t="str">
        <x:f>'Inventory inputs'!A740</x:f>
        <x:v>PLAS</x:v>
      </x:c>
      <x:c r="B740" s="1" t="str">
        <x:f>'Inventory inputs'!B740</x:f>
        <x:v>30</x:v>
      </x:c>
      <x:c r="C740" s="1" t="str">
        <x:f>'Inventory inputs'!C740</x:f>
        <x:v>07880RWBWHT</x:v>
      </x:c>
      <x:c r="D740" s="7" t="n">
        <x:f>'Inventory inputs'!E740</x:f>
        <x:v>46303</x:v>
      </x:c>
      <x:c r="E740" s="1" t="n">
        <x:f>'Inventory inputs'!F740</x:f>
        <x:v>0</x:v>
      </x:c>
      <x:c r="F740" s="1" t="n">
        <x:f>'Inventory inputs'!G740</x:f>
        <x:v>0</x:v>
      </x:c>
      <x:c r="G740" s="1" t="n">
        <x:f>'Inventory inputs'!H740/'Inventory inputs'!J740</x:f>
        <x:v>0.2962</x:v>
      </x:c>
      <x:c r="H740" s="1" t="n">
        <x:f>IF('Inventory inputs'!I740&gt;0,'Inventory inputs'!I740*'Inventory inputs'!K740/'Inventory inputs'!J740,"n.a.")</x:f>
        <x:v>0.346626</x:v>
      </x:c>
      <x:c r="I740" s="1" t="n">
        <x:f>'Inventory inputs'!L740</x:f>
        <x:v>0</x:v>
      </x:c>
      <x:c r="J740" s="1" t="n">
        <x:f>'Inventory inputs'!M740</x:f>
        <x:v>0</x:v>
      </x:c>
      <x:c r="K740" s="1" t="n">
        <x:f>'Inventory inputs'!N740</x:f>
        <x:v>0</x:v>
      </x:c>
      <x:c r="L740" s="1" t="n">
        <x:f>'Inventory inputs'!O740</x:f>
        <x:v>1</x:v>
      </x:c>
      <x:c r="M740" s="9" t="n">
        <x:f>E740*G740</x:f>
        <x:v>0</x:v>
      </x:c>
      <x:c r="N740" s="9" t="n">
        <x:f>'Inventory inputs'!Q740</x:f>
        <x:v>0</x:v>
      </x:c>
      <x:c r="O740" s="9" t="n">
        <x:f>N740-M740</x:f>
        <x:v>0</x:v>
      </x:c>
      <x:c r="P740" s="1" t="n">
        <x:f>SUMIFS('Incoming POs'!$P$2:$P$305,'Incoming POs'!$A$2:$A$305,A740,'Incoming POs'!$B$2:$B$305,B740,'Incoming POs'!$C$2:$C$305,C740,'Incoming POs'!$G$2:$G$305,"&gt;="&amp;D740,'Incoming POs'!$G$2:$G$305,"&lt;"&amp;Dashboard!$I$5)</x:f>
        <x:v>0</x:v>
      </x:c>
      <x:c r="Q740" s="1" t="n">
        <x:f>F740*Dashboard!$L$5*MAX(0,Dashboard!$I$5-D740)/30.4375</x:f>
        <x:v>0</x:v>
      </x:c>
      <x:c r="R740" s="1" t="n">
        <x:f>MAX(0,E740+P740-Q740)</x:f>
        <x:v>0</x:v>
      </x:c>
      <x:c r="S740" s="1" t="n">
        <x:f>MAX(0,Q740-E740-P740)</x:f>
        <x:v>0</x:v>
      </x:c>
      <x:c r="T740" s="1" t="n">
        <x:f>IF(L740=1,MAX(0,I740+AB740-MIN(Q740,E740+P740)),"n.a.")</x:f>
        <x:v>0</x:v>
      </x:c>
      <x:c r="U740" s="9" t="n">
        <x:f>IF(ISNUMBER(T740),T740*G740,"n.a.")</x:f>
        <x:v>0</x:v>
      </x:c>
      <x:c r="V740" s="25" t="n">
        <x:f>IF(Dashboard!$I$6="Flat %",1,IF(ISNUMBER(H740),1,0))</x:f>
        <x:v>1</x:v>
      </x:c>
      <x:c r="W740" s="9" t="n">
        <x:f>IF(Dashboard!$I$6="Flat %",G740*(1+Dashboard!$L$6),H740)</x:f>
        <x:v>0.346626</x:v>
      </x:c>
      <x:c r="X740" s="9" t="n">
        <x:f>IF(V740=1,R740*(W740-G740),"n.a.")</x:f>
        <x:v>0</x:v>
      </x:c>
      <x:c r="Y740" s="9" t="n">
        <x:f>IF(V740=1,R740*W740,"n.a.")</x:f>
        <x:v>0</x:v>
      </x:c>
      <x:c r="Z740" s="1" t="n">
        <x:f>IF(ISNUMBER(T740),R740-T740,"n.a.")</x:f>
        <x:v>0</x:v>
      </x:c>
      <x:c r="AA740" s="1" t="str">
        <x:f>'Inventory inputs'!R740</x:f>
        <x:v>Classified</x:v>
      </x:c>
      <x:c r="AB740" s="1" t="n">
        <x:f>IF(L740=1,SUMIFS('Incoming POs'!$P$2:$P$305,'Incoming POs'!$A$2:$A$305,A740,'Incoming POs'!$B$2:$B$305,B740,'Incoming POs'!$C$2:$C$305,C740,'Incoming POs'!$G$2:$G$305,"&gt;="&amp;D740,'Incoming POs'!$G$2:$G$305,"&lt;"&amp;Dashboard!$I$5,'Incoming POs'!$Q$2:$Q$305,"&lt;="&amp;('Inventory inputs'!P740/'Inventory inputs'!J740*1.01)),"n.a.")</x:f>
        <x:v>0</x:v>
      </x:c>
      <x:c r="AC740" s="9" t="n">
        <x:f>I740*G740</x:f>
        <x:v>0</x:v>
      </x:c>
      <x:c r="AD740" s="9" t="n">
        <x:f>J740*G740</x:f>
        <x:v>0</x:v>
      </x:c>
      <x:c r="AE740" s="9" t="n">
        <x:f>K740*G740</x:f>
        <x:v>0</x:v>
      </x:c>
      <x:c r="AF740" s="9" t="n">
        <x:f>R740*G740</x:f>
        <x:v>0</x:v>
      </x:c>
    </x:row>
    <x:row r="741" ht="21" customHeight="1">
      <x:c r="A741" s="1" t="str">
        <x:f>'Inventory inputs'!A741</x:f>
        <x:v>PLAS</x:v>
      </x:c>
      <x:c r="B741" s="1" t="str">
        <x:f>'Inventory inputs'!B741</x:f>
        <x:v>30</x:v>
      </x:c>
      <x:c r="C741" s="1" t="str">
        <x:f>'Inventory inputs'!C741</x:f>
        <x:v>11215RSLBLK</x:v>
      </x:c>
      <x:c r="D741" s="7" t="n">
        <x:f>'Inventory inputs'!E741</x:f>
        <x:v>46303</x:v>
      </x:c>
      <x:c r="E741" s="1" t="n">
        <x:f>'Inventory inputs'!F741</x:f>
        <x:v>500</x:v>
      </x:c>
      <x:c r="F741" s="1" t="n">
        <x:f>'Inventory inputs'!G741</x:f>
        <x:v>0</x:v>
      </x:c>
      <x:c r="G741" s="1" t="n">
        <x:f>'Inventory inputs'!H741/'Inventory inputs'!J741</x:f>
        <x:v>0.0886</x:v>
      </x:c>
      <x:c r="H741" s="1" t="n">
        <x:f>IF('Inventory inputs'!I741&gt;0,'Inventory inputs'!I741*'Inventory inputs'!K741/'Inventory inputs'!J741,"n.a.")</x:f>
        <x:v>0.103782</x:v>
      </x:c>
      <x:c r="I741" s="1" t="n">
        <x:f>'Inventory inputs'!L741</x:f>
        <x:v>0</x:v>
      </x:c>
      <x:c r="J741" s="1" t="n">
        <x:f>'Inventory inputs'!M741</x:f>
        <x:v>0</x:v>
      </x:c>
      <x:c r="K741" s="1" t="n">
        <x:f>'Inventory inputs'!N741</x:f>
        <x:v>500</x:v>
      </x:c>
      <x:c r="L741" s="1" t="n">
        <x:f>'Inventory inputs'!O741</x:f>
        <x:v>0</x:v>
      </x:c>
      <x:c r="M741" s="9" t="n">
        <x:f>E741*G741</x:f>
        <x:v>44.3</x:v>
      </x:c>
      <x:c r="N741" s="9" t="n">
        <x:f>'Inventory inputs'!Q741</x:f>
        <x:v>44.300000000000004</x:v>
      </x:c>
      <x:c r="O741" s="9" t="n">
        <x:f>N741-M741</x:f>
        <x:v>7.105427357601002e-15</x:v>
      </x:c>
      <x:c r="P741" s="1" t="n">
        <x:f>SUMIFS('Incoming POs'!$P$2:$P$305,'Incoming POs'!$A$2:$A$305,A741,'Incoming POs'!$B$2:$B$305,B741,'Incoming POs'!$C$2:$C$305,C741,'Incoming POs'!$G$2:$G$305,"&gt;="&amp;D741,'Incoming POs'!$G$2:$G$305,"&lt;"&amp;Dashboard!$I$5)</x:f>
        <x:v>0</x:v>
      </x:c>
      <x:c r="Q741" s="1" t="n">
        <x:f>F741*Dashboard!$L$5*MAX(0,Dashboard!$I$5-D741)/30.4375</x:f>
        <x:v>0</x:v>
      </x:c>
      <x:c r="R741" s="1" t="n">
        <x:f>MAX(0,E741+P741-Q741)</x:f>
        <x:v>500</x:v>
      </x:c>
      <x:c r="S741" s="1" t="n">
        <x:f>MAX(0,Q741-E741-P741)</x:f>
        <x:v>0</x:v>
      </x:c>
      <x:c r="T741" s="1" t="str">
        <x:f>IF(L741=1,MAX(0,I741+AB741-MIN(Q741,E741+P741)),"n.a.")</x:f>
        <x:v>n.a.</x:v>
      </x:c>
      <x:c r="U741" s="9" t="str">
        <x:f>IF(ISNUMBER(T741),T741*G741,"n.a.")</x:f>
        <x:v>n.a.</x:v>
      </x:c>
      <x:c r="V741" s="25" t="n">
        <x:f>IF(Dashboard!$I$6="Flat %",1,IF(ISNUMBER(H741),1,0))</x:f>
        <x:v>1</x:v>
      </x:c>
      <x:c r="W741" s="9" t="n">
        <x:f>IF(Dashboard!$I$6="Flat %",G741*(1+Dashboard!$L$6),H741)</x:f>
        <x:v>0.103782</x:v>
      </x:c>
      <x:c r="X741" s="9" t="n">
        <x:f>IF(V741=1,R741*(W741-G741),"n.a.")</x:f>
        <x:v>7.591</x:v>
      </x:c>
      <x:c r="Y741" s="9" t="n">
        <x:f>IF(V741=1,R741*W741,"n.a.")</x:f>
        <x:v>51.891</x:v>
      </x:c>
      <x:c r="Z741" s="1" t="str">
        <x:f>IF(ISNUMBER(T741),R741-T741,"n.a.")</x:f>
        <x:v>n.a.</x:v>
      </x:c>
      <x:c r="AA741" s="1" t="str">
        <x:f>'Inventory inputs'!R741</x:f>
        <x:v>Review receipt reconciliation or original PO baseline</x:v>
      </x:c>
      <x:c r="AB741" s="1" t="str">
        <x:f>IF(L741=1,SUMIFS('Incoming POs'!$P$2:$P$305,'Incoming POs'!$A$2:$A$305,A741,'Incoming POs'!$B$2:$B$305,B741,'Incoming POs'!$C$2:$C$305,C741,'Incoming POs'!$G$2:$G$305,"&gt;="&amp;D741,'Incoming POs'!$G$2:$G$305,"&lt;"&amp;Dashboard!$I$5,'Incoming POs'!$Q$2:$Q$305,"&lt;="&amp;('Inventory inputs'!P741/'Inventory inputs'!J741*1.01)),"n.a.")</x:f>
        <x:v>n.a.</x:v>
      </x:c>
      <x:c r="AC741" s="9" t="n">
        <x:f>I741*G741</x:f>
        <x:v>0</x:v>
      </x:c>
      <x:c r="AD741" s="9" t="n">
        <x:f>J741*G741</x:f>
        <x:v>0</x:v>
      </x:c>
      <x:c r="AE741" s="9" t="n">
        <x:f>K741*G741</x:f>
        <x:v>44.3</x:v>
      </x:c>
      <x:c r="AF741" s="9" t="n">
        <x:f>R741*G741</x:f>
        <x:v>44.3</x:v>
      </x:c>
    </x:row>
    <x:row r="742" ht="21" customHeight="1">
      <x:c r="A742" s="1" t="str">
        <x:f>'Inventory inputs'!A742</x:f>
        <x:v>PLAS</x:v>
      </x:c>
      <x:c r="B742" s="1" t="str">
        <x:f>'Inventory inputs'!B742</x:f>
        <x:v>30</x:v>
      </x:c>
      <x:c r="C742" s="1" t="str">
        <x:f>'Inventory inputs'!C742</x:f>
        <x:v>11215RSLWHT</x:v>
      </x:c>
      <x:c r="D742" s="7" t="n">
        <x:f>'Inventory inputs'!E742</x:f>
        <x:v>46303</x:v>
      </x:c>
      <x:c r="E742" s="1" t="n">
        <x:f>'Inventory inputs'!F742</x:f>
        <x:v>500</x:v>
      </x:c>
      <x:c r="F742" s="1" t="n">
        <x:f>'Inventory inputs'!G742</x:f>
        <x:v>0</x:v>
      </x:c>
      <x:c r="G742" s="1" t="n">
        <x:f>'Inventory inputs'!H742/'Inventory inputs'!J742</x:f>
        <x:v>0.0886</x:v>
      </x:c>
      <x:c r="H742" s="1" t="n">
        <x:f>IF('Inventory inputs'!I742&gt;0,'Inventory inputs'!I742*'Inventory inputs'!K742/'Inventory inputs'!J742,"n.a.")</x:f>
        <x:v>0.103782</x:v>
      </x:c>
      <x:c r="I742" s="1" t="n">
        <x:f>'Inventory inputs'!L742</x:f>
        <x:v>0</x:v>
      </x:c>
      <x:c r="J742" s="1" t="n">
        <x:f>'Inventory inputs'!M742</x:f>
        <x:v>0</x:v>
      </x:c>
      <x:c r="K742" s="1" t="n">
        <x:f>'Inventory inputs'!N742</x:f>
        <x:v>500</x:v>
      </x:c>
      <x:c r="L742" s="1" t="n">
        <x:f>'Inventory inputs'!O742</x:f>
        <x:v>0</x:v>
      </x:c>
      <x:c r="M742" s="9" t="n">
        <x:f>E742*G742</x:f>
        <x:v>44.3</x:v>
      </x:c>
      <x:c r="N742" s="9" t="n">
        <x:f>'Inventory inputs'!Q742</x:f>
        <x:v>44.300000000000004</x:v>
      </x:c>
      <x:c r="O742" s="9" t="n">
        <x:f>N742-M742</x:f>
        <x:v>7.105427357601002e-15</x:v>
      </x:c>
      <x:c r="P742" s="1" t="n">
        <x:f>SUMIFS('Incoming POs'!$P$2:$P$305,'Incoming POs'!$A$2:$A$305,A742,'Incoming POs'!$B$2:$B$305,B742,'Incoming POs'!$C$2:$C$305,C742,'Incoming POs'!$G$2:$G$305,"&gt;="&amp;D742,'Incoming POs'!$G$2:$G$305,"&lt;"&amp;Dashboard!$I$5)</x:f>
        <x:v>0</x:v>
      </x:c>
      <x:c r="Q742" s="1" t="n">
        <x:f>F742*Dashboard!$L$5*MAX(0,Dashboard!$I$5-D742)/30.4375</x:f>
        <x:v>0</x:v>
      </x:c>
      <x:c r="R742" s="1" t="n">
        <x:f>MAX(0,E742+P742-Q742)</x:f>
        <x:v>500</x:v>
      </x:c>
      <x:c r="S742" s="1" t="n">
        <x:f>MAX(0,Q742-E742-P742)</x:f>
        <x:v>0</x:v>
      </x:c>
      <x:c r="T742" s="1" t="str">
        <x:f>IF(L742=1,MAX(0,I742+AB742-MIN(Q742,E742+P742)),"n.a.")</x:f>
        <x:v>n.a.</x:v>
      </x:c>
      <x:c r="U742" s="9" t="str">
        <x:f>IF(ISNUMBER(T742),T742*G742,"n.a.")</x:f>
        <x:v>n.a.</x:v>
      </x:c>
      <x:c r="V742" s="25" t="n">
        <x:f>IF(Dashboard!$I$6="Flat %",1,IF(ISNUMBER(H742),1,0))</x:f>
        <x:v>1</x:v>
      </x:c>
      <x:c r="W742" s="9" t="n">
        <x:f>IF(Dashboard!$I$6="Flat %",G742*(1+Dashboard!$L$6),H742)</x:f>
        <x:v>0.103782</x:v>
      </x:c>
      <x:c r="X742" s="9" t="n">
        <x:f>IF(V742=1,R742*(W742-G742),"n.a.")</x:f>
        <x:v>7.591</x:v>
      </x:c>
      <x:c r="Y742" s="9" t="n">
        <x:f>IF(V742=1,R742*W742,"n.a.")</x:f>
        <x:v>51.891</x:v>
      </x:c>
      <x:c r="Z742" s="1" t="str">
        <x:f>IF(ISNUMBER(T742),R742-T742,"n.a.")</x:f>
        <x:v>n.a.</x:v>
      </x:c>
      <x:c r="AA742" s="1" t="str">
        <x:f>'Inventory inputs'!R742</x:f>
        <x:v>Review receipt reconciliation or original PO baseline</x:v>
      </x:c>
      <x:c r="AB742" s="1" t="str">
        <x:f>IF(L742=1,SUMIFS('Incoming POs'!$P$2:$P$305,'Incoming POs'!$A$2:$A$305,A742,'Incoming POs'!$B$2:$B$305,B742,'Incoming POs'!$C$2:$C$305,C742,'Incoming POs'!$G$2:$G$305,"&gt;="&amp;D742,'Incoming POs'!$G$2:$G$305,"&lt;"&amp;Dashboard!$I$5,'Incoming POs'!$Q$2:$Q$305,"&lt;="&amp;('Inventory inputs'!P742/'Inventory inputs'!J742*1.01)),"n.a.")</x:f>
        <x:v>n.a.</x:v>
      </x:c>
      <x:c r="AC742" s="9" t="n">
        <x:f>I742*G742</x:f>
        <x:v>0</x:v>
      </x:c>
      <x:c r="AD742" s="9" t="n">
        <x:f>J742*G742</x:f>
        <x:v>0</x:v>
      </x:c>
      <x:c r="AE742" s="9" t="n">
        <x:f>K742*G742</x:f>
        <x:v>44.3</x:v>
      </x:c>
      <x:c r="AF742" s="9" t="n">
        <x:f>R742*G742</x:f>
        <x:v>44.3</x:v>
      </x:c>
    </x:row>
    <x:row r="743" ht="21" customHeight="1">
      <x:c r="A743" s="1" t="str">
        <x:f>'Inventory inputs'!A743</x:f>
        <x:v>PLAS</x:v>
      </x:c>
      <x:c r="B743" s="1" t="str">
        <x:f>'Inventory inputs'!B743</x:f>
        <x:v>30</x:v>
      </x:c>
      <x:c r="C743" s="1" t="str">
        <x:f>'Inventory inputs'!C743</x:f>
        <x:v>11219RSLBLU</x:v>
      </x:c>
      <x:c r="D743" s="7" t="n">
        <x:f>'Inventory inputs'!E743</x:f>
        <x:v>46303</x:v>
      </x:c>
      <x:c r="E743" s="1" t="n">
        <x:f>'Inventory inputs'!F743</x:f>
        <x:v>250</x:v>
      </x:c>
      <x:c r="F743" s="1" t="n">
        <x:f>'Inventory inputs'!G743</x:f>
        <x:v>0</x:v>
      </x:c>
      <x:c r="G743" s="1" t="n">
        <x:f>'Inventory inputs'!H743/'Inventory inputs'!J743</x:f>
        <x:v>0.1298</x:v>
      </x:c>
      <x:c r="H743" s="1" t="n">
        <x:f>IF('Inventory inputs'!I743&gt;0,'Inventory inputs'!I743*'Inventory inputs'!K743/'Inventory inputs'!J743,"n.a.")</x:f>
        <x:v>0.151851</x:v>
      </x:c>
      <x:c r="I743" s="1" t="n">
        <x:f>'Inventory inputs'!L743</x:f>
        <x:v>0</x:v>
      </x:c>
      <x:c r="J743" s="1" t="n">
        <x:f>'Inventory inputs'!M743</x:f>
        <x:v>0</x:v>
      </x:c>
      <x:c r="K743" s="1" t="n">
        <x:f>'Inventory inputs'!N743</x:f>
        <x:v>250</x:v>
      </x:c>
      <x:c r="L743" s="1" t="n">
        <x:f>'Inventory inputs'!O743</x:f>
        <x:v>0</x:v>
      </x:c>
      <x:c r="M743" s="9" t="n">
        <x:f>E743*G743</x:f>
        <x:v>32.45</x:v>
      </x:c>
      <x:c r="N743" s="9" t="n">
        <x:f>'Inventory inputs'!Q743</x:f>
        <x:v>32.45</x:v>
      </x:c>
      <x:c r="O743" s="9" t="n">
        <x:f>N743-M743</x:f>
        <x:v>0</x:v>
      </x:c>
      <x:c r="P743" s="1" t="n">
        <x:f>SUMIFS('Incoming POs'!$P$2:$P$305,'Incoming POs'!$A$2:$A$305,A743,'Incoming POs'!$B$2:$B$305,B743,'Incoming POs'!$C$2:$C$305,C743,'Incoming POs'!$G$2:$G$305,"&gt;="&amp;D743,'Incoming POs'!$G$2:$G$305,"&lt;"&amp;Dashboard!$I$5)</x:f>
        <x:v>0</x:v>
      </x:c>
      <x:c r="Q743" s="1" t="n">
        <x:f>F743*Dashboard!$L$5*MAX(0,Dashboard!$I$5-D743)/30.4375</x:f>
        <x:v>0</x:v>
      </x:c>
      <x:c r="R743" s="1" t="n">
        <x:f>MAX(0,E743+P743-Q743)</x:f>
        <x:v>250</x:v>
      </x:c>
      <x:c r="S743" s="1" t="n">
        <x:f>MAX(0,Q743-E743-P743)</x:f>
        <x:v>0</x:v>
      </x:c>
      <x:c r="T743" s="1" t="str">
        <x:f>IF(L743=1,MAX(0,I743+AB743-MIN(Q743,E743+P743)),"n.a.")</x:f>
        <x:v>n.a.</x:v>
      </x:c>
      <x:c r="U743" s="9" t="str">
        <x:f>IF(ISNUMBER(T743),T743*G743,"n.a.")</x:f>
        <x:v>n.a.</x:v>
      </x:c>
      <x:c r="V743" s="25" t="n">
        <x:f>IF(Dashboard!$I$6="Flat %",1,IF(ISNUMBER(H743),1,0))</x:f>
        <x:v>1</x:v>
      </x:c>
      <x:c r="W743" s="9" t="n">
        <x:f>IF(Dashboard!$I$6="Flat %",G743*(1+Dashboard!$L$6),H743)</x:f>
        <x:v>0.151851</x:v>
      </x:c>
      <x:c r="X743" s="9" t="n">
        <x:f>IF(V743=1,R743*(W743-G743),"n.a.")</x:f>
        <x:v>5.512750000000004</x:v>
      </x:c>
      <x:c r="Y743" s="9" t="n">
        <x:f>IF(V743=1,R743*W743,"n.a.")</x:f>
        <x:v>37.96275000000001</x:v>
      </x:c>
      <x:c r="Z743" s="1" t="str">
        <x:f>IF(ISNUMBER(T743),R743-T743,"n.a.")</x:f>
        <x:v>n.a.</x:v>
      </x:c>
      <x:c r="AA743" s="1" t="str">
        <x:f>'Inventory inputs'!R743</x:f>
        <x:v>Review receipt reconciliation or original PO baseline</x:v>
      </x:c>
      <x:c r="AB743" s="1" t="str">
        <x:f>IF(L743=1,SUMIFS('Incoming POs'!$P$2:$P$305,'Incoming POs'!$A$2:$A$305,A743,'Incoming POs'!$B$2:$B$305,B743,'Incoming POs'!$C$2:$C$305,C743,'Incoming POs'!$G$2:$G$305,"&gt;="&amp;D743,'Incoming POs'!$G$2:$G$305,"&lt;"&amp;Dashboard!$I$5,'Incoming POs'!$Q$2:$Q$305,"&lt;="&amp;('Inventory inputs'!P743/'Inventory inputs'!J743*1.01)),"n.a.")</x:f>
        <x:v>n.a.</x:v>
      </x:c>
      <x:c r="AC743" s="9" t="n">
        <x:f>I743*G743</x:f>
        <x:v>0</x:v>
      </x:c>
      <x:c r="AD743" s="9" t="n">
        <x:f>J743*G743</x:f>
        <x:v>0</x:v>
      </x:c>
      <x:c r="AE743" s="9" t="n">
        <x:f>K743*G743</x:f>
        <x:v>32.45</x:v>
      </x:c>
      <x:c r="AF743" s="9" t="n">
        <x:f>R743*G743</x:f>
        <x:v>32.45</x:v>
      </x:c>
    </x:row>
    <x:row r="744" ht="21" customHeight="1">
      <x:c r="A744" s="1" t="str">
        <x:f>'Inventory inputs'!A744</x:f>
        <x:v>PLAS</x:v>
      </x:c>
      <x:c r="B744" s="1" t="str">
        <x:f>'Inventory inputs'!B744</x:f>
        <x:v>30</x:v>
      </x:c>
      <x:c r="C744" s="1" t="str">
        <x:f>'Inventory inputs'!C744</x:f>
        <x:v>11219RSLCLR</x:v>
      </x:c>
      <x:c r="D744" s="7" t="n">
        <x:f>'Inventory inputs'!E744</x:f>
        <x:v>46303</x:v>
      </x:c>
      <x:c r="E744" s="1" t="n">
        <x:f>'Inventory inputs'!F744</x:f>
        <x:v>650</x:v>
      </x:c>
      <x:c r="F744" s="1" t="n">
        <x:f>'Inventory inputs'!G744</x:f>
        <x:v>0</x:v>
      </x:c>
      <x:c r="G744" s="1" t="n">
        <x:f>'Inventory inputs'!H744/'Inventory inputs'!J744</x:f>
        <x:v>0.1298</x:v>
      </x:c>
      <x:c r="H744" s="1" t="n">
        <x:f>IF('Inventory inputs'!I744&gt;0,'Inventory inputs'!I744*'Inventory inputs'!K744/'Inventory inputs'!J744,"n.a.")</x:f>
        <x:v>0.151851</x:v>
      </x:c>
      <x:c r="I744" s="1" t="n">
        <x:f>'Inventory inputs'!L744</x:f>
        <x:v>0</x:v>
      </x:c>
      <x:c r="J744" s="1" t="n">
        <x:f>'Inventory inputs'!M744</x:f>
        <x:v>0</x:v>
      </x:c>
      <x:c r="K744" s="1" t="n">
        <x:f>'Inventory inputs'!N744</x:f>
        <x:v>650</x:v>
      </x:c>
      <x:c r="L744" s="1" t="n">
        <x:f>'Inventory inputs'!O744</x:f>
        <x:v>0</x:v>
      </x:c>
      <x:c r="M744" s="9" t="n">
        <x:f>E744*G744</x:f>
        <x:v>84.37</x:v>
      </x:c>
      <x:c r="N744" s="9" t="n">
        <x:f>'Inventory inputs'!Q744</x:f>
        <x:v>84.37</x:v>
      </x:c>
      <x:c r="O744" s="9" t="n">
        <x:f>N744-M744</x:f>
        <x:v>0</x:v>
      </x:c>
      <x:c r="P744" s="1" t="n">
        <x:f>SUMIFS('Incoming POs'!$P$2:$P$305,'Incoming POs'!$A$2:$A$305,A744,'Incoming POs'!$B$2:$B$305,B744,'Incoming POs'!$C$2:$C$305,C744,'Incoming POs'!$G$2:$G$305,"&gt;="&amp;D744,'Incoming POs'!$G$2:$G$305,"&lt;"&amp;Dashboard!$I$5)</x:f>
        <x:v>0</x:v>
      </x:c>
      <x:c r="Q744" s="1" t="n">
        <x:f>F744*Dashboard!$L$5*MAX(0,Dashboard!$I$5-D744)/30.4375</x:f>
        <x:v>0</x:v>
      </x:c>
      <x:c r="R744" s="1" t="n">
        <x:f>MAX(0,E744+P744-Q744)</x:f>
        <x:v>650</x:v>
      </x:c>
      <x:c r="S744" s="1" t="n">
        <x:f>MAX(0,Q744-E744-P744)</x:f>
        <x:v>0</x:v>
      </x:c>
      <x:c r="T744" s="1" t="str">
        <x:f>IF(L744=1,MAX(0,I744+AB744-MIN(Q744,E744+P744)),"n.a.")</x:f>
        <x:v>n.a.</x:v>
      </x:c>
      <x:c r="U744" s="9" t="str">
        <x:f>IF(ISNUMBER(T744),T744*G744,"n.a.")</x:f>
        <x:v>n.a.</x:v>
      </x:c>
      <x:c r="V744" s="25" t="n">
        <x:f>IF(Dashboard!$I$6="Flat %",1,IF(ISNUMBER(H744),1,0))</x:f>
        <x:v>1</x:v>
      </x:c>
      <x:c r="W744" s="9" t="n">
        <x:f>IF(Dashboard!$I$6="Flat %",G744*(1+Dashboard!$L$6),H744)</x:f>
        <x:v>0.151851</x:v>
      </x:c>
      <x:c r="X744" s="9" t="n">
        <x:f>IF(V744=1,R744*(W744-G744),"n.a.")</x:f>
        <x:v>14.33315000000001</x:v>
      </x:c>
      <x:c r="Y744" s="9" t="n">
        <x:f>IF(V744=1,R744*W744,"n.a.")</x:f>
        <x:v>98.70315000000001</x:v>
      </x:c>
      <x:c r="Z744" s="1" t="str">
        <x:f>IF(ISNUMBER(T744),R744-T744,"n.a.")</x:f>
        <x:v>n.a.</x:v>
      </x:c>
      <x:c r="AA744" s="1" t="str">
        <x:f>'Inventory inputs'!R744</x:f>
        <x:v>Review receipt reconciliation or original PO baseline</x:v>
      </x:c>
      <x:c r="AB744" s="1" t="str">
        <x:f>IF(L744=1,SUMIFS('Incoming POs'!$P$2:$P$305,'Incoming POs'!$A$2:$A$305,A744,'Incoming POs'!$B$2:$B$305,B744,'Incoming POs'!$C$2:$C$305,C744,'Incoming POs'!$G$2:$G$305,"&gt;="&amp;D744,'Incoming POs'!$G$2:$G$305,"&lt;"&amp;Dashboard!$I$5,'Incoming POs'!$Q$2:$Q$305,"&lt;="&amp;('Inventory inputs'!P744/'Inventory inputs'!J744*1.01)),"n.a.")</x:f>
        <x:v>n.a.</x:v>
      </x:c>
      <x:c r="AC744" s="9" t="n">
        <x:f>I744*G744</x:f>
        <x:v>0</x:v>
      </x:c>
      <x:c r="AD744" s="9" t="n">
        <x:f>J744*G744</x:f>
        <x:v>0</x:v>
      </x:c>
      <x:c r="AE744" s="9" t="n">
        <x:f>K744*G744</x:f>
        <x:v>84.37</x:v>
      </x:c>
      <x:c r="AF744" s="9" t="n">
        <x:f>R744*G744</x:f>
        <x:v>84.37</x:v>
      </x:c>
    </x:row>
    <x:row r="745" ht="21" customHeight="1">
      <x:c r="A745" s="1" t="str">
        <x:f>'Inventory inputs'!A745</x:f>
        <x:v>PLAS</x:v>
      </x:c>
      <x:c r="B745" s="1" t="str">
        <x:f>'Inventory inputs'!B745</x:f>
        <x:v>30</x:v>
      </x:c>
      <x:c r="C745" s="1" t="str">
        <x:f>'Inventory inputs'!C745</x:f>
        <x:v>11219RSLFG</x:v>
      </x:c>
      <x:c r="D745" s="7" t="n">
        <x:f>'Inventory inputs'!E745</x:f>
        <x:v>46303</x:v>
      </x:c>
      <x:c r="E745" s="1" t="n">
        <x:f>'Inventory inputs'!F745</x:f>
        <x:v>250</x:v>
      </x:c>
      <x:c r="F745" s="1" t="n">
        <x:f>'Inventory inputs'!G745</x:f>
        <x:v>0</x:v>
      </x:c>
      <x:c r="G745" s="1" t="n">
        <x:f>'Inventory inputs'!H745/'Inventory inputs'!J745</x:f>
        <x:v>0.1298</x:v>
      </x:c>
      <x:c r="H745" s="1" t="n">
        <x:f>IF('Inventory inputs'!I745&gt;0,'Inventory inputs'!I745*'Inventory inputs'!K745/'Inventory inputs'!J745,"n.a.")</x:f>
        <x:v>0.151851</x:v>
      </x:c>
      <x:c r="I745" s="1" t="n">
        <x:f>'Inventory inputs'!L745</x:f>
        <x:v>0</x:v>
      </x:c>
      <x:c r="J745" s="1" t="n">
        <x:f>'Inventory inputs'!M745</x:f>
        <x:v>0</x:v>
      </x:c>
      <x:c r="K745" s="1" t="n">
        <x:f>'Inventory inputs'!N745</x:f>
        <x:v>250</x:v>
      </x:c>
      <x:c r="L745" s="1" t="n">
        <x:f>'Inventory inputs'!O745</x:f>
        <x:v>0</x:v>
      </x:c>
      <x:c r="M745" s="9" t="n">
        <x:f>E745*G745</x:f>
        <x:v>32.45</x:v>
      </x:c>
      <x:c r="N745" s="9" t="n">
        <x:f>'Inventory inputs'!Q745</x:f>
        <x:v>32.45</x:v>
      </x:c>
      <x:c r="O745" s="9" t="n">
        <x:f>N745-M745</x:f>
        <x:v>0</x:v>
      </x:c>
      <x:c r="P745" s="1" t="n">
        <x:f>SUMIFS('Incoming POs'!$P$2:$P$305,'Incoming POs'!$A$2:$A$305,A745,'Incoming POs'!$B$2:$B$305,B745,'Incoming POs'!$C$2:$C$305,C745,'Incoming POs'!$G$2:$G$305,"&gt;="&amp;D745,'Incoming POs'!$G$2:$G$305,"&lt;"&amp;Dashboard!$I$5)</x:f>
        <x:v>0</x:v>
      </x:c>
      <x:c r="Q745" s="1" t="n">
        <x:f>F745*Dashboard!$L$5*MAX(0,Dashboard!$I$5-D745)/30.4375</x:f>
        <x:v>0</x:v>
      </x:c>
      <x:c r="R745" s="1" t="n">
        <x:f>MAX(0,E745+P745-Q745)</x:f>
        <x:v>250</x:v>
      </x:c>
      <x:c r="S745" s="1" t="n">
        <x:f>MAX(0,Q745-E745-P745)</x:f>
        <x:v>0</x:v>
      </x:c>
      <x:c r="T745" s="1" t="str">
        <x:f>IF(L745=1,MAX(0,I745+AB745-MIN(Q745,E745+P745)),"n.a.")</x:f>
        <x:v>n.a.</x:v>
      </x:c>
      <x:c r="U745" s="9" t="str">
        <x:f>IF(ISNUMBER(T745),T745*G745,"n.a.")</x:f>
        <x:v>n.a.</x:v>
      </x:c>
      <x:c r="V745" s="25" t="n">
        <x:f>IF(Dashboard!$I$6="Flat %",1,IF(ISNUMBER(H745),1,0))</x:f>
        <x:v>1</x:v>
      </x:c>
      <x:c r="W745" s="9" t="n">
        <x:f>IF(Dashboard!$I$6="Flat %",G745*(1+Dashboard!$L$6),H745)</x:f>
        <x:v>0.151851</x:v>
      </x:c>
      <x:c r="X745" s="9" t="n">
        <x:f>IF(V745=1,R745*(W745-G745),"n.a.")</x:f>
        <x:v>5.512750000000004</x:v>
      </x:c>
      <x:c r="Y745" s="9" t="n">
        <x:f>IF(V745=1,R745*W745,"n.a.")</x:f>
        <x:v>37.96275000000001</x:v>
      </x:c>
      <x:c r="Z745" s="1" t="str">
        <x:f>IF(ISNUMBER(T745),R745-T745,"n.a.")</x:f>
        <x:v>n.a.</x:v>
      </x:c>
      <x:c r="AA745" s="1" t="str">
        <x:f>'Inventory inputs'!R745</x:f>
        <x:v>Review receipt reconciliation or original PO baseline</x:v>
      </x:c>
      <x:c r="AB745" s="1" t="str">
        <x:f>IF(L745=1,SUMIFS('Incoming POs'!$P$2:$P$305,'Incoming POs'!$A$2:$A$305,A745,'Incoming POs'!$B$2:$B$305,B745,'Incoming POs'!$C$2:$C$305,C745,'Incoming POs'!$G$2:$G$305,"&gt;="&amp;D745,'Incoming POs'!$G$2:$G$305,"&lt;"&amp;Dashboard!$I$5,'Incoming POs'!$Q$2:$Q$305,"&lt;="&amp;('Inventory inputs'!P745/'Inventory inputs'!J745*1.01)),"n.a.")</x:f>
        <x:v>n.a.</x:v>
      </x:c>
      <x:c r="AC745" s="9" t="n">
        <x:f>I745*G745</x:f>
        <x:v>0</x:v>
      </x:c>
      <x:c r="AD745" s="9" t="n">
        <x:f>J745*G745</x:f>
        <x:v>0</x:v>
      </x:c>
      <x:c r="AE745" s="9" t="n">
        <x:f>K745*G745</x:f>
        <x:v>32.45</x:v>
      </x:c>
      <x:c r="AF745" s="9" t="n">
        <x:f>R745*G745</x:f>
        <x:v>32.45</x:v>
      </x:c>
    </x:row>
    <x:row r="746" ht="21" customHeight="1">
      <x:c r="A746" s="1" t="str">
        <x:f>'Inventory inputs'!A746</x:f>
        <x:v>PLAS</x:v>
      </x:c>
      <x:c r="B746" s="1" t="str">
        <x:f>'Inventory inputs'!B746</x:f>
        <x:v>30</x:v>
      </x:c>
      <x:c r="C746" s="1" t="str">
        <x:f>'Inventory inputs'!C746</x:f>
        <x:v>11219RSLMAR</x:v>
      </x:c>
      <x:c r="D746" s="7" t="n">
        <x:f>'Inventory inputs'!E746</x:f>
        <x:v>46303</x:v>
      </x:c>
      <x:c r="E746" s="1" t="n">
        <x:f>'Inventory inputs'!F746</x:f>
        <x:v>400</x:v>
      </x:c>
      <x:c r="F746" s="1" t="n">
        <x:f>'Inventory inputs'!G746</x:f>
        <x:v>0</x:v>
      </x:c>
      <x:c r="G746" s="1" t="n">
        <x:f>'Inventory inputs'!H746/'Inventory inputs'!J746</x:f>
        <x:v>0.1298</x:v>
      </x:c>
      <x:c r="H746" s="1" t="n">
        <x:f>IF('Inventory inputs'!I746&gt;0,'Inventory inputs'!I746*'Inventory inputs'!K746/'Inventory inputs'!J746,"n.a.")</x:f>
        <x:v>0.151851</x:v>
      </x:c>
      <x:c r="I746" s="1" t="n">
        <x:f>'Inventory inputs'!L746</x:f>
        <x:v>0</x:v>
      </x:c>
      <x:c r="J746" s="1" t="n">
        <x:f>'Inventory inputs'!M746</x:f>
        <x:v>0</x:v>
      </x:c>
      <x:c r="K746" s="1" t="n">
        <x:f>'Inventory inputs'!N746</x:f>
        <x:v>400</x:v>
      </x:c>
      <x:c r="L746" s="1" t="n">
        <x:f>'Inventory inputs'!O746</x:f>
        <x:v>0</x:v>
      </x:c>
      <x:c r="M746" s="9" t="n">
        <x:f>E746*G746</x:f>
        <x:v>51.92</x:v>
      </x:c>
      <x:c r="N746" s="9" t="n">
        <x:f>'Inventory inputs'!Q746</x:f>
        <x:v>51.92</x:v>
      </x:c>
      <x:c r="O746" s="9" t="n">
        <x:f>N746-M746</x:f>
        <x:v>0</x:v>
      </x:c>
      <x:c r="P746" s="1" t="n">
        <x:f>SUMIFS('Incoming POs'!$P$2:$P$305,'Incoming POs'!$A$2:$A$305,A746,'Incoming POs'!$B$2:$B$305,B746,'Incoming POs'!$C$2:$C$305,C746,'Incoming POs'!$G$2:$G$305,"&gt;="&amp;D746,'Incoming POs'!$G$2:$G$305,"&lt;"&amp;Dashboard!$I$5)</x:f>
        <x:v>0</x:v>
      </x:c>
      <x:c r="Q746" s="1" t="n">
        <x:f>F746*Dashboard!$L$5*MAX(0,Dashboard!$I$5-D746)/30.4375</x:f>
        <x:v>0</x:v>
      </x:c>
      <x:c r="R746" s="1" t="n">
        <x:f>MAX(0,E746+P746-Q746)</x:f>
        <x:v>400</x:v>
      </x:c>
      <x:c r="S746" s="1" t="n">
        <x:f>MAX(0,Q746-E746-P746)</x:f>
        <x:v>0</x:v>
      </x:c>
      <x:c r="T746" s="1" t="str">
        <x:f>IF(L746=1,MAX(0,I746+AB746-MIN(Q746,E746+P746)),"n.a.")</x:f>
        <x:v>n.a.</x:v>
      </x:c>
      <x:c r="U746" s="9" t="str">
        <x:f>IF(ISNUMBER(T746),T746*G746,"n.a.")</x:f>
        <x:v>n.a.</x:v>
      </x:c>
      <x:c r="V746" s="25" t="n">
        <x:f>IF(Dashboard!$I$6="Flat %",1,IF(ISNUMBER(H746),1,0))</x:f>
        <x:v>1</x:v>
      </x:c>
      <x:c r="W746" s="9" t="n">
        <x:f>IF(Dashboard!$I$6="Flat %",G746*(1+Dashboard!$L$6),H746)</x:f>
        <x:v>0.151851</x:v>
      </x:c>
      <x:c r="X746" s="9" t="n">
        <x:f>IF(V746=1,R746*(W746-G746),"n.a.")</x:f>
        <x:v>8.820400000000006</x:v>
      </x:c>
      <x:c r="Y746" s="9" t="n">
        <x:f>IF(V746=1,R746*W746,"n.a.")</x:f>
        <x:v>60.74040000000001</x:v>
      </x:c>
      <x:c r="Z746" s="1" t="str">
        <x:f>IF(ISNUMBER(T746),R746-T746,"n.a.")</x:f>
        <x:v>n.a.</x:v>
      </x:c>
      <x:c r="AA746" s="1" t="str">
        <x:f>'Inventory inputs'!R746</x:f>
        <x:v>Review receipt reconciliation or original PO baseline</x:v>
      </x:c>
      <x:c r="AB746" s="1" t="str">
        <x:f>IF(L746=1,SUMIFS('Incoming POs'!$P$2:$P$305,'Incoming POs'!$A$2:$A$305,A746,'Incoming POs'!$B$2:$B$305,B746,'Incoming POs'!$C$2:$C$305,C746,'Incoming POs'!$G$2:$G$305,"&gt;="&amp;D746,'Incoming POs'!$G$2:$G$305,"&lt;"&amp;Dashboard!$I$5,'Incoming POs'!$Q$2:$Q$305,"&lt;="&amp;('Inventory inputs'!P746/'Inventory inputs'!J746*1.01)),"n.a.")</x:f>
        <x:v>n.a.</x:v>
      </x:c>
      <x:c r="AC746" s="9" t="n">
        <x:f>I746*G746</x:f>
        <x:v>0</x:v>
      </x:c>
      <x:c r="AD746" s="9" t="n">
        <x:f>J746*G746</x:f>
        <x:v>0</x:v>
      </x:c>
      <x:c r="AE746" s="9" t="n">
        <x:f>K746*G746</x:f>
        <x:v>51.92</x:v>
      </x:c>
      <x:c r="AF746" s="9" t="n">
        <x:f>R746*G746</x:f>
        <x:v>51.92</x:v>
      </x:c>
    </x:row>
    <x:row r="747" ht="21" customHeight="1">
      <x:c r="A747" s="1" t="str">
        <x:f>'Inventory inputs'!A747</x:f>
        <x:v>PLAS</x:v>
      </x:c>
      <x:c r="B747" s="1" t="str">
        <x:f>'Inventory inputs'!B747</x:f>
        <x:v>30</x:v>
      </x:c>
      <x:c r="C747" s="1" t="str">
        <x:f>'Inventory inputs'!C747</x:f>
        <x:v>11415RSLBLK</x:v>
      </x:c>
      <x:c r="D747" s="7" t="n">
        <x:f>'Inventory inputs'!E747</x:f>
        <x:v>46303</x:v>
      </x:c>
      <x:c r="E747" s="1" t="n">
        <x:f>'Inventory inputs'!F747</x:f>
        <x:v>450</x:v>
      </x:c>
      <x:c r="F747" s="1" t="n">
        <x:f>'Inventory inputs'!G747</x:f>
        <x:v>0</x:v>
      </x:c>
      <x:c r="G747" s="1" t="n">
        <x:f>'Inventory inputs'!H747/'Inventory inputs'!J747</x:f>
        <x:v>0.0782</x:v>
      </x:c>
      <x:c r="H747" s="1" t="n">
        <x:f>IF('Inventory inputs'!I747&gt;0,'Inventory inputs'!I747*'Inventory inputs'!K747/'Inventory inputs'!J747,"n.a.")</x:f>
        <x:v>0.091434</x:v>
      </x:c>
      <x:c r="I747" s="1" t="n">
        <x:f>'Inventory inputs'!L747</x:f>
        <x:v>0</x:v>
      </x:c>
      <x:c r="J747" s="1" t="n">
        <x:f>'Inventory inputs'!M747</x:f>
        <x:v>0</x:v>
      </x:c>
      <x:c r="K747" s="1" t="n">
        <x:f>'Inventory inputs'!N747</x:f>
        <x:v>450</x:v>
      </x:c>
      <x:c r="L747" s="1" t="n">
        <x:f>'Inventory inputs'!O747</x:f>
        <x:v>0</x:v>
      </x:c>
      <x:c r="M747" s="9" t="n">
        <x:f>E747*G747</x:f>
        <x:v>35.190000000000005</x:v>
      </x:c>
      <x:c r="N747" s="9" t="n">
        <x:f>'Inventory inputs'!Q747</x:f>
        <x:v>35.19</x:v>
      </x:c>
      <x:c r="O747" s="9" t="n">
        <x:f>N747-M747</x:f>
        <x:v>-7.105427357601002e-15</x:v>
      </x:c>
      <x:c r="P747" s="1" t="n">
        <x:f>SUMIFS('Incoming POs'!$P$2:$P$305,'Incoming POs'!$A$2:$A$305,A747,'Incoming POs'!$B$2:$B$305,B747,'Incoming POs'!$C$2:$C$305,C747,'Incoming POs'!$G$2:$G$305,"&gt;="&amp;D747,'Incoming POs'!$G$2:$G$305,"&lt;"&amp;Dashboard!$I$5)</x:f>
        <x:v>0</x:v>
      </x:c>
      <x:c r="Q747" s="1" t="n">
        <x:f>F747*Dashboard!$L$5*MAX(0,Dashboard!$I$5-D747)/30.4375</x:f>
        <x:v>0</x:v>
      </x:c>
      <x:c r="R747" s="1" t="n">
        <x:f>MAX(0,E747+P747-Q747)</x:f>
        <x:v>450</x:v>
      </x:c>
      <x:c r="S747" s="1" t="n">
        <x:f>MAX(0,Q747-E747-P747)</x:f>
        <x:v>0</x:v>
      </x:c>
      <x:c r="T747" s="1" t="str">
        <x:f>IF(L747=1,MAX(0,I747+AB747-MIN(Q747,E747+P747)),"n.a.")</x:f>
        <x:v>n.a.</x:v>
      </x:c>
      <x:c r="U747" s="9" t="str">
        <x:f>IF(ISNUMBER(T747),T747*G747,"n.a.")</x:f>
        <x:v>n.a.</x:v>
      </x:c>
      <x:c r="V747" s="25" t="n">
        <x:f>IF(Dashboard!$I$6="Flat %",1,IF(ISNUMBER(H747),1,0))</x:f>
        <x:v>1</x:v>
      </x:c>
      <x:c r="W747" s="9" t="n">
        <x:f>IF(Dashboard!$I$6="Flat %",G747*(1+Dashboard!$L$6),H747)</x:f>
        <x:v>0.091434</x:v>
      </x:c>
      <x:c r="X747" s="9" t="n">
        <x:f>IF(V747=1,R747*(W747-G747),"n.a.")</x:f>
        <x:v>5.9552999999999985</x:v>
      </x:c>
      <x:c r="Y747" s="9" t="n">
        <x:f>IF(V747=1,R747*W747,"n.a.")</x:f>
        <x:v>41.1453</x:v>
      </x:c>
      <x:c r="Z747" s="1" t="str">
        <x:f>IF(ISNUMBER(T747),R747-T747,"n.a.")</x:f>
        <x:v>n.a.</x:v>
      </x:c>
      <x:c r="AA747" s="1" t="str">
        <x:f>'Inventory inputs'!R747</x:f>
        <x:v>Review receipt reconciliation or original PO baseline</x:v>
      </x:c>
      <x:c r="AB747" s="1" t="str">
        <x:f>IF(L747=1,SUMIFS('Incoming POs'!$P$2:$P$305,'Incoming POs'!$A$2:$A$305,A747,'Incoming POs'!$B$2:$B$305,B747,'Incoming POs'!$C$2:$C$305,C747,'Incoming POs'!$G$2:$G$305,"&gt;="&amp;D747,'Incoming POs'!$G$2:$G$305,"&lt;"&amp;Dashboard!$I$5,'Incoming POs'!$Q$2:$Q$305,"&lt;="&amp;('Inventory inputs'!P747/'Inventory inputs'!J747*1.01)),"n.a.")</x:f>
        <x:v>n.a.</x:v>
      </x:c>
      <x:c r="AC747" s="9" t="n">
        <x:f>I747*G747</x:f>
        <x:v>0</x:v>
      </x:c>
      <x:c r="AD747" s="9" t="n">
        <x:f>J747*G747</x:f>
        <x:v>0</x:v>
      </x:c>
      <x:c r="AE747" s="9" t="n">
        <x:f>K747*G747</x:f>
        <x:v>35.190000000000005</x:v>
      </x:c>
      <x:c r="AF747" s="9" t="n">
        <x:f>R747*G747</x:f>
        <x:v>35.190000000000005</x:v>
      </x:c>
    </x:row>
    <x:row r="748" ht="21" customHeight="1">
      <x:c r="A748" s="1" t="str">
        <x:f>'Inventory inputs'!A748</x:f>
        <x:v>PLAS</x:v>
      </x:c>
      <x:c r="B748" s="1" t="str">
        <x:f>'Inventory inputs'!B748</x:f>
        <x:v>30</x:v>
      </x:c>
      <x:c r="C748" s="1" t="str">
        <x:f>'Inventory inputs'!C748</x:f>
        <x:v>11415RSLWHT</x:v>
      </x:c>
      <x:c r="D748" s="7" t="n">
        <x:f>'Inventory inputs'!E748</x:f>
        <x:v>46303</x:v>
      </x:c>
      <x:c r="E748" s="1" t="n">
        <x:f>'Inventory inputs'!F748</x:f>
        <x:v>500</x:v>
      </x:c>
      <x:c r="F748" s="1" t="n">
        <x:f>'Inventory inputs'!G748</x:f>
        <x:v>0</x:v>
      </x:c>
      <x:c r="G748" s="1" t="n">
        <x:f>'Inventory inputs'!H748/'Inventory inputs'!J748</x:f>
        <x:v>0.0782</x:v>
      </x:c>
      <x:c r="H748" s="1" t="n">
        <x:f>IF('Inventory inputs'!I748&gt;0,'Inventory inputs'!I748*'Inventory inputs'!K748/'Inventory inputs'!J748,"n.a.")</x:f>
        <x:v>0.091434</x:v>
      </x:c>
      <x:c r="I748" s="1" t="n">
        <x:f>'Inventory inputs'!L748</x:f>
        <x:v>0</x:v>
      </x:c>
      <x:c r="J748" s="1" t="n">
        <x:f>'Inventory inputs'!M748</x:f>
        <x:v>0</x:v>
      </x:c>
      <x:c r="K748" s="1" t="n">
        <x:f>'Inventory inputs'!N748</x:f>
        <x:v>500</x:v>
      </x:c>
      <x:c r="L748" s="1" t="n">
        <x:f>'Inventory inputs'!O748</x:f>
        <x:v>0</x:v>
      </x:c>
      <x:c r="M748" s="9" t="n">
        <x:f>E748*G748</x:f>
        <x:v>39.1</x:v>
      </x:c>
      <x:c r="N748" s="9" t="n">
        <x:f>'Inventory inputs'!Q748</x:f>
        <x:v>39.1</x:v>
      </x:c>
      <x:c r="O748" s="9" t="n">
        <x:f>N748-M748</x:f>
        <x:v>0</x:v>
      </x:c>
      <x:c r="P748" s="1" t="n">
        <x:f>SUMIFS('Incoming POs'!$P$2:$P$305,'Incoming POs'!$A$2:$A$305,A748,'Incoming POs'!$B$2:$B$305,B748,'Incoming POs'!$C$2:$C$305,C748,'Incoming POs'!$G$2:$G$305,"&gt;="&amp;D748,'Incoming POs'!$G$2:$G$305,"&lt;"&amp;Dashboard!$I$5)</x:f>
        <x:v>0</x:v>
      </x:c>
      <x:c r="Q748" s="1" t="n">
        <x:f>F748*Dashboard!$L$5*MAX(0,Dashboard!$I$5-D748)/30.4375</x:f>
        <x:v>0</x:v>
      </x:c>
      <x:c r="R748" s="1" t="n">
        <x:f>MAX(0,E748+P748-Q748)</x:f>
        <x:v>500</x:v>
      </x:c>
      <x:c r="S748" s="1" t="n">
        <x:f>MAX(0,Q748-E748-P748)</x:f>
        <x:v>0</x:v>
      </x:c>
      <x:c r="T748" s="1" t="str">
        <x:f>IF(L748=1,MAX(0,I748+AB748-MIN(Q748,E748+P748)),"n.a.")</x:f>
        <x:v>n.a.</x:v>
      </x:c>
      <x:c r="U748" s="9" t="str">
        <x:f>IF(ISNUMBER(T748),T748*G748,"n.a.")</x:f>
        <x:v>n.a.</x:v>
      </x:c>
      <x:c r="V748" s="25" t="n">
        <x:f>IF(Dashboard!$I$6="Flat %",1,IF(ISNUMBER(H748),1,0))</x:f>
        <x:v>1</x:v>
      </x:c>
      <x:c r="W748" s="9" t="n">
        <x:f>IF(Dashboard!$I$6="Flat %",G748*(1+Dashboard!$L$6),H748)</x:f>
        <x:v>0.091434</x:v>
      </x:c>
      <x:c r="X748" s="9" t="n">
        <x:f>IF(V748=1,R748*(W748-G748),"n.a.")</x:f>
        <x:v>6.616999999999998</x:v>
      </x:c>
      <x:c r="Y748" s="9" t="n">
        <x:f>IF(V748=1,R748*W748,"n.a.")</x:f>
        <x:v>45.717</x:v>
      </x:c>
      <x:c r="Z748" s="1" t="str">
        <x:f>IF(ISNUMBER(T748),R748-T748,"n.a.")</x:f>
        <x:v>n.a.</x:v>
      </x:c>
      <x:c r="AA748" s="1" t="str">
        <x:f>'Inventory inputs'!R748</x:f>
        <x:v>Review receipt reconciliation or original PO baseline</x:v>
      </x:c>
      <x:c r="AB748" s="1" t="str">
        <x:f>IF(L748=1,SUMIFS('Incoming POs'!$P$2:$P$305,'Incoming POs'!$A$2:$A$305,A748,'Incoming POs'!$B$2:$B$305,B748,'Incoming POs'!$C$2:$C$305,C748,'Incoming POs'!$G$2:$G$305,"&gt;="&amp;D748,'Incoming POs'!$G$2:$G$305,"&lt;"&amp;Dashboard!$I$5,'Incoming POs'!$Q$2:$Q$305,"&lt;="&amp;('Inventory inputs'!P748/'Inventory inputs'!J748*1.01)),"n.a.")</x:f>
        <x:v>n.a.</x:v>
      </x:c>
      <x:c r="AC748" s="9" t="n">
        <x:f>I748*G748</x:f>
        <x:v>0</x:v>
      </x:c>
      <x:c r="AD748" s="9" t="n">
        <x:f>J748*G748</x:f>
        <x:v>0</x:v>
      </x:c>
      <x:c r="AE748" s="9" t="n">
        <x:f>K748*G748</x:f>
        <x:v>39.1</x:v>
      </x:c>
      <x:c r="AF748" s="9" t="n">
        <x:f>R748*G748</x:f>
        <x:v>39.1</x:v>
      </x:c>
    </x:row>
    <x:row r="749" ht="21" customHeight="1">
      <x:c r="A749" s="1" t="str">
        <x:f>'Inventory inputs'!A749</x:f>
        <x:v>PLAS</x:v>
      </x:c>
      <x:c r="B749" s="1" t="str">
        <x:f>'Inventory inputs'!B749</x:f>
        <x:v>30</x:v>
      </x:c>
      <x:c r="C749" s="1" t="str">
        <x:f>'Inventory inputs'!C749</x:f>
        <x:v>11419RSLBLU</x:v>
      </x:c>
      <x:c r="D749" s="7" t="n">
        <x:f>'Inventory inputs'!E749</x:f>
        <x:v>46303</x:v>
      </x:c>
      <x:c r="E749" s="1" t="n">
        <x:f>'Inventory inputs'!F749</x:f>
        <x:v>500</x:v>
      </x:c>
      <x:c r="F749" s="1" t="n">
        <x:f>'Inventory inputs'!G749</x:f>
        <x:v>0</x:v>
      </x:c>
      <x:c r="G749" s="1" t="n">
        <x:f>'Inventory inputs'!H749/'Inventory inputs'!J749</x:f>
        <x:v>0.111</x:v>
      </x:c>
      <x:c r="H749" s="1" t="n">
        <x:f>IF('Inventory inputs'!I749&gt;0,'Inventory inputs'!I749*'Inventory inputs'!K749/'Inventory inputs'!J749,"n.a.")</x:f>
        <x:v>0.129801</x:v>
      </x:c>
      <x:c r="I749" s="1" t="n">
        <x:f>'Inventory inputs'!L749</x:f>
        <x:v>0</x:v>
      </x:c>
      <x:c r="J749" s="1" t="n">
        <x:f>'Inventory inputs'!M749</x:f>
        <x:v>0</x:v>
      </x:c>
      <x:c r="K749" s="1" t="n">
        <x:f>'Inventory inputs'!N749</x:f>
        <x:v>500</x:v>
      </x:c>
      <x:c r="L749" s="1" t="n">
        <x:f>'Inventory inputs'!O749</x:f>
        <x:v>0</x:v>
      </x:c>
      <x:c r="M749" s="9" t="n">
        <x:f>E749*G749</x:f>
        <x:v>55.5</x:v>
      </x:c>
      <x:c r="N749" s="9" t="n">
        <x:f>'Inventory inputs'!Q749</x:f>
        <x:v>55.5</x:v>
      </x:c>
      <x:c r="O749" s="9" t="n">
        <x:f>N749-M749</x:f>
        <x:v>0</x:v>
      </x:c>
      <x:c r="P749" s="1" t="n">
        <x:f>SUMIFS('Incoming POs'!$P$2:$P$305,'Incoming POs'!$A$2:$A$305,A749,'Incoming POs'!$B$2:$B$305,B749,'Incoming POs'!$C$2:$C$305,C749,'Incoming POs'!$G$2:$G$305,"&gt;="&amp;D749,'Incoming POs'!$G$2:$G$305,"&lt;"&amp;Dashboard!$I$5)</x:f>
        <x:v>0</x:v>
      </x:c>
      <x:c r="Q749" s="1" t="n">
        <x:f>F749*Dashboard!$L$5*MAX(0,Dashboard!$I$5-D749)/30.4375</x:f>
        <x:v>0</x:v>
      </x:c>
      <x:c r="R749" s="1" t="n">
        <x:f>MAX(0,E749+P749-Q749)</x:f>
        <x:v>500</x:v>
      </x:c>
      <x:c r="S749" s="1" t="n">
        <x:f>MAX(0,Q749-E749-P749)</x:f>
        <x:v>0</x:v>
      </x:c>
      <x:c r="T749" s="1" t="str">
        <x:f>IF(L749=1,MAX(0,I749+AB749-MIN(Q749,E749+P749)),"n.a.")</x:f>
        <x:v>n.a.</x:v>
      </x:c>
      <x:c r="U749" s="9" t="str">
        <x:f>IF(ISNUMBER(T749),T749*G749,"n.a.")</x:f>
        <x:v>n.a.</x:v>
      </x:c>
      <x:c r="V749" s="25" t="n">
        <x:f>IF(Dashboard!$I$6="Flat %",1,IF(ISNUMBER(H749),1,0))</x:f>
        <x:v>1</x:v>
      </x:c>
      <x:c r="W749" s="9" t="n">
        <x:f>IF(Dashboard!$I$6="Flat %",G749*(1+Dashboard!$L$6),H749)</x:f>
        <x:v>0.129801</x:v>
      </x:c>
      <x:c r="X749" s="9" t="n">
        <x:f>IF(V749=1,R749*(W749-G749),"n.a.")</x:f>
        <x:v>9.4005</x:v>
      </x:c>
      <x:c r="Y749" s="9" t="n">
        <x:f>IF(V749=1,R749*W749,"n.a.")</x:f>
        <x:v>64.9005</x:v>
      </x:c>
      <x:c r="Z749" s="1" t="str">
        <x:f>IF(ISNUMBER(T749),R749-T749,"n.a.")</x:f>
        <x:v>n.a.</x:v>
      </x:c>
      <x:c r="AA749" s="1" t="str">
        <x:f>'Inventory inputs'!R749</x:f>
        <x:v>Review receipt reconciliation or original PO baseline</x:v>
      </x:c>
      <x:c r="AB749" s="1" t="str">
        <x:f>IF(L749=1,SUMIFS('Incoming POs'!$P$2:$P$305,'Incoming POs'!$A$2:$A$305,A749,'Incoming POs'!$B$2:$B$305,B749,'Incoming POs'!$C$2:$C$305,C749,'Incoming POs'!$G$2:$G$305,"&gt;="&amp;D749,'Incoming POs'!$G$2:$G$305,"&lt;"&amp;Dashboard!$I$5,'Incoming POs'!$Q$2:$Q$305,"&lt;="&amp;('Inventory inputs'!P749/'Inventory inputs'!J749*1.01)),"n.a.")</x:f>
        <x:v>n.a.</x:v>
      </x:c>
      <x:c r="AC749" s="9" t="n">
        <x:f>I749*G749</x:f>
        <x:v>0</x:v>
      </x:c>
      <x:c r="AD749" s="9" t="n">
        <x:f>J749*G749</x:f>
        <x:v>0</x:v>
      </x:c>
      <x:c r="AE749" s="9" t="n">
        <x:f>K749*G749</x:f>
        <x:v>55.5</x:v>
      </x:c>
      <x:c r="AF749" s="9" t="n">
        <x:f>R749*G749</x:f>
        <x:v>55.5</x:v>
      </x:c>
    </x:row>
    <x:row r="750" ht="21" customHeight="1">
      <x:c r="A750" s="1" t="str">
        <x:f>'Inventory inputs'!A750</x:f>
        <x:v>PLAS</x:v>
      </x:c>
      <x:c r="B750" s="1" t="str">
        <x:f>'Inventory inputs'!B750</x:f>
        <x:v>30</x:v>
      </x:c>
      <x:c r="C750" s="1" t="str">
        <x:f>'Inventory inputs'!C750</x:f>
        <x:v>11419RSLCLR</x:v>
      </x:c>
      <x:c r="D750" s="7" t="n">
        <x:f>'Inventory inputs'!E750</x:f>
        <x:v>46303</x:v>
      </x:c>
      <x:c r="E750" s="1" t="n">
        <x:f>'Inventory inputs'!F750</x:f>
        <x:v>600</x:v>
      </x:c>
      <x:c r="F750" s="1" t="n">
        <x:f>'Inventory inputs'!G750</x:f>
        <x:v>0</x:v>
      </x:c>
      <x:c r="G750" s="1" t="n">
        <x:f>'Inventory inputs'!H750/'Inventory inputs'!J750</x:f>
        <x:v>0.111</x:v>
      </x:c>
      <x:c r="H750" s="1" t="n">
        <x:f>IF('Inventory inputs'!I750&gt;0,'Inventory inputs'!I750*'Inventory inputs'!K750/'Inventory inputs'!J750,"n.a.")</x:f>
        <x:v>0.129801</x:v>
      </x:c>
      <x:c r="I750" s="1" t="n">
        <x:f>'Inventory inputs'!L750</x:f>
        <x:v>0</x:v>
      </x:c>
      <x:c r="J750" s="1" t="n">
        <x:f>'Inventory inputs'!M750</x:f>
        <x:v>0</x:v>
      </x:c>
      <x:c r="K750" s="1" t="n">
        <x:f>'Inventory inputs'!N750</x:f>
        <x:v>600</x:v>
      </x:c>
      <x:c r="L750" s="1" t="n">
        <x:f>'Inventory inputs'!O750</x:f>
        <x:v>0</x:v>
      </x:c>
      <x:c r="M750" s="9" t="n">
        <x:f>E750*G750</x:f>
        <x:v>66.6</x:v>
      </x:c>
      <x:c r="N750" s="9" t="n">
        <x:f>'Inventory inputs'!Q750</x:f>
        <x:v>66.6</x:v>
      </x:c>
      <x:c r="O750" s="9" t="n">
        <x:f>N750-M750</x:f>
        <x:v>0</x:v>
      </x:c>
      <x:c r="P750" s="1" t="n">
        <x:f>SUMIFS('Incoming POs'!$P$2:$P$305,'Incoming POs'!$A$2:$A$305,A750,'Incoming POs'!$B$2:$B$305,B750,'Incoming POs'!$C$2:$C$305,C750,'Incoming POs'!$G$2:$G$305,"&gt;="&amp;D750,'Incoming POs'!$G$2:$G$305,"&lt;"&amp;Dashboard!$I$5)</x:f>
        <x:v>0</x:v>
      </x:c>
      <x:c r="Q750" s="1" t="n">
        <x:f>F750*Dashboard!$L$5*MAX(0,Dashboard!$I$5-D750)/30.4375</x:f>
        <x:v>0</x:v>
      </x:c>
      <x:c r="R750" s="1" t="n">
        <x:f>MAX(0,E750+P750-Q750)</x:f>
        <x:v>600</x:v>
      </x:c>
      <x:c r="S750" s="1" t="n">
        <x:f>MAX(0,Q750-E750-P750)</x:f>
        <x:v>0</x:v>
      </x:c>
      <x:c r="T750" s="1" t="str">
        <x:f>IF(L750=1,MAX(0,I750+AB750-MIN(Q750,E750+P750)),"n.a.")</x:f>
        <x:v>n.a.</x:v>
      </x:c>
      <x:c r="U750" s="9" t="str">
        <x:f>IF(ISNUMBER(T750),T750*G750,"n.a.")</x:f>
        <x:v>n.a.</x:v>
      </x:c>
      <x:c r="V750" s="25" t="n">
        <x:f>IF(Dashboard!$I$6="Flat %",1,IF(ISNUMBER(H750),1,0))</x:f>
        <x:v>1</x:v>
      </x:c>
      <x:c r="W750" s="9" t="n">
        <x:f>IF(Dashboard!$I$6="Flat %",G750*(1+Dashboard!$L$6),H750)</x:f>
        <x:v>0.129801</x:v>
      </x:c>
      <x:c r="X750" s="9" t="n">
        <x:f>IF(V750=1,R750*(W750-G750),"n.a.")</x:f>
        <x:v>11.2806</x:v>
      </x:c>
      <x:c r="Y750" s="9" t="n">
        <x:f>IF(V750=1,R750*W750,"n.a.")</x:f>
        <x:v>77.8806</x:v>
      </x:c>
      <x:c r="Z750" s="1" t="str">
        <x:f>IF(ISNUMBER(T750),R750-T750,"n.a.")</x:f>
        <x:v>n.a.</x:v>
      </x:c>
      <x:c r="AA750" s="1" t="str">
        <x:f>'Inventory inputs'!R750</x:f>
        <x:v>Review receipt reconciliation or original PO baseline</x:v>
      </x:c>
      <x:c r="AB750" s="1" t="str">
        <x:f>IF(L750=1,SUMIFS('Incoming POs'!$P$2:$P$305,'Incoming POs'!$A$2:$A$305,A750,'Incoming POs'!$B$2:$B$305,B750,'Incoming POs'!$C$2:$C$305,C750,'Incoming POs'!$G$2:$G$305,"&gt;="&amp;D750,'Incoming POs'!$G$2:$G$305,"&lt;"&amp;Dashboard!$I$5,'Incoming POs'!$Q$2:$Q$305,"&lt;="&amp;('Inventory inputs'!P750/'Inventory inputs'!J750*1.01)),"n.a.")</x:f>
        <x:v>n.a.</x:v>
      </x:c>
      <x:c r="AC750" s="9" t="n">
        <x:f>I750*G750</x:f>
        <x:v>0</x:v>
      </x:c>
      <x:c r="AD750" s="9" t="n">
        <x:f>J750*G750</x:f>
        <x:v>0</x:v>
      </x:c>
      <x:c r="AE750" s="9" t="n">
        <x:f>K750*G750</x:f>
        <x:v>66.6</x:v>
      </x:c>
      <x:c r="AF750" s="9" t="n">
        <x:f>R750*G750</x:f>
        <x:v>66.6</x:v>
      </x:c>
    </x:row>
    <x:row r="751" ht="21" customHeight="1">
      <x:c r="A751" s="1" t="str">
        <x:f>'Inventory inputs'!A751</x:f>
        <x:v>PLAS</x:v>
      </x:c>
      <x:c r="B751" s="1" t="str">
        <x:f>'Inventory inputs'!B751</x:f>
        <x:v>30</x:v>
      </x:c>
      <x:c r="C751" s="1" t="str">
        <x:f>'Inventory inputs'!C751</x:f>
        <x:v>11419RSLFG</x:v>
      </x:c>
      <x:c r="D751" s="7" t="n">
        <x:f>'Inventory inputs'!E751</x:f>
        <x:v>46303</x:v>
      </x:c>
      <x:c r="E751" s="1" t="n">
        <x:f>'Inventory inputs'!F751</x:f>
        <x:v>350</x:v>
      </x:c>
      <x:c r="F751" s="1" t="n">
        <x:f>'Inventory inputs'!G751</x:f>
        <x:v>0</x:v>
      </x:c>
      <x:c r="G751" s="1" t="n">
        <x:f>'Inventory inputs'!H751/'Inventory inputs'!J751</x:f>
        <x:v>0.111</x:v>
      </x:c>
      <x:c r="H751" s="1" t="n">
        <x:f>IF('Inventory inputs'!I751&gt;0,'Inventory inputs'!I751*'Inventory inputs'!K751/'Inventory inputs'!J751,"n.a.")</x:f>
        <x:v>0.129801</x:v>
      </x:c>
      <x:c r="I751" s="1" t="n">
        <x:f>'Inventory inputs'!L751</x:f>
        <x:v>0</x:v>
      </x:c>
      <x:c r="J751" s="1" t="n">
        <x:f>'Inventory inputs'!M751</x:f>
        <x:v>0</x:v>
      </x:c>
      <x:c r="K751" s="1" t="n">
        <x:f>'Inventory inputs'!N751</x:f>
        <x:v>350</x:v>
      </x:c>
      <x:c r="L751" s="1" t="n">
        <x:f>'Inventory inputs'!O751</x:f>
        <x:v>0</x:v>
      </x:c>
      <x:c r="M751" s="9" t="n">
        <x:f>E751*G751</x:f>
        <x:v>38.85</x:v>
      </x:c>
      <x:c r="N751" s="9" t="n">
        <x:f>'Inventory inputs'!Q751</x:f>
        <x:v>38.85</x:v>
      </x:c>
      <x:c r="O751" s="9" t="n">
        <x:f>N751-M751</x:f>
        <x:v>0</x:v>
      </x:c>
      <x:c r="P751" s="1" t="n">
        <x:f>SUMIFS('Incoming POs'!$P$2:$P$305,'Incoming POs'!$A$2:$A$305,A751,'Incoming POs'!$B$2:$B$305,B751,'Incoming POs'!$C$2:$C$305,C751,'Incoming POs'!$G$2:$G$305,"&gt;="&amp;D751,'Incoming POs'!$G$2:$G$305,"&lt;"&amp;Dashboard!$I$5)</x:f>
        <x:v>0</x:v>
      </x:c>
      <x:c r="Q751" s="1" t="n">
        <x:f>F751*Dashboard!$L$5*MAX(0,Dashboard!$I$5-D751)/30.4375</x:f>
        <x:v>0</x:v>
      </x:c>
      <x:c r="R751" s="1" t="n">
        <x:f>MAX(0,E751+P751-Q751)</x:f>
        <x:v>350</x:v>
      </x:c>
      <x:c r="S751" s="1" t="n">
        <x:f>MAX(0,Q751-E751-P751)</x:f>
        <x:v>0</x:v>
      </x:c>
      <x:c r="T751" s="1" t="str">
        <x:f>IF(L751=1,MAX(0,I751+AB751-MIN(Q751,E751+P751)),"n.a.")</x:f>
        <x:v>n.a.</x:v>
      </x:c>
      <x:c r="U751" s="9" t="str">
        <x:f>IF(ISNUMBER(T751),T751*G751,"n.a.")</x:f>
        <x:v>n.a.</x:v>
      </x:c>
      <x:c r="V751" s="25" t="n">
        <x:f>IF(Dashboard!$I$6="Flat %",1,IF(ISNUMBER(H751),1,0))</x:f>
        <x:v>1</x:v>
      </x:c>
      <x:c r="W751" s="9" t="n">
        <x:f>IF(Dashboard!$I$6="Flat %",G751*(1+Dashboard!$L$6),H751)</x:f>
        <x:v>0.129801</x:v>
      </x:c>
      <x:c r="X751" s="9" t="n">
        <x:f>IF(V751=1,R751*(W751-G751),"n.a.")</x:f>
        <x:v>6.580349999999999</x:v>
      </x:c>
      <x:c r="Y751" s="9" t="n">
        <x:f>IF(V751=1,R751*W751,"n.a.")</x:f>
        <x:v>45.43035</x:v>
      </x:c>
      <x:c r="Z751" s="1" t="str">
        <x:f>IF(ISNUMBER(T751),R751-T751,"n.a.")</x:f>
        <x:v>n.a.</x:v>
      </x:c>
      <x:c r="AA751" s="1" t="str">
        <x:f>'Inventory inputs'!R751</x:f>
        <x:v>Review receipt reconciliation or original PO baseline</x:v>
      </x:c>
      <x:c r="AB751" s="1" t="str">
        <x:f>IF(L751=1,SUMIFS('Incoming POs'!$P$2:$P$305,'Incoming POs'!$A$2:$A$305,A751,'Incoming POs'!$B$2:$B$305,B751,'Incoming POs'!$C$2:$C$305,C751,'Incoming POs'!$G$2:$G$305,"&gt;="&amp;D751,'Incoming POs'!$G$2:$G$305,"&lt;"&amp;Dashboard!$I$5,'Incoming POs'!$Q$2:$Q$305,"&lt;="&amp;('Inventory inputs'!P751/'Inventory inputs'!J751*1.01)),"n.a.")</x:f>
        <x:v>n.a.</x:v>
      </x:c>
      <x:c r="AC751" s="9" t="n">
        <x:f>I751*G751</x:f>
        <x:v>0</x:v>
      </x:c>
      <x:c r="AD751" s="9" t="n">
        <x:f>J751*G751</x:f>
        <x:v>0</x:v>
      </x:c>
      <x:c r="AE751" s="9" t="n">
        <x:f>K751*G751</x:f>
        <x:v>38.85</x:v>
      </x:c>
      <x:c r="AF751" s="9" t="n">
        <x:f>R751*G751</x:f>
        <x:v>38.85</x:v>
      </x:c>
    </x:row>
    <x:row r="752" ht="21" customHeight="1">
      <x:c r="A752" s="1" t="str">
        <x:f>'Inventory inputs'!A752</x:f>
        <x:v>PLAS</x:v>
      </x:c>
      <x:c r="B752" s="1" t="str">
        <x:f>'Inventory inputs'!B752</x:f>
        <x:v>30</x:v>
      </x:c>
      <x:c r="C752" s="1" t="str">
        <x:f>'Inventory inputs'!C752</x:f>
        <x:v>11419RSLMAR</x:v>
      </x:c>
      <x:c r="D752" s="7" t="n">
        <x:f>'Inventory inputs'!E752</x:f>
        <x:v>46303</x:v>
      </x:c>
      <x:c r="E752" s="1" t="n">
        <x:f>'Inventory inputs'!F752</x:f>
        <x:v>600</x:v>
      </x:c>
      <x:c r="F752" s="1" t="n">
        <x:f>'Inventory inputs'!G752</x:f>
        <x:v>0</x:v>
      </x:c>
      <x:c r="G752" s="1" t="n">
        <x:f>'Inventory inputs'!H752/'Inventory inputs'!J752</x:f>
        <x:v>0.111</x:v>
      </x:c>
      <x:c r="H752" s="1" t="n">
        <x:f>IF('Inventory inputs'!I752&gt;0,'Inventory inputs'!I752*'Inventory inputs'!K752/'Inventory inputs'!J752,"n.a.")</x:f>
        <x:v>0.129801</x:v>
      </x:c>
      <x:c r="I752" s="1" t="n">
        <x:f>'Inventory inputs'!L752</x:f>
        <x:v>0</x:v>
      </x:c>
      <x:c r="J752" s="1" t="n">
        <x:f>'Inventory inputs'!M752</x:f>
        <x:v>0</x:v>
      </x:c>
      <x:c r="K752" s="1" t="n">
        <x:f>'Inventory inputs'!N752</x:f>
        <x:v>600</x:v>
      </x:c>
      <x:c r="L752" s="1" t="n">
        <x:f>'Inventory inputs'!O752</x:f>
        <x:v>0</x:v>
      </x:c>
      <x:c r="M752" s="9" t="n">
        <x:f>E752*G752</x:f>
        <x:v>66.6</x:v>
      </x:c>
      <x:c r="N752" s="9" t="n">
        <x:f>'Inventory inputs'!Q752</x:f>
        <x:v>66.6</x:v>
      </x:c>
      <x:c r="O752" s="9" t="n">
        <x:f>N752-M752</x:f>
        <x:v>0</x:v>
      </x:c>
      <x:c r="P752" s="1" t="n">
        <x:f>SUMIFS('Incoming POs'!$P$2:$P$305,'Incoming POs'!$A$2:$A$305,A752,'Incoming POs'!$B$2:$B$305,B752,'Incoming POs'!$C$2:$C$305,C752,'Incoming POs'!$G$2:$G$305,"&gt;="&amp;D752,'Incoming POs'!$G$2:$G$305,"&lt;"&amp;Dashboard!$I$5)</x:f>
        <x:v>0</x:v>
      </x:c>
      <x:c r="Q752" s="1" t="n">
        <x:f>F752*Dashboard!$L$5*MAX(0,Dashboard!$I$5-D752)/30.4375</x:f>
        <x:v>0</x:v>
      </x:c>
      <x:c r="R752" s="1" t="n">
        <x:f>MAX(0,E752+P752-Q752)</x:f>
        <x:v>600</x:v>
      </x:c>
      <x:c r="S752" s="1" t="n">
        <x:f>MAX(0,Q752-E752-P752)</x:f>
        <x:v>0</x:v>
      </x:c>
      <x:c r="T752" s="1" t="str">
        <x:f>IF(L752=1,MAX(0,I752+AB752-MIN(Q752,E752+P752)),"n.a.")</x:f>
        <x:v>n.a.</x:v>
      </x:c>
      <x:c r="U752" s="9" t="str">
        <x:f>IF(ISNUMBER(T752),T752*G752,"n.a.")</x:f>
        <x:v>n.a.</x:v>
      </x:c>
      <x:c r="V752" s="25" t="n">
        <x:f>IF(Dashboard!$I$6="Flat %",1,IF(ISNUMBER(H752),1,0))</x:f>
        <x:v>1</x:v>
      </x:c>
      <x:c r="W752" s="9" t="n">
        <x:f>IF(Dashboard!$I$6="Flat %",G752*(1+Dashboard!$L$6),H752)</x:f>
        <x:v>0.129801</x:v>
      </x:c>
      <x:c r="X752" s="9" t="n">
        <x:f>IF(V752=1,R752*(W752-G752),"n.a.")</x:f>
        <x:v>11.2806</x:v>
      </x:c>
      <x:c r="Y752" s="9" t="n">
        <x:f>IF(V752=1,R752*W752,"n.a.")</x:f>
        <x:v>77.8806</x:v>
      </x:c>
      <x:c r="Z752" s="1" t="str">
        <x:f>IF(ISNUMBER(T752),R752-T752,"n.a.")</x:f>
        <x:v>n.a.</x:v>
      </x:c>
      <x:c r="AA752" s="1" t="str">
        <x:f>'Inventory inputs'!R752</x:f>
        <x:v>Review receipt reconciliation or original PO baseline</x:v>
      </x:c>
      <x:c r="AB752" s="1" t="str">
        <x:f>IF(L752=1,SUMIFS('Incoming POs'!$P$2:$P$305,'Incoming POs'!$A$2:$A$305,A752,'Incoming POs'!$B$2:$B$305,B752,'Incoming POs'!$C$2:$C$305,C752,'Incoming POs'!$G$2:$G$305,"&gt;="&amp;D752,'Incoming POs'!$G$2:$G$305,"&lt;"&amp;Dashboard!$I$5,'Incoming POs'!$Q$2:$Q$305,"&lt;="&amp;('Inventory inputs'!P752/'Inventory inputs'!J752*1.01)),"n.a.")</x:f>
        <x:v>n.a.</x:v>
      </x:c>
      <x:c r="AC752" s="9" t="n">
        <x:f>I752*G752</x:f>
        <x:v>0</x:v>
      </x:c>
      <x:c r="AD752" s="9" t="n">
        <x:f>J752*G752</x:f>
        <x:v>0</x:v>
      </x:c>
      <x:c r="AE752" s="9" t="n">
        <x:f>K752*G752</x:f>
        <x:v>66.6</x:v>
      </x:c>
      <x:c r="AF752" s="9" t="n">
        <x:f>R752*G752</x:f>
        <x:v>66.6</x:v>
      </x:c>
    </x:row>
    <x:row r="753" ht="21" customHeight="1">
      <x:c r="A753" s="1" t="str">
        <x:f>'Inventory inputs'!A753</x:f>
        <x:v>PLAS</x:v>
      </x:c>
      <x:c r="B753" s="1" t="str">
        <x:f>'Inventory inputs'!B753</x:f>
        <x:v>30</x:v>
      </x:c>
      <x:c r="C753" s="1" t="str">
        <x:f>'Inventory inputs'!C753</x:f>
        <x:v>11419RSLNAV</x:v>
      </x:c>
      <x:c r="D753" s="7" t="n">
        <x:f>'Inventory inputs'!E753</x:f>
        <x:v>46303</x:v>
      </x:c>
      <x:c r="E753" s="1" t="n">
        <x:f>'Inventory inputs'!F753</x:f>
        <x:v>550</x:v>
      </x:c>
      <x:c r="F753" s="1" t="n">
        <x:f>'Inventory inputs'!G753</x:f>
        <x:v>0</x:v>
      </x:c>
      <x:c r="G753" s="1" t="n">
        <x:f>'Inventory inputs'!H753/'Inventory inputs'!J753</x:f>
        <x:v>0.111</x:v>
      </x:c>
      <x:c r="H753" s="1" t="n">
        <x:f>IF('Inventory inputs'!I753&gt;0,'Inventory inputs'!I753*'Inventory inputs'!K753/'Inventory inputs'!J753,"n.a.")</x:f>
        <x:v>0.129801</x:v>
      </x:c>
      <x:c r="I753" s="1" t="n">
        <x:f>'Inventory inputs'!L753</x:f>
        <x:v>0</x:v>
      </x:c>
      <x:c r="J753" s="1" t="n">
        <x:f>'Inventory inputs'!M753</x:f>
        <x:v>0</x:v>
      </x:c>
      <x:c r="K753" s="1" t="n">
        <x:f>'Inventory inputs'!N753</x:f>
        <x:v>550</x:v>
      </x:c>
      <x:c r="L753" s="1" t="n">
        <x:f>'Inventory inputs'!O753</x:f>
        <x:v>0</x:v>
      </x:c>
      <x:c r="M753" s="9" t="n">
        <x:f>E753*G753</x:f>
        <x:v>61.050000000000004</x:v>
      </x:c>
      <x:c r="N753" s="9" t="n">
        <x:f>'Inventory inputs'!Q753</x:f>
        <x:v>61.050000000000004</x:v>
      </x:c>
      <x:c r="O753" s="9" t="n">
        <x:f>N753-M753</x:f>
        <x:v>0</x:v>
      </x:c>
      <x:c r="P753" s="1" t="n">
        <x:f>SUMIFS('Incoming POs'!$P$2:$P$305,'Incoming POs'!$A$2:$A$305,A753,'Incoming POs'!$B$2:$B$305,B753,'Incoming POs'!$C$2:$C$305,C753,'Incoming POs'!$G$2:$G$305,"&gt;="&amp;D753,'Incoming POs'!$G$2:$G$305,"&lt;"&amp;Dashboard!$I$5)</x:f>
        <x:v>0</x:v>
      </x:c>
      <x:c r="Q753" s="1" t="n">
        <x:f>F753*Dashboard!$L$5*MAX(0,Dashboard!$I$5-D753)/30.4375</x:f>
        <x:v>0</x:v>
      </x:c>
      <x:c r="R753" s="1" t="n">
        <x:f>MAX(0,E753+P753-Q753)</x:f>
        <x:v>550</x:v>
      </x:c>
      <x:c r="S753" s="1" t="n">
        <x:f>MAX(0,Q753-E753-P753)</x:f>
        <x:v>0</x:v>
      </x:c>
      <x:c r="T753" s="1" t="str">
        <x:f>IF(L753=1,MAX(0,I753+AB753-MIN(Q753,E753+P753)),"n.a.")</x:f>
        <x:v>n.a.</x:v>
      </x:c>
      <x:c r="U753" s="9" t="str">
        <x:f>IF(ISNUMBER(T753),T753*G753,"n.a.")</x:f>
        <x:v>n.a.</x:v>
      </x:c>
      <x:c r="V753" s="25" t="n">
        <x:f>IF(Dashboard!$I$6="Flat %",1,IF(ISNUMBER(H753),1,0))</x:f>
        <x:v>1</x:v>
      </x:c>
      <x:c r="W753" s="9" t="n">
        <x:f>IF(Dashboard!$I$6="Flat %",G753*(1+Dashboard!$L$6),H753)</x:f>
        <x:v>0.129801</x:v>
      </x:c>
      <x:c r="X753" s="9" t="n">
        <x:f>IF(V753=1,R753*(W753-G753),"n.a.")</x:f>
        <x:v>10.340549999999999</x:v>
      </x:c>
      <x:c r="Y753" s="9" t="n">
        <x:f>IF(V753=1,R753*W753,"n.a.")</x:f>
        <x:v>71.39055</x:v>
      </x:c>
      <x:c r="Z753" s="1" t="str">
        <x:f>IF(ISNUMBER(T753),R753-T753,"n.a.")</x:f>
        <x:v>n.a.</x:v>
      </x:c>
      <x:c r="AA753" s="1" t="str">
        <x:f>'Inventory inputs'!R753</x:f>
        <x:v>Review receipt reconciliation or original PO baseline</x:v>
      </x:c>
      <x:c r="AB753" s="1" t="str">
        <x:f>IF(L753=1,SUMIFS('Incoming POs'!$P$2:$P$305,'Incoming POs'!$A$2:$A$305,A753,'Incoming POs'!$B$2:$B$305,B753,'Incoming POs'!$C$2:$C$305,C753,'Incoming POs'!$G$2:$G$305,"&gt;="&amp;D753,'Incoming POs'!$G$2:$G$305,"&lt;"&amp;Dashboard!$I$5,'Incoming POs'!$Q$2:$Q$305,"&lt;="&amp;('Inventory inputs'!P753/'Inventory inputs'!J753*1.01)),"n.a.")</x:f>
        <x:v>n.a.</x:v>
      </x:c>
      <x:c r="AC753" s="9" t="n">
        <x:f>I753*G753</x:f>
        <x:v>0</x:v>
      </x:c>
      <x:c r="AD753" s="9" t="n">
        <x:f>J753*G753</x:f>
        <x:v>0</x:v>
      </x:c>
      <x:c r="AE753" s="9" t="n">
        <x:f>K753*G753</x:f>
        <x:v>61.050000000000004</x:v>
      </x:c>
      <x:c r="AF753" s="9" t="n">
        <x:f>R753*G753</x:f>
        <x:v>61.050000000000004</x:v>
      </x:c>
    </x:row>
    <x:row r="754" ht="21" customHeight="1">
      <x:c r="A754" s="1" t="str">
        <x:f>'Inventory inputs'!A754</x:f>
        <x:v>PLAS</x:v>
      </x:c>
      <x:c r="B754" s="1" t="str">
        <x:f>'Inventory inputs'!B754</x:f>
        <x:v>30</x:v>
      </x:c>
      <x:c r="C754" s="1" t="str">
        <x:f>'Inventory inputs'!C754</x:f>
        <x:v>11419RSLRED</x:v>
      </x:c>
      <x:c r="D754" s="7" t="n">
        <x:f>'Inventory inputs'!E754</x:f>
        <x:v>46303</x:v>
      </x:c>
      <x:c r="E754" s="1" t="n">
        <x:f>'Inventory inputs'!F754</x:f>
        <x:v>1100</x:v>
      </x:c>
      <x:c r="F754" s="1" t="n">
        <x:f>'Inventory inputs'!G754</x:f>
        <x:v>0</x:v>
      </x:c>
      <x:c r="G754" s="1" t="n">
        <x:f>'Inventory inputs'!H754/'Inventory inputs'!J754</x:f>
        <x:v>0.111</x:v>
      </x:c>
      <x:c r="H754" s="1" t="n">
        <x:f>IF('Inventory inputs'!I754&gt;0,'Inventory inputs'!I754*'Inventory inputs'!K754/'Inventory inputs'!J754,"n.a.")</x:f>
        <x:v>0.129801</x:v>
      </x:c>
      <x:c r="I754" s="1" t="n">
        <x:f>'Inventory inputs'!L754</x:f>
        <x:v>0</x:v>
      </x:c>
      <x:c r="J754" s="1" t="n">
        <x:f>'Inventory inputs'!M754</x:f>
        <x:v>0</x:v>
      </x:c>
      <x:c r="K754" s="1" t="n">
        <x:f>'Inventory inputs'!N754</x:f>
        <x:v>1100</x:v>
      </x:c>
      <x:c r="L754" s="1" t="n">
        <x:f>'Inventory inputs'!O754</x:f>
        <x:v>0</x:v>
      </x:c>
      <x:c r="M754" s="9" t="n">
        <x:f>E754*G754</x:f>
        <x:v>122.10000000000001</x:v>
      </x:c>
      <x:c r="N754" s="9" t="n">
        <x:f>'Inventory inputs'!Q754</x:f>
        <x:v>122.10000000000001</x:v>
      </x:c>
      <x:c r="O754" s="9" t="n">
        <x:f>N754-M754</x:f>
        <x:v>0</x:v>
      </x:c>
      <x:c r="P754" s="1" t="n">
        <x:f>SUMIFS('Incoming POs'!$P$2:$P$305,'Incoming POs'!$A$2:$A$305,A754,'Incoming POs'!$B$2:$B$305,B754,'Incoming POs'!$C$2:$C$305,C754,'Incoming POs'!$G$2:$G$305,"&gt;="&amp;D754,'Incoming POs'!$G$2:$G$305,"&lt;"&amp;Dashboard!$I$5)</x:f>
        <x:v>0</x:v>
      </x:c>
      <x:c r="Q754" s="1" t="n">
        <x:f>F754*Dashboard!$L$5*MAX(0,Dashboard!$I$5-D754)/30.4375</x:f>
        <x:v>0</x:v>
      </x:c>
      <x:c r="R754" s="1" t="n">
        <x:f>MAX(0,E754+P754-Q754)</x:f>
        <x:v>1100</x:v>
      </x:c>
      <x:c r="S754" s="1" t="n">
        <x:f>MAX(0,Q754-E754-P754)</x:f>
        <x:v>0</x:v>
      </x:c>
      <x:c r="T754" s="1" t="str">
        <x:f>IF(L754=1,MAX(0,I754+AB754-MIN(Q754,E754+P754)),"n.a.")</x:f>
        <x:v>n.a.</x:v>
      </x:c>
      <x:c r="U754" s="9" t="str">
        <x:f>IF(ISNUMBER(T754),T754*G754,"n.a.")</x:f>
        <x:v>n.a.</x:v>
      </x:c>
      <x:c r="V754" s="25" t="n">
        <x:f>IF(Dashboard!$I$6="Flat %",1,IF(ISNUMBER(H754),1,0))</x:f>
        <x:v>1</x:v>
      </x:c>
      <x:c r="W754" s="9" t="n">
        <x:f>IF(Dashboard!$I$6="Flat %",G754*(1+Dashboard!$L$6),H754)</x:f>
        <x:v>0.129801</x:v>
      </x:c>
      <x:c r="X754" s="9" t="n">
        <x:f>IF(V754=1,R754*(W754-G754),"n.a.")</x:f>
        <x:v>20.681099999999997</x:v>
      </x:c>
      <x:c r="Y754" s="9" t="n">
        <x:f>IF(V754=1,R754*W754,"n.a.")</x:f>
        <x:v>142.7811</x:v>
      </x:c>
      <x:c r="Z754" s="1" t="str">
        <x:f>IF(ISNUMBER(T754),R754-T754,"n.a.")</x:f>
        <x:v>n.a.</x:v>
      </x:c>
      <x:c r="AA754" s="1" t="str">
        <x:f>'Inventory inputs'!R754</x:f>
        <x:v>Review receipt reconciliation or original PO baseline</x:v>
      </x:c>
      <x:c r="AB754" s="1" t="str">
        <x:f>IF(L754=1,SUMIFS('Incoming POs'!$P$2:$P$305,'Incoming POs'!$A$2:$A$305,A754,'Incoming POs'!$B$2:$B$305,B754,'Incoming POs'!$C$2:$C$305,C754,'Incoming POs'!$G$2:$G$305,"&gt;="&amp;D754,'Incoming POs'!$G$2:$G$305,"&lt;"&amp;Dashboard!$I$5,'Incoming POs'!$Q$2:$Q$305,"&lt;="&amp;('Inventory inputs'!P754/'Inventory inputs'!J754*1.01)),"n.a.")</x:f>
        <x:v>n.a.</x:v>
      </x:c>
      <x:c r="AC754" s="9" t="n">
        <x:f>I754*G754</x:f>
        <x:v>0</x:v>
      </x:c>
      <x:c r="AD754" s="9" t="n">
        <x:f>J754*G754</x:f>
        <x:v>0</x:v>
      </x:c>
      <x:c r="AE754" s="9" t="n">
        <x:f>K754*G754</x:f>
        <x:v>122.10000000000001</x:v>
      </x:c>
      <x:c r="AF754" s="9" t="n">
        <x:f>R754*G754</x:f>
        <x:v>122.10000000000001</x:v>
      </x:c>
    </x:row>
    <x:row r="755" ht="21" customHeight="1">
      <x:c r="A755" s="1" t="str">
        <x:f>'Inventory inputs'!A755</x:f>
        <x:v>PLAS</x:v>
      </x:c>
      <x:c r="B755" s="1" t="str">
        <x:f>'Inventory inputs'!B755</x:f>
        <x:v>30</x:v>
      </x:c>
      <x:c r="C755" s="1" t="str">
        <x:f>'Inventory inputs'!C755</x:f>
        <x:v>11815RWBBLK</x:v>
      </x:c>
      <x:c r="D755" s="7" t="n">
        <x:f>'Inventory inputs'!E755</x:f>
        <x:v>46303</x:v>
      </x:c>
      <x:c r="E755" s="1" t="n">
        <x:f>'Inventory inputs'!F755</x:f>
        <x:v>800</x:v>
      </x:c>
      <x:c r="F755" s="1" t="n">
        <x:f>'Inventory inputs'!G755</x:f>
        <x:v>0</x:v>
      </x:c>
      <x:c r="G755" s="1" t="n">
        <x:f>'Inventory inputs'!H755/'Inventory inputs'!J755</x:f>
        <x:v>0.0882</x:v>
      </x:c>
      <x:c r="H755" s="1" t="n">
        <x:f>IF('Inventory inputs'!I755&gt;0,'Inventory inputs'!I755*'Inventory inputs'!K755/'Inventory inputs'!J755,"n.a.")</x:f>
        <x:v>0.103194</x:v>
      </x:c>
      <x:c r="I755" s="1" t="n">
        <x:f>'Inventory inputs'!L755</x:f>
        <x:v>0</x:v>
      </x:c>
      <x:c r="J755" s="1" t="n">
        <x:f>'Inventory inputs'!M755</x:f>
        <x:v>0</x:v>
      </x:c>
      <x:c r="K755" s="1" t="n">
        <x:f>'Inventory inputs'!N755</x:f>
        <x:v>800</x:v>
      </x:c>
      <x:c r="L755" s="1" t="n">
        <x:f>'Inventory inputs'!O755</x:f>
        <x:v>0</x:v>
      </x:c>
      <x:c r="M755" s="9" t="n">
        <x:f>E755*G755</x:f>
        <x:v>70.56</x:v>
      </x:c>
      <x:c r="N755" s="9" t="n">
        <x:f>'Inventory inputs'!Q755</x:f>
        <x:v>70.56</x:v>
      </x:c>
      <x:c r="O755" s="9" t="n">
        <x:f>N755-M755</x:f>
        <x:v>0</x:v>
      </x:c>
      <x:c r="P755" s="1" t="n">
        <x:f>SUMIFS('Incoming POs'!$P$2:$P$305,'Incoming POs'!$A$2:$A$305,A755,'Incoming POs'!$B$2:$B$305,B755,'Incoming POs'!$C$2:$C$305,C755,'Incoming POs'!$G$2:$G$305,"&gt;="&amp;D755,'Incoming POs'!$G$2:$G$305,"&lt;"&amp;Dashboard!$I$5)</x:f>
        <x:v>0</x:v>
      </x:c>
      <x:c r="Q755" s="1" t="n">
        <x:f>F755*Dashboard!$L$5*MAX(0,Dashboard!$I$5-D755)/30.4375</x:f>
        <x:v>0</x:v>
      </x:c>
      <x:c r="R755" s="1" t="n">
        <x:f>MAX(0,E755+P755-Q755)</x:f>
        <x:v>800</x:v>
      </x:c>
      <x:c r="S755" s="1" t="n">
        <x:f>MAX(0,Q755-E755-P755)</x:f>
        <x:v>0</x:v>
      </x:c>
      <x:c r="T755" s="1" t="str">
        <x:f>IF(L755=1,MAX(0,I755+AB755-MIN(Q755,E755+P755)),"n.a.")</x:f>
        <x:v>n.a.</x:v>
      </x:c>
      <x:c r="U755" s="9" t="str">
        <x:f>IF(ISNUMBER(T755),T755*G755,"n.a.")</x:f>
        <x:v>n.a.</x:v>
      </x:c>
      <x:c r="V755" s="25" t="n">
        <x:f>IF(Dashboard!$I$6="Flat %",1,IF(ISNUMBER(H755),1,0))</x:f>
        <x:v>1</x:v>
      </x:c>
      <x:c r="W755" s="9" t="n">
        <x:f>IF(Dashboard!$I$6="Flat %",G755*(1+Dashboard!$L$6),H755)</x:f>
        <x:v>0.103194</x:v>
      </x:c>
      <x:c r="X755" s="9" t="n">
        <x:f>IF(V755=1,R755*(W755-G755),"n.a.")</x:f>
        <x:v>11.995199999999995</x:v>
      </x:c>
      <x:c r="Y755" s="9" t="n">
        <x:f>IF(V755=1,R755*W755,"n.a.")</x:f>
        <x:v>82.5552</x:v>
      </x:c>
      <x:c r="Z755" s="1" t="str">
        <x:f>IF(ISNUMBER(T755),R755-T755,"n.a.")</x:f>
        <x:v>n.a.</x:v>
      </x:c>
      <x:c r="AA755" s="1" t="str">
        <x:f>'Inventory inputs'!R755</x:f>
        <x:v>Review receipt reconciliation or original PO baseline</x:v>
      </x:c>
      <x:c r="AB755" s="1" t="str">
        <x:f>IF(L755=1,SUMIFS('Incoming POs'!$P$2:$P$305,'Incoming POs'!$A$2:$A$305,A755,'Incoming POs'!$B$2:$B$305,B755,'Incoming POs'!$C$2:$C$305,C755,'Incoming POs'!$G$2:$G$305,"&gt;="&amp;D755,'Incoming POs'!$G$2:$G$305,"&lt;"&amp;Dashboard!$I$5,'Incoming POs'!$Q$2:$Q$305,"&lt;="&amp;('Inventory inputs'!P755/'Inventory inputs'!J755*1.01)),"n.a.")</x:f>
        <x:v>n.a.</x:v>
      </x:c>
      <x:c r="AC755" s="9" t="n">
        <x:f>I755*G755</x:f>
        <x:v>0</x:v>
      </x:c>
      <x:c r="AD755" s="9" t="n">
        <x:f>J755*G755</x:f>
        <x:v>0</x:v>
      </x:c>
      <x:c r="AE755" s="9" t="n">
        <x:f>K755*G755</x:f>
        <x:v>70.56</x:v>
      </x:c>
      <x:c r="AF755" s="9" t="n">
        <x:f>R755*G755</x:f>
        <x:v>70.56</x:v>
      </x:c>
    </x:row>
    <x:row r="756" ht="21" customHeight="1">
      <x:c r="A756" s="1" t="str">
        <x:f>'Inventory inputs'!A756</x:f>
        <x:v>PLAS</x:v>
      </x:c>
      <x:c r="B756" s="1" t="str">
        <x:f>'Inventory inputs'!B756</x:f>
        <x:v>30</x:v>
      </x:c>
      <x:c r="C756" s="1" t="str">
        <x:f>'Inventory inputs'!C756</x:f>
        <x:v>11815RWBWHT</x:v>
      </x:c>
      <x:c r="D756" s="7" t="n">
        <x:f>'Inventory inputs'!E756</x:f>
        <x:v>46303</x:v>
      </x:c>
      <x:c r="E756" s="1" t="n">
        <x:f>'Inventory inputs'!F756</x:f>
        <x:v>1000</x:v>
      </x:c>
      <x:c r="F756" s="1" t="n">
        <x:f>'Inventory inputs'!G756</x:f>
        <x:v>0</x:v>
      </x:c>
      <x:c r="G756" s="1" t="n">
        <x:f>'Inventory inputs'!H756/'Inventory inputs'!J756</x:f>
        <x:v>0.0882</x:v>
      </x:c>
      <x:c r="H756" s="1" t="n">
        <x:f>IF('Inventory inputs'!I756&gt;0,'Inventory inputs'!I756*'Inventory inputs'!K756/'Inventory inputs'!J756,"n.a.")</x:f>
        <x:v>0.103194</x:v>
      </x:c>
      <x:c r="I756" s="1" t="n">
        <x:f>'Inventory inputs'!L756</x:f>
        <x:v>0</x:v>
      </x:c>
      <x:c r="J756" s="1" t="n">
        <x:f>'Inventory inputs'!M756</x:f>
        <x:v>0</x:v>
      </x:c>
      <x:c r="K756" s="1" t="n">
        <x:f>'Inventory inputs'!N756</x:f>
        <x:v>1000</x:v>
      </x:c>
      <x:c r="L756" s="1" t="n">
        <x:f>'Inventory inputs'!O756</x:f>
        <x:v>0</x:v>
      </x:c>
      <x:c r="M756" s="9" t="n">
        <x:f>E756*G756</x:f>
        <x:v>88.2</x:v>
      </x:c>
      <x:c r="N756" s="9" t="n">
        <x:f>'Inventory inputs'!Q756</x:f>
        <x:v>88.2</x:v>
      </x:c>
      <x:c r="O756" s="9" t="n">
        <x:f>N756-M756</x:f>
        <x:v>0</x:v>
      </x:c>
      <x:c r="P756" s="1" t="n">
        <x:f>SUMIFS('Incoming POs'!$P$2:$P$305,'Incoming POs'!$A$2:$A$305,A756,'Incoming POs'!$B$2:$B$305,B756,'Incoming POs'!$C$2:$C$305,C756,'Incoming POs'!$G$2:$G$305,"&gt;="&amp;D756,'Incoming POs'!$G$2:$G$305,"&lt;"&amp;Dashboard!$I$5)</x:f>
        <x:v>0</x:v>
      </x:c>
      <x:c r="Q756" s="1" t="n">
        <x:f>F756*Dashboard!$L$5*MAX(0,Dashboard!$I$5-D756)/30.4375</x:f>
        <x:v>0</x:v>
      </x:c>
      <x:c r="R756" s="1" t="n">
        <x:f>MAX(0,E756+P756-Q756)</x:f>
        <x:v>1000</x:v>
      </x:c>
      <x:c r="S756" s="1" t="n">
        <x:f>MAX(0,Q756-E756-P756)</x:f>
        <x:v>0</x:v>
      </x:c>
      <x:c r="T756" s="1" t="str">
        <x:f>IF(L756=1,MAX(0,I756+AB756-MIN(Q756,E756+P756)),"n.a.")</x:f>
        <x:v>n.a.</x:v>
      </x:c>
      <x:c r="U756" s="9" t="str">
        <x:f>IF(ISNUMBER(T756),T756*G756,"n.a.")</x:f>
        <x:v>n.a.</x:v>
      </x:c>
      <x:c r="V756" s="25" t="n">
        <x:f>IF(Dashboard!$I$6="Flat %",1,IF(ISNUMBER(H756),1,0))</x:f>
        <x:v>1</x:v>
      </x:c>
      <x:c r="W756" s="9" t="n">
        <x:f>IF(Dashboard!$I$6="Flat %",G756*(1+Dashboard!$L$6),H756)</x:f>
        <x:v>0.103194</x:v>
      </x:c>
      <x:c r="X756" s="9" t="n">
        <x:f>IF(V756=1,R756*(W756-G756),"n.a.")</x:f>
        <x:v>14.993999999999993</x:v>
      </x:c>
      <x:c r="Y756" s="9" t="n">
        <x:f>IF(V756=1,R756*W756,"n.a.")</x:f>
        <x:v>103.19399999999999</x:v>
      </x:c>
      <x:c r="Z756" s="1" t="str">
        <x:f>IF(ISNUMBER(T756),R756-T756,"n.a.")</x:f>
        <x:v>n.a.</x:v>
      </x:c>
      <x:c r="AA756" s="1" t="str">
        <x:f>'Inventory inputs'!R756</x:f>
        <x:v>Review receipt reconciliation or original PO baseline</x:v>
      </x:c>
      <x:c r="AB756" s="1" t="str">
        <x:f>IF(L756=1,SUMIFS('Incoming POs'!$P$2:$P$305,'Incoming POs'!$A$2:$A$305,A756,'Incoming POs'!$B$2:$B$305,B756,'Incoming POs'!$C$2:$C$305,C756,'Incoming POs'!$G$2:$G$305,"&gt;="&amp;D756,'Incoming POs'!$G$2:$G$305,"&lt;"&amp;Dashboard!$I$5,'Incoming POs'!$Q$2:$Q$305,"&lt;="&amp;('Inventory inputs'!P756/'Inventory inputs'!J756*1.01)),"n.a.")</x:f>
        <x:v>n.a.</x:v>
      </x:c>
      <x:c r="AC756" s="9" t="n">
        <x:f>I756*G756</x:f>
        <x:v>0</x:v>
      </x:c>
      <x:c r="AD756" s="9" t="n">
        <x:f>J756*G756</x:f>
        <x:v>0</x:v>
      </x:c>
      <x:c r="AE756" s="9" t="n">
        <x:f>K756*G756</x:f>
        <x:v>88.2</x:v>
      </x:c>
      <x:c r="AF756" s="9" t="n">
        <x:f>R756*G756</x:f>
        <x:v>88.2</x:v>
      </x:c>
    </x:row>
    <x:row r="757" ht="21" customHeight="1">
      <x:c r="A757" s="1" t="str">
        <x:f>'Inventory inputs'!A757</x:f>
        <x:v>PLAS</x:v>
      </x:c>
      <x:c r="B757" s="1" t="str">
        <x:f>'Inventory inputs'!B757</x:f>
        <x:v>30</x:v>
      </x:c>
      <x:c r="C757" s="1" t="str">
        <x:f>'Inventory inputs'!C757</x:f>
        <x:v>11819RWBBLU</x:v>
      </x:c>
      <x:c r="D757" s="7" t="n">
        <x:f>'Inventory inputs'!E757</x:f>
        <x:v>46303</x:v>
      </x:c>
      <x:c r="E757" s="1" t="n">
        <x:f>'Inventory inputs'!F757</x:f>
        <x:v>200</x:v>
      </x:c>
      <x:c r="F757" s="1" t="n">
        <x:f>'Inventory inputs'!G757</x:f>
        <x:v>0</x:v>
      </x:c>
      <x:c r="G757" s="1" t="n">
        <x:f>'Inventory inputs'!H757/'Inventory inputs'!J757</x:f>
        <x:v>0.1323</x:v>
      </x:c>
      <x:c r="H757" s="1" t="n">
        <x:f>IF('Inventory inputs'!I757&gt;0,'Inventory inputs'!I757*'Inventory inputs'!K757/'Inventory inputs'!J757,"n.a.")</x:f>
        <x:v>0.15479099999999998</x:v>
      </x:c>
      <x:c r="I757" s="1" t="n">
        <x:f>'Inventory inputs'!L757</x:f>
        <x:v>0</x:v>
      </x:c>
      <x:c r="J757" s="1" t="n">
        <x:f>'Inventory inputs'!M757</x:f>
        <x:v>0</x:v>
      </x:c>
      <x:c r="K757" s="1" t="n">
        <x:f>'Inventory inputs'!N757</x:f>
        <x:v>200</x:v>
      </x:c>
      <x:c r="L757" s="1" t="n">
        <x:f>'Inventory inputs'!O757</x:f>
        <x:v>0</x:v>
      </x:c>
      <x:c r="M757" s="9" t="n">
        <x:f>E757*G757</x:f>
        <x:v>26.46</x:v>
      </x:c>
      <x:c r="N757" s="9" t="n">
        <x:f>'Inventory inputs'!Q757</x:f>
        <x:v>26.46</x:v>
      </x:c>
      <x:c r="O757" s="9" t="n">
        <x:f>N757-M757</x:f>
        <x:v>0</x:v>
      </x:c>
      <x:c r="P757" s="1" t="n">
        <x:f>SUMIFS('Incoming POs'!$P$2:$P$305,'Incoming POs'!$A$2:$A$305,A757,'Incoming POs'!$B$2:$B$305,B757,'Incoming POs'!$C$2:$C$305,C757,'Incoming POs'!$G$2:$G$305,"&gt;="&amp;D757,'Incoming POs'!$G$2:$G$305,"&lt;"&amp;Dashboard!$I$5)</x:f>
        <x:v>0</x:v>
      </x:c>
      <x:c r="Q757" s="1" t="n">
        <x:f>F757*Dashboard!$L$5*MAX(0,Dashboard!$I$5-D757)/30.4375</x:f>
        <x:v>0</x:v>
      </x:c>
      <x:c r="R757" s="1" t="n">
        <x:f>MAX(0,E757+P757-Q757)</x:f>
        <x:v>200</x:v>
      </x:c>
      <x:c r="S757" s="1" t="n">
        <x:f>MAX(0,Q757-E757-P757)</x:f>
        <x:v>0</x:v>
      </x:c>
      <x:c r="T757" s="1" t="str">
        <x:f>IF(L757=1,MAX(0,I757+AB757-MIN(Q757,E757+P757)),"n.a.")</x:f>
        <x:v>n.a.</x:v>
      </x:c>
      <x:c r="U757" s="9" t="str">
        <x:f>IF(ISNUMBER(T757),T757*G757,"n.a.")</x:f>
        <x:v>n.a.</x:v>
      </x:c>
      <x:c r="V757" s="25" t="n">
        <x:f>IF(Dashboard!$I$6="Flat %",1,IF(ISNUMBER(H757),1,0))</x:f>
        <x:v>1</x:v>
      </x:c>
      <x:c r="W757" s="9" t="n">
        <x:f>IF(Dashboard!$I$6="Flat %",G757*(1+Dashboard!$L$6),H757)</x:f>
        <x:v>0.15479099999999998</x:v>
      </x:c>
      <x:c r="X757" s="9" t="n">
        <x:f>IF(V757=1,R757*(W757-G757),"n.a.")</x:f>
        <x:v>4.498199999999997</x:v>
      </x:c>
      <x:c r="Y757" s="9" t="n">
        <x:f>IF(V757=1,R757*W757,"n.a.")</x:f>
        <x:v>30.958199999999998</x:v>
      </x:c>
      <x:c r="Z757" s="1" t="str">
        <x:f>IF(ISNUMBER(T757),R757-T757,"n.a.")</x:f>
        <x:v>n.a.</x:v>
      </x:c>
      <x:c r="AA757" s="1" t="str">
        <x:f>'Inventory inputs'!R757</x:f>
        <x:v>Review receipt reconciliation or original PO baseline</x:v>
      </x:c>
      <x:c r="AB757" s="1" t="str">
        <x:f>IF(L757=1,SUMIFS('Incoming POs'!$P$2:$P$305,'Incoming POs'!$A$2:$A$305,A757,'Incoming POs'!$B$2:$B$305,B757,'Incoming POs'!$C$2:$C$305,C757,'Incoming POs'!$G$2:$G$305,"&gt;="&amp;D757,'Incoming POs'!$G$2:$G$305,"&lt;"&amp;Dashboard!$I$5,'Incoming POs'!$Q$2:$Q$305,"&lt;="&amp;('Inventory inputs'!P757/'Inventory inputs'!J757*1.01)),"n.a.")</x:f>
        <x:v>n.a.</x:v>
      </x:c>
      <x:c r="AC757" s="9" t="n">
        <x:f>I757*G757</x:f>
        <x:v>0</x:v>
      </x:c>
      <x:c r="AD757" s="9" t="n">
        <x:f>J757*G757</x:f>
        <x:v>0</x:v>
      </x:c>
      <x:c r="AE757" s="9" t="n">
        <x:f>K757*G757</x:f>
        <x:v>26.46</x:v>
      </x:c>
      <x:c r="AF757" s="9" t="n">
        <x:f>R757*G757</x:f>
        <x:v>26.46</x:v>
      </x:c>
    </x:row>
    <x:row r="758" ht="21" customHeight="1">
      <x:c r="A758" s="1" t="str">
        <x:f>'Inventory inputs'!A758</x:f>
        <x:v>PLAS</x:v>
      </x:c>
      <x:c r="B758" s="1" t="str">
        <x:f>'Inventory inputs'!B758</x:f>
        <x:v>30</x:v>
      </x:c>
      <x:c r="C758" s="1" t="str">
        <x:f>'Inventory inputs'!C758</x:f>
        <x:v>11819RWBFG</x:v>
      </x:c>
      <x:c r="D758" s="7" t="n">
        <x:f>'Inventory inputs'!E758</x:f>
        <x:v>46303</x:v>
      </x:c>
      <x:c r="E758" s="1" t="n">
        <x:f>'Inventory inputs'!F758</x:f>
        <x:v>850</x:v>
      </x:c>
      <x:c r="F758" s="1" t="n">
        <x:f>'Inventory inputs'!G758</x:f>
        <x:v>0</x:v>
      </x:c>
      <x:c r="G758" s="1" t="n">
        <x:f>'Inventory inputs'!H758/'Inventory inputs'!J758</x:f>
        <x:v>0.1323</x:v>
      </x:c>
      <x:c r="H758" s="1" t="n">
        <x:f>IF('Inventory inputs'!I758&gt;0,'Inventory inputs'!I758*'Inventory inputs'!K758/'Inventory inputs'!J758,"n.a.")</x:f>
        <x:v>0.15479099999999998</x:v>
      </x:c>
      <x:c r="I758" s="1" t="n">
        <x:f>'Inventory inputs'!L758</x:f>
        <x:v>0</x:v>
      </x:c>
      <x:c r="J758" s="1" t="n">
        <x:f>'Inventory inputs'!M758</x:f>
        <x:v>0</x:v>
      </x:c>
      <x:c r="K758" s="1" t="n">
        <x:f>'Inventory inputs'!N758</x:f>
        <x:v>850</x:v>
      </x:c>
      <x:c r="L758" s="1" t="n">
        <x:f>'Inventory inputs'!O758</x:f>
        <x:v>0</x:v>
      </x:c>
      <x:c r="M758" s="9" t="n">
        <x:f>E758*G758</x:f>
        <x:v>112.455</x:v>
      </x:c>
      <x:c r="N758" s="9" t="n">
        <x:f>'Inventory inputs'!Q758</x:f>
        <x:v>112.455</x:v>
      </x:c>
      <x:c r="O758" s="9" t="n">
        <x:f>N758-M758</x:f>
        <x:v>0</x:v>
      </x:c>
      <x:c r="P758" s="1" t="n">
        <x:f>SUMIFS('Incoming POs'!$P$2:$P$305,'Incoming POs'!$A$2:$A$305,A758,'Incoming POs'!$B$2:$B$305,B758,'Incoming POs'!$C$2:$C$305,C758,'Incoming POs'!$G$2:$G$305,"&gt;="&amp;D758,'Incoming POs'!$G$2:$G$305,"&lt;"&amp;Dashboard!$I$5)</x:f>
        <x:v>0</x:v>
      </x:c>
      <x:c r="Q758" s="1" t="n">
        <x:f>F758*Dashboard!$L$5*MAX(0,Dashboard!$I$5-D758)/30.4375</x:f>
        <x:v>0</x:v>
      </x:c>
      <x:c r="R758" s="1" t="n">
        <x:f>MAX(0,E758+P758-Q758)</x:f>
        <x:v>850</x:v>
      </x:c>
      <x:c r="S758" s="1" t="n">
        <x:f>MAX(0,Q758-E758-P758)</x:f>
        <x:v>0</x:v>
      </x:c>
      <x:c r="T758" s="1" t="str">
        <x:f>IF(L758=1,MAX(0,I758+AB758-MIN(Q758,E758+P758)),"n.a.")</x:f>
        <x:v>n.a.</x:v>
      </x:c>
      <x:c r="U758" s="9" t="str">
        <x:f>IF(ISNUMBER(T758),T758*G758,"n.a.")</x:f>
        <x:v>n.a.</x:v>
      </x:c>
      <x:c r="V758" s="25" t="n">
        <x:f>IF(Dashboard!$I$6="Flat %",1,IF(ISNUMBER(H758),1,0))</x:f>
        <x:v>1</x:v>
      </x:c>
      <x:c r="W758" s="9" t="n">
        <x:f>IF(Dashboard!$I$6="Flat %",G758*(1+Dashboard!$L$6),H758)</x:f>
        <x:v>0.15479099999999998</x:v>
      </x:c>
      <x:c r="X758" s="9" t="n">
        <x:f>IF(V758=1,R758*(W758-G758),"n.a.")</x:f>
        <x:v>19.117349999999984</x:v>
      </x:c>
      <x:c r="Y758" s="9" t="n">
        <x:f>IF(V758=1,R758*W758,"n.a.")</x:f>
        <x:v>131.57235</x:v>
      </x:c>
      <x:c r="Z758" s="1" t="str">
        <x:f>IF(ISNUMBER(T758),R758-T758,"n.a.")</x:f>
        <x:v>n.a.</x:v>
      </x:c>
      <x:c r="AA758" s="1" t="str">
        <x:f>'Inventory inputs'!R758</x:f>
        <x:v>Review receipt reconciliation or original PO baseline</x:v>
      </x:c>
      <x:c r="AB758" s="1" t="str">
        <x:f>IF(L758=1,SUMIFS('Incoming POs'!$P$2:$P$305,'Incoming POs'!$A$2:$A$305,A758,'Incoming POs'!$B$2:$B$305,B758,'Incoming POs'!$C$2:$C$305,C758,'Incoming POs'!$G$2:$G$305,"&gt;="&amp;D758,'Incoming POs'!$G$2:$G$305,"&lt;"&amp;Dashboard!$I$5,'Incoming POs'!$Q$2:$Q$305,"&lt;="&amp;('Inventory inputs'!P758/'Inventory inputs'!J758*1.01)),"n.a.")</x:f>
        <x:v>n.a.</x:v>
      </x:c>
      <x:c r="AC758" s="9" t="n">
        <x:f>I758*G758</x:f>
        <x:v>0</x:v>
      </x:c>
      <x:c r="AD758" s="9" t="n">
        <x:f>J758*G758</x:f>
        <x:v>0</x:v>
      </x:c>
      <x:c r="AE758" s="9" t="n">
        <x:f>K758*G758</x:f>
        <x:v>112.455</x:v>
      </x:c>
      <x:c r="AF758" s="9" t="n">
        <x:f>R758*G758</x:f>
        <x:v>112.455</x:v>
      </x:c>
    </x:row>
    <x:row r="759" ht="21" customHeight="1">
      <x:c r="A759" s="1" t="str">
        <x:f>'Inventory inputs'!A759</x:f>
        <x:v>PLAS</x:v>
      </x:c>
      <x:c r="B759" s="1" t="str">
        <x:f>'Inventory inputs'!B759</x:f>
        <x:v>30</x:v>
      </x:c>
      <x:c r="C759" s="1" t="str">
        <x:f>'Inventory inputs'!C759</x:f>
        <x:v>11819RWBMAR</x:v>
      </x:c>
      <x:c r="D759" s="7" t="n">
        <x:f>'Inventory inputs'!E759</x:f>
        <x:v>46303</x:v>
      </x:c>
      <x:c r="E759" s="1" t="n">
        <x:f>'Inventory inputs'!F759</x:f>
        <x:v>900</x:v>
      </x:c>
      <x:c r="F759" s="1" t="n">
        <x:f>'Inventory inputs'!G759</x:f>
        <x:v>0</x:v>
      </x:c>
      <x:c r="G759" s="1" t="n">
        <x:f>'Inventory inputs'!H759/'Inventory inputs'!J759</x:f>
        <x:v>0.1323</x:v>
      </x:c>
      <x:c r="H759" s="1" t="n">
        <x:f>IF('Inventory inputs'!I759&gt;0,'Inventory inputs'!I759*'Inventory inputs'!K759/'Inventory inputs'!J759,"n.a.")</x:f>
        <x:v>0.15479099999999998</x:v>
      </x:c>
      <x:c r="I759" s="1" t="n">
        <x:f>'Inventory inputs'!L759</x:f>
        <x:v>0</x:v>
      </x:c>
      <x:c r="J759" s="1" t="n">
        <x:f>'Inventory inputs'!M759</x:f>
        <x:v>0</x:v>
      </x:c>
      <x:c r="K759" s="1" t="n">
        <x:f>'Inventory inputs'!N759</x:f>
        <x:v>900</x:v>
      </x:c>
      <x:c r="L759" s="1" t="n">
        <x:f>'Inventory inputs'!O759</x:f>
        <x:v>0</x:v>
      </x:c>
      <x:c r="M759" s="9" t="n">
        <x:f>E759*G759</x:f>
        <x:v>119.07000000000001</x:v>
      </x:c>
      <x:c r="N759" s="9" t="n">
        <x:f>'Inventory inputs'!Q759</x:f>
        <x:v>119.07000000000001</x:v>
      </x:c>
      <x:c r="O759" s="9" t="n">
        <x:f>N759-M759</x:f>
        <x:v>0</x:v>
      </x:c>
      <x:c r="P759" s="1" t="n">
        <x:f>SUMIFS('Incoming POs'!$P$2:$P$305,'Incoming POs'!$A$2:$A$305,A759,'Incoming POs'!$B$2:$B$305,B759,'Incoming POs'!$C$2:$C$305,C759,'Incoming POs'!$G$2:$G$305,"&gt;="&amp;D759,'Incoming POs'!$G$2:$G$305,"&lt;"&amp;Dashboard!$I$5)</x:f>
        <x:v>0</x:v>
      </x:c>
      <x:c r="Q759" s="1" t="n">
        <x:f>F759*Dashboard!$L$5*MAX(0,Dashboard!$I$5-D759)/30.4375</x:f>
        <x:v>0</x:v>
      </x:c>
      <x:c r="R759" s="1" t="n">
        <x:f>MAX(0,E759+P759-Q759)</x:f>
        <x:v>900</x:v>
      </x:c>
      <x:c r="S759" s="1" t="n">
        <x:f>MAX(0,Q759-E759-P759)</x:f>
        <x:v>0</x:v>
      </x:c>
      <x:c r="T759" s="1" t="str">
        <x:f>IF(L759=1,MAX(0,I759+AB759-MIN(Q759,E759+P759)),"n.a.")</x:f>
        <x:v>n.a.</x:v>
      </x:c>
      <x:c r="U759" s="9" t="str">
        <x:f>IF(ISNUMBER(T759),T759*G759,"n.a.")</x:f>
        <x:v>n.a.</x:v>
      </x:c>
      <x:c r="V759" s="25" t="n">
        <x:f>IF(Dashboard!$I$6="Flat %",1,IF(ISNUMBER(H759),1,0))</x:f>
        <x:v>1</x:v>
      </x:c>
      <x:c r="W759" s="9" t="n">
        <x:f>IF(Dashboard!$I$6="Flat %",G759*(1+Dashboard!$L$6),H759)</x:f>
        <x:v>0.15479099999999998</x:v>
      </x:c>
      <x:c r="X759" s="9" t="n">
        <x:f>IF(V759=1,R759*(W759-G759),"n.a.")</x:f>
        <x:v>20.241899999999983</x:v>
      </x:c>
      <x:c r="Y759" s="9" t="n">
        <x:f>IF(V759=1,R759*W759,"n.a.")</x:f>
        <x:v>139.31189999999998</x:v>
      </x:c>
      <x:c r="Z759" s="1" t="str">
        <x:f>IF(ISNUMBER(T759),R759-T759,"n.a.")</x:f>
        <x:v>n.a.</x:v>
      </x:c>
      <x:c r="AA759" s="1" t="str">
        <x:f>'Inventory inputs'!R759</x:f>
        <x:v>Review receipt reconciliation or original PO baseline</x:v>
      </x:c>
      <x:c r="AB759" s="1" t="str">
        <x:f>IF(L759=1,SUMIFS('Incoming POs'!$P$2:$P$305,'Incoming POs'!$A$2:$A$305,A759,'Incoming POs'!$B$2:$B$305,B759,'Incoming POs'!$C$2:$C$305,C759,'Incoming POs'!$G$2:$G$305,"&gt;="&amp;D759,'Incoming POs'!$G$2:$G$305,"&lt;"&amp;Dashboard!$I$5,'Incoming POs'!$Q$2:$Q$305,"&lt;="&amp;('Inventory inputs'!P759/'Inventory inputs'!J759*1.01)),"n.a.")</x:f>
        <x:v>n.a.</x:v>
      </x:c>
      <x:c r="AC759" s="9" t="n">
        <x:f>I759*G759</x:f>
        <x:v>0</x:v>
      </x:c>
      <x:c r="AD759" s="9" t="n">
        <x:f>J759*G759</x:f>
        <x:v>0</x:v>
      </x:c>
      <x:c r="AE759" s="9" t="n">
        <x:f>K759*G759</x:f>
        <x:v>119.07000000000001</x:v>
      </x:c>
      <x:c r="AF759" s="9" t="n">
        <x:f>R759*G759</x:f>
        <x:v>119.07000000000001</x:v>
      </x:c>
    </x:row>
    <x:row r="760" ht="21" customHeight="1">
      <x:c r="A760" s="1" t="str">
        <x:f>'Inventory inputs'!A760</x:f>
        <x:v>PLAS</x:v>
      </x:c>
      <x:c r="B760" s="1" t="str">
        <x:f>'Inventory inputs'!B760</x:f>
        <x:v>30</x:v>
      </x:c>
      <x:c r="C760" s="1" t="str">
        <x:f>'Inventory inputs'!C760</x:f>
        <x:v>11819RWBNAV</x:v>
      </x:c>
      <x:c r="D760" s="7" t="n">
        <x:f>'Inventory inputs'!E760</x:f>
        <x:v>46303</x:v>
      </x:c>
      <x:c r="E760" s="1" t="n">
        <x:f>'Inventory inputs'!F760</x:f>
        <x:v>1000</x:v>
      </x:c>
      <x:c r="F760" s="1" t="n">
        <x:f>'Inventory inputs'!G760</x:f>
        <x:v>0</x:v>
      </x:c>
      <x:c r="G760" s="1" t="n">
        <x:f>'Inventory inputs'!H760/'Inventory inputs'!J760</x:f>
        <x:v>0.1323</x:v>
      </x:c>
      <x:c r="H760" s="1" t="n">
        <x:f>IF('Inventory inputs'!I760&gt;0,'Inventory inputs'!I760*'Inventory inputs'!K760/'Inventory inputs'!J760,"n.a.")</x:f>
        <x:v>0.15479099999999998</x:v>
      </x:c>
      <x:c r="I760" s="1" t="n">
        <x:f>'Inventory inputs'!L760</x:f>
        <x:v>0</x:v>
      </x:c>
      <x:c r="J760" s="1" t="n">
        <x:f>'Inventory inputs'!M760</x:f>
        <x:v>0</x:v>
      </x:c>
      <x:c r="K760" s="1" t="n">
        <x:f>'Inventory inputs'!N760</x:f>
        <x:v>1000</x:v>
      </x:c>
      <x:c r="L760" s="1" t="n">
        <x:f>'Inventory inputs'!O760</x:f>
        <x:v>0</x:v>
      </x:c>
      <x:c r="M760" s="9" t="n">
        <x:f>E760*G760</x:f>
        <x:v>132.3</x:v>
      </x:c>
      <x:c r="N760" s="9" t="n">
        <x:f>'Inventory inputs'!Q760</x:f>
        <x:v>132.3</x:v>
      </x:c>
      <x:c r="O760" s="9" t="n">
        <x:f>N760-M760</x:f>
        <x:v>0</x:v>
      </x:c>
      <x:c r="P760" s="1" t="n">
        <x:f>SUMIFS('Incoming POs'!$P$2:$P$305,'Incoming POs'!$A$2:$A$305,A760,'Incoming POs'!$B$2:$B$305,B760,'Incoming POs'!$C$2:$C$305,C760,'Incoming POs'!$G$2:$G$305,"&gt;="&amp;D760,'Incoming POs'!$G$2:$G$305,"&lt;"&amp;Dashboard!$I$5)</x:f>
        <x:v>0</x:v>
      </x:c>
      <x:c r="Q760" s="1" t="n">
        <x:f>F760*Dashboard!$L$5*MAX(0,Dashboard!$I$5-D760)/30.4375</x:f>
        <x:v>0</x:v>
      </x:c>
      <x:c r="R760" s="1" t="n">
        <x:f>MAX(0,E760+P760-Q760)</x:f>
        <x:v>1000</x:v>
      </x:c>
      <x:c r="S760" s="1" t="n">
        <x:f>MAX(0,Q760-E760-P760)</x:f>
        <x:v>0</x:v>
      </x:c>
      <x:c r="T760" s="1" t="str">
        <x:f>IF(L760=1,MAX(0,I760+AB760-MIN(Q760,E760+P760)),"n.a.")</x:f>
        <x:v>n.a.</x:v>
      </x:c>
      <x:c r="U760" s="9" t="str">
        <x:f>IF(ISNUMBER(T760),T760*G760,"n.a.")</x:f>
        <x:v>n.a.</x:v>
      </x:c>
      <x:c r="V760" s="25" t="n">
        <x:f>IF(Dashboard!$I$6="Flat %",1,IF(ISNUMBER(H760),1,0))</x:f>
        <x:v>1</x:v>
      </x:c>
      <x:c r="W760" s="9" t="n">
        <x:f>IF(Dashboard!$I$6="Flat %",G760*(1+Dashboard!$L$6),H760)</x:f>
        <x:v>0.15479099999999998</x:v>
      </x:c>
      <x:c r="X760" s="9" t="n">
        <x:f>IF(V760=1,R760*(W760-G760),"n.a.")</x:f>
        <x:v>22.490999999999982</x:v>
      </x:c>
      <x:c r="Y760" s="9" t="n">
        <x:f>IF(V760=1,R760*W760,"n.a.")</x:f>
        <x:v>154.791</x:v>
      </x:c>
      <x:c r="Z760" s="1" t="str">
        <x:f>IF(ISNUMBER(T760),R760-T760,"n.a.")</x:f>
        <x:v>n.a.</x:v>
      </x:c>
      <x:c r="AA760" s="1" t="str">
        <x:f>'Inventory inputs'!R760</x:f>
        <x:v>Review receipt reconciliation or original PO baseline</x:v>
      </x:c>
      <x:c r="AB760" s="1" t="str">
        <x:f>IF(L760=1,SUMIFS('Incoming POs'!$P$2:$P$305,'Incoming POs'!$A$2:$A$305,A760,'Incoming POs'!$B$2:$B$305,B760,'Incoming POs'!$C$2:$C$305,C760,'Incoming POs'!$G$2:$G$305,"&gt;="&amp;D760,'Incoming POs'!$G$2:$G$305,"&lt;"&amp;Dashboard!$I$5,'Incoming POs'!$Q$2:$Q$305,"&lt;="&amp;('Inventory inputs'!P760/'Inventory inputs'!J760*1.01)),"n.a.")</x:f>
        <x:v>n.a.</x:v>
      </x:c>
      <x:c r="AC760" s="9" t="n">
        <x:f>I760*G760</x:f>
        <x:v>0</x:v>
      </x:c>
      <x:c r="AD760" s="9" t="n">
        <x:f>J760*G760</x:f>
        <x:v>0</x:v>
      </x:c>
      <x:c r="AE760" s="9" t="n">
        <x:f>K760*G760</x:f>
        <x:v>132.3</x:v>
      </x:c>
      <x:c r="AF760" s="9" t="n">
        <x:f>R760*G760</x:f>
        <x:v>132.3</x:v>
      </x:c>
    </x:row>
    <x:row r="761" ht="21" customHeight="1">
      <x:c r="A761" s="1" t="str">
        <x:f>'Inventory inputs'!A761</x:f>
        <x:v>PLAS</x:v>
      </x:c>
      <x:c r="B761" s="1" t="str">
        <x:f>'Inventory inputs'!B761</x:f>
        <x:v>30</x:v>
      </x:c>
      <x:c r="C761" s="1" t="str">
        <x:f>'Inventory inputs'!C761</x:f>
        <x:v>11880RWBBLK</x:v>
      </x:c>
      <x:c r="D761" s="7" t="n">
        <x:f>'Inventory inputs'!E761</x:f>
        <x:v>46303</x:v>
      </x:c>
      <x:c r="E761" s="1" t="n">
        <x:f>'Inventory inputs'!F761</x:f>
        <x:v>0</x:v>
      </x:c>
      <x:c r="F761" s="1" t="n">
        <x:f>'Inventory inputs'!G761</x:f>
        <x:v>0</x:v>
      </x:c>
      <x:c r="G761" s="1" t="n">
        <x:f>'Inventory inputs'!H761/'Inventory inputs'!J761</x:f>
        <x:v>0.4947</x:v>
      </x:c>
      <x:c r="H761" s="1" t="n">
        <x:f>IF('Inventory inputs'!I761&gt;0,'Inventory inputs'!I761*'Inventory inputs'!K761/'Inventory inputs'!J761,"n.a.")</x:f>
        <x:v>0.5787389999999999</x:v>
      </x:c>
      <x:c r="I761" s="1" t="n">
        <x:f>'Inventory inputs'!L761</x:f>
        <x:v>0</x:v>
      </x:c>
      <x:c r="J761" s="1" t="n">
        <x:f>'Inventory inputs'!M761</x:f>
        <x:v>0</x:v>
      </x:c>
      <x:c r="K761" s="1" t="n">
        <x:f>'Inventory inputs'!N761</x:f>
        <x:v>0</x:v>
      </x:c>
      <x:c r="L761" s="1" t="n">
        <x:f>'Inventory inputs'!O761</x:f>
        <x:v>1</x:v>
      </x:c>
      <x:c r="M761" s="9" t="n">
        <x:f>E761*G761</x:f>
        <x:v>0</x:v>
      </x:c>
      <x:c r="N761" s="9" t="n">
        <x:f>'Inventory inputs'!Q761</x:f>
        <x:v>0</x:v>
      </x:c>
      <x:c r="O761" s="9" t="n">
        <x:f>N761-M761</x:f>
        <x:v>0</x:v>
      </x:c>
      <x:c r="P761" s="1" t="n">
        <x:f>SUMIFS('Incoming POs'!$P$2:$P$305,'Incoming POs'!$A$2:$A$305,A761,'Incoming POs'!$B$2:$B$305,B761,'Incoming POs'!$C$2:$C$305,C761,'Incoming POs'!$G$2:$G$305,"&gt;="&amp;D761,'Incoming POs'!$G$2:$G$305,"&lt;"&amp;Dashboard!$I$5)</x:f>
        <x:v>0</x:v>
      </x:c>
      <x:c r="Q761" s="1" t="n">
        <x:f>F761*Dashboard!$L$5*MAX(0,Dashboard!$I$5-D761)/30.4375</x:f>
        <x:v>0</x:v>
      </x:c>
      <x:c r="R761" s="1" t="n">
        <x:f>MAX(0,E761+P761-Q761)</x:f>
        <x:v>0</x:v>
      </x:c>
      <x:c r="S761" s="1" t="n">
        <x:f>MAX(0,Q761-E761-P761)</x:f>
        <x:v>0</x:v>
      </x:c>
      <x:c r="T761" s="1" t="n">
        <x:f>IF(L761=1,MAX(0,I761+AB761-MIN(Q761,E761+P761)),"n.a.")</x:f>
        <x:v>0</x:v>
      </x:c>
      <x:c r="U761" s="9" t="n">
        <x:f>IF(ISNUMBER(T761),T761*G761,"n.a.")</x:f>
        <x:v>0</x:v>
      </x:c>
      <x:c r="V761" s="25" t="n">
        <x:f>IF(Dashboard!$I$6="Flat %",1,IF(ISNUMBER(H761),1,0))</x:f>
        <x:v>1</x:v>
      </x:c>
      <x:c r="W761" s="9" t="n">
        <x:f>IF(Dashboard!$I$6="Flat %",G761*(1+Dashboard!$L$6),H761)</x:f>
        <x:v>0.5787389999999999</x:v>
      </x:c>
      <x:c r="X761" s="9" t="n">
        <x:f>IF(V761=1,R761*(W761-G761),"n.a.")</x:f>
        <x:v>0</x:v>
      </x:c>
      <x:c r="Y761" s="9" t="n">
        <x:f>IF(V761=1,R761*W761,"n.a.")</x:f>
        <x:v>0</x:v>
      </x:c>
      <x:c r="Z761" s="1" t="n">
        <x:f>IF(ISNUMBER(T761),R761-T761,"n.a.")</x:f>
        <x:v>0</x:v>
      </x:c>
      <x:c r="AA761" s="1" t="str">
        <x:f>'Inventory inputs'!R761</x:f>
        <x:v>Classified</x:v>
      </x:c>
      <x:c r="AB761" s="1" t="n">
        <x:f>IF(L761=1,SUMIFS('Incoming POs'!$P$2:$P$305,'Incoming POs'!$A$2:$A$305,A761,'Incoming POs'!$B$2:$B$305,B761,'Incoming POs'!$C$2:$C$305,C761,'Incoming POs'!$G$2:$G$305,"&gt;="&amp;D761,'Incoming POs'!$G$2:$G$305,"&lt;"&amp;Dashboard!$I$5,'Incoming POs'!$Q$2:$Q$305,"&lt;="&amp;('Inventory inputs'!P761/'Inventory inputs'!J761*1.01)),"n.a.")</x:f>
        <x:v>0</x:v>
      </x:c>
      <x:c r="AC761" s="9" t="n">
        <x:f>I761*G761</x:f>
        <x:v>0</x:v>
      </x:c>
      <x:c r="AD761" s="9" t="n">
        <x:f>J761*G761</x:f>
        <x:v>0</x:v>
      </x:c>
      <x:c r="AE761" s="9" t="n">
        <x:f>K761*G761</x:f>
        <x:v>0</x:v>
      </x:c>
      <x:c r="AF761" s="9" t="n">
        <x:f>R761*G761</x:f>
        <x:v>0</x:v>
      </x:c>
    </x:row>
    <x:row r="762" ht="21" customHeight="1">
      <x:c r="A762" s="1" t="str">
        <x:f>'Inventory inputs'!A762</x:f>
        <x:v>PLAS</x:v>
      </x:c>
      <x:c r="B762" s="1" t="str">
        <x:f>'Inventory inputs'!B762</x:f>
        <x:v>30</x:v>
      </x:c>
      <x:c r="C762" s="1" t="str">
        <x:f>'Inventory inputs'!C762</x:f>
        <x:v>11880RWBWHT</x:v>
      </x:c>
      <x:c r="D762" s="7" t="n">
        <x:f>'Inventory inputs'!E762</x:f>
        <x:v>46303</x:v>
      </x:c>
      <x:c r="E762" s="1" t="n">
        <x:f>'Inventory inputs'!F762</x:f>
        <x:v>0</x:v>
      </x:c>
      <x:c r="F762" s="1" t="n">
        <x:f>'Inventory inputs'!G762</x:f>
        <x:v>0</x:v>
      </x:c>
      <x:c r="G762" s="1" t="n">
        <x:f>'Inventory inputs'!H762/'Inventory inputs'!J762</x:f>
        <x:v>0.4947</x:v>
      </x:c>
      <x:c r="H762" s="1" t="n">
        <x:f>IF('Inventory inputs'!I762&gt;0,'Inventory inputs'!I762*'Inventory inputs'!K762/'Inventory inputs'!J762,"n.a.")</x:f>
        <x:v>0.5787389999999999</x:v>
      </x:c>
      <x:c r="I762" s="1" t="n">
        <x:f>'Inventory inputs'!L762</x:f>
        <x:v>0</x:v>
      </x:c>
      <x:c r="J762" s="1" t="n">
        <x:f>'Inventory inputs'!M762</x:f>
        <x:v>0</x:v>
      </x:c>
      <x:c r="K762" s="1" t="n">
        <x:f>'Inventory inputs'!N762</x:f>
        <x:v>0</x:v>
      </x:c>
      <x:c r="L762" s="1" t="n">
        <x:f>'Inventory inputs'!O762</x:f>
        <x:v>1</x:v>
      </x:c>
      <x:c r="M762" s="9" t="n">
        <x:f>E762*G762</x:f>
        <x:v>0</x:v>
      </x:c>
      <x:c r="N762" s="9" t="n">
        <x:f>'Inventory inputs'!Q762</x:f>
        <x:v>0</x:v>
      </x:c>
      <x:c r="O762" s="9" t="n">
        <x:f>N762-M762</x:f>
        <x:v>0</x:v>
      </x:c>
      <x:c r="P762" s="1" t="n">
        <x:f>SUMIFS('Incoming POs'!$P$2:$P$305,'Incoming POs'!$A$2:$A$305,A762,'Incoming POs'!$B$2:$B$305,B762,'Incoming POs'!$C$2:$C$305,C762,'Incoming POs'!$G$2:$G$305,"&gt;="&amp;D762,'Incoming POs'!$G$2:$G$305,"&lt;"&amp;Dashboard!$I$5)</x:f>
        <x:v>0</x:v>
      </x:c>
      <x:c r="Q762" s="1" t="n">
        <x:f>F762*Dashboard!$L$5*MAX(0,Dashboard!$I$5-D762)/30.4375</x:f>
        <x:v>0</x:v>
      </x:c>
      <x:c r="R762" s="1" t="n">
        <x:f>MAX(0,E762+P762-Q762)</x:f>
        <x:v>0</x:v>
      </x:c>
      <x:c r="S762" s="1" t="n">
        <x:f>MAX(0,Q762-E762-P762)</x:f>
        <x:v>0</x:v>
      </x:c>
      <x:c r="T762" s="1" t="n">
        <x:f>IF(L762=1,MAX(0,I762+AB762-MIN(Q762,E762+P762)),"n.a.")</x:f>
        <x:v>0</x:v>
      </x:c>
      <x:c r="U762" s="9" t="n">
        <x:f>IF(ISNUMBER(T762),T762*G762,"n.a.")</x:f>
        <x:v>0</x:v>
      </x:c>
      <x:c r="V762" s="25" t="n">
        <x:f>IF(Dashboard!$I$6="Flat %",1,IF(ISNUMBER(H762),1,0))</x:f>
        <x:v>1</x:v>
      </x:c>
      <x:c r="W762" s="9" t="n">
        <x:f>IF(Dashboard!$I$6="Flat %",G762*(1+Dashboard!$L$6),H762)</x:f>
        <x:v>0.5787389999999999</x:v>
      </x:c>
      <x:c r="X762" s="9" t="n">
        <x:f>IF(V762=1,R762*(W762-G762),"n.a.")</x:f>
        <x:v>0</x:v>
      </x:c>
      <x:c r="Y762" s="9" t="n">
        <x:f>IF(V762=1,R762*W762,"n.a.")</x:f>
        <x:v>0</x:v>
      </x:c>
      <x:c r="Z762" s="1" t="n">
        <x:f>IF(ISNUMBER(T762),R762-T762,"n.a.")</x:f>
        <x:v>0</x:v>
      </x:c>
      <x:c r="AA762" s="1" t="str">
        <x:f>'Inventory inputs'!R762</x:f>
        <x:v>Classified</x:v>
      </x:c>
      <x:c r="AB762" s="1" t="n">
        <x:f>IF(L762=1,SUMIFS('Incoming POs'!$P$2:$P$305,'Incoming POs'!$A$2:$A$305,A762,'Incoming POs'!$B$2:$B$305,B762,'Incoming POs'!$C$2:$C$305,C762,'Incoming POs'!$G$2:$G$305,"&gt;="&amp;D762,'Incoming POs'!$G$2:$G$305,"&lt;"&amp;Dashboard!$I$5,'Incoming POs'!$Q$2:$Q$305,"&lt;="&amp;('Inventory inputs'!P762/'Inventory inputs'!J762*1.01)),"n.a.")</x:f>
        <x:v>0</x:v>
      </x:c>
      <x:c r="AC762" s="9" t="n">
        <x:f>I762*G762</x:f>
        <x:v>0</x:v>
      </x:c>
      <x:c r="AD762" s="9" t="n">
        <x:f>J762*G762</x:f>
        <x:v>0</x:v>
      </x:c>
      <x:c r="AE762" s="9" t="n">
        <x:f>K762*G762</x:f>
        <x:v>0</x:v>
      </x:c>
      <x:c r="AF762" s="9" t="n">
        <x:f>R762*G762</x:f>
        <x:v>0</x:v>
      </x:c>
    </x:row>
    <x:row r="763" ht="21" customHeight="1">
      <x:c r="A763" s="1" t="str">
        <x:f>'Inventory inputs'!A763</x:f>
        <x:v>PLAS</x:v>
      </x:c>
      <x:c r="B763" s="1" t="str">
        <x:f>'Inventory inputs'!B763</x:f>
        <x:v>30</x:v>
      </x:c>
      <x:c r="C763" s="1" t="str">
        <x:f>'Inventory inputs'!C763</x:f>
        <x:v>13415RSLBLK</x:v>
      </x:c>
      <x:c r="D763" s="7" t="n">
        <x:f>'Inventory inputs'!E763</x:f>
        <x:v>46303</x:v>
      </x:c>
      <x:c r="E763" s="1" t="n">
        <x:f>'Inventory inputs'!F763</x:f>
        <x:v>500</x:v>
      </x:c>
      <x:c r="F763" s="1" t="n">
        <x:f>'Inventory inputs'!G763</x:f>
        <x:v>0</x:v>
      </x:c>
      <x:c r="G763" s="1" t="n">
        <x:f>'Inventory inputs'!H763/'Inventory inputs'!J763</x:f>
        <x:v>0.1005</x:v>
      </x:c>
      <x:c r="H763" s="1" t="n">
        <x:f>IF('Inventory inputs'!I763&gt;0,'Inventory inputs'!I763*'Inventory inputs'!K763/'Inventory inputs'!J763,"n.a.")</x:f>
        <x:v>0.1176</x:v>
      </x:c>
      <x:c r="I763" s="1" t="n">
        <x:f>'Inventory inputs'!L763</x:f>
        <x:v>0</x:v>
      </x:c>
      <x:c r="J763" s="1" t="n">
        <x:f>'Inventory inputs'!M763</x:f>
        <x:v>0</x:v>
      </x:c>
      <x:c r="K763" s="1" t="n">
        <x:f>'Inventory inputs'!N763</x:f>
        <x:v>500</x:v>
      </x:c>
      <x:c r="L763" s="1" t="n">
        <x:f>'Inventory inputs'!O763</x:f>
        <x:v>0</x:v>
      </x:c>
      <x:c r="M763" s="9" t="n">
        <x:f>E763*G763</x:f>
        <x:v>50.25</x:v>
      </x:c>
      <x:c r="N763" s="9" t="n">
        <x:f>'Inventory inputs'!Q763</x:f>
        <x:v>50.25</x:v>
      </x:c>
      <x:c r="O763" s="9" t="n">
        <x:f>N763-M763</x:f>
        <x:v>0</x:v>
      </x:c>
      <x:c r="P763" s="1" t="n">
        <x:f>SUMIFS('Incoming POs'!$P$2:$P$305,'Incoming POs'!$A$2:$A$305,A763,'Incoming POs'!$B$2:$B$305,B763,'Incoming POs'!$C$2:$C$305,C763,'Incoming POs'!$G$2:$G$305,"&gt;="&amp;D763,'Incoming POs'!$G$2:$G$305,"&lt;"&amp;Dashboard!$I$5)</x:f>
        <x:v>0</x:v>
      </x:c>
      <x:c r="Q763" s="1" t="n">
        <x:f>F763*Dashboard!$L$5*MAX(0,Dashboard!$I$5-D763)/30.4375</x:f>
        <x:v>0</x:v>
      </x:c>
      <x:c r="R763" s="1" t="n">
        <x:f>MAX(0,E763+P763-Q763)</x:f>
        <x:v>500</x:v>
      </x:c>
      <x:c r="S763" s="1" t="n">
        <x:f>MAX(0,Q763-E763-P763)</x:f>
        <x:v>0</x:v>
      </x:c>
      <x:c r="T763" s="1" t="str">
        <x:f>IF(L763=1,MAX(0,I763+AB763-MIN(Q763,E763+P763)),"n.a.")</x:f>
        <x:v>n.a.</x:v>
      </x:c>
      <x:c r="U763" s="9" t="str">
        <x:f>IF(ISNUMBER(T763),T763*G763,"n.a.")</x:f>
        <x:v>n.a.</x:v>
      </x:c>
      <x:c r="V763" s="25" t="n">
        <x:f>IF(Dashboard!$I$6="Flat %",1,IF(ISNUMBER(H763),1,0))</x:f>
        <x:v>1</x:v>
      </x:c>
      <x:c r="W763" s="9" t="n">
        <x:f>IF(Dashboard!$I$6="Flat %",G763*(1+Dashboard!$L$6),H763)</x:f>
        <x:v>0.1176</x:v>
      </x:c>
      <x:c r="X763" s="9" t="n">
        <x:f>IF(V763=1,R763*(W763-G763),"n.a.")</x:f>
        <x:v>8.549999999999995</x:v>
      </x:c>
      <x:c r="Y763" s="9" t="n">
        <x:f>IF(V763=1,R763*W763,"n.a.")</x:f>
        <x:v>58.8</x:v>
      </x:c>
      <x:c r="Z763" s="1" t="str">
        <x:f>IF(ISNUMBER(T763),R763-T763,"n.a.")</x:f>
        <x:v>n.a.</x:v>
      </x:c>
      <x:c r="AA763" s="1" t="str">
        <x:f>'Inventory inputs'!R763</x:f>
        <x:v>Review receipt reconciliation or original PO baseline</x:v>
      </x:c>
      <x:c r="AB763" s="1" t="str">
        <x:f>IF(L763=1,SUMIFS('Incoming POs'!$P$2:$P$305,'Incoming POs'!$A$2:$A$305,A763,'Incoming POs'!$B$2:$B$305,B763,'Incoming POs'!$C$2:$C$305,C763,'Incoming POs'!$G$2:$G$305,"&gt;="&amp;D763,'Incoming POs'!$G$2:$G$305,"&lt;"&amp;Dashboard!$I$5,'Incoming POs'!$Q$2:$Q$305,"&lt;="&amp;('Inventory inputs'!P763/'Inventory inputs'!J763*1.01)),"n.a.")</x:f>
        <x:v>n.a.</x:v>
      </x:c>
      <x:c r="AC763" s="9" t="n">
        <x:f>I763*G763</x:f>
        <x:v>0</x:v>
      </x:c>
      <x:c r="AD763" s="9" t="n">
        <x:f>J763*G763</x:f>
        <x:v>0</x:v>
      </x:c>
      <x:c r="AE763" s="9" t="n">
        <x:f>K763*G763</x:f>
        <x:v>50.25</x:v>
      </x:c>
      <x:c r="AF763" s="9" t="n">
        <x:f>R763*G763</x:f>
        <x:v>50.25</x:v>
      </x:c>
    </x:row>
    <x:row r="764" ht="21" customHeight="1">
      <x:c r="A764" s="1" t="str">
        <x:f>'Inventory inputs'!A764</x:f>
        <x:v>PLAS</x:v>
      </x:c>
      <x:c r="B764" s="1" t="str">
        <x:f>'Inventory inputs'!B764</x:f>
        <x:v>30</x:v>
      </x:c>
      <x:c r="C764" s="1" t="str">
        <x:f>'Inventory inputs'!C764</x:f>
        <x:v>13415RSLWHT</x:v>
      </x:c>
      <x:c r="D764" s="7" t="n">
        <x:f>'Inventory inputs'!E764</x:f>
        <x:v>46303</x:v>
      </x:c>
      <x:c r="E764" s="1" t="n">
        <x:f>'Inventory inputs'!F764</x:f>
        <x:v>800</x:v>
      </x:c>
      <x:c r="F764" s="1" t="n">
        <x:f>'Inventory inputs'!G764</x:f>
        <x:v>0</x:v>
      </x:c>
      <x:c r="G764" s="1" t="n">
        <x:f>'Inventory inputs'!H764/'Inventory inputs'!J764</x:f>
        <x:v>0.1005</x:v>
      </x:c>
      <x:c r="H764" s="1" t="n">
        <x:f>IF('Inventory inputs'!I764&gt;0,'Inventory inputs'!I764*'Inventory inputs'!K764/'Inventory inputs'!J764,"n.a.")</x:f>
        <x:v>0.1176</x:v>
      </x:c>
      <x:c r="I764" s="1" t="n">
        <x:f>'Inventory inputs'!L764</x:f>
        <x:v>0</x:v>
      </x:c>
      <x:c r="J764" s="1" t="n">
        <x:f>'Inventory inputs'!M764</x:f>
        <x:v>0</x:v>
      </x:c>
      <x:c r="K764" s="1" t="n">
        <x:f>'Inventory inputs'!N764</x:f>
        <x:v>800</x:v>
      </x:c>
      <x:c r="L764" s="1" t="n">
        <x:f>'Inventory inputs'!O764</x:f>
        <x:v>0</x:v>
      </x:c>
      <x:c r="M764" s="9" t="n">
        <x:f>E764*G764</x:f>
        <x:v>80.4</x:v>
      </x:c>
      <x:c r="N764" s="9" t="n">
        <x:f>'Inventory inputs'!Q764</x:f>
        <x:v>80.4</x:v>
      </x:c>
      <x:c r="O764" s="9" t="n">
        <x:f>N764-M764</x:f>
        <x:v>0</x:v>
      </x:c>
      <x:c r="P764" s="1" t="n">
        <x:f>SUMIFS('Incoming POs'!$P$2:$P$305,'Incoming POs'!$A$2:$A$305,A764,'Incoming POs'!$B$2:$B$305,B764,'Incoming POs'!$C$2:$C$305,C764,'Incoming POs'!$G$2:$G$305,"&gt;="&amp;D764,'Incoming POs'!$G$2:$G$305,"&lt;"&amp;Dashboard!$I$5)</x:f>
        <x:v>0</x:v>
      </x:c>
      <x:c r="Q764" s="1" t="n">
        <x:f>F764*Dashboard!$L$5*MAX(0,Dashboard!$I$5-D764)/30.4375</x:f>
        <x:v>0</x:v>
      </x:c>
      <x:c r="R764" s="1" t="n">
        <x:f>MAX(0,E764+P764-Q764)</x:f>
        <x:v>800</x:v>
      </x:c>
      <x:c r="S764" s="1" t="n">
        <x:f>MAX(0,Q764-E764-P764)</x:f>
        <x:v>0</x:v>
      </x:c>
      <x:c r="T764" s="1" t="str">
        <x:f>IF(L764=1,MAX(0,I764+AB764-MIN(Q764,E764+P764)),"n.a.")</x:f>
        <x:v>n.a.</x:v>
      </x:c>
      <x:c r="U764" s="9" t="str">
        <x:f>IF(ISNUMBER(T764),T764*G764,"n.a.")</x:f>
        <x:v>n.a.</x:v>
      </x:c>
      <x:c r="V764" s="25" t="n">
        <x:f>IF(Dashboard!$I$6="Flat %",1,IF(ISNUMBER(H764),1,0))</x:f>
        <x:v>1</x:v>
      </x:c>
      <x:c r="W764" s="9" t="n">
        <x:f>IF(Dashboard!$I$6="Flat %",G764*(1+Dashboard!$L$6),H764)</x:f>
        <x:v>0.1176</x:v>
      </x:c>
      <x:c r="X764" s="9" t="n">
        <x:f>IF(V764=1,R764*(W764-G764),"n.a.")</x:f>
        <x:v>13.679999999999993</x:v>
      </x:c>
      <x:c r="Y764" s="9" t="n">
        <x:f>IF(V764=1,R764*W764,"n.a.")</x:f>
        <x:v>94.08</x:v>
      </x:c>
      <x:c r="Z764" s="1" t="str">
        <x:f>IF(ISNUMBER(T764),R764-T764,"n.a.")</x:f>
        <x:v>n.a.</x:v>
      </x:c>
      <x:c r="AA764" s="1" t="str">
        <x:f>'Inventory inputs'!R764</x:f>
        <x:v>Review receipt reconciliation or original PO baseline</x:v>
      </x:c>
      <x:c r="AB764" s="1" t="str">
        <x:f>IF(L764=1,SUMIFS('Incoming POs'!$P$2:$P$305,'Incoming POs'!$A$2:$A$305,A764,'Incoming POs'!$B$2:$B$305,B764,'Incoming POs'!$C$2:$C$305,C764,'Incoming POs'!$G$2:$G$305,"&gt;="&amp;D764,'Incoming POs'!$G$2:$G$305,"&lt;"&amp;Dashboard!$I$5,'Incoming POs'!$Q$2:$Q$305,"&lt;="&amp;('Inventory inputs'!P764/'Inventory inputs'!J764*1.01)),"n.a.")</x:f>
        <x:v>n.a.</x:v>
      </x:c>
      <x:c r="AC764" s="9" t="n">
        <x:f>I764*G764</x:f>
        <x:v>0</x:v>
      </x:c>
      <x:c r="AD764" s="9" t="n">
        <x:f>J764*G764</x:f>
        <x:v>0</x:v>
      </x:c>
      <x:c r="AE764" s="9" t="n">
        <x:f>K764*G764</x:f>
        <x:v>80.4</x:v>
      </x:c>
      <x:c r="AF764" s="9" t="n">
        <x:f>R764*G764</x:f>
        <x:v>80.4</x:v>
      </x:c>
    </x:row>
    <x:row r="765" ht="21" customHeight="1">
      <x:c r="A765" s="1" t="str">
        <x:f>'Inventory inputs'!A765</x:f>
        <x:v>PLAS</x:v>
      </x:c>
      <x:c r="B765" s="1" t="str">
        <x:f>'Inventory inputs'!B765</x:f>
        <x:v>30</x:v>
      </x:c>
      <x:c r="C765" s="1" t="str">
        <x:f>'Inventory inputs'!C765</x:f>
        <x:v>13419RSLBLU</x:v>
      </x:c>
      <x:c r="D765" s="7" t="n">
        <x:f>'Inventory inputs'!E765</x:f>
        <x:v>46303</x:v>
      </x:c>
      <x:c r="E765" s="1" t="n">
        <x:f>'Inventory inputs'!F765</x:f>
        <x:v>350</x:v>
      </x:c>
      <x:c r="F765" s="1" t="n">
        <x:f>'Inventory inputs'!G765</x:f>
        <x:v>0</x:v>
      </x:c>
      <x:c r="G765" s="1" t="n">
        <x:f>'Inventory inputs'!H765/'Inventory inputs'!J765</x:f>
        <x:v>0.1457</x:v>
      </x:c>
      <x:c r="H765" s="1" t="n">
        <x:f>IF('Inventory inputs'!I765&gt;0,'Inventory inputs'!I765*'Inventory inputs'!K765/'Inventory inputs'!J765,"n.a.")</x:f>
        <x:v>0.170373</x:v>
      </x:c>
      <x:c r="I765" s="1" t="n">
        <x:f>'Inventory inputs'!L765</x:f>
        <x:v>0</x:v>
      </x:c>
      <x:c r="J765" s="1" t="n">
        <x:f>'Inventory inputs'!M765</x:f>
        <x:v>0</x:v>
      </x:c>
      <x:c r="K765" s="1" t="n">
        <x:f>'Inventory inputs'!N765</x:f>
        <x:v>350</x:v>
      </x:c>
      <x:c r="L765" s="1" t="n">
        <x:f>'Inventory inputs'!O765</x:f>
        <x:v>0</x:v>
      </x:c>
      <x:c r="M765" s="9" t="n">
        <x:f>E765*G765</x:f>
        <x:v>50.995</x:v>
      </x:c>
      <x:c r="N765" s="9" t="n">
        <x:f>'Inventory inputs'!Q765</x:f>
        <x:v>50.995000000000005</x:v>
      </x:c>
      <x:c r="O765" s="9" t="n">
        <x:f>N765-M765</x:f>
        <x:v>7.105427357601002e-15</x:v>
      </x:c>
      <x:c r="P765" s="1" t="n">
        <x:f>SUMIFS('Incoming POs'!$P$2:$P$305,'Incoming POs'!$A$2:$A$305,A765,'Incoming POs'!$B$2:$B$305,B765,'Incoming POs'!$C$2:$C$305,C765,'Incoming POs'!$G$2:$G$305,"&gt;="&amp;D765,'Incoming POs'!$G$2:$G$305,"&lt;"&amp;Dashboard!$I$5)</x:f>
        <x:v>0</x:v>
      </x:c>
      <x:c r="Q765" s="1" t="n">
        <x:f>F765*Dashboard!$L$5*MAX(0,Dashboard!$I$5-D765)/30.4375</x:f>
        <x:v>0</x:v>
      </x:c>
      <x:c r="R765" s="1" t="n">
        <x:f>MAX(0,E765+P765-Q765)</x:f>
        <x:v>350</x:v>
      </x:c>
      <x:c r="S765" s="1" t="n">
        <x:f>MAX(0,Q765-E765-P765)</x:f>
        <x:v>0</x:v>
      </x:c>
      <x:c r="T765" s="1" t="str">
        <x:f>IF(L765=1,MAX(0,I765+AB765-MIN(Q765,E765+P765)),"n.a.")</x:f>
        <x:v>n.a.</x:v>
      </x:c>
      <x:c r="U765" s="9" t="str">
        <x:f>IF(ISNUMBER(T765),T765*G765,"n.a.")</x:f>
        <x:v>n.a.</x:v>
      </x:c>
      <x:c r="V765" s="25" t="n">
        <x:f>IF(Dashboard!$I$6="Flat %",1,IF(ISNUMBER(H765),1,0))</x:f>
        <x:v>1</x:v>
      </x:c>
      <x:c r="W765" s="9" t="n">
        <x:f>IF(Dashboard!$I$6="Flat %",G765*(1+Dashboard!$L$6),H765)</x:f>
        <x:v>0.170373</x:v>
      </x:c>
      <x:c r="X765" s="9" t="n">
        <x:f>IF(V765=1,R765*(W765-G765),"n.a.")</x:f>
        <x:v>8.63555</x:v>
      </x:c>
      <x:c r="Y765" s="9" t="n">
        <x:f>IF(V765=1,R765*W765,"n.a.")</x:f>
        <x:v>59.63055</x:v>
      </x:c>
      <x:c r="Z765" s="1" t="str">
        <x:f>IF(ISNUMBER(T765),R765-T765,"n.a.")</x:f>
        <x:v>n.a.</x:v>
      </x:c>
      <x:c r="AA765" s="1" t="str">
        <x:f>'Inventory inputs'!R765</x:f>
        <x:v>Review receipt reconciliation or original PO baseline</x:v>
      </x:c>
      <x:c r="AB765" s="1" t="str">
        <x:f>IF(L765=1,SUMIFS('Incoming POs'!$P$2:$P$305,'Incoming POs'!$A$2:$A$305,A765,'Incoming POs'!$B$2:$B$305,B765,'Incoming POs'!$C$2:$C$305,C765,'Incoming POs'!$G$2:$G$305,"&gt;="&amp;D765,'Incoming POs'!$G$2:$G$305,"&lt;"&amp;Dashboard!$I$5,'Incoming POs'!$Q$2:$Q$305,"&lt;="&amp;('Inventory inputs'!P765/'Inventory inputs'!J765*1.01)),"n.a.")</x:f>
        <x:v>n.a.</x:v>
      </x:c>
      <x:c r="AC765" s="9" t="n">
        <x:f>I765*G765</x:f>
        <x:v>0</x:v>
      </x:c>
      <x:c r="AD765" s="9" t="n">
        <x:f>J765*G765</x:f>
        <x:v>0</x:v>
      </x:c>
      <x:c r="AE765" s="9" t="n">
        <x:f>K765*G765</x:f>
        <x:v>50.995</x:v>
      </x:c>
      <x:c r="AF765" s="9" t="n">
        <x:f>R765*G765</x:f>
        <x:v>50.995</x:v>
      </x:c>
    </x:row>
    <x:row r="766" ht="21" customHeight="1">
      <x:c r="A766" s="1" t="str">
        <x:f>'Inventory inputs'!A766</x:f>
        <x:v>PLAS</x:v>
      </x:c>
      <x:c r="B766" s="1" t="str">
        <x:f>'Inventory inputs'!B766</x:f>
        <x:v>30</x:v>
      </x:c>
      <x:c r="C766" s="1" t="str">
        <x:f>'Inventory inputs'!C766</x:f>
        <x:v>13419RSLCLR</x:v>
      </x:c>
      <x:c r="D766" s="7" t="n">
        <x:f>'Inventory inputs'!E766</x:f>
        <x:v>46303</x:v>
      </x:c>
      <x:c r="E766" s="1" t="n">
        <x:f>'Inventory inputs'!F766</x:f>
        <x:v>500</x:v>
      </x:c>
      <x:c r="F766" s="1" t="n">
        <x:f>'Inventory inputs'!G766</x:f>
        <x:v>0</x:v>
      </x:c>
      <x:c r="G766" s="1" t="n">
        <x:f>'Inventory inputs'!H766/'Inventory inputs'!J766</x:f>
        <x:v>0.1457</x:v>
      </x:c>
      <x:c r="H766" s="1" t="n">
        <x:f>IF('Inventory inputs'!I766&gt;0,'Inventory inputs'!I766*'Inventory inputs'!K766/'Inventory inputs'!J766,"n.a.")</x:f>
        <x:v>0.170373</x:v>
      </x:c>
      <x:c r="I766" s="1" t="n">
        <x:f>'Inventory inputs'!L766</x:f>
        <x:v>0</x:v>
      </x:c>
      <x:c r="J766" s="1" t="n">
        <x:f>'Inventory inputs'!M766</x:f>
        <x:v>0</x:v>
      </x:c>
      <x:c r="K766" s="1" t="n">
        <x:f>'Inventory inputs'!N766</x:f>
        <x:v>500</x:v>
      </x:c>
      <x:c r="L766" s="1" t="n">
        <x:f>'Inventory inputs'!O766</x:f>
        <x:v>0</x:v>
      </x:c>
      <x:c r="M766" s="9" t="n">
        <x:f>E766*G766</x:f>
        <x:v>72.85</x:v>
      </x:c>
      <x:c r="N766" s="9" t="n">
        <x:f>'Inventory inputs'!Q766</x:f>
        <x:v>72.85000000000001</x:v>
      </x:c>
      <x:c r="O766" s="9" t="n">
        <x:f>N766-M766</x:f>
        <x:v>1.4210854715202004e-14</x:v>
      </x:c>
      <x:c r="P766" s="1" t="n">
        <x:f>SUMIFS('Incoming POs'!$P$2:$P$305,'Incoming POs'!$A$2:$A$305,A766,'Incoming POs'!$B$2:$B$305,B766,'Incoming POs'!$C$2:$C$305,C766,'Incoming POs'!$G$2:$G$305,"&gt;="&amp;D766,'Incoming POs'!$G$2:$G$305,"&lt;"&amp;Dashboard!$I$5)</x:f>
        <x:v>0</x:v>
      </x:c>
      <x:c r="Q766" s="1" t="n">
        <x:f>F766*Dashboard!$L$5*MAX(0,Dashboard!$I$5-D766)/30.4375</x:f>
        <x:v>0</x:v>
      </x:c>
      <x:c r="R766" s="1" t="n">
        <x:f>MAX(0,E766+P766-Q766)</x:f>
        <x:v>500</x:v>
      </x:c>
      <x:c r="S766" s="1" t="n">
        <x:f>MAX(0,Q766-E766-P766)</x:f>
        <x:v>0</x:v>
      </x:c>
      <x:c r="T766" s="1" t="str">
        <x:f>IF(L766=1,MAX(0,I766+AB766-MIN(Q766,E766+P766)),"n.a.")</x:f>
        <x:v>n.a.</x:v>
      </x:c>
      <x:c r="U766" s="9" t="str">
        <x:f>IF(ISNUMBER(T766),T766*G766,"n.a.")</x:f>
        <x:v>n.a.</x:v>
      </x:c>
      <x:c r="V766" s="25" t="n">
        <x:f>IF(Dashboard!$I$6="Flat %",1,IF(ISNUMBER(H766),1,0))</x:f>
        <x:v>1</x:v>
      </x:c>
      <x:c r="W766" s="9" t="n">
        <x:f>IF(Dashboard!$I$6="Flat %",G766*(1+Dashboard!$L$6),H766)</x:f>
        <x:v>0.170373</x:v>
      </x:c>
      <x:c r="X766" s="9" t="n">
        <x:f>IF(V766=1,R766*(W766-G766),"n.a.")</x:f>
        <x:v>12.336500000000001</x:v>
      </x:c>
      <x:c r="Y766" s="9" t="n">
        <x:f>IF(V766=1,R766*W766,"n.a.")</x:f>
        <x:v>85.1865</x:v>
      </x:c>
      <x:c r="Z766" s="1" t="str">
        <x:f>IF(ISNUMBER(T766),R766-T766,"n.a.")</x:f>
        <x:v>n.a.</x:v>
      </x:c>
      <x:c r="AA766" s="1" t="str">
        <x:f>'Inventory inputs'!R766</x:f>
        <x:v>Review receipt reconciliation or original PO baseline</x:v>
      </x:c>
      <x:c r="AB766" s="1" t="str">
        <x:f>IF(L766=1,SUMIFS('Incoming POs'!$P$2:$P$305,'Incoming POs'!$A$2:$A$305,A766,'Incoming POs'!$B$2:$B$305,B766,'Incoming POs'!$C$2:$C$305,C766,'Incoming POs'!$G$2:$G$305,"&gt;="&amp;D766,'Incoming POs'!$G$2:$G$305,"&lt;"&amp;Dashboard!$I$5,'Incoming POs'!$Q$2:$Q$305,"&lt;="&amp;('Inventory inputs'!P766/'Inventory inputs'!J766*1.01)),"n.a.")</x:f>
        <x:v>n.a.</x:v>
      </x:c>
      <x:c r="AC766" s="9" t="n">
        <x:f>I766*G766</x:f>
        <x:v>0</x:v>
      </x:c>
      <x:c r="AD766" s="9" t="n">
        <x:f>J766*G766</x:f>
        <x:v>0</x:v>
      </x:c>
      <x:c r="AE766" s="9" t="n">
        <x:f>K766*G766</x:f>
        <x:v>72.85</x:v>
      </x:c>
      <x:c r="AF766" s="9" t="n">
        <x:f>R766*G766</x:f>
        <x:v>72.85</x:v>
      </x:c>
    </x:row>
    <x:row r="767" ht="21" customHeight="1">
      <x:c r="A767" s="1" t="str">
        <x:f>'Inventory inputs'!A767</x:f>
        <x:v>PLAS</x:v>
      </x:c>
      <x:c r="B767" s="1" t="str">
        <x:f>'Inventory inputs'!B767</x:f>
        <x:v>30</x:v>
      </x:c>
      <x:c r="C767" s="1" t="str">
        <x:f>'Inventory inputs'!C767</x:f>
        <x:v>13419RSLFG</x:v>
      </x:c>
      <x:c r="D767" s="7" t="n">
        <x:f>'Inventory inputs'!E767</x:f>
        <x:v>46303</x:v>
      </x:c>
      <x:c r="E767" s="1" t="n">
        <x:f>'Inventory inputs'!F767</x:f>
        <x:v>400</x:v>
      </x:c>
      <x:c r="F767" s="1" t="n">
        <x:f>'Inventory inputs'!G767</x:f>
        <x:v>0</x:v>
      </x:c>
      <x:c r="G767" s="1" t="n">
        <x:f>'Inventory inputs'!H767/'Inventory inputs'!J767</x:f>
        <x:v>0.1457</x:v>
      </x:c>
      <x:c r="H767" s="1" t="n">
        <x:f>IF('Inventory inputs'!I767&gt;0,'Inventory inputs'!I767*'Inventory inputs'!K767/'Inventory inputs'!J767,"n.a.")</x:f>
        <x:v>0.170373</x:v>
      </x:c>
      <x:c r="I767" s="1" t="n">
        <x:f>'Inventory inputs'!L767</x:f>
        <x:v>0</x:v>
      </x:c>
      <x:c r="J767" s="1" t="n">
        <x:f>'Inventory inputs'!M767</x:f>
        <x:v>0</x:v>
      </x:c>
      <x:c r="K767" s="1" t="n">
        <x:f>'Inventory inputs'!N767</x:f>
        <x:v>400</x:v>
      </x:c>
      <x:c r="L767" s="1" t="n">
        <x:f>'Inventory inputs'!O767</x:f>
        <x:v>0</x:v>
      </x:c>
      <x:c r="M767" s="9" t="n">
        <x:f>E767*G767</x:f>
        <x:v>58.28</x:v>
      </x:c>
      <x:c r="N767" s="9" t="n">
        <x:f>'Inventory inputs'!Q767</x:f>
        <x:v>58.28</x:v>
      </x:c>
      <x:c r="O767" s="9" t="n">
        <x:f>N767-M767</x:f>
        <x:v>0</x:v>
      </x:c>
      <x:c r="P767" s="1" t="n">
        <x:f>SUMIFS('Incoming POs'!$P$2:$P$305,'Incoming POs'!$A$2:$A$305,A767,'Incoming POs'!$B$2:$B$305,B767,'Incoming POs'!$C$2:$C$305,C767,'Incoming POs'!$G$2:$G$305,"&gt;="&amp;D767,'Incoming POs'!$G$2:$G$305,"&lt;"&amp;Dashboard!$I$5)</x:f>
        <x:v>0</x:v>
      </x:c>
      <x:c r="Q767" s="1" t="n">
        <x:f>F767*Dashboard!$L$5*MAX(0,Dashboard!$I$5-D767)/30.4375</x:f>
        <x:v>0</x:v>
      </x:c>
      <x:c r="R767" s="1" t="n">
        <x:f>MAX(0,E767+P767-Q767)</x:f>
        <x:v>400</x:v>
      </x:c>
      <x:c r="S767" s="1" t="n">
        <x:f>MAX(0,Q767-E767-P767)</x:f>
        <x:v>0</x:v>
      </x:c>
      <x:c r="T767" s="1" t="str">
        <x:f>IF(L767=1,MAX(0,I767+AB767-MIN(Q767,E767+P767)),"n.a.")</x:f>
        <x:v>n.a.</x:v>
      </x:c>
      <x:c r="U767" s="9" t="str">
        <x:f>IF(ISNUMBER(T767),T767*G767,"n.a.")</x:f>
        <x:v>n.a.</x:v>
      </x:c>
      <x:c r="V767" s="25" t="n">
        <x:f>IF(Dashboard!$I$6="Flat %",1,IF(ISNUMBER(H767),1,0))</x:f>
        <x:v>1</x:v>
      </x:c>
      <x:c r="W767" s="9" t="n">
        <x:f>IF(Dashboard!$I$6="Flat %",G767*(1+Dashboard!$L$6),H767)</x:f>
        <x:v>0.170373</x:v>
      </x:c>
      <x:c r="X767" s="9" t="n">
        <x:f>IF(V767=1,R767*(W767-G767),"n.a.")</x:f>
        <x:v>9.8692</x:v>
      </x:c>
      <x:c r="Y767" s="9" t="n">
        <x:f>IF(V767=1,R767*W767,"n.a.")</x:f>
        <x:v>68.1492</x:v>
      </x:c>
      <x:c r="Z767" s="1" t="str">
        <x:f>IF(ISNUMBER(T767),R767-T767,"n.a.")</x:f>
        <x:v>n.a.</x:v>
      </x:c>
      <x:c r="AA767" s="1" t="str">
        <x:f>'Inventory inputs'!R767</x:f>
        <x:v>Review receipt reconciliation or original PO baseline</x:v>
      </x:c>
      <x:c r="AB767" s="1" t="str">
        <x:f>IF(L767=1,SUMIFS('Incoming POs'!$P$2:$P$305,'Incoming POs'!$A$2:$A$305,A767,'Incoming POs'!$B$2:$B$305,B767,'Incoming POs'!$C$2:$C$305,C767,'Incoming POs'!$G$2:$G$305,"&gt;="&amp;D767,'Incoming POs'!$G$2:$G$305,"&lt;"&amp;Dashboard!$I$5,'Incoming POs'!$Q$2:$Q$305,"&lt;="&amp;('Inventory inputs'!P767/'Inventory inputs'!J767*1.01)),"n.a.")</x:f>
        <x:v>n.a.</x:v>
      </x:c>
      <x:c r="AC767" s="9" t="n">
        <x:f>I767*G767</x:f>
        <x:v>0</x:v>
      </x:c>
      <x:c r="AD767" s="9" t="n">
        <x:f>J767*G767</x:f>
        <x:v>0</x:v>
      </x:c>
      <x:c r="AE767" s="9" t="n">
        <x:f>K767*G767</x:f>
        <x:v>58.28</x:v>
      </x:c>
      <x:c r="AF767" s="9" t="n">
        <x:f>R767*G767</x:f>
        <x:v>58.28</x:v>
      </x:c>
    </x:row>
    <x:row r="768" ht="21" customHeight="1">
      <x:c r="A768" s="1" t="str">
        <x:f>'Inventory inputs'!A768</x:f>
        <x:v>PLAS</x:v>
      </x:c>
      <x:c r="B768" s="1" t="str">
        <x:f>'Inventory inputs'!B768</x:f>
        <x:v>30</x:v>
      </x:c>
      <x:c r="C768" s="1" t="str">
        <x:f>'Inventory inputs'!C768</x:f>
        <x:v>13419RSLMAR</x:v>
      </x:c>
      <x:c r="D768" s="7" t="n">
        <x:f>'Inventory inputs'!E768</x:f>
        <x:v>46303</x:v>
      </x:c>
      <x:c r="E768" s="1" t="n">
        <x:f>'Inventory inputs'!F768</x:f>
        <x:v>500</x:v>
      </x:c>
      <x:c r="F768" s="1" t="n">
        <x:f>'Inventory inputs'!G768</x:f>
        <x:v>0</x:v>
      </x:c>
      <x:c r="G768" s="1" t="n">
        <x:f>'Inventory inputs'!H768/'Inventory inputs'!J768</x:f>
        <x:v>0.1457</x:v>
      </x:c>
      <x:c r="H768" s="1" t="n">
        <x:f>IF('Inventory inputs'!I768&gt;0,'Inventory inputs'!I768*'Inventory inputs'!K768/'Inventory inputs'!J768,"n.a.")</x:f>
        <x:v>0.170373</x:v>
      </x:c>
      <x:c r="I768" s="1" t="n">
        <x:f>'Inventory inputs'!L768</x:f>
        <x:v>0</x:v>
      </x:c>
      <x:c r="J768" s="1" t="n">
        <x:f>'Inventory inputs'!M768</x:f>
        <x:v>0</x:v>
      </x:c>
      <x:c r="K768" s="1" t="n">
        <x:f>'Inventory inputs'!N768</x:f>
        <x:v>500</x:v>
      </x:c>
      <x:c r="L768" s="1" t="n">
        <x:f>'Inventory inputs'!O768</x:f>
        <x:v>0</x:v>
      </x:c>
      <x:c r="M768" s="9" t="n">
        <x:f>E768*G768</x:f>
        <x:v>72.85</x:v>
      </x:c>
      <x:c r="N768" s="9" t="n">
        <x:f>'Inventory inputs'!Q768</x:f>
        <x:v>72.85000000000001</x:v>
      </x:c>
      <x:c r="O768" s="9" t="n">
        <x:f>N768-M768</x:f>
        <x:v>1.4210854715202004e-14</x:v>
      </x:c>
      <x:c r="P768" s="1" t="n">
        <x:f>SUMIFS('Incoming POs'!$P$2:$P$305,'Incoming POs'!$A$2:$A$305,A768,'Incoming POs'!$B$2:$B$305,B768,'Incoming POs'!$C$2:$C$305,C768,'Incoming POs'!$G$2:$G$305,"&gt;="&amp;D768,'Incoming POs'!$G$2:$G$305,"&lt;"&amp;Dashboard!$I$5)</x:f>
        <x:v>0</x:v>
      </x:c>
      <x:c r="Q768" s="1" t="n">
        <x:f>F768*Dashboard!$L$5*MAX(0,Dashboard!$I$5-D768)/30.4375</x:f>
        <x:v>0</x:v>
      </x:c>
      <x:c r="R768" s="1" t="n">
        <x:f>MAX(0,E768+P768-Q768)</x:f>
        <x:v>500</x:v>
      </x:c>
      <x:c r="S768" s="1" t="n">
        <x:f>MAX(0,Q768-E768-P768)</x:f>
        <x:v>0</x:v>
      </x:c>
      <x:c r="T768" s="1" t="str">
        <x:f>IF(L768=1,MAX(0,I768+AB768-MIN(Q768,E768+P768)),"n.a.")</x:f>
        <x:v>n.a.</x:v>
      </x:c>
      <x:c r="U768" s="9" t="str">
        <x:f>IF(ISNUMBER(T768),T768*G768,"n.a.")</x:f>
        <x:v>n.a.</x:v>
      </x:c>
      <x:c r="V768" s="25" t="n">
        <x:f>IF(Dashboard!$I$6="Flat %",1,IF(ISNUMBER(H768),1,0))</x:f>
        <x:v>1</x:v>
      </x:c>
      <x:c r="W768" s="9" t="n">
        <x:f>IF(Dashboard!$I$6="Flat %",G768*(1+Dashboard!$L$6),H768)</x:f>
        <x:v>0.170373</x:v>
      </x:c>
      <x:c r="X768" s="9" t="n">
        <x:f>IF(V768=1,R768*(W768-G768),"n.a.")</x:f>
        <x:v>12.336500000000001</x:v>
      </x:c>
      <x:c r="Y768" s="9" t="n">
        <x:f>IF(V768=1,R768*W768,"n.a.")</x:f>
        <x:v>85.1865</x:v>
      </x:c>
      <x:c r="Z768" s="1" t="str">
        <x:f>IF(ISNUMBER(T768),R768-T768,"n.a.")</x:f>
        <x:v>n.a.</x:v>
      </x:c>
      <x:c r="AA768" s="1" t="str">
        <x:f>'Inventory inputs'!R768</x:f>
        <x:v>Review receipt reconciliation or original PO baseline</x:v>
      </x:c>
      <x:c r="AB768" s="1" t="str">
        <x:f>IF(L768=1,SUMIFS('Incoming POs'!$P$2:$P$305,'Incoming POs'!$A$2:$A$305,A768,'Incoming POs'!$B$2:$B$305,B768,'Incoming POs'!$C$2:$C$305,C768,'Incoming POs'!$G$2:$G$305,"&gt;="&amp;D768,'Incoming POs'!$G$2:$G$305,"&lt;"&amp;Dashboard!$I$5,'Incoming POs'!$Q$2:$Q$305,"&lt;="&amp;('Inventory inputs'!P768/'Inventory inputs'!J768*1.01)),"n.a.")</x:f>
        <x:v>n.a.</x:v>
      </x:c>
      <x:c r="AC768" s="9" t="n">
        <x:f>I768*G768</x:f>
        <x:v>0</x:v>
      </x:c>
      <x:c r="AD768" s="9" t="n">
        <x:f>J768*G768</x:f>
        <x:v>0</x:v>
      </x:c>
      <x:c r="AE768" s="9" t="n">
        <x:f>K768*G768</x:f>
        <x:v>72.85</x:v>
      </x:c>
      <x:c r="AF768" s="9" t="n">
        <x:f>R768*G768</x:f>
        <x:v>72.85</x:v>
      </x:c>
    </x:row>
    <x:row r="769" ht="21" customHeight="1">
      <x:c r="A769" s="1" t="str">
        <x:f>'Inventory inputs'!A769</x:f>
        <x:v>PLAS</x:v>
      </x:c>
      <x:c r="B769" s="1" t="str">
        <x:f>'Inventory inputs'!B769</x:f>
        <x:v>30</x:v>
      </x:c>
      <x:c r="C769" s="1" t="str">
        <x:f>'Inventory inputs'!C769</x:f>
        <x:v>51615RWBBLK</x:v>
      </x:c>
      <x:c r="D769" s="7" t="n">
        <x:f>'Inventory inputs'!E769</x:f>
        <x:v>46303</x:v>
      </x:c>
      <x:c r="E769" s="1" t="n">
        <x:f>'Inventory inputs'!F769</x:f>
        <x:v>1700</x:v>
      </x:c>
      <x:c r="F769" s="1" t="n">
        <x:f>'Inventory inputs'!G769</x:f>
        <x:v>0</x:v>
      </x:c>
      <x:c r="G769" s="1" t="n">
        <x:f>'Inventory inputs'!H769/'Inventory inputs'!J769</x:f>
        <x:v>0.0131</x:v>
      </x:c>
      <x:c r="H769" s="1" t="n">
        <x:f>IF('Inventory inputs'!I769&gt;0,'Inventory inputs'!I769*'Inventory inputs'!K769/'Inventory inputs'!J769,"n.a.")</x:f>
        <x:v>0.015288</x:v>
      </x:c>
      <x:c r="I769" s="1" t="n">
        <x:f>'Inventory inputs'!L769</x:f>
        <x:v>0</x:v>
      </x:c>
      <x:c r="J769" s="1" t="n">
        <x:f>'Inventory inputs'!M769</x:f>
        <x:v>0</x:v>
      </x:c>
      <x:c r="K769" s="1" t="n">
        <x:f>'Inventory inputs'!N769</x:f>
        <x:v>1700</x:v>
      </x:c>
      <x:c r="L769" s="1" t="n">
        <x:f>'Inventory inputs'!O769</x:f>
        <x:v>0</x:v>
      </x:c>
      <x:c r="M769" s="9" t="n">
        <x:f>E769*G769</x:f>
        <x:v>22.27</x:v>
      </x:c>
      <x:c r="N769" s="9" t="n">
        <x:f>'Inventory inputs'!Q769</x:f>
        <x:v>22.27</x:v>
      </x:c>
      <x:c r="O769" s="9" t="n">
        <x:f>N769-M769</x:f>
        <x:v>0</x:v>
      </x:c>
      <x:c r="P769" s="1" t="n">
        <x:f>SUMIFS('Incoming POs'!$P$2:$P$305,'Incoming POs'!$A$2:$A$305,A769,'Incoming POs'!$B$2:$B$305,B769,'Incoming POs'!$C$2:$C$305,C769,'Incoming POs'!$G$2:$G$305,"&gt;="&amp;D769,'Incoming POs'!$G$2:$G$305,"&lt;"&amp;Dashboard!$I$5)</x:f>
        <x:v>0</x:v>
      </x:c>
      <x:c r="Q769" s="1" t="n">
        <x:f>F769*Dashboard!$L$5*MAX(0,Dashboard!$I$5-D769)/30.4375</x:f>
        <x:v>0</x:v>
      </x:c>
      <x:c r="R769" s="1" t="n">
        <x:f>MAX(0,E769+P769-Q769)</x:f>
        <x:v>1700</x:v>
      </x:c>
      <x:c r="S769" s="1" t="n">
        <x:f>MAX(0,Q769-E769-P769)</x:f>
        <x:v>0</x:v>
      </x:c>
      <x:c r="T769" s="1" t="str">
        <x:f>IF(L769=1,MAX(0,I769+AB769-MIN(Q769,E769+P769)),"n.a.")</x:f>
        <x:v>n.a.</x:v>
      </x:c>
      <x:c r="U769" s="9" t="str">
        <x:f>IF(ISNUMBER(T769),T769*G769,"n.a.")</x:f>
        <x:v>n.a.</x:v>
      </x:c>
      <x:c r="V769" s="25" t="n">
        <x:f>IF(Dashboard!$I$6="Flat %",1,IF(ISNUMBER(H769),1,0))</x:f>
        <x:v>1</x:v>
      </x:c>
      <x:c r="W769" s="9" t="n">
        <x:f>IF(Dashboard!$I$6="Flat %",G769*(1+Dashboard!$L$6),H769)</x:f>
        <x:v>0.015288</x:v>
      </x:c>
      <x:c r="X769" s="9" t="n">
        <x:f>IF(V769=1,R769*(W769-G769),"n.a.")</x:f>
        <x:v>3.7195999999999985</x:v>
      </x:c>
      <x:c r="Y769" s="9" t="n">
        <x:f>IF(V769=1,R769*W769,"n.a.")</x:f>
        <x:v>25.9896</x:v>
      </x:c>
      <x:c r="Z769" s="1" t="str">
        <x:f>IF(ISNUMBER(T769),R769-T769,"n.a.")</x:f>
        <x:v>n.a.</x:v>
      </x:c>
      <x:c r="AA769" s="1" t="str">
        <x:f>'Inventory inputs'!R769</x:f>
        <x:v>Review receipt reconciliation or original PO baseline</x:v>
      </x:c>
      <x:c r="AB769" s="1" t="str">
        <x:f>IF(L769=1,SUMIFS('Incoming POs'!$P$2:$P$305,'Incoming POs'!$A$2:$A$305,A769,'Incoming POs'!$B$2:$B$305,B769,'Incoming POs'!$C$2:$C$305,C769,'Incoming POs'!$G$2:$G$305,"&gt;="&amp;D769,'Incoming POs'!$G$2:$G$305,"&lt;"&amp;Dashboard!$I$5,'Incoming POs'!$Q$2:$Q$305,"&lt;="&amp;('Inventory inputs'!P769/'Inventory inputs'!J769*1.01)),"n.a.")</x:f>
        <x:v>n.a.</x:v>
      </x:c>
      <x:c r="AC769" s="9" t="n">
        <x:f>I769*G769</x:f>
        <x:v>0</x:v>
      </x:c>
      <x:c r="AD769" s="9" t="n">
        <x:f>J769*G769</x:f>
        <x:v>0</x:v>
      </x:c>
      <x:c r="AE769" s="9" t="n">
        <x:f>K769*G769</x:f>
        <x:v>22.27</x:v>
      </x:c>
      <x:c r="AF769" s="9" t="n">
        <x:f>R769*G769</x:f>
        <x:v>22.27</x:v>
      </x:c>
    </x:row>
    <x:row r="770" ht="21" customHeight="1">
      <x:c r="A770" s="1" t="str">
        <x:f>'Inventory inputs'!A770</x:f>
        <x:v>PLAS</x:v>
      </x:c>
      <x:c r="B770" s="1" t="str">
        <x:f>'Inventory inputs'!B770</x:f>
        <x:v>30</x:v>
      </x:c>
      <x:c r="C770" s="1" t="str">
        <x:f>'Inventory inputs'!C770</x:f>
        <x:v>51615RWBWHT</x:v>
      </x:c>
      <x:c r="D770" s="7" t="n">
        <x:f>'Inventory inputs'!E770</x:f>
        <x:v>46303</x:v>
      </x:c>
      <x:c r="E770" s="1" t="n">
        <x:f>'Inventory inputs'!F770</x:f>
        <x:v>0</x:v>
      </x:c>
      <x:c r="F770" s="1" t="n">
        <x:f>'Inventory inputs'!G770</x:f>
        <x:v>0</x:v>
      </x:c>
      <x:c r="G770" s="1" t="n">
        <x:f>'Inventory inputs'!H770/'Inventory inputs'!J770</x:f>
        <x:v>0.0131</x:v>
      </x:c>
      <x:c r="H770" s="1" t="n">
        <x:f>IF('Inventory inputs'!I770&gt;0,'Inventory inputs'!I770*'Inventory inputs'!K770/'Inventory inputs'!J770,"n.a.")</x:f>
        <x:v>0.015288</x:v>
      </x:c>
      <x:c r="I770" s="1" t="n">
        <x:f>'Inventory inputs'!L770</x:f>
        <x:v>0</x:v>
      </x:c>
      <x:c r="J770" s="1" t="n">
        <x:f>'Inventory inputs'!M770</x:f>
        <x:v>0</x:v>
      </x:c>
      <x:c r="K770" s="1" t="n">
        <x:f>'Inventory inputs'!N770</x:f>
        <x:v>0</x:v>
      </x:c>
      <x:c r="L770" s="1" t="n">
        <x:f>'Inventory inputs'!O770</x:f>
        <x:v>1</x:v>
      </x:c>
      <x:c r="M770" s="9" t="n">
        <x:f>E770*G770</x:f>
        <x:v>0</x:v>
      </x:c>
      <x:c r="N770" s="9" t="n">
        <x:f>'Inventory inputs'!Q770</x:f>
        <x:v>0</x:v>
      </x:c>
      <x:c r="O770" s="9" t="n">
        <x:f>N770-M770</x:f>
        <x:v>0</x:v>
      </x:c>
      <x:c r="P770" s="1" t="n">
        <x:f>SUMIFS('Incoming POs'!$P$2:$P$305,'Incoming POs'!$A$2:$A$305,A770,'Incoming POs'!$B$2:$B$305,B770,'Incoming POs'!$C$2:$C$305,C770,'Incoming POs'!$G$2:$G$305,"&gt;="&amp;D770,'Incoming POs'!$G$2:$G$305,"&lt;"&amp;Dashboard!$I$5)</x:f>
        <x:v>0</x:v>
      </x:c>
      <x:c r="Q770" s="1" t="n">
        <x:f>F770*Dashboard!$L$5*MAX(0,Dashboard!$I$5-D770)/30.4375</x:f>
        <x:v>0</x:v>
      </x:c>
      <x:c r="R770" s="1" t="n">
        <x:f>MAX(0,E770+P770-Q770)</x:f>
        <x:v>0</x:v>
      </x:c>
      <x:c r="S770" s="1" t="n">
        <x:f>MAX(0,Q770-E770-P770)</x:f>
        <x:v>0</x:v>
      </x:c>
      <x:c r="T770" s="1" t="n">
        <x:f>IF(L770=1,MAX(0,I770+AB770-MIN(Q770,E770+P770)),"n.a.")</x:f>
        <x:v>0</x:v>
      </x:c>
      <x:c r="U770" s="9" t="n">
        <x:f>IF(ISNUMBER(T770),T770*G770,"n.a.")</x:f>
        <x:v>0</x:v>
      </x:c>
      <x:c r="V770" s="25" t="n">
        <x:f>IF(Dashboard!$I$6="Flat %",1,IF(ISNUMBER(H770),1,0))</x:f>
        <x:v>1</x:v>
      </x:c>
      <x:c r="W770" s="9" t="n">
        <x:f>IF(Dashboard!$I$6="Flat %",G770*(1+Dashboard!$L$6),H770)</x:f>
        <x:v>0.015288</x:v>
      </x:c>
      <x:c r="X770" s="9" t="n">
        <x:f>IF(V770=1,R770*(W770-G770),"n.a.")</x:f>
        <x:v>0</x:v>
      </x:c>
      <x:c r="Y770" s="9" t="n">
        <x:f>IF(V770=1,R770*W770,"n.a.")</x:f>
        <x:v>0</x:v>
      </x:c>
      <x:c r="Z770" s="1" t="n">
        <x:f>IF(ISNUMBER(T770),R770-T770,"n.a.")</x:f>
        <x:v>0</x:v>
      </x:c>
      <x:c r="AA770" s="1" t="str">
        <x:f>'Inventory inputs'!R770</x:f>
        <x:v>Classified</x:v>
      </x:c>
      <x:c r="AB770" s="1" t="n">
        <x:f>IF(L770=1,SUMIFS('Incoming POs'!$P$2:$P$305,'Incoming POs'!$A$2:$A$305,A770,'Incoming POs'!$B$2:$B$305,B770,'Incoming POs'!$C$2:$C$305,C770,'Incoming POs'!$G$2:$G$305,"&gt;="&amp;D770,'Incoming POs'!$G$2:$G$305,"&lt;"&amp;Dashboard!$I$5,'Incoming POs'!$Q$2:$Q$305,"&lt;="&amp;('Inventory inputs'!P770/'Inventory inputs'!J770*1.01)),"n.a.")</x:f>
        <x:v>0</x:v>
      </x:c>
      <x:c r="AC770" s="9" t="n">
        <x:f>I770*G770</x:f>
        <x:v>0</x:v>
      </x:c>
      <x:c r="AD770" s="9" t="n">
        <x:f>J770*G770</x:f>
        <x:v>0</x:v>
      </x:c>
      <x:c r="AE770" s="9" t="n">
        <x:f>K770*G770</x:f>
        <x:v>0</x:v>
      </x:c>
      <x:c r="AF770" s="9" t="n">
        <x:f>R770*G770</x:f>
        <x:v>0</x:v>
      </x:c>
    </x:row>
    <x:row r="771" ht="21" customHeight="1">
      <x:c r="A771" s="1" t="str">
        <x:f>'Inventory inputs'!A771</x:f>
        <x:v>PLAS</x:v>
      </x:c>
      <x:c r="B771" s="1" t="str">
        <x:f>'Inventory inputs'!B771</x:f>
        <x:v>30</x:v>
      </x:c>
      <x:c r="C771" s="1" t="str">
        <x:f>'Inventory inputs'!C771</x:f>
        <x:v>51619RWBBLU</x:v>
      </x:c>
      <x:c r="D771" s="7" t="n">
        <x:f>'Inventory inputs'!E771</x:f>
        <x:v>46303</x:v>
      </x:c>
      <x:c r="E771" s="1" t="n">
        <x:f>'Inventory inputs'!F771</x:f>
        <x:v>1000</x:v>
      </x:c>
      <x:c r="F771" s="1" t="n">
        <x:f>'Inventory inputs'!G771</x:f>
        <x:v>0</x:v>
      </x:c>
      <x:c r="G771" s="1" t="n">
        <x:f>'Inventory inputs'!H771/'Inventory inputs'!J771</x:f>
        <x:v>0.0216</x:v>
      </x:c>
      <x:c r="H771" s="1" t="n">
        <x:f>IF('Inventory inputs'!I771&gt;0,'Inventory inputs'!I771*'Inventory inputs'!K771/'Inventory inputs'!J771,"n.a.")</x:f>
        <x:v>0.025284</x:v>
      </x:c>
      <x:c r="I771" s="1" t="n">
        <x:f>'Inventory inputs'!L771</x:f>
        <x:v>0</x:v>
      </x:c>
      <x:c r="J771" s="1" t="n">
        <x:f>'Inventory inputs'!M771</x:f>
        <x:v>0</x:v>
      </x:c>
      <x:c r="K771" s="1" t="n">
        <x:f>'Inventory inputs'!N771</x:f>
        <x:v>1000</x:v>
      </x:c>
      <x:c r="L771" s="1" t="n">
        <x:f>'Inventory inputs'!O771</x:f>
        <x:v>0</x:v>
      </x:c>
      <x:c r="M771" s="9" t="n">
        <x:f>E771*G771</x:f>
        <x:v>21.6</x:v>
      </x:c>
      <x:c r="N771" s="9" t="n">
        <x:f>'Inventory inputs'!Q771</x:f>
        <x:v>21.6</x:v>
      </x:c>
      <x:c r="O771" s="9" t="n">
        <x:f>N771-M771</x:f>
        <x:v>0</x:v>
      </x:c>
      <x:c r="P771" s="1" t="n">
        <x:f>SUMIFS('Incoming POs'!$P$2:$P$305,'Incoming POs'!$A$2:$A$305,A771,'Incoming POs'!$B$2:$B$305,B771,'Incoming POs'!$C$2:$C$305,C771,'Incoming POs'!$G$2:$G$305,"&gt;="&amp;D771,'Incoming POs'!$G$2:$G$305,"&lt;"&amp;Dashboard!$I$5)</x:f>
        <x:v>0</x:v>
      </x:c>
      <x:c r="Q771" s="1" t="n">
        <x:f>F771*Dashboard!$L$5*MAX(0,Dashboard!$I$5-D771)/30.4375</x:f>
        <x:v>0</x:v>
      </x:c>
      <x:c r="R771" s="1" t="n">
        <x:f>MAX(0,E771+P771-Q771)</x:f>
        <x:v>1000</x:v>
      </x:c>
      <x:c r="S771" s="1" t="n">
        <x:f>MAX(0,Q771-E771-P771)</x:f>
        <x:v>0</x:v>
      </x:c>
      <x:c r="T771" s="1" t="str">
        <x:f>IF(L771=1,MAX(0,I771+AB771-MIN(Q771,E771+P771)),"n.a.")</x:f>
        <x:v>n.a.</x:v>
      </x:c>
      <x:c r="U771" s="9" t="str">
        <x:f>IF(ISNUMBER(T771),T771*G771,"n.a.")</x:f>
        <x:v>n.a.</x:v>
      </x:c>
      <x:c r="V771" s="25" t="n">
        <x:f>IF(Dashboard!$I$6="Flat %",1,IF(ISNUMBER(H771),1,0))</x:f>
        <x:v>1</x:v>
      </x:c>
      <x:c r="W771" s="9" t="n">
        <x:f>IF(Dashboard!$I$6="Flat %",G771*(1+Dashboard!$L$6),H771)</x:f>
        <x:v>0.025284</x:v>
      </x:c>
      <x:c r="X771" s="9" t="n">
        <x:f>IF(V771=1,R771*(W771-G771),"n.a.")</x:f>
        <x:v>3.6839999999999997</x:v>
      </x:c>
      <x:c r="Y771" s="9" t="n">
        <x:f>IF(V771=1,R771*W771,"n.a.")</x:f>
        <x:v>25.284000000000002</x:v>
      </x:c>
      <x:c r="Z771" s="1" t="str">
        <x:f>IF(ISNUMBER(T771),R771-T771,"n.a.")</x:f>
        <x:v>n.a.</x:v>
      </x:c>
      <x:c r="AA771" s="1" t="str">
        <x:f>'Inventory inputs'!R771</x:f>
        <x:v>Review receipt reconciliation or original PO baseline</x:v>
      </x:c>
      <x:c r="AB771" s="1" t="str">
        <x:f>IF(L771=1,SUMIFS('Incoming POs'!$P$2:$P$305,'Incoming POs'!$A$2:$A$305,A771,'Incoming POs'!$B$2:$B$305,B771,'Incoming POs'!$C$2:$C$305,C771,'Incoming POs'!$G$2:$G$305,"&gt;="&amp;D771,'Incoming POs'!$G$2:$G$305,"&lt;"&amp;Dashboard!$I$5,'Incoming POs'!$Q$2:$Q$305,"&lt;="&amp;('Inventory inputs'!P771/'Inventory inputs'!J771*1.01)),"n.a.")</x:f>
        <x:v>n.a.</x:v>
      </x:c>
      <x:c r="AC771" s="9" t="n">
        <x:f>I771*G771</x:f>
        <x:v>0</x:v>
      </x:c>
      <x:c r="AD771" s="9" t="n">
        <x:f>J771*G771</x:f>
        <x:v>0</x:v>
      </x:c>
      <x:c r="AE771" s="9" t="n">
        <x:f>K771*G771</x:f>
        <x:v>21.6</x:v>
      </x:c>
      <x:c r="AF771" s="9" t="n">
        <x:f>R771*G771</x:f>
        <x:v>21.6</x:v>
      </x:c>
    </x:row>
    <x:row r="772" ht="21" customHeight="1">
      <x:c r="A772" s="1" t="str">
        <x:f>'Inventory inputs'!A772</x:f>
        <x:v>PLAS</x:v>
      </x:c>
      <x:c r="B772" s="1" t="str">
        <x:f>'Inventory inputs'!B772</x:f>
        <x:v>30</x:v>
      </x:c>
      <x:c r="C772" s="1" t="str">
        <x:f>'Inventory inputs'!C772</x:f>
        <x:v>51619RWBCLR</x:v>
      </x:c>
      <x:c r="D772" s="7" t="n">
        <x:f>'Inventory inputs'!E772</x:f>
        <x:v>46303</x:v>
      </x:c>
      <x:c r="E772" s="1" t="n">
        <x:f>'Inventory inputs'!F772</x:f>
        <x:v>900</x:v>
      </x:c>
      <x:c r="F772" s="1" t="n">
        <x:f>'Inventory inputs'!G772</x:f>
        <x:v>0</x:v>
      </x:c>
      <x:c r="G772" s="1" t="n">
        <x:f>'Inventory inputs'!H772/'Inventory inputs'!J772</x:f>
        <x:v>0.0216</x:v>
      </x:c>
      <x:c r="H772" s="1" t="n">
        <x:f>IF('Inventory inputs'!I772&gt;0,'Inventory inputs'!I772*'Inventory inputs'!K772/'Inventory inputs'!J772,"n.a.")</x:f>
        <x:v>0.025284</x:v>
      </x:c>
      <x:c r="I772" s="1" t="n">
        <x:f>'Inventory inputs'!L772</x:f>
        <x:v>0</x:v>
      </x:c>
      <x:c r="J772" s="1" t="n">
        <x:f>'Inventory inputs'!M772</x:f>
        <x:v>0</x:v>
      </x:c>
      <x:c r="K772" s="1" t="n">
        <x:f>'Inventory inputs'!N772</x:f>
        <x:v>900</x:v>
      </x:c>
      <x:c r="L772" s="1" t="n">
        <x:f>'Inventory inputs'!O772</x:f>
        <x:v>0</x:v>
      </x:c>
      <x:c r="M772" s="9" t="n">
        <x:f>E772*G772</x:f>
        <x:v>19.44</x:v>
      </x:c>
      <x:c r="N772" s="9" t="n">
        <x:f>'Inventory inputs'!Q772</x:f>
        <x:v>19.44</x:v>
      </x:c>
      <x:c r="O772" s="9" t="n">
        <x:f>N772-M772</x:f>
        <x:v>0</x:v>
      </x:c>
      <x:c r="P772" s="1" t="n">
        <x:f>SUMIFS('Incoming POs'!$P$2:$P$305,'Incoming POs'!$A$2:$A$305,A772,'Incoming POs'!$B$2:$B$305,B772,'Incoming POs'!$C$2:$C$305,C772,'Incoming POs'!$G$2:$G$305,"&gt;="&amp;D772,'Incoming POs'!$G$2:$G$305,"&lt;"&amp;Dashboard!$I$5)</x:f>
        <x:v>0</x:v>
      </x:c>
      <x:c r="Q772" s="1" t="n">
        <x:f>F772*Dashboard!$L$5*MAX(0,Dashboard!$I$5-D772)/30.4375</x:f>
        <x:v>0</x:v>
      </x:c>
      <x:c r="R772" s="1" t="n">
        <x:f>MAX(0,E772+P772-Q772)</x:f>
        <x:v>900</x:v>
      </x:c>
      <x:c r="S772" s="1" t="n">
        <x:f>MAX(0,Q772-E772-P772)</x:f>
        <x:v>0</x:v>
      </x:c>
      <x:c r="T772" s="1" t="str">
        <x:f>IF(L772=1,MAX(0,I772+AB772-MIN(Q772,E772+P772)),"n.a.")</x:f>
        <x:v>n.a.</x:v>
      </x:c>
      <x:c r="U772" s="9" t="str">
        <x:f>IF(ISNUMBER(T772),T772*G772,"n.a.")</x:f>
        <x:v>n.a.</x:v>
      </x:c>
      <x:c r="V772" s="25" t="n">
        <x:f>IF(Dashboard!$I$6="Flat %",1,IF(ISNUMBER(H772),1,0))</x:f>
        <x:v>1</x:v>
      </x:c>
      <x:c r="W772" s="9" t="n">
        <x:f>IF(Dashboard!$I$6="Flat %",G772*(1+Dashboard!$L$6),H772)</x:f>
        <x:v>0.025284</x:v>
      </x:c>
      <x:c r="X772" s="9" t="n">
        <x:f>IF(V772=1,R772*(W772-G772),"n.a.")</x:f>
        <x:v>3.3156</x:v>
      </x:c>
      <x:c r="Y772" s="9" t="n">
        <x:f>IF(V772=1,R772*W772,"n.a.")</x:f>
        <x:v>22.7556</x:v>
      </x:c>
      <x:c r="Z772" s="1" t="str">
        <x:f>IF(ISNUMBER(T772),R772-T772,"n.a.")</x:f>
        <x:v>n.a.</x:v>
      </x:c>
      <x:c r="AA772" s="1" t="str">
        <x:f>'Inventory inputs'!R772</x:f>
        <x:v>Review receipt reconciliation or original PO baseline</x:v>
      </x:c>
      <x:c r="AB772" s="1" t="str">
        <x:f>IF(L772=1,SUMIFS('Incoming POs'!$P$2:$P$305,'Incoming POs'!$A$2:$A$305,A772,'Incoming POs'!$B$2:$B$305,B772,'Incoming POs'!$C$2:$C$305,C772,'Incoming POs'!$G$2:$G$305,"&gt;="&amp;D772,'Incoming POs'!$G$2:$G$305,"&lt;"&amp;Dashboard!$I$5,'Incoming POs'!$Q$2:$Q$305,"&lt;="&amp;('Inventory inputs'!P772/'Inventory inputs'!J772*1.01)),"n.a.")</x:f>
        <x:v>n.a.</x:v>
      </x:c>
      <x:c r="AC772" s="9" t="n">
        <x:f>I772*G772</x:f>
        <x:v>0</x:v>
      </x:c>
      <x:c r="AD772" s="9" t="n">
        <x:f>J772*G772</x:f>
        <x:v>0</x:v>
      </x:c>
      <x:c r="AE772" s="9" t="n">
        <x:f>K772*G772</x:f>
        <x:v>19.44</x:v>
      </x:c>
      <x:c r="AF772" s="9" t="n">
        <x:f>R772*G772</x:f>
        <x:v>19.44</x:v>
      </x:c>
    </x:row>
    <x:row r="773" ht="21" customHeight="1">
      <x:c r="A773" s="1" t="str">
        <x:f>'Inventory inputs'!A773</x:f>
        <x:v>PLAS</x:v>
      </x:c>
      <x:c r="B773" s="1" t="str">
        <x:f>'Inventory inputs'!B773</x:f>
        <x:v>30</x:v>
      </x:c>
      <x:c r="C773" s="1" t="str">
        <x:f>'Inventory inputs'!C773</x:f>
        <x:v>51619RWBRED</x:v>
      </x:c>
      <x:c r="D773" s="7" t="n">
        <x:f>'Inventory inputs'!E773</x:f>
        <x:v>46303</x:v>
      </x:c>
      <x:c r="E773" s="1" t="n">
        <x:f>'Inventory inputs'!F773</x:f>
        <x:v>300</x:v>
      </x:c>
      <x:c r="F773" s="1" t="n">
        <x:f>'Inventory inputs'!G773</x:f>
        <x:v>0</x:v>
      </x:c>
      <x:c r="G773" s="1" t="n">
        <x:f>'Inventory inputs'!H773/'Inventory inputs'!J773</x:f>
        <x:v>0.0216</x:v>
      </x:c>
      <x:c r="H773" s="1" t="n">
        <x:f>IF('Inventory inputs'!I773&gt;0,'Inventory inputs'!I773*'Inventory inputs'!K773/'Inventory inputs'!J773,"n.a.")</x:f>
        <x:v>0.025284</x:v>
      </x:c>
      <x:c r="I773" s="1" t="n">
        <x:f>'Inventory inputs'!L773</x:f>
        <x:v>0</x:v>
      </x:c>
      <x:c r="J773" s="1" t="n">
        <x:f>'Inventory inputs'!M773</x:f>
        <x:v>0</x:v>
      </x:c>
      <x:c r="K773" s="1" t="n">
        <x:f>'Inventory inputs'!N773</x:f>
        <x:v>300</x:v>
      </x:c>
      <x:c r="L773" s="1" t="n">
        <x:f>'Inventory inputs'!O773</x:f>
        <x:v>0</x:v>
      </x:c>
      <x:c r="M773" s="9" t="n">
        <x:f>E773*G773</x:f>
        <x:v>6.48</x:v>
      </x:c>
      <x:c r="N773" s="9" t="n">
        <x:f>'Inventory inputs'!Q773</x:f>
        <x:v>6.48</x:v>
      </x:c>
      <x:c r="O773" s="9" t="n">
        <x:f>N773-M773</x:f>
        <x:v>0</x:v>
      </x:c>
      <x:c r="P773" s="1" t="n">
        <x:f>SUMIFS('Incoming POs'!$P$2:$P$305,'Incoming POs'!$A$2:$A$305,A773,'Incoming POs'!$B$2:$B$305,B773,'Incoming POs'!$C$2:$C$305,C773,'Incoming POs'!$G$2:$G$305,"&gt;="&amp;D773,'Incoming POs'!$G$2:$G$305,"&lt;"&amp;Dashboard!$I$5)</x:f>
        <x:v>0</x:v>
      </x:c>
      <x:c r="Q773" s="1" t="n">
        <x:f>F773*Dashboard!$L$5*MAX(0,Dashboard!$I$5-D773)/30.4375</x:f>
        <x:v>0</x:v>
      </x:c>
      <x:c r="R773" s="1" t="n">
        <x:f>MAX(0,E773+P773-Q773)</x:f>
        <x:v>300</x:v>
      </x:c>
      <x:c r="S773" s="1" t="n">
        <x:f>MAX(0,Q773-E773-P773)</x:f>
        <x:v>0</x:v>
      </x:c>
      <x:c r="T773" s="1" t="str">
        <x:f>IF(L773=1,MAX(0,I773+AB773-MIN(Q773,E773+P773)),"n.a.")</x:f>
        <x:v>n.a.</x:v>
      </x:c>
      <x:c r="U773" s="9" t="str">
        <x:f>IF(ISNUMBER(T773),T773*G773,"n.a.")</x:f>
        <x:v>n.a.</x:v>
      </x:c>
      <x:c r="V773" s="25" t="n">
        <x:f>IF(Dashboard!$I$6="Flat %",1,IF(ISNUMBER(H773),1,0))</x:f>
        <x:v>1</x:v>
      </x:c>
      <x:c r="W773" s="9" t="n">
        <x:f>IF(Dashboard!$I$6="Flat %",G773*(1+Dashboard!$L$6),H773)</x:f>
        <x:v>0.025284</x:v>
      </x:c>
      <x:c r="X773" s="9" t="n">
        <x:f>IF(V773=1,R773*(W773-G773),"n.a.")</x:f>
        <x:v>1.1052</x:v>
      </x:c>
      <x:c r="Y773" s="9" t="n">
        <x:f>IF(V773=1,R773*W773,"n.a.")</x:f>
        <x:v>7.5852</x:v>
      </x:c>
      <x:c r="Z773" s="1" t="str">
        <x:f>IF(ISNUMBER(T773),R773-T773,"n.a.")</x:f>
        <x:v>n.a.</x:v>
      </x:c>
      <x:c r="AA773" s="1" t="str">
        <x:f>'Inventory inputs'!R773</x:f>
        <x:v>Review receipt reconciliation or original PO baseline</x:v>
      </x:c>
      <x:c r="AB773" s="1" t="str">
        <x:f>IF(L773=1,SUMIFS('Incoming POs'!$P$2:$P$305,'Incoming POs'!$A$2:$A$305,A773,'Incoming POs'!$B$2:$B$305,B773,'Incoming POs'!$C$2:$C$305,C773,'Incoming POs'!$G$2:$G$305,"&gt;="&amp;D773,'Incoming POs'!$G$2:$G$305,"&lt;"&amp;Dashboard!$I$5,'Incoming POs'!$Q$2:$Q$305,"&lt;="&amp;('Inventory inputs'!P773/'Inventory inputs'!J773*1.01)),"n.a.")</x:f>
        <x:v>n.a.</x:v>
      </x:c>
      <x:c r="AC773" s="9" t="n">
        <x:f>I773*G773</x:f>
        <x:v>0</x:v>
      </x:c>
      <x:c r="AD773" s="9" t="n">
        <x:f>J773*G773</x:f>
        <x:v>0</x:v>
      </x:c>
      <x:c r="AE773" s="9" t="n">
        <x:f>K773*G773</x:f>
        <x:v>6.48</x:v>
      </x:c>
      <x:c r="AF773" s="9" t="n">
        <x:f>R773*G773</x:f>
        <x:v>6.48</x:v>
      </x:c>
    </x:row>
    <x:row r="774" ht="21" customHeight="1">
      <x:c r="A774" s="1" t="str">
        <x:f>'Inventory inputs'!A774</x:f>
        <x:v>PLAS</x:v>
      </x:c>
      <x:c r="B774" s="1" t="str">
        <x:f>'Inventory inputs'!B774</x:f>
        <x:v>30</x:v>
      </x:c>
      <x:c r="C774" s="1" t="str">
        <x:f>'Inventory inputs'!C774</x:f>
        <x:v>51680RWBBLK</x:v>
      </x:c>
      <x:c r="D774" s="7" t="n">
        <x:f>'Inventory inputs'!E774</x:f>
        <x:v>46303</x:v>
      </x:c>
      <x:c r="E774" s="1" t="n">
        <x:f>'Inventory inputs'!F774</x:f>
        <x:v>0</x:v>
      </x:c>
      <x:c r="F774" s="1" t="n">
        <x:f>'Inventory inputs'!G774</x:f>
        <x:v>0</x:v>
      </x:c>
      <x:c r="G774" s="1" t="n">
        <x:f>'Inventory inputs'!H774/'Inventory inputs'!J774</x:f>
        <x:v>0.0741</x:v>
      </x:c>
      <x:c r="H774" s="1" t="n">
        <x:f>IF('Inventory inputs'!I774&gt;0,'Inventory inputs'!I774*'Inventory inputs'!K774/'Inventory inputs'!J774,"n.a.")</x:f>
        <x:v>0.08673</x:v>
      </x:c>
      <x:c r="I774" s="1" t="n">
        <x:f>'Inventory inputs'!L774</x:f>
        <x:v>0</x:v>
      </x:c>
      <x:c r="J774" s="1" t="n">
        <x:f>'Inventory inputs'!M774</x:f>
        <x:v>0</x:v>
      </x:c>
      <x:c r="K774" s="1" t="n">
        <x:f>'Inventory inputs'!N774</x:f>
        <x:v>0</x:v>
      </x:c>
      <x:c r="L774" s="1" t="n">
        <x:f>'Inventory inputs'!O774</x:f>
        <x:v>1</x:v>
      </x:c>
      <x:c r="M774" s="9" t="n">
        <x:f>E774*G774</x:f>
        <x:v>0</x:v>
      </x:c>
      <x:c r="N774" s="9" t="n">
        <x:f>'Inventory inputs'!Q774</x:f>
        <x:v>0</x:v>
      </x:c>
      <x:c r="O774" s="9" t="n">
        <x:f>N774-M774</x:f>
        <x:v>0</x:v>
      </x:c>
      <x:c r="P774" s="1" t="n">
        <x:f>SUMIFS('Incoming POs'!$P$2:$P$305,'Incoming POs'!$A$2:$A$305,A774,'Incoming POs'!$B$2:$B$305,B774,'Incoming POs'!$C$2:$C$305,C774,'Incoming POs'!$G$2:$G$305,"&gt;="&amp;D774,'Incoming POs'!$G$2:$G$305,"&lt;"&amp;Dashboard!$I$5)</x:f>
        <x:v>0</x:v>
      </x:c>
      <x:c r="Q774" s="1" t="n">
        <x:f>F774*Dashboard!$L$5*MAX(0,Dashboard!$I$5-D774)/30.4375</x:f>
        <x:v>0</x:v>
      </x:c>
      <x:c r="R774" s="1" t="n">
        <x:f>MAX(0,E774+P774-Q774)</x:f>
        <x:v>0</x:v>
      </x:c>
      <x:c r="S774" s="1" t="n">
        <x:f>MAX(0,Q774-E774-P774)</x:f>
        <x:v>0</x:v>
      </x:c>
      <x:c r="T774" s="1" t="n">
        <x:f>IF(L774=1,MAX(0,I774+AB774-MIN(Q774,E774+P774)),"n.a.")</x:f>
        <x:v>0</x:v>
      </x:c>
      <x:c r="U774" s="9" t="n">
        <x:f>IF(ISNUMBER(T774),T774*G774,"n.a.")</x:f>
        <x:v>0</x:v>
      </x:c>
      <x:c r="V774" s="25" t="n">
        <x:f>IF(Dashboard!$I$6="Flat %",1,IF(ISNUMBER(H774),1,0))</x:f>
        <x:v>1</x:v>
      </x:c>
      <x:c r="W774" s="9" t="n">
        <x:f>IF(Dashboard!$I$6="Flat %",G774*(1+Dashboard!$L$6),H774)</x:f>
        <x:v>0.08673</x:v>
      </x:c>
      <x:c r="X774" s="9" t="n">
        <x:f>IF(V774=1,R774*(W774-G774),"n.a.")</x:f>
        <x:v>0</x:v>
      </x:c>
      <x:c r="Y774" s="9" t="n">
        <x:f>IF(V774=1,R774*W774,"n.a.")</x:f>
        <x:v>0</x:v>
      </x:c>
      <x:c r="Z774" s="1" t="n">
        <x:f>IF(ISNUMBER(T774),R774-T774,"n.a.")</x:f>
        <x:v>0</x:v>
      </x:c>
      <x:c r="AA774" s="1" t="str">
        <x:f>'Inventory inputs'!R774</x:f>
        <x:v>Classified</x:v>
      </x:c>
      <x:c r="AB774" s="1" t="n">
        <x:f>IF(L774=1,SUMIFS('Incoming POs'!$P$2:$P$305,'Incoming POs'!$A$2:$A$305,A774,'Incoming POs'!$B$2:$B$305,B774,'Incoming POs'!$C$2:$C$305,C774,'Incoming POs'!$G$2:$G$305,"&gt;="&amp;D774,'Incoming POs'!$G$2:$G$305,"&lt;"&amp;Dashboard!$I$5,'Incoming POs'!$Q$2:$Q$305,"&lt;="&amp;('Inventory inputs'!P774/'Inventory inputs'!J774*1.01)),"n.a.")</x:f>
        <x:v>0</x:v>
      </x:c>
      <x:c r="AC774" s="9" t="n">
        <x:f>I774*G774</x:f>
        <x:v>0</x:v>
      </x:c>
      <x:c r="AD774" s="9" t="n">
        <x:f>J774*G774</x:f>
        <x:v>0</x:v>
      </x:c>
      <x:c r="AE774" s="9" t="n">
        <x:f>K774*G774</x:f>
        <x:v>0</x:v>
      </x:c>
      <x:c r="AF774" s="9" t="n">
        <x:f>R774*G774</x:f>
        <x:v>0</x:v>
      </x:c>
    </x:row>
    <x:row r="775" ht="21" customHeight="1">
      <x:c r="A775" s="1" t="str">
        <x:f>'Inventory inputs'!A775</x:f>
        <x:v>PLAS</x:v>
      </x:c>
      <x:c r="B775" s="1" t="str">
        <x:f>'Inventory inputs'!B775</x:f>
        <x:v>30</x:v>
      </x:c>
      <x:c r="C775" s="1" t="str">
        <x:f>'Inventory inputs'!C775</x:f>
        <x:v>51680RWBWHT</x:v>
      </x:c>
      <x:c r="D775" s="7" t="n">
        <x:f>'Inventory inputs'!E775</x:f>
        <x:v>46303</x:v>
      </x:c>
      <x:c r="E775" s="1" t="n">
        <x:f>'Inventory inputs'!F775</x:f>
        <x:v>0</x:v>
      </x:c>
      <x:c r="F775" s="1" t="n">
        <x:f>'Inventory inputs'!G775</x:f>
        <x:v>0</x:v>
      </x:c>
      <x:c r="G775" s="1" t="n">
        <x:f>'Inventory inputs'!H775/'Inventory inputs'!J775</x:f>
        <x:v>0.0741</x:v>
      </x:c>
      <x:c r="H775" s="1" t="n">
        <x:f>IF('Inventory inputs'!I775&gt;0,'Inventory inputs'!I775*'Inventory inputs'!K775/'Inventory inputs'!J775,"n.a.")</x:f>
        <x:v>0.08673</x:v>
      </x:c>
      <x:c r="I775" s="1" t="n">
        <x:f>'Inventory inputs'!L775</x:f>
        <x:v>0</x:v>
      </x:c>
      <x:c r="J775" s="1" t="n">
        <x:f>'Inventory inputs'!M775</x:f>
        <x:v>0</x:v>
      </x:c>
      <x:c r="K775" s="1" t="n">
        <x:f>'Inventory inputs'!N775</x:f>
        <x:v>0</x:v>
      </x:c>
      <x:c r="L775" s="1" t="n">
        <x:f>'Inventory inputs'!O775</x:f>
        <x:v>1</x:v>
      </x:c>
      <x:c r="M775" s="9" t="n">
        <x:f>E775*G775</x:f>
        <x:v>0</x:v>
      </x:c>
      <x:c r="N775" s="9" t="n">
        <x:f>'Inventory inputs'!Q775</x:f>
        <x:v>0</x:v>
      </x:c>
      <x:c r="O775" s="9" t="n">
        <x:f>N775-M775</x:f>
        <x:v>0</x:v>
      </x:c>
      <x:c r="P775" s="1" t="n">
        <x:f>SUMIFS('Incoming POs'!$P$2:$P$305,'Incoming POs'!$A$2:$A$305,A775,'Incoming POs'!$B$2:$B$305,B775,'Incoming POs'!$C$2:$C$305,C775,'Incoming POs'!$G$2:$G$305,"&gt;="&amp;D775,'Incoming POs'!$G$2:$G$305,"&lt;"&amp;Dashboard!$I$5)</x:f>
        <x:v>0</x:v>
      </x:c>
      <x:c r="Q775" s="1" t="n">
        <x:f>F775*Dashboard!$L$5*MAX(0,Dashboard!$I$5-D775)/30.4375</x:f>
        <x:v>0</x:v>
      </x:c>
      <x:c r="R775" s="1" t="n">
        <x:f>MAX(0,E775+P775-Q775)</x:f>
        <x:v>0</x:v>
      </x:c>
      <x:c r="S775" s="1" t="n">
        <x:f>MAX(0,Q775-E775-P775)</x:f>
        <x:v>0</x:v>
      </x:c>
      <x:c r="T775" s="1" t="n">
        <x:f>IF(L775=1,MAX(0,I775+AB775-MIN(Q775,E775+P775)),"n.a.")</x:f>
        <x:v>0</x:v>
      </x:c>
      <x:c r="U775" s="9" t="n">
        <x:f>IF(ISNUMBER(T775),T775*G775,"n.a.")</x:f>
        <x:v>0</x:v>
      </x:c>
      <x:c r="V775" s="25" t="n">
        <x:f>IF(Dashboard!$I$6="Flat %",1,IF(ISNUMBER(H775),1,0))</x:f>
        <x:v>1</x:v>
      </x:c>
      <x:c r="W775" s="9" t="n">
        <x:f>IF(Dashboard!$I$6="Flat %",G775*(1+Dashboard!$L$6),H775)</x:f>
        <x:v>0.08673</x:v>
      </x:c>
      <x:c r="X775" s="9" t="n">
        <x:f>IF(V775=1,R775*(W775-G775),"n.a.")</x:f>
        <x:v>0</x:v>
      </x:c>
      <x:c r="Y775" s="9" t="n">
        <x:f>IF(V775=1,R775*W775,"n.a.")</x:f>
        <x:v>0</x:v>
      </x:c>
      <x:c r="Z775" s="1" t="n">
        <x:f>IF(ISNUMBER(T775),R775-T775,"n.a.")</x:f>
        <x:v>0</x:v>
      </x:c>
      <x:c r="AA775" s="1" t="str">
        <x:f>'Inventory inputs'!R775</x:f>
        <x:v>Classified</x:v>
      </x:c>
      <x:c r="AB775" s="1" t="n">
        <x:f>IF(L775=1,SUMIFS('Incoming POs'!$P$2:$P$305,'Incoming POs'!$A$2:$A$305,A775,'Incoming POs'!$B$2:$B$305,B775,'Incoming POs'!$C$2:$C$305,C775,'Incoming POs'!$G$2:$G$305,"&gt;="&amp;D775,'Incoming POs'!$G$2:$G$305,"&lt;"&amp;Dashboard!$I$5,'Incoming POs'!$Q$2:$Q$305,"&lt;="&amp;('Inventory inputs'!P775/'Inventory inputs'!J775*1.01)),"n.a.")</x:f>
        <x:v>0</x:v>
      </x:c>
      <x:c r="AC775" s="9" t="n">
        <x:f>I775*G775</x:f>
        <x:v>0</x:v>
      </x:c>
      <x:c r="AD775" s="9" t="n">
        <x:f>J775*G775</x:f>
        <x:v>0</x:v>
      </x:c>
      <x:c r="AE775" s="9" t="n">
        <x:f>K775*G775</x:f>
        <x:v>0</x:v>
      </x:c>
      <x:c r="AF775" s="9" t="n">
        <x:f>R775*G775</x:f>
        <x:v>0</x:v>
      </x:c>
    </x:row>
    <x:row r="776" ht="21" customHeight="1">
      <x:c r="A776" s="1" t="str">
        <x:f>'Inventory inputs'!A776</x:f>
        <x:v>PLAS</x:v>
      </x:c>
      <x:c r="B776" s="1" t="str">
        <x:f>'Inventory inputs'!B776</x:f>
        <x:v>30</x:v>
      </x:c>
      <x:c r="C776" s="1" t="str">
        <x:f>'Inventory inputs'!C776</x:f>
        <x:v>71615RWBWHT</x:v>
      </x:c>
      <x:c r="D776" s="7" t="n">
        <x:f>'Inventory inputs'!E776</x:f>
        <x:v>46303</x:v>
      </x:c>
      <x:c r="E776" s="1" t="n">
        <x:f>'Inventory inputs'!F776</x:f>
        <x:v>5000</x:v>
      </x:c>
      <x:c r="F776" s="1" t="n">
        <x:f>'Inventory inputs'!G776</x:f>
        <x:v>0</x:v>
      </x:c>
      <x:c r="G776" s="1" t="n">
        <x:f>'Inventory inputs'!H776/'Inventory inputs'!J776</x:f>
        <x:v>0.0219</x:v>
      </x:c>
      <x:c r="H776" s="1" t="n">
        <x:f>IF('Inventory inputs'!I776&gt;0,'Inventory inputs'!I776*'Inventory inputs'!K776/'Inventory inputs'!J776,"n.a.")</x:f>
        <x:v>0.025578</x:v>
      </x:c>
      <x:c r="I776" s="1" t="n">
        <x:f>'Inventory inputs'!L776</x:f>
        <x:v>0</x:v>
      </x:c>
      <x:c r="J776" s="1" t="n">
        <x:f>'Inventory inputs'!M776</x:f>
        <x:v>0</x:v>
      </x:c>
      <x:c r="K776" s="1" t="n">
        <x:f>'Inventory inputs'!N776</x:f>
        <x:v>5000</x:v>
      </x:c>
      <x:c r="L776" s="1" t="n">
        <x:f>'Inventory inputs'!O776</x:f>
        <x:v>0</x:v>
      </x:c>
      <x:c r="M776" s="9" t="n">
        <x:f>E776*G776</x:f>
        <x:v>109.5</x:v>
      </x:c>
      <x:c r="N776" s="9" t="n">
        <x:f>'Inventory inputs'!Q776</x:f>
        <x:v>109.5</x:v>
      </x:c>
      <x:c r="O776" s="9" t="n">
        <x:f>N776-M776</x:f>
        <x:v>0</x:v>
      </x:c>
      <x:c r="P776" s="1" t="n">
        <x:f>SUMIFS('Incoming POs'!$P$2:$P$305,'Incoming POs'!$A$2:$A$305,A776,'Incoming POs'!$B$2:$B$305,B776,'Incoming POs'!$C$2:$C$305,C776,'Incoming POs'!$G$2:$G$305,"&gt;="&amp;D776,'Incoming POs'!$G$2:$G$305,"&lt;"&amp;Dashboard!$I$5)</x:f>
        <x:v>0</x:v>
      </x:c>
      <x:c r="Q776" s="1" t="n">
        <x:f>F776*Dashboard!$L$5*MAX(0,Dashboard!$I$5-D776)/30.4375</x:f>
        <x:v>0</x:v>
      </x:c>
      <x:c r="R776" s="1" t="n">
        <x:f>MAX(0,E776+P776-Q776)</x:f>
        <x:v>5000</x:v>
      </x:c>
      <x:c r="S776" s="1" t="n">
        <x:f>MAX(0,Q776-E776-P776)</x:f>
        <x:v>0</x:v>
      </x:c>
      <x:c r="T776" s="1" t="str">
        <x:f>IF(L776=1,MAX(0,I776+AB776-MIN(Q776,E776+P776)),"n.a.")</x:f>
        <x:v>n.a.</x:v>
      </x:c>
      <x:c r="U776" s="9" t="str">
        <x:f>IF(ISNUMBER(T776),T776*G776,"n.a.")</x:f>
        <x:v>n.a.</x:v>
      </x:c>
      <x:c r="V776" s="25" t="n">
        <x:f>IF(Dashboard!$I$6="Flat %",1,IF(ISNUMBER(H776),1,0))</x:f>
        <x:v>1</x:v>
      </x:c>
      <x:c r="W776" s="9" t="n">
        <x:f>IF(Dashboard!$I$6="Flat %",G776*(1+Dashboard!$L$6),H776)</x:f>
        <x:v>0.025578</x:v>
      </x:c>
      <x:c r="X776" s="9" t="n">
        <x:f>IF(V776=1,R776*(W776-G776),"n.a.")</x:f>
        <x:v>18.390000000000004</x:v>
      </x:c>
      <x:c r="Y776" s="9" t="n">
        <x:f>IF(V776=1,R776*W776,"n.a.")</x:f>
        <x:v>127.89</x:v>
      </x:c>
      <x:c r="Z776" s="1" t="str">
        <x:f>IF(ISNUMBER(T776),R776-T776,"n.a.")</x:f>
        <x:v>n.a.</x:v>
      </x:c>
      <x:c r="AA776" s="1" t="str">
        <x:f>'Inventory inputs'!R776</x:f>
        <x:v>Review receipt reconciliation or original PO baseline</x:v>
      </x:c>
      <x:c r="AB776" s="1" t="str">
        <x:f>IF(L776=1,SUMIFS('Incoming POs'!$P$2:$P$305,'Incoming POs'!$A$2:$A$305,A776,'Incoming POs'!$B$2:$B$305,B776,'Incoming POs'!$C$2:$C$305,C776,'Incoming POs'!$G$2:$G$305,"&gt;="&amp;D776,'Incoming POs'!$G$2:$G$305,"&lt;"&amp;Dashboard!$I$5,'Incoming POs'!$Q$2:$Q$305,"&lt;="&amp;('Inventory inputs'!P776/'Inventory inputs'!J776*1.01)),"n.a.")</x:f>
        <x:v>n.a.</x:v>
      </x:c>
      <x:c r="AC776" s="9" t="n">
        <x:f>I776*G776</x:f>
        <x:v>0</x:v>
      </x:c>
      <x:c r="AD776" s="9" t="n">
        <x:f>J776*G776</x:f>
        <x:v>0</x:v>
      </x:c>
      <x:c r="AE776" s="9" t="n">
        <x:f>K776*G776</x:f>
        <x:v>109.5</x:v>
      </x:c>
      <x:c r="AF776" s="9" t="n">
        <x:f>R776*G776</x:f>
        <x:v>109.5</x:v>
      </x:c>
    </x:row>
    <x:row r="777" ht="21" customHeight="1">
      <x:c r="A777" s="1" t="str">
        <x:f>'Inventory inputs'!A777</x:f>
        <x:v>PLAS</x:v>
      </x:c>
      <x:c r="B777" s="1" t="str">
        <x:f>'Inventory inputs'!B777</x:f>
        <x:v>30</x:v>
      </x:c>
      <x:c r="C777" s="1" t="str">
        <x:f>'Inventory inputs'!C777</x:f>
        <x:v>71619RWBBLU</x:v>
      </x:c>
      <x:c r="D777" s="7" t="n">
        <x:f>'Inventory inputs'!E777</x:f>
        <x:v>46303</x:v>
      </x:c>
      <x:c r="E777" s="1" t="n">
        <x:f>'Inventory inputs'!F777</x:f>
        <x:v>1900</x:v>
      </x:c>
      <x:c r="F777" s="1" t="n">
        <x:f>'Inventory inputs'!G777</x:f>
        <x:v>0</x:v>
      </x:c>
      <x:c r="G777" s="1" t="n">
        <x:f>'Inventory inputs'!H777/'Inventory inputs'!J777</x:f>
        <x:v>0.0315</x:v>
      </x:c>
      <x:c r="H777" s="1" t="n">
        <x:f>IF('Inventory inputs'!I777&gt;0,'Inventory inputs'!I777*'Inventory inputs'!K777/'Inventory inputs'!J777,"n.a.")</x:f>
        <x:v>0.03675</x:v>
      </x:c>
      <x:c r="I777" s="1" t="n">
        <x:f>'Inventory inputs'!L777</x:f>
        <x:v>0</x:v>
      </x:c>
      <x:c r="J777" s="1" t="n">
        <x:f>'Inventory inputs'!M777</x:f>
        <x:v>0</x:v>
      </x:c>
      <x:c r="K777" s="1" t="n">
        <x:f>'Inventory inputs'!N777</x:f>
        <x:v>1900</x:v>
      </x:c>
      <x:c r="L777" s="1" t="n">
        <x:f>'Inventory inputs'!O777</x:f>
        <x:v>0</x:v>
      </x:c>
      <x:c r="M777" s="9" t="n">
        <x:f>E777*G777</x:f>
        <x:v>59.85</x:v>
      </x:c>
      <x:c r="N777" s="9" t="n">
        <x:f>'Inventory inputs'!Q777</x:f>
        <x:v>59.85</x:v>
      </x:c>
      <x:c r="O777" s="9" t="n">
        <x:f>N777-M777</x:f>
        <x:v>0</x:v>
      </x:c>
      <x:c r="P777" s="1" t="n">
        <x:f>SUMIFS('Incoming POs'!$P$2:$P$305,'Incoming POs'!$A$2:$A$305,A777,'Incoming POs'!$B$2:$B$305,B777,'Incoming POs'!$C$2:$C$305,C777,'Incoming POs'!$G$2:$G$305,"&gt;="&amp;D777,'Incoming POs'!$G$2:$G$305,"&lt;"&amp;Dashboard!$I$5)</x:f>
        <x:v>0</x:v>
      </x:c>
      <x:c r="Q777" s="1" t="n">
        <x:f>F777*Dashboard!$L$5*MAX(0,Dashboard!$I$5-D777)/30.4375</x:f>
        <x:v>0</x:v>
      </x:c>
      <x:c r="R777" s="1" t="n">
        <x:f>MAX(0,E777+P777-Q777)</x:f>
        <x:v>1900</x:v>
      </x:c>
      <x:c r="S777" s="1" t="n">
        <x:f>MAX(0,Q777-E777-P777)</x:f>
        <x:v>0</x:v>
      </x:c>
      <x:c r="T777" s="1" t="str">
        <x:f>IF(L777=1,MAX(0,I777+AB777-MIN(Q777,E777+P777)),"n.a.")</x:f>
        <x:v>n.a.</x:v>
      </x:c>
      <x:c r="U777" s="9" t="str">
        <x:f>IF(ISNUMBER(T777),T777*G777,"n.a.")</x:f>
        <x:v>n.a.</x:v>
      </x:c>
      <x:c r="V777" s="25" t="n">
        <x:f>IF(Dashboard!$I$6="Flat %",1,IF(ISNUMBER(H777),1,0))</x:f>
        <x:v>1</x:v>
      </x:c>
      <x:c r="W777" s="9" t="n">
        <x:f>IF(Dashboard!$I$6="Flat %",G777*(1+Dashboard!$L$6),H777)</x:f>
        <x:v>0.03675</x:v>
      </x:c>
      <x:c r="X777" s="9" t="n">
        <x:f>IF(V777=1,R777*(W777-G777),"n.a.")</x:f>
        <x:v>9.974999999999996</x:v>
      </x:c>
      <x:c r="Y777" s="9" t="n">
        <x:f>IF(V777=1,R777*W777,"n.a.")</x:f>
        <x:v>69.825</x:v>
      </x:c>
      <x:c r="Z777" s="1" t="str">
        <x:f>IF(ISNUMBER(T777),R777-T777,"n.a.")</x:f>
        <x:v>n.a.</x:v>
      </x:c>
      <x:c r="AA777" s="1" t="str">
        <x:f>'Inventory inputs'!R777</x:f>
        <x:v>Review receipt reconciliation or original PO baseline</x:v>
      </x:c>
      <x:c r="AB777" s="1" t="str">
        <x:f>IF(L777=1,SUMIFS('Incoming POs'!$P$2:$P$305,'Incoming POs'!$A$2:$A$305,A777,'Incoming POs'!$B$2:$B$305,B777,'Incoming POs'!$C$2:$C$305,C777,'Incoming POs'!$G$2:$G$305,"&gt;="&amp;D777,'Incoming POs'!$G$2:$G$305,"&lt;"&amp;Dashboard!$I$5,'Incoming POs'!$Q$2:$Q$305,"&lt;="&amp;('Inventory inputs'!P777/'Inventory inputs'!J777*1.01)),"n.a.")</x:f>
        <x:v>n.a.</x:v>
      </x:c>
      <x:c r="AC777" s="9" t="n">
        <x:f>I777*G777</x:f>
        <x:v>0</x:v>
      </x:c>
      <x:c r="AD777" s="9" t="n">
        <x:f>J777*G777</x:f>
        <x:v>0</x:v>
      </x:c>
      <x:c r="AE777" s="9" t="n">
        <x:f>K777*G777</x:f>
        <x:v>59.85</x:v>
      </x:c>
      <x:c r="AF777" s="9" t="n">
        <x:f>R777*G777</x:f>
        <x:v>59.85</x:v>
      </x:c>
    </x:row>
    <x:row r="778" ht="21" customHeight="1">
      <x:c r="A778" s="1" t="str">
        <x:f>'Inventory inputs'!A778</x:f>
        <x:v>PLAS</x:v>
      </x:c>
      <x:c r="B778" s="1" t="str">
        <x:f>'Inventory inputs'!B778</x:f>
        <x:v>30</x:v>
      </x:c>
      <x:c r="C778" s="1" t="str">
        <x:f>'Inventory inputs'!C778</x:f>
        <x:v>71680RWBBLK</x:v>
      </x:c>
      <x:c r="D778" s="7" t="n">
        <x:f>'Inventory inputs'!E778</x:f>
        <x:v>46303</x:v>
      </x:c>
      <x:c r="E778" s="1" t="n">
        <x:f>'Inventory inputs'!F778</x:f>
        <x:v>0</x:v>
      </x:c>
      <x:c r="F778" s="1" t="n">
        <x:f>'Inventory inputs'!G778</x:f>
        <x:v>0</x:v>
      </x:c>
      <x:c r="G778" s="1" t="n">
        <x:f>'Inventory inputs'!H778/'Inventory inputs'!J778</x:f>
        <x:v>0.1226</x:v>
      </x:c>
      <x:c r="H778" s="1" t="n">
        <x:f>IF('Inventory inputs'!I778&gt;0,'Inventory inputs'!I778*'Inventory inputs'!K778/'Inventory inputs'!J778,"n.a.")</x:f>
        <x:v>0.143472</x:v>
      </x:c>
      <x:c r="I778" s="1" t="n">
        <x:f>'Inventory inputs'!L778</x:f>
        <x:v>0</x:v>
      </x:c>
      <x:c r="J778" s="1" t="n">
        <x:f>'Inventory inputs'!M778</x:f>
        <x:v>0</x:v>
      </x:c>
      <x:c r="K778" s="1" t="n">
        <x:f>'Inventory inputs'!N778</x:f>
        <x:v>0</x:v>
      </x:c>
      <x:c r="L778" s="1" t="n">
        <x:f>'Inventory inputs'!O778</x:f>
        <x:v>1</x:v>
      </x:c>
      <x:c r="M778" s="9" t="n">
        <x:f>E778*G778</x:f>
        <x:v>0</x:v>
      </x:c>
      <x:c r="N778" s="9" t="n">
        <x:f>'Inventory inputs'!Q778</x:f>
        <x:v>0</x:v>
      </x:c>
      <x:c r="O778" s="9" t="n">
        <x:f>N778-M778</x:f>
        <x:v>0</x:v>
      </x:c>
      <x:c r="P778" s="1" t="n">
        <x:f>SUMIFS('Incoming POs'!$P$2:$P$305,'Incoming POs'!$A$2:$A$305,A778,'Incoming POs'!$B$2:$B$305,B778,'Incoming POs'!$C$2:$C$305,C778,'Incoming POs'!$G$2:$G$305,"&gt;="&amp;D778,'Incoming POs'!$G$2:$G$305,"&lt;"&amp;Dashboard!$I$5)</x:f>
        <x:v>0</x:v>
      </x:c>
      <x:c r="Q778" s="1" t="n">
        <x:f>F778*Dashboard!$L$5*MAX(0,Dashboard!$I$5-D778)/30.4375</x:f>
        <x:v>0</x:v>
      </x:c>
      <x:c r="R778" s="1" t="n">
        <x:f>MAX(0,E778+P778-Q778)</x:f>
        <x:v>0</x:v>
      </x:c>
      <x:c r="S778" s="1" t="n">
        <x:f>MAX(0,Q778-E778-P778)</x:f>
        <x:v>0</x:v>
      </x:c>
      <x:c r="T778" s="1" t="n">
        <x:f>IF(L778=1,MAX(0,I778+AB778-MIN(Q778,E778+P778)),"n.a.")</x:f>
        <x:v>0</x:v>
      </x:c>
      <x:c r="U778" s="9" t="n">
        <x:f>IF(ISNUMBER(T778),T778*G778,"n.a.")</x:f>
        <x:v>0</x:v>
      </x:c>
      <x:c r="V778" s="25" t="n">
        <x:f>IF(Dashboard!$I$6="Flat %",1,IF(ISNUMBER(H778),1,0))</x:f>
        <x:v>1</x:v>
      </x:c>
      <x:c r="W778" s="9" t="n">
        <x:f>IF(Dashboard!$I$6="Flat %",G778*(1+Dashboard!$L$6),H778)</x:f>
        <x:v>0.143472</x:v>
      </x:c>
      <x:c r="X778" s="9" t="n">
        <x:f>IF(V778=1,R778*(W778-G778),"n.a.")</x:f>
        <x:v>0</x:v>
      </x:c>
      <x:c r="Y778" s="9" t="n">
        <x:f>IF(V778=1,R778*W778,"n.a.")</x:f>
        <x:v>0</x:v>
      </x:c>
      <x:c r="Z778" s="1" t="n">
        <x:f>IF(ISNUMBER(T778),R778-T778,"n.a.")</x:f>
        <x:v>0</x:v>
      </x:c>
      <x:c r="AA778" s="1" t="str">
        <x:f>'Inventory inputs'!R778</x:f>
        <x:v>Classified</x:v>
      </x:c>
      <x:c r="AB778" s="1" t="n">
        <x:f>IF(L778=1,SUMIFS('Incoming POs'!$P$2:$P$305,'Incoming POs'!$A$2:$A$305,A778,'Incoming POs'!$B$2:$B$305,B778,'Incoming POs'!$C$2:$C$305,C778,'Incoming POs'!$G$2:$G$305,"&gt;="&amp;D778,'Incoming POs'!$G$2:$G$305,"&lt;"&amp;Dashboard!$I$5,'Incoming POs'!$Q$2:$Q$305,"&lt;="&amp;('Inventory inputs'!P778/'Inventory inputs'!J778*1.01)),"n.a.")</x:f>
        <x:v>0</x:v>
      </x:c>
      <x:c r="AC778" s="9" t="n">
        <x:f>I778*G778</x:f>
        <x:v>0</x:v>
      </x:c>
      <x:c r="AD778" s="9" t="n">
        <x:f>J778*G778</x:f>
        <x:v>0</x:v>
      </x:c>
      <x:c r="AE778" s="9" t="n">
        <x:f>K778*G778</x:f>
        <x:v>0</x:v>
      </x:c>
      <x:c r="AF778" s="9" t="n">
        <x:f>R778*G778</x:f>
        <x:v>0</x:v>
      </x:c>
    </x:row>
    <x:row r="779" ht="21" customHeight="1">
      <x:c r="A779" s="1" t="str">
        <x:f>'Inventory inputs'!A779</x:f>
        <x:v>PLAS</x:v>
      </x:c>
      <x:c r="B779" s="1" t="str">
        <x:f>'Inventory inputs'!B779</x:f>
        <x:v>30</x:v>
      </x:c>
      <x:c r="C779" s="1" t="str">
        <x:f>'Inventory inputs'!C779</x:f>
        <x:v>71680RWBWHT</x:v>
      </x:c>
      <x:c r="D779" s="7" t="n">
        <x:f>'Inventory inputs'!E779</x:f>
        <x:v>46303</x:v>
      </x:c>
      <x:c r="E779" s="1" t="n">
        <x:f>'Inventory inputs'!F779</x:f>
        <x:v>0</x:v>
      </x:c>
      <x:c r="F779" s="1" t="n">
        <x:f>'Inventory inputs'!G779</x:f>
        <x:v>0</x:v>
      </x:c>
      <x:c r="G779" s="1" t="n">
        <x:f>'Inventory inputs'!H779/'Inventory inputs'!J779</x:f>
        <x:v>0.1226</x:v>
      </x:c>
      <x:c r="H779" s="1" t="n">
        <x:f>IF('Inventory inputs'!I779&gt;0,'Inventory inputs'!I779*'Inventory inputs'!K779/'Inventory inputs'!J779,"n.a.")</x:f>
        <x:v>0.143472</x:v>
      </x:c>
      <x:c r="I779" s="1" t="n">
        <x:f>'Inventory inputs'!L779</x:f>
        <x:v>0</x:v>
      </x:c>
      <x:c r="J779" s="1" t="n">
        <x:f>'Inventory inputs'!M779</x:f>
        <x:v>0</x:v>
      </x:c>
      <x:c r="K779" s="1" t="n">
        <x:f>'Inventory inputs'!N779</x:f>
        <x:v>0</x:v>
      </x:c>
      <x:c r="L779" s="1" t="n">
        <x:f>'Inventory inputs'!O779</x:f>
        <x:v>1</x:v>
      </x:c>
      <x:c r="M779" s="9" t="n">
        <x:f>E779*G779</x:f>
        <x:v>0</x:v>
      </x:c>
      <x:c r="N779" s="9" t="n">
        <x:f>'Inventory inputs'!Q779</x:f>
        <x:v>0</x:v>
      </x:c>
      <x:c r="O779" s="9" t="n">
        <x:f>N779-M779</x:f>
        <x:v>0</x:v>
      </x:c>
      <x:c r="P779" s="1" t="n">
        <x:f>SUMIFS('Incoming POs'!$P$2:$P$305,'Incoming POs'!$A$2:$A$305,A779,'Incoming POs'!$B$2:$B$305,B779,'Incoming POs'!$C$2:$C$305,C779,'Incoming POs'!$G$2:$G$305,"&gt;="&amp;D779,'Incoming POs'!$G$2:$G$305,"&lt;"&amp;Dashboard!$I$5)</x:f>
        <x:v>0</x:v>
      </x:c>
      <x:c r="Q779" s="1" t="n">
        <x:f>F779*Dashboard!$L$5*MAX(0,Dashboard!$I$5-D779)/30.4375</x:f>
        <x:v>0</x:v>
      </x:c>
      <x:c r="R779" s="1" t="n">
        <x:f>MAX(0,E779+P779-Q779)</x:f>
        <x:v>0</x:v>
      </x:c>
      <x:c r="S779" s="1" t="n">
        <x:f>MAX(0,Q779-E779-P779)</x:f>
        <x:v>0</x:v>
      </x:c>
      <x:c r="T779" s="1" t="n">
        <x:f>IF(L779=1,MAX(0,I779+AB779-MIN(Q779,E779+P779)),"n.a.")</x:f>
        <x:v>0</x:v>
      </x:c>
      <x:c r="U779" s="9" t="n">
        <x:f>IF(ISNUMBER(T779),T779*G779,"n.a.")</x:f>
        <x:v>0</x:v>
      </x:c>
      <x:c r="V779" s="25" t="n">
        <x:f>IF(Dashboard!$I$6="Flat %",1,IF(ISNUMBER(H779),1,0))</x:f>
        <x:v>1</x:v>
      </x:c>
      <x:c r="W779" s="9" t="n">
        <x:f>IF(Dashboard!$I$6="Flat %",G779*(1+Dashboard!$L$6),H779)</x:f>
        <x:v>0.143472</x:v>
      </x:c>
      <x:c r="X779" s="9" t="n">
        <x:f>IF(V779=1,R779*(W779-G779),"n.a.")</x:f>
        <x:v>0</x:v>
      </x:c>
      <x:c r="Y779" s="9" t="n">
        <x:f>IF(V779=1,R779*W779,"n.a.")</x:f>
        <x:v>0</x:v>
      </x:c>
      <x:c r="Z779" s="1" t="n">
        <x:f>IF(ISNUMBER(T779),R779-T779,"n.a.")</x:f>
        <x:v>0</x:v>
      </x:c>
      <x:c r="AA779" s="1" t="str">
        <x:f>'Inventory inputs'!R779</x:f>
        <x:v>Classified</x:v>
      </x:c>
      <x:c r="AB779" s="1" t="n">
        <x:f>IF(L779=1,SUMIFS('Incoming POs'!$P$2:$P$305,'Incoming POs'!$A$2:$A$305,A779,'Incoming POs'!$B$2:$B$305,B779,'Incoming POs'!$C$2:$C$305,C779,'Incoming POs'!$G$2:$G$305,"&gt;="&amp;D779,'Incoming POs'!$G$2:$G$305,"&lt;"&amp;Dashboard!$I$5,'Incoming POs'!$Q$2:$Q$305,"&lt;="&amp;('Inventory inputs'!P779/'Inventory inputs'!J779*1.01)),"n.a.")</x:f>
        <x:v>0</x:v>
      </x:c>
      <x:c r="AC779" s="9" t="n">
        <x:f>I779*G779</x:f>
        <x:v>0</x:v>
      </x:c>
      <x:c r="AD779" s="9" t="n">
        <x:f>J779*G779</x:f>
        <x:v>0</x:v>
      </x:c>
      <x:c r="AE779" s="9" t="n">
        <x:f>K779*G779</x:f>
        <x:v>0</x:v>
      </x:c>
      <x:c r="AF779" s="9" t="n">
        <x:f>R779*G779</x:f>
        <x:v>0</x:v>
      </x:c>
    </x:row>
    <x:row r="780" ht="21" customHeight="1">
      <x:c r="A780" s="1" t="str">
        <x:f>'Inventory inputs'!A780</x:f>
        <x:v>PLAS</x:v>
      </x:c>
      <x:c r="B780" s="1" t="str">
        <x:f>'Inventory inputs'!B780</x:f>
        <x:v>30</x:v>
      </x:c>
      <x:c r="C780" s="1" t="str">
        <x:f>'Inventory inputs'!C780</x:f>
        <x:v>91615RWBBLK</x:v>
      </x:c>
      <x:c r="D780" s="7" t="n">
        <x:f>'Inventory inputs'!E780</x:f>
        <x:v>46303</x:v>
      </x:c>
      <x:c r="E780" s="1" t="n">
        <x:f>'Inventory inputs'!F780</x:f>
        <x:v>1800</x:v>
      </x:c>
      <x:c r="F780" s="1" t="n">
        <x:f>'Inventory inputs'!G780</x:f>
        <x:v>0</x:v>
      </x:c>
      <x:c r="G780" s="1" t="n">
        <x:f>'Inventory inputs'!H780/'Inventory inputs'!J780</x:f>
        <x:v>0.0291</x:v>
      </x:c>
      <x:c r="H780" s="1" t="n">
        <x:f>IF('Inventory inputs'!I780&gt;0,'Inventory inputs'!I780*'Inventory inputs'!K780/'Inventory inputs'!J780,"n.a.")</x:f>
        <x:v>0.034103999999999995</x:v>
      </x:c>
      <x:c r="I780" s="1" t="n">
        <x:f>'Inventory inputs'!L780</x:f>
        <x:v>0</x:v>
      </x:c>
      <x:c r="J780" s="1" t="n">
        <x:f>'Inventory inputs'!M780</x:f>
        <x:v>0</x:v>
      </x:c>
      <x:c r="K780" s="1" t="n">
        <x:f>'Inventory inputs'!N780</x:f>
        <x:v>1800</x:v>
      </x:c>
      <x:c r="L780" s="1" t="n">
        <x:f>'Inventory inputs'!O780</x:f>
        <x:v>0</x:v>
      </x:c>
      <x:c r="M780" s="9" t="n">
        <x:f>E780*G780</x:f>
        <x:v>52.38</x:v>
      </x:c>
      <x:c r="N780" s="9" t="n">
        <x:f>'Inventory inputs'!Q780</x:f>
        <x:v>52.38</x:v>
      </x:c>
      <x:c r="O780" s="9" t="n">
        <x:f>N780-M780</x:f>
        <x:v>0</x:v>
      </x:c>
      <x:c r="P780" s="1" t="n">
        <x:f>SUMIFS('Incoming POs'!$P$2:$P$305,'Incoming POs'!$A$2:$A$305,A780,'Incoming POs'!$B$2:$B$305,B780,'Incoming POs'!$C$2:$C$305,C780,'Incoming POs'!$G$2:$G$305,"&gt;="&amp;D780,'Incoming POs'!$G$2:$G$305,"&lt;"&amp;Dashboard!$I$5)</x:f>
        <x:v>0</x:v>
      </x:c>
      <x:c r="Q780" s="1" t="n">
        <x:f>F780*Dashboard!$L$5*MAX(0,Dashboard!$I$5-D780)/30.4375</x:f>
        <x:v>0</x:v>
      </x:c>
      <x:c r="R780" s="1" t="n">
        <x:f>MAX(0,E780+P780-Q780)</x:f>
        <x:v>1800</x:v>
      </x:c>
      <x:c r="S780" s="1" t="n">
        <x:f>MAX(0,Q780-E780-P780)</x:f>
        <x:v>0</x:v>
      </x:c>
      <x:c r="T780" s="1" t="str">
        <x:f>IF(L780=1,MAX(0,I780+AB780-MIN(Q780,E780+P780)),"n.a.")</x:f>
        <x:v>n.a.</x:v>
      </x:c>
      <x:c r="U780" s="9" t="str">
        <x:f>IF(ISNUMBER(T780),T780*G780,"n.a.")</x:f>
        <x:v>n.a.</x:v>
      </x:c>
      <x:c r="V780" s="25" t="n">
        <x:f>IF(Dashboard!$I$6="Flat %",1,IF(ISNUMBER(H780),1,0))</x:f>
        <x:v>1</x:v>
      </x:c>
      <x:c r="W780" s="9" t="n">
        <x:f>IF(Dashboard!$I$6="Flat %",G780*(1+Dashboard!$L$6),H780)</x:f>
        <x:v>0.034103999999999995</x:v>
      </x:c>
      <x:c r="X780" s="9" t="n">
        <x:f>IF(V780=1,R780*(W780-G780),"n.a.")</x:f>
        <x:v>9.00719999999999</x:v>
      </x:c>
      <x:c r="Y780" s="9" t="n">
        <x:f>IF(V780=1,R780*W780,"n.a.")</x:f>
        <x:v>61.38719999999999</x:v>
      </x:c>
      <x:c r="Z780" s="1" t="str">
        <x:f>IF(ISNUMBER(T780),R780-T780,"n.a.")</x:f>
        <x:v>n.a.</x:v>
      </x:c>
      <x:c r="AA780" s="1" t="str">
        <x:f>'Inventory inputs'!R780</x:f>
        <x:v>Review receipt reconciliation or original PO baseline</x:v>
      </x:c>
      <x:c r="AB780" s="1" t="str">
        <x:f>IF(L780=1,SUMIFS('Incoming POs'!$P$2:$P$305,'Incoming POs'!$A$2:$A$305,A780,'Incoming POs'!$B$2:$B$305,B780,'Incoming POs'!$C$2:$C$305,C780,'Incoming POs'!$G$2:$G$305,"&gt;="&amp;D780,'Incoming POs'!$G$2:$G$305,"&lt;"&amp;Dashboard!$I$5,'Incoming POs'!$Q$2:$Q$305,"&lt;="&amp;('Inventory inputs'!P780/'Inventory inputs'!J780*1.01)),"n.a.")</x:f>
        <x:v>n.a.</x:v>
      </x:c>
      <x:c r="AC780" s="9" t="n">
        <x:f>I780*G780</x:f>
        <x:v>0</x:v>
      </x:c>
      <x:c r="AD780" s="9" t="n">
        <x:f>J780*G780</x:f>
        <x:v>0</x:v>
      </x:c>
      <x:c r="AE780" s="9" t="n">
        <x:f>K780*G780</x:f>
        <x:v>52.38</x:v>
      </x:c>
      <x:c r="AF780" s="9" t="n">
        <x:f>R780*G780</x:f>
        <x:v>52.38</x:v>
      </x:c>
    </x:row>
    <x:row r="781" ht="21" customHeight="1">
      <x:c r="A781" s="1" t="str">
        <x:f>'Inventory inputs'!A781</x:f>
        <x:v>PLAS</x:v>
      </x:c>
      <x:c r="B781" s="1" t="str">
        <x:f>'Inventory inputs'!B781</x:f>
        <x:v>30</x:v>
      </x:c>
      <x:c r="C781" s="1" t="str">
        <x:f>'Inventory inputs'!C781</x:f>
        <x:v>91615RWBWHT</x:v>
      </x:c>
      <x:c r="D781" s="7" t="n">
        <x:f>'Inventory inputs'!E781</x:f>
        <x:v>46303</x:v>
      </x:c>
      <x:c r="E781" s="1" t="n">
        <x:f>'Inventory inputs'!F781</x:f>
        <x:v>1500</x:v>
      </x:c>
      <x:c r="F781" s="1" t="n">
        <x:f>'Inventory inputs'!G781</x:f>
        <x:v>0</x:v>
      </x:c>
      <x:c r="G781" s="1" t="n">
        <x:f>'Inventory inputs'!H781/'Inventory inputs'!J781</x:f>
        <x:v>0.0291</x:v>
      </x:c>
      <x:c r="H781" s="1" t="n">
        <x:f>IF('Inventory inputs'!I781&gt;0,'Inventory inputs'!I781*'Inventory inputs'!K781/'Inventory inputs'!J781,"n.a.")</x:f>
        <x:v>0.034103999999999995</x:v>
      </x:c>
      <x:c r="I781" s="1" t="n">
        <x:f>'Inventory inputs'!L781</x:f>
        <x:v>0</x:v>
      </x:c>
      <x:c r="J781" s="1" t="n">
        <x:f>'Inventory inputs'!M781</x:f>
        <x:v>0</x:v>
      </x:c>
      <x:c r="K781" s="1" t="n">
        <x:f>'Inventory inputs'!N781</x:f>
        <x:v>1500</x:v>
      </x:c>
      <x:c r="L781" s="1" t="n">
        <x:f>'Inventory inputs'!O781</x:f>
        <x:v>0</x:v>
      </x:c>
      <x:c r="M781" s="9" t="n">
        <x:f>E781*G781</x:f>
        <x:v>43.65</x:v>
      </x:c>
      <x:c r="N781" s="9" t="n">
        <x:f>'Inventory inputs'!Q781</x:f>
        <x:v>43.65</x:v>
      </x:c>
      <x:c r="O781" s="9" t="n">
        <x:f>N781-M781</x:f>
        <x:v>0</x:v>
      </x:c>
      <x:c r="P781" s="1" t="n">
        <x:f>SUMIFS('Incoming POs'!$P$2:$P$305,'Incoming POs'!$A$2:$A$305,A781,'Incoming POs'!$B$2:$B$305,B781,'Incoming POs'!$C$2:$C$305,C781,'Incoming POs'!$G$2:$G$305,"&gt;="&amp;D781,'Incoming POs'!$G$2:$G$305,"&lt;"&amp;Dashboard!$I$5)</x:f>
        <x:v>0</x:v>
      </x:c>
      <x:c r="Q781" s="1" t="n">
        <x:f>F781*Dashboard!$L$5*MAX(0,Dashboard!$I$5-D781)/30.4375</x:f>
        <x:v>0</x:v>
      </x:c>
      <x:c r="R781" s="1" t="n">
        <x:f>MAX(0,E781+P781-Q781)</x:f>
        <x:v>1500</x:v>
      </x:c>
      <x:c r="S781" s="1" t="n">
        <x:f>MAX(0,Q781-E781-P781)</x:f>
        <x:v>0</x:v>
      </x:c>
      <x:c r="T781" s="1" t="str">
        <x:f>IF(L781=1,MAX(0,I781+AB781-MIN(Q781,E781+P781)),"n.a.")</x:f>
        <x:v>n.a.</x:v>
      </x:c>
      <x:c r="U781" s="9" t="str">
        <x:f>IF(ISNUMBER(T781),T781*G781,"n.a.")</x:f>
        <x:v>n.a.</x:v>
      </x:c>
      <x:c r="V781" s="25" t="n">
        <x:f>IF(Dashboard!$I$6="Flat %",1,IF(ISNUMBER(H781),1,0))</x:f>
        <x:v>1</x:v>
      </x:c>
      <x:c r="W781" s="9" t="n">
        <x:f>IF(Dashboard!$I$6="Flat %",G781*(1+Dashboard!$L$6),H781)</x:f>
        <x:v>0.034103999999999995</x:v>
      </x:c>
      <x:c r="X781" s="9" t="n">
        <x:f>IF(V781=1,R781*(W781-G781),"n.a.")</x:f>
        <x:v>7.505999999999992</x:v>
      </x:c>
      <x:c r="Y781" s="9" t="n">
        <x:f>IF(V781=1,R781*W781,"n.a.")</x:f>
        <x:v>51.15599999999999</x:v>
      </x:c>
      <x:c r="Z781" s="1" t="str">
        <x:f>IF(ISNUMBER(T781),R781-T781,"n.a.")</x:f>
        <x:v>n.a.</x:v>
      </x:c>
      <x:c r="AA781" s="1" t="str">
        <x:f>'Inventory inputs'!R781</x:f>
        <x:v>Review receipt reconciliation or original PO baseline</x:v>
      </x:c>
      <x:c r="AB781" s="1" t="str">
        <x:f>IF(L781=1,SUMIFS('Incoming POs'!$P$2:$P$305,'Incoming POs'!$A$2:$A$305,A781,'Incoming POs'!$B$2:$B$305,B781,'Incoming POs'!$C$2:$C$305,C781,'Incoming POs'!$G$2:$G$305,"&gt;="&amp;D781,'Incoming POs'!$G$2:$G$305,"&lt;"&amp;Dashboard!$I$5,'Incoming POs'!$Q$2:$Q$305,"&lt;="&amp;('Inventory inputs'!P781/'Inventory inputs'!J781*1.01)),"n.a.")</x:f>
        <x:v>n.a.</x:v>
      </x:c>
      <x:c r="AC781" s="9" t="n">
        <x:f>I781*G781</x:f>
        <x:v>0</x:v>
      </x:c>
      <x:c r="AD781" s="9" t="n">
        <x:f>J781*G781</x:f>
        <x:v>0</x:v>
      </x:c>
      <x:c r="AE781" s="9" t="n">
        <x:f>K781*G781</x:f>
        <x:v>43.65</x:v>
      </x:c>
      <x:c r="AF781" s="9" t="n">
        <x:f>R781*G781</x:f>
        <x:v>43.65</x:v>
      </x:c>
    </x:row>
    <x:row r="782" ht="21" customHeight="1">
      <x:c r="A782" s="1" t="str">
        <x:f>'Inventory inputs'!A782</x:f>
        <x:v>PLAS</x:v>
      </x:c>
      <x:c r="B782" s="1" t="str">
        <x:f>'Inventory inputs'!B782</x:f>
        <x:v>30</x:v>
      </x:c>
      <x:c r="C782" s="1" t="str">
        <x:f>'Inventory inputs'!C782</x:f>
        <x:v>91619RWBBLU</x:v>
      </x:c>
      <x:c r="D782" s="7" t="n">
        <x:f>'Inventory inputs'!E782</x:f>
        <x:v>46303</x:v>
      </x:c>
      <x:c r="E782" s="1" t="n">
        <x:f>'Inventory inputs'!F782</x:f>
        <x:v>1900</x:v>
      </x:c>
      <x:c r="F782" s="1" t="n">
        <x:f>'Inventory inputs'!G782</x:f>
        <x:v>0</x:v>
      </x:c>
      <x:c r="G782" s="1" t="n">
        <x:f>'Inventory inputs'!H782/'Inventory inputs'!J782</x:f>
        <x:v>0.042800000000000005</x:v>
      </x:c>
      <x:c r="H782" s="1" t="n">
        <x:f>IF('Inventory inputs'!I782&gt;0,'Inventory inputs'!I782*'Inventory inputs'!K782/'Inventory inputs'!J782,"n.a.")</x:f>
        <x:v>0.049980000000000004</x:v>
      </x:c>
      <x:c r="I782" s="1" t="n">
        <x:f>'Inventory inputs'!L782</x:f>
        <x:v>0</x:v>
      </x:c>
      <x:c r="J782" s="1" t="n">
        <x:f>'Inventory inputs'!M782</x:f>
        <x:v>0</x:v>
      </x:c>
      <x:c r="K782" s="1" t="n">
        <x:f>'Inventory inputs'!N782</x:f>
        <x:v>1900</x:v>
      </x:c>
      <x:c r="L782" s="1" t="n">
        <x:f>'Inventory inputs'!O782</x:f>
        <x:v>0</x:v>
      </x:c>
      <x:c r="M782" s="9" t="n">
        <x:f>E782*G782</x:f>
        <x:v>81.32000000000001</x:v>
      </x:c>
      <x:c r="N782" s="9" t="n">
        <x:f>'Inventory inputs'!Q782</x:f>
        <x:v>81.32000000000001</x:v>
      </x:c>
      <x:c r="O782" s="9" t="n">
        <x:f>N782-M782</x:f>
        <x:v>0</x:v>
      </x:c>
      <x:c r="P782" s="1" t="n">
        <x:f>SUMIFS('Incoming POs'!$P$2:$P$305,'Incoming POs'!$A$2:$A$305,A782,'Incoming POs'!$B$2:$B$305,B782,'Incoming POs'!$C$2:$C$305,C782,'Incoming POs'!$G$2:$G$305,"&gt;="&amp;D782,'Incoming POs'!$G$2:$G$305,"&lt;"&amp;Dashboard!$I$5)</x:f>
        <x:v>0</x:v>
      </x:c>
      <x:c r="Q782" s="1" t="n">
        <x:f>F782*Dashboard!$L$5*MAX(0,Dashboard!$I$5-D782)/30.4375</x:f>
        <x:v>0</x:v>
      </x:c>
      <x:c r="R782" s="1" t="n">
        <x:f>MAX(0,E782+P782-Q782)</x:f>
        <x:v>1900</x:v>
      </x:c>
      <x:c r="S782" s="1" t="n">
        <x:f>MAX(0,Q782-E782-P782)</x:f>
        <x:v>0</x:v>
      </x:c>
      <x:c r="T782" s="1" t="str">
        <x:f>IF(L782=1,MAX(0,I782+AB782-MIN(Q782,E782+P782)),"n.a.")</x:f>
        <x:v>n.a.</x:v>
      </x:c>
      <x:c r="U782" s="9" t="str">
        <x:f>IF(ISNUMBER(T782),T782*G782,"n.a.")</x:f>
        <x:v>n.a.</x:v>
      </x:c>
      <x:c r="V782" s="25" t="n">
        <x:f>IF(Dashboard!$I$6="Flat %",1,IF(ISNUMBER(H782),1,0))</x:f>
        <x:v>1</x:v>
      </x:c>
      <x:c r="W782" s="9" t="n">
        <x:f>IF(Dashboard!$I$6="Flat %",G782*(1+Dashboard!$L$6),H782)</x:f>
        <x:v>0.049980000000000004</x:v>
      </x:c>
      <x:c r="X782" s="9" t="n">
        <x:f>IF(V782=1,R782*(W782-G782),"n.a.")</x:f>
        <x:v>13.641999999999998</x:v>
      </x:c>
      <x:c r="Y782" s="9" t="n">
        <x:f>IF(V782=1,R782*W782,"n.a.")</x:f>
        <x:v>94.962</x:v>
      </x:c>
      <x:c r="Z782" s="1" t="str">
        <x:f>IF(ISNUMBER(T782),R782-T782,"n.a.")</x:f>
        <x:v>n.a.</x:v>
      </x:c>
      <x:c r="AA782" s="1" t="str">
        <x:f>'Inventory inputs'!R782</x:f>
        <x:v>Review receipt reconciliation or original PO baseline</x:v>
      </x:c>
      <x:c r="AB782" s="1" t="str">
        <x:f>IF(L782=1,SUMIFS('Incoming POs'!$P$2:$P$305,'Incoming POs'!$A$2:$A$305,A782,'Incoming POs'!$B$2:$B$305,B782,'Incoming POs'!$C$2:$C$305,C782,'Incoming POs'!$G$2:$G$305,"&gt;="&amp;D782,'Incoming POs'!$G$2:$G$305,"&lt;"&amp;Dashboard!$I$5,'Incoming POs'!$Q$2:$Q$305,"&lt;="&amp;('Inventory inputs'!P782/'Inventory inputs'!J782*1.01)),"n.a.")</x:f>
        <x:v>n.a.</x:v>
      </x:c>
      <x:c r="AC782" s="9" t="n">
        <x:f>I782*G782</x:f>
        <x:v>0</x:v>
      </x:c>
      <x:c r="AD782" s="9" t="n">
        <x:f>J782*G782</x:f>
        <x:v>0</x:v>
      </x:c>
      <x:c r="AE782" s="9" t="n">
        <x:f>K782*G782</x:f>
        <x:v>81.32000000000001</x:v>
      </x:c>
      <x:c r="AF782" s="9" t="n">
        <x:f>R782*G782</x:f>
        <x:v>81.32000000000001</x:v>
      </x:c>
    </x:row>
    <x:row r="783" ht="21" customHeight="1">
      <x:c r="A783" s="1" t="str">
        <x:f>'Inventory inputs'!A783</x:f>
        <x:v>PLAS</x:v>
      </x:c>
      <x:c r="B783" s="1" t="str">
        <x:f>'Inventory inputs'!B783</x:f>
        <x:v>30</x:v>
      </x:c>
      <x:c r="C783" s="1" t="str">
        <x:f>'Inventory inputs'!C783</x:f>
        <x:v>91619RWBCLR</x:v>
      </x:c>
      <x:c r="D783" s="7" t="n">
        <x:f>'Inventory inputs'!E783</x:f>
        <x:v>46303</x:v>
      </x:c>
      <x:c r="E783" s="1" t="n">
        <x:f>'Inventory inputs'!F783</x:f>
        <x:v>2000</x:v>
      </x:c>
      <x:c r="F783" s="1" t="n">
        <x:f>'Inventory inputs'!G783</x:f>
        <x:v>0</x:v>
      </x:c>
      <x:c r="G783" s="1" t="n">
        <x:f>'Inventory inputs'!H783/'Inventory inputs'!J783</x:f>
        <x:v>0.042800000000000005</x:v>
      </x:c>
      <x:c r="H783" s="1" t="n">
        <x:f>IF('Inventory inputs'!I783&gt;0,'Inventory inputs'!I783*'Inventory inputs'!K783/'Inventory inputs'!J783,"n.a.")</x:f>
        <x:v>0.049980000000000004</x:v>
      </x:c>
      <x:c r="I783" s="1" t="n">
        <x:f>'Inventory inputs'!L783</x:f>
        <x:v>0</x:v>
      </x:c>
      <x:c r="J783" s="1" t="n">
        <x:f>'Inventory inputs'!M783</x:f>
        <x:v>0</x:v>
      </x:c>
      <x:c r="K783" s="1" t="n">
        <x:f>'Inventory inputs'!N783</x:f>
        <x:v>2000</x:v>
      </x:c>
      <x:c r="L783" s="1" t="n">
        <x:f>'Inventory inputs'!O783</x:f>
        <x:v>0</x:v>
      </x:c>
      <x:c r="M783" s="9" t="n">
        <x:f>E783*G783</x:f>
        <x:v>85.60000000000001</x:v>
      </x:c>
      <x:c r="N783" s="9" t="n">
        <x:f>'Inventory inputs'!Q783</x:f>
        <x:v>85.60000000000001</x:v>
      </x:c>
      <x:c r="O783" s="9" t="n">
        <x:f>N783-M783</x:f>
        <x:v>0</x:v>
      </x:c>
      <x:c r="P783" s="1" t="n">
        <x:f>SUMIFS('Incoming POs'!$P$2:$P$305,'Incoming POs'!$A$2:$A$305,A783,'Incoming POs'!$B$2:$B$305,B783,'Incoming POs'!$C$2:$C$305,C783,'Incoming POs'!$G$2:$G$305,"&gt;="&amp;D783,'Incoming POs'!$G$2:$G$305,"&lt;"&amp;Dashboard!$I$5)</x:f>
        <x:v>0</x:v>
      </x:c>
      <x:c r="Q783" s="1" t="n">
        <x:f>F783*Dashboard!$L$5*MAX(0,Dashboard!$I$5-D783)/30.4375</x:f>
        <x:v>0</x:v>
      </x:c>
      <x:c r="R783" s="1" t="n">
        <x:f>MAX(0,E783+P783-Q783)</x:f>
        <x:v>2000</x:v>
      </x:c>
      <x:c r="S783" s="1" t="n">
        <x:f>MAX(0,Q783-E783-P783)</x:f>
        <x:v>0</x:v>
      </x:c>
      <x:c r="T783" s="1" t="str">
        <x:f>IF(L783=1,MAX(0,I783+AB783-MIN(Q783,E783+P783)),"n.a.")</x:f>
        <x:v>n.a.</x:v>
      </x:c>
      <x:c r="U783" s="9" t="str">
        <x:f>IF(ISNUMBER(T783),T783*G783,"n.a.")</x:f>
        <x:v>n.a.</x:v>
      </x:c>
      <x:c r="V783" s="25" t="n">
        <x:f>IF(Dashboard!$I$6="Flat %",1,IF(ISNUMBER(H783),1,0))</x:f>
        <x:v>1</x:v>
      </x:c>
      <x:c r="W783" s="9" t="n">
        <x:f>IF(Dashboard!$I$6="Flat %",G783*(1+Dashboard!$L$6),H783)</x:f>
        <x:v>0.049980000000000004</x:v>
      </x:c>
      <x:c r="X783" s="9" t="n">
        <x:f>IF(V783=1,R783*(W783-G783),"n.a.")</x:f>
        <x:v>14.359999999999998</x:v>
      </x:c>
      <x:c r="Y783" s="9" t="n">
        <x:f>IF(V783=1,R783*W783,"n.a.")</x:f>
        <x:v>99.96000000000001</x:v>
      </x:c>
      <x:c r="Z783" s="1" t="str">
        <x:f>IF(ISNUMBER(T783),R783-T783,"n.a.")</x:f>
        <x:v>n.a.</x:v>
      </x:c>
      <x:c r="AA783" s="1" t="str">
        <x:f>'Inventory inputs'!R783</x:f>
        <x:v>Review receipt reconciliation or original PO baseline</x:v>
      </x:c>
      <x:c r="AB783" s="1" t="str">
        <x:f>IF(L783=1,SUMIFS('Incoming POs'!$P$2:$P$305,'Incoming POs'!$A$2:$A$305,A783,'Incoming POs'!$B$2:$B$305,B783,'Incoming POs'!$C$2:$C$305,C783,'Incoming POs'!$G$2:$G$305,"&gt;="&amp;D783,'Incoming POs'!$G$2:$G$305,"&lt;"&amp;Dashboard!$I$5,'Incoming POs'!$Q$2:$Q$305,"&lt;="&amp;('Inventory inputs'!P783/'Inventory inputs'!J783*1.01)),"n.a.")</x:f>
        <x:v>n.a.</x:v>
      </x:c>
      <x:c r="AC783" s="9" t="n">
        <x:f>I783*G783</x:f>
        <x:v>0</x:v>
      </x:c>
      <x:c r="AD783" s="9" t="n">
        <x:f>J783*G783</x:f>
        <x:v>0</x:v>
      </x:c>
      <x:c r="AE783" s="9" t="n">
        <x:f>K783*G783</x:f>
        <x:v>85.60000000000001</x:v>
      </x:c>
      <x:c r="AF783" s="9" t="n">
        <x:f>R783*G783</x:f>
        <x:v>85.60000000000001</x:v>
      </x:c>
    </x:row>
    <x:row r="784" ht="21" customHeight="1">
      <x:c r="A784" s="1" t="str">
        <x:f>'Inventory inputs'!A784</x:f>
        <x:v>PLAS</x:v>
      </x:c>
      <x:c r="B784" s="1" t="str">
        <x:f>'Inventory inputs'!B784</x:f>
        <x:v>30</x:v>
      </x:c>
      <x:c r="C784" s="1" t="str">
        <x:f>'Inventory inputs'!C784</x:f>
        <x:v>91619RWBFG</x:v>
      </x:c>
      <x:c r="D784" s="7" t="n">
        <x:f>'Inventory inputs'!E784</x:f>
        <x:v>46303</x:v>
      </x:c>
      <x:c r="E784" s="1" t="n">
        <x:f>'Inventory inputs'!F784</x:f>
        <x:v>500</x:v>
      </x:c>
      <x:c r="F784" s="1" t="n">
        <x:f>'Inventory inputs'!G784</x:f>
        <x:v>0</x:v>
      </x:c>
      <x:c r="G784" s="1" t="n">
        <x:f>'Inventory inputs'!H784/'Inventory inputs'!J784</x:f>
        <x:v>0.042800000000000005</x:v>
      </x:c>
      <x:c r="H784" s="1" t="n">
        <x:f>IF('Inventory inputs'!I784&gt;0,'Inventory inputs'!I784*'Inventory inputs'!K784/'Inventory inputs'!J784,"n.a.")</x:f>
        <x:v>0.049980000000000004</x:v>
      </x:c>
      <x:c r="I784" s="1" t="n">
        <x:f>'Inventory inputs'!L784</x:f>
        <x:v>0</x:v>
      </x:c>
      <x:c r="J784" s="1" t="n">
        <x:f>'Inventory inputs'!M784</x:f>
        <x:v>0</x:v>
      </x:c>
      <x:c r="K784" s="1" t="n">
        <x:f>'Inventory inputs'!N784</x:f>
        <x:v>500</x:v>
      </x:c>
      <x:c r="L784" s="1" t="n">
        <x:f>'Inventory inputs'!O784</x:f>
        <x:v>0</x:v>
      </x:c>
      <x:c r="M784" s="9" t="n">
        <x:f>E784*G784</x:f>
        <x:v>21.400000000000002</x:v>
      </x:c>
      <x:c r="N784" s="9" t="n">
        <x:f>'Inventory inputs'!Q784</x:f>
        <x:v>21.400000000000002</x:v>
      </x:c>
      <x:c r="O784" s="9" t="n">
        <x:f>N784-M784</x:f>
        <x:v>0</x:v>
      </x:c>
      <x:c r="P784" s="1" t="n">
        <x:f>SUMIFS('Incoming POs'!$P$2:$P$305,'Incoming POs'!$A$2:$A$305,A784,'Incoming POs'!$B$2:$B$305,B784,'Incoming POs'!$C$2:$C$305,C784,'Incoming POs'!$G$2:$G$305,"&gt;="&amp;D784,'Incoming POs'!$G$2:$G$305,"&lt;"&amp;Dashboard!$I$5)</x:f>
        <x:v>0</x:v>
      </x:c>
      <x:c r="Q784" s="1" t="n">
        <x:f>F784*Dashboard!$L$5*MAX(0,Dashboard!$I$5-D784)/30.4375</x:f>
        <x:v>0</x:v>
      </x:c>
      <x:c r="R784" s="1" t="n">
        <x:f>MAX(0,E784+P784-Q784)</x:f>
        <x:v>500</x:v>
      </x:c>
      <x:c r="S784" s="1" t="n">
        <x:f>MAX(0,Q784-E784-P784)</x:f>
        <x:v>0</x:v>
      </x:c>
      <x:c r="T784" s="1" t="str">
        <x:f>IF(L784=1,MAX(0,I784+AB784-MIN(Q784,E784+P784)),"n.a.")</x:f>
        <x:v>n.a.</x:v>
      </x:c>
      <x:c r="U784" s="9" t="str">
        <x:f>IF(ISNUMBER(T784),T784*G784,"n.a.")</x:f>
        <x:v>n.a.</x:v>
      </x:c>
      <x:c r="V784" s="25" t="n">
        <x:f>IF(Dashboard!$I$6="Flat %",1,IF(ISNUMBER(H784),1,0))</x:f>
        <x:v>1</x:v>
      </x:c>
      <x:c r="W784" s="9" t="n">
        <x:f>IF(Dashboard!$I$6="Flat %",G784*(1+Dashboard!$L$6),H784)</x:f>
        <x:v>0.049980000000000004</x:v>
      </x:c>
      <x:c r="X784" s="9" t="n">
        <x:f>IF(V784=1,R784*(W784-G784),"n.a.")</x:f>
        <x:v>3.5899999999999994</x:v>
      </x:c>
      <x:c r="Y784" s="9" t="n">
        <x:f>IF(V784=1,R784*W784,"n.a.")</x:f>
        <x:v>24.990000000000002</x:v>
      </x:c>
      <x:c r="Z784" s="1" t="str">
        <x:f>IF(ISNUMBER(T784),R784-T784,"n.a.")</x:f>
        <x:v>n.a.</x:v>
      </x:c>
      <x:c r="AA784" s="1" t="str">
        <x:f>'Inventory inputs'!R784</x:f>
        <x:v>Review receipt reconciliation or original PO baseline</x:v>
      </x:c>
      <x:c r="AB784" s="1" t="str">
        <x:f>IF(L784=1,SUMIFS('Incoming POs'!$P$2:$P$305,'Incoming POs'!$A$2:$A$305,A784,'Incoming POs'!$B$2:$B$305,B784,'Incoming POs'!$C$2:$C$305,C784,'Incoming POs'!$G$2:$G$305,"&gt;="&amp;D784,'Incoming POs'!$G$2:$G$305,"&lt;"&amp;Dashboard!$I$5,'Incoming POs'!$Q$2:$Q$305,"&lt;="&amp;('Inventory inputs'!P784/'Inventory inputs'!J784*1.01)),"n.a.")</x:f>
        <x:v>n.a.</x:v>
      </x:c>
      <x:c r="AC784" s="9" t="n">
        <x:f>I784*G784</x:f>
        <x:v>0</x:v>
      </x:c>
      <x:c r="AD784" s="9" t="n">
        <x:f>J784*G784</x:f>
        <x:v>0</x:v>
      </x:c>
      <x:c r="AE784" s="9" t="n">
        <x:f>K784*G784</x:f>
        <x:v>21.400000000000002</x:v>
      </x:c>
      <x:c r="AF784" s="9" t="n">
        <x:f>R784*G784</x:f>
        <x:v>21.400000000000002</x:v>
      </x:c>
    </x:row>
    <x:row r="785" ht="21" customHeight="1">
      <x:c r="A785" s="1" t="str">
        <x:f>'Inventory inputs'!A785</x:f>
        <x:v>PLAS</x:v>
      </x:c>
      <x:c r="B785" s="1" t="str">
        <x:f>'Inventory inputs'!B785</x:f>
        <x:v>30</x:v>
      </x:c>
      <x:c r="C785" s="1" t="str">
        <x:f>'Inventory inputs'!C785</x:f>
        <x:v>91680RWBBLK</x:v>
      </x:c>
      <x:c r="D785" s="7" t="n">
        <x:f>'Inventory inputs'!E785</x:f>
        <x:v>46303</x:v>
      </x:c>
      <x:c r="E785" s="1" t="n">
        <x:f>'Inventory inputs'!F785</x:f>
        <x:v>0</x:v>
      </x:c>
      <x:c r="F785" s="1" t="n">
        <x:f>'Inventory inputs'!G785</x:f>
        <x:v>0</x:v>
      </x:c>
      <x:c r="G785" s="1" t="n">
        <x:f>'Inventory inputs'!H785/'Inventory inputs'!J785</x:f>
        <x:v>0.1618</x:v>
      </x:c>
      <x:c r="H785" s="1" t="n">
        <x:f>IF('Inventory inputs'!I785&gt;0,'Inventory inputs'!I785*'Inventory inputs'!K785/'Inventory inputs'!J785,"n.a.")</x:f>
        <x:v>0.18933600000000003</x:v>
      </x:c>
      <x:c r="I785" s="1" t="n">
        <x:f>'Inventory inputs'!L785</x:f>
        <x:v>0</x:v>
      </x:c>
      <x:c r="J785" s="1" t="n">
        <x:f>'Inventory inputs'!M785</x:f>
        <x:v>0</x:v>
      </x:c>
      <x:c r="K785" s="1" t="n">
        <x:f>'Inventory inputs'!N785</x:f>
        <x:v>0</x:v>
      </x:c>
      <x:c r="L785" s="1" t="n">
        <x:f>'Inventory inputs'!O785</x:f>
        <x:v>1</x:v>
      </x:c>
      <x:c r="M785" s="9" t="n">
        <x:f>E785*G785</x:f>
        <x:v>0</x:v>
      </x:c>
      <x:c r="N785" s="9" t="n">
        <x:f>'Inventory inputs'!Q785</x:f>
        <x:v>0</x:v>
      </x:c>
      <x:c r="O785" s="9" t="n">
        <x:f>N785-M785</x:f>
        <x:v>0</x:v>
      </x:c>
      <x:c r="P785" s="1" t="n">
        <x:f>SUMIFS('Incoming POs'!$P$2:$P$305,'Incoming POs'!$A$2:$A$305,A785,'Incoming POs'!$B$2:$B$305,B785,'Incoming POs'!$C$2:$C$305,C785,'Incoming POs'!$G$2:$G$305,"&gt;="&amp;D785,'Incoming POs'!$G$2:$G$305,"&lt;"&amp;Dashboard!$I$5)</x:f>
        <x:v>0</x:v>
      </x:c>
      <x:c r="Q785" s="1" t="n">
        <x:f>F785*Dashboard!$L$5*MAX(0,Dashboard!$I$5-D785)/30.4375</x:f>
        <x:v>0</x:v>
      </x:c>
      <x:c r="R785" s="1" t="n">
        <x:f>MAX(0,E785+P785-Q785)</x:f>
        <x:v>0</x:v>
      </x:c>
      <x:c r="S785" s="1" t="n">
        <x:f>MAX(0,Q785-E785-P785)</x:f>
        <x:v>0</x:v>
      </x:c>
      <x:c r="T785" s="1" t="n">
        <x:f>IF(L785=1,MAX(0,I785+AB785-MIN(Q785,E785+P785)),"n.a.")</x:f>
        <x:v>0</x:v>
      </x:c>
      <x:c r="U785" s="9" t="n">
        <x:f>IF(ISNUMBER(T785),T785*G785,"n.a.")</x:f>
        <x:v>0</x:v>
      </x:c>
      <x:c r="V785" s="25" t="n">
        <x:f>IF(Dashboard!$I$6="Flat %",1,IF(ISNUMBER(H785),1,0))</x:f>
        <x:v>1</x:v>
      </x:c>
      <x:c r="W785" s="9" t="n">
        <x:f>IF(Dashboard!$I$6="Flat %",G785*(1+Dashboard!$L$6),H785)</x:f>
        <x:v>0.18933600000000003</x:v>
      </x:c>
      <x:c r="X785" s="9" t="n">
        <x:f>IF(V785=1,R785*(W785-G785),"n.a.")</x:f>
        <x:v>0</x:v>
      </x:c>
      <x:c r="Y785" s="9" t="n">
        <x:f>IF(V785=1,R785*W785,"n.a.")</x:f>
        <x:v>0</x:v>
      </x:c>
      <x:c r="Z785" s="1" t="n">
        <x:f>IF(ISNUMBER(T785),R785-T785,"n.a.")</x:f>
        <x:v>0</x:v>
      </x:c>
      <x:c r="AA785" s="1" t="str">
        <x:f>'Inventory inputs'!R785</x:f>
        <x:v>Classified</x:v>
      </x:c>
      <x:c r="AB785" s="1" t="n">
        <x:f>IF(L785=1,SUMIFS('Incoming POs'!$P$2:$P$305,'Incoming POs'!$A$2:$A$305,A785,'Incoming POs'!$B$2:$B$305,B785,'Incoming POs'!$C$2:$C$305,C785,'Incoming POs'!$G$2:$G$305,"&gt;="&amp;D785,'Incoming POs'!$G$2:$G$305,"&lt;"&amp;Dashboard!$I$5,'Incoming POs'!$Q$2:$Q$305,"&lt;="&amp;('Inventory inputs'!P785/'Inventory inputs'!J785*1.01)),"n.a.")</x:f>
        <x:v>0</x:v>
      </x:c>
      <x:c r="AC785" s="9" t="n">
        <x:f>I785*G785</x:f>
        <x:v>0</x:v>
      </x:c>
      <x:c r="AD785" s="9" t="n">
        <x:f>J785*G785</x:f>
        <x:v>0</x:v>
      </x:c>
      <x:c r="AE785" s="9" t="n">
        <x:f>K785*G785</x:f>
        <x:v>0</x:v>
      </x:c>
      <x:c r="AF785" s="9" t="n">
        <x:f>R785*G785</x:f>
        <x:v>0</x:v>
      </x:c>
    </x:row>
    <x:row r="786" ht="21" customHeight="1">
      <x:c r="A786" s="1" t="str">
        <x:f>'Inventory inputs'!A786</x:f>
        <x:v>PLAS</x:v>
      </x:c>
      <x:c r="B786" s="1" t="str">
        <x:f>'Inventory inputs'!B786</x:f>
        <x:v>30</x:v>
      </x:c>
      <x:c r="C786" s="1" t="str">
        <x:f>'Inventory inputs'!C786</x:f>
        <x:v>91680RWBWHT</x:v>
      </x:c>
      <x:c r="D786" s="7" t="n">
        <x:f>'Inventory inputs'!E786</x:f>
        <x:v>46303</x:v>
      </x:c>
      <x:c r="E786" s="1" t="n">
        <x:f>'Inventory inputs'!F786</x:f>
        <x:v>0</x:v>
      </x:c>
      <x:c r="F786" s="1" t="n">
        <x:f>'Inventory inputs'!G786</x:f>
        <x:v>0</x:v>
      </x:c>
      <x:c r="G786" s="1" t="n">
        <x:f>'Inventory inputs'!H786/'Inventory inputs'!J786</x:f>
        <x:v>0.1618</x:v>
      </x:c>
      <x:c r="H786" s="1" t="n">
        <x:f>IF('Inventory inputs'!I786&gt;0,'Inventory inputs'!I786*'Inventory inputs'!K786/'Inventory inputs'!J786,"n.a.")</x:f>
        <x:v>0.18933600000000003</x:v>
      </x:c>
      <x:c r="I786" s="1" t="n">
        <x:f>'Inventory inputs'!L786</x:f>
        <x:v>0</x:v>
      </x:c>
      <x:c r="J786" s="1" t="n">
        <x:f>'Inventory inputs'!M786</x:f>
        <x:v>0</x:v>
      </x:c>
      <x:c r="K786" s="1" t="n">
        <x:f>'Inventory inputs'!N786</x:f>
        <x:v>0</x:v>
      </x:c>
      <x:c r="L786" s="1" t="n">
        <x:f>'Inventory inputs'!O786</x:f>
        <x:v>1</x:v>
      </x:c>
      <x:c r="M786" s="9" t="n">
        <x:f>E786*G786</x:f>
        <x:v>0</x:v>
      </x:c>
      <x:c r="N786" s="9" t="n">
        <x:f>'Inventory inputs'!Q786</x:f>
        <x:v>0</x:v>
      </x:c>
      <x:c r="O786" s="9" t="n">
        <x:f>N786-M786</x:f>
        <x:v>0</x:v>
      </x:c>
      <x:c r="P786" s="1" t="n">
        <x:f>SUMIFS('Incoming POs'!$P$2:$P$305,'Incoming POs'!$A$2:$A$305,A786,'Incoming POs'!$B$2:$B$305,B786,'Incoming POs'!$C$2:$C$305,C786,'Incoming POs'!$G$2:$G$305,"&gt;="&amp;D786,'Incoming POs'!$G$2:$G$305,"&lt;"&amp;Dashboard!$I$5)</x:f>
        <x:v>0</x:v>
      </x:c>
      <x:c r="Q786" s="1" t="n">
        <x:f>F786*Dashboard!$L$5*MAX(0,Dashboard!$I$5-D786)/30.4375</x:f>
        <x:v>0</x:v>
      </x:c>
      <x:c r="R786" s="1" t="n">
        <x:f>MAX(0,E786+P786-Q786)</x:f>
        <x:v>0</x:v>
      </x:c>
      <x:c r="S786" s="1" t="n">
        <x:f>MAX(0,Q786-E786-P786)</x:f>
        <x:v>0</x:v>
      </x:c>
      <x:c r="T786" s="1" t="n">
        <x:f>IF(L786=1,MAX(0,I786+AB786-MIN(Q786,E786+P786)),"n.a.")</x:f>
        <x:v>0</x:v>
      </x:c>
      <x:c r="U786" s="9" t="n">
        <x:f>IF(ISNUMBER(T786),T786*G786,"n.a.")</x:f>
        <x:v>0</x:v>
      </x:c>
      <x:c r="V786" s="25" t="n">
        <x:f>IF(Dashboard!$I$6="Flat %",1,IF(ISNUMBER(H786),1,0))</x:f>
        <x:v>1</x:v>
      </x:c>
      <x:c r="W786" s="9" t="n">
        <x:f>IF(Dashboard!$I$6="Flat %",G786*(1+Dashboard!$L$6),H786)</x:f>
        <x:v>0.18933600000000003</x:v>
      </x:c>
      <x:c r="X786" s="9" t="n">
        <x:f>IF(V786=1,R786*(W786-G786),"n.a.")</x:f>
        <x:v>0</x:v>
      </x:c>
      <x:c r="Y786" s="9" t="n">
        <x:f>IF(V786=1,R786*W786,"n.a.")</x:f>
        <x:v>0</x:v>
      </x:c>
      <x:c r="Z786" s="1" t="n">
        <x:f>IF(ISNUMBER(T786),R786-T786,"n.a.")</x:f>
        <x:v>0</x:v>
      </x:c>
      <x:c r="AA786" s="1" t="str">
        <x:f>'Inventory inputs'!R786</x:f>
        <x:v>Classified</x:v>
      </x:c>
      <x:c r="AB786" s="1" t="n">
        <x:f>IF(L786=1,SUMIFS('Incoming POs'!$P$2:$P$305,'Incoming POs'!$A$2:$A$305,A786,'Incoming POs'!$B$2:$B$305,B786,'Incoming POs'!$C$2:$C$305,C786,'Incoming POs'!$G$2:$G$305,"&gt;="&amp;D786,'Incoming POs'!$G$2:$G$305,"&lt;"&amp;Dashboard!$I$5,'Incoming POs'!$Q$2:$Q$305,"&lt;="&amp;('Inventory inputs'!P786/'Inventory inputs'!J786*1.01)),"n.a.")</x:f>
        <x:v>0</x:v>
      </x:c>
      <x:c r="AC786" s="9" t="n">
        <x:f>I786*G786</x:f>
        <x:v>0</x:v>
      </x:c>
      <x:c r="AD786" s="9" t="n">
        <x:f>J786*G786</x:f>
        <x:v>0</x:v>
      </x:c>
      <x:c r="AE786" s="9" t="n">
        <x:f>K786*G786</x:f>
        <x:v>0</x:v>
      </x:c>
      <x:c r="AF786" s="9" t="n">
        <x:f>R786*G786</x:f>
        <x:v>0</x:v>
      </x:c>
    </x:row>
    <x:row r="787" ht="21" customHeight="1">
      <x:c r="A787" s="1" t="str">
        <x:f>'Inventory inputs'!A787</x:f>
        <x:v>PLAS</x:v>
      </x:c>
      <x:c r="B787" s="1" t="str">
        <x:f>'Inventory inputs'!B787</x:f>
        <x:v>60</x:v>
      </x:c>
      <x:c r="C787" s="1" t="str">
        <x:f>'Inventory inputs'!C787</x:f>
        <x:v>00115RWBBLK</x:v>
      </x:c>
      <x:c r="D787" s="7" t="n">
        <x:f>'Inventory inputs'!E787</x:f>
        <x:v>46303</x:v>
      </x:c>
      <x:c r="E787" s="1" t="n">
        <x:f>'Inventory inputs'!F787</x:f>
        <x:v>500</x:v>
      </x:c>
      <x:c r="F787" s="1" t="n">
        <x:f>'Inventory inputs'!G787</x:f>
        <x:v>0</x:v>
      </x:c>
      <x:c r="G787" s="1" t="n">
        <x:f>'Inventory inputs'!H787/'Inventory inputs'!J787</x:f>
        <x:v>0.0736</x:v>
      </x:c>
      <x:c r="H787" s="1" t="n">
        <x:f>IF('Inventory inputs'!I787&gt;0,'Inventory inputs'!I787*'Inventory inputs'!K787/'Inventory inputs'!J787,"n.a.")</x:f>
        <x:v>0.086142</x:v>
      </x:c>
      <x:c r="I787" s="1" t="n">
        <x:f>'Inventory inputs'!L787</x:f>
        <x:v>0</x:v>
      </x:c>
      <x:c r="J787" s="1" t="n">
        <x:f>'Inventory inputs'!M787</x:f>
        <x:v>0</x:v>
      </x:c>
      <x:c r="K787" s="1" t="n">
        <x:f>'Inventory inputs'!N787</x:f>
        <x:v>500</x:v>
      </x:c>
      <x:c r="L787" s="1" t="n">
        <x:f>'Inventory inputs'!O787</x:f>
        <x:v>0</x:v>
      </x:c>
      <x:c r="M787" s="9" t="n">
        <x:f>E787*G787</x:f>
        <x:v>36.8</x:v>
      </x:c>
      <x:c r="N787" s="9" t="n">
        <x:f>'Inventory inputs'!Q787</x:f>
        <x:v>36.800000000000004</x:v>
      </x:c>
      <x:c r="O787" s="9" t="n">
        <x:f>N787-M787</x:f>
        <x:v>7.105427357601002e-15</x:v>
      </x:c>
      <x:c r="P787" s="1" t="n">
        <x:f>SUMIFS('Incoming POs'!$P$2:$P$305,'Incoming POs'!$A$2:$A$305,A787,'Incoming POs'!$B$2:$B$305,B787,'Incoming POs'!$C$2:$C$305,C787,'Incoming POs'!$G$2:$G$305,"&gt;="&amp;D787,'Incoming POs'!$G$2:$G$305,"&lt;"&amp;Dashboard!$I$5)</x:f>
        <x:v>0</x:v>
      </x:c>
      <x:c r="Q787" s="1" t="n">
        <x:f>F787*Dashboard!$L$5*MAX(0,Dashboard!$I$5-D787)/30.4375</x:f>
        <x:v>0</x:v>
      </x:c>
      <x:c r="R787" s="1" t="n">
        <x:f>MAX(0,E787+P787-Q787)</x:f>
        <x:v>500</x:v>
      </x:c>
      <x:c r="S787" s="1" t="n">
        <x:f>MAX(0,Q787-E787-P787)</x:f>
        <x:v>0</x:v>
      </x:c>
      <x:c r="T787" s="1" t="str">
        <x:f>IF(L787=1,MAX(0,I787+AB787-MIN(Q787,E787+P787)),"n.a.")</x:f>
        <x:v>n.a.</x:v>
      </x:c>
      <x:c r="U787" s="9" t="str">
        <x:f>IF(ISNUMBER(T787),T787*G787,"n.a.")</x:f>
        <x:v>n.a.</x:v>
      </x:c>
      <x:c r="V787" s="25" t="n">
        <x:f>IF(Dashboard!$I$6="Flat %",1,IF(ISNUMBER(H787),1,0))</x:f>
        <x:v>1</x:v>
      </x:c>
      <x:c r="W787" s="9" t="n">
        <x:f>IF(Dashboard!$I$6="Flat %",G787*(1+Dashboard!$L$6),H787)</x:f>
        <x:v>0.086142</x:v>
      </x:c>
      <x:c r="X787" s="9" t="n">
        <x:f>IF(V787=1,R787*(W787-G787),"n.a.")</x:f>
        <x:v>6.270999999999999</x:v>
      </x:c>
      <x:c r="Y787" s="9" t="n">
        <x:f>IF(V787=1,R787*W787,"n.a.")</x:f>
        <x:v>43.071</x:v>
      </x:c>
      <x:c r="Z787" s="1" t="str">
        <x:f>IF(ISNUMBER(T787),R787-T787,"n.a.")</x:f>
        <x:v>n.a.</x:v>
      </x:c>
      <x:c r="AA787" s="1" t="str">
        <x:f>'Inventory inputs'!R787</x:f>
        <x:v>Review receipt reconciliation or original PO baseline</x:v>
      </x:c>
      <x:c r="AB787" s="1" t="str">
        <x:f>IF(L787=1,SUMIFS('Incoming POs'!$P$2:$P$305,'Incoming POs'!$A$2:$A$305,A787,'Incoming POs'!$B$2:$B$305,B787,'Incoming POs'!$C$2:$C$305,C787,'Incoming POs'!$G$2:$G$305,"&gt;="&amp;D787,'Incoming POs'!$G$2:$G$305,"&lt;"&amp;Dashboard!$I$5,'Incoming POs'!$Q$2:$Q$305,"&lt;="&amp;('Inventory inputs'!P787/'Inventory inputs'!J787*1.01)),"n.a.")</x:f>
        <x:v>n.a.</x:v>
      </x:c>
      <x:c r="AC787" s="9" t="n">
        <x:f>I787*G787</x:f>
        <x:v>0</x:v>
      </x:c>
      <x:c r="AD787" s="9" t="n">
        <x:f>J787*G787</x:f>
        <x:v>0</x:v>
      </x:c>
      <x:c r="AE787" s="9" t="n">
        <x:f>K787*G787</x:f>
        <x:v>36.8</x:v>
      </x:c>
      <x:c r="AF787" s="9" t="n">
        <x:f>R787*G787</x:f>
        <x:v>36.8</x:v>
      </x:c>
    </x:row>
    <x:row r="788" ht="21" customHeight="1">
      <x:c r="A788" s="1" t="str">
        <x:f>'Inventory inputs'!A788</x:f>
        <x:v>PLAS</x:v>
      </x:c>
      <x:c r="B788" s="1" t="str">
        <x:f>'Inventory inputs'!B788</x:f>
        <x:v>60</x:v>
      </x:c>
      <x:c r="C788" s="1" t="str">
        <x:f>'Inventory inputs'!C788</x:f>
        <x:v>00119RWBCLR</x:v>
      </x:c>
      <x:c r="D788" s="7" t="n">
        <x:f>'Inventory inputs'!E788</x:f>
        <x:v>46303</x:v>
      </x:c>
      <x:c r="E788" s="1" t="n">
        <x:f>'Inventory inputs'!F788</x:f>
        <x:v>500</x:v>
      </x:c>
      <x:c r="F788" s="1" t="n">
        <x:f>'Inventory inputs'!G788</x:f>
        <x:v>0</x:v>
      </x:c>
      <x:c r="G788" s="1" t="n">
        <x:f>'Inventory inputs'!H788/'Inventory inputs'!J788</x:f>
        <x:v>0.1054</x:v>
      </x:c>
      <x:c r="H788" s="1" t="n">
        <x:f>IF('Inventory inputs'!I788&gt;0,'Inventory inputs'!I788*'Inventory inputs'!K788/'Inventory inputs'!J788,"n.a.")</x:f>
        <x:v>0.12333300000000001</x:v>
      </x:c>
      <x:c r="I788" s="1" t="n">
        <x:f>'Inventory inputs'!L788</x:f>
        <x:v>0</x:v>
      </x:c>
      <x:c r="J788" s="1" t="n">
        <x:f>'Inventory inputs'!M788</x:f>
        <x:v>0</x:v>
      </x:c>
      <x:c r="K788" s="1" t="n">
        <x:f>'Inventory inputs'!N788</x:f>
        <x:v>500</x:v>
      </x:c>
      <x:c r="L788" s="1" t="n">
        <x:f>'Inventory inputs'!O788</x:f>
        <x:v>0</x:v>
      </x:c>
      <x:c r="M788" s="9" t="n">
        <x:f>E788*G788</x:f>
        <x:v>52.699999999999996</x:v>
      </x:c>
      <x:c r="N788" s="9" t="n">
        <x:f>'Inventory inputs'!Q788</x:f>
        <x:v>52.7</x:v>
      </x:c>
      <x:c r="O788" s="9" t="n">
        <x:f>N788-M788</x:f>
        <x:v>7.105427357601002e-15</x:v>
      </x:c>
      <x:c r="P788" s="1" t="n">
        <x:f>SUMIFS('Incoming POs'!$P$2:$P$305,'Incoming POs'!$A$2:$A$305,A788,'Incoming POs'!$B$2:$B$305,B788,'Incoming POs'!$C$2:$C$305,C788,'Incoming POs'!$G$2:$G$305,"&gt;="&amp;D788,'Incoming POs'!$G$2:$G$305,"&lt;"&amp;Dashboard!$I$5)</x:f>
        <x:v>0</x:v>
      </x:c>
      <x:c r="Q788" s="1" t="n">
        <x:f>F788*Dashboard!$L$5*MAX(0,Dashboard!$I$5-D788)/30.4375</x:f>
        <x:v>0</x:v>
      </x:c>
      <x:c r="R788" s="1" t="n">
        <x:f>MAX(0,E788+P788-Q788)</x:f>
        <x:v>500</x:v>
      </x:c>
      <x:c r="S788" s="1" t="n">
        <x:f>MAX(0,Q788-E788-P788)</x:f>
        <x:v>0</x:v>
      </x:c>
      <x:c r="T788" s="1" t="str">
        <x:f>IF(L788=1,MAX(0,I788+AB788-MIN(Q788,E788+P788)),"n.a.")</x:f>
        <x:v>n.a.</x:v>
      </x:c>
      <x:c r="U788" s="9" t="str">
        <x:f>IF(ISNUMBER(T788),T788*G788,"n.a.")</x:f>
        <x:v>n.a.</x:v>
      </x:c>
      <x:c r="V788" s="25" t="n">
        <x:f>IF(Dashboard!$I$6="Flat %",1,IF(ISNUMBER(H788),1,0))</x:f>
        <x:v>1</x:v>
      </x:c>
      <x:c r="W788" s="9" t="n">
        <x:f>IF(Dashboard!$I$6="Flat %",G788*(1+Dashboard!$L$6),H788)</x:f>
        <x:v>0.12333300000000001</x:v>
      </x:c>
      <x:c r="X788" s="9" t="n">
        <x:f>IF(V788=1,R788*(W788-G788),"n.a.")</x:f>
        <x:v>8.966500000000009</x:v>
      </x:c>
      <x:c r="Y788" s="9" t="n">
        <x:f>IF(V788=1,R788*W788,"n.a.")</x:f>
        <x:v>61.666500000000006</x:v>
      </x:c>
      <x:c r="Z788" s="1" t="str">
        <x:f>IF(ISNUMBER(T788),R788-T788,"n.a.")</x:f>
        <x:v>n.a.</x:v>
      </x:c>
      <x:c r="AA788" s="1" t="str">
        <x:f>'Inventory inputs'!R788</x:f>
        <x:v>Review receipt reconciliation or original PO baseline</x:v>
      </x:c>
      <x:c r="AB788" s="1" t="str">
        <x:f>IF(L788=1,SUMIFS('Incoming POs'!$P$2:$P$305,'Incoming POs'!$A$2:$A$305,A788,'Incoming POs'!$B$2:$B$305,B788,'Incoming POs'!$C$2:$C$305,C788,'Incoming POs'!$G$2:$G$305,"&gt;="&amp;D788,'Incoming POs'!$G$2:$G$305,"&lt;"&amp;Dashboard!$I$5,'Incoming POs'!$Q$2:$Q$305,"&lt;="&amp;('Inventory inputs'!P788/'Inventory inputs'!J788*1.01)),"n.a.")</x:f>
        <x:v>n.a.</x:v>
      </x:c>
      <x:c r="AC788" s="9" t="n">
        <x:f>I788*G788</x:f>
        <x:v>0</x:v>
      </x:c>
      <x:c r="AD788" s="9" t="n">
        <x:f>J788*G788</x:f>
        <x:v>0</x:v>
      </x:c>
      <x:c r="AE788" s="9" t="n">
        <x:f>K788*G788</x:f>
        <x:v>52.699999999999996</x:v>
      </x:c>
      <x:c r="AF788" s="9" t="n">
        <x:f>R788*G788</x:f>
        <x:v>52.699999999999996</x:v>
      </x:c>
    </x:row>
    <x:row r="789" ht="21" customHeight="1">
      <x:c r="A789" s="1" t="str">
        <x:f>'Inventory inputs'!A789</x:f>
        <x:v>PLAS</x:v>
      </x:c>
      <x:c r="B789" s="1" t="str">
        <x:f>'Inventory inputs'!B789</x:f>
        <x:v>60</x:v>
      </x:c>
      <x:c r="C789" s="1" t="str">
        <x:f>'Inventory inputs'!C789</x:f>
        <x:v>00119RWBRED</x:v>
      </x:c>
      <x:c r="D789" s="7" t="n">
        <x:f>'Inventory inputs'!E789</x:f>
        <x:v>46303</x:v>
      </x:c>
      <x:c r="E789" s="1" t="n">
        <x:f>'Inventory inputs'!F789</x:f>
        <x:v>300</x:v>
      </x:c>
      <x:c r="F789" s="1" t="n">
        <x:f>'Inventory inputs'!G789</x:f>
        <x:v>0</x:v>
      </x:c>
      <x:c r="G789" s="1" t="n">
        <x:f>'Inventory inputs'!H789/'Inventory inputs'!J789</x:f>
        <x:v>0.1054</x:v>
      </x:c>
      <x:c r="H789" s="1" t="n">
        <x:f>IF('Inventory inputs'!I789&gt;0,'Inventory inputs'!I789*'Inventory inputs'!K789/'Inventory inputs'!J789,"n.a.")</x:f>
        <x:v>0.12333300000000001</x:v>
      </x:c>
      <x:c r="I789" s="1" t="n">
        <x:f>'Inventory inputs'!L789</x:f>
        <x:v>0</x:v>
      </x:c>
      <x:c r="J789" s="1" t="n">
        <x:f>'Inventory inputs'!M789</x:f>
        <x:v>0</x:v>
      </x:c>
      <x:c r="K789" s="1" t="n">
        <x:f>'Inventory inputs'!N789</x:f>
        <x:v>300</x:v>
      </x:c>
      <x:c r="L789" s="1" t="n">
        <x:f>'Inventory inputs'!O789</x:f>
        <x:v>0</x:v>
      </x:c>
      <x:c r="M789" s="9" t="n">
        <x:f>E789*G789</x:f>
        <x:v>31.619999999999997</x:v>
      </x:c>
      <x:c r="N789" s="9" t="n">
        <x:f>'Inventory inputs'!Q789</x:f>
        <x:v>31.619999999999997</x:v>
      </x:c>
      <x:c r="O789" s="9" t="n">
        <x:f>N789-M789</x:f>
        <x:v>0</x:v>
      </x:c>
      <x:c r="P789" s="1" t="n">
        <x:f>SUMIFS('Incoming POs'!$P$2:$P$305,'Incoming POs'!$A$2:$A$305,A789,'Incoming POs'!$B$2:$B$305,B789,'Incoming POs'!$C$2:$C$305,C789,'Incoming POs'!$G$2:$G$305,"&gt;="&amp;D789,'Incoming POs'!$G$2:$G$305,"&lt;"&amp;Dashboard!$I$5)</x:f>
        <x:v>0</x:v>
      </x:c>
      <x:c r="Q789" s="1" t="n">
        <x:f>F789*Dashboard!$L$5*MAX(0,Dashboard!$I$5-D789)/30.4375</x:f>
        <x:v>0</x:v>
      </x:c>
      <x:c r="R789" s="1" t="n">
        <x:f>MAX(0,E789+P789-Q789)</x:f>
        <x:v>300</x:v>
      </x:c>
      <x:c r="S789" s="1" t="n">
        <x:f>MAX(0,Q789-E789-P789)</x:f>
        <x:v>0</x:v>
      </x:c>
      <x:c r="T789" s="1" t="str">
        <x:f>IF(L789=1,MAX(0,I789+AB789-MIN(Q789,E789+P789)),"n.a.")</x:f>
        <x:v>n.a.</x:v>
      </x:c>
      <x:c r="U789" s="9" t="str">
        <x:f>IF(ISNUMBER(T789),T789*G789,"n.a.")</x:f>
        <x:v>n.a.</x:v>
      </x:c>
      <x:c r="V789" s="25" t="n">
        <x:f>IF(Dashboard!$I$6="Flat %",1,IF(ISNUMBER(H789),1,0))</x:f>
        <x:v>1</x:v>
      </x:c>
      <x:c r="W789" s="9" t="n">
        <x:f>IF(Dashboard!$I$6="Flat %",G789*(1+Dashboard!$L$6),H789)</x:f>
        <x:v>0.12333300000000001</x:v>
      </x:c>
      <x:c r="X789" s="9" t="n">
        <x:f>IF(V789=1,R789*(W789-G789),"n.a.")</x:f>
        <x:v>5.3799000000000055</x:v>
      </x:c>
      <x:c r="Y789" s="9" t="n">
        <x:f>IF(V789=1,R789*W789,"n.a.")</x:f>
        <x:v>36.999900000000004</x:v>
      </x:c>
      <x:c r="Z789" s="1" t="str">
        <x:f>IF(ISNUMBER(T789),R789-T789,"n.a.")</x:f>
        <x:v>n.a.</x:v>
      </x:c>
      <x:c r="AA789" s="1" t="str">
        <x:f>'Inventory inputs'!R789</x:f>
        <x:v>Review receipt reconciliation or original PO baseline</x:v>
      </x:c>
      <x:c r="AB789" s="1" t="str">
        <x:f>IF(L789=1,SUMIFS('Incoming POs'!$P$2:$P$305,'Incoming POs'!$A$2:$A$305,A789,'Incoming POs'!$B$2:$B$305,B789,'Incoming POs'!$C$2:$C$305,C789,'Incoming POs'!$G$2:$G$305,"&gt;="&amp;D789,'Incoming POs'!$G$2:$G$305,"&lt;"&amp;Dashboard!$I$5,'Incoming POs'!$Q$2:$Q$305,"&lt;="&amp;('Inventory inputs'!P789/'Inventory inputs'!J789*1.01)),"n.a.")</x:f>
        <x:v>n.a.</x:v>
      </x:c>
      <x:c r="AC789" s="9" t="n">
        <x:f>I789*G789</x:f>
        <x:v>0</x:v>
      </x:c>
      <x:c r="AD789" s="9" t="n">
        <x:f>J789*G789</x:f>
        <x:v>0</x:v>
      </x:c>
      <x:c r="AE789" s="9" t="n">
        <x:f>K789*G789</x:f>
        <x:v>31.619999999999997</x:v>
      </x:c>
      <x:c r="AF789" s="9" t="n">
        <x:f>R789*G789</x:f>
        <x:v>31.619999999999997</x:v>
      </x:c>
    </x:row>
    <x:row r="790" ht="21" customHeight="1">
      <x:c r="A790" s="1" t="str">
        <x:f>'Inventory inputs'!A790</x:f>
        <x:v>PLAS</x:v>
      </x:c>
      <x:c r="B790" s="1" t="str">
        <x:f>'Inventory inputs'!B790</x:f>
        <x:v>60</x:v>
      </x:c>
      <x:c r="C790" s="1" t="str">
        <x:f>'Inventory inputs'!C790</x:f>
        <x:v>00180RWBBLK</x:v>
      </x:c>
      <x:c r="D790" s="7" t="n">
        <x:f>'Inventory inputs'!E790</x:f>
        <x:v>46303</x:v>
      </x:c>
      <x:c r="E790" s="1" t="n">
        <x:f>'Inventory inputs'!F790</x:f>
        <x:v>857</x:v>
      </x:c>
      <x:c r="F790" s="1" t="n">
        <x:f>'Inventory inputs'!G790</x:f>
        <x:v>0</x:v>
      </x:c>
      <x:c r="G790" s="1" t="n">
        <x:f>'Inventory inputs'!H790/'Inventory inputs'!J790</x:f>
        <x:v>0.4125</x:v>
      </x:c>
      <x:c r="H790" s="1" t="n">
        <x:f>IF('Inventory inputs'!I790&gt;0,'Inventory inputs'!I790*'Inventory inputs'!K790/'Inventory inputs'!J790,"n.a.")</x:f>
        <x:v>0.48260099999999995</x:v>
      </x:c>
      <x:c r="I790" s="1" t="n">
        <x:f>'Inventory inputs'!L790</x:f>
        <x:v>0</x:v>
      </x:c>
      <x:c r="J790" s="1" t="n">
        <x:f>'Inventory inputs'!M790</x:f>
        <x:v>0</x:v>
      </x:c>
      <x:c r="K790" s="1" t="n">
        <x:f>'Inventory inputs'!N790</x:f>
        <x:v>857</x:v>
      </x:c>
      <x:c r="L790" s="1" t="n">
        <x:f>'Inventory inputs'!O790</x:f>
        <x:v>0</x:v>
      </x:c>
      <x:c r="M790" s="9" t="n">
        <x:f>E790*G790</x:f>
        <x:v>353.5125</x:v>
      </x:c>
      <x:c r="N790" s="9" t="n">
        <x:f>'Inventory inputs'!Q790</x:f>
        <x:v>353.5125</x:v>
      </x:c>
      <x:c r="O790" s="9" t="n">
        <x:f>N790-M790</x:f>
        <x:v>0</x:v>
      </x:c>
      <x:c r="P790" s="1" t="n">
        <x:f>SUMIFS('Incoming POs'!$P$2:$P$305,'Incoming POs'!$A$2:$A$305,A790,'Incoming POs'!$B$2:$B$305,B790,'Incoming POs'!$C$2:$C$305,C790,'Incoming POs'!$G$2:$G$305,"&gt;="&amp;D790,'Incoming POs'!$G$2:$G$305,"&lt;"&amp;Dashboard!$I$5)</x:f>
        <x:v>0</x:v>
      </x:c>
      <x:c r="Q790" s="1" t="n">
        <x:f>F790*Dashboard!$L$5*MAX(0,Dashboard!$I$5-D790)/30.4375</x:f>
        <x:v>0</x:v>
      </x:c>
      <x:c r="R790" s="1" t="n">
        <x:f>MAX(0,E790+P790-Q790)</x:f>
        <x:v>857</x:v>
      </x:c>
      <x:c r="S790" s="1" t="n">
        <x:f>MAX(0,Q790-E790-P790)</x:f>
        <x:v>0</x:v>
      </x:c>
      <x:c r="T790" s="1" t="str">
        <x:f>IF(L790=1,MAX(0,I790+AB790-MIN(Q790,E790+P790)),"n.a.")</x:f>
        <x:v>n.a.</x:v>
      </x:c>
      <x:c r="U790" s="9" t="str">
        <x:f>IF(ISNUMBER(T790),T790*G790,"n.a.")</x:f>
        <x:v>n.a.</x:v>
      </x:c>
      <x:c r="V790" s="25" t="n">
        <x:f>IF(Dashboard!$I$6="Flat %",1,IF(ISNUMBER(H790),1,0))</x:f>
        <x:v>1</x:v>
      </x:c>
      <x:c r="W790" s="9" t="n">
        <x:f>IF(Dashboard!$I$6="Flat %",G790*(1+Dashboard!$L$6),H790)</x:f>
        <x:v>0.48260099999999995</x:v>
      </x:c>
      <x:c r="X790" s="9" t="n">
        <x:f>IF(V790=1,R790*(W790-G790),"n.a.")</x:f>
        <x:v>60.07655699999997</x:v>
      </x:c>
      <x:c r="Y790" s="9" t="n">
        <x:f>IF(V790=1,R790*W790,"n.a.")</x:f>
        <x:v>413.58905699999997</x:v>
      </x:c>
      <x:c r="Z790" s="1" t="str">
        <x:f>IF(ISNUMBER(T790),R790-T790,"n.a.")</x:f>
        <x:v>n.a.</x:v>
      </x:c>
      <x:c r="AA790" s="1" t="str">
        <x:f>'Inventory inputs'!R790</x:f>
        <x:v>Review receipt reconciliation or original PO baseline</x:v>
      </x:c>
      <x:c r="AB790" s="1" t="str">
        <x:f>IF(L790=1,SUMIFS('Incoming POs'!$P$2:$P$305,'Incoming POs'!$A$2:$A$305,A790,'Incoming POs'!$B$2:$B$305,B790,'Incoming POs'!$C$2:$C$305,C790,'Incoming POs'!$G$2:$G$305,"&gt;="&amp;D790,'Incoming POs'!$G$2:$G$305,"&lt;"&amp;Dashboard!$I$5,'Incoming POs'!$Q$2:$Q$305,"&lt;="&amp;('Inventory inputs'!P790/'Inventory inputs'!J790*1.01)),"n.a.")</x:f>
        <x:v>n.a.</x:v>
      </x:c>
      <x:c r="AC790" s="9" t="n">
        <x:f>I790*G790</x:f>
        <x:v>0</x:v>
      </x:c>
      <x:c r="AD790" s="9" t="n">
        <x:f>J790*G790</x:f>
        <x:v>0</x:v>
      </x:c>
      <x:c r="AE790" s="9" t="n">
        <x:f>K790*G790</x:f>
        <x:v>353.5125</x:v>
      </x:c>
      <x:c r="AF790" s="9" t="n">
        <x:f>R790*G790</x:f>
        <x:v>353.5125</x:v>
      </x:c>
    </x:row>
    <x:row r="791" ht="21" customHeight="1">
      <x:c r="A791" s="1" t="str">
        <x:f>'Inventory inputs'!A791</x:f>
        <x:v>PLAS</x:v>
      </x:c>
      <x:c r="B791" s="1" t="str">
        <x:f>'Inventory inputs'!B791</x:f>
        <x:v>60</x:v>
      </x:c>
      <x:c r="C791" s="1" t="str">
        <x:f>'Inventory inputs'!C791</x:f>
        <x:v>00180RWBWHT</x:v>
      </x:c>
      <x:c r="D791" s="7" t="n">
        <x:f>'Inventory inputs'!E791</x:f>
        <x:v>46303</x:v>
      </x:c>
      <x:c r="E791" s="1" t="n">
        <x:f>'Inventory inputs'!F791</x:f>
        <x:v>904</x:v>
      </x:c>
      <x:c r="F791" s="1" t="n">
        <x:f>'Inventory inputs'!G791</x:f>
        <x:v>0</x:v>
      </x:c>
      <x:c r="G791" s="1" t="n">
        <x:f>'Inventory inputs'!H791/'Inventory inputs'!J791</x:f>
        <x:v>0.4125</x:v>
      </x:c>
      <x:c r="H791" s="1" t="n">
        <x:f>IF('Inventory inputs'!I791&gt;0,'Inventory inputs'!I791*'Inventory inputs'!K791/'Inventory inputs'!J791,"n.a.")</x:f>
        <x:v>0.48260099999999995</x:v>
      </x:c>
      <x:c r="I791" s="1" t="n">
        <x:f>'Inventory inputs'!L791</x:f>
        <x:v>0</x:v>
      </x:c>
      <x:c r="J791" s="1" t="n">
        <x:f>'Inventory inputs'!M791</x:f>
        <x:v>0</x:v>
      </x:c>
      <x:c r="K791" s="1" t="n">
        <x:f>'Inventory inputs'!N791</x:f>
        <x:v>904</x:v>
      </x:c>
      <x:c r="L791" s="1" t="n">
        <x:f>'Inventory inputs'!O791</x:f>
        <x:v>0</x:v>
      </x:c>
      <x:c r="M791" s="9" t="n">
        <x:f>E791*G791</x:f>
        <x:v>372.9</x:v>
      </x:c>
      <x:c r="N791" s="9" t="n">
        <x:f>'Inventory inputs'!Q791</x:f>
        <x:v>372.90000000000003</x:v>
      </x:c>
      <x:c r="O791" s="9" t="n">
        <x:f>N791-M791</x:f>
        <x:v>5.684341886080802e-14</x:v>
      </x:c>
      <x:c r="P791" s="1" t="n">
        <x:f>SUMIFS('Incoming POs'!$P$2:$P$305,'Incoming POs'!$A$2:$A$305,A791,'Incoming POs'!$B$2:$B$305,B791,'Incoming POs'!$C$2:$C$305,C791,'Incoming POs'!$G$2:$G$305,"&gt;="&amp;D791,'Incoming POs'!$G$2:$G$305,"&lt;"&amp;Dashboard!$I$5)</x:f>
        <x:v>0</x:v>
      </x:c>
      <x:c r="Q791" s="1" t="n">
        <x:f>F791*Dashboard!$L$5*MAX(0,Dashboard!$I$5-D791)/30.4375</x:f>
        <x:v>0</x:v>
      </x:c>
      <x:c r="R791" s="1" t="n">
        <x:f>MAX(0,E791+P791-Q791)</x:f>
        <x:v>904</x:v>
      </x:c>
      <x:c r="S791" s="1" t="n">
        <x:f>MAX(0,Q791-E791-P791)</x:f>
        <x:v>0</x:v>
      </x:c>
      <x:c r="T791" s="1" t="str">
        <x:f>IF(L791=1,MAX(0,I791+AB791-MIN(Q791,E791+P791)),"n.a.")</x:f>
        <x:v>n.a.</x:v>
      </x:c>
      <x:c r="U791" s="9" t="str">
        <x:f>IF(ISNUMBER(T791),T791*G791,"n.a.")</x:f>
        <x:v>n.a.</x:v>
      </x:c>
      <x:c r="V791" s="25" t="n">
        <x:f>IF(Dashboard!$I$6="Flat %",1,IF(ISNUMBER(H791),1,0))</x:f>
        <x:v>1</x:v>
      </x:c>
      <x:c r="W791" s="9" t="n">
        <x:f>IF(Dashboard!$I$6="Flat %",G791*(1+Dashboard!$L$6),H791)</x:f>
        <x:v>0.48260099999999995</x:v>
      </x:c>
      <x:c r="X791" s="9" t="n">
        <x:f>IF(V791=1,R791*(W791-G791),"n.a.")</x:f>
        <x:v>63.371303999999974</x:v>
      </x:c>
      <x:c r="Y791" s="9" t="n">
        <x:f>IF(V791=1,R791*W791,"n.a.")</x:f>
        <x:v>436.27130399999993</x:v>
      </x:c>
      <x:c r="Z791" s="1" t="str">
        <x:f>IF(ISNUMBER(T791),R791-T791,"n.a.")</x:f>
        <x:v>n.a.</x:v>
      </x:c>
      <x:c r="AA791" s="1" t="str">
        <x:f>'Inventory inputs'!R791</x:f>
        <x:v>Review receipt reconciliation or original PO baseline</x:v>
      </x:c>
      <x:c r="AB791" s="1" t="str">
        <x:f>IF(L791=1,SUMIFS('Incoming POs'!$P$2:$P$305,'Incoming POs'!$A$2:$A$305,A791,'Incoming POs'!$B$2:$B$305,B791,'Incoming POs'!$C$2:$C$305,C791,'Incoming POs'!$G$2:$G$305,"&gt;="&amp;D791,'Incoming POs'!$G$2:$G$305,"&lt;"&amp;Dashboard!$I$5,'Incoming POs'!$Q$2:$Q$305,"&lt;="&amp;('Inventory inputs'!P791/'Inventory inputs'!J791*1.01)),"n.a.")</x:f>
        <x:v>n.a.</x:v>
      </x:c>
      <x:c r="AC791" s="9" t="n">
        <x:f>I791*G791</x:f>
        <x:v>0</x:v>
      </x:c>
      <x:c r="AD791" s="9" t="n">
        <x:f>J791*G791</x:f>
        <x:v>0</x:v>
      </x:c>
      <x:c r="AE791" s="9" t="n">
        <x:f>K791*G791</x:f>
        <x:v>372.9</x:v>
      </x:c>
      <x:c r="AF791" s="9" t="n">
        <x:f>R791*G791</x:f>
        <x:v>372.9</x:v>
      </x:c>
    </x:row>
    <x:row r="792" ht="21" customHeight="1">
      <x:c r="A792" s="1" t="str">
        <x:f>'Inventory inputs'!A792</x:f>
        <x:v>PLAS</x:v>
      </x:c>
      <x:c r="B792" s="1" t="str">
        <x:f>'Inventory inputs'!B792</x:f>
        <x:v>60</x:v>
      </x:c>
      <x:c r="C792" s="1" t="str">
        <x:f>'Inventory inputs'!C792</x:f>
        <x:v>00215RSLBLK</x:v>
      </x:c>
      <x:c r="D792" s="7" t="n">
        <x:f>'Inventory inputs'!E792</x:f>
        <x:v>46303</x:v>
      </x:c>
      <x:c r="E792" s="1" t="n">
        <x:f>'Inventory inputs'!F792</x:f>
        <x:v>660</x:v>
      </x:c>
      <x:c r="F792" s="1" t="n">
        <x:f>'Inventory inputs'!G792</x:f>
        <x:v>0</x:v>
      </x:c>
      <x:c r="G792" s="1" t="n">
        <x:f>'Inventory inputs'!H792/'Inventory inputs'!J792</x:f>
        <x:v>0.10189999999999999</x:v>
      </x:c>
      <x:c r="H792" s="1" t="n">
        <x:f>IF('Inventory inputs'!I792&gt;0,'Inventory inputs'!I792*'Inventory inputs'!K792/'Inventory inputs'!J792,"n.a.")</x:f>
        <x:v>0.11921699999999999</x:v>
      </x:c>
      <x:c r="I792" s="1" t="n">
        <x:f>'Inventory inputs'!L792</x:f>
        <x:v>0</x:v>
      </x:c>
      <x:c r="J792" s="1" t="n">
        <x:f>'Inventory inputs'!M792</x:f>
        <x:v>0</x:v>
      </x:c>
      <x:c r="K792" s="1" t="n">
        <x:f>'Inventory inputs'!N792</x:f>
        <x:v>660</x:v>
      </x:c>
      <x:c r="L792" s="1" t="n">
        <x:f>'Inventory inputs'!O792</x:f>
        <x:v>0</x:v>
      </x:c>
      <x:c r="M792" s="9" t="n">
        <x:f>E792*G792</x:f>
        <x:v>67.25399999999999</x:v>
      </x:c>
      <x:c r="N792" s="9" t="n">
        <x:f>'Inventory inputs'!Q792</x:f>
        <x:v>67.25399999999999</x:v>
      </x:c>
      <x:c r="O792" s="9" t="n">
        <x:f>N792-M792</x:f>
        <x:v>0</x:v>
      </x:c>
      <x:c r="P792" s="1" t="n">
        <x:f>SUMIFS('Incoming POs'!$P$2:$P$305,'Incoming POs'!$A$2:$A$305,A792,'Incoming POs'!$B$2:$B$305,B792,'Incoming POs'!$C$2:$C$305,C792,'Incoming POs'!$G$2:$G$305,"&gt;="&amp;D792,'Incoming POs'!$G$2:$G$305,"&lt;"&amp;Dashboard!$I$5)</x:f>
        <x:v>0</x:v>
      </x:c>
      <x:c r="Q792" s="1" t="n">
        <x:f>F792*Dashboard!$L$5*MAX(0,Dashboard!$I$5-D792)/30.4375</x:f>
        <x:v>0</x:v>
      </x:c>
      <x:c r="R792" s="1" t="n">
        <x:f>MAX(0,E792+P792-Q792)</x:f>
        <x:v>660</x:v>
      </x:c>
      <x:c r="S792" s="1" t="n">
        <x:f>MAX(0,Q792-E792-P792)</x:f>
        <x:v>0</x:v>
      </x:c>
      <x:c r="T792" s="1" t="str">
        <x:f>IF(L792=1,MAX(0,I792+AB792-MIN(Q792,E792+P792)),"n.a.")</x:f>
        <x:v>n.a.</x:v>
      </x:c>
      <x:c r="U792" s="9" t="str">
        <x:f>IF(ISNUMBER(T792),T792*G792,"n.a.")</x:f>
        <x:v>n.a.</x:v>
      </x:c>
      <x:c r="V792" s="25" t="n">
        <x:f>IF(Dashboard!$I$6="Flat %",1,IF(ISNUMBER(H792),1,0))</x:f>
        <x:v>1</x:v>
      </x:c>
      <x:c r="W792" s="9" t="n">
        <x:f>IF(Dashboard!$I$6="Flat %",G792*(1+Dashboard!$L$6),H792)</x:f>
        <x:v>0.11921699999999999</x:v>
      </x:c>
      <x:c r="X792" s="9" t="n">
        <x:f>IF(V792=1,R792*(W792-G792),"n.a.")</x:f>
        <x:v>11.429219999999999</x:v>
      </x:c>
      <x:c r="Y792" s="9" t="n">
        <x:f>IF(V792=1,R792*W792,"n.a.")</x:f>
        <x:v>78.68321999999999</x:v>
      </x:c>
      <x:c r="Z792" s="1" t="str">
        <x:f>IF(ISNUMBER(T792),R792-T792,"n.a.")</x:f>
        <x:v>n.a.</x:v>
      </x:c>
      <x:c r="AA792" s="1" t="str">
        <x:f>'Inventory inputs'!R792</x:f>
        <x:v>Review receipt reconciliation or original PO baseline</x:v>
      </x:c>
      <x:c r="AB792" s="1" t="str">
        <x:f>IF(L792=1,SUMIFS('Incoming POs'!$P$2:$P$305,'Incoming POs'!$A$2:$A$305,A792,'Incoming POs'!$B$2:$B$305,B792,'Incoming POs'!$C$2:$C$305,C792,'Incoming POs'!$G$2:$G$305,"&gt;="&amp;D792,'Incoming POs'!$G$2:$G$305,"&lt;"&amp;Dashboard!$I$5,'Incoming POs'!$Q$2:$Q$305,"&lt;="&amp;('Inventory inputs'!P792/'Inventory inputs'!J792*1.01)),"n.a.")</x:f>
        <x:v>n.a.</x:v>
      </x:c>
      <x:c r="AC792" s="9" t="n">
        <x:f>I792*G792</x:f>
        <x:v>0</x:v>
      </x:c>
      <x:c r="AD792" s="9" t="n">
        <x:f>J792*G792</x:f>
        <x:v>0</x:v>
      </x:c>
      <x:c r="AE792" s="9" t="n">
        <x:f>K792*G792</x:f>
        <x:v>67.25399999999999</x:v>
      </x:c>
      <x:c r="AF792" s="9" t="n">
        <x:f>R792*G792</x:f>
        <x:v>67.25399999999999</x:v>
      </x:c>
    </x:row>
    <x:row r="793" ht="21" customHeight="1">
      <x:c r="A793" s="1" t="str">
        <x:f>'Inventory inputs'!A793</x:f>
        <x:v>PLAS</x:v>
      </x:c>
      <x:c r="B793" s="1" t="str">
        <x:f>'Inventory inputs'!B793</x:f>
        <x:v>60</x:v>
      </x:c>
      <x:c r="C793" s="1" t="str">
        <x:f>'Inventory inputs'!C793</x:f>
        <x:v>00215RSLWHT</x:v>
      </x:c>
      <x:c r="D793" s="7" t="n">
        <x:f>'Inventory inputs'!E793</x:f>
        <x:v>46303</x:v>
      </x:c>
      <x:c r="E793" s="1" t="n">
        <x:f>'Inventory inputs'!F793</x:f>
        <x:v>500</x:v>
      </x:c>
      <x:c r="F793" s="1" t="n">
        <x:f>'Inventory inputs'!G793</x:f>
        <x:v>0</x:v>
      </x:c>
      <x:c r="G793" s="1" t="n">
        <x:f>'Inventory inputs'!H793/'Inventory inputs'!J793</x:f>
        <x:v>0.10189999999999999</x:v>
      </x:c>
      <x:c r="H793" s="1" t="n">
        <x:f>IF('Inventory inputs'!I793&gt;0,'Inventory inputs'!I793*'Inventory inputs'!K793/'Inventory inputs'!J793,"n.a.")</x:f>
        <x:v>0.11921699999999999</x:v>
      </x:c>
      <x:c r="I793" s="1" t="n">
        <x:f>'Inventory inputs'!L793</x:f>
        <x:v>0</x:v>
      </x:c>
      <x:c r="J793" s="1" t="n">
        <x:f>'Inventory inputs'!M793</x:f>
        <x:v>0</x:v>
      </x:c>
      <x:c r="K793" s="1" t="n">
        <x:f>'Inventory inputs'!N793</x:f>
        <x:v>500</x:v>
      </x:c>
      <x:c r="L793" s="1" t="n">
        <x:f>'Inventory inputs'!O793</x:f>
        <x:v>0</x:v>
      </x:c>
      <x:c r="M793" s="9" t="n">
        <x:f>E793*G793</x:f>
        <x:v>50.949999999999996</x:v>
      </x:c>
      <x:c r="N793" s="9" t="n">
        <x:f>'Inventory inputs'!Q793</x:f>
        <x:v>50.95</x:v>
      </x:c>
      <x:c r="O793" s="9" t="n">
        <x:f>N793-M793</x:f>
        <x:v>7.105427357601002e-15</x:v>
      </x:c>
      <x:c r="P793" s="1" t="n">
        <x:f>SUMIFS('Incoming POs'!$P$2:$P$305,'Incoming POs'!$A$2:$A$305,A793,'Incoming POs'!$B$2:$B$305,B793,'Incoming POs'!$C$2:$C$305,C793,'Incoming POs'!$G$2:$G$305,"&gt;="&amp;D793,'Incoming POs'!$G$2:$G$305,"&lt;"&amp;Dashboard!$I$5)</x:f>
        <x:v>0</x:v>
      </x:c>
      <x:c r="Q793" s="1" t="n">
        <x:f>F793*Dashboard!$L$5*MAX(0,Dashboard!$I$5-D793)/30.4375</x:f>
        <x:v>0</x:v>
      </x:c>
      <x:c r="R793" s="1" t="n">
        <x:f>MAX(0,E793+P793-Q793)</x:f>
        <x:v>500</x:v>
      </x:c>
      <x:c r="S793" s="1" t="n">
        <x:f>MAX(0,Q793-E793-P793)</x:f>
        <x:v>0</x:v>
      </x:c>
      <x:c r="T793" s="1" t="str">
        <x:f>IF(L793=1,MAX(0,I793+AB793-MIN(Q793,E793+P793)),"n.a.")</x:f>
        <x:v>n.a.</x:v>
      </x:c>
      <x:c r="U793" s="9" t="str">
        <x:f>IF(ISNUMBER(T793),T793*G793,"n.a.")</x:f>
        <x:v>n.a.</x:v>
      </x:c>
      <x:c r="V793" s="25" t="n">
        <x:f>IF(Dashboard!$I$6="Flat %",1,IF(ISNUMBER(H793),1,0))</x:f>
        <x:v>1</x:v>
      </x:c>
      <x:c r="W793" s="9" t="n">
        <x:f>IF(Dashboard!$I$6="Flat %",G793*(1+Dashboard!$L$6),H793)</x:f>
        <x:v>0.11921699999999999</x:v>
      </x:c>
      <x:c r="X793" s="9" t="n">
        <x:f>IF(V793=1,R793*(W793-G793),"n.a.")</x:f>
        <x:v>8.6585</x:v>
      </x:c>
      <x:c r="Y793" s="9" t="n">
        <x:f>IF(V793=1,R793*W793,"n.a.")</x:f>
        <x:v>59.60849999999999</x:v>
      </x:c>
      <x:c r="Z793" s="1" t="str">
        <x:f>IF(ISNUMBER(T793),R793-T793,"n.a.")</x:f>
        <x:v>n.a.</x:v>
      </x:c>
      <x:c r="AA793" s="1" t="str">
        <x:f>'Inventory inputs'!R793</x:f>
        <x:v>Review receipt reconciliation or original PO baseline</x:v>
      </x:c>
      <x:c r="AB793" s="1" t="str">
        <x:f>IF(L793=1,SUMIFS('Incoming POs'!$P$2:$P$305,'Incoming POs'!$A$2:$A$305,A793,'Incoming POs'!$B$2:$B$305,B793,'Incoming POs'!$C$2:$C$305,C793,'Incoming POs'!$G$2:$G$305,"&gt;="&amp;D793,'Incoming POs'!$G$2:$G$305,"&lt;"&amp;Dashboard!$I$5,'Incoming POs'!$Q$2:$Q$305,"&lt;="&amp;('Inventory inputs'!P793/'Inventory inputs'!J793*1.01)),"n.a.")</x:f>
        <x:v>n.a.</x:v>
      </x:c>
      <x:c r="AC793" s="9" t="n">
        <x:f>I793*G793</x:f>
        <x:v>0</x:v>
      </x:c>
      <x:c r="AD793" s="9" t="n">
        <x:f>J793*G793</x:f>
        <x:v>0</x:v>
      </x:c>
      <x:c r="AE793" s="9" t="n">
        <x:f>K793*G793</x:f>
        <x:v>50.949999999999996</x:v>
      </x:c>
      <x:c r="AF793" s="9" t="n">
        <x:f>R793*G793</x:f>
        <x:v>50.949999999999996</x:v>
      </x:c>
    </x:row>
    <x:row r="794" ht="21" customHeight="1">
      <x:c r="A794" s="1" t="str">
        <x:f>'Inventory inputs'!A794</x:f>
        <x:v>PLAS</x:v>
      </x:c>
      <x:c r="B794" s="1" t="str">
        <x:f>'Inventory inputs'!B794</x:f>
        <x:v>60</x:v>
      </x:c>
      <x:c r="C794" s="1" t="str">
        <x:f>'Inventory inputs'!C794</x:f>
        <x:v>00219RSLBLU</x:v>
      </x:c>
      <x:c r="D794" s="7" t="n">
        <x:f>'Inventory inputs'!E794</x:f>
        <x:v>46303</x:v>
      </x:c>
      <x:c r="E794" s="1" t="n">
        <x:f>'Inventory inputs'!F794</x:f>
        <x:v>160</x:v>
      </x:c>
      <x:c r="F794" s="1" t="n">
        <x:f>'Inventory inputs'!G794</x:f>
        <x:v>0</x:v>
      </x:c>
      <x:c r="G794" s="1" t="n">
        <x:f>'Inventory inputs'!H794/'Inventory inputs'!J794</x:f>
        <x:v>0.1477</x:v>
      </x:c>
      <x:c r="H794" s="1" t="n">
        <x:f>IF('Inventory inputs'!I794&gt;0,'Inventory inputs'!I794*'Inventory inputs'!K794/'Inventory inputs'!J794,"n.a.")</x:f>
        <x:v>0.172872</x:v>
      </x:c>
      <x:c r="I794" s="1" t="n">
        <x:f>'Inventory inputs'!L794</x:f>
        <x:v>0</x:v>
      </x:c>
      <x:c r="J794" s="1" t="n">
        <x:f>'Inventory inputs'!M794</x:f>
        <x:v>0</x:v>
      </x:c>
      <x:c r="K794" s="1" t="n">
        <x:f>'Inventory inputs'!N794</x:f>
        <x:v>160</x:v>
      </x:c>
      <x:c r="L794" s="1" t="n">
        <x:f>'Inventory inputs'!O794</x:f>
        <x:v>0</x:v>
      </x:c>
      <x:c r="M794" s="9" t="n">
        <x:f>E794*G794</x:f>
        <x:v>23.631999999999998</x:v>
      </x:c>
      <x:c r="N794" s="9" t="n">
        <x:f>'Inventory inputs'!Q794</x:f>
        <x:v>23.631999999999998</x:v>
      </x:c>
      <x:c r="O794" s="9" t="n">
        <x:f>N794-M794</x:f>
        <x:v>0</x:v>
      </x:c>
      <x:c r="P794" s="1" t="n">
        <x:f>SUMIFS('Incoming POs'!$P$2:$P$305,'Incoming POs'!$A$2:$A$305,A794,'Incoming POs'!$B$2:$B$305,B794,'Incoming POs'!$C$2:$C$305,C794,'Incoming POs'!$G$2:$G$305,"&gt;="&amp;D794,'Incoming POs'!$G$2:$G$305,"&lt;"&amp;Dashboard!$I$5)</x:f>
        <x:v>0</x:v>
      </x:c>
      <x:c r="Q794" s="1" t="n">
        <x:f>F794*Dashboard!$L$5*MAX(0,Dashboard!$I$5-D794)/30.4375</x:f>
        <x:v>0</x:v>
      </x:c>
      <x:c r="R794" s="1" t="n">
        <x:f>MAX(0,E794+P794-Q794)</x:f>
        <x:v>160</x:v>
      </x:c>
      <x:c r="S794" s="1" t="n">
        <x:f>MAX(0,Q794-E794-P794)</x:f>
        <x:v>0</x:v>
      </x:c>
      <x:c r="T794" s="1" t="str">
        <x:f>IF(L794=1,MAX(0,I794+AB794-MIN(Q794,E794+P794)),"n.a.")</x:f>
        <x:v>n.a.</x:v>
      </x:c>
      <x:c r="U794" s="9" t="str">
        <x:f>IF(ISNUMBER(T794),T794*G794,"n.a.")</x:f>
        <x:v>n.a.</x:v>
      </x:c>
      <x:c r="V794" s="25" t="n">
        <x:f>IF(Dashboard!$I$6="Flat %",1,IF(ISNUMBER(H794),1,0))</x:f>
        <x:v>1</x:v>
      </x:c>
      <x:c r="W794" s="9" t="n">
        <x:f>IF(Dashboard!$I$6="Flat %",G794*(1+Dashboard!$L$6),H794)</x:f>
        <x:v>0.172872</x:v>
      </x:c>
      <x:c r="X794" s="9" t="n">
        <x:f>IF(V794=1,R794*(W794-G794),"n.a.")</x:f>
        <x:v>4.02752</x:v>
      </x:c>
      <x:c r="Y794" s="9" t="n">
        <x:f>IF(V794=1,R794*W794,"n.a.")</x:f>
        <x:v>27.65952</x:v>
      </x:c>
      <x:c r="Z794" s="1" t="str">
        <x:f>IF(ISNUMBER(T794),R794-T794,"n.a.")</x:f>
        <x:v>n.a.</x:v>
      </x:c>
      <x:c r="AA794" s="1" t="str">
        <x:f>'Inventory inputs'!R794</x:f>
        <x:v>Review receipt reconciliation or original PO baseline</x:v>
      </x:c>
      <x:c r="AB794" s="1" t="str">
        <x:f>IF(L794=1,SUMIFS('Incoming POs'!$P$2:$P$305,'Incoming POs'!$A$2:$A$305,A794,'Incoming POs'!$B$2:$B$305,B794,'Incoming POs'!$C$2:$C$305,C794,'Incoming POs'!$G$2:$G$305,"&gt;="&amp;D794,'Incoming POs'!$G$2:$G$305,"&lt;"&amp;Dashboard!$I$5,'Incoming POs'!$Q$2:$Q$305,"&lt;="&amp;('Inventory inputs'!P794/'Inventory inputs'!J794*1.01)),"n.a.")</x:f>
        <x:v>n.a.</x:v>
      </x:c>
      <x:c r="AC794" s="9" t="n">
        <x:f>I794*G794</x:f>
        <x:v>0</x:v>
      </x:c>
      <x:c r="AD794" s="9" t="n">
        <x:f>J794*G794</x:f>
        <x:v>0</x:v>
      </x:c>
      <x:c r="AE794" s="9" t="n">
        <x:f>K794*G794</x:f>
        <x:v>23.631999999999998</x:v>
      </x:c>
      <x:c r="AF794" s="9" t="n">
        <x:f>R794*G794</x:f>
        <x:v>23.631999999999998</x:v>
      </x:c>
    </x:row>
    <x:row r="795" ht="21" customHeight="1">
      <x:c r="A795" s="1" t="str">
        <x:f>'Inventory inputs'!A795</x:f>
        <x:v>PLAS</x:v>
      </x:c>
      <x:c r="B795" s="1" t="str">
        <x:f>'Inventory inputs'!B795</x:f>
        <x:v>60</x:v>
      </x:c>
      <x:c r="C795" s="1" t="str">
        <x:f>'Inventory inputs'!C795</x:f>
        <x:v>00219RSLCLR</x:v>
      </x:c>
      <x:c r="D795" s="7" t="n">
        <x:f>'Inventory inputs'!E795</x:f>
        <x:v>46303</x:v>
      </x:c>
      <x:c r="E795" s="1" t="n">
        <x:f>'Inventory inputs'!F795</x:f>
        <x:v>400</x:v>
      </x:c>
      <x:c r="F795" s="1" t="n">
        <x:f>'Inventory inputs'!G795</x:f>
        <x:v>0</x:v>
      </x:c>
      <x:c r="G795" s="1" t="n">
        <x:f>'Inventory inputs'!H795/'Inventory inputs'!J795</x:f>
        <x:v>0.1477</x:v>
      </x:c>
      <x:c r="H795" s="1" t="n">
        <x:f>IF('Inventory inputs'!I795&gt;0,'Inventory inputs'!I795*'Inventory inputs'!K795/'Inventory inputs'!J795,"n.a.")</x:f>
        <x:v>0.172872</x:v>
      </x:c>
      <x:c r="I795" s="1" t="n">
        <x:f>'Inventory inputs'!L795</x:f>
        <x:v>0</x:v>
      </x:c>
      <x:c r="J795" s="1" t="n">
        <x:f>'Inventory inputs'!M795</x:f>
        <x:v>0</x:v>
      </x:c>
      <x:c r="K795" s="1" t="n">
        <x:f>'Inventory inputs'!N795</x:f>
        <x:v>400</x:v>
      </x:c>
      <x:c r="L795" s="1" t="n">
        <x:f>'Inventory inputs'!O795</x:f>
        <x:v>0</x:v>
      </x:c>
      <x:c r="M795" s="9" t="n">
        <x:f>E795*G795</x:f>
        <x:v>59.08</x:v>
      </x:c>
      <x:c r="N795" s="9" t="n">
        <x:f>'Inventory inputs'!Q795</x:f>
        <x:v>59.08</x:v>
      </x:c>
      <x:c r="O795" s="9" t="n">
        <x:f>N795-M795</x:f>
        <x:v>0</x:v>
      </x:c>
      <x:c r="P795" s="1" t="n">
        <x:f>SUMIFS('Incoming POs'!$P$2:$P$305,'Incoming POs'!$A$2:$A$305,A795,'Incoming POs'!$B$2:$B$305,B795,'Incoming POs'!$C$2:$C$305,C795,'Incoming POs'!$G$2:$G$305,"&gt;="&amp;D795,'Incoming POs'!$G$2:$G$305,"&lt;"&amp;Dashboard!$I$5)</x:f>
        <x:v>0</x:v>
      </x:c>
      <x:c r="Q795" s="1" t="n">
        <x:f>F795*Dashboard!$L$5*MAX(0,Dashboard!$I$5-D795)/30.4375</x:f>
        <x:v>0</x:v>
      </x:c>
      <x:c r="R795" s="1" t="n">
        <x:f>MAX(0,E795+P795-Q795)</x:f>
        <x:v>400</x:v>
      </x:c>
      <x:c r="S795" s="1" t="n">
        <x:f>MAX(0,Q795-E795-P795)</x:f>
        <x:v>0</x:v>
      </x:c>
      <x:c r="T795" s="1" t="str">
        <x:f>IF(L795=1,MAX(0,I795+AB795-MIN(Q795,E795+P795)),"n.a.")</x:f>
        <x:v>n.a.</x:v>
      </x:c>
      <x:c r="U795" s="9" t="str">
        <x:f>IF(ISNUMBER(T795),T795*G795,"n.a.")</x:f>
        <x:v>n.a.</x:v>
      </x:c>
      <x:c r="V795" s="25" t="n">
        <x:f>IF(Dashboard!$I$6="Flat %",1,IF(ISNUMBER(H795),1,0))</x:f>
        <x:v>1</x:v>
      </x:c>
      <x:c r="W795" s="9" t="n">
        <x:f>IF(Dashboard!$I$6="Flat %",G795*(1+Dashboard!$L$6),H795)</x:f>
        <x:v>0.172872</x:v>
      </x:c>
      <x:c r="X795" s="9" t="n">
        <x:f>IF(V795=1,R795*(W795-G795),"n.a.")</x:f>
        <x:v>10.0688</x:v>
      </x:c>
      <x:c r="Y795" s="9" t="n">
        <x:f>IF(V795=1,R795*W795,"n.a.")</x:f>
        <x:v>69.1488</x:v>
      </x:c>
      <x:c r="Z795" s="1" t="str">
        <x:f>IF(ISNUMBER(T795),R795-T795,"n.a.")</x:f>
        <x:v>n.a.</x:v>
      </x:c>
      <x:c r="AA795" s="1" t="str">
        <x:f>'Inventory inputs'!R795</x:f>
        <x:v>Review receipt reconciliation or original PO baseline</x:v>
      </x:c>
      <x:c r="AB795" s="1" t="str">
        <x:f>IF(L795=1,SUMIFS('Incoming POs'!$P$2:$P$305,'Incoming POs'!$A$2:$A$305,A795,'Incoming POs'!$B$2:$B$305,B795,'Incoming POs'!$C$2:$C$305,C795,'Incoming POs'!$G$2:$G$305,"&gt;="&amp;D795,'Incoming POs'!$G$2:$G$305,"&lt;"&amp;Dashboard!$I$5,'Incoming POs'!$Q$2:$Q$305,"&lt;="&amp;('Inventory inputs'!P795/'Inventory inputs'!J795*1.01)),"n.a.")</x:f>
        <x:v>n.a.</x:v>
      </x:c>
      <x:c r="AC795" s="9" t="n">
        <x:f>I795*G795</x:f>
        <x:v>0</x:v>
      </x:c>
      <x:c r="AD795" s="9" t="n">
        <x:f>J795*G795</x:f>
        <x:v>0</x:v>
      </x:c>
      <x:c r="AE795" s="9" t="n">
        <x:f>K795*G795</x:f>
        <x:v>59.08</x:v>
      </x:c>
      <x:c r="AF795" s="9" t="n">
        <x:f>R795*G795</x:f>
        <x:v>59.08</x:v>
      </x:c>
    </x:row>
    <x:row r="796" ht="21" customHeight="1">
      <x:c r="A796" s="1" t="str">
        <x:f>'Inventory inputs'!A796</x:f>
        <x:v>PLAS</x:v>
      </x:c>
      <x:c r="B796" s="1" t="str">
        <x:f>'Inventory inputs'!B796</x:f>
        <x:v>60</x:v>
      </x:c>
      <x:c r="C796" s="1" t="str">
        <x:f>'Inventory inputs'!C796</x:f>
        <x:v>00219RSLFG</x:v>
      </x:c>
      <x:c r="D796" s="7" t="n">
        <x:f>'Inventory inputs'!E796</x:f>
        <x:v>46303</x:v>
      </x:c>
      <x:c r="E796" s="1" t="n">
        <x:f>'Inventory inputs'!F796</x:f>
        <x:v>120</x:v>
      </x:c>
      <x:c r="F796" s="1" t="n">
        <x:f>'Inventory inputs'!G796</x:f>
        <x:v>0</x:v>
      </x:c>
      <x:c r="G796" s="1" t="n">
        <x:f>'Inventory inputs'!H796/'Inventory inputs'!J796</x:f>
        <x:v>0.1477</x:v>
      </x:c>
      <x:c r="H796" s="1" t="n">
        <x:f>IF('Inventory inputs'!I796&gt;0,'Inventory inputs'!I796*'Inventory inputs'!K796/'Inventory inputs'!J796,"n.a.")</x:f>
        <x:v>0.172872</x:v>
      </x:c>
      <x:c r="I796" s="1" t="n">
        <x:f>'Inventory inputs'!L796</x:f>
        <x:v>0</x:v>
      </x:c>
      <x:c r="J796" s="1" t="n">
        <x:f>'Inventory inputs'!M796</x:f>
        <x:v>0</x:v>
      </x:c>
      <x:c r="K796" s="1" t="n">
        <x:f>'Inventory inputs'!N796</x:f>
        <x:v>120</x:v>
      </x:c>
      <x:c r="L796" s="1" t="n">
        <x:f>'Inventory inputs'!O796</x:f>
        <x:v>0</x:v>
      </x:c>
      <x:c r="M796" s="9" t="n">
        <x:f>E796*G796</x:f>
        <x:v>17.724</x:v>
      </x:c>
      <x:c r="N796" s="9" t="n">
        <x:f>'Inventory inputs'!Q796</x:f>
        <x:v>17.724</x:v>
      </x:c>
      <x:c r="O796" s="9" t="n">
        <x:f>N796-M796</x:f>
        <x:v>0</x:v>
      </x:c>
      <x:c r="P796" s="1" t="n">
        <x:f>SUMIFS('Incoming POs'!$P$2:$P$305,'Incoming POs'!$A$2:$A$305,A796,'Incoming POs'!$B$2:$B$305,B796,'Incoming POs'!$C$2:$C$305,C796,'Incoming POs'!$G$2:$G$305,"&gt;="&amp;D796,'Incoming POs'!$G$2:$G$305,"&lt;"&amp;Dashboard!$I$5)</x:f>
        <x:v>0</x:v>
      </x:c>
      <x:c r="Q796" s="1" t="n">
        <x:f>F796*Dashboard!$L$5*MAX(0,Dashboard!$I$5-D796)/30.4375</x:f>
        <x:v>0</x:v>
      </x:c>
      <x:c r="R796" s="1" t="n">
        <x:f>MAX(0,E796+P796-Q796)</x:f>
        <x:v>120</x:v>
      </x:c>
      <x:c r="S796" s="1" t="n">
        <x:f>MAX(0,Q796-E796-P796)</x:f>
        <x:v>0</x:v>
      </x:c>
      <x:c r="T796" s="1" t="str">
        <x:f>IF(L796=1,MAX(0,I796+AB796-MIN(Q796,E796+P796)),"n.a.")</x:f>
        <x:v>n.a.</x:v>
      </x:c>
      <x:c r="U796" s="9" t="str">
        <x:f>IF(ISNUMBER(T796),T796*G796,"n.a.")</x:f>
        <x:v>n.a.</x:v>
      </x:c>
      <x:c r="V796" s="25" t="n">
        <x:f>IF(Dashboard!$I$6="Flat %",1,IF(ISNUMBER(H796),1,0))</x:f>
        <x:v>1</x:v>
      </x:c>
      <x:c r="W796" s="9" t="n">
        <x:f>IF(Dashboard!$I$6="Flat %",G796*(1+Dashboard!$L$6),H796)</x:f>
        <x:v>0.172872</x:v>
      </x:c>
      <x:c r="X796" s="9" t="n">
        <x:f>IF(V796=1,R796*(W796-G796),"n.a.")</x:f>
        <x:v>3.02064</x:v>
      </x:c>
      <x:c r="Y796" s="9" t="n">
        <x:f>IF(V796=1,R796*W796,"n.a.")</x:f>
        <x:v>20.74464</x:v>
      </x:c>
      <x:c r="Z796" s="1" t="str">
        <x:f>IF(ISNUMBER(T796),R796-T796,"n.a.")</x:f>
        <x:v>n.a.</x:v>
      </x:c>
      <x:c r="AA796" s="1" t="str">
        <x:f>'Inventory inputs'!R796</x:f>
        <x:v>Review receipt reconciliation or original PO baseline</x:v>
      </x:c>
      <x:c r="AB796" s="1" t="str">
        <x:f>IF(L796=1,SUMIFS('Incoming POs'!$P$2:$P$305,'Incoming POs'!$A$2:$A$305,A796,'Incoming POs'!$B$2:$B$305,B796,'Incoming POs'!$C$2:$C$305,C796,'Incoming POs'!$G$2:$G$305,"&gt;="&amp;D796,'Incoming POs'!$G$2:$G$305,"&lt;"&amp;Dashboard!$I$5,'Incoming POs'!$Q$2:$Q$305,"&lt;="&amp;('Inventory inputs'!P796/'Inventory inputs'!J796*1.01)),"n.a.")</x:f>
        <x:v>n.a.</x:v>
      </x:c>
      <x:c r="AC796" s="9" t="n">
        <x:f>I796*G796</x:f>
        <x:v>0</x:v>
      </x:c>
      <x:c r="AD796" s="9" t="n">
        <x:f>J796*G796</x:f>
        <x:v>0</x:v>
      </x:c>
      <x:c r="AE796" s="9" t="n">
        <x:f>K796*G796</x:f>
        <x:v>17.724</x:v>
      </x:c>
      <x:c r="AF796" s="9" t="n">
        <x:f>R796*G796</x:f>
        <x:v>17.724</x:v>
      </x:c>
    </x:row>
    <x:row r="797" ht="21" customHeight="1">
      <x:c r="A797" s="1" t="str">
        <x:f>'Inventory inputs'!A797</x:f>
        <x:v>PLAS</x:v>
      </x:c>
      <x:c r="B797" s="1" t="str">
        <x:f>'Inventory inputs'!B797</x:f>
        <x:v>60</x:v>
      </x:c>
      <x:c r="C797" s="1" t="str">
        <x:f>'Inventory inputs'!C797</x:f>
        <x:v>00219RSLRED</x:v>
      </x:c>
      <x:c r="D797" s="7" t="n">
        <x:f>'Inventory inputs'!E797</x:f>
        <x:v>46303</x:v>
      </x:c>
      <x:c r="E797" s="1" t="n">
        <x:f>'Inventory inputs'!F797</x:f>
        <x:v>1120</x:v>
      </x:c>
      <x:c r="F797" s="1" t="n">
        <x:f>'Inventory inputs'!G797</x:f>
        <x:v>0</x:v>
      </x:c>
      <x:c r="G797" s="1" t="n">
        <x:f>'Inventory inputs'!H797/'Inventory inputs'!J797</x:f>
        <x:v>0.1477</x:v>
      </x:c>
      <x:c r="H797" s="1" t="n">
        <x:f>IF('Inventory inputs'!I797&gt;0,'Inventory inputs'!I797*'Inventory inputs'!K797/'Inventory inputs'!J797,"n.a.")</x:f>
        <x:v>0.172872</x:v>
      </x:c>
      <x:c r="I797" s="1" t="n">
        <x:f>'Inventory inputs'!L797</x:f>
        <x:v>0</x:v>
      </x:c>
      <x:c r="J797" s="1" t="n">
        <x:f>'Inventory inputs'!M797</x:f>
        <x:v>0</x:v>
      </x:c>
      <x:c r="K797" s="1" t="n">
        <x:f>'Inventory inputs'!N797</x:f>
        <x:v>1120</x:v>
      </x:c>
      <x:c r="L797" s="1" t="n">
        <x:f>'Inventory inputs'!O797</x:f>
        <x:v>0</x:v>
      </x:c>
      <x:c r="M797" s="9" t="n">
        <x:f>E797*G797</x:f>
        <x:v>165.424</x:v>
      </x:c>
      <x:c r="N797" s="9" t="n">
        <x:f>'Inventory inputs'!Q797</x:f>
        <x:v>165.42399999999998</x:v>
      </x:c>
      <x:c r="O797" s="9" t="n">
        <x:f>N797-M797</x:f>
        <x:v>-2.842170943040401e-14</x:v>
      </x:c>
      <x:c r="P797" s="1" t="n">
        <x:f>SUMIFS('Incoming POs'!$P$2:$P$305,'Incoming POs'!$A$2:$A$305,A797,'Incoming POs'!$B$2:$B$305,B797,'Incoming POs'!$C$2:$C$305,C797,'Incoming POs'!$G$2:$G$305,"&gt;="&amp;D797,'Incoming POs'!$G$2:$G$305,"&lt;"&amp;Dashboard!$I$5)</x:f>
        <x:v>0</x:v>
      </x:c>
      <x:c r="Q797" s="1" t="n">
        <x:f>F797*Dashboard!$L$5*MAX(0,Dashboard!$I$5-D797)/30.4375</x:f>
        <x:v>0</x:v>
      </x:c>
      <x:c r="R797" s="1" t="n">
        <x:f>MAX(0,E797+P797-Q797)</x:f>
        <x:v>1120</x:v>
      </x:c>
      <x:c r="S797" s="1" t="n">
        <x:f>MAX(0,Q797-E797-P797)</x:f>
        <x:v>0</x:v>
      </x:c>
      <x:c r="T797" s="1" t="str">
        <x:f>IF(L797=1,MAX(0,I797+AB797-MIN(Q797,E797+P797)),"n.a.")</x:f>
        <x:v>n.a.</x:v>
      </x:c>
      <x:c r="U797" s="9" t="str">
        <x:f>IF(ISNUMBER(T797),T797*G797,"n.a.")</x:f>
        <x:v>n.a.</x:v>
      </x:c>
      <x:c r="V797" s="25" t="n">
        <x:f>IF(Dashboard!$I$6="Flat %",1,IF(ISNUMBER(H797),1,0))</x:f>
        <x:v>1</x:v>
      </x:c>
      <x:c r="W797" s="9" t="n">
        <x:f>IF(Dashboard!$I$6="Flat %",G797*(1+Dashboard!$L$6),H797)</x:f>
        <x:v>0.172872</x:v>
      </x:c>
      <x:c r="X797" s="9" t="n">
        <x:f>IF(V797=1,R797*(W797-G797),"n.a.")</x:f>
        <x:v>28.19264</x:v>
      </x:c>
      <x:c r="Y797" s="9" t="n">
        <x:f>IF(V797=1,R797*W797,"n.a.")</x:f>
        <x:v>193.61664</x:v>
      </x:c>
      <x:c r="Z797" s="1" t="str">
        <x:f>IF(ISNUMBER(T797),R797-T797,"n.a.")</x:f>
        <x:v>n.a.</x:v>
      </x:c>
      <x:c r="AA797" s="1" t="str">
        <x:f>'Inventory inputs'!R797</x:f>
        <x:v>Review receipt reconciliation or original PO baseline</x:v>
      </x:c>
      <x:c r="AB797" s="1" t="str">
        <x:f>IF(L797=1,SUMIFS('Incoming POs'!$P$2:$P$305,'Incoming POs'!$A$2:$A$305,A797,'Incoming POs'!$B$2:$B$305,B797,'Incoming POs'!$C$2:$C$305,C797,'Incoming POs'!$G$2:$G$305,"&gt;="&amp;D797,'Incoming POs'!$G$2:$G$305,"&lt;"&amp;Dashboard!$I$5,'Incoming POs'!$Q$2:$Q$305,"&lt;="&amp;('Inventory inputs'!P797/'Inventory inputs'!J797*1.01)),"n.a.")</x:f>
        <x:v>n.a.</x:v>
      </x:c>
      <x:c r="AC797" s="9" t="n">
        <x:f>I797*G797</x:f>
        <x:v>0</x:v>
      </x:c>
      <x:c r="AD797" s="9" t="n">
        <x:f>J797*G797</x:f>
        <x:v>0</x:v>
      </x:c>
      <x:c r="AE797" s="9" t="n">
        <x:f>K797*G797</x:f>
        <x:v>165.424</x:v>
      </x:c>
      <x:c r="AF797" s="9" t="n">
        <x:f>R797*G797</x:f>
        <x:v>165.424</x:v>
      </x:c>
    </x:row>
    <x:row r="798" ht="21" customHeight="1">
      <x:c r="A798" s="1" t="str">
        <x:f>'Inventory inputs'!A798</x:f>
        <x:v>PLAS</x:v>
      </x:c>
      <x:c r="B798" s="1" t="str">
        <x:f>'Inventory inputs'!B798</x:f>
        <x:v>60</x:v>
      </x:c>
      <x:c r="C798" s="1" t="str">
        <x:f>'Inventory inputs'!C798</x:f>
        <x:v>01215RWBBLK</x:v>
      </x:c>
      <x:c r="D798" s="7" t="n">
        <x:f>'Inventory inputs'!E798</x:f>
        <x:v>46303</x:v>
      </x:c>
      <x:c r="E798" s="1" t="n">
        <x:f>'Inventory inputs'!F798</x:f>
        <x:v>2000</x:v>
      </x:c>
      <x:c r="F798" s="1" t="n">
        <x:f>'Inventory inputs'!G798</x:f>
        <x:v>0</x:v>
      </x:c>
      <x:c r="G798" s="1" t="n">
        <x:f>'Inventory inputs'!H798/'Inventory inputs'!J798</x:f>
        <x:v>0.025</x:v>
      </x:c>
      <x:c r="H798" s="1" t="n">
        <x:f>IF('Inventory inputs'!I798&gt;0,'Inventory inputs'!I798*'Inventory inputs'!K798/'Inventory inputs'!J798,"n.a.")</x:f>
        <x:v>0.029253</x:v>
      </x:c>
      <x:c r="I798" s="1" t="n">
        <x:f>'Inventory inputs'!L798</x:f>
        <x:v>0</x:v>
      </x:c>
      <x:c r="J798" s="1" t="n">
        <x:f>'Inventory inputs'!M798</x:f>
        <x:v>0</x:v>
      </x:c>
      <x:c r="K798" s="1" t="n">
        <x:f>'Inventory inputs'!N798</x:f>
        <x:v>2000</x:v>
      </x:c>
      <x:c r="L798" s="1" t="n">
        <x:f>'Inventory inputs'!O798</x:f>
        <x:v>0</x:v>
      </x:c>
      <x:c r="M798" s="9" t="n">
        <x:f>E798*G798</x:f>
        <x:v>50</x:v>
      </x:c>
      <x:c r="N798" s="9" t="n">
        <x:f>'Inventory inputs'!Q798</x:f>
        <x:v>50</x:v>
      </x:c>
      <x:c r="O798" s="9" t="n">
        <x:f>N798-M798</x:f>
        <x:v>0</x:v>
      </x:c>
      <x:c r="P798" s="1" t="n">
        <x:f>SUMIFS('Incoming POs'!$P$2:$P$305,'Incoming POs'!$A$2:$A$305,A798,'Incoming POs'!$B$2:$B$305,B798,'Incoming POs'!$C$2:$C$305,C798,'Incoming POs'!$G$2:$G$305,"&gt;="&amp;D798,'Incoming POs'!$G$2:$G$305,"&lt;"&amp;Dashboard!$I$5)</x:f>
        <x:v>0</x:v>
      </x:c>
      <x:c r="Q798" s="1" t="n">
        <x:f>F798*Dashboard!$L$5*MAX(0,Dashboard!$I$5-D798)/30.4375</x:f>
        <x:v>0</x:v>
      </x:c>
      <x:c r="R798" s="1" t="n">
        <x:f>MAX(0,E798+P798-Q798)</x:f>
        <x:v>2000</x:v>
      </x:c>
      <x:c r="S798" s="1" t="n">
        <x:f>MAX(0,Q798-E798-P798)</x:f>
        <x:v>0</x:v>
      </x:c>
      <x:c r="T798" s="1" t="str">
        <x:f>IF(L798=1,MAX(0,I798+AB798-MIN(Q798,E798+P798)),"n.a.")</x:f>
        <x:v>n.a.</x:v>
      </x:c>
      <x:c r="U798" s="9" t="str">
        <x:f>IF(ISNUMBER(T798),T798*G798,"n.a.")</x:f>
        <x:v>n.a.</x:v>
      </x:c>
      <x:c r="V798" s="25" t="n">
        <x:f>IF(Dashboard!$I$6="Flat %",1,IF(ISNUMBER(H798),1,0))</x:f>
        <x:v>1</x:v>
      </x:c>
      <x:c r="W798" s="9" t="n">
        <x:f>IF(Dashboard!$I$6="Flat %",G798*(1+Dashboard!$L$6),H798)</x:f>
        <x:v>0.029253</x:v>
      </x:c>
      <x:c r="X798" s="9" t="n">
        <x:f>IF(V798=1,R798*(W798-G798),"n.a.")</x:f>
        <x:v>8.506</x:v>
      </x:c>
      <x:c r="Y798" s="9" t="n">
        <x:f>IF(V798=1,R798*W798,"n.a.")</x:f>
        <x:v>58.506</x:v>
      </x:c>
      <x:c r="Z798" s="1" t="str">
        <x:f>IF(ISNUMBER(T798),R798-T798,"n.a.")</x:f>
        <x:v>n.a.</x:v>
      </x:c>
      <x:c r="AA798" s="1" t="str">
        <x:f>'Inventory inputs'!R798</x:f>
        <x:v>Review receipt reconciliation or original PO baseline</x:v>
      </x:c>
      <x:c r="AB798" s="1" t="str">
        <x:f>IF(L798=1,SUMIFS('Incoming POs'!$P$2:$P$305,'Incoming POs'!$A$2:$A$305,A798,'Incoming POs'!$B$2:$B$305,B798,'Incoming POs'!$C$2:$C$305,C798,'Incoming POs'!$G$2:$G$305,"&gt;="&amp;D798,'Incoming POs'!$G$2:$G$305,"&lt;"&amp;Dashboard!$I$5,'Incoming POs'!$Q$2:$Q$305,"&lt;="&amp;('Inventory inputs'!P798/'Inventory inputs'!J798*1.01)),"n.a.")</x:f>
        <x:v>n.a.</x:v>
      </x:c>
      <x:c r="AC798" s="9" t="n">
        <x:f>I798*G798</x:f>
        <x:v>0</x:v>
      </x:c>
      <x:c r="AD798" s="9" t="n">
        <x:f>J798*G798</x:f>
        <x:v>0</x:v>
      </x:c>
      <x:c r="AE798" s="9" t="n">
        <x:f>K798*G798</x:f>
        <x:v>50</x:v>
      </x:c>
      <x:c r="AF798" s="9" t="n">
        <x:f>R798*G798</x:f>
        <x:v>50</x:v>
      </x:c>
    </x:row>
    <x:row r="799" ht="21" customHeight="1">
      <x:c r="A799" s="1" t="str">
        <x:f>'Inventory inputs'!A799</x:f>
        <x:v>PLAS</x:v>
      </x:c>
      <x:c r="B799" s="1" t="str">
        <x:f>'Inventory inputs'!B799</x:f>
        <x:v>60</x:v>
      </x:c>
      <x:c r="C799" s="1" t="str">
        <x:f>'Inventory inputs'!C799</x:f>
        <x:v>01219RWBRED</x:v>
      </x:c>
      <x:c r="D799" s="7" t="n">
        <x:f>'Inventory inputs'!E799</x:f>
        <x:v>46303</x:v>
      </x:c>
      <x:c r="E799" s="1" t="n">
        <x:f>'Inventory inputs'!F799</x:f>
        <x:v>1100</x:v>
      </x:c>
      <x:c r="F799" s="1" t="n">
        <x:f>'Inventory inputs'!G799</x:f>
        <x:v>0</x:v>
      </x:c>
      <x:c r="G799" s="1" t="n">
        <x:f>'Inventory inputs'!H799/'Inventory inputs'!J799</x:f>
        <x:v>0.036000000000000004</x:v>
      </x:c>
      <x:c r="H799" s="1" t="n">
        <x:f>IF('Inventory inputs'!I799&gt;0,'Inventory inputs'!I799*'Inventory inputs'!K799/'Inventory inputs'!J799,"n.a.")</x:f>
        <x:v>0.042189</x:v>
      </x:c>
      <x:c r="I799" s="1" t="n">
        <x:f>'Inventory inputs'!L799</x:f>
        <x:v>0</x:v>
      </x:c>
      <x:c r="J799" s="1" t="n">
        <x:f>'Inventory inputs'!M799</x:f>
        <x:v>0</x:v>
      </x:c>
      <x:c r="K799" s="1" t="n">
        <x:f>'Inventory inputs'!N799</x:f>
        <x:v>1100</x:v>
      </x:c>
      <x:c r="L799" s="1" t="n">
        <x:f>'Inventory inputs'!O799</x:f>
        <x:v>0</x:v>
      </x:c>
      <x:c r="M799" s="9" t="n">
        <x:f>E799*G799</x:f>
        <x:v>39.6</x:v>
      </x:c>
      <x:c r="N799" s="9" t="n">
        <x:f>'Inventory inputs'!Q799</x:f>
        <x:v>39.6</x:v>
      </x:c>
      <x:c r="O799" s="9" t="n">
        <x:f>N799-M799</x:f>
        <x:v>0</x:v>
      </x:c>
      <x:c r="P799" s="1" t="n">
        <x:f>SUMIFS('Incoming POs'!$P$2:$P$305,'Incoming POs'!$A$2:$A$305,A799,'Incoming POs'!$B$2:$B$305,B799,'Incoming POs'!$C$2:$C$305,C799,'Incoming POs'!$G$2:$G$305,"&gt;="&amp;D799,'Incoming POs'!$G$2:$G$305,"&lt;"&amp;Dashboard!$I$5)</x:f>
        <x:v>0</x:v>
      </x:c>
      <x:c r="Q799" s="1" t="n">
        <x:f>F799*Dashboard!$L$5*MAX(0,Dashboard!$I$5-D799)/30.4375</x:f>
        <x:v>0</x:v>
      </x:c>
      <x:c r="R799" s="1" t="n">
        <x:f>MAX(0,E799+P799-Q799)</x:f>
        <x:v>1100</x:v>
      </x:c>
      <x:c r="S799" s="1" t="n">
        <x:f>MAX(0,Q799-E799-P799)</x:f>
        <x:v>0</x:v>
      </x:c>
      <x:c r="T799" s="1" t="str">
        <x:f>IF(L799=1,MAX(0,I799+AB799-MIN(Q799,E799+P799)),"n.a.")</x:f>
        <x:v>n.a.</x:v>
      </x:c>
      <x:c r="U799" s="9" t="str">
        <x:f>IF(ISNUMBER(T799),T799*G799,"n.a.")</x:f>
        <x:v>n.a.</x:v>
      </x:c>
      <x:c r="V799" s="25" t="n">
        <x:f>IF(Dashboard!$I$6="Flat %",1,IF(ISNUMBER(H799),1,0))</x:f>
        <x:v>1</x:v>
      </x:c>
      <x:c r="W799" s="9" t="n">
        <x:f>IF(Dashboard!$I$6="Flat %",G799*(1+Dashboard!$L$6),H799)</x:f>
        <x:v>0.042189</x:v>
      </x:c>
      <x:c r="X799" s="9" t="n">
        <x:f>IF(V799=1,R799*(W799-G799),"n.a.")</x:f>
        <x:v>6.807899999999992</x:v>
      </x:c>
      <x:c r="Y799" s="9" t="n">
        <x:f>IF(V799=1,R799*W799,"n.a.")</x:f>
        <x:v>46.4079</x:v>
      </x:c>
      <x:c r="Z799" s="1" t="str">
        <x:f>IF(ISNUMBER(T799),R799-T799,"n.a.")</x:f>
        <x:v>n.a.</x:v>
      </x:c>
      <x:c r="AA799" s="1" t="str">
        <x:f>'Inventory inputs'!R799</x:f>
        <x:v>Review receipt reconciliation or original PO baseline</x:v>
      </x:c>
      <x:c r="AB799" s="1" t="str">
        <x:f>IF(L799=1,SUMIFS('Incoming POs'!$P$2:$P$305,'Incoming POs'!$A$2:$A$305,A799,'Incoming POs'!$B$2:$B$305,B799,'Incoming POs'!$C$2:$C$305,C799,'Incoming POs'!$G$2:$G$305,"&gt;="&amp;D799,'Incoming POs'!$G$2:$G$305,"&lt;"&amp;Dashboard!$I$5,'Incoming POs'!$Q$2:$Q$305,"&lt;="&amp;('Inventory inputs'!P799/'Inventory inputs'!J799*1.01)),"n.a.")</x:f>
        <x:v>n.a.</x:v>
      </x:c>
      <x:c r="AC799" s="9" t="n">
        <x:f>I799*G799</x:f>
        <x:v>0</x:v>
      </x:c>
      <x:c r="AD799" s="9" t="n">
        <x:f>J799*G799</x:f>
        <x:v>0</x:v>
      </x:c>
      <x:c r="AE799" s="9" t="n">
        <x:f>K799*G799</x:f>
        <x:v>39.6</x:v>
      </x:c>
      <x:c r="AF799" s="9" t="n">
        <x:f>R799*G799</x:f>
        <x:v>39.6</x:v>
      </x:c>
    </x:row>
    <x:row r="800" ht="21" customHeight="1">
      <x:c r="A800" s="1" t="str">
        <x:f>'Inventory inputs'!A800</x:f>
        <x:v>PLAS</x:v>
      </x:c>
      <x:c r="B800" s="1" t="str">
        <x:f>'Inventory inputs'!B800</x:f>
        <x:v>60</x:v>
      </x:c>
      <x:c r="C800" s="1" t="str">
        <x:f>'Inventory inputs'!C800</x:f>
        <x:v>01280RWBBLK</x:v>
      </x:c>
      <x:c r="D800" s="7" t="n">
        <x:f>'Inventory inputs'!E800</x:f>
        <x:v>46303</x:v>
      </x:c>
      <x:c r="E800" s="1" t="n">
        <x:f>'Inventory inputs'!F800</x:f>
        <x:v>2347</x:v>
      </x:c>
      <x:c r="F800" s="1" t="n">
        <x:f>'Inventory inputs'!G800</x:f>
        <x:v>0</x:v>
      </x:c>
      <x:c r="G800" s="1" t="n">
        <x:f>'Inventory inputs'!H800/'Inventory inputs'!J800</x:f>
        <x:v>0.1386</x:v>
      </x:c>
      <x:c r="H800" s="1" t="n">
        <x:f>IF('Inventory inputs'!I800&gt;0,'Inventory inputs'!I800*'Inventory inputs'!K800/'Inventory inputs'!J800,"n.a.")</x:f>
        <x:v>0.16214099999999998</x:v>
      </x:c>
      <x:c r="I800" s="1" t="n">
        <x:f>'Inventory inputs'!L800</x:f>
        <x:v>0</x:v>
      </x:c>
      <x:c r="J800" s="1" t="n">
        <x:f>'Inventory inputs'!M800</x:f>
        <x:v>0</x:v>
      </x:c>
      <x:c r="K800" s="1" t="n">
        <x:f>'Inventory inputs'!N800</x:f>
        <x:v>2347</x:v>
      </x:c>
      <x:c r="L800" s="1" t="n">
        <x:f>'Inventory inputs'!O800</x:f>
        <x:v>0</x:v>
      </x:c>
      <x:c r="M800" s="9" t="n">
        <x:f>E800*G800</x:f>
        <x:v>325.2942</x:v>
      </x:c>
      <x:c r="N800" s="9" t="n">
        <x:f>'Inventory inputs'!Q800</x:f>
        <x:v>325.2942</x:v>
      </x:c>
      <x:c r="O800" s="9" t="n">
        <x:f>N800-M800</x:f>
        <x:v>0</x:v>
      </x:c>
      <x:c r="P800" s="1" t="n">
        <x:f>SUMIFS('Incoming POs'!$P$2:$P$305,'Incoming POs'!$A$2:$A$305,A800,'Incoming POs'!$B$2:$B$305,B800,'Incoming POs'!$C$2:$C$305,C800,'Incoming POs'!$G$2:$G$305,"&gt;="&amp;D800,'Incoming POs'!$G$2:$G$305,"&lt;"&amp;Dashboard!$I$5)</x:f>
        <x:v>0</x:v>
      </x:c>
      <x:c r="Q800" s="1" t="n">
        <x:f>F800*Dashboard!$L$5*MAX(0,Dashboard!$I$5-D800)/30.4375</x:f>
        <x:v>0</x:v>
      </x:c>
      <x:c r="R800" s="1" t="n">
        <x:f>MAX(0,E800+P800-Q800)</x:f>
        <x:v>2347</x:v>
      </x:c>
      <x:c r="S800" s="1" t="n">
        <x:f>MAX(0,Q800-E800-P800)</x:f>
        <x:v>0</x:v>
      </x:c>
      <x:c r="T800" s="1" t="str">
        <x:f>IF(L800=1,MAX(0,I800+AB800-MIN(Q800,E800+P800)),"n.a.")</x:f>
        <x:v>n.a.</x:v>
      </x:c>
      <x:c r="U800" s="9" t="str">
        <x:f>IF(ISNUMBER(T800),T800*G800,"n.a.")</x:f>
        <x:v>n.a.</x:v>
      </x:c>
      <x:c r="V800" s="25" t="n">
        <x:f>IF(Dashboard!$I$6="Flat %",1,IF(ISNUMBER(H800),1,0))</x:f>
        <x:v>1</x:v>
      </x:c>
      <x:c r="W800" s="9" t="n">
        <x:f>IF(Dashboard!$I$6="Flat %",G800*(1+Dashboard!$L$6),H800)</x:f>
        <x:v>0.16214099999999998</x:v>
      </x:c>
      <x:c r="X800" s="9" t="n">
        <x:f>IF(V800=1,R800*(W800-G800),"n.a.")</x:f>
        <x:v>55.25072699999995</x:v>
      </x:c>
      <x:c r="Y800" s="9" t="n">
        <x:f>IF(V800=1,R800*W800,"n.a.")</x:f>
        <x:v>380.544927</x:v>
      </x:c>
      <x:c r="Z800" s="1" t="str">
        <x:f>IF(ISNUMBER(T800),R800-T800,"n.a.")</x:f>
        <x:v>n.a.</x:v>
      </x:c>
      <x:c r="AA800" s="1" t="str">
        <x:f>'Inventory inputs'!R800</x:f>
        <x:v>Review receipt reconciliation or original PO baseline</x:v>
      </x:c>
      <x:c r="AB800" s="1" t="str">
        <x:f>IF(L800=1,SUMIFS('Incoming POs'!$P$2:$P$305,'Incoming POs'!$A$2:$A$305,A800,'Incoming POs'!$B$2:$B$305,B800,'Incoming POs'!$C$2:$C$305,C800,'Incoming POs'!$G$2:$G$305,"&gt;="&amp;D800,'Incoming POs'!$G$2:$G$305,"&lt;"&amp;Dashboard!$I$5,'Incoming POs'!$Q$2:$Q$305,"&lt;="&amp;('Inventory inputs'!P800/'Inventory inputs'!J800*1.01)),"n.a.")</x:f>
        <x:v>n.a.</x:v>
      </x:c>
      <x:c r="AC800" s="9" t="n">
        <x:f>I800*G800</x:f>
        <x:v>0</x:v>
      </x:c>
      <x:c r="AD800" s="9" t="n">
        <x:f>J800*G800</x:f>
        <x:v>0</x:v>
      </x:c>
      <x:c r="AE800" s="9" t="n">
        <x:f>K800*G800</x:f>
        <x:v>325.2942</x:v>
      </x:c>
      <x:c r="AF800" s="9" t="n">
        <x:f>R800*G800</x:f>
        <x:v>325.2942</x:v>
      </x:c>
    </x:row>
    <x:row r="801" ht="21" customHeight="1">
      <x:c r="A801" s="1" t="str">
        <x:f>'Inventory inputs'!A801</x:f>
        <x:v>PLAS</x:v>
      </x:c>
      <x:c r="B801" s="1" t="str">
        <x:f>'Inventory inputs'!B801</x:f>
        <x:v>60</x:v>
      </x:c>
      <x:c r="C801" s="1" t="str">
        <x:f>'Inventory inputs'!C801</x:f>
        <x:v>01280RWBWHT</x:v>
      </x:c>
      <x:c r="D801" s="7" t="n">
        <x:f>'Inventory inputs'!E801</x:f>
        <x:v>46303</x:v>
      </x:c>
      <x:c r="E801" s="1" t="n">
        <x:f>'Inventory inputs'!F801</x:f>
        <x:v>800</x:v>
      </x:c>
      <x:c r="F801" s="1" t="n">
        <x:f>'Inventory inputs'!G801</x:f>
        <x:v>0</x:v>
      </x:c>
      <x:c r="G801" s="1" t="n">
        <x:f>'Inventory inputs'!H801/'Inventory inputs'!J801</x:f>
        <x:v>0.1386</x:v>
      </x:c>
      <x:c r="H801" s="1" t="n">
        <x:f>IF('Inventory inputs'!I801&gt;0,'Inventory inputs'!I801*'Inventory inputs'!K801/'Inventory inputs'!J801,"n.a.")</x:f>
        <x:v>0.16214099999999998</x:v>
      </x:c>
      <x:c r="I801" s="1" t="n">
        <x:f>'Inventory inputs'!L801</x:f>
        <x:v>0</x:v>
      </x:c>
      <x:c r="J801" s="1" t="n">
        <x:f>'Inventory inputs'!M801</x:f>
        <x:v>0</x:v>
      </x:c>
      <x:c r="K801" s="1" t="n">
        <x:f>'Inventory inputs'!N801</x:f>
        <x:v>800</x:v>
      </x:c>
      <x:c r="L801" s="1" t="n">
        <x:f>'Inventory inputs'!O801</x:f>
        <x:v>0</x:v>
      </x:c>
      <x:c r="M801" s="9" t="n">
        <x:f>E801*G801</x:f>
        <x:v>110.88</x:v>
      </x:c>
      <x:c r="N801" s="9" t="n">
        <x:f>'Inventory inputs'!Q801</x:f>
        <x:v>110.88</x:v>
      </x:c>
      <x:c r="O801" s="9" t="n">
        <x:f>N801-M801</x:f>
        <x:v>0</x:v>
      </x:c>
      <x:c r="P801" s="1" t="n">
        <x:f>SUMIFS('Incoming POs'!$P$2:$P$305,'Incoming POs'!$A$2:$A$305,A801,'Incoming POs'!$B$2:$B$305,B801,'Incoming POs'!$C$2:$C$305,C801,'Incoming POs'!$G$2:$G$305,"&gt;="&amp;D801,'Incoming POs'!$G$2:$G$305,"&lt;"&amp;Dashboard!$I$5)</x:f>
        <x:v>0</x:v>
      </x:c>
      <x:c r="Q801" s="1" t="n">
        <x:f>F801*Dashboard!$L$5*MAX(0,Dashboard!$I$5-D801)/30.4375</x:f>
        <x:v>0</x:v>
      </x:c>
      <x:c r="R801" s="1" t="n">
        <x:f>MAX(0,E801+P801-Q801)</x:f>
        <x:v>800</x:v>
      </x:c>
      <x:c r="S801" s="1" t="n">
        <x:f>MAX(0,Q801-E801-P801)</x:f>
        <x:v>0</x:v>
      </x:c>
      <x:c r="T801" s="1" t="str">
        <x:f>IF(L801=1,MAX(0,I801+AB801-MIN(Q801,E801+P801)),"n.a.")</x:f>
        <x:v>n.a.</x:v>
      </x:c>
      <x:c r="U801" s="9" t="str">
        <x:f>IF(ISNUMBER(T801),T801*G801,"n.a.")</x:f>
        <x:v>n.a.</x:v>
      </x:c>
      <x:c r="V801" s="25" t="n">
        <x:f>IF(Dashboard!$I$6="Flat %",1,IF(ISNUMBER(H801),1,0))</x:f>
        <x:v>1</x:v>
      </x:c>
      <x:c r="W801" s="9" t="n">
        <x:f>IF(Dashboard!$I$6="Flat %",G801*(1+Dashboard!$L$6),H801)</x:f>
        <x:v>0.16214099999999998</x:v>
      </x:c>
      <x:c r="X801" s="9" t="n">
        <x:f>IF(V801=1,R801*(W801-G801),"n.a.")</x:f>
        <x:v>18.832799999999985</x:v>
      </x:c>
      <x:c r="Y801" s="9" t="n">
        <x:f>IF(V801=1,R801*W801,"n.a.")</x:f>
        <x:v>129.7128</x:v>
      </x:c>
      <x:c r="Z801" s="1" t="str">
        <x:f>IF(ISNUMBER(T801),R801-T801,"n.a.")</x:f>
        <x:v>n.a.</x:v>
      </x:c>
      <x:c r="AA801" s="1" t="str">
        <x:f>'Inventory inputs'!R801</x:f>
        <x:v>Review receipt reconciliation or original PO baseline</x:v>
      </x:c>
      <x:c r="AB801" s="1" t="str">
        <x:f>IF(L801=1,SUMIFS('Incoming POs'!$P$2:$P$305,'Incoming POs'!$A$2:$A$305,A801,'Incoming POs'!$B$2:$B$305,B801,'Incoming POs'!$C$2:$C$305,C801,'Incoming POs'!$G$2:$G$305,"&gt;="&amp;D801,'Incoming POs'!$G$2:$G$305,"&lt;"&amp;Dashboard!$I$5,'Incoming POs'!$Q$2:$Q$305,"&lt;="&amp;('Inventory inputs'!P801/'Inventory inputs'!J801*1.01)),"n.a.")</x:f>
        <x:v>n.a.</x:v>
      </x:c>
      <x:c r="AC801" s="9" t="n">
        <x:f>I801*G801</x:f>
        <x:v>0</x:v>
      </x:c>
      <x:c r="AD801" s="9" t="n">
        <x:f>J801*G801</x:f>
        <x:v>0</x:v>
      </x:c>
      <x:c r="AE801" s="9" t="n">
        <x:f>K801*G801</x:f>
        <x:v>110.88</x:v>
      </x:c>
      <x:c r="AF801" s="9" t="n">
        <x:f>R801*G801</x:f>
        <x:v>110.88</x:v>
      </x:c>
    </x:row>
    <x:row r="802" ht="21" customHeight="1">
      <x:c r="A802" s="1" t="str">
        <x:f>'Inventory inputs'!A802</x:f>
        <x:v>PLAS</x:v>
      </x:c>
      <x:c r="B802" s="1" t="str">
        <x:f>'Inventory inputs'!B802</x:f>
        <x:v>60</x:v>
      </x:c>
      <x:c r="C802" s="1" t="str">
        <x:f>'Inventory inputs'!C802</x:f>
        <x:v>01415RWBBLK</x:v>
      </x:c>
      <x:c r="D802" s="7" t="n">
        <x:f>'Inventory inputs'!E802</x:f>
        <x:v>46303</x:v>
      </x:c>
      <x:c r="E802" s="1" t="n">
        <x:f>'Inventory inputs'!F802</x:f>
        <x:v>6300</x:v>
      </x:c>
      <x:c r="F802" s="1" t="n">
        <x:f>'Inventory inputs'!G802</x:f>
        <x:v>0</x:v>
      </x:c>
      <x:c r="G802" s="1" t="n">
        <x:f>'Inventory inputs'!H802/'Inventory inputs'!J802</x:f>
        <x:v>0.0116</x:v>
      </x:c>
      <x:c r="H802" s="1" t="n">
        <x:f>IF('Inventory inputs'!I802&gt;0,'Inventory inputs'!I802*'Inventory inputs'!K802/'Inventory inputs'!J802,"n.a.")</x:f>
        <x:v>0.013524000000000001</x:v>
      </x:c>
      <x:c r="I802" s="1" t="n">
        <x:f>'Inventory inputs'!L802</x:f>
        <x:v>0</x:v>
      </x:c>
      <x:c r="J802" s="1" t="n">
        <x:f>'Inventory inputs'!M802</x:f>
        <x:v>0</x:v>
      </x:c>
      <x:c r="K802" s="1" t="n">
        <x:f>'Inventory inputs'!N802</x:f>
        <x:v>6300</x:v>
      </x:c>
      <x:c r="L802" s="1" t="n">
        <x:f>'Inventory inputs'!O802</x:f>
        <x:v>0</x:v>
      </x:c>
      <x:c r="M802" s="9" t="n">
        <x:f>E802*G802</x:f>
        <x:v>73.08</x:v>
      </x:c>
      <x:c r="N802" s="9" t="n">
        <x:f>'Inventory inputs'!Q802</x:f>
        <x:v>73.08</x:v>
      </x:c>
      <x:c r="O802" s="9" t="n">
        <x:f>N802-M802</x:f>
        <x:v>0</x:v>
      </x:c>
      <x:c r="P802" s="1" t="n">
        <x:f>SUMIFS('Incoming POs'!$P$2:$P$305,'Incoming POs'!$A$2:$A$305,A802,'Incoming POs'!$B$2:$B$305,B802,'Incoming POs'!$C$2:$C$305,C802,'Incoming POs'!$G$2:$G$305,"&gt;="&amp;D802,'Incoming POs'!$G$2:$G$305,"&lt;"&amp;Dashboard!$I$5)</x:f>
        <x:v>0</x:v>
      </x:c>
      <x:c r="Q802" s="1" t="n">
        <x:f>F802*Dashboard!$L$5*MAX(0,Dashboard!$I$5-D802)/30.4375</x:f>
        <x:v>0</x:v>
      </x:c>
      <x:c r="R802" s="1" t="n">
        <x:f>MAX(0,E802+P802-Q802)</x:f>
        <x:v>6300</x:v>
      </x:c>
      <x:c r="S802" s="1" t="n">
        <x:f>MAX(0,Q802-E802-P802)</x:f>
        <x:v>0</x:v>
      </x:c>
      <x:c r="T802" s="1" t="str">
        <x:f>IF(L802=1,MAX(0,I802+AB802-MIN(Q802,E802+P802)),"n.a.")</x:f>
        <x:v>n.a.</x:v>
      </x:c>
      <x:c r="U802" s="9" t="str">
        <x:f>IF(ISNUMBER(T802),T802*G802,"n.a.")</x:f>
        <x:v>n.a.</x:v>
      </x:c>
      <x:c r="V802" s="25" t="n">
        <x:f>IF(Dashboard!$I$6="Flat %",1,IF(ISNUMBER(H802),1,0))</x:f>
        <x:v>1</x:v>
      </x:c>
      <x:c r="W802" s="9" t="n">
        <x:f>IF(Dashboard!$I$6="Flat %",G802*(1+Dashboard!$L$6),H802)</x:f>
        <x:v>0.013524000000000001</x:v>
      </x:c>
      <x:c r="X802" s="9" t="n">
        <x:f>IF(V802=1,R802*(W802-G802),"n.a.")</x:f>
        <x:v>12.121200000000012</x:v>
      </x:c>
      <x:c r="Y802" s="9" t="n">
        <x:f>IF(V802=1,R802*W802,"n.a.")</x:f>
        <x:v>85.20120000000001</x:v>
      </x:c>
      <x:c r="Z802" s="1" t="str">
        <x:f>IF(ISNUMBER(T802),R802-T802,"n.a.")</x:f>
        <x:v>n.a.</x:v>
      </x:c>
      <x:c r="AA802" s="1" t="str">
        <x:f>'Inventory inputs'!R802</x:f>
        <x:v>Review receipt reconciliation or original PO baseline</x:v>
      </x:c>
      <x:c r="AB802" s="1" t="str">
        <x:f>IF(L802=1,SUMIFS('Incoming POs'!$P$2:$P$305,'Incoming POs'!$A$2:$A$305,A802,'Incoming POs'!$B$2:$B$305,B802,'Incoming POs'!$C$2:$C$305,C802,'Incoming POs'!$G$2:$G$305,"&gt;="&amp;D802,'Incoming POs'!$G$2:$G$305,"&lt;"&amp;Dashboard!$I$5,'Incoming POs'!$Q$2:$Q$305,"&lt;="&amp;('Inventory inputs'!P802/'Inventory inputs'!J802*1.01)),"n.a.")</x:f>
        <x:v>n.a.</x:v>
      </x:c>
      <x:c r="AC802" s="9" t="n">
        <x:f>I802*G802</x:f>
        <x:v>0</x:v>
      </x:c>
      <x:c r="AD802" s="9" t="n">
        <x:f>J802*G802</x:f>
        <x:v>0</x:v>
      </x:c>
      <x:c r="AE802" s="9" t="n">
        <x:f>K802*G802</x:f>
        <x:v>73.08</x:v>
      </x:c>
      <x:c r="AF802" s="9" t="n">
        <x:f>R802*G802</x:f>
        <x:v>73.08</x:v>
      </x:c>
    </x:row>
    <x:row r="803" ht="21" customHeight="1">
      <x:c r="A803" s="1" t="str">
        <x:f>'Inventory inputs'!A803</x:f>
        <x:v>PLAS</x:v>
      </x:c>
      <x:c r="B803" s="1" t="str">
        <x:f>'Inventory inputs'!B803</x:f>
        <x:v>60</x:v>
      </x:c>
      <x:c r="C803" s="1" t="str">
        <x:f>'Inventory inputs'!C803</x:f>
        <x:v>01415RWBWHT</x:v>
      </x:c>
      <x:c r="D803" s="7" t="n">
        <x:f>'Inventory inputs'!E803</x:f>
        <x:v>46303</x:v>
      </x:c>
      <x:c r="E803" s="1" t="n">
        <x:f>'Inventory inputs'!F803</x:f>
        <x:v>0</x:v>
      </x:c>
      <x:c r="F803" s="1" t="n">
        <x:f>'Inventory inputs'!G803</x:f>
        <x:v>0</x:v>
      </x:c>
      <x:c r="G803" s="1" t="n">
        <x:f>'Inventory inputs'!H803/'Inventory inputs'!J803</x:f>
        <x:v>0.0116</x:v>
      </x:c>
      <x:c r="H803" s="1" t="n">
        <x:f>IF('Inventory inputs'!I803&gt;0,'Inventory inputs'!I803*'Inventory inputs'!K803/'Inventory inputs'!J803,"n.a.")</x:f>
        <x:v>0.013524000000000001</x:v>
      </x:c>
      <x:c r="I803" s="1" t="n">
        <x:f>'Inventory inputs'!L803</x:f>
        <x:v>0</x:v>
      </x:c>
      <x:c r="J803" s="1" t="n">
        <x:f>'Inventory inputs'!M803</x:f>
        <x:v>0</x:v>
      </x:c>
      <x:c r="K803" s="1" t="n">
        <x:f>'Inventory inputs'!N803</x:f>
        <x:v>0</x:v>
      </x:c>
      <x:c r="L803" s="1" t="n">
        <x:f>'Inventory inputs'!O803</x:f>
        <x:v>1</x:v>
      </x:c>
      <x:c r="M803" s="9" t="n">
        <x:f>E803*G803</x:f>
        <x:v>0</x:v>
      </x:c>
      <x:c r="N803" s="9" t="n">
        <x:f>'Inventory inputs'!Q803</x:f>
        <x:v>0</x:v>
      </x:c>
      <x:c r="O803" s="9" t="n">
        <x:f>N803-M803</x:f>
        <x:v>0</x:v>
      </x:c>
      <x:c r="P803" s="1" t="n">
        <x:f>SUMIFS('Incoming POs'!$P$2:$P$305,'Incoming POs'!$A$2:$A$305,A803,'Incoming POs'!$B$2:$B$305,B803,'Incoming POs'!$C$2:$C$305,C803,'Incoming POs'!$G$2:$G$305,"&gt;="&amp;D803,'Incoming POs'!$G$2:$G$305,"&lt;"&amp;Dashboard!$I$5)</x:f>
        <x:v>0</x:v>
      </x:c>
      <x:c r="Q803" s="1" t="n">
        <x:f>F803*Dashboard!$L$5*MAX(0,Dashboard!$I$5-D803)/30.4375</x:f>
        <x:v>0</x:v>
      </x:c>
      <x:c r="R803" s="1" t="n">
        <x:f>MAX(0,E803+P803-Q803)</x:f>
        <x:v>0</x:v>
      </x:c>
      <x:c r="S803" s="1" t="n">
        <x:f>MAX(0,Q803-E803-P803)</x:f>
        <x:v>0</x:v>
      </x:c>
      <x:c r="T803" s="1" t="n">
        <x:f>IF(L803=1,MAX(0,I803+AB803-MIN(Q803,E803+P803)),"n.a.")</x:f>
        <x:v>0</x:v>
      </x:c>
      <x:c r="U803" s="9" t="n">
        <x:f>IF(ISNUMBER(T803),T803*G803,"n.a.")</x:f>
        <x:v>0</x:v>
      </x:c>
      <x:c r="V803" s="25" t="n">
        <x:f>IF(Dashboard!$I$6="Flat %",1,IF(ISNUMBER(H803),1,0))</x:f>
        <x:v>1</x:v>
      </x:c>
      <x:c r="W803" s="9" t="n">
        <x:f>IF(Dashboard!$I$6="Flat %",G803*(1+Dashboard!$L$6),H803)</x:f>
        <x:v>0.013524000000000001</x:v>
      </x:c>
      <x:c r="X803" s="9" t="n">
        <x:f>IF(V803=1,R803*(W803-G803),"n.a.")</x:f>
        <x:v>0</x:v>
      </x:c>
      <x:c r="Y803" s="9" t="n">
        <x:f>IF(V803=1,R803*W803,"n.a.")</x:f>
        <x:v>0</x:v>
      </x:c>
      <x:c r="Z803" s="1" t="n">
        <x:f>IF(ISNUMBER(T803),R803-T803,"n.a.")</x:f>
        <x:v>0</x:v>
      </x:c>
      <x:c r="AA803" s="1" t="str">
        <x:f>'Inventory inputs'!R803</x:f>
        <x:v>Classified</x:v>
      </x:c>
      <x:c r="AB803" s="1" t="n">
        <x:f>IF(L803=1,SUMIFS('Incoming POs'!$P$2:$P$305,'Incoming POs'!$A$2:$A$305,A803,'Incoming POs'!$B$2:$B$305,B803,'Incoming POs'!$C$2:$C$305,C803,'Incoming POs'!$G$2:$G$305,"&gt;="&amp;D803,'Incoming POs'!$G$2:$G$305,"&lt;"&amp;Dashboard!$I$5,'Incoming POs'!$Q$2:$Q$305,"&lt;="&amp;('Inventory inputs'!P803/'Inventory inputs'!J803*1.01)),"n.a.")</x:f>
        <x:v>0</x:v>
      </x:c>
      <x:c r="AC803" s="9" t="n">
        <x:f>I803*G803</x:f>
        <x:v>0</x:v>
      </x:c>
      <x:c r="AD803" s="9" t="n">
        <x:f>J803*G803</x:f>
        <x:v>0</x:v>
      </x:c>
      <x:c r="AE803" s="9" t="n">
        <x:f>K803*G803</x:f>
        <x:v>0</x:v>
      </x:c>
      <x:c r="AF803" s="9" t="n">
        <x:f>R803*G803</x:f>
        <x:v>0</x:v>
      </x:c>
    </x:row>
    <x:row r="804" ht="21" customHeight="1">
      <x:c r="A804" s="1" t="str">
        <x:f>'Inventory inputs'!A804</x:f>
        <x:v>PLAS</x:v>
      </x:c>
      <x:c r="B804" s="1" t="str">
        <x:f>'Inventory inputs'!B804</x:f>
        <x:v>60</x:v>
      </x:c>
      <x:c r="C804" s="1" t="str">
        <x:f>'Inventory inputs'!C804</x:f>
        <x:v>01480RWBBLK</x:v>
      </x:c>
      <x:c r="D804" s="7" t="n">
        <x:f>'Inventory inputs'!E804</x:f>
        <x:v>46303</x:v>
      </x:c>
      <x:c r="E804" s="1" t="n">
        <x:f>'Inventory inputs'!F804</x:f>
        <x:v>1323</x:v>
      </x:c>
      <x:c r="F804" s="1" t="n">
        <x:f>'Inventory inputs'!G804</x:f>
        <x:v>0</x:v>
      </x:c>
      <x:c r="G804" s="1" t="n">
        <x:f>'Inventory inputs'!H804/'Inventory inputs'!J804</x:f>
        <x:v>0.0629</x:v>
      </x:c>
      <x:c r="H804" s="1" t="n">
        <x:f>IF('Inventory inputs'!I804&gt;0,'Inventory inputs'!I804*'Inventory inputs'!K804/'Inventory inputs'!J804,"n.a.")</x:f>
        <x:v>0.07364699999999999</x:v>
      </x:c>
      <x:c r="I804" s="1" t="n">
        <x:f>'Inventory inputs'!L804</x:f>
        <x:v>0</x:v>
      </x:c>
      <x:c r="J804" s="1" t="n">
        <x:f>'Inventory inputs'!M804</x:f>
        <x:v>0</x:v>
      </x:c>
      <x:c r="K804" s="1" t="n">
        <x:f>'Inventory inputs'!N804</x:f>
        <x:v>1323</x:v>
      </x:c>
      <x:c r="L804" s="1" t="n">
        <x:f>'Inventory inputs'!O804</x:f>
        <x:v>0</x:v>
      </x:c>
      <x:c r="M804" s="9" t="n">
        <x:f>E804*G804</x:f>
        <x:v>83.2167</x:v>
      </x:c>
      <x:c r="N804" s="9" t="n">
        <x:f>'Inventory inputs'!Q804</x:f>
        <x:v>83.2167</x:v>
      </x:c>
      <x:c r="O804" s="9" t="n">
        <x:f>N804-M804</x:f>
        <x:v>0</x:v>
      </x:c>
      <x:c r="P804" s="1" t="n">
        <x:f>SUMIFS('Incoming POs'!$P$2:$P$305,'Incoming POs'!$A$2:$A$305,A804,'Incoming POs'!$B$2:$B$305,B804,'Incoming POs'!$C$2:$C$305,C804,'Incoming POs'!$G$2:$G$305,"&gt;="&amp;D804,'Incoming POs'!$G$2:$G$305,"&lt;"&amp;Dashboard!$I$5)</x:f>
        <x:v>0</x:v>
      </x:c>
      <x:c r="Q804" s="1" t="n">
        <x:f>F804*Dashboard!$L$5*MAX(0,Dashboard!$I$5-D804)/30.4375</x:f>
        <x:v>0</x:v>
      </x:c>
      <x:c r="R804" s="1" t="n">
        <x:f>MAX(0,E804+P804-Q804)</x:f>
        <x:v>1323</x:v>
      </x:c>
      <x:c r="S804" s="1" t="n">
        <x:f>MAX(0,Q804-E804-P804)</x:f>
        <x:v>0</x:v>
      </x:c>
      <x:c r="T804" s="1" t="str">
        <x:f>IF(L804=1,MAX(0,I804+AB804-MIN(Q804,E804+P804)),"n.a.")</x:f>
        <x:v>n.a.</x:v>
      </x:c>
      <x:c r="U804" s="9" t="str">
        <x:f>IF(ISNUMBER(T804),T804*G804,"n.a.")</x:f>
        <x:v>n.a.</x:v>
      </x:c>
      <x:c r="V804" s="25" t="n">
        <x:f>IF(Dashboard!$I$6="Flat %",1,IF(ISNUMBER(H804),1,0))</x:f>
        <x:v>1</x:v>
      </x:c>
      <x:c r="W804" s="9" t="n">
        <x:f>IF(Dashboard!$I$6="Flat %",G804*(1+Dashboard!$L$6),H804)</x:f>
        <x:v>0.07364699999999999</x:v>
      </x:c>
      <x:c r="X804" s="9" t="n">
        <x:f>IF(V804=1,R804*(W804-G804),"n.a.")</x:f>
        <x:v>14.21828099999999</x:v>
      </x:c>
      <x:c r="Y804" s="9" t="n">
        <x:f>IF(V804=1,R804*W804,"n.a.")</x:f>
        <x:v>97.434981</x:v>
      </x:c>
      <x:c r="Z804" s="1" t="str">
        <x:f>IF(ISNUMBER(T804),R804-T804,"n.a.")</x:f>
        <x:v>n.a.</x:v>
      </x:c>
      <x:c r="AA804" s="1" t="str">
        <x:f>'Inventory inputs'!R804</x:f>
        <x:v>Review receipt reconciliation or original PO baseline</x:v>
      </x:c>
      <x:c r="AB804" s="1" t="str">
        <x:f>IF(L804=1,SUMIFS('Incoming POs'!$P$2:$P$305,'Incoming POs'!$A$2:$A$305,A804,'Incoming POs'!$B$2:$B$305,B804,'Incoming POs'!$C$2:$C$305,C804,'Incoming POs'!$G$2:$G$305,"&gt;="&amp;D804,'Incoming POs'!$G$2:$G$305,"&lt;"&amp;Dashboard!$I$5,'Incoming POs'!$Q$2:$Q$305,"&lt;="&amp;('Inventory inputs'!P804/'Inventory inputs'!J804*1.01)),"n.a.")</x:f>
        <x:v>n.a.</x:v>
      </x:c>
      <x:c r="AC804" s="9" t="n">
        <x:f>I804*G804</x:f>
        <x:v>0</x:v>
      </x:c>
      <x:c r="AD804" s="9" t="n">
        <x:f>J804*G804</x:f>
        <x:v>0</x:v>
      </x:c>
      <x:c r="AE804" s="9" t="n">
        <x:f>K804*G804</x:f>
        <x:v>83.2167</x:v>
      </x:c>
      <x:c r="AF804" s="9" t="n">
        <x:f>R804*G804</x:f>
        <x:v>83.2167</x:v>
      </x:c>
    </x:row>
    <x:row r="805" ht="21" customHeight="1">
      <x:c r="A805" s="1" t="str">
        <x:f>'Inventory inputs'!A805</x:f>
        <x:v>PLAS</x:v>
      </x:c>
      <x:c r="B805" s="1" t="str">
        <x:f>'Inventory inputs'!B805</x:f>
        <x:v>60</x:v>
      </x:c>
      <x:c r="C805" s="1" t="str">
        <x:f>'Inventory inputs'!C805</x:f>
        <x:v>01480RWBWHT</x:v>
      </x:c>
      <x:c r="D805" s="7" t="n">
        <x:f>'Inventory inputs'!E805</x:f>
        <x:v>46303</x:v>
      </x:c>
      <x:c r="E805" s="1" t="n">
        <x:f>'Inventory inputs'!F805</x:f>
        <x:v>2166</x:v>
      </x:c>
      <x:c r="F805" s="1" t="n">
        <x:f>'Inventory inputs'!G805</x:f>
        <x:v>0</x:v>
      </x:c>
      <x:c r="G805" s="1" t="n">
        <x:f>'Inventory inputs'!H805/'Inventory inputs'!J805</x:f>
        <x:v>0.0629</x:v>
      </x:c>
      <x:c r="H805" s="1" t="n">
        <x:f>IF('Inventory inputs'!I805&gt;0,'Inventory inputs'!I805*'Inventory inputs'!K805/'Inventory inputs'!J805,"n.a.")</x:f>
        <x:v>0.07364699999999999</x:v>
      </x:c>
      <x:c r="I805" s="1" t="n">
        <x:f>'Inventory inputs'!L805</x:f>
        <x:v>0</x:v>
      </x:c>
      <x:c r="J805" s="1" t="n">
        <x:f>'Inventory inputs'!M805</x:f>
        <x:v>0</x:v>
      </x:c>
      <x:c r="K805" s="1" t="n">
        <x:f>'Inventory inputs'!N805</x:f>
        <x:v>2166</x:v>
      </x:c>
      <x:c r="L805" s="1" t="n">
        <x:f>'Inventory inputs'!O805</x:f>
        <x:v>0</x:v>
      </x:c>
      <x:c r="M805" s="9" t="n">
        <x:f>E805*G805</x:f>
        <x:v>136.2414</x:v>
      </x:c>
      <x:c r="N805" s="9" t="n">
        <x:f>'Inventory inputs'!Q805</x:f>
        <x:v>136.2414</x:v>
      </x:c>
      <x:c r="O805" s="9" t="n">
        <x:f>N805-M805</x:f>
        <x:v>0</x:v>
      </x:c>
      <x:c r="P805" s="1" t="n">
        <x:f>SUMIFS('Incoming POs'!$P$2:$P$305,'Incoming POs'!$A$2:$A$305,A805,'Incoming POs'!$B$2:$B$305,B805,'Incoming POs'!$C$2:$C$305,C805,'Incoming POs'!$G$2:$G$305,"&gt;="&amp;D805,'Incoming POs'!$G$2:$G$305,"&lt;"&amp;Dashboard!$I$5)</x:f>
        <x:v>0</x:v>
      </x:c>
      <x:c r="Q805" s="1" t="n">
        <x:f>F805*Dashboard!$L$5*MAX(0,Dashboard!$I$5-D805)/30.4375</x:f>
        <x:v>0</x:v>
      </x:c>
      <x:c r="R805" s="1" t="n">
        <x:f>MAX(0,E805+P805-Q805)</x:f>
        <x:v>2166</x:v>
      </x:c>
      <x:c r="S805" s="1" t="n">
        <x:f>MAX(0,Q805-E805-P805)</x:f>
        <x:v>0</x:v>
      </x:c>
      <x:c r="T805" s="1" t="str">
        <x:f>IF(L805=1,MAX(0,I805+AB805-MIN(Q805,E805+P805)),"n.a.")</x:f>
        <x:v>n.a.</x:v>
      </x:c>
      <x:c r="U805" s="9" t="str">
        <x:f>IF(ISNUMBER(T805),T805*G805,"n.a.")</x:f>
        <x:v>n.a.</x:v>
      </x:c>
      <x:c r="V805" s="25" t="n">
        <x:f>IF(Dashboard!$I$6="Flat %",1,IF(ISNUMBER(H805),1,0))</x:f>
        <x:v>1</x:v>
      </x:c>
      <x:c r="W805" s="9" t="n">
        <x:f>IF(Dashboard!$I$6="Flat %",G805*(1+Dashboard!$L$6),H805)</x:f>
        <x:v>0.07364699999999999</x:v>
      </x:c>
      <x:c r="X805" s="9" t="n">
        <x:f>IF(V805=1,R805*(W805-G805),"n.a.")</x:f>
        <x:v>23.278001999999983</x:v>
      </x:c>
      <x:c r="Y805" s="9" t="n">
        <x:f>IF(V805=1,R805*W805,"n.a.")</x:f>
        <x:v>159.51940199999999</x:v>
      </x:c>
      <x:c r="Z805" s="1" t="str">
        <x:f>IF(ISNUMBER(T805),R805-T805,"n.a.")</x:f>
        <x:v>n.a.</x:v>
      </x:c>
      <x:c r="AA805" s="1" t="str">
        <x:f>'Inventory inputs'!R805</x:f>
        <x:v>Review receipt reconciliation or original PO baseline</x:v>
      </x:c>
      <x:c r="AB805" s="1" t="str">
        <x:f>IF(L805=1,SUMIFS('Incoming POs'!$P$2:$P$305,'Incoming POs'!$A$2:$A$305,A805,'Incoming POs'!$B$2:$B$305,B805,'Incoming POs'!$C$2:$C$305,C805,'Incoming POs'!$G$2:$G$305,"&gt;="&amp;D805,'Incoming POs'!$G$2:$G$305,"&lt;"&amp;Dashboard!$I$5,'Incoming POs'!$Q$2:$Q$305,"&lt;="&amp;('Inventory inputs'!P805/'Inventory inputs'!J805*1.01)),"n.a.")</x:f>
        <x:v>n.a.</x:v>
      </x:c>
      <x:c r="AC805" s="9" t="n">
        <x:f>I805*G805</x:f>
        <x:v>0</x:v>
      </x:c>
      <x:c r="AD805" s="9" t="n">
        <x:f>J805*G805</x:f>
        <x:v>0</x:v>
      </x:c>
      <x:c r="AE805" s="9" t="n">
        <x:f>K805*G805</x:f>
        <x:v>136.2414</x:v>
      </x:c>
      <x:c r="AF805" s="9" t="n">
        <x:f>R805*G805</x:f>
        <x:v>136.2414</x:v>
      </x:c>
    </x:row>
    <x:row r="806" ht="21" customHeight="1">
      <x:c r="A806" s="1" t="str">
        <x:f>'Inventory inputs'!A806</x:f>
        <x:v>PLAS</x:v>
      </x:c>
      <x:c r="B806" s="1" t="str">
        <x:f>'Inventory inputs'!B806</x:f>
        <x:v>60</x:v>
      </x:c>
      <x:c r="C806" s="1" t="str">
        <x:f>'Inventory inputs'!C806</x:f>
        <x:v>03415RWBBLK</x:v>
      </x:c>
      <x:c r="D806" s="7" t="n">
        <x:f>'Inventory inputs'!E806</x:f>
        <x:v>46303</x:v>
      </x:c>
      <x:c r="E806" s="1" t="n">
        <x:f>'Inventory inputs'!F806</x:f>
        <x:v>2300</x:v>
      </x:c>
      <x:c r="F806" s="1" t="n">
        <x:f>'Inventory inputs'!G806</x:f>
        <x:v>0</x:v>
      </x:c>
      <x:c r="G806" s="1" t="n">
        <x:f>'Inventory inputs'!H806/'Inventory inputs'!J806</x:f>
        <x:v>0.044000000000000004</x:v>
      </x:c>
      <x:c r="H806" s="1" t="n">
        <x:f>IF('Inventory inputs'!I806&gt;0,'Inventory inputs'!I806*'Inventory inputs'!K806/'Inventory inputs'!J806,"n.a.")</x:f>
        <x:v>0.051449999999999996</x:v>
      </x:c>
      <x:c r="I806" s="1" t="n">
        <x:f>'Inventory inputs'!L806</x:f>
        <x:v>0</x:v>
      </x:c>
      <x:c r="J806" s="1" t="n">
        <x:f>'Inventory inputs'!M806</x:f>
        <x:v>0</x:v>
      </x:c>
      <x:c r="K806" s="1" t="n">
        <x:f>'Inventory inputs'!N806</x:f>
        <x:v>2300</x:v>
      </x:c>
      <x:c r="L806" s="1" t="n">
        <x:f>'Inventory inputs'!O806</x:f>
        <x:v>0</x:v>
      </x:c>
      <x:c r="M806" s="9" t="n">
        <x:f>E806*G806</x:f>
        <x:v>101.20000000000002</x:v>
      </x:c>
      <x:c r="N806" s="9" t="n">
        <x:f>'Inventory inputs'!Q806</x:f>
        <x:v>101.2</x:v>
      </x:c>
      <x:c r="O806" s="9" t="n">
        <x:f>N806-M806</x:f>
        <x:v>-1.4210854715202004e-14</x:v>
      </x:c>
      <x:c r="P806" s="1" t="n">
        <x:f>SUMIFS('Incoming POs'!$P$2:$P$305,'Incoming POs'!$A$2:$A$305,A806,'Incoming POs'!$B$2:$B$305,B806,'Incoming POs'!$C$2:$C$305,C806,'Incoming POs'!$G$2:$G$305,"&gt;="&amp;D806,'Incoming POs'!$G$2:$G$305,"&lt;"&amp;Dashboard!$I$5)</x:f>
        <x:v>0</x:v>
      </x:c>
      <x:c r="Q806" s="1" t="n">
        <x:f>F806*Dashboard!$L$5*MAX(0,Dashboard!$I$5-D806)/30.4375</x:f>
        <x:v>0</x:v>
      </x:c>
      <x:c r="R806" s="1" t="n">
        <x:f>MAX(0,E806+P806-Q806)</x:f>
        <x:v>2300</x:v>
      </x:c>
      <x:c r="S806" s="1" t="n">
        <x:f>MAX(0,Q806-E806-P806)</x:f>
        <x:v>0</x:v>
      </x:c>
      <x:c r="T806" s="1" t="str">
        <x:f>IF(L806=1,MAX(0,I806+AB806-MIN(Q806,E806+P806)),"n.a.")</x:f>
        <x:v>n.a.</x:v>
      </x:c>
      <x:c r="U806" s="9" t="str">
        <x:f>IF(ISNUMBER(T806),T806*G806,"n.a.")</x:f>
        <x:v>n.a.</x:v>
      </x:c>
      <x:c r="V806" s="25" t="n">
        <x:f>IF(Dashboard!$I$6="Flat %",1,IF(ISNUMBER(H806),1,0))</x:f>
        <x:v>1</x:v>
      </x:c>
      <x:c r="W806" s="9" t="n">
        <x:f>IF(Dashboard!$I$6="Flat %",G806*(1+Dashboard!$L$6),H806)</x:f>
        <x:v>0.051449999999999996</x:v>
      </x:c>
      <x:c r="X806" s="9" t="n">
        <x:f>IF(V806=1,R806*(W806-G806),"n.a.")</x:f>
        <x:v>17.13499999999998</x:v>
      </x:c>
      <x:c r="Y806" s="9" t="n">
        <x:f>IF(V806=1,R806*W806,"n.a.")</x:f>
        <x:v>118.335</x:v>
      </x:c>
      <x:c r="Z806" s="1" t="str">
        <x:f>IF(ISNUMBER(T806),R806-T806,"n.a.")</x:f>
        <x:v>n.a.</x:v>
      </x:c>
      <x:c r="AA806" s="1" t="str">
        <x:f>'Inventory inputs'!R806</x:f>
        <x:v>Review receipt reconciliation or original PO baseline</x:v>
      </x:c>
      <x:c r="AB806" s="1" t="str">
        <x:f>IF(L806=1,SUMIFS('Incoming POs'!$P$2:$P$305,'Incoming POs'!$A$2:$A$305,A806,'Incoming POs'!$B$2:$B$305,B806,'Incoming POs'!$C$2:$C$305,C806,'Incoming POs'!$G$2:$G$305,"&gt;="&amp;D806,'Incoming POs'!$G$2:$G$305,"&lt;"&amp;Dashboard!$I$5,'Incoming POs'!$Q$2:$Q$305,"&lt;="&amp;('Inventory inputs'!P806/'Inventory inputs'!J806*1.01)),"n.a.")</x:f>
        <x:v>n.a.</x:v>
      </x:c>
      <x:c r="AC806" s="9" t="n">
        <x:f>I806*G806</x:f>
        <x:v>0</x:v>
      </x:c>
      <x:c r="AD806" s="9" t="n">
        <x:f>J806*G806</x:f>
        <x:v>0</x:v>
      </x:c>
      <x:c r="AE806" s="9" t="n">
        <x:f>K806*G806</x:f>
        <x:v>101.20000000000002</x:v>
      </x:c>
      <x:c r="AF806" s="9" t="n">
        <x:f>R806*G806</x:f>
        <x:v>101.20000000000002</x:v>
      </x:c>
    </x:row>
    <x:row r="807" ht="21" customHeight="1">
      <x:c r="A807" s="1" t="str">
        <x:f>'Inventory inputs'!A807</x:f>
        <x:v>PLAS</x:v>
      </x:c>
      <x:c r="B807" s="1" t="str">
        <x:f>'Inventory inputs'!B807</x:f>
        <x:v>60</x:v>
      </x:c>
      <x:c r="C807" s="1" t="str">
        <x:f>'Inventory inputs'!C807</x:f>
        <x:v>03419RWBCLR</x:v>
      </x:c>
      <x:c r="D807" s="7" t="n">
        <x:f>'Inventory inputs'!E807</x:f>
        <x:v>46303</x:v>
      </x:c>
      <x:c r="E807" s="1" t="n">
        <x:f>'Inventory inputs'!F807</x:f>
        <x:v>1800</x:v>
      </x:c>
      <x:c r="F807" s="1" t="n">
        <x:f>'Inventory inputs'!G807</x:f>
        <x:v>0</x:v>
      </x:c>
      <x:c r="G807" s="1" t="n">
        <x:f>'Inventory inputs'!H807/'Inventory inputs'!J807</x:f>
        <x:v>0.0625</x:v>
      </x:c>
      <x:c r="H807" s="1" t="n">
        <x:f>IF('Inventory inputs'!I807&gt;0,'Inventory inputs'!I807*'Inventory inputs'!K807/'Inventory inputs'!J807,"n.a.")</x:f>
        <x:v>0.073059</x:v>
      </x:c>
      <x:c r="I807" s="1" t="n">
        <x:f>'Inventory inputs'!L807</x:f>
        <x:v>0</x:v>
      </x:c>
      <x:c r="J807" s="1" t="n">
        <x:f>'Inventory inputs'!M807</x:f>
        <x:v>0</x:v>
      </x:c>
      <x:c r="K807" s="1" t="n">
        <x:f>'Inventory inputs'!N807</x:f>
        <x:v>1800</x:v>
      </x:c>
      <x:c r="L807" s="1" t="n">
        <x:f>'Inventory inputs'!O807</x:f>
        <x:v>0</x:v>
      </x:c>
      <x:c r="M807" s="9" t="n">
        <x:f>E807*G807</x:f>
        <x:v>112.5</x:v>
      </x:c>
      <x:c r="N807" s="9" t="n">
        <x:f>'Inventory inputs'!Q807</x:f>
        <x:v>112.5</x:v>
      </x:c>
      <x:c r="O807" s="9" t="n">
        <x:f>N807-M807</x:f>
        <x:v>0</x:v>
      </x:c>
      <x:c r="P807" s="1" t="n">
        <x:f>SUMIFS('Incoming POs'!$P$2:$P$305,'Incoming POs'!$A$2:$A$305,A807,'Incoming POs'!$B$2:$B$305,B807,'Incoming POs'!$C$2:$C$305,C807,'Incoming POs'!$G$2:$G$305,"&gt;="&amp;D807,'Incoming POs'!$G$2:$G$305,"&lt;"&amp;Dashboard!$I$5)</x:f>
        <x:v>0</x:v>
      </x:c>
      <x:c r="Q807" s="1" t="n">
        <x:f>F807*Dashboard!$L$5*MAX(0,Dashboard!$I$5-D807)/30.4375</x:f>
        <x:v>0</x:v>
      </x:c>
      <x:c r="R807" s="1" t="n">
        <x:f>MAX(0,E807+P807-Q807)</x:f>
        <x:v>1800</x:v>
      </x:c>
      <x:c r="S807" s="1" t="n">
        <x:f>MAX(0,Q807-E807-P807)</x:f>
        <x:v>0</x:v>
      </x:c>
      <x:c r="T807" s="1" t="str">
        <x:f>IF(L807=1,MAX(0,I807+AB807-MIN(Q807,E807+P807)),"n.a.")</x:f>
        <x:v>n.a.</x:v>
      </x:c>
      <x:c r="U807" s="9" t="str">
        <x:f>IF(ISNUMBER(T807),T807*G807,"n.a.")</x:f>
        <x:v>n.a.</x:v>
      </x:c>
      <x:c r="V807" s="25" t="n">
        <x:f>IF(Dashboard!$I$6="Flat %",1,IF(ISNUMBER(H807),1,0))</x:f>
        <x:v>1</x:v>
      </x:c>
      <x:c r="W807" s="9" t="n">
        <x:f>IF(Dashboard!$I$6="Flat %",G807*(1+Dashboard!$L$6),H807)</x:f>
        <x:v>0.073059</x:v>
      </x:c>
      <x:c r="X807" s="9" t="n">
        <x:f>IF(V807=1,R807*(W807-G807),"n.a.")</x:f>
        <x:v>19.0062</x:v>
      </x:c>
      <x:c r="Y807" s="9" t="n">
        <x:f>IF(V807=1,R807*W807,"n.a.")</x:f>
        <x:v>131.5062</x:v>
      </x:c>
      <x:c r="Z807" s="1" t="str">
        <x:f>IF(ISNUMBER(T807),R807-T807,"n.a.")</x:f>
        <x:v>n.a.</x:v>
      </x:c>
      <x:c r="AA807" s="1" t="str">
        <x:f>'Inventory inputs'!R807</x:f>
        <x:v>Review receipt reconciliation or original PO baseline</x:v>
      </x:c>
      <x:c r="AB807" s="1" t="str">
        <x:f>IF(L807=1,SUMIFS('Incoming POs'!$P$2:$P$305,'Incoming POs'!$A$2:$A$305,A807,'Incoming POs'!$B$2:$B$305,B807,'Incoming POs'!$C$2:$C$305,C807,'Incoming POs'!$G$2:$G$305,"&gt;="&amp;D807,'Incoming POs'!$G$2:$G$305,"&lt;"&amp;Dashboard!$I$5,'Incoming POs'!$Q$2:$Q$305,"&lt;="&amp;('Inventory inputs'!P807/'Inventory inputs'!J807*1.01)),"n.a.")</x:f>
        <x:v>n.a.</x:v>
      </x:c>
      <x:c r="AC807" s="9" t="n">
        <x:f>I807*G807</x:f>
        <x:v>0</x:v>
      </x:c>
      <x:c r="AD807" s="9" t="n">
        <x:f>J807*G807</x:f>
        <x:v>0</x:v>
      </x:c>
      <x:c r="AE807" s="9" t="n">
        <x:f>K807*G807</x:f>
        <x:v>112.5</x:v>
      </x:c>
      <x:c r="AF807" s="9" t="n">
        <x:f>R807*G807</x:f>
        <x:v>112.5</x:v>
      </x:c>
    </x:row>
    <x:row r="808" ht="21" customHeight="1">
      <x:c r="A808" s="1" t="str">
        <x:f>'Inventory inputs'!A808</x:f>
        <x:v>PLAS</x:v>
      </x:c>
      <x:c r="B808" s="1" t="str">
        <x:f>'Inventory inputs'!B808</x:f>
        <x:v>60</x:v>
      </x:c>
      <x:c r="C808" s="1" t="str">
        <x:f>'Inventory inputs'!C808</x:f>
        <x:v>03419RWBFG</x:v>
      </x:c>
      <x:c r="D808" s="7" t="n">
        <x:f>'Inventory inputs'!E808</x:f>
        <x:v>46303</x:v>
      </x:c>
      <x:c r="E808" s="1" t="n">
        <x:f>'Inventory inputs'!F808</x:f>
        <x:v>1000</x:v>
      </x:c>
      <x:c r="F808" s="1" t="n">
        <x:f>'Inventory inputs'!G808</x:f>
        <x:v>0</x:v>
      </x:c>
      <x:c r="G808" s="1" t="n">
        <x:f>'Inventory inputs'!H808/'Inventory inputs'!J808</x:f>
        <x:v>0.0625</x:v>
      </x:c>
      <x:c r="H808" s="1" t="n">
        <x:f>IF('Inventory inputs'!I808&gt;0,'Inventory inputs'!I808*'Inventory inputs'!K808/'Inventory inputs'!J808,"n.a.")</x:f>
        <x:v>0.073059</x:v>
      </x:c>
      <x:c r="I808" s="1" t="n">
        <x:f>'Inventory inputs'!L808</x:f>
        <x:v>0</x:v>
      </x:c>
      <x:c r="J808" s="1" t="n">
        <x:f>'Inventory inputs'!M808</x:f>
        <x:v>0</x:v>
      </x:c>
      <x:c r="K808" s="1" t="n">
        <x:f>'Inventory inputs'!N808</x:f>
        <x:v>1000</x:v>
      </x:c>
      <x:c r="L808" s="1" t="n">
        <x:f>'Inventory inputs'!O808</x:f>
        <x:v>0</x:v>
      </x:c>
      <x:c r="M808" s="9" t="n">
        <x:f>E808*G808</x:f>
        <x:v>62.5</x:v>
      </x:c>
      <x:c r="N808" s="9" t="n">
        <x:f>'Inventory inputs'!Q808</x:f>
        <x:v>62.5</x:v>
      </x:c>
      <x:c r="O808" s="9" t="n">
        <x:f>N808-M808</x:f>
        <x:v>0</x:v>
      </x:c>
      <x:c r="P808" s="1" t="n">
        <x:f>SUMIFS('Incoming POs'!$P$2:$P$305,'Incoming POs'!$A$2:$A$305,A808,'Incoming POs'!$B$2:$B$305,B808,'Incoming POs'!$C$2:$C$305,C808,'Incoming POs'!$G$2:$G$305,"&gt;="&amp;D808,'Incoming POs'!$G$2:$G$305,"&lt;"&amp;Dashboard!$I$5)</x:f>
        <x:v>0</x:v>
      </x:c>
      <x:c r="Q808" s="1" t="n">
        <x:f>F808*Dashboard!$L$5*MAX(0,Dashboard!$I$5-D808)/30.4375</x:f>
        <x:v>0</x:v>
      </x:c>
      <x:c r="R808" s="1" t="n">
        <x:f>MAX(0,E808+P808-Q808)</x:f>
        <x:v>1000</x:v>
      </x:c>
      <x:c r="S808" s="1" t="n">
        <x:f>MAX(0,Q808-E808-P808)</x:f>
        <x:v>0</x:v>
      </x:c>
      <x:c r="T808" s="1" t="str">
        <x:f>IF(L808=1,MAX(0,I808+AB808-MIN(Q808,E808+P808)),"n.a.")</x:f>
        <x:v>n.a.</x:v>
      </x:c>
      <x:c r="U808" s="9" t="str">
        <x:f>IF(ISNUMBER(T808),T808*G808,"n.a.")</x:f>
        <x:v>n.a.</x:v>
      </x:c>
      <x:c r="V808" s="25" t="n">
        <x:f>IF(Dashboard!$I$6="Flat %",1,IF(ISNUMBER(H808),1,0))</x:f>
        <x:v>1</x:v>
      </x:c>
      <x:c r="W808" s="9" t="n">
        <x:f>IF(Dashboard!$I$6="Flat %",G808*(1+Dashboard!$L$6),H808)</x:f>
        <x:v>0.073059</x:v>
      </x:c>
      <x:c r="X808" s="9" t="n">
        <x:f>IF(V808=1,R808*(W808-G808),"n.a.")</x:f>
        <x:v>10.559</x:v>
      </x:c>
      <x:c r="Y808" s="9" t="n">
        <x:f>IF(V808=1,R808*W808,"n.a.")</x:f>
        <x:v>73.059</x:v>
      </x:c>
      <x:c r="Z808" s="1" t="str">
        <x:f>IF(ISNUMBER(T808),R808-T808,"n.a.")</x:f>
        <x:v>n.a.</x:v>
      </x:c>
      <x:c r="AA808" s="1" t="str">
        <x:f>'Inventory inputs'!R808</x:f>
        <x:v>Review receipt reconciliation or original PO baseline</x:v>
      </x:c>
      <x:c r="AB808" s="1" t="str">
        <x:f>IF(L808=1,SUMIFS('Incoming POs'!$P$2:$P$305,'Incoming POs'!$A$2:$A$305,A808,'Incoming POs'!$B$2:$B$305,B808,'Incoming POs'!$C$2:$C$305,C808,'Incoming POs'!$G$2:$G$305,"&gt;="&amp;D808,'Incoming POs'!$G$2:$G$305,"&lt;"&amp;Dashboard!$I$5,'Incoming POs'!$Q$2:$Q$305,"&lt;="&amp;('Inventory inputs'!P808/'Inventory inputs'!J808*1.01)),"n.a.")</x:f>
        <x:v>n.a.</x:v>
      </x:c>
      <x:c r="AC808" s="9" t="n">
        <x:f>I808*G808</x:f>
        <x:v>0</x:v>
      </x:c>
      <x:c r="AD808" s="9" t="n">
        <x:f>J808*G808</x:f>
        <x:v>0</x:v>
      </x:c>
      <x:c r="AE808" s="9" t="n">
        <x:f>K808*G808</x:f>
        <x:v>62.5</x:v>
      </x:c>
      <x:c r="AF808" s="9" t="n">
        <x:f>R808*G808</x:f>
        <x:v>62.5</x:v>
      </x:c>
    </x:row>
    <x:row r="809" ht="21" customHeight="1">
      <x:c r="A809" s="1" t="str">
        <x:f>'Inventory inputs'!A809</x:f>
        <x:v>PLAS</x:v>
      </x:c>
      <x:c r="B809" s="1" t="str">
        <x:f>'Inventory inputs'!B809</x:f>
        <x:v>60</x:v>
      </x:c>
      <x:c r="C809" s="1" t="str">
        <x:f>'Inventory inputs'!C809</x:f>
        <x:v>03419RWBMAR</x:v>
      </x:c>
      <x:c r="D809" s="7" t="n">
        <x:f>'Inventory inputs'!E809</x:f>
        <x:v>46303</x:v>
      </x:c>
      <x:c r="E809" s="1" t="n">
        <x:f>'Inventory inputs'!F809</x:f>
        <x:v>800</x:v>
      </x:c>
      <x:c r="F809" s="1" t="n">
        <x:f>'Inventory inputs'!G809</x:f>
        <x:v>0</x:v>
      </x:c>
      <x:c r="G809" s="1" t="n">
        <x:f>'Inventory inputs'!H809/'Inventory inputs'!J809</x:f>
        <x:v>0.0625</x:v>
      </x:c>
      <x:c r="H809" s="1" t="n">
        <x:f>IF('Inventory inputs'!I809&gt;0,'Inventory inputs'!I809*'Inventory inputs'!K809/'Inventory inputs'!J809,"n.a.")</x:f>
        <x:v>0.073059</x:v>
      </x:c>
      <x:c r="I809" s="1" t="n">
        <x:f>'Inventory inputs'!L809</x:f>
        <x:v>0</x:v>
      </x:c>
      <x:c r="J809" s="1" t="n">
        <x:f>'Inventory inputs'!M809</x:f>
        <x:v>0</x:v>
      </x:c>
      <x:c r="K809" s="1" t="n">
        <x:f>'Inventory inputs'!N809</x:f>
        <x:v>800</x:v>
      </x:c>
      <x:c r="L809" s="1" t="n">
        <x:f>'Inventory inputs'!O809</x:f>
        <x:v>0</x:v>
      </x:c>
      <x:c r="M809" s="9" t="n">
        <x:f>E809*G809</x:f>
        <x:v>50</x:v>
      </x:c>
      <x:c r="N809" s="9" t="n">
        <x:f>'Inventory inputs'!Q809</x:f>
        <x:v>50</x:v>
      </x:c>
      <x:c r="O809" s="9" t="n">
        <x:f>N809-M809</x:f>
        <x:v>0</x:v>
      </x:c>
      <x:c r="P809" s="1" t="n">
        <x:f>SUMIFS('Incoming POs'!$P$2:$P$305,'Incoming POs'!$A$2:$A$305,A809,'Incoming POs'!$B$2:$B$305,B809,'Incoming POs'!$C$2:$C$305,C809,'Incoming POs'!$G$2:$G$305,"&gt;="&amp;D809,'Incoming POs'!$G$2:$G$305,"&lt;"&amp;Dashboard!$I$5)</x:f>
        <x:v>0</x:v>
      </x:c>
      <x:c r="Q809" s="1" t="n">
        <x:f>F809*Dashboard!$L$5*MAX(0,Dashboard!$I$5-D809)/30.4375</x:f>
        <x:v>0</x:v>
      </x:c>
      <x:c r="R809" s="1" t="n">
        <x:f>MAX(0,E809+P809-Q809)</x:f>
        <x:v>800</x:v>
      </x:c>
      <x:c r="S809" s="1" t="n">
        <x:f>MAX(0,Q809-E809-P809)</x:f>
        <x:v>0</x:v>
      </x:c>
      <x:c r="T809" s="1" t="str">
        <x:f>IF(L809=1,MAX(0,I809+AB809-MIN(Q809,E809+P809)),"n.a.")</x:f>
        <x:v>n.a.</x:v>
      </x:c>
      <x:c r="U809" s="9" t="str">
        <x:f>IF(ISNUMBER(T809),T809*G809,"n.a.")</x:f>
        <x:v>n.a.</x:v>
      </x:c>
      <x:c r="V809" s="25" t="n">
        <x:f>IF(Dashboard!$I$6="Flat %",1,IF(ISNUMBER(H809),1,0))</x:f>
        <x:v>1</x:v>
      </x:c>
      <x:c r="W809" s="9" t="n">
        <x:f>IF(Dashboard!$I$6="Flat %",G809*(1+Dashboard!$L$6),H809)</x:f>
        <x:v>0.073059</x:v>
      </x:c>
      <x:c r="X809" s="9" t="n">
        <x:f>IF(V809=1,R809*(W809-G809),"n.a.")</x:f>
        <x:v>8.447199999999999</x:v>
      </x:c>
      <x:c r="Y809" s="9" t="n">
        <x:f>IF(V809=1,R809*W809,"n.a.")</x:f>
        <x:v>58.4472</x:v>
      </x:c>
      <x:c r="Z809" s="1" t="str">
        <x:f>IF(ISNUMBER(T809),R809-T809,"n.a.")</x:f>
        <x:v>n.a.</x:v>
      </x:c>
      <x:c r="AA809" s="1" t="str">
        <x:f>'Inventory inputs'!R809</x:f>
        <x:v>Review receipt reconciliation or original PO baseline</x:v>
      </x:c>
      <x:c r="AB809" s="1" t="str">
        <x:f>IF(L809=1,SUMIFS('Incoming POs'!$P$2:$P$305,'Incoming POs'!$A$2:$A$305,A809,'Incoming POs'!$B$2:$B$305,B809,'Incoming POs'!$C$2:$C$305,C809,'Incoming POs'!$G$2:$G$305,"&gt;="&amp;D809,'Incoming POs'!$G$2:$G$305,"&lt;"&amp;Dashboard!$I$5,'Incoming POs'!$Q$2:$Q$305,"&lt;="&amp;('Inventory inputs'!P809/'Inventory inputs'!J809*1.01)),"n.a.")</x:f>
        <x:v>n.a.</x:v>
      </x:c>
      <x:c r="AC809" s="9" t="n">
        <x:f>I809*G809</x:f>
        <x:v>0</x:v>
      </x:c>
      <x:c r="AD809" s="9" t="n">
        <x:f>J809*G809</x:f>
        <x:v>0</x:v>
      </x:c>
      <x:c r="AE809" s="9" t="n">
        <x:f>K809*G809</x:f>
        <x:v>50</x:v>
      </x:c>
      <x:c r="AF809" s="9" t="n">
        <x:f>R809*G809</x:f>
        <x:v>50</x:v>
      </x:c>
    </x:row>
    <x:row r="810" ht="21" customHeight="1">
      <x:c r="A810" s="1" t="str">
        <x:f>'Inventory inputs'!A810</x:f>
        <x:v>PLAS</x:v>
      </x:c>
      <x:c r="B810" s="1" t="str">
        <x:f>'Inventory inputs'!B810</x:f>
        <x:v>60</x:v>
      </x:c>
      <x:c r="C810" s="1" t="str">
        <x:f>'Inventory inputs'!C810</x:f>
        <x:v>03419RWBRED</x:v>
      </x:c>
      <x:c r="D810" s="7" t="n">
        <x:f>'Inventory inputs'!E810</x:f>
        <x:v>46303</x:v>
      </x:c>
      <x:c r="E810" s="1" t="n">
        <x:f>'Inventory inputs'!F810</x:f>
        <x:v>300</x:v>
      </x:c>
      <x:c r="F810" s="1" t="n">
        <x:f>'Inventory inputs'!G810</x:f>
        <x:v>0</x:v>
      </x:c>
      <x:c r="G810" s="1" t="n">
        <x:f>'Inventory inputs'!H810/'Inventory inputs'!J810</x:f>
        <x:v>0.0625</x:v>
      </x:c>
      <x:c r="H810" s="1" t="n">
        <x:f>IF('Inventory inputs'!I810&gt;0,'Inventory inputs'!I810*'Inventory inputs'!K810/'Inventory inputs'!J810,"n.a.")</x:f>
        <x:v>0.073059</x:v>
      </x:c>
      <x:c r="I810" s="1" t="n">
        <x:f>'Inventory inputs'!L810</x:f>
        <x:v>0</x:v>
      </x:c>
      <x:c r="J810" s="1" t="n">
        <x:f>'Inventory inputs'!M810</x:f>
        <x:v>0</x:v>
      </x:c>
      <x:c r="K810" s="1" t="n">
        <x:f>'Inventory inputs'!N810</x:f>
        <x:v>300</x:v>
      </x:c>
      <x:c r="L810" s="1" t="n">
        <x:f>'Inventory inputs'!O810</x:f>
        <x:v>0</x:v>
      </x:c>
      <x:c r="M810" s="9" t="n">
        <x:f>E810*G810</x:f>
        <x:v>18.75</x:v>
      </x:c>
      <x:c r="N810" s="9" t="n">
        <x:f>'Inventory inputs'!Q810</x:f>
        <x:v>18.75</x:v>
      </x:c>
      <x:c r="O810" s="9" t="n">
        <x:f>N810-M810</x:f>
        <x:v>0</x:v>
      </x:c>
      <x:c r="P810" s="1" t="n">
        <x:f>SUMIFS('Incoming POs'!$P$2:$P$305,'Incoming POs'!$A$2:$A$305,A810,'Incoming POs'!$B$2:$B$305,B810,'Incoming POs'!$C$2:$C$305,C810,'Incoming POs'!$G$2:$G$305,"&gt;="&amp;D810,'Incoming POs'!$G$2:$G$305,"&lt;"&amp;Dashboard!$I$5)</x:f>
        <x:v>0</x:v>
      </x:c>
      <x:c r="Q810" s="1" t="n">
        <x:f>F810*Dashboard!$L$5*MAX(0,Dashboard!$I$5-D810)/30.4375</x:f>
        <x:v>0</x:v>
      </x:c>
      <x:c r="R810" s="1" t="n">
        <x:f>MAX(0,E810+P810-Q810)</x:f>
        <x:v>300</x:v>
      </x:c>
      <x:c r="S810" s="1" t="n">
        <x:f>MAX(0,Q810-E810-P810)</x:f>
        <x:v>0</x:v>
      </x:c>
      <x:c r="T810" s="1" t="str">
        <x:f>IF(L810=1,MAX(0,I810+AB810-MIN(Q810,E810+P810)),"n.a.")</x:f>
        <x:v>n.a.</x:v>
      </x:c>
      <x:c r="U810" s="9" t="str">
        <x:f>IF(ISNUMBER(T810),T810*G810,"n.a.")</x:f>
        <x:v>n.a.</x:v>
      </x:c>
      <x:c r="V810" s="25" t="n">
        <x:f>IF(Dashboard!$I$6="Flat %",1,IF(ISNUMBER(H810),1,0))</x:f>
        <x:v>1</x:v>
      </x:c>
      <x:c r="W810" s="9" t="n">
        <x:f>IF(Dashboard!$I$6="Flat %",G810*(1+Dashboard!$L$6),H810)</x:f>
        <x:v>0.073059</x:v>
      </x:c>
      <x:c r="X810" s="9" t="n">
        <x:f>IF(V810=1,R810*(W810-G810),"n.a.")</x:f>
        <x:v>3.1676999999999995</x:v>
      </x:c>
      <x:c r="Y810" s="9" t="n">
        <x:f>IF(V810=1,R810*W810,"n.a.")</x:f>
        <x:v>21.9177</x:v>
      </x:c>
      <x:c r="Z810" s="1" t="str">
        <x:f>IF(ISNUMBER(T810),R810-T810,"n.a.")</x:f>
        <x:v>n.a.</x:v>
      </x:c>
      <x:c r="AA810" s="1" t="str">
        <x:f>'Inventory inputs'!R810</x:f>
        <x:v>Review receipt reconciliation or original PO baseline</x:v>
      </x:c>
      <x:c r="AB810" s="1" t="str">
        <x:f>IF(L810=1,SUMIFS('Incoming POs'!$P$2:$P$305,'Incoming POs'!$A$2:$A$305,A810,'Incoming POs'!$B$2:$B$305,B810,'Incoming POs'!$C$2:$C$305,C810,'Incoming POs'!$G$2:$G$305,"&gt;="&amp;D810,'Incoming POs'!$G$2:$G$305,"&lt;"&amp;Dashboard!$I$5,'Incoming POs'!$Q$2:$Q$305,"&lt;="&amp;('Inventory inputs'!P810/'Inventory inputs'!J810*1.01)),"n.a.")</x:f>
        <x:v>n.a.</x:v>
      </x:c>
      <x:c r="AC810" s="9" t="n">
        <x:f>I810*G810</x:f>
        <x:v>0</x:v>
      </x:c>
      <x:c r="AD810" s="9" t="n">
        <x:f>J810*G810</x:f>
        <x:v>0</x:v>
      </x:c>
      <x:c r="AE810" s="9" t="n">
        <x:f>K810*G810</x:f>
        <x:v>18.75</x:v>
      </x:c>
      <x:c r="AF810" s="9" t="n">
        <x:f>R810*G810</x:f>
        <x:v>18.75</x:v>
      </x:c>
    </x:row>
    <x:row r="811" ht="21" customHeight="1">
      <x:c r="A811" s="1" t="str">
        <x:f>'Inventory inputs'!A811</x:f>
        <x:v>PLAS</x:v>
      </x:c>
      <x:c r="B811" s="1" t="str">
        <x:f>'Inventory inputs'!B811</x:f>
        <x:v>60</x:v>
      </x:c>
      <x:c r="C811" s="1" t="str">
        <x:f>'Inventory inputs'!C811</x:f>
        <x:v>03480RWBBLK</x:v>
      </x:c>
      <x:c r="D811" s="7" t="n">
        <x:f>'Inventory inputs'!E811</x:f>
        <x:v>46303</x:v>
      </x:c>
      <x:c r="E811" s="1" t="n">
        <x:f>'Inventory inputs'!F811</x:f>
        <x:v>1133</x:v>
      </x:c>
      <x:c r="F811" s="1" t="n">
        <x:f>'Inventory inputs'!G811</x:f>
        <x:v>0</x:v>
      </x:c>
      <x:c r="G811" s="1" t="n">
        <x:f>'Inventory inputs'!H811/'Inventory inputs'!J811</x:f>
        <x:v>0.2452</x:v>
      </x:c>
      <x:c r="H811" s="1" t="n">
        <x:f>IF('Inventory inputs'!I811&gt;0,'Inventory inputs'!I811*'Inventory inputs'!K811/'Inventory inputs'!J811,"n.a.")</x:f>
        <x:v>0.286944</x:v>
      </x:c>
      <x:c r="I811" s="1" t="n">
        <x:f>'Inventory inputs'!L811</x:f>
        <x:v>0</x:v>
      </x:c>
      <x:c r="J811" s="1" t="n">
        <x:f>'Inventory inputs'!M811</x:f>
        <x:v>0</x:v>
      </x:c>
      <x:c r="K811" s="1" t="n">
        <x:f>'Inventory inputs'!N811</x:f>
        <x:v>1133</x:v>
      </x:c>
      <x:c r="L811" s="1" t="n">
        <x:f>'Inventory inputs'!O811</x:f>
        <x:v>0</x:v>
      </x:c>
      <x:c r="M811" s="9" t="n">
        <x:f>E811*G811</x:f>
        <x:v>277.8116</x:v>
      </x:c>
      <x:c r="N811" s="9" t="n">
        <x:f>'Inventory inputs'!Q811</x:f>
        <x:v>277.8116</x:v>
      </x:c>
      <x:c r="O811" s="9" t="n">
        <x:f>N811-M811</x:f>
        <x:v>0</x:v>
      </x:c>
      <x:c r="P811" s="1" t="n">
        <x:f>SUMIFS('Incoming POs'!$P$2:$P$305,'Incoming POs'!$A$2:$A$305,A811,'Incoming POs'!$B$2:$B$305,B811,'Incoming POs'!$C$2:$C$305,C811,'Incoming POs'!$G$2:$G$305,"&gt;="&amp;D811,'Incoming POs'!$G$2:$G$305,"&lt;"&amp;Dashboard!$I$5)</x:f>
        <x:v>0</x:v>
      </x:c>
      <x:c r="Q811" s="1" t="n">
        <x:f>F811*Dashboard!$L$5*MAX(0,Dashboard!$I$5-D811)/30.4375</x:f>
        <x:v>0</x:v>
      </x:c>
      <x:c r="R811" s="1" t="n">
        <x:f>MAX(0,E811+P811-Q811)</x:f>
        <x:v>1133</x:v>
      </x:c>
      <x:c r="S811" s="1" t="n">
        <x:f>MAX(0,Q811-E811-P811)</x:f>
        <x:v>0</x:v>
      </x:c>
      <x:c r="T811" s="1" t="str">
        <x:f>IF(L811=1,MAX(0,I811+AB811-MIN(Q811,E811+P811)),"n.a.")</x:f>
        <x:v>n.a.</x:v>
      </x:c>
      <x:c r="U811" s="9" t="str">
        <x:f>IF(ISNUMBER(T811),T811*G811,"n.a.")</x:f>
        <x:v>n.a.</x:v>
      </x:c>
      <x:c r="V811" s="25" t="n">
        <x:f>IF(Dashboard!$I$6="Flat %",1,IF(ISNUMBER(H811),1,0))</x:f>
        <x:v>1</x:v>
      </x:c>
      <x:c r="W811" s="9" t="n">
        <x:f>IF(Dashboard!$I$6="Flat %",G811*(1+Dashboard!$L$6),H811)</x:f>
        <x:v>0.286944</x:v>
      </x:c>
      <x:c r="X811" s="9" t="n">
        <x:f>IF(V811=1,R811*(W811-G811),"n.a.")</x:f>
        <x:v>47.29595199999997</x:v>
      </x:c>
      <x:c r="Y811" s="9" t="n">
        <x:f>IF(V811=1,R811*W811,"n.a.")</x:f>
        <x:v>325.107552</x:v>
      </x:c>
      <x:c r="Z811" s="1" t="str">
        <x:f>IF(ISNUMBER(T811),R811-T811,"n.a.")</x:f>
        <x:v>n.a.</x:v>
      </x:c>
      <x:c r="AA811" s="1" t="str">
        <x:f>'Inventory inputs'!R811</x:f>
        <x:v>Review receipt reconciliation or original PO baseline</x:v>
      </x:c>
      <x:c r="AB811" s="1" t="str">
        <x:f>IF(L811=1,SUMIFS('Incoming POs'!$P$2:$P$305,'Incoming POs'!$A$2:$A$305,A811,'Incoming POs'!$B$2:$B$305,B811,'Incoming POs'!$C$2:$C$305,C811,'Incoming POs'!$G$2:$G$305,"&gt;="&amp;D811,'Incoming POs'!$G$2:$G$305,"&lt;"&amp;Dashboard!$I$5,'Incoming POs'!$Q$2:$Q$305,"&lt;="&amp;('Inventory inputs'!P811/'Inventory inputs'!J811*1.01)),"n.a.")</x:f>
        <x:v>n.a.</x:v>
      </x:c>
      <x:c r="AC811" s="9" t="n">
        <x:f>I811*G811</x:f>
        <x:v>0</x:v>
      </x:c>
      <x:c r="AD811" s="9" t="n">
        <x:f>J811*G811</x:f>
        <x:v>0</x:v>
      </x:c>
      <x:c r="AE811" s="9" t="n">
        <x:f>K811*G811</x:f>
        <x:v>277.8116</x:v>
      </x:c>
      <x:c r="AF811" s="9" t="n">
        <x:f>R811*G811</x:f>
        <x:v>277.8116</x:v>
      </x:c>
    </x:row>
    <x:row r="812" ht="21" customHeight="1">
      <x:c r="A812" s="1" t="str">
        <x:f>'Inventory inputs'!A812</x:f>
        <x:v>PLAS</x:v>
      </x:c>
      <x:c r="B812" s="1" t="str">
        <x:f>'Inventory inputs'!B812</x:f>
        <x:v>60</x:v>
      </x:c>
      <x:c r="C812" s="1" t="str">
        <x:f>'Inventory inputs'!C812</x:f>
        <x:v>03480RWBWHT</x:v>
      </x:c>
      <x:c r="D812" s="7" t="n">
        <x:f>'Inventory inputs'!E812</x:f>
        <x:v>46303</x:v>
      </x:c>
      <x:c r="E812" s="1" t="n">
        <x:f>'Inventory inputs'!F812</x:f>
        <x:v>1250</x:v>
      </x:c>
      <x:c r="F812" s="1" t="n">
        <x:f>'Inventory inputs'!G812</x:f>
        <x:v>0</x:v>
      </x:c>
      <x:c r="G812" s="1" t="n">
        <x:f>'Inventory inputs'!H812/'Inventory inputs'!J812</x:f>
        <x:v>0.2452</x:v>
      </x:c>
      <x:c r="H812" s="1" t="n">
        <x:f>IF('Inventory inputs'!I812&gt;0,'Inventory inputs'!I812*'Inventory inputs'!K812/'Inventory inputs'!J812,"n.a.")</x:f>
        <x:v>0.286944</x:v>
      </x:c>
      <x:c r="I812" s="1" t="n">
        <x:f>'Inventory inputs'!L812</x:f>
        <x:v>0</x:v>
      </x:c>
      <x:c r="J812" s="1" t="n">
        <x:f>'Inventory inputs'!M812</x:f>
        <x:v>0</x:v>
      </x:c>
      <x:c r="K812" s="1" t="n">
        <x:f>'Inventory inputs'!N812</x:f>
        <x:v>1250</x:v>
      </x:c>
      <x:c r="L812" s="1" t="n">
        <x:f>'Inventory inputs'!O812</x:f>
        <x:v>0</x:v>
      </x:c>
      <x:c r="M812" s="9" t="n">
        <x:f>E812*G812</x:f>
        <x:v>306.5</x:v>
      </x:c>
      <x:c r="N812" s="9" t="n">
        <x:f>'Inventory inputs'!Q812</x:f>
        <x:v>306.5</x:v>
      </x:c>
      <x:c r="O812" s="9" t="n">
        <x:f>N812-M812</x:f>
        <x:v>0</x:v>
      </x:c>
      <x:c r="P812" s="1" t="n">
        <x:f>SUMIFS('Incoming POs'!$P$2:$P$305,'Incoming POs'!$A$2:$A$305,A812,'Incoming POs'!$B$2:$B$305,B812,'Incoming POs'!$C$2:$C$305,C812,'Incoming POs'!$G$2:$G$305,"&gt;="&amp;D812,'Incoming POs'!$G$2:$G$305,"&lt;"&amp;Dashboard!$I$5)</x:f>
        <x:v>0</x:v>
      </x:c>
      <x:c r="Q812" s="1" t="n">
        <x:f>F812*Dashboard!$L$5*MAX(0,Dashboard!$I$5-D812)/30.4375</x:f>
        <x:v>0</x:v>
      </x:c>
      <x:c r="R812" s="1" t="n">
        <x:f>MAX(0,E812+P812-Q812)</x:f>
        <x:v>1250</x:v>
      </x:c>
      <x:c r="S812" s="1" t="n">
        <x:f>MAX(0,Q812-E812-P812)</x:f>
        <x:v>0</x:v>
      </x:c>
      <x:c r="T812" s="1" t="str">
        <x:f>IF(L812=1,MAX(0,I812+AB812-MIN(Q812,E812+P812)),"n.a.")</x:f>
        <x:v>n.a.</x:v>
      </x:c>
      <x:c r="U812" s="9" t="str">
        <x:f>IF(ISNUMBER(T812),T812*G812,"n.a.")</x:f>
        <x:v>n.a.</x:v>
      </x:c>
      <x:c r="V812" s="25" t="n">
        <x:f>IF(Dashboard!$I$6="Flat %",1,IF(ISNUMBER(H812),1,0))</x:f>
        <x:v>1</x:v>
      </x:c>
      <x:c r="W812" s="9" t="n">
        <x:f>IF(Dashboard!$I$6="Flat %",G812*(1+Dashboard!$L$6),H812)</x:f>
        <x:v>0.286944</x:v>
      </x:c>
      <x:c r="X812" s="9" t="n">
        <x:f>IF(V812=1,R812*(W812-G812),"n.a.")</x:f>
        <x:v>52.17999999999997</x:v>
      </x:c>
      <x:c r="Y812" s="9" t="n">
        <x:f>IF(V812=1,R812*W812,"n.a.")</x:f>
        <x:v>358.67999999999995</x:v>
      </x:c>
      <x:c r="Z812" s="1" t="str">
        <x:f>IF(ISNUMBER(T812),R812-T812,"n.a.")</x:f>
        <x:v>n.a.</x:v>
      </x:c>
      <x:c r="AA812" s="1" t="str">
        <x:f>'Inventory inputs'!R812</x:f>
        <x:v>Review receipt reconciliation or original PO baseline</x:v>
      </x:c>
      <x:c r="AB812" s="1" t="str">
        <x:f>IF(L812=1,SUMIFS('Incoming POs'!$P$2:$P$305,'Incoming POs'!$A$2:$A$305,A812,'Incoming POs'!$B$2:$B$305,B812,'Incoming POs'!$C$2:$C$305,C812,'Incoming POs'!$G$2:$G$305,"&gt;="&amp;D812,'Incoming POs'!$G$2:$G$305,"&lt;"&amp;Dashboard!$I$5,'Incoming POs'!$Q$2:$Q$305,"&lt;="&amp;('Inventory inputs'!P812/'Inventory inputs'!J812*1.01)),"n.a.")</x:f>
        <x:v>n.a.</x:v>
      </x:c>
      <x:c r="AC812" s="9" t="n">
        <x:f>I812*G812</x:f>
        <x:v>0</x:v>
      </x:c>
      <x:c r="AD812" s="9" t="n">
        <x:f>J812*G812</x:f>
        <x:v>0</x:v>
      </x:c>
      <x:c r="AE812" s="9" t="n">
        <x:f>K812*G812</x:f>
        <x:v>306.5</x:v>
      </x:c>
      <x:c r="AF812" s="9" t="n">
        <x:f>R812*G812</x:f>
        <x:v>306.5</x:v>
      </x:c>
    </x:row>
    <x:row r="813" ht="21" customHeight="1">
      <x:c r="A813" s="1" t="str">
        <x:f>'Inventory inputs'!A813</x:f>
        <x:v>PLAS</x:v>
      </x:c>
      <x:c r="B813" s="1" t="str">
        <x:f>'Inventory inputs'!B813</x:f>
        <x:v>60</x:v>
      </x:c>
      <x:c r="C813" s="1" t="str">
        <x:f>'Inventory inputs'!C813</x:f>
        <x:v>03815RWBBLK</x:v>
      </x:c>
      <x:c r="D813" s="7" t="n">
        <x:f>'Inventory inputs'!E813</x:f>
        <x:v>46303</x:v>
      </x:c>
      <x:c r="E813" s="1" t="n">
        <x:f>'Inventory inputs'!F813</x:f>
        <x:v>1400</x:v>
      </x:c>
      <x:c r="F813" s="1" t="n">
        <x:f>'Inventory inputs'!G813</x:f>
        <x:v>0</x:v>
      </x:c>
      <x:c r="G813" s="1" t="n">
        <x:f>'Inventory inputs'!H813/'Inventory inputs'!J813</x:f>
        <x:v>0.016200000000000003</x:v>
      </x:c>
      <x:c r="H813" s="1" t="n">
        <x:f>IF('Inventory inputs'!I813&gt;0,'Inventory inputs'!I813*'Inventory inputs'!K813/'Inventory inputs'!J813,"n.a.")</x:f>
        <x:v>0.018963</x:v>
      </x:c>
      <x:c r="I813" s="1" t="n">
        <x:f>'Inventory inputs'!L813</x:f>
        <x:v>0</x:v>
      </x:c>
      <x:c r="J813" s="1" t="n">
        <x:f>'Inventory inputs'!M813</x:f>
        <x:v>0</x:v>
      </x:c>
      <x:c r="K813" s="1" t="n">
        <x:f>'Inventory inputs'!N813</x:f>
        <x:v>1400</x:v>
      </x:c>
      <x:c r="L813" s="1" t="n">
        <x:f>'Inventory inputs'!O813</x:f>
        <x:v>0</x:v>
      </x:c>
      <x:c r="M813" s="9" t="n">
        <x:f>E813*G813</x:f>
        <x:v>22.680000000000003</x:v>
      </x:c>
      <x:c r="N813" s="9" t="n">
        <x:f>'Inventory inputs'!Q813</x:f>
        <x:v>22.68</x:v>
      </x:c>
      <x:c r="O813" s="9" t="n">
        <x:f>N813-M813</x:f>
        <x:v>-3.552713678800501e-15</x:v>
      </x:c>
      <x:c r="P813" s="1" t="n">
        <x:f>SUMIFS('Incoming POs'!$P$2:$P$305,'Incoming POs'!$A$2:$A$305,A813,'Incoming POs'!$B$2:$B$305,B813,'Incoming POs'!$C$2:$C$305,C813,'Incoming POs'!$G$2:$G$305,"&gt;="&amp;D813,'Incoming POs'!$G$2:$G$305,"&lt;"&amp;Dashboard!$I$5)</x:f>
        <x:v>0</x:v>
      </x:c>
      <x:c r="Q813" s="1" t="n">
        <x:f>F813*Dashboard!$L$5*MAX(0,Dashboard!$I$5-D813)/30.4375</x:f>
        <x:v>0</x:v>
      </x:c>
      <x:c r="R813" s="1" t="n">
        <x:f>MAX(0,E813+P813-Q813)</x:f>
        <x:v>1400</x:v>
      </x:c>
      <x:c r="S813" s="1" t="n">
        <x:f>MAX(0,Q813-E813-P813)</x:f>
        <x:v>0</x:v>
      </x:c>
      <x:c r="T813" s="1" t="str">
        <x:f>IF(L813=1,MAX(0,I813+AB813-MIN(Q813,E813+P813)),"n.a.")</x:f>
        <x:v>n.a.</x:v>
      </x:c>
      <x:c r="U813" s="9" t="str">
        <x:f>IF(ISNUMBER(T813),T813*G813,"n.a.")</x:f>
        <x:v>n.a.</x:v>
      </x:c>
      <x:c r="V813" s="25" t="n">
        <x:f>IF(Dashboard!$I$6="Flat %",1,IF(ISNUMBER(H813),1,0))</x:f>
        <x:v>1</x:v>
      </x:c>
      <x:c r="W813" s="9" t="n">
        <x:f>IF(Dashboard!$I$6="Flat %",G813*(1+Dashboard!$L$6),H813)</x:f>
        <x:v>0.018963</x:v>
      </x:c>
      <x:c r="X813" s="9" t="n">
        <x:f>IF(V813=1,R813*(W813-G813),"n.a.")</x:f>
        <x:v>3.868199999999997</x:v>
      </x:c>
      <x:c r="Y813" s="9" t="n">
        <x:f>IF(V813=1,R813*W813,"n.a.")</x:f>
        <x:v>26.5482</x:v>
      </x:c>
      <x:c r="Z813" s="1" t="str">
        <x:f>IF(ISNUMBER(T813),R813-T813,"n.a.")</x:f>
        <x:v>n.a.</x:v>
      </x:c>
      <x:c r="AA813" s="1" t="str">
        <x:f>'Inventory inputs'!R813</x:f>
        <x:v>Review receipt reconciliation or original PO baseline</x:v>
      </x:c>
      <x:c r="AB813" s="1" t="str">
        <x:f>IF(L813=1,SUMIFS('Incoming POs'!$P$2:$P$305,'Incoming POs'!$A$2:$A$305,A813,'Incoming POs'!$B$2:$B$305,B813,'Incoming POs'!$C$2:$C$305,C813,'Incoming POs'!$G$2:$G$305,"&gt;="&amp;D813,'Incoming POs'!$G$2:$G$305,"&lt;"&amp;Dashboard!$I$5,'Incoming POs'!$Q$2:$Q$305,"&lt;="&amp;('Inventory inputs'!P813/'Inventory inputs'!J813*1.01)),"n.a.")</x:f>
        <x:v>n.a.</x:v>
      </x:c>
      <x:c r="AC813" s="9" t="n">
        <x:f>I813*G813</x:f>
        <x:v>0</x:v>
      </x:c>
      <x:c r="AD813" s="9" t="n">
        <x:f>J813*G813</x:f>
        <x:v>0</x:v>
      </x:c>
      <x:c r="AE813" s="9" t="n">
        <x:f>K813*G813</x:f>
        <x:v>22.680000000000003</x:v>
      </x:c>
      <x:c r="AF813" s="9" t="n">
        <x:f>R813*G813</x:f>
        <x:v>22.680000000000003</x:v>
      </x:c>
    </x:row>
    <x:row r="814" ht="21" customHeight="1">
      <x:c r="A814" s="1" t="str">
        <x:f>'Inventory inputs'!A814</x:f>
        <x:v>PLAS</x:v>
      </x:c>
      <x:c r="B814" s="1" t="str">
        <x:f>'Inventory inputs'!B814</x:f>
        <x:v>60</x:v>
      </x:c>
      <x:c r="C814" s="1" t="str">
        <x:f>'Inventory inputs'!C814</x:f>
        <x:v>03815RWBWHT</x:v>
      </x:c>
      <x:c r="D814" s="7" t="n">
        <x:f>'Inventory inputs'!E814</x:f>
        <x:v>46303</x:v>
      </x:c>
      <x:c r="E814" s="1" t="n">
        <x:f>'Inventory inputs'!F814</x:f>
        <x:v>1800</x:v>
      </x:c>
      <x:c r="F814" s="1" t="n">
        <x:f>'Inventory inputs'!G814</x:f>
        <x:v>0</x:v>
      </x:c>
      <x:c r="G814" s="1" t="n">
        <x:f>'Inventory inputs'!H814/'Inventory inputs'!J814</x:f>
        <x:v>0.016200000000000003</x:v>
      </x:c>
      <x:c r="H814" s="1" t="n">
        <x:f>IF('Inventory inputs'!I814&gt;0,'Inventory inputs'!I814*'Inventory inputs'!K814/'Inventory inputs'!J814,"n.a.")</x:f>
        <x:v>0.018963</x:v>
      </x:c>
      <x:c r="I814" s="1" t="n">
        <x:f>'Inventory inputs'!L814</x:f>
        <x:v>0</x:v>
      </x:c>
      <x:c r="J814" s="1" t="n">
        <x:f>'Inventory inputs'!M814</x:f>
        <x:v>0</x:v>
      </x:c>
      <x:c r="K814" s="1" t="n">
        <x:f>'Inventory inputs'!N814</x:f>
        <x:v>1800</x:v>
      </x:c>
      <x:c r="L814" s="1" t="n">
        <x:f>'Inventory inputs'!O814</x:f>
        <x:v>0</x:v>
      </x:c>
      <x:c r="M814" s="9" t="n">
        <x:f>E814*G814</x:f>
        <x:v>29.160000000000004</x:v>
      </x:c>
      <x:c r="N814" s="9" t="n">
        <x:f>'Inventory inputs'!Q814</x:f>
        <x:v>29.16</x:v>
      </x:c>
      <x:c r="O814" s="9" t="n">
        <x:f>N814-M814</x:f>
        <x:v>-3.552713678800501e-15</x:v>
      </x:c>
      <x:c r="P814" s="1" t="n">
        <x:f>SUMIFS('Incoming POs'!$P$2:$P$305,'Incoming POs'!$A$2:$A$305,A814,'Incoming POs'!$B$2:$B$305,B814,'Incoming POs'!$C$2:$C$305,C814,'Incoming POs'!$G$2:$G$305,"&gt;="&amp;D814,'Incoming POs'!$G$2:$G$305,"&lt;"&amp;Dashboard!$I$5)</x:f>
        <x:v>0</x:v>
      </x:c>
      <x:c r="Q814" s="1" t="n">
        <x:f>F814*Dashboard!$L$5*MAX(0,Dashboard!$I$5-D814)/30.4375</x:f>
        <x:v>0</x:v>
      </x:c>
      <x:c r="R814" s="1" t="n">
        <x:f>MAX(0,E814+P814-Q814)</x:f>
        <x:v>1800</x:v>
      </x:c>
      <x:c r="S814" s="1" t="n">
        <x:f>MAX(0,Q814-E814-P814)</x:f>
        <x:v>0</x:v>
      </x:c>
      <x:c r="T814" s="1" t="str">
        <x:f>IF(L814=1,MAX(0,I814+AB814-MIN(Q814,E814+P814)),"n.a.")</x:f>
        <x:v>n.a.</x:v>
      </x:c>
      <x:c r="U814" s="9" t="str">
        <x:f>IF(ISNUMBER(T814),T814*G814,"n.a.")</x:f>
        <x:v>n.a.</x:v>
      </x:c>
      <x:c r="V814" s="25" t="n">
        <x:f>IF(Dashboard!$I$6="Flat %",1,IF(ISNUMBER(H814),1,0))</x:f>
        <x:v>1</x:v>
      </x:c>
      <x:c r="W814" s="9" t="n">
        <x:f>IF(Dashboard!$I$6="Flat %",G814*(1+Dashboard!$L$6),H814)</x:f>
        <x:v>0.018963</x:v>
      </x:c>
      <x:c r="X814" s="9" t="n">
        <x:f>IF(V814=1,R814*(W814-G814),"n.a.")</x:f>
        <x:v>4.973399999999996</x:v>
      </x:c>
      <x:c r="Y814" s="9" t="n">
        <x:f>IF(V814=1,R814*W814,"n.a.")</x:f>
        <x:v>34.1334</x:v>
      </x:c>
      <x:c r="Z814" s="1" t="str">
        <x:f>IF(ISNUMBER(T814),R814-T814,"n.a.")</x:f>
        <x:v>n.a.</x:v>
      </x:c>
      <x:c r="AA814" s="1" t="str">
        <x:f>'Inventory inputs'!R814</x:f>
        <x:v>Review receipt reconciliation or original PO baseline</x:v>
      </x:c>
      <x:c r="AB814" s="1" t="str">
        <x:f>IF(L814=1,SUMIFS('Incoming POs'!$P$2:$P$305,'Incoming POs'!$A$2:$A$305,A814,'Incoming POs'!$B$2:$B$305,B814,'Incoming POs'!$C$2:$C$305,C814,'Incoming POs'!$G$2:$G$305,"&gt;="&amp;D814,'Incoming POs'!$G$2:$G$305,"&lt;"&amp;Dashboard!$I$5,'Incoming POs'!$Q$2:$Q$305,"&lt;="&amp;('Inventory inputs'!P814/'Inventory inputs'!J814*1.01)),"n.a.")</x:f>
        <x:v>n.a.</x:v>
      </x:c>
      <x:c r="AC814" s="9" t="n">
        <x:f>I814*G814</x:f>
        <x:v>0</x:v>
      </x:c>
      <x:c r="AD814" s="9" t="n">
        <x:f>J814*G814</x:f>
        <x:v>0</x:v>
      </x:c>
      <x:c r="AE814" s="9" t="n">
        <x:f>K814*G814</x:f>
        <x:v>29.160000000000004</x:v>
      </x:c>
      <x:c r="AF814" s="9" t="n">
        <x:f>R814*G814</x:f>
        <x:v>29.160000000000004</x:v>
      </x:c>
    </x:row>
    <x:row r="815" ht="21" customHeight="1">
      <x:c r="A815" s="1" t="str">
        <x:f>'Inventory inputs'!A815</x:f>
        <x:v>PLAS</x:v>
      </x:c>
      <x:c r="B815" s="1" t="str">
        <x:f>'Inventory inputs'!B815</x:f>
        <x:v>60</x:v>
      </x:c>
      <x:c r="C815" s="1" t="str">
        <x:f>'Inventory inputs'!C815</x:f>
        <x:v>03880RWBBLK</x:v>
      </x:c>
      <x:c r="D815" s="7" t="n">
        <x:f>'Inventory inputs'!E815</x:f>
        <x:v>46303</x:v>
      </x:c>
      <x:c r="E815" s="1" t="n">
        <x:f>'Inventory inputs'!F815</x:f>
        <x:v>4000</x:v>
      </x:c>
      <x:c r="F815" s="1" t="n">
        <x:f>'Inventory inputs'!G815</x:f>
        <x:v>0</x:v>
      </x:c>
      <x:c r="G815" s="1" t="n">
        <x:f>'Inventory inputs'!H815/'Inventory inputs'!J815</x:f>
        <x:v>0.0907</x:v>
      </x:c>
      <x:c r="H815" s="1" t="n">
        <x:f>IF('Inventory inputs'!I815&gt;0,'Inventory inputs'!I815*'Inventory inputs'!K815/'Inventory inputs'!J815,"n.a.")</x:f>
        <x:v>0.10613399999999999</x:v>
      </x:c>
      <x:c r="I815" s="1" t="n">
        <x:f>'Inventory inputs'!L815</x:f>
        <x:v>0</x:v>
      </x:c>
      <x:c r="J815" s="1" t="n">
        <x:f>'Inventory inputs'!M815</x:f>
        <x:v>0</x:v>
      </x:c>
      <x:c r="K815" s="1" t="n">
        <x:f>'Inventory inputs'!N815</x:f>
        <x:v>4000</x:v>
      </x:c>
      <x:c r="L815" s="1" t="n">
        <x:f>'Inventory inputs'!O815</x:f>
        <x:v>0</x:v>
      </x:c>
      <x:c r="M815" s="9" t="n">
        <x:f>E815*G815</x:f>
        <x:v>362.8</x:v>
      </x:c>
      <x:c r="N815" s="9" t="n">
        <x:f>'Inventory inputs'!Q815</x:f>
        <x:v>362.8</x:v>
      </x:c>
      <x:c r="O815" s="9" t="n">
        <x:f>N815-M815</x:f>
        <x:v>0</x:v>
      </x:c>
      <x:c r="P815" s="1" t="n">
        <x:f>SUMIFS('Incoming POs'!$P$2:$P$305,'Incoming POs'!$A$2:$A$305,A815,'Incoming POs'!$B$2:$B$305,B815,'Incoming POs'!$C$2:$C$305,C815,'Incoming POs'!$G$2:$G$305,"&gt;="&amp;D815,'Incoming POs'!$G$2:$G$305,"&lt;"&amp;Dashboard!$I$5)</x:f>
        <x:v>0</x:v>
      </x:c>
      <x:c r="Q815" s="1" t="n">
        <x:f>F815*Dashboard!$L$5*MAX(0,Dashboard!$I$5-D815)/30.4375</x:f>
        <x:v>0</x:v>
      </x:c>
      <x:c r="R815" s="1" t="n">
        <x:f>MAX(0,E815+P815-Q815)</x:f>
        <x:v>4000</x:v>
      </x:c>
      <x:c r="S815" s="1" t="n">
        <x:f>MAX(0,Q815-E815-P815)</x:f>
        <x:v>0</x:v>
      </x:c>
      <x:c r="T815" s="1" t="str">
        <x:f>IF(L815=1,MAX(0,I815+AB815-MIN(Q815,E815+P815)),"n.a.")</x:f>
        <x:v>n.a.</x:v>
      </x:c>
      <x:c r="U815" s="9" t="str">
        <x:f>IF(ISNUMBER(T815),T815*G815,"n.a.")</x:f>
        <x:v>n.a.</x:v>
      </x:c>
      <x:c r="V815" s="25" t="n">
        <x:f>IF(Dashboard!$I$6="Flat %",1,IF(ISNUMBER(H815),1,0))</x:f>
        <x:v>1</x:v>
      </x:c>
      <x:c r="W815" s="9" t="n">
        <x:f>IF(Dashboard!$I$6="Flat %",G815*(1+Dashboard!$L$6),H815)</x:f>
        <x:v>0.10613399999999999</x:v>
      </x:c>
      <x:c r="X815" s="9" t="n">
        <x:f>IF(V815=1,R815*(W815-G815),"n.a.")</x:f>
        <x:v>61.735999999999954</x:v>
      </x:c>
      <x:c r="Y815" s="9" t="n">
        <x:f>IF(V815=1,R815*W815,"n.a.")</x:f>
        <x:v>424.53599999999994</x:v>
      </x:c>
      <x:c r="Z815" s="1" t="str">
        <x:f>IF(ISNUMBER(T815),R815-T815,"n.a.")</x:f>
        <x:v>n.a.</x:v>
      </x:c>
      <x:c r="AA815" s="1" t="str">
        <x:f>'Inventory inputs'!R815</x:f>
        <x:v>Review receipt reconciliation or original PO baseline</x:v>
      </x:c>
      <x:c r="AB815" s="1" t="str">
        <x:f>IF(L815=1,SUMIFS('Incoming POs'!$P$2:$P$305,'Incoming POs'!$A$2:$A$305,A815,'Incoming POs'!$B$2:$B$305,B815,'Incoming POs'!$C$2:$C$305,C815,'Incoming POs'!$G$2:$G$305,"&gt;="&amp;D815,'Incoming POs'!$G$2:$G$305,"&lt;"&amp;Dashboard!$I$5,'Incoming POs'!$Q$2:$Q$305,"&lt;="&amp;('Inventory inputs'!P815/'Inventory inputs'!J815*1.01)),"n.a.")</x:f>
        <x:v>n.a.</x:v>
      </x:c>
      <x:c r="AC815" s="9" t="n">
        <x:f>I815*G815</x:f>
        <x:v>0</x:v>
      </x:c>
      <x:c r="AD815" s="9" t="n">
        <x:f>J815*G815</x:f>
        <x:v>0</x:v>
      </x:c>
      <x:c r="AE815" s="9" t="n">
        <x:f>K815*G815</x:f>
        <x:v>362.8</x:v>
      </x:c>
      <x:c r="AF815" s="9" t="n">
        <x:f>R815*G815</x:f>
        <x:v>362.8</x:v>
      </x:c>
    </x:row>
    <x:row r="816" ht="21" customHeight="1">
      <x:c r="A816" s="1" t="str">
        <x:f>'Inventory inputs'!A816</x:f>
        <x:v>PLAS</x:v>
      </x:c>
      <x:c r="B816" s="1" t="str">
        <x:f>'Inventory inputs'!B816</x:f>
        <x:v>60</x:v>
      </x:c>
      <x:c r="C816" s="1" t="str">
        <x:f>'Inventory inputs'!C816</x:f>
        <x:v>03880RWBWHT</x:v>
      </x:c>
      <x:c r="D816" s="7" t="n">
        <x:f>'Inventory inputs'!E816</x:f>
        <x:v>46303</x:v>
      </x:c>
      <x:c r="E816" s="1" t="n">
        <x:f>'Inventory inputs'!F816</x:f>
        <x:v>1312</x:v>
      </x:c>
      <x:c r="F816" s="1" t="n">
        <x:f>'Inventory inputs'!G816</x:f>
        <x:v>0</x:v>
      </x:c>
      <x:c r="G816" s="1" t="n">
        <x:f>'Inventory inputs'!H816/'Inventory inputs'!J816</x:f>
        <x:v>0.0907</x:v>
      </x:c>
      <x:c r="H816" s="1" t="n">
        <x:f>IF('Inventory inputs'!I816&gt;0,'Inventory inputs'!I816*'Inventory inputs'!K816/'Inventory inputs'!J816,"n.a.")</x:f>
        <x:v>0.10613399999999999</x:v>
      </x:c>
      <x:c r="I816" s="1" t="n">
        <x:f>'Inventory inputs'!L816</x:f>
        <x:v>0</x:v>
      </x:c>
      <x:c r="J816" s="1" t="n">
        <x:f>'Inventory inputs'!M816</x:f>
        <x:v>0</x:v>
      </x:c>
      <x:c r="K816" s="1" t="n">
        <x:f>'Inventory inputs'!N816</x:f>
        <x:v>1312</x:v>
      </x:c>
      <x:c r="L816" s="1" t="n">
        <x:f>'Inventory inputs'!O816</x:f>
        <x:v>0</x:v>
      </x:c>
      <x:c r="M816" s="9" t="n">
        <x:f>E816*G816</x:f>
        <x:v>118.9984</x:v>
      </x:c>
      <x:c r="N816" s="9" t="n">
        <x:f>'Inventory inputs'!Q816</x:f>
        <x:v>118.9984</x:v>
      </x:c>
      <x:c r="O816" s="9" t="n">
        <x:f>N816-M816</x:f>
        <x:v>0</x:v>
      </x:c>
      <x:c r="P816" s="1" t="n">
        <x:f>SUMIFS('Incoming POs'!$P$2:$P$305,'Incoming POs'!$A$2:$A$305,A816,'Incoming POs'!$B$2:$B$305,B816,'Incoming POs'!$C$2:$C$305,C816,'Incoming POs'!$G$2:$G$305,"&gt;="&amp;D816,'Incoming POs'!$G$2:$G$305,"&lt;"&amp;Dashboard!$I$5)</x:f>
        <x:v>0</x:v>
      </x:c>
      <x:c r="Q816" s="1" t="n">
        <x:f>F816*Dashboard!$L$5*MAX(0,Dashboard!$I$5-D816)/30.4375</x:f>
        <x:v>0</x:v>
      </x:c>
      <x:c r="R816" s="1" t="n">
        <x:f>MAX(0,E816+P816-Q816)</x:f>
        <x:v>1312</x:v>
      </x:c>
      <x:c r="S816" s="1" t="n">
        <x:f>MAX(0,Q816-E816-P816)</x:f>
        <x:v>0</x:v>
      </x:c>
      <x:c r="T816" s="1" t="str">
        <x:f>IF(L816=1,MAX(0,I816+AB816-MIN(Q816,E816+P816)),"n.a.")</x:f>
        <x:v>n.a.</x:v>
      </x:c>
      <x:c r="U816" s="9" t="str">
        <x:f>IF(ISNUMBER(T816),T816*G816,"n.a.")</x:f>
        <x:v>n.a.</x:v>
      </x:c>
      <x:c r="V816" s="25" t="n">
        <x:f>IF(Dashboard!$I$6="Flat %",1,IF(ISNUMBER(H816),1,0))</x:f>
        <x:v>1</x:v>
      </x:c>
      <x:c r="W816" s="9" t="n">
        <x:f>IF(Dashboard!$I$6="Flat %",G816*(1+Dashboard!$L$6),H816)</x:f>
        <x:v>0.10613399999999999</x:v>
      </x:c>
      <x:c r="X816" s="9" t="n">
        <x:f>IF(V816=1,R816*(W816-G816),"n.a.")</x:f>
        <x:v>20.249407999999985</x:v>
      </x:c>
      <x:c r="Y816" s="9" t="n">
        <x:f>IF(V816=1,R816*W816,"n.a.")</x:f>
        <x:v>139.247808</x:v>
      </x:c>
      <x:c r="Z816" s="1" t="str">
        <x:f>IF(ISNUMBER(T816),R816-T816,"n.a.")</x:f>
        <x:v>n.a.</x:v>
      </x:c>
      <x:c r="AA816" s="1" t="str">
        <x:f>'Inventory inputs'!R816</x:f>
        <x:v>Review receipt reconciliation or original PO baseline</x:v>
      </x:c>
      <x:c r="AB816" s="1" t="str">
        <x:f>IF(L816=1,SUMIFS('Incoming POs'!$P$2:$P$305,'Incoming POs'!$A$2:$A$305,A816,'Incoming POs'!$B$2:$B$305,B816,'Incoming POs'!$C$2:$C$305,C816,'Incoming POs'!$G$2:$G$305,"&gt;="&amp;D816,'Incoming POs'!$G$2:$G$305,"&lt;"&amp;Dashboard!$I$5,'Incoming POs'!$Q$2:$Q$305,"&lt;="&amp;('Inventory inputs'!P816/'Inventory inputs'!J816*1.01)),"n.a.")</x:f>
        <x:v>n.a.</x:v>
      </x:c>
      <x:c r="AC816" s="9" t="n">
        <x:f>I816*G816</x:f>
        <x:v>0</x:v>
      </x:c>
      <x:c r="AD816" s="9" t="n">
        <x:f>J816*G816</x:f>
        <x:v>0</x:v>
      </x:c>
      <x:c r="AE816" s="9" t="n">
        <x:f>K816*G816</x:f>
        <x:v>118.9984</x:v>
      </x:c>
      <x:c r="AF816" s="9" t="n">
        <x:f>R816*G816</x:f>
        <x:v>118.9984</x:v>
      </x:c>
    </x:row>
    <x:row r="817" ht="21" customHeight="1">
      <x:c r="A817" s="1" t="str">
        <x:f>'Inventory inputs'!A817</x:f>
        <x:v>PLAS</x:v>
      </x:c>
      <x:c r="B817" s="1" t="str">
        <x:f>'Inventory inputs'!B817</x:f>
        <x:v>60</x:v>
      </x:c>
      <x:c r="C817" s="1" t="str">
        <x:f>'Inventory inputs'!C817</x:f>
        <x:v>05815RWBBLK</x:v>
      </x:c>
      <x:c r="D817" s="7" t="n">
        <x:f>'Inventory inputs'!E817</x:f>
        <x:v>46303</x:v>
      </x:c>
      <x:c r="E817" s="1" t="n">
        <x:f>'Inventory inputs'!F817</x:f>
        <x:v>1900</x:v>
      </x:c>
      <x:c r="F817" s="1" t="n">
        <x:f>'Inventory inputs'!G817</x:f>
        <x:v>0</x:v>
      </x:c>
      <x:c r="G817" s="1" t="n">
        <x:f>'Inventory inputs'!H817/'Inventory inputs'!J817</x:f>
        <x:v>0.030899999999999997</x:v>
      </x:c>
      <x:c r="H817" s="1" t="n">
        <x:f>IF('Inventory inputs'!I817&gt;0,'Inventory inputs'!I817*'Inventory inputs'!K817/'Inventory inputs'!J817,"n.a.")</x:f>
        <x:v>0.036162</x:v>
      </x:c>
      <x:c r="I817" s="1" t="n">
        <x:f>'Inventory inputs'!L817</x:f>
        <x:v>0</x:v>
      </x:c>
      <x:c r="J817" s="1" t="n">
        <x:f>'Inventory inputs'!M817</x:f>
        <x:v>0</x:v>
      </x:c>
      <x:c r="K817" s="1" t="n">
        <x:f>'Inventory inputs'!N817</x:f>
        <x:v>1900</x:v>
      </x:c>
      <x:c r="L817" s="1" t="n">
        <x:f>'Inventory inputs'!O817</x:f>
        <x:v>0</x:v>
      </x:c>
      <x:c r="M817" s="9" t="n">
        <x:f>E817*G817</x:f>
        <x:v>58.709999999999994</x:v>
      </x:c>
      <x:c r="N817" s="9" t="n">
        <x:f>'Inventory inputs'!Q817</x:f>
        <x:v>58.71</x:v>
      </x:c>
      <x:c r="O817" s="9" t="n">
        <x:f>N817-M817</x:f>
        <x:v>7.105427357601002e-15</x:v>
      </x:c>
      <x:c r="P817" s="1" t="n">
        <x:f>SUMIFS('Incoming POs'!$P$2:$P$305,'Incoming POs'!$A$2:$A$305,A817,'Incoming POs'!$B$2:$B$305,B817,'Incoming POs'!$C$2:$C$305,C817,'Incoming POs'!$G$2:$G$305,"&gt;="&amp;D817,'Incoming POs'!$G$2:$G$305,"&lt;"&amp;Dashboard!$I$5)</x:f>
        <x:v>0</x:v>
      </x:c>
      <x:c r="Q817" s="1" t="n">
        <x:f>F817*Dashboard!$L$5*MAX(0,Dashboard!$I$5-D817)/30.4375</x:f>
        <x:v>0</x:v>
      </x:c>
      <x:c r="R817" s="1" t="n">
        <x:f>MAX(0,E817+P817-Q817)</x:f>
        <x:v>1900</x:v>
      </x:c>
      <x:c r="S817" s="1" t="n">
        <x:f>MAX(0,Q817-E817-P817)</x:f>
        <x:v>0</x:v>
      </x:c>
      <x:c r="T817" s="1" t="str">
        <x:f>IF(L817=1,MAX(0,I817+AB817-MIN(Q817,E817+P817)),"n.a.")</x:f>
        <x:v>n.a.</x:v>
      </x:c>
      <x:c r="U817" s="9" t="str">
        <x:f>IF(ISNUMBER(T817),T817*G817,"n.a.")</x:f>
        <x:v>n.a.</x:v>
      </x:c>
      <x:c r="V817" s="25" t="n">
        <x:f>IF(Dashboard!$I$6="Flat %",1,IF(ISNUMBER(H817),1,0))</x:f>
        <x:v>1</x:v>
      </x:c>
      <x:c r="W817" s="9" t="n">
        <x:f>IF(Dashboard!$I$6="Flat %",G817*(1+Dashboard!$L$6),H817)</x:f>
        <x:v>0.036162</x:v>
      </x:c>
      <x:c r="X817" s="9" t="n">
        <x:f>IF(V817=1,R817*(W817-G817),"n.a.")</x:f>
        <x:v>9.997800000000005</x:v>
      </x:c>
      <x:c r="Y817" s="9" t="n">
        <x:f>IF(V817=1,R817*W817,"n.a.")</x:f>
        <x:v>68.7078</x:v>
      </x:c>
      <x:c r="Z817" s="1" t="str">
        <x:f>IF(ISNUMBER(T817),R817-T817,"n.a.")</x:f>
        <x:v>n.a.</x:v>
      </x:c>
      <x:c r="AA817" s="1" t="str">
        <x:f>'Inventory inputs'!R817</x:f>
        <x:v>Review receipt reconciliation or original PO baseline</x:v>
      </x:c>
      <x:c r="AB817" s="1" t="str">
        <x:f>IF(L817=1,SUMIFS('Incoming POs'!$P$2:$P$305,'Incoming POs'!$A$2:$A$305,A817,'Incoming POs'!$B$2:$B$305,B817,'Incoming POs'!$C$2:$C$305,C817,'Incoming POs'!$G$2:$G$305,"&gt;="&amp;D817,'Incoming POs'!$G$2:$G$305,"&lt;"&amp;Dashboard!$I$5,'Incoming POs'!$Q$2:$Q$305,"&lt;="&amp;('Inventory inputs'!P817/'Inventory inputs'!J817*1.01)),"n.a.")</x:f>
        <x:v>n.a.</x:v>
      </x:c>
      <x:c r="AC817" s="9" t="n">
        <x:f>I817*G817</x:f>
        <x:v>0</x:v>
      </x:c>
      <x:c r="AD817" s="9" t="n">
        <x:f>J817*G817</x:f>
        <x:v>0</x:v>
      </x:c>
      <x:c r="AE817" s="9" t="n">
        <x:f>K817*G817</x:f>
        <x:v>58.709999999999994</x:v>
      </x:c>
      <x:c r="AF817" s="9" t="n">
        <x:f>R817*G817</x:f>
        <x:v>58.709999999999994</x:v>
      </x:c>
    </x:row>
    <x:row r="818" ht="21" customHeight="1">
      <x:c r="A818" s="1" t="str">
        <x:f>'Inventory inputs'!A818</x:f>
        <x:v>PLAS</x:v>
      </x:c>
      <x:c r="B818" s="1" t="str">
        <x:f>'Inventory inputs'!B818</x:f>
        <x:v>60</x:v>
      </x:c>
      <x:c r="C818" s="1" t="str">
        <x:f>'Inventory inputs'!C818</x:f>
        <x:v>05815RWBWHT</x:v>
      </x:c>
      <x:c r="D818" s="7" t="n">
        <x:f>'Inventory inputs'!E818</x:f>
        <x:v>46303</x:v>
      </x:c>
      <x:c r="E818" s="1" t="n">
        <x:f>'Inventory inputs'!F818</x:f>
        <x:v>2000</x:v>
      </x:c>
      <x:c r="F818" s="1" t="n">
        <x:f>'Inventory inputs'!G818</x:f>
        <x:v>0</x:v>
      </x:c>
      <x:c r="G818" s="1" t="n">
        <x:f>'Inventory inputs'!H818/'Inventory inputs'!J818</x:f>
        <x:v>0.030899999999999997</x:v>
      </x:c>
      <x:c r="H818" s="1" t="n">
        <x:f>IF('Inventory inputs'!I818&gt;0,'Inventory inputs'!I818*'Inventory inputs'!K818/'Inventory inputs'!J818,"n.a.")</x:f>
        <x:v>0.036162</x:v>
      </x:c>
      <x:c r="I818" s="1" t="n">
        <x:f>'Inventory inputs'!L818</x:f>
        <x:v>0</x:v>
      </x:c>
      <x:c r="J818" s="1" t="n">
        <x:f>'Inventory inputs'!M818</x:f>
        <x:v>0</x:v>
      </x:c>
      <x:c r="K818" s="1" t="n">
        <x:f>'Inventory inputs'!N818</x:f>
        <x:v>2000</x:v>
      </x:c>
      <x:c r="L818" s="1" t="n">
        <x:f>'Inventory inputs'!O818</x:f>
        <x:v>0</x:v>
      </x:c>
      <x:c r="M818" s="9" t="n">
        <x:f>E818*G818</x:f>
        <x:v>61.8</x:v>
      </x:c>
      <x:c r="N818" s="9" t="n">
        <x:f>'Inventory inputs'!Q818</x:f>
        <x:v>61.800000000000004</x:v>
      </x:c>
      <x:c r="O818" s="9" t="n">
        <x:f>N818-M818</x:f>
        <x:v>7.105427357601002e-15</x:v>
      </x:c>
      <x:c r="P818" s="1" t="n">
        <x:f>SUMIFS('Incoming POs'!$P$2:$P$305,'Incoming POs'!$A$2:$A$305,A818,'Incoming POs'!$B$2:$B$305,B818,'Incoming POs'!$C$2:$C$305,C818,'Incoming POs'!$G$2:$G$305,"&gt;="&amp;D818,'Incoming POs'!$G$2:$G$305,"&lt;"&amp;Dashboard!$I$5)</x:f>
        <x:v>0</x:v>
      </x:c>
      <x:c r="Q818" s="1" t="n">
        <x:f>F818*Dashboard!$L$5*MAX(0,Dashboard!$I$5-D818)/30.4375</x:f>
        <x:v>0</x:v>
      </x:c>
      <x:c r="R818" s="1" t="n">
        <x:f>MAX(0,E818+P818-Q818)</x:f>
        <x:v>2000</x:v>
      </x:c>
      <x:c r="S818" s="1" t="n">
        <x:f>MAX(0,Q818-E818-P818)</x:f>
        <x:v>0</x:v>
      </x:c>
      <x:c r="T818" s="1" t="str">
        <x:f>IF(L818=1,MAX(0,I818+AB818-MIN(Q818,E818+P818)),"n.a.")</x:f>
        <x:v>n.a.</x:v>
      </x:c>
      <x:c r="U818" s="9" t="str">
        <x:f>IF(ISNUMBER(T818),T818*G818,"n.a.")</x:f>
        <x:v>n.a.</x:v>
      </x:c>
      <x:c r="V818" s="25" t="n">
        <x:f>IF(Dashboard!$I$6="Flat %",1,IF(ISNUMBER(H818),1,0))</x:f>
        <x:v>1</x:v>
      </x:c>
      <x:c r="W818" s="9" t="n">
        <x:f>IF(Dashboard!$I$6="Flat %",G818*(1+Dashboard!$L$6),H818)</x:f>
        <x:v>0.036162</x:v>
      </x:c>
      <x:c r="X818" s="9" t="n">
        <x:f>IF(V818=1,R818*(W818-G818),"n.a.")</x:f>
        <x:v>10.524000000000006</x:v>
      </x:c>
      <x:c r="Y818" s="9" t="n">
        <x:f>IF(V818=1,R818*W818,"n.a.")</x:f>
        <x:v>72.324</x:v>
      </x:c>
      <x:c r="Z818" s="1" t="str">
        <x:f>IF(ISNUMBER(T818),R818-T818,"n.a.")</x:f>
        <x:v>n.a.</x:v>
      </x:c>
      <x:c r="AA818" s="1" t="str">
        <x:f>'Inventory inputs'!R818</x:f>
        <x:v>Review receipt reconciliation or original PO baseline</x:v>
      </x:c>
      <x:c r="AB818" s="1" t="str">
        <x:f>IF(L818=1,SUMIFS('Incoming POs'!$P$2:$P$305,'Incoming POs'!$A$2:$A$305,A818,'Incoming POs'!$B$2:$B$305,B818,'Incoming POs'!$C$2:$C$305,C818,'Incoming POs'!$G$2:$G$305,"&gt;="&amp;D818,'Incoming POs'!$G$2:$G$305,"&lt;"&amp;Dashboard!$I$5,'Incoming POs'!$Q$2:$Q$305,"&lt;="&amp;('Inventory inputs'!P818/'Inventory inputs'!J818*1.01)),"n.a.")</x:f>
        <x:v>n.a.</x:v>
      </x:c>
      <x:c r="AC818" s="9" t="n">
        <x:f>I818*G818</x:f>
        <x:v>0</x:v>
      </x:c>
      <x:c r="AD818" s="9" t="n">
        <x:f>J818*G818</x:f>
        <x:v>0</x:v>
      </x:c>
      <x:c r="AE818" s="9" t="n">
        <x:f>K818*G818</x:f>
        <x:v>61.8</x:v>
      </x:c>
      <x:c r="AF818" s="9" t="n">
        <x:f>R818*G818</x:f>
        <x:v>61.8</x:v>
      </x:c>
    </x:row>
    <x:row r="819" ht="21" customHeight="1">
      <x:c r="A819" s="1" t="str">
        <x:f>'Inventory inputs'!A819</x:f>
        <x:v>PLAS</x:v>
      </x:c>
      <x:c r="B819" s="1" t="str">
        <x:f>'Inventory inputs'!B819</x:f>
        <x:v>60</x:v>
      </x:c>
      <x:c r="C819" s="1" t="str">
        <x:f>'Inventory inputs'!C819</x:f>
        <x:v>05819RWBRED</x:v>
      </x:c>
      <x:c r="D819" s="7" t="n">
        <x:f>'Inventory inputs'!E819</x:f>
        <x:v>46303</x:v>
      </x:c>
      <x:c r="E819" s="1" t="n">
        <x:f>'Inventory inputs'!F819</x:f>
        <x:v>1200</x:v>
      </x:c>
      <x:c r="F819" s="1" t="n">
        <x:f>'Inventory inputs'!G819</x:f>
        <x:v>0</x:v>
      </x:c>
      <x:c r="G819" s="1" t="n">
        <x:f>'Inventory inputs'!H819/'Inventory inputs'!J819</x:f>
        <x:v>0.045599999999999995</x:v>
      </x:c>
      <x:c r="H819" s="1" t="n">
        <x:f>IF('Inventory inputs'!I819&gt;0,'Inventory inputs'!I819*'Inventory inputs'!K819/'Inventory inputs'!J819,"n.a.")</x:f>
        <x:v>0.053361</x:v>
      </x:c>
      <x:c r="I819" s="1" t="n">
        <x:f>'Inventory inputs'!L819</x:f>
        <x:v>0</x:v>
      </x:c>
      <x:c r="J819" s="1" t="n">
        <x:f>'Inventory inputs'!M819</x:f>
        <x:v>0</x:v>
      </x:c>
      <x:c r="K819" s="1" t="n">
        <x:f>'Inventory inputs'!N819</x:f>
        <x:v>1200</x:v>
      </x:c>
      <x:c r="L819" s="1" t="n">
        <x:f>'Inventory inputs'!O819</x:f>
        <x:v>0</x:v>
      </x:c>
      <x:c r="M819" s="9" t="n">
        <x:f>E819*G819</x:f>
        <x:v>54.71999999999999</x:v>
      </x:c>
      <x:c r="N819" s="9" t="n">
        <x:f>'Inventory inputs'!Q819</x:f>
        <x:v>54.71999999999999</x:v>
      </x:c>
      <x:c r="O819" s="9" t="n">
        <x:f>N819-M819</x:f>
        <x:v>0</x:v>
      </x:c>
      <x:c r="P819" s="1" t="n">
        <x:f>SUMIFS('Incoming POs'!$P$2:$P$305,'Incoming POs'!$A$2:$A$305,A819,'Incoming POs'!$B$2:$B$305,B819,'Incoming POs'!$C$2:$C$305,C819,'Incoming POs'!$G$2:$G$305,"&gt;="&amp;D819,'Incoming POs'!$G$2:$G$305,"&lt;"&amp;Dashboard!$I$5)</x:f>
        <x:v>0</x:v>
      </x:c>
      <x:c r="Q819" s="1" t="n">
        <x:f>F819*Dashboard!$L$5*MAX(0,Dashboard!$I$5-D819)/30.4375</x:f>
        <x:v>0</x:v>
      </x:c>
      <x:c r="R819" s="1" t="n">
        <x:f>MAX(0,E819+P819-Q819)</x:f>
        <x:v>1200</x:v>
      </x:c>
      <x:c r="S819" s="1" t="n">
        <x:f>MAX(0,Q819-E819-P819)</x:f>
        <x:v>0</x:v>
      </x:c>
      <x:c r="T819" s="1" t="str">
        <x:f>IF(L819=1,MAX(0,I819+AB819-MIN(Q819,E819+P819)),"n.a.")</x:f>
        <x:v>n.a.</x:v>
      </x:c>
      <x:c r="U819" s="9" t="str">
        <x:f>IF(ISNUMBER(T819),T819*G819,"n.a.")</x:f>
        <x:v>n.a.</x:v>
      </x:c>
      <x:c r="V819" s="25" t="n">
        <x:f>IF(Dashboard!$I$6="Flat %",1,IF(ISNUMBER(H819),1,0))</x:f>
        <x:v>1</x:v>
      </x:c>
      <x:c r="W819" s="9" t="n">
        <x:f>IF(Dashboard!$I$6="Flat %",G819*(1+Dashboard!$L$6),H819)</x:f>
        <x:v>0.053361</x:v>
      </x:c>
      <x:c r="X819" s="9" t="n">
        <x:f>IF(V819=1,R819*(W819-G819),"n.a.")</x:f>
        <x:v>9.313200000000005</x:v>
      </x:c>
      <x:c r="Y819" s="9" t="n">
        <x:f>IF(V819=1,R819*W819,"n.a.")</x:f>
        <x:v>64.0332</x:v>
      </x:c>
      <x:c r="Z819" s="1" t="str">
        <x:f>IF(ISNUMBER(T819),R819-T819,"n.a.")</x:f>
        <x:v>n.a.</x:v>
      </x:c>
      <x:c r="AA819" s="1" t="str">
        <x:f>'Inventory inputs'!R819</x:f>
        <x:v>Review receipt reconciliation or original PO baseline</x:v>
      </x:c>
      <x:c r="AB819" s="1" t="str">
        <x:f>IF(L819=1,SUMIFS('Incoming POs'!$P$2:$P$305,'Incoming POs'!$A$2:$A$305,A819,'Incoming POs'!$B$2:$B$305,B819,'Incoming POs'!$C$2:$C$305,C819,'Incoming POs'!$G$2:$G$305,"&gt;="&amp;D819,'Incoming POs'!$G$2:$G$305,"&lt;"&amp;Dashboard!$I$5,'Incoming POs'!$Q$2:$Q$305,"&lt;="&amp;('Inventory inputs'!P819/'Inventory inputs'!J819*1.01)),"n.a.")</x:f>
        <x:v>n.a.</x:v>
      </x:c>
      <x:c r="AC819" s="9" t="n">
        <x:f>I819*G819</x:f>
        <x:v>0</x:v>
      </x:c>
      <x:c r="AD819" s="9" t="n">
        <x:f>J819*G819</x:f>
        <x:v>0</x:v>
      </x:c>
      <x:c r="AE819" s="9" t="n">
        <x:f>K819*G819</x:f>
        <x:v>54.71999999999999</x:v>
      </x:c>
      <x:c r="AF819" s="9" t="n">
        <x:f>R819*G819</x:f>
        <x:v>54.71999999999999</x:v>
      </x:c>
    </x:row>
    <x:row r="820" ht="21" customHeight="1">
      <x:c r="A820" s="1" t="str">
        <x:f>'Inventory inputs'!A820</x:f>
        <x:v>PLAS</x:v>
      </x:c>
      <x:c r="B820" s="1" t="str">
        <x:f>'Inventory inputs'!B820</x:f>
        <x:v>60</x:v>
      </x:c>
      <x:c r="C820" s="1" t="str">
        <x:f>'Inventory inputs'!C820</x:f>
        <x:v>05880RWBBLK</x:v>
      </x:c>
      <x:c r="D820" s="7" t="n">
        <x:f>'Inventory inputs'!E820</x:f>
        <x:v>46303</x:v>
      </x:c>
      <x:c r="E820" s="1" t="n">
        <x:f>'Inventory inputs'!F820</x:f>
        <x:v>1500</x:v>
      </x:c>
      <x:c r="F820" s="1" t="n">
        <x:f>'Inventory inputs'!G820</x:f>
        <x:v>0</x:v>
      </x:c>
      <x:c r="G820" s="1" t="n">
        <x:f>'Inventory inputs'!H820/'Inventory inputs'!J820</x:f>
        <x:v>0.1726</x:v>
      </x:c>
      <x:c r="H820" s="1" t="n">
        <x:f>IF('Inventory inputs'!I820&gt;0,'Inventory inputs'!I820*'Inventory inputs'!K820/'Inventory inputs'!J820,"n.a.")</x:f>
        <x:v>0.20197800000000002</x:v>
      </x:c>
      <x:c r="I820" s="1" t="n">
        <x:f>'Inventory inputs'!L820</x:f>
        <x:v>0</x:v>
      </x:c>
      <x:c r="J820" s="1" t="n">
        <x:f>'Inventory inputs'!M820</x:f>
        <x:v>0</x:v>
      </x:c>
      <x:c r="K820" s="1" t="n">
        <x:f>'Inventory inputs'!N820</x:f>
        <x:v>1500</x:v>
      </x:c>
      <x:c r="L820" s="1" t="n">
        <x:f>'Inventory inputs'!O820</x:f>
        <x:v>0</x:v>
      </x:c>
      <x:c r="M820" s="9" t="n">
        <x:f>E820*G820</x:f>
        <x:v>258.9</x:v>
      </x:c>
      <x:c r="N820" s="9" t="n">
        <x:f>'Inventory inputs'!Q820</x:f>
        <x:v>258.90000000000003</x:v>
      </x:c>
      <x:c r="O820" s="9" t="n">
        <x:f>N820-M820</x:f>
        <x:v>5.684341886080802e-14</x:v>
      </x:c>
      <x:c r="P820" s="1" t="n">
        <x:f>SUMIFS('Incoming POs'!$P$2:$P$305,'Incoming POs'!$A$2:$A$305,A820,'Incoming POs'!$B$2:$B$305,B820,'Incoming POs'!$C$2:$C$305,C820,'Incoming POs'!$G$2:$G$305,"&gt;="&amp;D820,'Incoming POs'!$G$2:$G$305,"&lt;"&amp;Dashboard!$I$5)</x:f>
        <x:v>0</x:v>
      </x:c>
      <x:c r="Q820" s="1" t="n">
        <x:f>F820*Dashboard!$L$5*MAX(0,Dashboard!$I$5-D820)/30.4375</x:f>
        <x:v>0</x:v>
      </x:c>
      <x:c r="R820" s="1" t="n">
        <x:f>MAX(0,E820+P820-Q820)</x:f>
        <x:v>1500</x:v>
      </x:c>
      <x:c r="S820" s="1" t="n">
        <x:f>MAX(0,Q820-E820-P820)</x:f>
        <x:v>0</x:v>
      </x:c>
      <x:c r="T820" s="1" t="str">
        <x:f>IF(L820=1,MAX(0,I820+AB820-MIN(Q820,E820+P820)),"n.a.")</x:f>
        <x:v>n.a.</x:v>
      </x:c>
      <x:c r="U820" s="9" t="str">
        <x:f>IF(ISNUMBER(T820),T820*G820,"n.a.")</x:f>
        <x:v>n.a.</x:v>
      </x:c>
      <x:c r="V820" s="25" t="n">
        <x:f>IF(Dashboard!$I$6="Flat %",1,IF(ISNUMBER(H820),1,0))</x:f>
        <x:v>1</x:v>
      </x:c>
      <x:c r="W820" s="9" t="n">
        <x:f>IF(Dashboard!$I$6="Flat %",G820*(1+Dashboard!$L$6),H820)</x:f>
        <x:v>0.20197800000000002</x:v>
      </x:c>
      <x:c r="X820" s="9" t="n">
        <x:f>IF(V820=1,R820*(W820-G820),"n.a.")</x:f>
        <x:v>44.06700000000002</x:v>
      </x:c>
      <x:c r="Y820" s="9" t="n">
        <x:f>IF(V820=1,R820*W820,"n.a.")</x:f>
        <x:v>302.96700000000004</x:v>
      </x:c>
      <x:c r="Z820" s="1" t="str">
        <x:f>IF(ISNUMBER(T820),R820-T820,"n.a.")</x:f>
        <x:v>n.a.</x:v>
      </x:c>
      <x:c r="AA820" s="1" t="str">
        <x:f>'Inventory inputs'!R820</x:f>
        <x:v>Review receipt reconciliation or original PO baseline</x:v>
      </x:c>
      <x:c r="AB820" s="1" t="str">
        <x:f>IF(L820=1,SUMIFS('Incoming POs'!$P$2:$P$305,'Incoming POs'!$A$2:$A$305,A820,'Incoming POs'!$B$2:$B$305,B820,'Incoming POs'!$C$2:$C$305,C820,'Incoming POs'!$G$2:$G$305,"&gt;="&amp;D820,'Incoming POs'!$G$2:$G$305,"&lt;"&amp;Dashboard!$I$5,'Incoming POs'!$Q$2:$Q$305,"&lt;="&amp;('Inventory inputs'!P820/'Inventory inputs'!J820*1.01)),"n.a.")</x:f>
        <x:v>n.a.</x:v>
      </x:c>
      <x:c r="AC820" s="9" t="n">
        <x:f>I820*G820</x:f>
        <x:v>0</x:v>
      </x:c>
      <x:c r="AD820" s="9" t="n">
        <x:f>J820*G820</x:f>
        <x:v>0</x:v>
      </x:c>
      <x:c r="AE820" s="9" t="n">
        <x:f>K820*G820</x:f>
        <x:v>258.9</x:v>
      </x:c>
      <x:c r="AF820" s="9" t="n">
        <x:f>R820*G820</x:f>
        <x:v>258.9</x:v>
      </x:c>
    </x:row>
    <x:row r="821" ht="21" customHeight="1">
      <x:c r="A821" s="1" t="str">
        <x:f>'Inventory inputs'!A821</x:f>
        <x:v>PLAS</x:v>
      </x:c>
      <x:c r="B821" s="1" t="str">
        <x:f>'Inventory inputs'!B821</x:f>
        <x:v>60</x:v>
      </x:c>
      <x:c r="C821" s="1" t="str">
        <x:f>'Inventory inputs'!C821</x:f>
        <x:v>05880RWBWHT</x:v>
      </x:c>
      <x:c r="D821" s="7" t="n">
        <x:f>'Inventory inputs'!E821</x:f>
        <x:v>46303</x:v>
      </x:c>
      <x:c r="E821" s="1" t="n">
        <x:f>'Inventory inputs'!F821</x:f>
        <x:v>2091</x:v>
      </x:c>
      <x:c r="F821" s="1" t="n">
        <x:f>'Inventory inputs'!G821</x:f>
        <x:v>0</x:v>
      </x:c>
      <x:c r="G821" s="1" t="n">
        <x:f>'Inventory inputs'!H821/'Inventory inputs'!J821</x:f>
        <x:v>0.1726</x:v>
      </x:c>
      <x:c r="H821" s="1" t="n">
        <x:f>IF('Inventory inputs'!I821&gt;0,'Inventory inputs'!I821*'Inventory inputs'!K821/'Inventory inputs'!J821,"n.a.")</x:f>
        <x:v>0.20197800000000002</x:v>
      </x:c>
      <x:c r="I821" s="1" t="n">
        <x:f>'Inventory inputs'!L821</x:f>
        <x:v>0</x:v>
      </x:c>
      <x:c r="J821" s="1" t="n">
        <x:f>'Inventory inputs'!M821</x:f>
        <x:v>0</x:v>
      </x:c>
      <x:c r="K821" s="1" t="n">
        <x:f>'Inventory inputs'!N821</x:f>
        <x:v>2091</x:v>
      </x:c>
      <x:c r="L821" s="1" t="n">
        <x:f>'Inventory inputs'!O821</x:f>
        <x:v>0</x:v>
      </x:c>
      <x:c r="M821" s="9" t="n">
        <x:f>E821*G821</x:f>
        <x:v>360.9066</x:v>
      </x:c>
      <x:c r="N821" s="9" t="n">
        <x:f>'Inventory inputs'!Q821</x:f>
        <x:v>360.9066</x:v>
      </x:c>
      <x:c r="O821" s="9" t="n">
        <x:f>N821-M821</x:f>
        <x:v>0</x:v>
      </x:c>
      <x:c r="P821" s="1" t="n">
        <x:f>SUMIFS('Incoming POs'!$P$2:$P$305,'Incoming POs'!$A$2:$A$305,A821,'Incoming POs'!$B$2:$B$305,B821,'Incoming POs'!$C$2:$C$305,C821,'Incoming POs'!$G$2:$G$305,"&gt;="&amp;D821,'Incoming POs'!$G$2:$G$305,"&lt;"&amp;Dashboard!$I$5)</x:f>
        <x:v>0</x:v>
      </x:c>
      <x:c r="Q821" s="1" t="n">
        <x:f>F821*Dashboard!$L$5*MAX(0,Dashboard!$I$5-D821)/30.4375</x:f>
        <x:v>0</x:v>
      </x:c>
      <x:c r="R821" s="1" t="n">
        <x:f>MAX(0,E821+P821-Q821)</x:f>
        <x:v>2091</x:v>
      </x:c>
      <x:c r="S821" s="1" t="n">
        <x:f>MAX(0,Q821-E821-P821)</x:f>
        <x:v>0</x:v>
      </x:c>
      <x:c r="T821" s="1" t="str">
        <x:f>IF(L821=1,MAX(0,I821+AB821-MIN(Q821,E821+P821)),"n.a.")</x:f>
        <x:v>n.a.</x:v>
      </x:c>
      <x:c r="U821" s="9" t="str">
        <x:f>IF(ISNUMBER(T821),T821*G821,"n.a.")</x:f>
        <x:v>n.a.</x:v>
      </x:c>
      <x:c r="V821" s="25" t="n">
        <x:f>IF(Dashboard!$I$6="Flat %",1,IF(ISNUMBER(H821),1,0))</x:f>
        <x:v>1</x:v>
      </x:c>
      <x:c r="W821" s="9" t="n">
        <x:f>IF(Dashboard!$I$6="Flat %",G821*(1+Dashboard!$L$6),H821)</x:f>
        <x:v>0.20197800000000002</x:v>
      </x:c>
      <x:c r="X821" s="9" t="n">
        <x:f>IF(V821=1,R821*(W821-G821),"n.a.")</x:f>
        <x:v>61.429398000000035</x:v>
      </x:c>
      <x:c r="Y821" s="9" t="n">
        <x:f>IF(V821=1,R821*W821,"n.a.")</x:f>
        <x:v>422.335998</x:v>
      </x:c>
      <x:c r="Z821" s="1" t="str">
        <x:f>IF(ISNUMBER(T821),R821-T821,"n.a.")</x:f>
        <x:v>n.a.</x:v>
      </x:c>
      <x:c r="AA821" s="1" t="str">
        <x:f>'Inventory inputs'!R821</x:f>
        <x:v>Review receipt reconciliation or original PO baseline</x:v>
      </x:c>
      <x:c r="AB821" s="1" t="str">
        <x:f>IF(L821=1,SUMIFS('Incoming POs'!$P$2:$P$305,'Incoming POs'!$A$2:$A$305,A821,'Incoming POs'!$B$2:$B$305,B821,'Incoming POs'!$C$2:$C$305,C821,'Incoming POs'!$G$2:$G$305,"&gt;="&amp;D821,'Incoming POs'!$G$2:$G$305,"&lt;"&amp;Dashboard!$I$5,'Incoming POs'!$Q$2:$Q$305,"&lt;="&amp;('Inventory inputs'!P821/'Inventory inputs'!J821*1.01)),"n.a.")</x:f>
        <x:v>n.a.</x:v>
      </x:c>
      <x:c r="AC821" s="9" t="n">
        <x:f>I821*G821</x:f>
        <x:v>0</x:v>
      </x:c>
      <x:c r="AD821" s="9" t="n">
        <x:f>J821*G821</x:f>
        <x:v>0</x:v>
      </x:c>
      <x:c r="AE821" s="9" t="n">
        <x:f>K821*G821</x:f>
        <x:v>360.9066</x:v>
      </x:c>
      <x:c r="AF821" s="9" t="n">
        <x:f>R821*G821</x:f>
        <x:v>360.9066</x:v>
      </x:c>
    </x:row>
    <x:row r="822" ht="21" customHeight="1">
      <x:c r="A822" s="1" t="str">
        <x:f>'Inventory inputs'!A822</x:f>
        <x:v>PLAS</x:v>
      </x:c>
      <x:c r="B822" s="1" t="str">
        <x:f>'Inventory inputs'!B822</x:f>
        <x:v>60</x:v>
      </x:c>
      <x:c r="C822" s="1" t="str">
        <x:f>'Inventory inputs'!C822</x:f>
        <x:v>07815RWBBLK</x:v>
      </x:c>
      <x:c r="D822" s="7" t="n">
        <x:f>'Inventory inputs'!E822</x:f>
        <x:v>46303</x:v>
      </x:c>
      <x:c r="E822" s="1" t="n">
        <x:f>'Inventory inputs'!F822</x:f>
        <x:v>500</x:v>
      </x:c>
      <x:c r="F822" s="1" t="n">
        <x:f>'Inventory inputs'!G822</x:f>
        <x:v>0</x:v>
      </x:c>
      <x:c r="G822" s="1" t="n">
        <x:f>'Inventory inputs'!H822/'Inventory inputs'!J822</x:f>
        <x:v>0.0538</x:v>
      </x:c>
      <x:c r="H822" s="1" t="n">
        <x:f>IF('Inventory inputs'!I822&gt;0,'Inventory inputs'!I822*'Inventory inputs'!K822/'Inventory inputs'!J822,"n.a.")</x:f>
        <x:v>0.062916</x:v>
      </x:c>
      <x:c r="I822" s="1" t="n">
        <x:f>'Inventory inputs'!L822</x:f>
        <x:v>0</x:v>
      </x:c>
      <x:c r="J822" s="1" t="n">
        <x:f>'Inventory inputs'!M822</x:f>
        <x:v>0</x:v>
      </x:c>
      <x:c r="K822" s="1" t="n">
        <x:f>'Inventory inputs'!N822</x:f>
        <x:v>500</x:v>
      </x:c>
      <x:c r="L822" s="1" t="n">
        <x:f>'Inventory inputs'!O822</x:f>
        <x:v>0</x:v>
      </x:c>
      <x:c r="M822" s="9" t="n">
        <x:f>E822*G822</x:f>
        <x:v>26.9</x:v>
      </x:c>
      <x:c r="N822" s="9" t="n">
        <x:f>'Inventory inputs'!Q822</x:f>
        <x:v>26.900000000000002</x:v>
      </x:c>
      <x:c r="O822" s="9" t="n">
        <x:f>N822-M822</x:f>
        <x:v>3.552713678800501e-15</x:v>
      </x:c>
      <x:c r="P822" s="1" t="n">
        <x:f>SUMIFS('Incoming POs'!$P$2:$P$305,'Incoming POs'!$A$2:$A$305,A822,'Incoming POs'!$B$2:$B$305,B822,'Incoming POs'!$C$2:$C$305,C822,'Incoming POs'!$G$2:$G$305,"&gt;="&amp;D822,'Incoming POs'!$G$2:$G$305,"&lt;"&amp;Dashboard!$I$5)</x:f>
        <x:v>0</x:v>
      </x:c>
      <x:c r="Q822" s="1" t="n">
        <x:f>F822*Dashboard!$L$5*MAX(0,Dashboard!$I$5-D822)/30.4375</x:f>
        <x:v>0</x:v>
      </x:c>
      <x:c r="R822" s="1" t="n">
        <x:f>MAX(0,E822+P822-Q822)</x:f>
        <x:v>500</x:v>
      </x:c>
      <x:c r="S822" s="1" t="n">
        <x:f>MAX(0,Q822-E822-P822)</x:f>
        <x:v>0</x:v>
      </x:c>
      <x:c r="T822" s="1" t="str">
        <x:f>IF(L822=1,MAX(0,I822+AB822-MIN(Q822,E822+P822)),"n.a.")</x:f>
        <x:v>n.a.</x:v>
      </x:c>
      <x:c r="U822" s="9" t="str">
        <x:f>IF(ISNUMBER(T822),T822*G822,"n.a.")</x:f>
        <x:v>n.a.</x:v>
      </x:c>
      <x:c r="V822" s="25" t="n">
        <x:f>IF(Dashboard!$I$6="Flat %",1,IF(ISNUMBER(H822),1,0))</x:f>
        <x:v>1</x:v>
      </x:c>
      <x:c r="W822" s="9" t="n">
        <x:f>IF(Dashboard!$I$6="Flat %",G822*(1+Dashboard!$L$6),H822)</x:f>
        <x:v>0.062916</x:v>
      </x:c>
      <x:c r="X822" s="9" t="n">
        <x:f>IF(V822=1,R822*(W822-G822),"n.a.")</x:f>
        <x:v>4.558</x:v>
      </x:c>
      <x:c r="Y822" s="9" t="n">
        <x:f>IF(V822=1,R822*W822,"n.a.")</x:f>
        <x:v>31.458</x:v>
      </x:c>
      <x:c r="Z822" s="1" t="str">
        <x:f>IF(ISNUMBER(T822),R822-T822,"n.a.")</x:f>
        <x:v>n.a.</x:v>
      </x:c>
      <x:c r="AA822" s="1" t="str">
        <x:f>'Inventory inputs'!R822</x:f>
        <x:v>Review receipt reconciliation or original PO baseline</x:v>
      </x:c>
      <x:c r="AB822" s="1" t="str">
        <x:f>IF(L822=1,SUMIFS('Incoming POs'!$P$2:$P$305,'Incoming POs'!$A$2:$A$305,A822,'Incoming POs'!$B$2:$B$305,B822,'Incoming POs'!$C$2:$C$305,C822,'Incoming POs'!$G$2:$G$305,"&gt;="&amp;D822,'Incoming POs'!$G$2:$G$305,"&lt;"&amp;Dashboard!$I$5,'Incoming POs'!$Q$2:$Q$305,"&lt;="&amp;('Inventory inputs'!P822/'Inventory inputs'!J822*1.01)),"n.a.")</x:f>
        <x:v>n.a.</x:v>
      </x:c>
      <x:c r="AC822" s="9" t="n">
        <x:f>I822*G822</x:f>
        <x:v>0</x:v>
      </x:c>
      <x:c r="AD822" s="9" t="n">
        <x:f>J822*G822</x:f>
        <x:v>0</x:v>
      </x:c>
      <x:c r="AE822" s="9" t="n">
        <x:f>K822*G822</x:f>
        <x:v>26.9</x:v>
      </x:c>
      <x:c r="AF822" s="9" t="n">
        <x:f>R822*G822</x:f>
        <x:v>26.9</x:v>
      </x:c>
    </x:row>
    <x:row r="823" ht="21" customHeight="1">
      <x:c r="A823" s="1" t="str">
        <x:f>'Inventory inputs'!A823</x:f>
        <x:v>PLAS</x:v>
      </x:c>
      <x:c r="B823" s="1" t="str">
        <x:f>'Inventory inputs'!B823</x:f>
        <x:v>60</x:v>
      </x:c>
      <x:c r="C823" s="1" t="str">
        <x:f>'Inventory inputs'!C823</x:f>
        <x:v>07815RWBWHT</x:v>
      </x:c>
      <x:c r="D823" s="7" t="n">
        <x:f>'Inventory inputs'!E823</x:f>
        <x:v>46303</x:v>
      </x:c>
      <x:c r="E823" s="1" t="n">
        <x:f>'Inventory inputs'!F823</x:f>
        <x:v>500</x:v>
      </x:c>
      <x:c r="F823" s="1" t="n">
        <x:f>'Inventory inputs'!G823</x:f>
        <x:v>0</x:v>
      </x:c>
      <x:c r="G823" s="1" t="n">
        <x:f>'Inventory inputs'!H823/'Inventory inputs'!J823</x:f>
        <x:v>0.0538</x:v>
      </x:c>
      <x:c r="H823" s="1" t="n">
        <x:f>IF('Inventory inputs'!I823&gt;0,'Inventory inputs'!I823*'Inventory inputs'!K823/'Inventory inputs'!J823,"n.a.")</x:f>
        <x:v>0.062916</x:v>
      </x:c>
      <x:c r="I823" s="1" t="n">
        <x:f>'Inventory inputs'!L823</x:f>
        <x:v>0</x:v>
      </x:c>
      <x:c r="J823" s="1" t="n">
        <x:f>'Inventory inputs'!M823</x:f>
        <x:v>0</x:v>
      </x:c>
      <x:c r="K823" s="1" t="n">
        <x:f>'Inventory inputs'!N823</x:f>
        <x:v>500</x:v>
      </x:c>
      <x:c r="L823" s="1" t="n">
        <x:f>'Inventory inputs'!O823</x:f>
        <x:v>0</x:v>
      </x:c>
      <x:c r="M823" s="9" t="n">
        <x:f>E823*G823</x:f>
        <x:v>26.9</x:v>
      </x:c>
      <x:c r="N823" s="9" t="n">
        <x:f>'Inventory inputs'!Q823</x:f>
        <x:v>26.900000000000002</x:v>
      </x:c>
      <x:c r="O823" s="9" t="n">
        <x:f>N823-M823</x:f>
        <x:v>3.552713678800501e-15</x:v>
      </x:c>
      <x:c r="P823" s="1" t="n">
        <x:f>SUMIFS('Incoming POs'!$P$2:$P$305,'Incoming POs'!$A$2:$A$305,A823,'Incoming POs'!$B$2:$B$305,B823,'Incoming POs'!$C$2:$C$305,C823,'Incoming POs'!$G$2:$G$305,"&gt;="&amp;D823,'Incoming POs'!$G$2:$G$305,"&lt;"&amp;Dashboard!$I$5)</x:f>
        <x:v>0</x:v>
      </x:c>
      <x:c r="Q823" s="1" t="n">
        <x:f>F823*Dashboard!$L$5*MAX(0,Dashboard!$I$5-D823)/30.4375</x:f>
        <x:v>0</x:v>
      </x:c>
      <x:c r="R823" s="1" t="n">
        <x:f>MAX(0,E823+P823-Q823)</x:f>
        <x:v>500</x:v>
      </x:c>
      <x:c r="S823" s="1" t="n">
        <x:f>MAX(0,Q823-E823-P823)</x:f>
        <x:v>0</x:v>
      </x:c>
      <x:c r="T823" s="1" t="str">
        <x:f>IF(L823=1,MAX(0,I823+AB823-MIN(Q823,E823+P823)),"n.a.")</x:f>
        <x:v>n.a.</x:v>
      </x:c>
      <x:c r="U823" s="9" t="str">
        <x:f>IF(ISNUMBER(T823),T823*G823,"n.a.")</x:f>
        <x:v>n.a.</x:v>
      </x:c>
      <x:c r="V823" s="25" t="n">
        <x:f>IF(Dashboard!$I$6="Flat %",1,IF(ISNUMBER(H823),1,0))</x:f>
        <x:v>1</x:v>
      </x:c>
      <x:c r="W823" s="9" t="n">
        <x:f>IF(Dashboard!$I$6="Flat %",G823*(1+Dashboard!$L$6),H823)</x:f>
        <x:v>0.062916</x:v>
      </x:c>
      <x:c r="X823" s="9" t="n">
        <x:f>IF(V823=1,R823*(W823-G823),"n.a.")</x:f>
        <x:v>4.558</x:v>
      </x:c>
      <x:c r="Y823" s="9" t="n">
        <x:f>IF(V823=1,R823*W823,"n.a.")</x:f>
        <x:v>31.458</x:v>
      </x:c>
      <x:c r="Z823" s="1" t="str">
        <x:f>IF(ISNUMBER(T823),R823-T823,"n.a.")</x:f>
        <x:v>n.a.</x:v>
      </x:c>
      <x:c r="AA823" s="1" t="str">
        <x:f>'Inventory inputs'!R823</x:f>
        <x:v>Review receipt reconciliation or original PO baseline</x:v>
      </x:c>
      <x:c r="AB823" s="1" t="str">
        <x:f>IF(L823=1,SUMIFS('Incoming POs'!$P$2:$P$305,'Incoming POs'!$A$2:$A$305,A823,'Incoming POs'!$B$2:$B$305,B823,'Incoming POs'!$C$2:$C$305,C823,'Incoming POs'!$G$2:$G$305,"&gt;="&amp;D823,'Incoming POs'!$G$2:$G$305,"&lt;"&amp;Dashboard!$I$5,'Incoming POs'!$Q$2:$Q$305,"&lt;="&amp;('Inventory inputs'!P823/'Inventory inputs'!J823*1.01)),"n.a.")</x:f>
        <x:v>n.a.</x:v>
      </x:c>
      <x:c r="AC823" s="9" t="n">
        <x:f>I823*G823</x:f>
        <x:v>0</x:v>
      </x:c>
      <x:c r="AD823" s="9" t="n">
        <x:f>J823*G823</x:f>
        <x:v>0</x:v>
      </x:c>
      <x:c r="AE823" s="9" t="n">
        <x:f>K823*G823</x:f>
        <x:v>26.9</x:v>
      </x:c>
      <x:c r="AF823" s="9" t="n">
        <x:f>R823*G823</x:f>
        <x:v>26.9</x:v>
      </x:c>
    </x:row>
    <x:row r="824" ht="21" customHeight="1">
      <x:c r="A824" s="1" t="str">
        <x:f>'Inventory inputs'!A824</x:f>
        <x:v>PLAS</x:v>
      </x:c>
      <x:c r="B824" s="1" t="str">
        <x:f>'Inventory inputs'!B824</x:f>
        <x:v>60</x:v>
      </x:c>
      <x:c r="C824" s="1" t="str">
        <x:f>'Inventory inputs'!C824</x:f>
        <x:v>07819RWBCLR</x:v>
      </x:c>
      <x:c r="D824" s="7" t="n">
        <x:f>'Inventory inputs'!E824</x:f>
        <x:v>46303</x:v>
      </x:c>
      <x:c r="E824" s="1" t="n">
        <x:f>'Inventory inputs'!F824</x:f>
        <x:v>1400</x:v>
      </x:c>
      <x:c r="F824" s="1" t="n">
        <x:f>'Inventory inputs'!G824</x:f>
        <x:v>0</x:v>
      </x:c>
      <x:c r="G824" s="1" t="n">
        <x:f>'Inventory inputs'!H824/'Inventory inputs'!J824</x:f>
        <x:v>0.0797</x:v>
      </x:c>
      <x:c r="H824" s="1" t="n">
        <x:f>IF('Inventory inputs'!I824&gt;0,'Inventory inputs'!I824*'Inventory inputs'!K824/'Inventory inputs'!J824,"n.a.")</x:f>
        <x:v>0.09319799999999999</x:v>
      </x:c>
      <x:c r="I824" s="1" t="n">
        <x:f>'Inventory inputs'!L824</x:f>
        <x:v>0</x:v>
      </x:c>
      <x:c r="J824" s="1" t="n">
        <x:f>'Inventory inputs'!M824</x:f>
        <x:v>0</x:v>
      </x:c>
      <x:c r="K824" s="1" t="n">
        <x:f>'Inventory inputs'!N824</x:f>
        <x:v>1400</x:v>
      </x:c>
      <x:c r="L824" s="1" t="n">
        <x:f>'Inventory inputs'!O824</x:f>
        <x:v>0</x:v>
      </x:c>
      <x:c r="M824" s="9" t="n">
        <x:f>E824*G824</x:f>
        <x:v>111.57999999999998</x:v>
      </x:c>
      <x:c r="N824" s="9" t="n">
        <x:f>'Inventory inputs'!Q824</x:f>
        <x:v>111.58</x:v>
      </x:c>
      <x:c r="O824" s="9" t="n">
        <x:f>N824-M824</x:f>
        <x:v>1.4210854715202004e-14</x:v>
      </x:c>
      <x:c r="P824" s="1" t="n">
        <x:f>SUMIFS('Incoming POs'!$P$2:$P$305,'Incoming POs'!$A$2:$A$305,A824,'Incoming POs'!$B$2:$B$305,B824,'Incoming POs'!$C$2:$C$305,C824,'Incoming POs'!$G$2:$G$305,"&gt;="&amp;D824,'Incoming POs'!$G$2:$G$305,"&lt;"&amp;Dashboard!$I$5)</x:f>
        <x:v>0</x:v>
      </x:c>
      <x:c r="Q824" s="1" t="n">
        <x:f>F824*Dashboard!$L$5*MAX(0,Dashboard!$I$5-D824)/30.4375</x:f>
        <x:v>0</x:v>
      </x:c>
      <x:c r="R824" s="1" t="n">
        <x:f>MAX(0,E824+P824-Q824)</x:f>
        <x:v>1400</x:v>
      </x:c>
      <x:c r="S824" s="1" t="n">
        <x:f>MAX(0,Q824-E824-P824)</x:f>
        <x:v>0</x:v>
      </x:c>
      <x:c r="T824" s="1" t="str">
        <x:f>IF(L824=1,MAX(0,I824+AB824-MIN(Q824,E824+P824)),"n.a.")</x:f>
        <x:v>n.a.</x:v>
      </x:c>
      <x:c r="U824" s="9" t="str">
        <x:f>IF(ISNUMBER(T824),T824*G824,"n.a.")</x:f>
        <x:v>n.a.</x:v>
      </x:c>
      <x:c r="V824" s="25" t="n">
        <x:f>IF(Dashboard!$I$6="Flat %",1,IF(ISNUMBER(H824),1,0))</x:f>
        <x:v>1</x:v>
      </x:c>
      <x:c r="W824" s="9" t="n">
        <x:f>IF(Dashboard!$I$6="Flat %",G824*(1+Dashboard!$L$6),H824)</x:f>
        <x:v>0.09319799999999999</x:v>
      </x:c>
      <x:c r="X824" s="9" t="n">
        <x:f>IF(V824=1,R824*(W824-G824),"n.a.")</x:f>
        <x:v>18.897199999999994</x:v>
      </x:c>
      <x:c r="Y824" s="9" t="n">
        <x:f>IF(V824=1,R824*W824,"n.a.")</x:f>
        <x:v>130.47719999999998</x:v>
      </x:c>
      <x:c r="Z824" s="1" t="str">
        <x:f>IF(ISNUMBER(T824),R824-T824,"n.a.")</x:f>
        <x:v>n.a.</x:v>
      </x:c>
      <x:c r="AA824" s="1" t="str">
        <x:f>'Inventory inputs'!R824</x:f>
        <x:v>Review receipt reconciliation or original PO baseline</x:v>
      </x:c>
      <x:c r="AB824" s="1" t="str">
        <x:f>IF(L824=1,SUMIFS('Incoming POs'!$P$2:$P$305,'Incoming POs'!$A$2:$A$305,A824,'Incoming POs'!$B$2:$B$305,B824,'Incoming POs'!$C$2:$C$305,C824,'Incoming POs'!$G$2:$G$305,"&gt;="&amp;D824,'Incoming POs'!$G$2:$G$305,"&lt;"&amp;Dashboard!$I$5,'Incoming POs'!$Q$2:$Q$305,"&lt;="&amp;('Inventory inputs'!P824/'Inventory inputs'!J824*1.01)),"n.a.")</x:f>
        <x:v>n.a.</x:v>
      </x:c>
      <x:c r="AC824" s="9" t="n">
        <x:f>I824*G824</x:f>
        <x:v>0</x:v>
      </x:c>
      <x:c r="AD824" s="9" t="n">
        <x:f>J824*G824</x:f>
        <x:v>0</x:v>
      </x:c>
      <x:c r="AE824" s="9" t="n">
        <x:f>K824*G824</x:f>
        <x:v>111.57999999999998</x:v>
      </x:c>
      <x:c r="AF824" s="9" t="n">
        <x:f>R824*G824</x:f>
        <x:v>111.57999999999998</x:v>
      </x:c>
    </x:row>
    <x:row r="825" ht="21" customHeight="1">
      <x:c r="A825" s="1" t="str">
        <x:f>'Inventory inputs'!A825</x:f>
        <x:v>PLAS</x:v>
      </x:c>
      <x:c r="B825" s="1" t="str">
        <x:f>'Inventory inputs'!B825</x:f>
        <x:v>60</x:v>
      </x:c>
      <x:c r="C825" s="1" t="str">
        <x:f>'Inventory inputs'!C825</x:f>
        <x:v>07819RWBFG</x:v>
      </x:c>
      <x:c r="D825" s="7" t="n">
        <x:f>'Inventory inputs'!E825</x:f>
        <x:v>46303</x:v>
      </x:c>
      <x:c r="E825" s="1" t="n">
        <x:f>'Inventory inputs'!F825</x:f>
        <x:v>1400</x:v>
      </x:c>
      <x:c r="F825" s="1" t="n">
        <x:f>'Inventory inputs'!G825</x:f>
        <x:v>0</x:v>
      </x:c>
      <x:c r="G825" s="1" t="n">
        <x:f>'Inventory inputs'!H825/'Inventory inputs'!J825</x:f>
        <x:v>0.0797</x:v>
      </x:c>
      <x:c r="H825" s="1" t="n">
        <x:f>IF('Inventory inputs'!I825&gt;0,'Inventory inputs'!I825*'Inventory inputs'!K825/'Inventory inputs'!J825,"n.a.")</x:f>
        <x:v>0.09319799999999999</x:v>
      </x:c>
      <x:c r="I825" s="1" t="n">
        <x:f>'Inventory inputs'!L825</x:f>
        <x:v>0</x:v>
      </x:c>
      <x:c r="J825" s="1" t="n">
        <x:f>'Inventory inputs'!M825</x:f>
        <x:v>0</x:v>
      </x:c>
      <x:c r="K825" s="1" t="n">
        <x:f>'Inventory inputs'!N825</x:f>
        <x:v>1400</x:v>
      </x:c>
      <x:c r="L825" s="1" t="n">
        <x:f>'Inventory inputs'!O825</x:f>
        <x:v>0</x:v>
      </x:c>
      <x:c r="M825" s="9" t="n">
        <x:f>E825*G825</x:f>
        <x:v>111.57999999999998</x:v>
      </x:c>
      <x:c r="N825" s="9" t="n">
        <x:f>'Inventory inputs'!Q825</x:f>
        <x:v>111.58</x:v>
      </x:c>
      <x:c r="O825" s="9" t="n">
        <x:f>N825-M825</x:f>
        <x:v>1.4210854715202004e-14</x:v>
      </x:c>
      <x:c r="P825" s="1" t="n">
        <x:f>SUMIFS('Incoming POs'!$P$2:$P$305,'Incoming POs'!$A$2:$A$305,A825,'Incoming POs'!$B$2:$B$305,B825,'Incoming POs'!$C$2:$C$305,C825,'Incoming POs'!$G$2:$G$305,"&gt;="&amp;D825,'Incoming POs'!$G$2:$G$305,"&lt;"&amp;Dashboard!$I$5)</x:f>
        <x:v>0</x:v>
      </x:c>
      <x:c r="Q825" s="1" t="n">
        <x:f>F825*Dashboard!$L$5*MAX(0,Dashboard!$I$5-D825)/30.4375</x:f>
        <x:v>0</x:v>
      </x:c>
      <x:c r="R825" s="1" t="n">
        <x:f>MAX(0,E825+P825-Q825)</x:f>
        <x:v>1400</x:v>
      </x:c>
      <x:c r="S825" s="1" t="n">
        <x:f>MAX(0,Q825-E825-P825)</x:f>
        <x:v>0</x:v>
      </x:c>
      <x:c r="T825" s="1" t="str">
        <x:f>IF(L825=1,MAX(0,I825+AB825-MIN(Q825,E825+P825)),"n.a.")</x:f>
        <x:v>n.a.</x:v>
      </x:c>
      <x:c r="U825" s="9" t="str">
        <x:f>IF(ISNUMBER(T825),T825*G825,"n.a.")</x:f>
        <x:v>n.a.</x:v>
      </x:c>
      <x:c r="V825" s="25" t="n">
        <x:f>IF(Dashboard!$I$6="Flat %",1,IF(ISNUMBER(H825),1,0))</x:f>
        <x:v>1</x:v>
      </x:c>
      <x:c r="W825" s="9" t="n">
        <x:f>IF(Dashboard!$I$6="Flat %",G825*(1+Dashboard!$L$6),H825)</x:f>
        <x:v>0.09319799999999999</x:v>
      </x:c>
      <x:c r="X825" s="9" t="n">
        <x:f>IF(V825=1,R825*(W825-G825),"n.a.")</x:f>
        <x:v>18.897199999999994</x:v>
      </x:c>
      <x:c r="Y825" s="9" t="n">
        <x:f>IF(V825=1,R825*W825,"n.a.")</x:f>
        <x:v>130.47719999999998</x:v>
      </x:c>
      <x:c r="Z825" s="1" t="str">
        <x:f>IF(ISNUMBER(T825),R825-T825,"n.a.")</x:f>
        <x:v>n.a.</x:v>
      </x:c>
      <x:c r="AA825" s="1" t="str">
        <x:f>'Inventory inputs'!R825</x:f>
        <x:v>Review receipt reconciliation or original PO baseline</x:v>
      </x:c>
      <x:c r="AB825" s="1" t="str">
        <x:f>IF(L825=1,SUMIFS('Incoming POs'!$P$2:$P$305,'Incoming POs'!$A$2:$A$305,A825,'Incoming POs'!$B$2:$B$305,B825,'Incoming POs'!$C$2:$C$305,C825,'Incoming POs'!$G$2:$G$305,"&gt;="&amp;D825,'Incoming POs'!$G$2:$G$305,"&lt;"&amp;Dashboard!$I$5,'Incoming POs'!$Q$2:$Q$305,"&lt;="&amp;('Inventory inputs'!P825/'Inventory inputs'!J825*1.01)),"n.a.")</x:f>
        <x:v>n.a.</x:v>
      </x:c>
      <x:c r="AC825" s="9" t="n">
        <x:f>I825*G825</x:f>
        <x:v>0</x:v>
      </x:c>
      <x:c r="AD825" s="9" t="n">
        <x:f>J825*G825</x:f>
        <x:v>0</x:v>
      </x:c>
      <x:c r="AE825" s="9" t="n">
        <x:f>K825*G825</x:f>
        <x:v>111.57999999999998</x:v>
      </x:c>
      <x:c r="AF825" s="9" t="n">
        <x:f>R825*G825</x:f>
        <x:v>111.57999999999998</x:v>
      </x:c>
    </x:row>
    <x:row r="826" ht="21" customHeight="1">
      <x:c r="A826" s="1" t="str">
        <x:f>'Inventory inputs'!A826</x:f>
        <x:v>PLAS</x:v>
      </x:c>
      <x:c r="B826" s="1" t="str">
        <x:f>'Inventory inputs'!B826</x:f>
        <x:v>60</x:v>
      </x:c>
      <x:c r="C826" s="1" t="str">
        <x:f>'Inventory inputs'!C826</x:f>
        <x:v>07819RWBRED</x:v>
      </x:c>
      <x:c r="D826" s="7" t="n">
        <x:f>'Inventory inputs'!E826</x:f>
        <x:v>46303</x:v>
      </x:c>
      <x:c r="E826" s="1" t="n">
        <x:f>'Inventory inputs'!F826</x:f>
        <x:v>300</x:v>
      </x:c>
      <x:c r="F826" s="1" t="n">
        <x:f>'Inventory inputs'!G826</x:f>
        <x:v>0</x:v>
      </x:c>
      <x:c r="G826" s="1" t="n">
        <x:f>'Inventory inputs'!H826/'Inventory inputs'!J826</x:f>
        <x:v>0.0797</x:v>
      </x:c>
      <x:c r="H826" s="1" t="n">
        <x:f>IF('Inventory inputs'!I826&gt;0,'Inventory inputs'!I826*'Inventory inputs'!K826/'Inventory inputs'!J826,"n.a.")</x:f>
        <x:v>0.09319799999999999</x:v>
      </x:c>
      <x:c r="I826" s="1" t="n">
        <x:f>'Inventory inputs'!L826</x:f>
        <x:v>0</x:v>
      </x:c>
      <x:c r="J826" s="1" t="n">
        <x:f>'Inventory inputs'!M826</x:f>
        <x:v>0</x:v>
      </x:c>
      <x:c r="K826" s="1" t="n">
        <x:f>'Inventory inputs'!N826</x:f>
        <x:v>300</x:v>
      </x:c>
      <x:c r="L826" s="1" t="n">
        <x:f>'Inventory inputs'!O826</x:f>
        <x:v>0</x:v>
      </x:c>
      <x:c r="M826" s="9" t="n">
        <x:f>E826*G826</x:f>
        <x:v>23.909999999999997</x:v>
      </x:c>
      <x:c r="N826" s="9" t="n">
        <x:f>'Inventory inputs'!Q826</x:f>
        <x:v>23.91</x:v>
      </x:c>
      <x:c r="O826" s="9" t="n">
        <x:f>N826-M826</x:f>
        <x:v>3.552713678800501e-15</x:v>
      </x:c>
      <x:c r="P826" s="1" t="n">
        <x:f>SUMIFS('Incoming POs'!$P$2:$P$305,'Incoming POs'!$A$2:$A$305,A826,'Incoming POs'!$B$2:$B$305,B826,'Incoming POs'!$C$2:$C$305,C826,'Incoming POs'!$G$2:$G$305,"&gt;="&amp;D826,'Incoming POs'!$G$2:$G$305,"&lt;"&amp;Dashboard!$I$5)</x:f>
        <x:v>0</x:v>
      </x:c>
      <x:c r="Q826" s="1" t="n">
        <x:f>F826*Dashboard!$L$5*MAX(0,Dashboard!$I$5-D826)/30.4375</x:f>
        <x:v>0</x:v>
      </x:c>
      <x:c r="R826" s="1" t="n">
        <x:f>MAX(0,E826+P826-Q826)</x:f>
        <x:v>300</x:v>
      </x:c>
      <x:c r="S826" s="1" t="n">
        <x:f>MAX(0,Q826-E826-P826)</x:f>
        <x:v>0</x:v>
      </x:c>
      <x:c r="T826" s="1" t="str">
        <x:f>IF(L826=1,MAX(0,I826+AB826-MIN(Q826,E826+P826)),"n.a.")</x:f>
        <x:v>n.a.</x:v>
      </x:c>
      <x:c r="U826" s="9" t="str">
        <x:f>IF(ISNUMBER(T826),T826*G826,"n.a.")</x:f>
        <x:v>n.a.</x:v>
      </x:c>
      <x:c r="V826" s="25" t="n">
        <x:f>IF(Dashboard!$I$6="Flat %",1,IF(ISNUMBER(H826),1,0))</x:f>
        <x:v>1</x:v>
      </x:c>
      <x:c r="W826" s="9" t="n">
        <x:f>IF(Dashboard!$I$6="Flat %",G826*(1+Dashboard!$L$6),H826)</x:f>
        <x:v>0.09319799999999999</x:v>
      </x:c>
      <x:c r="X826" s="9" t="n">
        <x:f>IF(V826=1,R826*(W826-G826),"n.a.")</x:f>
        <x:v>4.049399999999999</x:v>
      </x:c>
      <x:c r="Y826" s="9" t="n">
        <x:f>IF(V826=1,R826*W826,"n.a.")</x:f>
        <x:v>27.959399999999995</x:v>
      </x:c>
      <x:c r="Z826" s="1" t="str">
        <x:f>IF(ISNUMBER(T826),R826-T826,"n.a.")</x:f>
        <x:v>n.a.</x:v>
      </x:c>
      <x:c r="AA826" s="1" t="str">
        <x:f>'Inventory inputs'!R826</x:f>
        <x:v>Review receipt reconciliation or original PO baseline</x:v>
      </x:c>
      <x:c r="AB826" s="1" t="str">
        <x:f>IF(L826=1,SUMIFS('Incoming POs'!$P$2:$P$305,'Incoming POs'!$A$2:$A$305,A826,'Incoming POs'!$B$2:$B$305,B826,'Incoming POs'!$C$2:$C$305,C826,'Incoming POs'!$G$2:$G$305,"&gt;="&amp;D826,'Incoming POs'!$G$2:$G$305,"&lt;"&amp;Dashboard!$I$5,'Incoming POs'!$Q$2:$Q$305,"&lt;="&amp;('Inventory inputs'!P826/'Inventory inputs'!J826*1.01)),"n.a.")</x:f>
        <x:v>n.a.</x:v>
      </x:c>
      <x:c r="AC826" s="9" t="n">
        <x:f>I826*G826</x:f>
        <x:v>0</x:v>
      </x:c>
      <x:c r="AD826" s="9" t="n">
        <x:f>J826*G826</x:f>
        <x:v>0</x:v>
      </x:c>
      <x:c r="AE826" s="9" t="n">
        <x:f>K826*G826</x:f>
        <x:v>23.909999999999997</x:v>
      </x:c>
      <x:c r="AF826" s="9" t="n">
        <x:f>R826*G826</x:f>
        <x:v>23.909999999999997</x:v>
      </x:c>
    </x:row>
    <x:row r="827" ht="21" customHeight="1">
      <x:c r="A827" s="1" t="str">
        <x:f>'Inventory inputs'!A827</x:f>
        <x:v>PLAS</x:v>
      </x:c>
      <x:c r="B827" s="1" t="str">
        <x:f>'Inventory inputs'!B827</x:f>
        <x:v>60</x:v>
      </x:c>
      <x:c r="C827" s="1" t="str">
        <x:f>'Inventory inputs'!C827</x:f>
        <x:v>07880RWBBLK</x:v>
      </x:c>
      <x:c r="D827" s="7" t="n">
        <x:f>'Inventory inputs'!E827</x:f>
        <x:v>46303</x:v>
      </x:c>
      <x:c r="E827" s="1" t="n">
        <x:f>'Inventory inputs'!F827</x:f>
        <x:v>983</x:v>
      </x:c>
      <x:c r="F827" s="1" t="n">
        <x:f>'Inventory inputs'!G827</x:f>
        <x:v>0</x:v>
      </x:c>
      <x:c r="G827" s="1" t="n">
        <x:f>'Inventory inputs'!H827/'Inventory inputs'!J827</x:f>
        <x:v>0.2962</x:v>
      </x:c>
      <x:c r="H827" s="1" t="n">
        <x:f>IF('Inventory inputs'!I827&gt;0,'Inventory inputs'!I827*'Inventory inputs'!K827/'Inventory inputs'!J827,"n.a.")</x:f>
        <x:v>0.346626</x:v>
      </x:c>
      <x:c r="I827" s="1" t="n">
        <x:f>'Inventory inputs'!L827</x:f>
        <x:v>0</x:v>
      </x:c>
      <x:c r="J827" s="1" t="n">
        <x:f>'Inventory inputs'!M827</x:f>
        <x:v>0</x:v>
      </x:c>
      <x:c r="K827" s="1" t="n">
        <x:f>'Inventory inputs'!N827</x:f>
        <x:v>983</x:v>
      </x:c>
      <x:c r="L827" s="1" t="n">
        <x:f>'Inventory inputs'!O827</x:f>
        <x:v>0</x:v>
      </x:c>
      <x:c r="M827" s="9" t="n">
        <x:f>E827*G827</x:f>
        <x:v>291.1646</x:v>
      </x:c>
      <x:c r="N827" s="9" t="n">
        <x:f>'Inventory inputs'!Q827</x:f>
        <x:v>291.1646</x:v>
      </x:c>
      <x:c r="O827" s="9" t="n">
        <x:f>N827-M827</x:f>
        <x:v>0</x:v>
      </x:c>
      <x:c r="P827" s="1" t="n">
        <x:f>SUMIFS('Incoming POs'!$P$2:$P$305,'Incoming POs'!$A$2:$A$305,A827,'Incoming POs'!$B$2:$B$305,B827,'Incoming POs'!$C$2:$C$305,C827,'Incoming POs'!$G$2:$G$305,"&gt;="&amp;D827,'Incoming POs'!$G$2:$G$305,"&lt;"&amp;Dashboard!$I$5)</x:f>
        <x:v>0</x:v>
      </x:c>
      <x:c r="Q827" s="1" t="n">
        <x:f>F827*Dashboard!$L$5*MAX(0,Dashboard!$I$5-D827)/30.4375</x:f>
        <x:v>0</x:v>
      </x:c>
      <x:c r="R827" s="1" t="n">
        <x:f>MAX(0,E827+P827-Q827)</x:f>
        <x:v>983</x:v>
      </x:c>
      <x:c r="S827" s="1" t="n">
        <x:f>MAX(0,Q827-E827-P827)</x:f>
        <x:v>0</x:v>
      </x:c>
      <x:c r="T827" s="1" t="str">
        <x:f>IF(L827=1,MAX(0,I827+AB827-MIN(Q827,E827+P827)),"n.a.")</x:f>
        <x:v>n.a.</x:v>
      </x:c>
      <x:c r="U827" s="9" t="str">
        <x:f>IF(ISNUMBER(T827),T827*G827,"n.a.")</x:f>
        <x:v>n.a.</x:v>
      </x:c>
      <x:c r="V827" s="25" t="n">
        <x:f>IF(Dashboard!$I$6="Flat %",1,IF(ISNUMBER(H827),1,0))</x:f>
        <x:v>1</x:v>
      </x:c>
      <x:c r="W827" s="9" t="n">
        <x:f>IF(Dashboard!$I$6="Flat %",G827*(1+Dashboard!$L$6),H827)</x:f>
        <x:v>0.346626</x:v>
      </x:c>
      <x:c r="X827" s="9" t="n">
        <x:f>IF(V827=1,R827*(W827-G827),"n.a.")</x:f>
        <x:v>49.568757999999974</x:v>
      </x:c>
      <x:c r="Y827" s="9" t="n">
        <x:f>IF(V827=1,R827*W827,"n.a.")</x:f>
        <x:v>340.733358</x:v>
      </x:c>
      <x:c r="Z827" s="1" t="str">
        <x:f>IF(ISNUMBER(T827),R827-T827,"n.a.")</x:f>
        <x:v>n.a.</x:v>
      </x:c>
      <x:c r="AA827" s="1" t="str">
        <x:f>'Inventory inputs'!R827</x:f>
        <x:v>Review receipt reconciliation or original PO baseline</x:v>
      </x:c>
      <x:c r="AB827" s="1" t="str">
        <x:f>IF(L827=1,SUMIFS('Incoming POs'!$P$2:$P$305,'Incoming POs'!$A$2:$A$305,A827,'Incoming POs'!$B$2:$B$305,B827,'Incoming POs'!$C$2:$C$305,C827,'Incoming POs'!$G$2:$G$305,"&gt;="&amp;D827,'Incoming POs'!$G$2:$G$305,"&lt;"&amp;Dashboard!$I$5,'Incoming POs'!$Q$2:$Q$305,"&lt;="&amp;('Inventory inputs'!P827/'Inventory inputs'!J827*1.01)),"n.a.")</x:f>
        <x:v>n.a.</x:v>
      </x:c>
      <x:c r="AC827" s="9" t="n">
        <x:f>I827*G827</x:f>
        <x:v>0</x:v>
      </x:c>
      <x:c r="AD827" s="9" t="n">
        <x:f>J827*G827</x:f>
        <x:v>0</x:v>
      </x:c>
      <x:c r="AE827" s="9" t="n">
        <x:f>K827*G827</x:f>
        <x:v>291.1646</x:v>
      </x:c>
      <x:c r="AF827" s="9" t="n">
        <x:f>R827*G827</x:f>
        <x:v>291.1646</x:v>
      </x:c>
    </x:row>
    <x:row r="828" ht="21" customHeight="1">
      <x:c r="A828" s="1" t="str">
        <x:f>'Inventory inputs'!A828</x:f>
        <x:v>PLAS</x:v>
      </x:c>
      <x:c r="B828" s="1" t="str">
        <x:f>'Inventory inputs'!B828</x:f>
        <x:v>60</x:v>
      </x:c>
      <x:c r="C828" s="1" t="str">
        <x:f>'Inventory inputs'!C828</x:f>
        <x:v>07880RWBWHT</x:v>
      </x:c>
      <x:c r="D828" s="7" t="n">
        <x:f>'Inventory inputs'!E828</x:f>
        <x:v>46303</x:v>
      </x:c>
      <x:c r="E828" s="1" t="n">
        <x:f>'Inventory inputs'!F828</x:f>
        <x:v>950</x:v>
      </x:c>
      <x:c r="F828" s="1" t="n">
        <x:f>'Inventory inputs'!G828</x:f>
        <x:v>0</x:v>
      </x:c>
      <x:c r="G828" s="1" t="n">
        <x:f>'Inventory inputs'!H828/'Inventory inputs'!J828</x:f>
        <x:v>0.2962</x:v>
      </x:c>
      <x:c r="H828" s="1" t="n">
        <x:f>IF('Inventory inputs'!I828&gt;0,'Inventory inputs'!I828*'Inventory inputs'!K828/'Inventory inputs'!J828,"n.a.")</x:f>
        <x:v>0.346626</x:v>
      </x:c>
      <x:c r="I828" s="1" t="n">
        <x:f>'Inventory inputs'!L828</x:f>
        <x:v>0</x:v>
      </x:c>
      <x:c r="J828" s="1" t="n">
        <x:f>'Inventory inputs'!M828</x:f>
        <x:v>0</x:v>
      </x:c>
      <x:c r="K828" s="1" t="n">
        <x:f>'Inventory inputs'!N828</x:f>
        <x:v>950</x:v>
      </x:c>
      <x:c r="L828" s="1" t="n">
        <x:f>'Inventory inputs'!O828</x:f>
        <x:v>0</x:v>
      </x:c>
      <x:c r="M828" s="9" t="n">
        <x:f>E828*G828</x:f>
        <x:v>281.39000000000004</x:v>
      </x:c>
      <x:c r="N828" s="9" t="n">
        <x:f>'Inventory inputs'!Q828</x:f>
        <x:v>281.39</x:v>
      </x:c>
      <x:c r="O828" s="9" t="n">
        <x:f>N828-M828</x:f>
        <x:v>-5.684341886080802e-14</x:v>
      </x:c>
      <x:c r="P828" s="1" t="n">
        <x:f>SUMIFS('Incoming POs'!$P$2:$P$305,'Incoming POs'!$A$2:$A$305,A828,'Incoming POs'!$B$2:$B$305,B828,'Incoming POs'!$C$2:$C$305,C828,'Incoming POs'!$G$2:$G$305,"&gt;="&amp;D828,'Incoming POs'!$G$2:$G$305,"&lt;"&amp;Dashboard!$I$5)</x:f>
        <x:v>0</x:v>
      </x:c>
      <x:c r="Q828" s="1" t="n">
        <x:f>F828*Dashboard!$L$5*MAX(0,Dashboard!$I$5-D828)/30.4375</x:f>
        <x:v>0</x:v>
      </x:c>
      <x:c r="R828" s="1" t="n">
        <x:f>MAX(0,E828+P828-Q828)</x:f>
        <x:v>950</x:v>
      </x:c>
      <x:c r="S828" s="1" t="n">
        <x:f>MAX(0,Q828-E828-P828)</x:f>
        <x:v>0</x:v>
      </x:c>
      <x:c r="T828" s="1" t="str">
        <x:f>IF(L828=1,MAX(0,I828+AB828-MIN(Q828,E828+P828)),"n.a.")</x:f>
        <x:v>n.a.</x:v>
      </x:c>
      <x:c r="U828" s="9" t="str">
        <x:f>IF(ISNUMBER(T828),T828*G828,"n.a.")</x:f>
        <x:v>n.a.</x:v>
      </x:c>
      <x:c r="V828" s="25" t="n">
        <x:f>IF(Dashboard!$I$6="Flat %",1,IF(ISNUMBER(H828),1,0))</x:f>
        <x:v>1</x:v>
      </x:c>
      <x:c r="W828" s="9" t="n">
        <x:f>IF(Dashboard!$I$6="Flat %",G828*(1+Dashboard!$L$6),H828)</x:f>
        <x:v>0.346626</x:v>
      </x:c>
      <x:c r="X828" s="9" t="n">
        <x:f>IF(V828=1,R828*(W828-G828),"n.a.")</x:f>
        <x:v>47.90469999999997</x:v>
      </x:c>
      <x:c r="Y828" s="9" t="n">
        <x:f>IF(V828=1,R828*W828,"n.a.")</x:f>
        <x:v>329.2947</x:v>
      </x:c>
      <x:c r="Z828" s="1" t="str">
        <x:f>IF(ISNUMBER(T828),R828-T828,"n.a.")</x:f>
        <x:v>n.a.</x:v>
      </x:c>
      <x:c r="AA828" s="1" t="str">
        <x:f>'Inventory inputs'!R828</x:f>
        <x:v>Review receipt reconciliation or original PO baseline</x:v>
      </x:c>
      <x:c r="AB828" s="1" t="str">
        <x:f>IF(L828=1,SUMIFS('Incoming POs'!$P$2:$P$305,'Incoming POs'!$A$2:$A$305,A828,'Incoming POs'!$B$2:$B$305,B828,'Incoming POs'!$C$2:$C$305,C828,'Incoming POs'!$G$2:$G$305,"&gt;="&amp;D828,'Incoming POs'!$G$2:$G$305,"&lt;"&amp;Dashboard!$I$5,'Incoming POs'!$Q$2:$Q$305,"&lt;="&amp;('Inventory inputs'!P828/'Inventory inputs'!J828*1.01)),"n.a.")</x:f>
        <x:v>n.a.</x:v>
      </x:c>
      <x:c r="AC828" s="9" t="n">
        <x:f>I828*G828</x:f>
        <x:v>0</x:v>
      </x:c>
      <x:c r="AD828" s="9" t="n">
        <x:f>J828*G828</x:f>
        <x:v>0</x:v>
      </x:c>
      <x:c r="AE828" s="9" t="n">
        <x:f>K828*G828</x:f>
        <x:v>281.39000000000004</x:v>
      </x:c>
      <x:c r="AF828" s="9" t="n">
        <x:f>R828*G828</x:f>
        <x:v>281.39000000000004</x:v>
      </x:c>
    </x:row>
    <x:row r="829" ht="21" customHeight="1">
      <x:c r="A829" s="1" t="str">
        <x:f>'Inventory inputs'!A829</x:f>
        <x:v>PLAS</x:v>
      </x:c>
      <x:c r="B829" s="1" t="str">
        <x:f>'Inventory inputs'!B829</x:f>
        <x:v>60</x:v>
      </x:c>
      <x:c r="C829" s="1" t="str">
        <x:f>'Inventory inputs'!C829</x:f>
        <x:v>11215RSLBLK</x:v>
      </x:c>
      <x:c r="D829" s="7" t="n">
        <x:f>'Inventory inputs'!E829</x:f>
        <x:v>46303</x:v>
      </x:c>
      <x:c r="E829" s="1" t="n">
        <x:f>'Inventory inputs'!F829</x:f>
        <x:v>476</x:v>
      </x:c>
      <x:c r="F829" s="1" t="n">
        <x:f>'Inventory inputs'!G829</x:f>
        <x:v>0</x:v>
      </x:c>
      <x:c r="G829" s="1" t="n">
        <x:f>'Inventory inputs'!H829/'Inventory inputs'!J829</x:f>
        <x:v>0.0886</x:v>
      </x:c>
      <x:c r="H829" s="1" t="n">
        <x:f>IF('Inventory inputs'!I829&gt;0,'Inventory inputs'!I829*'Inventory inputs'!K829/'Inventory inputs'!J829,"n.a.")</x:f>
        <x:v>0.103782</x:v>
      </x:c>
      <x:c r="I829" s="1" t="n">
        <x:f>'Inventory inputs'!L829</x:f>
        <x:v>0</x:v>
      </x:c>
      <x:c r="J829" s="1" t="n">
        <x:f>'Inventory inputs'!M829</x:f>
        <x:v>0</x:v>
      </x:c>
      <x:c r="K829" s="1" t="n">
        <x:f>'Inventory inputs'!N829</x:f>
        <x:v>476</x:v>
      </x:c>
      <x:c r="L829" s="1" t="n">
        <x:f>'Inventory inputs'!O829</x:f>
        <x:v>0</x:v>
      </x:c>
      <x:c r="M829" s="9" t="n">
        <x:f>E829*G829</x:f>
        <x:v>42.1736</x:v>
      </x:c>
      <x:c r="N829" s="9" t="n">
        <x:f>'Inventory inputs'!Q829</x:f>
        <x:v>42.1736</x:v>
      </x:c>
      <x:c r="O829" s="9" t="n">
        <x:f>N829-M829</x:f>
        <x:v>0</x:v>
      </x:c>
      <x:c r="P829" s="1" t="n">
        <x:f>SUMIFS('Incoming POs'!$P$2:$P$305,'Incoming POs'!$A$2:$A$305,A829,'Incoming POs'!$B$2:$B$305,B829,'Incoming POs'!$C$2:$C$305,C829,'Incoming POs'!$G$2:$G$305,"&gt;="&amp;D829,'Incoming POs'!$G$2:$G$305,"&lt;"&amp;Dashboard!$I$5)</x:f>
        <x:v>0</x:v>
      </x:c>
      <x:c r="Q829" s="1" t="n">
        <x:f>F829*Dashboard!$L$5*MAX(0,Dashboard!$I$5-D829)/30.4375</x:f>
        <x:v>0</x:v>
      </x:c>
      <x:c r="R829" s="1" t="n">
        <x:f>MAX(0,E829+P829-Q829)</x:f>
        <x:v>476</x:v>
      </x:c>
      <x:c r="S829" s="1" t="n">
        <x:f>MAX(0,Q829-E829-P829)</x:f>
        <x:v>0</x:v>
      </x:c>
      <x:c r="T829" s="1" t="str">
        <x:f>IF(L829=1,MAX(0,I829+AB829-MIN(Q829,E829+P829)),"n.a.")</x:f>
        <x:v>n.a.</x:v>
      </x:c>
      <x:c r="U829" s="9" t="str">
        <x:f>IF(ISNUMBER(T829),T829*G829,"n.a.")</x:f>
        <x:v>n.a.</x:v>
      </x:c>
      <x:c r="V829" s="25" t="n">
        <x:f>IF(Dashboard!$I$6="Flat %",1,IF(ISNUMBER(H829),1,0))</x:f>
        <x:v>1</x:v>
      </x:c>
      <x:c r="W829" s="9" t="n">
        <x:f>IF(Dashboard!$I$6="Flat %",G829*(1+Dashboard!$L$6),H829)</x:f>
        <x:v>0.103782</x:v>
      </x:c>
      <x:c r="X829" s="9" t="n">
        <x:f>IF(V829=1,R829*(W829-G829),"n.a.")</x:f>
        <x:v>7.226632</x:v>
      </x:c>
      <x:c r="Y829" s="9" t="n">
        <x:f>IF(V829=1,R829*W829,"n.a.")</x:f>
        <x:v>49.400232</x:v>
      </x:c>
      <x:c r="Z829" s="1" t="str">
        <x:f>IF(ISNUMBER(T829),R829-T829,"n.a.")</x:f>
        <x:v>n.a.</x:v>
      </x:c>
      <x:c r="AA829" s="1" t="str">
        <x:f>'Inventory inputs'!R829</x:f>
        <x:v>Review receipt reconciliation or original PO baseline</x:v>
      </x:c>
      <x:c r="AB829" s="1" t="str">
        <x:f>IF(L829=1,SUMIFS('Incoming POs'!$P$2:$P$305,'Incoming POs'!$A$2:$A$305,A829,'Incoming POs'!$B$2:$B$305,B829,'Incoming POs'!$C$2:$C$305,C829,'Incoming POs'!$G$2:$G$305,"&gt;="&amp;D829,'Incoming POs'!$G$2:$G$305,"&lt;"&amp;Dashboard!$I$5,'Incoming POs'!$Q$2:$Q$305,"&lt;="&amp;('Inventory inputs'!P829/'Inventory inputs'!J829*1.01)),"n.a.")</x:f>
        <x:v>n.a.</x:v>
      </x:c>
      <x:c r="AC829" s="9" t="n">
        <x:f>I829*G829</x:f>
        <x:v>0</x:v>
      </x:c>
      <x:c r="AD829" s="9" t="n">
        <x:f>J829*G829</x:f>
        <x:v>0</x:v>
      </x:c>
      <x:c r="AE829" s="9" t="n">
        <x:f>K829*G829</x:f>
        <x:v>42.1736</x:v>
      </x:c>
      <x:c r="AF829" s="9" t="n">
        <x:f>R829*G829</x:f>
        <x:v>42.1736</x:v>
      </x:c>
    </x:row>
    <x:row r="830" ht="21" customHeight="1">
      <x:c r="A830" s="1" t="str">
        <x:f>'Inventory inputs'!A830</x:f>
        <x:v>PLAS</x:v>
      </x:c>
      <x:c r="B830" s="1" t="str">
        <x:f>'Inventory inputs'!B830</x:f>
        <x:v>60</x:v>
      </x:c>
      <x:c r="C830" s="1" t="str">
        <x:f>'Inventory inputs'!C830</x:f>
        <x:v>11215RSLWHT</x:v>
      </x:c>
      <x:c r="D830" s="7" t="n">
        <x:f>'Inventory inputs'!E830</x:f>
        <x:v>46303</x:v>
      </x:c>
      <x:c r="E830" s="1" t="n">
        <x:f>'Inventory inputs'!F830</x:f>
        <x:v>1000</x:v>
      </x:c>
      <x:c r="F830" s="1" t="n">
        <x:f>'Inventory inputs'!G830</x:f>
        <x:v>0</x:v>
      </x:c>
      <x:c r="G830" s="1" t="n">
        <x:f>'Inventory inputs'!H830/'Inventory inputs'!J830</x:f>
        <x:v>0.0886</x:v>
      </x:c>
      <x:c r="H830" s="1" t="n">
        <x:f>IF('Inventory inputs'!I830&gt;0,'Inventory inputs'!I830*'Inventory inputs'!K830/'Inventory inputs'!J830,"n.a.")</x:f>
        <x:v>0.103782</x:v>
      </x:c>
      <x:c r="I830" s="1" t="n">
        <x:f>'Inventory inputs'!L830</x:f>
        <x:v>0</x:v>
      </x:c>
      <x:c r="J830" s="1" t="n">
        <x:f>'Inventory inputs'!M830</x:f>
        <x:v>0</x:v>
      </x:c>
      <x:c r="K830" s="1" t="n">
        <x:f>'Inventory inputs'!N830</x:f>
        <x:v>1000</x:v>
      </x:c>
      <x:c r="L830" s="1" t="n">
        <x:f>'Inventory inputs'!O830</x:f>
        <x:v>0</x:v>
      </x:c>
      <x:c r="M830" s="9" t="n">
        <x:f>E830*G830</x:f>
        <x:v>88.6</x:v>
      </x:c>
      <x:c r="N830" s="9" t="n">
        <x:f>'Inventory inputs'!Q830</x:f>
        <x:v>88.60000000000001</x:v>
      </x:c>
      <x:c r="O830" s="9" t="n">
        <x:f>N830-M830</x:f>
        <x:v>1.4210854715202004e-14</x:v>
      </x:c>
      <x:c r="P830" s="1" t="n">
        <x:f>SUMIFS('Incoming POs'!$P$2:$P$305,'Incoming POs'!$A$2:$A$305,A830,'Incoming POs'!$B$2:$B$305,B830,'Incoming POs'!$C$2:$C$305,C830,'Incoming POs'!$G$2:$G$305,"&gt;="&amp;D830,'Incoming POs'!$G$2:$G$305,"&lt;"&amp;Dashboard!$I$5)</x:f>
        <x:v>0</x:v>
      </x:c>
      <x:c r="Q830" s="1" t="n">
        <x:f>F830*Dashboard!$L$5*MAX(0,Dashboard!$I$5-D830)/30.4375</x:f>
        <x:v>0</x:v>
      </x:c>
      <x:c r="R830" s="1" t="n">
        <x:f>MAX(0,E830+P830-Q830)</x:f>
        <x:v>1000</x:v>
      </x:c>
      <x:c r="S830" s="1" t="n">
        <x:f>MAX(0,Q830-E830-P830)</x:f>
        <x:v>0</x:v>
      </x:c>
      <x:c r="T830" s="1" t="str">
        <x:f>IF(L830=1,MAX(0,I830+AB830-MIN(Q830,E830+P830)),"n.a.")</x:f>
        <x:v>n.a.</x:v>
      </x:c>
      <x:c r="U830" s="9" t="str">
        <x:f>IF(ISNUMBER(T830),T830*G830,"n.a.")</x:f>
        <x:v>n.a.</x:v>
      </x:c>
      <x:c r="V830" s="25" t="n">
        <x:f>IF(Dashboard!$I$6="Flat %",1,IF(ISNUMBER(H830),1,0))</x:f>
        <x:v>1</x:v>
      </x:c>
      <x:c r="W830" s="9" t="n">
        <x:f>IF(Dashboard!$I$6="Flat %",G830*(1+Dashboard!$L$6),H830)</x:f>
        <x:v>0.103782</x:v>
      </x:c>
      <x:c r="X830" s="9" t="n">
        <x:f>IF(V830=1,R830*(W830-G830),"n.a.")</x:f>
        <x:v>15.182</x:v>
      </x:c>
      <x:c r="Y830" s="9" t="n">
        <x:f>IF(V830=1,R830*W830,"n.a.")</x:f>
        <x:v>103.782</x:v>
      </x:c>
      <x:c r="Z830" s="1" t="str">
        <x:f>IF(ISNUMBER(T830),R830-T830,"n.a.")</x:f>
        <x:v>n.a.</x:v>
      </x:c>
      <x:c r="AA830" s="1" t="str">
        <x:f>'Inventory inputs'!R830</x:f>
        <x:v>Review receipt reconciliation or original PO baseline</x:v>
      </x:c>
      <x:c r="AB830" s="1" t="str">
        <x:f>IF(L830=1,SUMIFS('Incoming POs'!$P$2:$P$305,'Incoming POs'!$A$2:$A$305,A830,'Incoming POs'!$B$2:$B$305,B830,'Incoming POs'!$C$2:$C$305,C830,'Incoming POs'!$G$2:$G$305,"&gt;="&amp;D830,'Incoming POs'!$G$2:$G$305,"&lt;"&amp;Dashboard!$I$5,'Incoming POs'!$Q$2:$Q$305,"&lt;="&amp;('Inventory inputs'!P830/'Inventory inputs'!J830*1.01)),"n.a.")</x:f>
        <x:v>n.a.</x:v>
      </x:c>
      <x:c r="AC830" s="9" t="n">
        <x:f>I830*G830</x:f>
        <x:v>0</x:v>
      </x:c>
      <x:c r="AD830" s="9" t="n">
        <x:f>J830*G830</x:f>
        <x:v>0</x:v>
      </x:c>
      <x:c r="AE830" s="9" t="n">
        <x:f>K830*G830</x:f>
        <x:v>88.6</x:v>
      </x:c>
      <x:c r="AF830" s="9" t="n">
        <x:f>R830*G830</x:f>
        <x:v>88.6</x:v>
      </x:c>
    </x:row>
    <x:row r="831" ht="21" customHeight="1">
      <x:c r="A831" s="1" t="str">
        <x:f>'Inventory inputs'!A831</x:f>
        <x:v>PLAS</x:v>
      </x:c>
      <x:c r="B831" s="1" t="str">
        <x:f>'Inventory inputs'!B831</x:f>
        <x:v>60</x:v>
      </x:c>
      <x:c r="C831" s="1" t="str">
        <x:f>'Inventory inputs'!C831</x:f>
        <x:v>11219RSLBLU</x:v>
      </x:c>
      <x:c r="D831" s="7" t="n">
        <x:f>'Inventory inputs'!E831</x:f>
        <x:v>46303</x:v>
      </x:c>
      <x:c r="E831" s="1" t="n">
        <x:f>'Inventory inputs'!F831</x:f>
        <x:v>650</x:v>
      </x:c>
      <x:c r="F831" s="1" t="n">
        <x:f>'Inventory inputs'!G831</x:f>
        <x:v>0</x:v>
      </x:c>
      <x:c r="G831" s="1" t="n">
        <x:f>'Inventory inputs'!H831/'Inventory inputs'!J831</x:f>
        <x:v>0.1298</x:v>
      </x:c>
      <x:c r="H831" s="1" t="n">
        <x:f>IF('Inventory inputs'!I831&gt;0,'Inventory inputs'!I831*'Inventory inputs'!K831/'Inventory inputs'!J831,"n.a.")</x:f>
        <x:v>0.151851</x:v>
      </x:c>
      <x:c r="I831" s="1" t="n">
        <x:f>'Inventory inputs'!L831</x:f>
        <x:v>0</x:v>
      </x:c>
      <x:c r="J831" s="1" t="n">
        <x:f>'Inventory inputs'!M831</x:f>
        <x:v>0</x:v>
      </x:c>
      <x:c r="K831" s="1" t="n">
        <x:f>'Inventory inputs'!N831</x:f>
        <x:v>650</x:v>
      </x:c>
      <x:c r="L831" s="1" t="n">
        <x:f>'Inventory inputs'!O831</x:f>
        <x:v>0</x:v>
      </x:c>
      <x:c r="M831" s="9" t="n">
        <x:f>E831*G831</x:f>
        <x:v>84.37</x:v>
      </x:c>
      <x:c r="N831" s="9" t="n">
        <x:f>'Inventory inputs'!Q831</x:f>
        <x:v>84.37</x:v>
      </x:c>
      <x:c r="O831" s="9" t="n">
        <x:f>N831-M831</x:f>
        <x:v>0</x:v>
      </x:c>
      <x:c r="P831" s="1" t="n">
        <x:f>SUMIFS('Incoming POs'!$P$2:$P$305,'Incoming POs'!$A$2:$A$305,A831,'Incoming POs'!$B$2:$B$305,B831,'Incoming POs'!$C$2:$C$305,C831,'Incoming POs'!$G$2:$G$305,"&gt;="&amp;D831,'Incoming POs'!$G$2:$G$305,"&lt;"&amp;Dashboard!$I$5)</x:f>
        <x:v>0</x:v>
      </x:c>
      <x:c r="Q831" s="1" t="n">
        <x:f>F831*Dashboard!$L$5*MAX(0,Dashboard!$I$5-D831)/30.4375</x:f>
        <x:v>0</x:v>
      </x:c>
      <x:c r="R831" s="1" t="n">
        <x:f>MAX(0,E831+P831-Q831)</x:f>
        <x:v>650</x:v>
      </x:c>
      <x:c r="S831" s="1" t="n">
        <x:f>MAX(0,Q831-E831-P831)</x:f>
        <x:v>0</x:v>
      </x:c>
      <x:c r="T831" s="1" t="str">
        <x:f>IF(L831=1,MAX(0,I831+AB831-MIN(Q831,E831+P831)),"n.a.")</x:f>
        <x:v>n.a.</x:v>
      </x:c>
      <x:c r="U831" s="9" t="str">
        <x:f>IF(ISNUMBER(T831),T831*G831,"n.a.")</x:f>
        <x:v>n.a.</x:v>
      </x:c>
      <x:c r="V831" s="25" t="n">
        <x:f>IF(Dashboard!$I$6="Flat %",1,IF(ISNUMBER(H831),1,0))</x:f>
        <x:v>1</x:v>
      </x:c>
      <x:c r="W831" s="9" t="n">
        <x:f>IF(Dashboard!$I$6="Flat %",G831*(1+Dashboard!$L$6),H831)</x:f>
        <x:v>0.151851</x:v>
      </x:c>
      <x:c r="X831" s="9" t="n">
        <x:f>IF(V831=1,R831*(W831-G831),"n.a.")</x:f>
        <x:v>14.33315000000001</x:v>
      </x:c>
      <x:c r="Y831" s="9" t="n">
        <x:f>IF(V831=1,R831*W831,"n.a.")</x:f>
        <x:v>98.70315000000001</x:v>
      </x:c>
      <x:c r="Z831" s="1" t="str">
        <x:f>IF(ISNUMBER(T831),R831-T831,"n.a.")</x:f>
        <x:v>n.a.</x:v>
      </x:c>
      <x:c r="AA831" s="1" t="str">
        <x:f>'Inventory inputs'!R831</x:f>
        <x:v>Review receipt reconciliation or original PO baseline</x:v>
      </x:c>
      <x:c r="AB831" s="1" t="str">
        <x:f>IF(L831=1,SUMIFS('Incoming POs'!$P$2:$P$305,'Incoming POs'!$A$2:$A$305,A831,'Incoming POs'!$B$2:$B$305,B831,'Incoming POs'!$C$2:$C$305,C831,'Incoming POs'!$G$2:$G$305,"&gt;="&amp;D831,'Incoming POs'!$G$2:$G$305,"&lt;"&amp;Dashboard!$I$5,'Incoming POs'!$Q$2:$Q$305,"&lt;="&amp;('Inventory inputs'!P831/'Inventory inputs'!J831*1.01)),"n.a.")</x:f>
        <x:v>n.a.</x:v>
      </x:c>
      <x:c r="AC831" s="9" t="n">
        <x:f>I831*G831</x:f>
        <x:v>0</x:v>
      </x:c>
      <x:c r="AD831" s="9" t="n">
        <x:f>J831*G831</x:f>
        <x:v>0</x:v>
      </x:c>
      <x:c r="AE831" s="9" t="n">
        <x:f>K831*G831</x:f>
        <x:v>84.37</x:v>
      </x:c>
      <x:c r="AF831" s="9" t="n">
        <x:f>R831*G831</x:f>
        <x:v>84.37</x:v>
      </x:c>
    </x:row>
    <x:row r="832" ht="21" customHeight="1">
      <x:c r="A832" s="1" t="str">
        <x:f>'Inventory inputs'!A832</x:f>
        <x:v>PLAS</x:v>
      </x:c>
      <x:c r="B832" s="1" t="str">
        <x:f>'Inventory inputs'!B832</x:f>
        <x:v>60</x:v>
      </x:c>
      <x:c r="C832" s="1" t="str">
        <x:f>'Inventory inputs'!C832</x:f>
        <x:v>11219RSLCLR</x:v>
      </x:c>
      <x:c r="D832" s="7" t="n">
        <x:f>'Inventory inputs'!E832</x:f>
        <x:v>46303</x:v>
      </x:c>
      <x:c r="E832" s="1" t="n">
        <x:f>'Inventory inputs'!F832</x:f>
        <x:v>300</x:v>
      </x:c>
      <x:c r="F832" s="1" t="n">
        <x:f>'Inventory inputs'!G832</x:f>
        <x:v>0</x:v>
      </x:c>
      <x:c r="G832" s="1" t="n">
        <x:f>'Inventory inputs'!H832/'Inventory inputs'!J832</x:f>
        <x:v>0.1298</x:v>
      </x:c>
      <x:c r="H832" s="1" t="n">
        <x:f>IF('Inventory inputs'!I832&gt;0,'Inventory inputs'!I832*'Inventory inputs'!K832/'Inventory inputs'!J832,"n.a.")</x:f>
        <x:v>0.151851</x:v>
      </x:c>
      <x:c r="I832" s="1" t="n">
        <x:f>'Inventory inputs'!L832</x:f>
        <x:v>0</x:v>
      </x:c>
      <x:c r="J832" s="1" t="n">
        <x:f>'Inventory inputs'!M832</x:f>
        <x:v>0</x:v>
      </x:c>
      <x:c r="K832" s="1" t="n">
        <x:f>'Inventory inputs'!N832</x:f>
        <x:v>300</x:v>
      </x:c>
      <x:c r="L832" s="1" t="n">
        <x:f>'Inventory inputs'!O832</x:f>
        <x:v>0</x:v>
      </x:c>
      <x:c r="M832" s="9" t="n">
        <x:f>E832*G832</x:f>
        <x:v>38.94</x:v>
      </x:c>
      <x:c r="N832" s="9" t="n">
        <x:f>'Inventory inputs'!Q832</x:f>
        <x:v>38.94</x:v>
      </x:c>
      <x:c r="O832" s="9" t="n">
        <x:f>N832-M832</x:f>
        <x:v>0</x:v>
      </x:c>
      <x:c r="P832" s="1" t="n">
        <x:f>SUMIFS('Incoming POs'!$P$2:$P$305,'Incoming POs'!$A$2:$A$305,A832,'Incoming POs'!$B$2:$B$305,B832,'Incoming POs'!$C$2:$C$305,C832,'Incoming POs'!$G$2:$G$305,"&gt;="&amp;D832,'Incoming POs'!$G$2:$G$305,"&lt;"&amp;Dashboard!$I$5)</x:f>
        <x:v>0</x:v>
      </x:c>
      <x:c r="Q832" s="1" t="n">
        <x:f>F832*Dashboard!$L$5*MAX(0,Dashboard!$I$5-D832)/30.4375</x:f>
        <x:v>0</x:v>
      </x:c>
      <x:c r="R832" s="1" t="n">
        <x:f>MAX(0,E832+P832-Q832)</x:f>
        <x:v>300</x:v>
      </x:c>
      <x:c r="S832" s="1" t="n">
        <x:f>MAX(0,Q832-E832-P832)</x:f>
        <x:v>0</x:v>
      </x:c>
      <x:c r="T832" s="1" t="str">
        <x:f>IF(L832=1,MAX(0,I832+AB832-MIN(Q832,E832+P832)),"n.a.")</x:f>
        <x:v>n.a.</x:v>
      </x:c>
      <x:c r="U832" s="9" t="str">
        <x:f>IF(ISNUMBER(T832),T832*G832,"n.a.")</x:f>
        <x:v>n.a.</x:v>
      </x:c>
      <x:c r="V832" s="25" t="n">
        <x:f>IF(Dashboard!$I$6="Flat %",1,IF(ISNUMBER(H832),1,0))</x:f>
        <x:v>1</x:v>
      </x:c>
      <x:c r="W832" s="9" t="n">
        <x:f>IF(Dashboard!$I$6="Flat %",G832*(1+Dashboard!$L$6),H832)</x:f>
        <x:v>0.151851</x:v>
      </x:c>
      <x:c r="X832" s="9" t="n">
        <x:f>IF(V832=1,R832*(W832-G832),"n.a.")</x:f>
        <x:v>6.615300000000005</x:v>
      </x:c>
      <x:c r="Y832" s="9" t="n">
        <x:f>IF(V832=1,R832*W832,"n.a.")</x:f>
        <x:v>45.5553</x:v>
      </x:c>
      <x:c r="Z832" s="1" t="str">
        <x:f>IF(ISNUMBER(T832),R832-T832,"n.a.")</x:f>
        <x:v>n.a.</x:v>
      </x:c>
      <x:c r="AA832" s="1" t="str">
        <x:f>'Inventory inputs'!R832</x:f>
        <x:v>Review receipt reconciliation or original PO baseline</x:v>
      </x:c>
      <x:c r="AB832" s="1" t="str">
        <x:f>IF(L832=1,SUMIFS('Incoming POs'!$P$2:$P$305,'Incoming POs'!$A$2:$A$305,A832,'Incoming POs'!$B$2:$B$305,B832,'Incoming POs'!$C$2:$C$305,C832,'Incoming POs'!$G$2:$G$305,"&gt;="&amp;D832,'Incoming POs'!$G$2:$G$305,"&lt;"&amp;Dashboard!$I$5,'Incoming POs'!$Q$2:$Q$305,"&lt;="&amp;('Inventory inputs'!P832/'Inventory inputs'!J832*1.01)),"n.a.")</x:f>
        <x:v>n.a.</x:v>
      </x:c>
      <x:c r="AC832" s="9" t="n">
        <x:f>I832*G832</x:f>
        <x:v>0</x:v>
      </x:c>
      <x:c r="AD832" s="9" t="n">
        <x:f>J832*G832</x:f>
        <x:v>0</x:v>
      </x:c>
      <x:c r="AE832" s="9" t="n">
        <x:f>K832*G832</x:f>
        <x:v>38.94</x:v>
      </x:c>
      <x:c r="AF832" s="9" t="n">
        <x:f>R832*G832</x:f>
        <x:v>38.94</x:v>
      </x:c>
    </x:row>
    <x:row r="833" ht="21" customHeight="1">
      <x:c r="A833" s="1" t="str">
        <x:f>'Inventory inputs'!A833</x:f>
        <x:v>PLAS</x:v>
      </x:c>
      <x:c r="B833" s="1" t="str">
        <x:f>'Inventory inputs'!B833</x:f>
        <x:v>60</x:v>
      </x:c>
      <x:c r="C833" s="1" t="str">
        <x:f>'Inventory inputs'!C833</x:f>
        <x:v>11219RSLFG</x:v>
      </x:c>
      <x:c r="D833" s="7" t="n">
        <x:f>'Inventory inputs'!E833</x:f>
        <x:v>46303</x:v>
      </x:c>
      <x:c r="E833" s="1" t="n">
        <x:f>'Inventory inputs'!F833</x:f>
        <x:v>450</x:v>
      </x:c>
      <x:c r="F833" s="1" t="n">
        <x:f>'Inventory inputs'!G833</x:f>
        <x:v>0</x:v>
      </x:c>
      <x:c r="G833" s="1" t="n">
        <x:f>'Inventory inputs'!H833/'Inventory inputs'!J833</x:f>
        <x:v>0.1298</x:v>
      </x:c>
      <x:c r="H833" s="1" t="n">
        <x:f>IF('Inventory inputs'!I833&gt;0,'Inventory inputs'!I833*'Inventory inputs'!K833/'Inventory inputs'!J833,"n.a.")</x:f>
        <x:v>0.151851</x:v>
      </x:c>
      <x:c r="I833" s="1" t="n">
        <x:f>'Inventory inputs'!L833</x:f>
        <x:v>0</x:v>
      </x:c>
      <x:c r="J833" s="1" t="n">
        <x:f>'Inventory inputs'!M833</x:f>
        <x:v>0</x:v>
      </x:c>
      <x:c r="K833" s="1" t="n">
        <x:f>'Inventory inputs'!N833</x:f>
        <x:v>450</x:v>
      </x:c>
      <x:c r="L833" s="1" t="n">
        <x:f>'Inventory inputs'!O833</x:f>
        <x:v>0</x:v>
      </x:c>
      <x:c r="M833" s="9" t="n">
        <x:f>E833*G833</x:f>
        <x:v>58.41</x:v>
      </x:c>
      <x:c r="N833" s="9" t="n">
        <x:f>'Inventory inputs'!Q833</x:f>
        <x:v>58.410000000000004</x:v>
      </x:c>
      <x:c r="O833" s="9" t="n">
        <x:f>N833-M833</x:f>
        <x:v>7.105427357601002e-15</x:v>
      </x:c>
      <x:c r="P833" s="1" t="n">
        <x:f>SUMIFS('Incoming POs'!$P$2:$P$305,'Incoming POs'!$A$2:$A$305,A833,'Incoming POs'!$B$2:$B$305,B833,'Incoming POs'!$C$2:$C$305,C833,'Incoming POs'!$G$2:$G$305,"&gt;="&amp;D833,'Incoming POs'!$G$2:$G$305,"&lt;"&amp;Dashboard!$I$5)</x:f>
        <x:v>0</x:v>
      </x:c>
      <x:c r="Q833" s="1" t="n">
        <x:f>F833*Dashboard!$L$5*MAX(0,Dashboard!$I$5-D833)/30.4375</x:f>
        <x:v>0</x:v>
      </x:c>
      <x:c r="R833" s="1" t="n">
        <x:f>MAX(0,E833+P833-Q833)</x:f>
        <x:v>450</x:v>
      </x:c>
      <x:c r="S833" s="1" t="n">
        <x:f>MAX(0,Q833-E833-P833)</x:f>
        <x:v>0</x:v>
      </x:c>
      <x:c r="T833" s="1" t="str">
        <x:f>IF(L833=1,MAX(0,I833+AB833-MIN(Q833,E833+P833)),"n.a.")</x:f>
        <x:v>n.a.</x:v>
      </x:c>
      <x:c r="U833" s="9" t="str">
        <x:f>IF(ISNUMBER(T833),T833*G833,"n.a.")</x:f>
        <x:v>n.a.</x:v>
      </x:c>
      <x:c r="V833" s="25" t="n">
        <x:f>IF(Dashboard!$I$6="Flat %",1,IF(ISNUMBER(H833),1,0))</x:f>
        <x:v>1</x:v>
      </x:c>
      <x:c r="W833" s="9" t="n">
        <x:f>IF(Dashboard!$I$6="Flat %",G833*(1+Dashboard!$L$6),H833)</x:f>
        <x:v>0.151851</x:v>
      </x:c>
      <x:c r="X833" s="9" t="n">
        <x:f>IF(V833=1,R833*(W833-G833),"n.a.")</x:f>
        <x:v>9.922950000000007</x:v>
      </x:c>
      <x:c r="Y833" s="9" t="n">
        <x:f>IF(V833=1,R833*W833,"n.a.")</x:f>
        <x:v>68.33295000000001</x:v>
      </x:c>
      <x:c r="Z833" s="1" t="str">
        <x:f>IF(ISNUMBER(T833),R833-T833,"n.a.")</x:f>
        <x:v>n.a.</x:v>
      </x:c>
      <x:c r="AA833" s="1" t="str">
        <x:f>'Inventory inputs'!R833</x:f>
        <x:v>Review receipt reconciliation or original PO baseline</x:v>
      </x:c>
      <x:c r="AB833" s="1" t="str">
        <x:f>IF(L833=1,SUMIFS('Incoming POs'!$P$2:$P$305,'Incoming POs'!$A$2:$A$305,A833,'Incoming POs'!$B$2:$B$305,B833,'Incoming POs'!$C$2:$C$305,C833,'Incoming POs'!$G$2:$G$305,"&gt;="&amp;D833,'Incoming POs'!$G$2:$G$305,"&lt;"&amp;Dashboard!$I$5,'Incoming POs'!$Q$2:$Q$305,"&lt;="&amp;('Inventory inputs'!P833/'Inventory inputs'!J833*1.01)),"n.a.")</x:f>
        <x:v>n.a.</x:v>
      </x:c>
      <x:c r="AC833" s="9" t="n">
        <x:f>I833*G833</x:f>
        <x:v>0</x:v>
      </x:c>
      <x:c r="AD833" s="9" t="n">
        <x:f>J833*G833</x:f>
        <x:v>0</x:v>
      </x:c>
      <x:c r="AE833" s="9" t="n">
        <x:f>K833*G833</x:f>
        <x:v>58.41</x:v>
      </x:c>
      <x:c r="AF833" s="9" t="n">
        <x:f>R833*G833</x:f>
        <x:v>58.41</x:v>
      </x:c>
    </x:row>
    <x:row r="834" ht="21" customHeight="1">
      <x:c r="A834" s="1" t="str">
        <x:f>'Inventory inputs'!A834</x:f>
        <x:v>PLAS</x:v>
      </x:c>
      <x:c r="B834" s="1" t="str">
        <x:f>'Inventory inputs'!B834</x:f>
        <x:v>60</x:v>
      </x:c>
      <x:c r="C834" s="1" t="str">
        <x:f>'Inventory inputs'!C834</x:f>
        <x:v>11219RSLMAR</x:v>
      </x:c>
      <x:c r="D834" s="7" t="n">
        <x:f>'Inventory inputs'!E834</x:f>
        <x:v>46303</x:v>
      </x:c>
      <x:c r="E834" s="1" t="n">
        <x:f>'Inventory inputs'!F834</x:f>
        <x:v>500</x:v>
      </x:c>
      <x:c r="F834" s="1" t="n">
        <x:f>'Inventory inputs'!G834</x:f>
        <x:v>0</x:v>
      </x:c>
      <x:c r="G834" s="1" t="n">
        <x:f>'Inventory inputs'!H834/'Inventory inputs'!J834</x:f>
        <x:v>0.1298</x:v>
      </x:c>
      <x:c r="H834" s="1" t="n">
        <x:f>IF('Inventory inputs'!I834&gt;0,'Inventory inputs'!I834*'Inventory inputs'!K834/'Inventory inputs'!J834,"n.a.")</x:f>
        <x:v>0.151851</x:v>
      </x:c>
      <x:c r="I834" s="1" t="n">
        <x:f>'Inventory inputs'!L834</x:f>
        <x:v>0</x:v>
      </x:c>
      <x:c r="J834" s="1" t="n">
        <x:f>'Inventory inputs'!M834</x:f>
        <x:v>0</x:v>
      </x:c>
      <x:c r="K834" s="1" t="n">
        <x:f>'Inventory inputs'!N834</x:f>
        <x:v>500</x:v>
      </x:c>
      <x:c r="L834" s="1" t="n">
        <x:f>'Inventory inputs'!O834</x:f>
        <x:v>0</x:v>
      </x:c>
      <x:c r="M834" s="9" t="n">
        <x:f>E834*G834</x:f>
        <x:v>64.9</x:v>
      </x:c>
      <x:c r="N834" s="9" t="n">
        <x:f>'Inventory inputs'!Q834</x:f>
        <x:v>64.9</x:v>
      </x:c>
      <x:c r="O834" s="9" t="n">
        <x:f>N834-M834</x:f>
        <x:v>0</x:v>
      </x:c>
      <x:c r="P834" s="1" t="n">
        <x:f>SUMIFS('Incoming POs'!$P$2:$P$305,'Incoming POs'!$A$2:$A$305,A834,'Incoming POs'!$B$2:$B$305,B834,'Incoming POs'!$C$2:$C$305,C834,'Incoming POs'!$G$2:$G$305,"&gt;="&amp;D834,'Incoming POs'!$G$2:$G$305,"&lt;"&amp;Dashboard!$I$5)</x:f>
        <x:v>0</x:v>
      </x:c>
      <x:c r="Q834" s="1" t="n">
        <x:f>F834*Dashboard!$L$5*MAX(0,Dashboard!$I$5-D834)/30.4375</x:f>
        <x:v>0</x:v>
      </x:c>
      <x:c r="R834" s="1" t="n">
        <x:f>MAX(0,E834+P834-Q834)</x:f>
        <x:v>500</x:v>
      </x:c>
      <x:c r="S834" s="1" t="n">
        <x:f>MAX(0,Q834-E834-P834)</x:f>
        <x:v>0</x:v>
      </x:c>
      <x:c r="T834" s="1" t="str">
        <x:f>IF(L834=1,MAX(0,I834+AB834-MIN(Q834,E834+P834)),"n.a.")</x:f>
        <x:v>n.a.</x:v>
      </x:c>
      <x:c r="U834" s="9" t="str">
        <x:f>IF(ISNUMBER(T834),T834*G834,"n.a.")</x:f>
        <x:v>n.a.</x:v>
      </x:c>
      <x:c r="V834" s="25" t="n">
        <x:f>IF(Dashboard!$I$6="Flat %",1,IF(ISNUMBER(H834),1,0))</x:f>
        <x:v>1</x:v>
      </x:c>
      <x:c r="W834" s="9" t="n">
        <x:f>IF(Dashboard!$I$6="Flat %",G834*(1+Dashboard!$L$6),H834)</x:f>
        <x:v>0.151851</x:v>
      </x:c>
      <x:c r="X834" s="9" t="n">
        <x:f>IF(V834=1,R834*(W834-G834),"n.a.")</x:f>
        <x:v>11.025500000000008</x:v>
      </x:c>
      <x:c r="Y834" s="9" t="n">
        <x:f>IF(V834=1,R834*W834,"n.a.")</x:f>
        <x:v>75.92550000000001</x:v>
      </x:c>
      <x:c r="Z834" s="1" t="str">
        <x:f>IF(ISNUMBER(T834),R834-T834,"n.a.")</x:f>
        <x:v>n.a.</x:v>
      </x:c>
      <x:c r="AA834" s="1" t="str">
        <x:f>'Inventory inputs'!R834</x:f>
        <x:v>Review receipt reconciliation or original PO baseline</x:v>
      </x:c>
      <x:c r="AB834" s="1" t="str">
        <x:f>IF(L834=1,SUMIFS('Incoming POs'!$P$2:$P$305,'Incoming POs'!$A$2:$A$305,A834,'Incoming POs'!$B$2:$B$305,B834,'Incoming POs'!$C$2:$C$305,C834,'Incoming POs'!$G$2:$G$305,"&gt;="&amp;D834,'Incoming POs'!$G$2:$G$305,"&lt;"&amp;Dashboard!$I$5,'Incoming POs'!$Q$2:$Q$305,"&lt;="&amp;('Inventory inputs'!P834/'Inventory inputs'!J834*1.01)),"n.a.")</x:f>
        <x:v>n.a.</x:v>
      </x:c>
      <x:c r="AC834" s="9" t="n">
        <x:f>I834*G834</x:f>
        <x:v>0</x:v>
      </x:c>
      <x:c r="AD834" s="9" t="n">
        <x:f>J834*G834</x:f>
        <x:v>0</x:v>
      </x:c>
      <x:c r="AE834" s="9" t="n">
        <x:f>K834*G834</x:f>
        <x:v>64.9</x:v>
      </x:c>
      <x:c r="AF834" s="9" t="n">
        <x:f>R834*G834</x:f>
        <x:v>64.9</x:v>
      </x:c>
    </x:row>
    <x:row r="835" ht="21" customHeight="1">
      <x:c r="A835" s="1" t="str">
        <x:f>'Inventory inputs'!A835</x:f>
        <x:v>PLAS</x:v>
      </x:c>
      <x:c r="B835" s="1" t="str">
        <x:f>'Inventory inputs'!B835</x:f>
        <x:v>60</x:v>
      </x:c>
      <x:c r="C835" s="1" t="str">
        <x:f>'Inventory inputs'!C835</x:f>
        <x:v>11415RSLBLK</x:v>
      </x:c>
      <x:c r="D835" s="7" t="n">
        <x:f>'Inventory inputs'!E835</x:f>
        <x:v>46303</x:v>
      </x:c>
      <x:c r="E835" s="1" t="n">
        <x:f>'Inventory inputs'!F835</x:f>
        <x:v>500</x:v>
      </x:c>
      <x:c r="F835" s="1" t="n">
        <x:f>'Inventory inputs'!G835</x:f>
        <x:v>0</x:v>
      </x:c>
      <x:c r="G835" s="1" t="n">
        <x:f>'Inventory inputs'!H835/'Inventory inputs'!J835</x:f>
        <x:v>0.0782</x:v>
      </x:c>
      <x:c r="H835" s="1" t="n">
        <x:f>IF('Inventory inputs'!I835&gt;0,'Inventory inputs'!I835*'Inventory inputs'!K835/'Inventory inputs'!J835,"n.a.")</x:f>
        <x:v>0.091434</x:v>
      </x:c>
      <x:c r="I835" s="1" t="n">
        <x:f>'Inventory inputs'!L835</x:f>
        <x:v>0</x:v>
      </x:c>
      <x:c r="J835" s="1" t="n">
        <x:f>'Inventory inputs'!M835</x:f>
        <x:v>0</x:v>
      </x:c>
      <x:c r="K835" s="1" t="n">
        <x:f>'Inventory inputs'!N835</x:f>
        <x:v>500</x:v>
      </x:c>
      <x:c r="L835" s="1" t="n">
        <x:f>'Inventory inputs'!O835</x:f>
        <x:v>0</x:v>
      </x:c>
      <x:c r="M835" s="9" t="n">
        <x:f>E835*G835</x:f>
        <x:v>39.1</x:v>
      </x:c>
      <x:c r="N835" s="9" t="n">
        <x:f>'Inventory inputs'!Q835</x:f>
        <x:v>39.1</x:v>
      </x:c>
      <x:c r="O835" s="9" t="n">
        <x:f>N835-M835</x:f>
        <x:v>0</x:v>
      </x:c>
      <x:c r="P835" s="1" t="n">
        <x:f>SUMIFS('Incoming POs'!$P$2:$P$305,'Incoming POs'!$A$2:$A$305,A835,'Incoming POs'!$B$2:$B$305,B835,'Incoming POs'!$C$2:$C$305,C835,'Incoming POs'!$G$2:$G$305,"&gt;="&amp;D835,'Incoming POs'!$G$2:$G$305,"&lt;"&amp;Dashboard!$I$5)</x:f>
        <x:v>0</x:v>
      </x:c>
      <x:c r="Q835" s="1" t="n">
        <x:f>F835*Dashboard!$L$5*MAX(0,Dashboard!$I$5-D835)/30.4375</x:f>
        <x:v>0</x:v>
      </x:c>
      <x:c r="R835" s="1" t="n">
        <x:f>MAX(0,E835+P835-Q835)</x:f>
        <x:v>500</x:v>
      </x:c>
      <x:c r="S835" s="1" t="n">
        <x:f>MAX(0,Q835-E835-P835)</x:f>
        <x:v>0</x:v>
      </x:c>
      <x:c r="T835" s="1" t="str">
        <x:f>IF(L835=1,MAX(0,I835+AB835-MIN(Q835,E835+P835)),"n.a.")</x:f>
        <x:v>n.a.</x:v>
      </x:c>
      <x:c r="U835" s="9" t="str">
        <x:f>IF(ISNUMBER(T835),T835*G835,"n.a.")</x:f>
        <x:v>n.a.</x:v>
      </x:c>
      <x:c r="V835" s="25" t="n">
        <x:f>IF(Dashboard!$I$6="Flat %",1,IF(ISNUMBER(H835),1,0))</x:f>
        <x:v>1</x:v>
      </x:c>
      <x:c r="W835" s="9" t="n">
        <x:f>IF(Dashboard!$I$6="Flat %",G835*(1+Dashboard!$L$6),H835)</x:f>
        <x:v>0.091434</x:v>
      </x:c>
      <x:c r="X835" s="9" t="n">
        <x:f>IF(V835=1,R835*(W835-G835),"n.a.")</x:f>
        <x:v>6.616999999999998</x:v>
      </x:c>
      <x:c r="Y835" s="9" t="n">
        <x:f>IF(V835=1,R835*W835,"n.a.")</x:f>
        <x:v>45.717</x:v>
      </x:c>
      <x:c r="Z835" s="1" t="str">
        <x:f>IF(ISNUMBER(T835),R835-T835,"n.a.")</x:f>
        <x:v>n.a.</x:v>
      </x:c>
      <x:c r="AA835" s="1" t="str">
        <x:f>'Inventory inputs'!R835</x:f>
        <x:v>Review receipt reconciliation or original PO baseline</x:v>
      </x:c>
      <x:c r="AB835" s="1" t="str">
        <x:f>IF(L835=1,SUMIFS('Incoming POs'!$P$2:$P$305,'Incoming POs'!$A$2:$A$305,A835,'Incoming POs'!$B$2:$B$305,B835,'Incoming POs'!$C$2:$C$305,C835,'Incoming POs'!$G$2:$G$305,"&gt;="&amp;D835,'Incoming POs'!$G$2:$G$305,"&lt;"&amp;Dashboard!$I$5,'Incoming POs'!$Q$2:$Q$305,"&lt;="&amp;('Inventory inputs'!P835/'Inventory inputs'!J835*1.01)),"n.a.")</x:f>
        <x:v>n.a.</x:v>
      </x:c>
      <x:c r="AC835" s="9" t="n">
        <x:f>I835*G835</x:f>
        <x:v>0</x:v>
      </x:c>
      <x:c r="AD835" s="9" t="n">
        <x:f>J835*G835</x:f>
        <x:v>0</x:v>
      </x:c>
      <x:c r="AE835" s="9" t="n">
        <x:f>K835*G835</x:f>
        <x:v>39.1</x:v>
      </x:c>
      <x:c r="AF835" s="9" t="n">
        <x:f>R835*G835</x:f>
        <x:v>39.1</x:v>
      </x:c>
    </x:row>
    <x:row r="836" ht="21" customHeight="1">
      <x:c r="A836" s="1" t="str">
        <x:f>'Inventory inputs'!A836</x:f>
        <x:v>PLAS</x:v>
      </x:c>
      <x:c r="B836" s="1" t="str">
        <x:f>'Inventory inputs'!B836</x:f>
        <x:v>60</x:v>
      </x:c>
      <x:c r="C836" s="1" t="str">
        <x:f>'Inventory inputs'!C836</x:f>
        <x:v>11415RSLWHT</x:v>
      </x:c>
      <x:c r="D836" s="7" t="n">
        <x:f>'Inventory inputs'!E836</x:f>
        <x:v>46303</x:v>
      </x:c>
      <x:c r="E836" s="1" t="n">
        <x:f>'Inventory inputs'!F836</x:f>
        <x:v>500</x:v>
      </x:c>
      <x:c r="F836" s="1" t="n">
        <x:f>'Inventory inputs'!G836</x:f>
        <x:v>0</x:v>
      </x:c>
      <x:c r="G836" s="1" t="n">
        <x:f>'Inventory inputs'!H836/'Inventory inputs'!J836</x:f>
        <x:v>0.0782</x:v>
      </x:c>
      <x:c r="H836" s="1" t="n">
        <x:f>IF('Inventory inputs'!I836&gt;0,'Inventory inputs'!I836*'Inventory inputs'!K836/'Inventory inputs'!J836,"n.a.")</x:f>
        <x:v>0.091434</x:v>
      </x:c>
      <x:c r="I836" s="1" t="n">
        <x:f>'Inventory inputs'!L836</x:f>
        <x:v>0</x:v>
      </x:c>
      <x:c r="J836" s="1" t="n">
        <x:f>'Inventory inputs'!M836</x:f>
        <x:v>0</x:v>
      </x:c>
      <x:c r="K836" s="1" t="n">
        <x:f>'Inventory inputs'!N836</x:f>
        <x:v>500</x:v>
      </x:c>
      <x:c r="L836" s="1" t="n">
        <x:f>'Inventory inputs'!O836</x:f>
        <x:v>0</x:v>
      </x:c>
      <x:c r="M836" s="9" t="n">
        <x:f>E836*G836</x:f>
        <x:v>39.1</x:v>
      </x:c>
      <x:c r="N836" s="9" t="n">
        <x:f>'Inventory inputs'!Q836</x:f>
        <x:v>39.1</x:v>
      </x:c>
      <x:c r="O836" s="9" t="n">
        <x:f>N836-M836</x:f>
        <x:v>0</x:v>
      </x:c>
      <x:c r="P836" s="1" t="n">
        <x:f>SUMIFS('Incoming POs'!$P$2:$P$305,'Incoming POs'!$A$2:$A$305,A836,'Incoming POs'!$B$2:$B$305,B836,'Incoming POs'!$C$2:$C$305,C836,'Incoming POs'!$G$2:$G$305,"&gt;="&amp;D836,'Incoming POs'!$G$2:$G$305,"&lt;"&amp;Dashboard!$I$5)</x:f>
        <x:v>0</x:v>
      </x:c>
      <x:c r="Q836" s="1" t="n">
        <x:f>F836*Dashboard!$L$5*MAX(0,Dashboard!$I$5-D836)/30.4375</x:f>
        <x:v>0</x:v>
      </x:c>
      <x:c r="R836" s="1" t="n">
        <x:f>MAX(0,E836+P836-Q836)</x:f>
        <x:v>500</x:v>
      </x:c>
      <x:c r="S836" s="1" t="n">
        <x:f>MAX(0,Q836-E836-P836)</x:f>
        <x:v>0</x:v>
      </x:c>
      <x:c r="T836" s="1" t="str">
        <x:f>IF(L836=1,MAX(0,I836+AB836-MIN(Q836,E836+P836)),"n.a.")</x:f>
        <x:v>n.a.</x:v>
      </x:c>
      <x:c r="U836" s="9" t="str">
        <x:f>IF(ISNUMBER(T836),T836*G836,"n.a.")</x:f>
        <x:v>n.a.</x:v>
      </x:c>
      <x:c r="V836" s="25" t="n">
        <x:f>IF(Dashboard!$I$6="Flat %",1,IF(ISNUMBER(H836),1,0))</x:f>
        <x:v>1</x:v>
      </x:c>
      <x:c r="W836" s="9" t="n">
        <x:f>IF(Dashboard!$I$6="Flat %",G836*(1+Dashboard!$L$6),H836)</x:f>
        <x:v>0.091434</x:v>
      </x:c>
      <x:c r="X836" s="9" t="n">
        <x:f>IF(V836=1,R836*(W836-G836),"n.a.")</x:f>
        <x:v>6.616999999999998</x:v>
      </x:c>
      <x:c r="Y836" s="9" t="n">
        <x:f>IF(V836=1,R836*W836,"n.a.")</x:f>
        <x:v>45.717</x:v>
      </x:c>
      <x:c r="Z836" s="1" t="str">
        <x:f>IF(ISNUMBER(T836),R836-T836,"n.a.")</x:f>
        <x:v>n.a.</x:v>
      </x:c>
      <x:c r="AA836" s="1" t="str">
        <x:f>'Inventory inputs'!R836</x:f>
        <x:v>Review receipt reconciliation or original PO baseline</x:v>
      </x:c>
      <x:c r="AB836" s="1" t="str">
        <x:f>IF(L836=1,SUMIFS('Incoming POs'!$P$2:$P$305,'Incoming POs'!$A$2:$A$305,A836,'Incoming POs'!$B$2:$B$305,B836,'Incoming POs'!$C$2:$C$305,C836,'Incoming POs'!$G$2:$G$305,"&gt;="&amp;D836,'Incoming POs'!$G$2:$G$305,"&lt;"&amp;Dashboard!$I$5,'Incoming POs'!$Q$2:$Q$305,"&lt;="&amp;('Inventory inputs'!P836/'Inventory inputs'!J836*1.01)),"n.a.")</x:f>
        <x:v>n.a.</x:v>
      </x:c>
      <x:c r="AC836" s="9" t="n">
        <x:f>I836*G836</x:f>
        <x:v>0</x:v>
      </x:c>
      <x:c r="AD836" s="9" t="n">
        <x:f>J836*G836</x:f>
        <x:v>0</x:v>
      </x:c>
      <x:c r="AE836" s="9" t="n">
        <x:f>K836*G836</x:f>
        <x:v>39.1</x:v>
      </x:c>
      <x:c r="AF836" s="9" t="n">
        <x:f>R836*G836</x:f>
        <x:v>39.1</x:v>
      </x:c>
    </x:row>
    <x:row r="837" ht="21" customHeight="1">
      <x:c r="A837" s="1" t="str">
        <x:f>'Inventory inputs'!A837</x:f>
        <x:v>PLAS</x:v>
      </x:c>
      <x:c r="B837" s="1" t="str">
        <x:f>'Inventory inputs'!B837</x:f>
        <x:v>60</x:v>
      </x:c>
      <x:c r="C837" s="1" t="str">
        <x:f>'Inventory inputs'!C837</x:f>
        <x:v>11419RSLBLU</x:v>
      </x:c>
      <x:c r="D837" s="7" t="n">
        <x:f>'Inventory inputs'!E837</x:f>
        <x:v>46303</x:v>
      </x:c>
      <x:c r="E837" s="1" t="n">
        <x:f>'Inventory inputs'!F837</x:f>
        <x:v>400</x:v>
      </x:c>
      <x:c r="F837" s="1" t="n">
        <x:f>'Inventory inputs'!G837</x:f>
        <x:v>0</x:v>
      </x:c>
      <x:c r="G837" s="1" t="n">
        <x:f>'Inventory inputs'!H837/'Inventory inputs'!J837</x:f>
        <x:v>0.111</x:v>
      </x:c>
      <x:c r="H837" s="1" t="n">
        <x:f>IF('Inventory inputs'!I837&gt;0,'Inventory inputs'!I837*'Inventory inputs'!K837/'Inventory inputs'!J837,"n.a.")</x:f>
        <x:v>0.129801</x:v>
      </x:c>
      <x:c r="I837" s="1" t="n">
        <x:f>'Inventory inputs'!L837</x:f>
        <x:v>0</x:v>
      </x:c>
      <x:c r="J837" s="1" t="n">
        <x:f>'Inventory inputs'!M837</x:f>
        <x:v>0</x:v>
      </x:c>
      <x:c r="K837" s="1" t="n">
        <x:f>'Inventory inputs'!N837</x:f>
        <x:v>400</x:v>
      </x:c>
      <x:c r="L837" s="1" t="n">
        <x:f>'Inventory inputs'!O837</x:f>
        <x:v>0</x:v>
      </x:c>
      <x:c r="M837" s="9" t="n">
        <x:f>E837*G837</x:f>
        <x:v>44.4</x:v>
      </x:c>
      <x:c r="N837" s="9" t="n">
        <x:f>'Inventory inputs'!Q837</x:f>
        <x:v>44.4</x:v>
      </x:c>
      <x:c r="O837" s="9" t="n">
        <x:f>N837-M837</x:f>
        <x:v>0</x:v>
      </x:c>
      <x:c r="P837" s="1" t="n">
        <x:f>SUMIFS('Incoming POs'!$P$2:$P$305,'Incoming POs'!$A$2:$A$305,A837,'Incoming POs'!$B$2:$B$305,B837,'Incoming POs'!$C$2:$C$305,C837,'Incoming POs'!$G$2:$G$305,"&gt;="&amp;D837,'Incoming POs'!$G$2:$G$305,"&lt;"&amp;Dashboard!$I$5)</x:f>
        <x:v>0</x:v>
      </x:c>
      <x:c r="Q837" s="1" t="n">
        <x:f>F837*Dashboard!$L$5*MAX(0,Dashboard!$I$5-D837)/30.4375</x:f>
        <x:v>0</x:v>
      </x:c>
      <x:c r="R837" s="1" t="n">
        <x:f>MAX(0,E837+P837-Q837)</x:f>
        <x:v>400</x:v>
      </x:c>
      <x:c r="S837" s="1" t="n">
        <x:f>MAX(0,Q837-E837-P837)</x:f>
        <x:v>0</x:v>
      </x:c>
      <x:c r="T837" s="1" t="str">
        <x:f>IF(L837=1,MAX(0,I837+AB837-MIN(Q837,E837+P837)),"n.a.")</x:f>
        <x:v>n.a.</x:v>
      </x:c>
      <x:c r="U837" s="9" t="str">
        <x:f>IF(ISNUMBER(T837),T837*G837,"n.a.")</x:f>
        <x:v>n.a.</x:v>
      </x:c>
      <x:c r="V837" s="25" t="n">
        <x:f>IF(Dashboard!$I$6="Flat %",1,IF(ISNUMBER(H837),1,0))</x:f>
        <x:v>1</x:v>
      </x:c>
      <x:c r="W837" s="9" t="n">
        <x:f>IF(Dashboard!$I$6="Flat %",G837*(1+Dashboard!$L$6),H837)</x:f>
        <x:v>0.129801</x:v>
      </x:c>
      <x:c r="X837" s="9" t="n">
        <x:f>IF(V837=1,R837*(W837-G837),"n.a.")</x:f>
        <x:v>7.5203999999999995</x:v>
      </x:c>
      <x:c r="Y837" s="9" t="n">
        <x:f>IF(V837=1,R837*W837,"n.a.")</x:f>
        <x:v>51.9204</x:v>
      </x:c>
      <x:c r="Z837" s="1" t="str">
        <x:f>IF(ISNUMBER(T837),R837-T837,"n.a.")</x:f>
        <x:v>n.a.</x:v>
      </x:c>
      <x:c r="AA837" s="1" t="str">
        <x:f>'Inventory inputs'!R837</x:f>
        <x:v>Review receipt reconciliation or original PO baseline</x:v>
      </x:c>
      <x:c r="AB837" s="1" t="str">
        <x:f>IF(L837=1,SUMIFS('Incoming POs'!$P$2:$P$305,'Incoming POs'!$A$2:$A$305,A837,'Incoming POs'!$B$2:$B$305,B837,'Incoming POs'!$C$2:$C$305,C837,'Incoming POs'!$G$2:$G$305,"&gt;="&amp;D837,'Incoming POs'!$G$2:$G$305,"&lt;"&amp;Dashboard!$I$5,'Incoming POs'!$Q$2:$Q$305,"&lt;="&amp;('Inventory inputs'!P837/'Inventory inputs'!J837*1.01)),"n.a.")</x:f>
        <x:v>n.a.</x:v>
      </x:c>
      <x:c r="AC837" s="9" t="n">
        <x:f>I837*G837</x:f>
        <x:v>0</x:v>
      </x:c>
      <x:c r="AD837" s="9" t="n">
        <x:f>J837*G837</x:f>
        <x:v>0</x:v>
      </x:c>
      <x:c r="AE837" s="9" t="n">
        <x:f>K837*G837</x:f>
        <x:v>44.4</x:v>
      </x:c>
      <x:c r="AF837" s="9" t="n">
        <x:f>R837*G837</x:f>
        <x:v>44.4</x:v>
      </x:c>
    </x:row>
    <x:row r="838" ht="21" customHeight="1">
      <x:c r="A838" s="1" t="str">
        <x:f>'Inventory inputs'!A838</x:f>
        <x:v>PLAS</x:v>
      </x:c>
      <x:c r="B838" s="1" t="str">
        <x:f>'Inventory inputs'!B838</x:f>
        <x:v>60</x:v>
      </x:c>
      <x:c r="C838" s="1" t="str">
        <x:f>'Inventory inputs'!C838</x:f>
        <x:v>11419RSLCLR</x:v>
      </x:c>
      <x:c r="D838" s="7" t="n">
        <x:f>'Inventory inputs'!E838</x:f>
        <x:v>46303</x:v>
      </x:c>
      <x:c r="E838" s="1" t="n">
        <x:f>'Inventory inputs'!F838</x:f>
        <x:v>400</x:v>
      </x:c>
      <x:c r="F838" s="1" t="n">
        <x:f>'Inventory inputs'!G838</x:f>
        <x:v>0</x:v>
      </x:c>
      <x:c r="G838" s="1" t="n">
        <x:f>'Inventory inputs'!H838/'Inventory inputs'!J838</x:f>
        <x:v>0.111</x:v>
      </x:c>
      <x:c r="H838" s="1" t="n">
        <x:f>IF('Inventory inputs'!I838&gt;0,'Inventory inputs'!I838*'Inventory inputs'!K838/'Inventory inputs'!J838,"n.a.")</x:f>
        <x:v>0.129801</x:v>
      </x:c>
      <x:c r="I838" s="1" t="n">
        <x:f>'Inventory inputs'!L838</x:f>
        <x:v>0</x:v>
      </x:c>
      <x:c r="J838" s="1" t="n">
        <x:f>'Inventory inputs'!M838</x:f>
        <x:v>0</x:v>
      </x:c>
      <x:c r="K838" s="1" t="n">
        <x:f>'Inventory inputs'!N838</x:f>
        <x:v>400</x:v>
      </x:c>
      <x:c r="L838" s="1" t="n">
        <x:f>'Inventory inputs'!O838</x:f>
        <x:v>0</x:v>
      </x:c>
      <x:c r="M838" s="9" t="n">
        <x:f>E838*G838</x:f>
        <x:v>44.4</x:v>
      </x:c>
      <x:c r="N838" s="9" t="n">
        <x:f>'Inventory inputs'!Q838</x:f>
        <x:v>44.4</x:v>
      </x:c>
      <x:c r="O838" s="9" t="n">
        <x:f>N838-M838</x:f>
        <x:v>0</x:v>
      </x:c>
      <x:c r="P838" s="1" t="n">
        <x:f>SUMIFS('Incoming POs'!$P$2:$P$305,'Incoming POs'!$A$2:$A$305,A838,'Incoming POs'!$B$2:$B$305,B838,'Incoming POs'!$C$2:$C$305,C838,'Incoming POs'!$G$2:$G$305,"&gt;="&amp;D838,'Incoming POs'!$G$2:$G$305,"&lt;"&amp;Dashboard!$I$5)</x:f>
        <x:v>0</x:v>
      </x:c>
      <x:c r="Q838" s="1" t="n">
        <x:f>F838*Dashboard!$L$5*MAX(0,Dashboard!$I$5-D838)/30.4375</x:f>
        <x:v>0</x:v>
      </x:c>
      <x:c r="R838" s="1" t="n">
        <x:f>MAX(0,E838+P838-Q838)</x:f>
        <x:v>400</x:v>
      </x:c>
      <x:c r="S838" s="1" t="n">
        <x:f>MAX(0,Q838-E838-P838)</x:f>
        <x:v>0</x:v>
      </x:c>
      <x:c r="T838" s="1" t="str">
        <x:f>IF(L838=1,MAX(0,I838+AB838-MIN(Q838,E838+P838)),"n.a.")</x:f>
        <x:v>n.a.</x:v>
      </x:c>
      <x:c r="U838" s="9" t="str">
        <x:f>IF(ISNUMBER(T838),T838*G838,"n.a.")</x:f>
        <x:v>n.a.</x:v>
      </x:c>
      <x:c r="V838" s="25" t="n">
        <x:f>IF(Dashboard!$I$6="Flat %",1,IF(ISNUMBER(H838),1,0))</x:f>
        <x:v>1</x:v>
      </x:c>
      <x:c r="W838" s="9" t="n">
        <x:f>IF(Dashboard!$I$6="Flat %",G838*(1+Dashboard!$L$6),H838)</x:f>
        <x:v>0.129801</x:v>
      </x:c>
      <x:c r="X838" s="9" t="n">
        <x:f>IF(V838=1,R838*(W838-G838),"n.a.")</x:f>
        <x:v>7.5203999999999995</x:v>
      </x:c>
      <x:c r="Y838" s="9" t="n">
        <x:f>IF(V838=1,R838*W838,"n.a.")</x:f>
        <x:v>51.9204</x:v>
      </x:c>
      <x:c r="Z838" s="1" t="str">
        <x:f>IF(ISNUMBER(T838),R838-T838,"n.a.")</x:f>
        <x:v>n.a.</x:v>
      </x:c>
      <x:c r="AA838" s="1" t="str">
        <x:f>'Inventory inputs'!R838</x:f>
        <x:v>Review receipt reconciliation or original PO baseline</x:v>
      </x:c>
      <x:c r="AB838" s="1" t="str">
        <x:f>IF(L838=1,SUMIFS('Incoming POs'!$P$2:$P$305,'Incoming POs'!$A$2:$A$305,A838,'Incoming POs'!$B$2:$B$305,B838,'Incoming POs'!$C$2:$C$305,C838,'Incoming POs'!$G$2:$G$305,"&gt;="&amp;D838,'Incoming POs'!$G$2:$G$305,"&lt;"&amp;Dashboard!$I$5,'Incoming POs'!$Q$2:$Q$305,"&lt;="&amp;('Inventory inputs'!P838/'Inventory inputs'!J838*1.01)),"n.a.")</x:f>
        <x:v>n.a.</x:v>
      </x:c>
      <x:c r="AC838" s="9" t="n">
        <x:f>I838*G838</x:f>
        <x:v>0</x:v>
      </x:c>
      <x:c r="AD838" s="9" t="n">
        <x:f>J838*G838</x:f>
        <x:v>0</x:v>
      </x:c>
      <x:c r="AE838" s="9" t="n">
        <x:f>K838*G838</x:f>
        <x:v>44.4</x:v>
      </x:c>
      <x:c r="AF838" s="9" t="n">
        <x:f>R838*G838</x:f>
        <x:v>44.4</x:v>
      </x:c>
    </x:row>
    <x:row r="839" ht="21" customHeight="1">
      <x:c r="A839" s="1" t="str">
        <x:f>'Inventory inputs'!A839</x:f>
        <x:v>PLAS</x:v>
      </x:c>
      <x:c r="B839" s="1" t="str">
        <x:f>'Inventory inputs'!B839</x:f>
        <x:v>60</x:v>
      </x:c>
      <x:c r="C839" s="1" t="str">
        <x:f>'Inventory inputs'!C839</x:f>
        <x:v>11419RSLRED</x:v>
      </x:c>
      <x:c r="D839" s="7" t="n">
        <x:f>'Inventory inputs'!E839</x:f>
        <x:v>46303</x:v>
      </x:c>
      <x:c r="E839" s="1" t="n">
        <x:f>'Inventory inputs'!F839</x:f>
        <x:v>700</x:v>
      </x:c>
      <x:c r="F839" s="1" t="n">
        <x:f>'Inventory inputs'!G839</x:f>
        <x:v>0</x:v>
      </x:c>
      <x:c r="G839" s="1" t="n">
        <x:f>'Inventory inputs'!H839/'Inventory inputs'!J839</x:f>
        <x:v>0.111</x:v>
      </x:c>
      <x:c r="H839" s="1" t="n">
        <x:f>IF('Inventory inputs'!I839&gt;0,'Inventory inputs'!I839*'Inventory inputs'!K839/'Inventory inputs'!J839,"n.a.")</x:f>
        <x:v>0.129801</x:v>
      </x:c>
      <x:c r="I839" s="1" t="n">
        <x:f>'Inventory inputs'!L839</x:f>
        <x:v>0</x:v>
      </x:c>
      <x:c r="J839" s="1" t="n">
        <x:f>'Inventory inputs'!M839</x:f>
        <x:v>0</x:v>
      </x:c>
      <x:c r="K839" s="1" t="n">
        <x:f>'Inventory inputs'!N839</x:f>
        <x:v>700</x:v>
      </x:c>
      <x:c r="L839" s="1" t="n">
        <x:f>'Inventory inputs'!O839</x:f>
        <x:v>0</x:v>
      </x:c>
      <x:c r="M839" s="9" t="n">
        <x:f>E839*G839</x:f>
        <x:v>77.7</x:v>
      </x:c>
      <x:c r="N839" s="9" t="n">
        <x:f>'Inventory inputs'!Q839</x:f>
        <x:v>77.7</x:v>
      </x:c>
      <x:c r="O839" s="9" t="n">
        <x:f>N839-M839</x:f>
        <x:v>0</x:v>
      </x:c>
      <x:c r="P839" s="1" t="n">
        <x:f>SUMIFS('Incoming POs'!$P$2:$P$305,'Incoming POs'!$A$2:$A$305,A839,'Incoming POs'!$B$2:$B$305,B839,'Incoming POs'!$C$2:$C$305,C839,'Incoming POs'!$G$2:$G$305,"&gt;="&amp;D839,'Incoming POs'!$G$2:$G$305,"&lt;"&amp;Dashboard!$I$5)</x:f>
        <x:v>0</x:v>
      </x:c>
      <x:c r="Q839" s="1" t="n">
        <x:f>F839*Dashboard!$L$5*MAX(0,Dashboard!$I$5-D839)/30.4375</x:f>
        <x:v>0</x:v>
      </x:c>
      <x:c r="R839" s="1" t="n">
        <x:f>MAX(0,E839+P839-Q839)</x:f>
        <x:v>700</x:v>
      </x:c>
      <x:c r="S839" s="1" t="n">
        <x:f>MAX(0,Q839-E839-P839)</x:f>
        <x:v>0</x:v>
      </x:c>
      <x:c r="T839" s="1" t="str">
        <x:f>IF(L839=1,MAX(0,I839+AB839-MIN(Q839,E839+P839)),"n.a.")</x:f>
        <x:v>n.a.</x:v>
      </x:c>
      <x:c r="U839" s="9" t="str">
        <x:f>IF(ISNUMBER(T839),T839*G839,"n.a.")</x:f>
        <x:v>n.a.</x:v>
      </x:c>
      <x:c r="V839" s="25" t="n">
        <x:f>IF(Dashboard!$I$6="Flat %",1,IF(ISNUMBER(H839),1,0))</x:f>
        <x:v>1</x:v>
      </x:c>
      <x:c r="W839" s="9" t="n">
        <x:f>IF(Dashboard!$I$6="Flat %",G839*(1+Dashboard!$L$6),H839)</x:f>
        <x:v>0.129801</x:v>
      </x:c>
      <x:c r="X839" s="9" t="n">
        <x:f>IF(V839=1,R839*(W839-G839),"n.a.")</x:f>
        <x:v>13.160699999999999</x:v>
      </x:c>
      <x:c r="Y839" s="9" t="n">
        <x:f>IF(V839=1,R839*W839,"n.a.")</x:f>
        <x:v>90.8607</x:v>
      </x:c>
      <x:c r="Z839" s="1" t="str">
        <x:f>IF(ISNUMBER(T839),R839-T839,"n.a.")</x:f>
        <x:v>n.a.</x:v>
      </x:c>
      <x:c r="AA839" s="1" t="str">
        <x:f>'Inventory inputs'!R839</x:f>
        <x:v>Review receipt reconciliation or original PO baseline</x:v>
      </x:c>
      <x:c r="AB839" s="1" t="str">
        <x:f>IF(L839=1,SUMIFS('Incoming POs'!$P$2:$P$305,'Incoming POs'!$A$2:$A$305,A839,'Incoming POs'!$B$2:$B$305,B839,'Incoming POs'!$C$2:$C$305,C839,'Incoming POs'!$G$2:$G$305,"&gt;="&amp;D839,'Incoming POs'!$G$2:$G$305,"&lt;"&amp;Dashboard!$I$5,'Incoming POs'!$Q$2:$Q$305,"&lt;="&amp;('Inventory inputs'!P839/'Inventory inputs'!J839*1.01)),"n.a.")</x:f>
        <x:v>n.a.</x:v>
      </x:c>
      <x:c r="AC839" s="9" t="n">
        <x:f>I839*G839</x:f>
        <x:v>0</x:v>
      </x:c>
      <x:c r="AD839" s="9" t="n">
        <x:f>J839*G839</x:f>
        <x:v>0</x:v>
      </x:c>
      <x:c r="AE839" s="9" t="n">
        <x:f>K839*G839</x:f>
        <x:v>77.7</x:v>
      </x:c>
      <x:c r="AF839" s="9" t="n">
        <x:f>R839*G839</x:f>
        <x:v>77.7</x:v>
      </x:c>
    </x:row>
    <x:row r="840" ht="21" customHeight="1">
      <x:c r="A840" s="1" t="str">
        <x:f>'Inventory inputs'!A840</x:f>
        <x:v>PLAS</x:v>
      </x:c>
      <x:c r="B840" s="1" t="str">
        <x:f>'Inventory inputs'!B840</x:f>
        <x:v>60</x:v>
      </x:c>
      <x:c r="C840" s="1" t="str">
        <x:f>'Inventory inputs'!C840</x:f>
        <x:v>11815RWBBLK</x:v>
      </x:c>
      <x:c r="D840" s="7" t="n">
        <x:f>'Inventory inputs'!E840</x:f>
        <x:v>46303</x:v>
      </x:c>
      <x:c r="E840" s="1" t="n">
        <x:f>'Inventory inputs'!F840</x:f>
        <x:v>1000</x:v>
      </x:c>
      <x:c r="F840" s="1" t="n">
        <x:f>'Inventory inputs'!G840</x:f>
        <x:v>0</x:v>
      </x:c>
      <x:c r="G840" s="1" t="n">
        <x:f>'Inventory inputs'!H840/'Inventory inputs'!J840</x:f>
        <x:v>0.0882</x:v>
      </x:c>
      <x:c r="H840" s="1" t="n">
        <x:f>IF('Inventory inputs'!I840&gt;0,'Inventory inputs'!I840*'Inventory inputs'!K840/'Inventory inputs'!J840,"n.a.")</x:f>
        <x:v>0.103194</x:v>
      </x:c>
      <x:c r="I840" s="1" t="n">
        <x:f>'Inventory inputs'!L840</x:f>
        <x:v>0</x:v>
      </x:c>
      <x:c r="J840" s="1" t="n">
        <x:f>'Inventory inputs'!M840</x:f>
        <x:v>0</x:v>
      </x:c>
      <x:c r="K840" s="1" t="n">
        <x:f>'Inventory inputs'!N840</x:f>
        <x:v>1000</x:v>
      </x:c>
      <x:c r="L840" s="1" t="n">
        <x:f>'Inventory inputs'!O840</x:f>
        <x:v>0</x:v>
      </x:c>
      <x:c r="M840" s="9" t="n">
        <x:f>E840*G840</x:f>
        <x:v>88.2</x:v>
      </x:c>
      <x:c r="N840" s="9" t="n">
        <x:f>'Inventory inputs'!Q840</x:f>
        <x:v>88.2</x:v>
      </x:c>
      <x:c r="O840" s="9" t="n">
        <x:f>N840-M840</x:f>
        <x:v>0</x:v>
      </x:c>
      <x:c r="P840" s="1" t="n">
        <x:f>SUMIFS('Incoming POs'!$P$2:$P$305,'Incoming POs'!$A$2:$A$305,A840,'Incoming POs'!$B$2:$B$305,B840,'Incoming POs'!$C$2:$C$305,C840,'Incoming POs'!$G$2:$G$305,"&gt;="&amp;D840,'Incoming POs'!$G$2:$G$305,"&lt;"&amp;Dashboard!$I$5)</x:f>
        <x:v>0</x:v>
      </x:c>
      <x:c r="Q840" s="1" t="n">
        <x:f>F840*Dashboard!$L$5*MAX(0,Dashboard!$I$5-D840)/30.4375</x:f>
        <x:v>0</x:v>
      </x:c>
      <x:c r="R840" s="1" t="n">
        <x:f>MAX(0,E840+P840-Q840)</x:f>
        <x:v>1000</x:v>
      </x:c>
      <x:c r="S840" s="1" t="n">
        <x:f>MAX(0,Q840-E840-P840)</x:f>
        <x:v>0</x:v>
      </x:c>
      <x:c r="T840" s="1" t="str">
        <x:f>IF(L840=1,MAX(0,I840+AB840-MIN(Q840,E840+P840)),"n.a.")</x:f>
        <x:v>n.a.</x:v>
      </x:c>
      <x:c r="U840" s="9" t="str">
        <x:f>IF(ISNUMBER(T840),T840*G840,"n.a.")</x:f>
        <x:v>n.a.</x:v>
      </x:c>
      <x:c r="V840" s="25" t="n">
        <x:f>IF(Dashboard!$I$6="Flat %",1,IF(ISNUMBER(H840),1,0))</x:f>
        <x:v>1</x:v>
      </x:c>
      <x:c r="W840" s="9" t="n">
        <x:f>IF(Dashboard!$I$6="Flat %",G840*(1+Dashboard!$L$6),H840)</x:f>
        <x:v>0.103194</x:v>
      </x:c>
      <x:c r="X840" s="9" t="n">
        <x:f>IF(V840=1,R840*(W840-G840),"n.a.")</x:f>
        <x:v>14.993999999999993</x:v>
      </x:c>
      <x:c r="Y840" s="9" t="n">
        <x:f>IF(V840=1,R840*W840,"n.a.")</x:f>
        <x:v>103.19399999999999</x:v>
      </x:c>
      <x:c r="Z840" s="1" t="str">
        <x:f>IF(ISNUMBER(T840),R840-T840,"n.a.")</x:f>
        <x:v>n.a.</x:v>
      </x:c>
      <x:c r="AA840" s="1" t="str">
        <x:f>'Inventory inputs'!R840</x:f>
        <x:v>Review receipt reconciliation or original PO baseline</x:v>
      </x:c>
      <x:c r="AB840" s="1" t="str">
        <x:f>IF(L840=1,SUMIFS('Incoming POs'!$P$2:$P$305,'Incoming POs'!$A$2:$A$305,A840,'Incoming POs'!$B$2:$B$305,B840,'Incoming POs'!$C$2:$C$305,C840,'Incoming POs'!$G$2:$G$305,"&gt;="&amp;D840,'Incoming POs'!$G$2:$G$305,"&lt;"&amp;Dashboard!$I$5,'Incoming POs'!$Q$2:$Q$305,"&lt;="&amp;('Inventory inputs'!P840/'Inventory inputs'!J840*1.01)),"n.a.")</x:f>
        <x:v>n.a.</x:v>
      </x:c>
      <x:c r="AC840" s="9" t="n">
        <x:f>I840*G840</x:f>
        <x:v>0</x:v>
      </x:c>
      <x:c r="AD840" s="9" t="n">
        <x:f>J840*G840</x:f>
        <x:v>0</x:v>
      </x:c>
      <x:c r="AE840" s="9" t="n">
        <x:f>K840*G840</x:f>
        <x:v>88.2</x:v>
      </x:c>
      <x:c r="AF840" s="9" t="n">
        <x:f>R840*G840</x:f>
        <x:v>88.2</x:v>
      </x:c>
    </x:row>
    <x:row r="841" ht="21" customHeight="1">
      <x:c r="A841" s="1" t="str">
        <x:f>'Inventory inputs'!A841</x:f>
        <x:v>PLAS</x:v>
      </x:c>
      <x:c r="B841" s="1" t="str">
        <x:f>'Inventory inputs'!B841</x:f>
        <x:v>60</x:v>
      </x:c>
      <x:c r="C841" s="1" t="str">
        <x:f>'Inventory inputs'!C841</x:f>
        <x:v>11815RWBWHT</x:v>
      </x:c>
      <x:c r="D841" s="7" t="n">
        <x:f>'Inventory inputs'!E841</x:f>
        <x:v>46303</x:v>
      </x:c>
      <x:c r="E841" s="1" t="n">
        <x:f>'Inventory inputs'!F841</x:f>
        <x:v>1000</x:v>
      </x:c>
      <x:c r="F841" s="1" t="n">
        <x:f>'Inventory inputs'!G841</x:f>
        <x:v>0</x:v>
      </x:c>
      <x:c r="G841" s="1" t="n">
        <x:f>'Inventory inputs'!H841/'Inventory inputs'!J841</x:f>
        <x:v>0.0882</x:v>
      </x:c>
      <x:c r="H841" s="1" t="n">
        <x:f>IF('Inventory inputs'!I841&gt;0,'Inventory inputs'!I841*'Inventory inputs'!K841/'Inventory inputs'!J841,"n.a.")</x:f>
        <x:v>0.103194</x:v>
      </x:c>
      <x:c r="I841" s="1" t="n">
        <x:f>'Inventory inputs'!L841</x:f>
        <x:v>0</x:v>
      </x:c>
      <x:c r="J841" s="1" t="n">
        <x:f>'Inventory inputs'!M841</x:f>
        <x:v>0</x:v>
      </x:c>
      <x:c r="K841" s="1" t="n">
        <x:f>'Inventory inputs'!N841</x:f>
        <x:v>1000</x:v>
      </x:c>
      <x:c r="L841" s="1" t="n">
        <x:f>'Inventory inputs'!O841</x:f>
        <x:v>0</x:v>
      </x:c>
      <x:c r="M841" s="9" t="n">
        <x:f>E841*G841</x:f>
        <x:v>88.2</x:v>
      </x:c>
      <x:c r="N841" s="9" t="n">
        <x:f>'Inventory inputs'!Q841</x:f>
        <x:v>88.2</x:v>
      </x:c>
      <x:c r="O841" s="9" t="n">
        <x:f>N841-M841</x:f>
        <x:v>0</x:v>
      </x:c>
      <x:c r="P841" s="1" t="n">
        <x:f>SUMIFS('Incoming POs'!$P$2:$P$305,'Incoming POs'!$A$2:$A$305,A841,'Incoming POs'!$B$2:$B$305,B841,'Incoming POs'!$C$2:$C$305,C841,'Incoming POs'!$G$2:$G$305,"&gt;="&amp;D841,'Incoming POs'!$G$2:$G$305,"&lt;"&amp;Dashboard!$I$5)</x:f>
        <x:v>0</x:v>
      </x:c>
      <x:c r="Q841" s="1" t="n">
        <x:f>F841*Dashboard!$L$5*MAX(0,Dashboard!$I$5-D841)/30.4375</x:f>
        <x:v>0</x:v>
      </x:c>
      <x:c r="R841" s="1" t="n">
        <x:f>MAX(0,E841+P841-Q841)</x:f>
        <x:v>1000</x:v>
      </x:c>
      <x:c r="S841" s="1" t="n">
        <x:f>MAX(0,Q841-E841-P841)</x:f>
        <x:v>0</x:v>
      </x:c>
      <x:c r="T841" s="1" t="str">
        <x:f>IF(L841=1,MAX(0,I841+AB841-MIN(Q841,E841+P841)),"n.a.")</x:f>
        <x:v>n.a.</x:v>
      </x:c>
      <x:c r="U841" s="9" t="str">
        <x:f>IF(ISNUMBER(T841),T841*G841,"n.a.")</x:f>
        <x:v>n.a.</x:v>
      </x:c>
      <x:c r="V841" s="25" t="n">
        <x:f>IF(Dashboard!$I$6="Flat %",1,IF(ISNUMBER(H841),1,0))</x:f>
        <x:v>1</x:v>
      </x:c>
      <x:c r="W841" s="9" t="n">
        <x:f>IF(Dashboard!$I$6="Flat %",G841*(1+Dashboard!$L$6),H841)</x:f>
        <x:v>0.103194</x:v>
      </x:c>
      <x:c r="X841" s="9" t="n">
        <x:f>IF(V841=1,R841*(W841-G841),"n.a.")</x:f>
        <x:v>14.993999999999993</x:v>
      </x:c>
      <x:c r="Y841" s="9" t="n">
        <x:f>IF(V841=1,R841*W841,"n.a.")</x:f>
        <x:v>103.19399999999999</x:v>
      </x:c>
      <x:c r="Z841" s="1" t="str">
        <x:f>IF(ISNUMBER(T841),R841-T841,"n.a.")</x:f>
        <x:v>n.a.</x:v>
      </x:c>
      <x:c r="AA841" s="1" t="str">
        <x:f>'Inventory inputs'!R841</x:f>
        <x:v>Review receipt reconciliation or original PO baseline</x:v>
      </x:c>
      <x:c r="AB841" s="1" t="str">
        <x:f>IF(L841=1,SUMIFS('Incoming POs'!$P$2:$P$305,'Incoming POs'!$A$2:$A$305,A841,'Incoming POs'!$B$2:$B$305,B841,'Incoming POs'!$C$2:$C$305,C841,'Incoming POs'!$G$2:$G$305,"&gt;="&amp;D841,'Incoming POs'!$G$2:$G$305,"&lt;"&amp;Dashboard!$I$5,'Incoming POs'!$Q$2:$Q$305,"&lt;="&amp;('Inventory inputs'!P841/'Inventory inputs'!J841*1.01)),"n.a.")</x:f>
        <x:v>n.a.</x:v>
      </x:c>
      <x:c r="AC841" s="9" t="n">
        <x:f>I841*G841</x:f>
        <x:v>0</x:v>
      </x:c>
      <x:c r="AD841" s="9" t="n">
        <x:f>J841*G841</x:f>
        <x:v>0</x:v>
      </x:c>
      <x:c r="AE841" s="9" t="n">
        <x:f>K841*G841</x:f>
        <x:v>88.2</x:v>
      </x:c>
      <x:c r="AF841" s="9" t="n">
        <x:f>R841*G841</x:f>
        <x:v>88.2</x:v>
      </x:c>
    </x:row>
    <x:row r="842" ht="21" customHeight="1">
      <x:c r="A842" s="1" t="str">
        <x:f>'Inventory inputs'!A842</x:f>
        <x:v>PLAS</x:v>
      </x:c>
      <x:c r="B842" s="1" t="str">
        <x:f>'Inventory inputs'!B842</x:f>
        <x:v>60</x:v>
      </x:c>
      <x:c r="C842" s="1" t="str">
        <x:f>'Inventory inputs'!C842</x:f>
        <x:v>11819RWBBLU</x:v>
      </x:c>
      <x:c r="D842" s="7" t="n">
        <x:f>'Inventory inputs'!E842</x:f>
        <x:v>46303</x:v>
      </x:c>
      <x:c r="E842" s="1" t="n">
        <x:f>'Inventory inputs'!F842</x:f>
        <x:v>600</x:v>
      </x:c>
      <x:c r="F842" s="1" t="n">
        <x:f>'Inventory inputs'!G842</x:f>
        <x:v>0</x:v>
      </x:c>
      <x:c r="G842" s="1" t="n">
        <x:f>'Inventory inputs'!H842/'Inventory inputs'!J842</x:f>
        <x:v>0.1323</x:v>
      </x:c>
      <x:c r="H842" s="1" t="n">
        <x:f>IF('Inventory inputs'!I842&gt;0,'Inventory inputs'!I842*'Inventory inputs'!K842/'Inventory inputs'!J842,"n.a.")</x:f>
        <x:v>0.15479099999999998</x:v>
      </x:c>
      <x:c r="I842" s="1" t="n">
        <x:f>'Inventory inputs'!L842</x:f>
        <x:v>0</x:v>
      </x:c>
      <x:c r="J842" s="1" t="n">
        <x:f>'Inventory inputs'!M842</x:f>
        <x:v>0</x:v>
      </x:c>
      <x:c r="K842" s="1" t="n">
        <x:f>'Inventory inputs'!N842</x:f>
        <x:v>600</x:v>
      </x:c>
      <x:c r="L842" s="1" t="n">
        <x:f>'Inventory inputs'!O842</x:f>
        <x:v>0</x:v>
      </x:c>
      <x:c r="M842" s="9" t="n">
        <x:f>E842*G842</x:f>
        <x:v>79.38</x:v>
      </x:c>
      <x:c r="N842" s="9" t="n">
        <x:f>'Inventory inputs'!Q842</x:f>
        <x:v>79.38</x:v>
      </x:c>
      <x:c r="O842" s="9" t="n">
        <x:f>N842-M842</x:f>
        <x:v>0</x:v>
      </x:c>
      <x:c r="P842" s="1" t="n">
        <x:f>SUMIFS('Incoming POs'!$P$2:$P$305,'Incoming POs'!$A$2:$A$305,A842,'Incoming POs'!$B$2:$B$305,B842,'Incoming POs'!$C$2:$C$305,C842,'Incoming POs'!$G$2:$G$305,"&gt;="&amp;D842,'Incoming POs'!$G$2:$G$305,"&lt;"&amp;Dashboard!$I$5)</x:f>
        <x:v>0</x:v>
      </x:c>
      <x:c r="Q842" s="1" t="n">
        <x:f>F842*Dashboard!$L$5*MAX(0,Dashboard!$I$5-D842)/30.4375</x:f>
        <x:v>0</x:v>
      </x:c>
      <x:c r="R842" s="1" t="n">
        <x:f>MAX(0,E842+P842-Q842)</x:f>
        <x:v>600</x:v>
      </x:c>
      <x:c r="S842" s="1" t="n">
        <x:f>MAX(0,Q842-E842-P842)</x:f>
        <x:v>0</x:v>
      </x:c>
      <x:c r="T842" s="1" t="str">
        <x:f>IF(L842=1,MAX(0,I842+AB842-MIN(Q842,E842+P842)),"n.a.")</x:f>
        <x:v>n.a.</x:v>
      </x:c>
      <x:c r="U842" s="9" t="str">
        <x:f>IF(ISNUMBER(T842),T842*G842,"n.a.")</x:f>
        <x:v>n.a.</x:v>
      </x:c>
      <x:c r="V842" s="25" t="n">
        <x:f>IF(Dashboard!$I$6="Flat %",1,IF(ISNUMBER(H842),1,0))</x:f>
        <x:v>1</x:v>
      </x:c>
      <x:c r="W842" s="9" t="n">
        <x:f>IF(Dashboard!$I$6="Flat %",G842*(1+Dashboard!$L$6),H842)</x:f>
        <x:v>0.15479099999999998</x:v>
      </x:c>
      <x:c r="X842" s="9" t="n">
        <x:f>IF(V842=1,R842*(W842-G842),"n.a.")</x:f>
        <x:v>13.49459999999999</x:v>
      </x:c>
      <x:c r="Y842" s="9" t="n">
        <x:f>IF(V842=1,R842*W842,"n.a.")</x:f>
        <x:v>92.87459999999999</x:v>
      </x:c>
      <x:c r="Z842" s="1" t="str">
        <x:f>IF(ISNUMBER(T842),R842-T842,"n.a.")</x:f>
        <x:v>n.a.</x:v>
      </x:c>
      <x:c r="AA842" s="1" t="str">
        <x:f>'Inventory inputs'!R842</x:f>
        <x:v>Review receipt reconciliation or original PO baseline</x:v>
      </x:c>
      <x:c r="AB842" s="1" t="str">
        <x:f>IF(L842=1,SUMIFS('Incoming POs'!$P$2:$P$305,'Incoming POs'!$A$2:$A$305,A842,'Incoming POs'!$B$2:$B$305,B842,'Incoming POs'!$C$2:$C$305,C842,'Incoming POs'!$G$2:$G$305,"&gt;="&amp;D842,'Incoming POs'!$G$2:$G$305,"&lt;"&amp;Dashboard!$I$5,'Incoming POs'!$Q$2:$Q$305,"&lt;="&amp;('Inventory inputs'!P842/'Inventory inputs'!J842*1.01)),"n.a.")</x:f>
        <x:v>n.a.</x:v>
      </x:c>
      <x:c r="AC842" s="9" t="n">
        <x:f>I842*G842</x:f>
        <x:v>0</x:v>
      </x:c>
      <x:c r="AD842" s="9" t="n">
        <x:f>J842*G842</x:f>
        <x:v>0</x:v>
      </x:c>
      <x:c r="AE842" s="9" t="n">
        <x:f>K842*G842</x:f>
        <x:v>79.38</x:v>
      </x:c>
      <x:c r="AF842" s="9" t="n">
        <x:f>R842*G842</x:f>
        <x:v>79.38</x:v>
      </x:c>
    </x:row>
    <x:row r="843" ht="21" customHeight="1">
      <x:c r="A843" s="1" t="str">
        <x:f>'Inventory inputs'!A843</x:f>
        <x:v>PLAS</x:v>
      </x:c>
      <x:c r="B843" s="1" t="str">
        <x:f>'Inventory inputs'!B843</x:f>
        <x:v>60</x:v>
      </x:c>
      <x:c r="C843" s="1" t="str">
        <x:f>'Inventory inputs'!C843</x:f>
        <x:v>11819RWBCLR</x:v>
      </x:c>
      <x:c r="D843" s="7" t="n">
        <x:f>'Inventory inputs'!E843</x:f>
        <x:v>46303</x:v>
      </x:c>
      <x:c r="E843" s="1" t="n">
        <x:f>'Inventory inputs'!F843</x:f>
        <x:v>350</x:v>
      </x:c>
      <x:c r="F843" s="1" t="n">
        <x:f>'Inventory inputs'!G843</x:f>
        <x:v>0</x:v>
      </x:c>
      <x:c r="G843" s="1" t="n">
        <x:f>'Inventory inputs'!H843/'Inventory inputs'!J843</x:f>
        <x:v>0.1323</x:v>
      </x:c>
      <x:c r="H843" s="1" t="n">
        <x:f>IF('Inventory inputs'!I843&gt;0,'Inventory inputs'!I843*'Inventory inputs'!K843/'Inventory inputs'!J843,"n.a.")</x:f>
        <x:v>0.15479099999999998</x:v>
      </x:c>
      <x:c r="I843" s="1" t="n">
        <x:f>'Inventory inputs'!L843</x:f>
        <x:v>0</x:v>
      </x:c>
      <x:c r="J843" s="1" t="n">
        <x:f>'Inventory inputs'!M843</x:f>
        <x:v>0</x:v>
      </x:c>
      <x:c r="K843" s="1" t="n">
        <x:f>'Inventory inputs'!N843</x:f>
        <x:v>350</x:v>
      </x:c>
      <x:c r="L843" s="1" t="n">
        <x:f>'Inventory inputs'!O843</x:f>
        <x:v>0</x:v>
      </x:c>
      <x:c r="M843" s="9" t="n">
        <x:f>E843*G843</x:f>
        <x:v>46.305</x:v>
      </x:c>
      <x:c r="N843" s="9" t="n">
        <x:f>'Inventory inputs'!Q843</x:f>
        <x:v>46.305</x:v>
      </x:c>
      <x:c r="O843" s="9" t="n">
        <x:f>N843-M843</x:f>
        <x:v>0</x:v>
      </x:c>
      <x:c r="P843" s="1" t="n">
        <x:f>SUMIFS('Incoming POs'!$P$2:$P$305,'Incoming POs'!$A$2:$A$305,A843,'Incoming POs'!$B$2:$B$305,B843,'Incoming POs'!$C$2:$C$305,C843,'Incoming POs'!$G$2:$G$305,"&gt;="&amp;D843,'Incoming POs'!$G$2:$G$305,"&lt;"&amp;Dashboard!$I$5)</x:f>
        <x:v>0</x:v>
      </x:c>
      <x:c r="Q843" s="1" t="n">
        <x:f>F843*Dashboard!$L$5*MAX(0,Dashboard!$I$5-D843)/30.4375</x:f>
        <x:v>0</x:v>
      </x:c>
      <x:c r="R843" s="1" t="n">
        <x:f>MAX(0,E843+P843-Q843)</x:f>
        <x:v>350</x:v>
      </x:c>
      <x:c r="S843" s="1" t="n">
        <x:f>MAX(0,Q843-E843-P843)</x:f>
        <x:v>0</x:v>
      </x:c>
      <x:c r="T843" s="1" t="str">
        <x:f>IF(L843=1,MAX(0,I843+AB843-MIN(Q843,E843+P843)),"n.a.")</x:f>
        <x:v>n.a.</x:v>
      </x:c>
      <x:c r="U843" s="9" t="str">
        <x:f>IF(ISNUMBER(T843),T843*G843,"n.a.")</x:f>
        <x:v>n.a.</x:v>
      </x:c>
      <x:c r="V843" s="25" t="n">
        <x:f>IF(Dashboard!$I$6="Flat %",1,IF(ISNUMBER(H843),1,0))</x:f>
        <x:v>1</x:v>
      </x:c>
      <x:c r="W843" s="9" t="n">
        <x:f>IF(Dashboard!$I$6="Flat %",G843*(1+Dashboard!$L$6),H843)</x:f>
        <x:v>0.15479099999999998</x:v>
      </x:c>
      <x:c r="X843" s="9" t="n">
        <x:f>IF(V843=1,R843*(W843-G843),"n.a.")</x:f>
        <x:v>7.871849999999994</x:v>
      </x:c>
      <x:c r="Y843" s="9" t="n">
        <x:f>IF(V843=1,R843*W843,"n.a.")</x:f>
        <x:v>54.176849999999995</x:v>
      </x:c>
      <x:c r="Z843" s="1" t="str">
        <x:f>IF(ISNUMBER(T843),R843-T843,"n.a.")</x:f>
        <x:v>n.a.</x:v>
      </x:c>
      <x:c r="AA843" s="1" t="str">
        <x:f>'Inventory inputs'!R843</x:f>
        <x:v>Review receipt reconciliation or original PO baseline</x:v>
      </x:c>
      <x:c r="AB843" s="1" t="str">
        <x:f>IF(L843=1,SUMIFS('Incoming POs'!$P$2:$P$305,'Incoming POs'!$A$2:$A$305,A843,'Incoming POs'!$B$2:$B$305,B843,'Incoming POs'!$C$2:$C$305,C843,'Incoming POs'!$G$2:$G$305,"&gt;="&amp;D843,'Incoming POs'!$G$2:$G$305,"&lt;"&amp;Dashboard!$I$5,'Incoming POs'!$Q$2:$Q$305,"&lt;="&amp;('Inventory inputs'!P843/'Inventory inputs'!J843*1.01)),"n.a.")</x:f>
        <x:v>n.a.</x:v>
      </x:c>
      <x:c r="AC843" s="9" t="n">
        <x:f>I843*G843</x:f>
        <x:v>0</x:v>
      </x:c>
      <x:c r="AD843" s="9" t="n">
        <x:f>J843*G843</x:f>
        <x:v>0</x:v>
      </x:c>
      <x:c r="AE843" s="9" t="n">
        <x:f>K843*G843</x:f>
        <x:v>46.305</x:v>
      </x:c>
      <x:c r="AF843" s="9" t="n">
        <x:f>R843*G843</x:f>
        <x:v>46.305</x:v>
      </x:c>
    </x:row>
    <x:row r="844" ht="21" customHeight="1">
      <x:c r="A844" s="1" t="str">
        <x:f>'Inventory inputs'!A844</x:f>
        <x:v>PLAS</x:v>
      </x:c>
      <x:c r="B844" s="1" t="str">
        <x:f>'Inventory inputs'!B844</x:f>
        <x:v>60</x:v>
      </x:c>
      <x:c r="C844" s="1" t="str">
        <x:f>'Inventory inputs'!C844</x:f>
        <x:v>11819RWBFG</x:v>
      </x:c>
      <x:c r="D844" s="7" t="n">
        <x:f>'Inventory inputs'!E844</x:f>
        <x:v>46303</x:v>
      </x:c>
      <x:c r="E844" s="1" t="n">
        <x:f>'Inventory inputs'!F844</x:f>
        <x:v>900</x:v>
      </x:c>
      <x:c r="F844" s="1" t="n">
        <x:f>'Inventory inputs'!G844</x:f>
        <x:v>0</x:v>
      </x:c>
      <x:c r="G844" s="1" t="n">
        <x:f>'Inventory inputs'!H844/'Inventory inputs'!J844</x:f>
        <x:v>0.1323</x:v>
      </x:c>
      <x:c r="H844" s="1" t="n">
        <x:f>IF('Inventory inputs'!I844&gt;0,'Inventory inputs'!I844*'Inventory inputs'!K844/'Inventory inputs'!J844,"n.a.")</x:f>
        <x:v>0.15479099999999998</x:v>
      </x:c>
      <x:c r="I844" s="1" t="n">
        <x:f>'Inventory inputs'!L844</x:f>
        <x:v>0</x:v>
      </x:c>
      <x:c r="J844" s="1" t="n">
        <x:f>'Inventory inputs'!M844</x:f>
        <x:v>0</x:v>
      </x:c>
      <x:c r="K844" s="1" t="n">
        <x:f>'Inventory inputs'!N844</x:f>
        <x:v>900</x:v>
      </x:c>
      <x:c r="L844" s="1" t="n">
        <x:f>'Inventory inputs'!O844</x:f>
        <x:v>0</x:v>
      </x:c>
      <x:c r="M844" s="9" t="n">
        <x:f>E844*G844</x:f>
        <x:v>119.07000000000001</x:v>
      </x:c>
      <x:c r="N844" s="9" t="n">
        <x:f>'Inventory inputs'!Q844</x:f>
        <x:v>119.07000000000001</x:v>
      </x:c>
      <x:c r="O844" s="9" t="n">
        <x:f>N844-M844</x:f>
        <x:v>0</x:v>
      </x:c>
      <x:c r="P844" s="1" t="n">
        <x:f>SUMIFS('Incoming POs'!$P$2:$P$305,'Incoming POs'!$A$2:$A$305,A844,'Incoming POs'!$B$2:$B$305,B844,'Incoming POs'!$C$2:$C$305,C844,'Incoming POs'!$G$2:$G$305,"&gt;="&amp;D844,'Incoming POs'!$G$2:$G$305,"&lt;"&amp;Dashboard!$I$5)</x:f>
        <x:v>0</x:v>
      </x:c>
      <x:c r="Q844" s="1" t="n">
        <x:f>F844*Dashboard!$L$5*MAX(0,Dashboard!$I$5-D844)/30.4375</x:f>
        <x:v>0</x:v>
      </x:c>
      <x:c r="R844" s="1" t="n">
        <x:f>MAX(0,E844+P844-Q844)</x:f>
        <x:v>900</x:v>
      </x:c>
      <x:c r="S844" s="1" t="n">
        <x:f>MAX(0,Q844-E844-P844)</x:f>
        <x:v>0</x:v>
      </x:c>
      <x:c r="T844" s="1" t="str">
        <x:f>IF(L844=1,MAX(0,I844+AB844-MIN(Q844,E844+P844)),"n.a.")</x:f>
        <x:v>n.a.</x:v>
      </x:c>
      <x:c r="U844" s="9" t="str">
        <x:f>IF(ISNUMBER(T844),T844*G844,"n.a.")</x:f>
        <x:v>n.a.</x:v>
      </x:c>
      <x:c r="V844" s="25" t="n">
        <x:f>IF(Dashboard!$I$6="Flat %",1,IF(ISNUMBER(H844),1,0))</x:f>
        <x:v>1</x:v>
      </x:c>
      <x:c r="W844" s="9" t="n">
        <x:f>IF(Dashboard!$I$6="Flat %",G844*(1+Dashboard!$L$6),H844)</x:f>
        <x:v>0.15479099999999998</x:v>
      </x:c>
      <x:c r="X844" s="9" t="n">
        <x:f>IF(V844=1,R844*(W844-G844),"n.a.")</x:f>
        <x:v>20.241899999999983</x:v>
      </x:c>
      <x:c r="Y844" s="9" t="n">
        <x:f>IF(V844=1,R844*W844,"n.a.")</x:f>
        <x:v>139.31189999999998</x:v>
      </x:c>
      <x:c r="Z844" s="1" t="str">
        <x:f>IF(ISNUMBER(T844),R844-T844,"n.a.")</x:f>
        <x:v>n.a.</x:v>
      </x:c>
      <x:c r="AA844" s="1" t="str">
        <x:f>'Inventory inputs'!R844</x:f>
        <x:v>Review receipt reconciliation or original PO baseline</x:v>
      </x:c>
      <x:c r="AB844" s="1" t="str">
        <x:f>IF(L844=1,SUMIFS('Incoming POs'!$P$2:$P$305,'Incoming POs'!$A$2:$A$305,A844,'Incoming POs'!$B$2:$B$305,B844,'Incoming POs'!$C$2:$C$305,C844,'Incoming POs'!$G$2:$G$305,"&gt;="&amp;D844,'Incoming POs'!$G$2:$G$305,"&lt;"&amp;Dashboard!$I$5,'Incoming POs'!$Q$2:$Q$305,"&lt;="&amp;('Inventory inputs'!P844/'Inventory inputs'!J844*1.01)),"n.a.")</x:f>
        <x:v>n.a.</x:v>
      </x:c>
      <x:c r="AC844" s="9" t="n">
        <x:f>I844*G844</x:f>
        <x:v>0</x:v>
      </x:c>
      <x:c r="AD844" s="9" t="n">
        <x:f>J844*G844</x:f>
        <x:v>0</x:v>
      </x:c>
      <x:c r="AE844" s="9" t="n">
        <x:f>K844*G844</x:f>
        <x:v>119.07000000000001</x:v>
      </x:c>
      <x:c r="AF844" s="9" t="n">
        <x:f>R844*G844</x:f>
        <x:v>119.07000000000001</x:v>
      </x:c>
    </x:row>
    <x:row r="845" ht="21" customHeight="1">
      <x:c r="A845" s="1" t="str">
        <x:f>'Inventory inputs'!A845</x:f>
        <x:v>PLAS</x:v>
      </x:c>
      <x:c r="B845" s="1" t="str">
        <x:f>'Inventory inputs'!B845</x:f>
        <x:v>60</x:v>
      </x:c>
      <x:c r="C845" s="1" t="str">
        <x:f>'Inventory inputs'!C845</x:f>
        <x:v>11819RWBMAR</x:v>
      </x:c>
      <x:c r="D845" s="7" t="n">
        <x:f>'Inventory inputs'!E845</x:f>
        <x:v>46303</x:v>
      </x:c>
      <x:c r="E845" s="1" t="n">
        <x:f>'Inventory inputs'!F845</x:f>
        <x:v>850</x:v>
      </x:c>
      <x:c r="F845" s="1" t="n">
        <x:f>'Inventory inputs'!G845</x:f>
        <x:v>0</x:v>
      </x:c>
      <x:c r="G845" s="1" t="n">
        <x:f>'Inventory inputs'!H845/'Inventory inputs'!J845</x:f>
        <x:v>0.1323</x:v>
      </x:c>
      <x:c r="H845" s="1" t="n">
        <x:f>IF('Inventory inputs'!I845&gt;0,'Inventory inputs'!I845*'Inventory inputs'!K845/'Inventory inputs'!J845,"n.a.")</x:f>
        <x:v>0.15479099999999998</x:v>
      </x:c>
      <x:c r="I845" s="1" t="n">
        <x:f>'Inventory inputs'!L845</x:f>
        <x:v>0</x:v>
      </x:c>
      <x:c r="J845" s="1" t="n">
        <x:f>'Inventory inputs'!M845</x:f>
        <x:v>0</x:v>
      </x:c>
      <x:c r="K845" s="1" t="n">
        <x:f>'Inventory inputs'!N845</x:f>
        <x:v>850</x:v>
      </x:c>
      <x:c r="L845" s="1" t="n">
        <x:f>'Inventory inputs'!O845</x:f>
        <x:v>0</x:v>
      </x:c>
      <x:c r="M845" s="9" t="n">
        <x:f>E845*G845</x:f>
        <x:v>112.455</x:v>
      </x:c>
      <x:c r="N845" s="9" t="n">
        <x:f>'Inventory inputs'!Q845</x:f>
        <x:v>112.455</x:v>
      </x:c>
      <x:c r="O845" s="9" t="n">
        <x:f>N845-M845</x:f>
        <x:v>0</x:v>
      </x:c>
      <x:c r="P845" s="1" t="n">
        <x:f>SUMIFS('Incoming POs'!$P$2:$P$305,'Incoming POs'!$A$2:$A$305,A845,'Incoming POs'!$B$2:$B$305,B845,'Incoming POs'!$C$2:$C$305,C845,'Incoming POs'!$G$2:$G$305,"&gt;="&amp;D845,'Incoming POs'!$G$2:$G$305,"&lt;"&amp;Dashboard!$I$5)</x:f>
        <x:v>0</x:v>
      </x:c>
      <x:c r="Q845" s="1" t="n">
        <x:f>F845*Dashboard!$L$5*MAX(0,Dashboard!$I$5-D845)/30.4375</x:f>
        <x:v>0</x:v>
      </x:c>
      <x:c r="R845" s="1" t="n">
        <x:f>MAX(0,E845+P845-Q845)</x:f>
        <x:v>850</x:v>
      </x:c>
      <x:c r="S845" s="1" t="n">
        <x:f>MAX(0,Q845-E845-P845)</x:f>
        <x:v>0</x:v>
      </x:c>
      <x:c r="T845" s="1" t="str">
        <x:f>IF(L845=1,MAX(0,I845+AB845-MIN(Q845,E845+P845)),"n.a.")</x:f>
        <x:v>n.a.</x:v>
      </x:c>
      <x:c r="U845" s="9" t="str">
        <x:f>IF(ISNUMBER(T845),T845*G845,"n.a.")</x:f>
        <x:v>n.a.</x:v>
      </x:c>
      <x:c r="V845" s="25" t="n">
        <x:f>IF(Dashboard!$I$6="Flat %",1,IF(ISNUMBER(H845),1,0))</x:f>
        <x:v>1</x:v>
      </x:c>
      <x:c r="W845" s="9" t="n">
        <x:f>IF(Dashboard!$I$6="Flat %",G845*(1+Dashboard!$L$6),H845)</x:f>
        <x:v>0.15479099999999998</x:v>
      </x:c>
      <x:c r="X845" s="9" t="n">
        <x:f>IF(V845=1,R845*(W845-G845),"n.a.")</x:f>
        <x:v>19.117349999999984</x:v>
      </x:c>
      <x:c r="Y845" s="9" t="n">
        <x:f>IF(V845=1,R845*W845,"n.a.")</x:f>
        <x:v>131.57235</x:v>
      </x:c>
      <x:c r="Z845" s="1" t="str">
        <x:f>IF(ISNUMBER(T845),R845-T845,"n.a.")</x:f>
        <x:v>n.a.</x:v>
      </x:c>
      <x:c r="AA845" s="1" t="str">
        <x:f>'Inventory inputs'!R845</x:f>
        <x:v>Review receipt reconciliation or original PO baseline</x:v>
      </x:c>
      <x:c r="AB845" s="1" t="str">
        <x:f>IF(L845=1,SUMIFS('Incoming POs'!$P$2:$P$305,'Incoming POs'!$A$2:$A$305,A845,'Incoming POs'!$B$2:$B$305,B845,'Incoming POs'!$C$2:$C$305,C845,'Incoming POs'!$G$2:$G$305,"&gt;="&amp;D845,'Incoming POs'!$G$2:$G$305,"&lt;"&amp;Dashboard!$I$5,'Incoming POs'!$Q$2:$Q$305,"&lt;="&amp;('Inventory inputs'!P845/'Inventory inputs'!J845*1.01)),"n.a.")</x:f>
        <x:v>n.a.</x:v>
      </x:c>
      <x:c r="AC845" s="9" t="n">
        <x:f>I845*G845</x:f>
        <x:v>0</x:v>
      </x:c>
      <x:c r="AD845" s="9" t="n">
        <x:f>J845*G845</x:f>
        <x:v>0</x:v>
      </x:c>
      <x:c r="AE845" s="9" t="n">
        <x:f>K845*G845</x:f>
        <x:v>112.455</x:v>
      </x:c>
      <x:c r="AF845" s="9" t="n">
        <x:f>R845*G845</x:f>
        <x:v>112.455</x:v>
      </x:c>
    </x:row>
    <x:row r="846" ht="21" customHeight="1">
      <x:c r="A846" s="1" t="str">
        <x:f>'Inventory inputs'!A846</x:f>
        <x:v>PLAS</x:v>
      </x:c>
      <x:c r="B846" s="1" t="str">
        <x:f>'Inventory inputs'!B846</x:f>
        <x:v>60</x:v>
      </x:c>
      <x:c r="C846" s="1" t="str">
        <x:f>'Inventory inputs'!C846</x:f>
        <x:v>11819RWBNAV</x:v>
      </x:c>
      <x:c r="D846" s="7" t="n">
        <x:f>'Inventory inputs'!E846</x:f>
        <x:v>46303</x:v>
      </x:c>
      <x:c r="E846" s="1" t="n">
        <x:f>'Inventory inputs'!F846</x:f>
        <x:v>200</x:v>
      </x:c>
      <x:c r="F846" s="1" t="n">
        <x:f>'Inventory inputs'!G846</x:f>
        <x:v>0</x:v>
      </x:c>
      <x:c r="G846" s="1" t="n">
        <x:f>'Inventory inputs'!H846/'Inventory inputs'!J846</x:f>
        <x:v>0.1323</x:v>
      </x:c>
      <x:c r="H846" s="1" t="n">
        <x:f>IF('Inventory inputs'!I846&gt;0,'Inventory inputs'!I846*'Inventory inputs'!K846/'Inventory inputs'!J846,"n.a.")</x:f>
        <x:v>0.15479099999999998</x:v>
      </x:c>
      <x:c r="I846" s="1" t="n">
        <x:f>'Inventory inputs'!L846</x:f>
        <x:v>0</x:v>
      </x:c>
      <x:c r="J846" s="1" t="n">
        <x:f>'Inventory inputs'!M846</x:f>
        <x:v>0</x:v>
      </x:c>
      <x:c r="K846" s="1" t="n">
        <x:f>'Inventory inputs'!N846</x:f>
        <x:v>200</x:v>
      </x:c>
      <x:c r="L846" s="1" t="n">
        <x:f>'Inventory inputs'!O846</x:f>
        <x:v>0</x:v>
      </x:c>
      <x:c r="M846" s="9" t="n">
        <x:f>E846*G846</x:f>
        <x:v>26.46</x:v>
      </x:c>
      <x:c r="N846" s="9" t="n">
        <x:f>'Inventory inputs'!Q846</x:f>
        <x:v>26.46</x:v>
      </x:c>
      <x:c r="O846" s="9" t="n">
        <x:f>N846-M846</x:f>
        <x:v>0</x:v>
      </x:c>
      <x:c r="P846" s="1" t="n">
        <x:f>SUMIFS('Incoming POs'!$P$2:$P$305,'Incoming POs'!$A$2:$A$305,A846,'Incoming POs'!$B$2:$B$305,B846,'Incoming POs'!$C$2:$C$305,C846,'Incoming POs'!$G$2:$G$305,"&gt;="&amp;D846,'Incoming POs'!$G$2:$G$305,"&lt;"&amp;Dashboard!$I$5)</x:f>
        <x:v>0</x:v>
      </x:c>
      <x:c r="Q846" s="1" t="n">
        <x:f>F846*Dashboard!$L$5*MAX(0,Dashboard!$I$5-D846)/30.4375</x:f>
        <x:v>0</x:v>
      </x:c>
      <x:c r="R846" s="1" t="n">
        <x:f>MAX(0,E846+P846-Q846)</x:f>
        <x:v>200</x:v>
      </x:c>
      <x:c r="S846" s="1" t="n">
        <x:f>MAX(0,Q846-E846-P846)</x:f>
        <x:v>0</x:v>
      </x:c>
      <x:c r="T846" s="1" t="str">
        <x:f>IF(L846=1,MAX(0,I846+AB846-MIN(Q846,E846+P846)),"n.a.")</x:f>
        <x:v>n.a.</x:v>
      </x:c>
      <x:c r="U846" s="9" t="str">
        <x:f>IF(ISNUMBER(T846),T846*G846,"n.a.")</x:f>
        <x:v>n.a.</x:v>
      </x:c>
      <x:c r="V846" s="25" t="n">
        <x:f>IF(Dashboard!$I$6="Flat %",1,IF(ISNUMBER(H846),1,0))</x:f>
        <x:v>1</x:v>
      </x:c>
      <x:c r="W846" s="9" t="n">
        <x:f>IF(Dashboard!$I$6="Flat %",G846*(1+Dashboard!$L$6),H846)</x:f>
        <x:v>0.15479099999999998</x:v>
      </x:c>
      <x:c r="X846" s="9" t="n">
        <x:f>IF(V846=1,R846*(W846-G846),"n.a.")</x:f>
        <x:v>4.498199999999997</x:v>
      </x:c>
      <x:c r="Y846" s="9" t="n">
        <x:f>IF(V846=1,R846*W846,"n.a.")</x:f>
        <x:v>30.958199999999998</x:v>
      </x:c>
      <x:c r="Z846" s="1" t="str">
        <x:f>IF(ISNUMBER(T846),R846-T846,"n.a.")</x:f>
        <x:v>n.a.</x:v>
      </x:c>
      <x:c r="AA846" s="1" t="str">
        <x:f>'Inventory inputs'!R846</x:f>
        <x:v>Review receipt reconciliation or original PO baseline</x:v>
      </x:c>
      <x:c r="AB846" s="1" t="str">
        <x:f>IF(L846=1,SUMIFS('Incoming POs'!$P$2:$P$305,'Incoming POs'!$A$2:$A$305,A846,'Incoming POs'!$B$2:$B$305,B846,'Incoming POs'!$C$2:$C$305,C846,'Incoming POs'!$G$2:$G$305,"&gt;="&amp;D846,'Incoming POs'!$G$2:$G$305,"&lt;"&amp;Dashboard!$I$5,'Incoming POs'!$Q$2:$Q$305,"&lt;="&amp;('Inventory inputs'!P846/'Inventory inputs'!J846*1.01)),"n.a.")</x:f>
        <x:v>n.a.</x:v>
      </x:c>
      <x:c r="AC846" s="9" t="n">
        <x:f>I846*G846</x:f>
        <x:v>0</x:v>
      </x:c>
      <x:c r="AD846" s="9" t="n">
        <x:f>J846*G846</x:f>
        <x:v>0</x:v>
      </x:c>
      <x:c r="AE846" s="9" t="n">
        <x:f>K846*G846</x:f>
        <x:v>26.46</x:v>
      </x:c>
      <x:c r="AF846" s="9" t="n">
        <x:f>R846*G846</x:f>
        <x:v>26.46</x:v>
      </x:c>
    </x:row>
    <x:row r="847" ht="21" customHeight="1">
      <x:c r="A847" s="1" t="str">
        <x:f>'Inventory inputs'!A847</x:f>
        <x:v>PLAS</x:v>
      </x:c>
      <x:c r="B847" s="1" t="str">
        <x:f>'Inventory inputs'!B847</x:f>
        <x:v>60</x:v>
      </x:c>
      <x:c r="C847" s="1" t="str">
        <x:f>'Inventory inputs'!C847</x:f>
        <x:v>11819RWBRED</x:v>
      </x:c>
      <x:c r="D847" s="7" t="n">
        <x:f>'Inventory inputs'!E847</x:f>
        <x:v>46303</x:v>
      </x:c>
      <x:c r="E847" s="1" t="n">
        <x:f>'Inventory inputs'!F847</x:f>
        <x:v>450</x:v>
      </x:c>
      <x:c r="F847" s="1" t="n">
        <x:f>'Inventory inputs'!G847</x:f>
        <x:v>0</x:v>
      </x:c>
      <x:c r="G847" s="1" t="n">
        <x:f>'Inventory inputs'!H847/'Inventory inputs'!J847</x:f>
        <x:v>0.1323</x:v>
      </x:c>
      <x:c r="H847" s="1" t="n">
        <x:f>IF('Inventory inputs'!I847&gt;0,'Inventory inputs'!I847*'Inventory inputs'!K847/'Inventory inputs'!J847,"n.a.")</x:f>
        <x:v>0.15479099999999998</x:v>
      </x:c>
      <x:c r="I847" s="1" t="n">
        <x:f>'Inventory inputs'!L847</x:f>
        <x:v>0</x:v>
      </x:c>
      <x:c r="J847" s="1" t="n">
        <x:f>'Inventory inputs'!M847</x:f>
        <x:v>0</x:v>
      </x:c>
      <x:c r="K847" s="1" t="n">
        <x:f>'Inventory inputs'!N847</x:f>
        <x:v>450</x:v>
      </x:c>
      <x:c r="L847" s="1" t="n">
        <x:f>'Inventory inputs'!O847</x:f>
        <x:v>0</x:v>
      </x:c>
      <x:c r="M847" s="9" t="n">
        <x:f>E847*G847</x:f>
        <x:v>59.535000000000004</x:v>
      </x:c>
      <x:c r="N847" s="9" t="n">
        <x:f>'Inventory inputs'!Q847</x:f>
        <x:v>59.535000000000004</x:v>
      </x:c>
      <x:c r="O847" s="9" t="n">
        <x:f>N847-M847</x:f>
        <x:v>0</x:v>
      </x:c>
      <x:c r="P847" s="1" t="n">
        <x:f>SUMIFS('Incoming POs'!$P$2:$P$305,'Incoming POs'!$A$2:$A$305,A847,'Incoming POs'!$B$2:$B$305,B847,'Incoming POs'!$C$2:$C$305,C847,'Incoming POs'!$G$2:$G$305,"&gt;="&amp;D847,'Incoming POs'!$G$2:$G$305,"&lt;"&amp;Dashboard!$I$5)</x:f>
        <x:v>0</x:v>
      </x:c>
      <x:c r="Q847" s="1" t="n">
        <x:f>F847*Dashboard!$L$5*MAX(0,Dashboard!$I$5-D847)/30.4375</x:f>
        <x:v>0</x:v>
      </x:c>
      <x:c r="R847" s="1" t="n">
        <x:f>MAX(0,E847+P847-Q847)</x:f>
        <x:v>450</x:v>
      </x:c>
      <x:c r="S847" s="1" t="n">
        <x:f>MAX(0,Q847-E847-P847)</x:f>
        <x:v>0</x:v>
      </x:c>
      <x:c r="T847" s="1" t="str">
        <x:f>IF(L847=1,MAX(0,I847+AB847-MIN(Q847,E847+P847)),"n.a.")</x:f>
        <x:v>n.a.</x:v>
      </x:c>
      <x:c r="U847" s="9" t="str">
        <x:f>IF(ISNUMBER(T847),T847*G847,"n.a.")</x:f>
        <x:v>n.a.</x:v>
      </x:c>
      <x:c r="V847" s="25" t="n">
        <x:f>IF(Dashboard!$I$6="Flat %",1,IF(ISNUMBER(H847),1,0))</x:f>
        <x:v>1</x:v>
      </x:c>
      <x:c r="W847" s="9" t="n">
        <x:f>IF(Dashboard!$I$6="Flat %",G847*(1+Dashboard!$L$6),H847)</x:f>
        <x:v>0.15479099999999998</x:v>
      </x:c>
      <x:c r="X847" s="9" t="n">
        <x:f>IF(V847=1,R847*(W847-G847),"n.a.")</x:f>
        <x:v>10.120949999999992</x:v>
      </x:c>
      <x:c r="Y847" s="9" t="n">
        <x:f>IF(V847=1,R847*W847,"n.a.")</x:f>
        <x:v>69.65594999999999</x:v>
      </x:c>
      <x:c r="Z847" s="1" t="str">
        <x:f>IF(ISNUMBER(T847),R847-T847,"n.a.")</x:f>
        <x:v>n.a.</x:v>
      </x:c>
      <x:c r="AA847" s="1" t="str">
        <x:f>'Inventory inputs'!R847</x:f>
        <x:v>Review receipt reconciliation or original PO baseline</x:v>
      </x:c>
      <x:c r="AB847" s="1" t="str">
        <x:f>IF(L847=1,SUMIFS('Incoming POs'!$P$2:$P$305,'Incoming POs'!$A$2:$A$305,A847,'Incoming POs'!$B$2:$B$305,B847,'Incoming POs'!$C$2:$C$305,C847,'Incoming POs'!$G$2:$G$305,"&gt;="&amp;D847,'Incoming POs'!$G$2:$G$305,"&lt;"&amp;Dashboard!$I$5,'Incoming POs'!$Q$2:$Q$305,"&lt;="&amp;('Inventory inputs'!P847/'Inventory inputs'!J847*1.01)),"n.a.")</x:f>
        <x:v>n.a.</x:v>
      </x:c>
      <x:c r="AC847" s="9" t="n">
        <x:f>I847*G847</x:f>
        <x:v>0</x:v>
      </x:c>
      <x:c r="AD847" s="9" t="n">
        <x:f>J847*G847</x:f>
        <x:v>0</x:v>
      </x:c>
      <x:c r="AE847" s="9" t="n">
        <x:f>K847*G847</x:f>
        <x:v>59.535000000000004</x:v>
      </x:c>
      <x:c r="AF847" s="9" t="n">
        <x:f>R847*G847</x:f>
        <x:v>59.535000000000004</x:v>
      </x:c>
    </x:row>
    <x:row r="848" ht="21" customHeight="1">
      <x:c r="A848" s="1" t="str">
        <x:f>'Inventory inputs'!A848</x:f>
        <x:v>PLAS</x:v>
      </x:c>
      <x:c r="B848" s="1" t="str">
        <x:f>'Inventory inputs'!B848</x:f>
        <x:v>60</x:v>
      </x:c>
      <x:c r="C848" s="1" t="str">
        <x:f>'Inventory inputs'!C848</x:f>
        <x:v>11880RWBBLK</x:v>
      </x:c>
      <x:c r="D848" s="7" t="n">
        <x:f>'Inventory inputs'!E848</x:f>
        <x:v>46303</x:v>
      </x:c>
      <x:c r="E848" s="1" t="n">
        <x:f>'Inventory inputs'!F848</x:f>
        <x:v>974</x:v>
      </x:c>
      <x:c r="F848" s="1" t="n">
        <x:f>'Inventory inputs'!G848</x:f>
        <x:v>0</x:v>
      </x:c>
      <x:c r="G848" s="1" t="n">
        <x:f>'Inventory inputs'!H848/'Inventory inputs'!J848</x:f>
        <x:v>0.4947</x:v>
      </x:c>
      <x:c r="H848" s="1" t="n">
        <x:f>IF('Inventory inputs'!I848&gt;0,'Inventory inputs'!I848*'Inventory inputs'!K848/'Inventory inputs'!J848,"n.a.")</x:f>
        <x:v>0.5787389999999999</x:v>
      </x:c>
      <x:c r="I848" s="1" t="n">
        <x:f>'Inventory inputs'!L848</x:f>
        <x:v>0</x:v>
      </x:c>
      <x:c r="J848" s="1" t="n">
        <x:f>'Inventory inputs'!M848</x:f>
        <x:v>0</x:v>
      </x:c>
      <x:c r="K848" s="1" t="n">
        <x:f>'Inventory inputs'!N848</x:f>
        <x:v>974</x:v>
      </x:c>
      <x:c r="L848" s="1" t="n">
        <x:f>'Inventory inputs'!O848</x:f>
        <x:v>0</x:v>
      </x:c>
      <x:c r="M848" s="9" t="n">
        <x:f>E848*G848</x:f>
        <x:v>481.83779999999996</x:v>
      </x:c>
      <x:c r="N848" s="9" t="n">
        <x:f>'Inventory inputs'!Q848</x:f>
        <x:v>481.8378</x:v>
      </x:c>
      <x:c r="O848" s="9" t="n">
        <x:f>N848-M848</x:f>
        <x:v>5.684341886080802e-14</x:v>
      </x:c>
      <x:c r="P848" s="1" t="n">
        <x:f>SUMIFS('Incoming POs'!$P$2:$P$305,'Incoming POs'!$A$2:$A$305,A848,'Incoming POs'!$B$2:$B$305,B848,'Incoming POs'!$C$2:$C$305,C848,'Incoming POs'!$G$2:$G$305,"&gt;="&amp;D848,'Incoming POs'!$G$2:$G$305,"&lt;"&amp;Dashboard!$I$5)</x:f>
        <x:v>0</x:v>
      </x:c>
      <x:c r="Q848" s="1" t="n">
        <x:f>F848*Dashboard!$L$5*MAX(0,Dashboard!$I$5-D848)/30.4375</x:f>
        <x:v>0</x:v>
      </x:c>
      <x:c r="R848" s="1" t="n">
        <x:f>MAX(0,E848+P848-Q848)</x:f>
        <x:v>974</x:v>
      </x:c>
      <x:c r="S848" s="1" t="n">
        <x:f>MAX(0,Q848-E848-P848)</x:f>
        <x:v>0</x:v>
      </x:c>
      <x:c r="T848" s="1" t="str">
        <x:f>IF(L848=1,MAX(0,I848+AB848-MIN(Q848,E848+P848)),"n.a.")</x:f>
        <x:v>n.a.</x:v>
      </x:c>
      <x:c r="U848" s="9" t="str">
        <x:f>IF(ISNUMBER(T848),T848*G848,"n.a.")</x:f>
        <x:v>n.a.</x:v>
      </x:c>
      <x:c r="V848" s="25" t="n">
        <x:f>IF(Dashboard!$I$6="Flat %",1,IF(ISNUMBER(H848),1,0))</x:f>
        <x:v>1</x:v>
      </x:c>
      <x:c r="W848" s="9" t="n">
        <x:f>IF(Dashboard!$I$6="Flat %",G848*(1+Dashboard!$L$6),H848)</x:f>
        <x:v>0.5787389999999999</x:v>
      </x:c>
      <x:c r="X848" s="9" t="n">
        <x:f>IF(V848=1,R848*(W848-G848),"n.a.")</x:f>
        <x:v>81.85398599999992</x:v>
      </x:c>
      <x:c r="Y848" s="9" t="n">
        <x:f>IF(V848=1,R848*W848,"n.a.")</x:f>
        <x:v>563.6917859999999</x:v>
      </x:c>
      <x:c r="Z848" s="1" t="str">
        <x:f>IF(ISNUMBER(T848),R848-T848,"n.a.")</x:f>
        <x:v>n.a.</x:v>
      </x:c>
      <x:c r="AA848" s="1" t="str">
        <x:f>'Inventory inputs'!R848</x:f>
        <x:v>Review receipt reconciliation or original PO baseline</x:v>
      </x:c>
      <x:c r="AB848" s="1" t="str">
        <x:f>IF(L848=1,SUMIFS('Incoming POs'!$P$2:$P$305,'Incoming POs'!$A$2:$A$305,A848,'Incoming POs'!$B$2:$B$305,B848,'Incoming POs'!$C$2:$C$305,C848,'Incoming POs'!$G$2:$G$305,"&gt;="&amp;D848,'Incoming POs'!$G$2:$G$305,"&lt;"&amp;Dashboard!$I$5,'Incoming POs'!$Q$2:$Q$305,"&lt;="&amp;('Inventory inputs'!P848/'Inventory inputs'!J848*1.01)),"n.a.")</x:f>
        <x:v>n.a.</x:v>
      </x:c>
      <x:c r="AC848" s="9" t="n">
        <x:f>I848*G848</x:f>
        <x:v>0</x:v>
      </x:c>
      <x:c r="AD848" s="9" t="n">
        <x:f>J848*G848</x:f>
        <x:v>0</x:v>
      </x:c>
      <x:c r="AE848" s="9" t="n">
        <x:f>K848*G848</x:f>
        <x:v>481.83779999999996</x:v>
      </x:c>
      <x:c r="AF848" s="9" t="n">
        <x:f>R848*G848</x:f>
        <x:v>481.83779999999996</x:v>
      </x:c>
    </x:row>
    <x:row r="849" ht="21" customHeight="1">
      <x:c r="A849" s="1" t="str">
        <x:f>'Inventory inputs'!A849</x:f>
        <x:v>PLAS</x:v>
      </x:c>
      <x:c r="B849" s="1" t="str">
        <x:f>'Inventory inputs'!B849</x:f>
        <x:v>60</x:v>
      </x:c>
      <x:c r="C849" s="1" t="str">
        <x:f>'Inventory inputs'!C849</x:f>
        <x:v>11880RWBWHT</x:v>
      </x:c>
      <x:c r="D849" s="7" t="n">
        <x:f>'Inventory inputs'!E849</x:f>
        <x:v>46303</x:v>
      </x:c>
      <x:c r="E849" s="1" t="n">
        <x:f>'Inventory inputs'!F849</x:f>
        <x:v>733</x:v>
      </x:c>
      <x:c r="F849" s="1" t="n">
        <x:f>'Inventory inputs'!G849</x:f>
        <x:v>0</x:v>
      </x:c>
      <x:c r="G849" s="1" t="n">
        <x:f>'Inventory inputs'!H849/'Inventory inputs'!J849</x:f>
        <x:v>0.4947</x:v>
      </x:c>
      <x:c r="H849" s="1" t="n">
        <x:f>IF('Inventory inputs'!I849&gt;0,'Inventory inputs'!I849*'Inventory inputs'!K849/'Inventory inputs'!J849,"n.a.")</x:f>
        <x:v>0.5787389999999999</x:v>
      </x:c>
      <x:c r="I849" s="1" t="n">
        <x:f>'Inventory inputs'!L849</x:f>
        <x:v>0</x:v>
      </x:c>
      <x:c r="J849" s="1" t="n">
        <x:f>'Inventory inputs'!M849</x:f>
        <x:v>0</x:v>
      </x:c>
      <x:c r="K849" s="1" t="n">
        <x:f>'Inventory inputs'!N849</x:f>
        <x:v>733</x:v>
      </x:c>
      <x:c r="L849" s="1" t="n">
        <x:f>'Inventory inputs'!O849</x:f>
        <x:v>0</x:v>
      </x:c>
      <x:c r="M849" s="9" t="n">
        <x:f>E849*G849</x:f>
        <x:v>362.6151</x:v>
      </x:c>
      <x:c r="N849" s="9" t="n">
        <x:f>'Inventory inputs'!Q849</x:f>
        <x:v>362.61510000000004</x:v>
      </x:c>
      <x:c r="O849" s="9" t="n">
        <x:f>N849-M849</x:f>
        <x:v>5.684341886080802e-14</x:v>
      </x:c>
      <x:c r="P849" s="1" t="n">
        <x:f>SUMIFS('Incoming POs'!$P$2:$P$305,'Incoming POs'!$A$2:$A$305,A849,'Incoming POs'!$B$2:$B$305,B849,'Incoming POs'!$C$2:$C$305,C849,'Incoming POs'!$G$2:$G$305,"&gt;="&amp;D849,'Incoming POs'!$G$2:$G$305,"&lt;"&amp;Dashboard!$I$5)</x:f>
        <x:v>0</x:v>
      </x:c>
      <x:c r="Q849" s="1" t="n">
        <x:f>F849*Dashboard!$L$5*MAX(0,Dashboard!$I$5-D849)/30.4375</x:f>
        <x:v>0</x:v>
      </x:c>
      <x:c r="R849" s="1" t="n">
        <x:f>MAX(0,E849+P849-Q849)</x:f>
        <x:v>733</x:v>
      </x:c>
      <x:c r="S849" s="1" t="n">
        <x:f>MAX(0,Q849-E849-P849)</x:f>
        <x:v>0</x:v>
      </x:c>
      <x:c r="T849" s="1" t="str">
        <x:f>IF(L849=1,MAX(0,I849+AB849-MIN(Q849,E849+P849)),"n.a.")</x:f>
        <x:v>n.a.</x:v>
      </x:c>
      <x:c r="U849" s="9" t="str">
        <x:f>IF(ISNUMBER(T849),T849*G849,"n.a.")</x:f>
        <x:v>n.a.</x:v>
      </x:c>
      <x:c r="V849" s="25" t="n">
        <x:f>IF(Dashboard!$I$6="Flat %",1,IF(ISNUMBER(H849),1,0))</x:f>
        <x:v>1</x:v>
      </x:c>
      <x:c r="W849" s="9" t="n">
        <x:f>IF(Dashboard!$I$6="Flat %",G849*(1+Dashboard!$L$6),H849)</x:f>
        <x:v>0.5787389999999999</x:v>
      </x:c>
      <x:c r="X849" s="9" t="n">
        <x:f>IF(V849=1,R849*(W849-G849),"n.a.")</x:f>
        <x:v>61.60058699999994</x:v>
      </x:c>
      <x:c r="Y849" s="9" t="n">
        <x:f>IF(V849=1,R849*W849,"n.a.")</x:f>
        <x:v>424.21568699999995</x:v>
      </x:c>
      <x:c r="Z849" s="1" t="str">
        <x:f>IF(ISNUMBER(T849),R849-T849,"n.a.")</x:f>
        <x:v>n.a.</x:v>
      </x:c>
      <x:c r="AA849" s="1" t="str">
        <x:f>'Inventory inputs'!R849</x:f>
        <x:v>Review receipt reconciliation or original PO baseline</x:v>
      </x:c>
      <x:c r="AB849" s="1" t="str">
        <x:f>IF(L849=1,SUMIFS('Incoming POs'!$P$2:$P$305,'Incoming POs'!$A$2:$A$305,A849,'Incoming POs'!$B$2:$B$305,B849,'Incoming POs'!$C$2:$C$305,C849,'Incoming POs'!$G$2:$G$305,"&gt;="&amp;D849,'Incoming POs'!$G$2:$G$305,"&lt;"&amp;Dashboard!$I$5,'Incoming POs'!$Q$2:$Q$305,"&lt;="&amp;('Inventory inputs'!P849/'Inventory inputs'!J849*1.01)),"n.a.")</x:f>
        <x:v>n.a.</x:v>
      </x:c>
      <x:c r="AC849" s="9" t="n">
        <x:f>I849*G849</x:f>
        <x:v>0</x:v>
      </x:c>
      <x:c r="AD849" s="9" t="n">
        <x:f>J849*G849</x:f>
        <x:v>0</x:v>
      </x:c>
      <x:c r="AE849" s="9" t="n">
        <x:f>K849*G849</x:f>
        <x:v>362.6151</x:v>
      </x:c>
      <x:c r="AF849" s="9" t="n">
        <x:f>R849*G849</x:f>
        <x:v>362.6151</x:v>
      </x:c>
    </x:row>
    <x:row r="850" ht="21" customHeight="1">
      <x:c r="A850" s="1" t="str">
        <x:f>'Inventory inputs'!A850</x:f>
        <x:v>PLAS</x:v>
      </x:c>
      <x:c r="B850" s="1" t="str">
        <x:f>'Inventory inputs'!B850</x:f>
        <x:v>60</x:v>
      </x:c>
      <x:c r="C850" s="1" t="str">
        <x:f>'Inventory inputs'!C850</x:f>
        <x:v>13415RSLBLK</x:v>
      </x:c>
      <x:c r="D850" s="7" t="n">
        <x:f>'Inventory inputs'!E850</x:f>
        <x:v>46303</x:v>
      </x:c>
      <x:c r="E850" s="1" t="n">
        <x:f>'Inventory inputs'!F850</x:f>
        <x:v>600</x:v>
      </x:c>
      <x:c r="F850" s="1" t="n">
        <x:f>'Inventory inputs'!G850</x:f>
        <x:v>0</x:v>
      </x:c>
      <x:c r="G850" s="1" t="n">
        <x:f>'Inventory inputs'!H850/'Inventory inputs'!J850</x:f>
        <x:v>0.1005</x:v>
      </x:c>
      <x:c r="H850" s="1" t="n">
        <x:f>IF('Inventory inputs'!I850&gt;0,'Inventory inputs'!I850*'Inventory inputs'!K850/'Inventory inputs'!J850,"n.a.")</x:f>
        <x:v>0.1176</x:v>
      </x:c>
      <x:c r="I850" s="1" t="n">
        <x:f>'Inventory inputs'!L850</x:f>
        <x:v>0</x:v>
      </x:c>
      <x:c r="J850" s="1" t="n">
        <x:f>'Inventory inputs'!M850</x:f>
        <x:v>0</x:v>
      </x:c>
      <x:c r="K850" s="1" t="n">
        <x:f>'Inventory inputs'!N850</x:f>
        <x:v>600</x:v>
      </x:c>
      <x:c r="L850" s="1" t="n">
        <x:f>'Inventory inputs'!O850</x:f>
        <x:v>0</x:v>
      </x:c>
      <x:c r="M850" s="9" t="n">
        <x:f>E850*G850</x:f>
        <x:v>60.300000000000004</x:v>
      </x:c>
      <x:c r="N850" s="9" t="n">
        <x:f>'Inventory inputs'!Q850</x:f>
        <x:v>60.300000000000004</x:v>
      </x:c>
      <x:c r="O850" s="9" t="n">
        <x:f>N850-M850</x:f>
        <x:v>0</x:v>
      </x:c>
      <x:c r="P850" s="1" t="n">
        <x:f>SUMIFS('Incoming POs'!$P$2:$P$305,'Incoming POs'!$A$2:$A$305,A850,'Incoming POs'!$B$2:$B$305,B850,'Incoming POs'!$C$2:$C$305,C850,'Incoming POs'!$G$2:$G$305,"&gt;="&amp;D850,'Incoming POs'!$G$2:$G$305,"&lt;"&amp;Dashboard!$I$5)</x:f>
        <x:v>0</x:v>
      </x:c>
      <x:c r="Q850" s="1" t="n">
        <x:f>F850*Dashboard!$L$5*MAX(0,Dashboard!$I$5-D850)/30.4375</x:f>
        <x:v>0</x:v>
      </x:c>
      <x:c r="R850" s="1" t="n">
        <x:f>MAX(0,E850+P850-Q850)</x:f>
        <x:v>600</x:v>
      </x:c>
      <x:c r="S850" s="1" t="n">
        <x:f>MAX(0,Q850-E850-P850)</x:f>
        <x:v>0</x:v>
      </x:c>
      <x:c r="T850" s="1" t="str">
        <x:f>IF(L850=1,MAX(0,I850+AB850-MIN(Q850,E850+P850)),"n.a.")</x:f>
        <x:v>n.a.</x:v>
      </x:c>
      <x:c r="U850" s="9" t="str">
        <x:f>IF(ISNUMBER(T850),T850*G850,"n.a.")</x:f>
        <x:v>n.a.</x:v>
      </x:c>
      <x:c r="V850" s="25" t="n">
        <x:f>IF(Dashboard!$I$6="Flat %",1,IF(ISNUMBER(H850),1,0))</x:f>
        <x:v>1</x:v>
      </x:c>
      <x:c r="W850" s="9" t="n">
        <x:f>IF(Dashboard!$I$6="Flat %",G850*(1+Dashboard!$L$6),H850)</x:f>
        <x:v>0.1176</x:v>
      </x:c>
      <x:c r="X850" s="9" t="n">
        <x:f>IF(V850=1,R850*(W850-G850),"n.a.")</x:f>
        <x:v>10.259999999999994</x:v>
      </x:c>
      <x:c r="Y850" s="9" t="n">
        <x:f>IF(V850=1,R850*W850,"n.a.")</x:f>
        <x:v>70.56</x:v>
      </x:c>
      <x:c r="Z850" s="1" t="str">
        <x:f>IF(ISNUMBER(T850),R850-T850,"n.a.")</x:f>
        <x:v>n.a.</x:v>
      </x:c>
      <x:c r="AA850" s="1" t="str">
        <x:f>'Inventory inputs'!R850</x:f>
        <x:v>Review receipt reconciliation or original PO baseline</x:v>
      </x:c>
      <x:c r="AB850" s="1" t="str">
        <x:f>IF(L850=1,SUMIFS('Incoming POs'!$P$2:$P$305,'Incoming POs'!$A$2:$A$305,A850,'Incoming POs'!$B$2:$B$305,B850,'Incoming POs'!$C$2:$C$305,C850,'Incoming POs'!$G$2:$G$305,"&gt;="&amp;D850,'Incoming POs'!$G$2:$G$305,"&lt;"&amp;Dashboard!$I$5,'Incoming POs'!$Q$2:$Q$305,"&lt;="&amp;('Inventory inputs'!P850/'Inventory inputs'!J850*1.01)),"n.a.")</x:f>
        <x:v>n.a.</x:v>
      </x:c>
      <x:c r="AC850" s="9" t="n">
        <x:f>I850*G850</x:f>
        <x:v>0</x:v>
      </x:c>
      <x:c r="AD850" s="9" t="n">
        <x:f>J850*G850</x:f>
        <x:v>0</x:v>
      </x:c>
      <x:c r="AE850" s="9" t="n">
        <x:f>K850*G850</x:f>
        <x:v>60.300000000000004</x:v>
      </x:c>
      <x:c r="AF850" s="9" t="n">
        <x:f>R850*G850</x:f>
        <x:v>60.300000000000004</x:v>
      </x:c>
    </x:row>
    <x:row r="851" ht="21" customHeight="1">
      <x:c r="A851" s="1" t="str">
        <x:f>'Inventory inputs'!A851</x:f>
        <x:v>PLAS</x:v>
      </x:c>
      <x:c r="B851" s="1" t="str">
        <x:f>'Inventory inputs'!B851</x:f>
        <x:v>60</x:v>
      </x:c>
      <x:c r="C851" s="1" t="str">
        <x:f>'Inventory inputs'!C851</x:f>
        <x:v>13415RSLWHT</x:v>
      </x:c>
      <x:c r="D851" s="7" t="n">
        <x:f>'Inventory inputs'!E851</x:f>
        <x:v>46303</x:v>
      </x:c>
      <x:c r="E851" s="1" t="n">
        <x:f>'Inventory inputs'!F851</x:f>
        <x:v>500</x:v>
      </x:c>
      <x:c r="F851" s="1" t="n">
        <x:f>'Inventory inputs'!G851</x:f>
        <x:v>0</x:v>
      </x:c>
      <x:c r="G851" s="1" t="n">
        <x:f>'Inventory inputs'!H851/'Inventory inputs'!J851</x:f>
        <x:v>0.1005</x:v>
      </x:c>
      <x:c r="H851" s="1" t="n">
        <x:f>IF('Inventory inputs'!I851&gt;0,'Inventory inputs'!I851*'Inventory inputs'!K851/'Inventory inputs'!J851,"n.a.")</x:f>
        <x:v>0.1176</x:v>
      </x:c>
      <x:c r="I851" s="1" t="n">
        <x:f>'Inventory inputs'!L851</x:f>
        <x:v>0</x:v>
      </x:c>
      <x:c r="J851" s="1" t="n">
        <x:f>'Inventory inputs'!M851</x:f>
        <x:v>0</x:v>
      </x:c>
      <x:c r="K851" s="1" t="n">
        <x:f>'Inventory inputs'!N851</x:f>
        <x:v>500</x:v>
      </x:c>
      <x:c r="L851" s="1" t="n">
        <x:f>'Inventory inputs'!O851</x:f>
        <x:v>0</x:v>
      </x:c>
      <x:c r="M851" s="9" t="n">
        <x:f>E851*G851</x:f>
        <x:v>50.25</x:v>
      </x:c>
      <x:c r="N851" s="9" t="n">
        <x:f>'Inventory inputs'!Q851</x:f>
        <x:v>50.25</x:v>
      </x:c>
      <x:c r="O851" s="9" t="n">
        <x:f>N851-M851</x:f>
        <x:v>0</x:v>
      </x:c>
      <x:c r="P851" s="1" t="n">
        <x:f>SUMIFS('Incoming POs'!$P$2:$P$305,'Incoming POs'!$A$2:$A$305,A851,'Incoming POs'!$B$2:$B$305,B851,'Incoming POs'!$C$2:$C$305,C851,'Incoming POs'!$G$2:$G$305,"&gt;="&amp;D851,'Incoming POs'!$G$2:$G$305,"&lt;"&amp;Dashboard!$I$5)</x:f>
        <x:v>0</x:v>
      </x:c>
      <x:c r="Q851" s="1" t="n">
        <x:f>F851*Dashboard!$L$5*MAX(0,Dashboard!$I$5-D851)/30.4375</x:f>
        <x:v>0</x:v>
      </x:c>
      <x:c r="R851" s="1" t="n">
        <x:f>MAX(0,E851+P851-Q851)</x:f>
        <x:v>500</x:v>
      </x:c>
      <x:c r="S851" s="1" t="n">
        <x:f>MAX(0,Q851-E851-P851)</x:f>
        <x:v>0</x:v>
      </x:c>
      <x:c r="T851" s="1" t="str">
        <x:f>IF(L851=1,MAX(0,I851+AB851-MIN(Q851,E851+P851)),"n.a.")</x:f>
        <x:v>n.a.</x:v>
      </x:c>
      <x:c r="U851" s="9" t="str">
        <x:f>IF(ISNUMBER(T851),T851*G851,"n.a.")</x:f>
        <x:v>n.a.</x:v>
      </x:c>
      <x:c r="V851" s="25" t="n">
        <x:f>IF(Dashboard!$I$6="Flat %",1,IF(ISNUMBER(H851),1,0))</x:f>
        <x:v>1</x:v>
      </x:c>
      <x:c r="W851" s="9" t="n">
        <x:f>IF(Dashboard!$I$6="Flat %",G851*(1+Dashboard!$L$6),H851)</x:f>
        <x:v>0.1176</x:v>
      </x:c>
      <x:c r="X851" s="9" t="n">
        <x:f>IF(V851=1,R851*(W851-G851),"n.a.")</x:f>
        <x:v>8.549999999999995</x:v>
      </x:c>
      <x:c r="Y851" s="9" t="n">
        <x:f>IF(V851=1,R851*W851,"n.a.")</x:f>
        <x:v>58.8</x:v>
      </x:c>
      <x:c r="Z851" s="1" t="str">
        <x:f>IF(ISNUMBER(T851),R851-T851,"n.a.")</x:f>
        <x:v>n.a.</x:v>
      </x:c>
      <x:c r="AA851" s="1" t="str">
        <x:f>'Inventory inputs'!R851</x:f>
        <x:v>Review receipt reconciliation or original PO baseline</x:v>
      </x:c>
      <x:c r="AB851" s="1" t="str">
        <x:f>IF(L851=1,SUMIFS('Incoming POs'!$P$2:$P$305,'Incoming POs'!$A$2:$A$305,A851,'Incoming POs'!$B$2:$B$305,B851,'Incoming POs'!$C$2:$C$305,C851,'Incoming POs'!$G$2:$G$305,"&gt;="&amp;D851,'Incoming POs'!$G$2:$G$305,"&lt;"&amp;Dashboard!$I$5,'Incoming POs'!$Q$2:$Q$305,"&lt;="&amp;('Inventory inputs'!P851/'Inventory inputs'!J851*1.01)),"n.a.")</x:f>
        <x:v>n.a.</x:v>
      </x:c>
      <x:c r="AC851" s="9" t="n">
        <x:f>I851*G851</x:f>
        <x:v>0</x:v>
      </x:c>
      <x:c r="AD851" s="9" t="n">
        <x:f>J851*G851</x:f>
        <x:v>0</x:v>
      </x:c>
      <x:c r="AE851" s="9" t="n">
        <x:f>K851*G851</x:f>
        <x:v>50.25</x:v>
      </x:c>
      <x:c r="AF851" s="9" t="n">
        <x:f>R851*G851</x:f>
        <x:v>50.25</x:v>
      </x:c>
    </x:row>
    <x:row r="852" ht="21" customHeight="1">
      <x:c r="A852" s="1" t="str">
        <x:f>'Inventory inputs'!A852</x:f>
        <x:v>PLAS</x:v>
      </x:c>
      <x:c r="B852" s="1" t="str">
        <x:f>'Inventory inputs'!B852</x:f>
        <x:v>60</x:v>
      </x:c>
      <x:c r="C852" s="1" t="str">
        <x:f>'Inventory inputs'!C852</x:f>
        <x:v>13419RSLCLR</x:v>
      </x:c>
      <x:c r="D852" s="7" t="n">
        <x:f>'Inventory inputs'!E852</x:f>
        <x:v>46303</x:v>
      </x:c>
      <x:c r="E852" s="1" t="n">
        <x:f>'Inventory inputs'!F852</x:f>
        <x:v>1000</x:v>
      </x:c>
      <x:c r="F852" s="1" t="n">
        <x:f>'Inventory inputs'!G852</x:f>
        <x:v>0</x:v>
      </x:c>
      <x:c r="G852" s="1" t="n">
        <x:f>'Inventory inputs'!H852/'Inventory inputs'!J852</x:f>
        <x:v>0.1457</x:v>
      </x:c>
      <x:c r="H852" s="1" t="n">
        <x:f>IF('Inventory inputs'!I852&gt;0,'Inventory inputs'!I852*'Inventory inputs'!K852/'Inventory inputs'!J852,"n.a.")</x:f>
        <x:v>0.170373</x:v>
      </x:c>
      <x:c r="I852" s="1" t="n">
        <x:f>'Inventory inputs'!L852</x:f>
        <x:v>0</x:v>
      </x:c>
      <x:c r="J852" s="1" t="n">
        <x:f>'Inventory inputs'!M852</x:f>
        <x:v>0</x:v>
      </x:c>
      <x:c r="K852" s="1" t="n">
        <x:f>'Inventory inputs'!N852</x:f>
        <x:v>1000</x:v>
      </x:c>
      <x:c r="L852" s="1" t="n">
        <x:f>'Inventory inputs'!O852</x:f>
        <x:v>0</x:v>
      </x:c>
      <x:c r="M852" s="9" t="n">
        <x:f>E852*G852</x:f>
        <x:v>145.7</x:v>
      </x:c>
      <x:c r="N852" s="9" t="n">
        <x:f>'Inventory inputs'!Q852</x:f>
        <x:v>145.70000000000002</x:v>
      </x:c>
      <x:c r="O852" s="9" t="n">
        <x:f>N852-M852</x:f>
        <x:v>2.842170943040401e-14</x:v>
      </x:c>
      <x:c r="P852" s="1" t="n">
        <x:f>SUMIFS('Incoming POs'!$P$2:$P$305,'Incoming POs'!$A$2:$A$305,A852,'Incoming POs'!$B$2:$B$305,B852,'Incoming POs'!$C$2:$C$305,C852,'Incoming POs'!$G$2:$G$305,"&gt;="&amp;D852,'Incoming POs'!$G$2:$G$305,"&lt;"&amp;Dashboard!$I$5)</x:f>
        <x:v>0</x:v>
      </x:c>
      <x:c r="Q852" s="1" t="n">
        <x:f>F852*Dashboard!$L$5*MAX(0,Dashboard!$I$5-D852)/30.4375</x:f>
        <x:v>0</x:v>
      </x:c>
      <x:c r="R852" s="1" t="n">
        <x:f>MAX(0,E852+P852-Q852)</x:f>
        <x:v>1000</x:v>
      </x:c>
      <x:c r="S852" s="1" t="n">
        <x:f>MAX(0,Q852-E852-P852)</x:f>
        <x:v>0</x:v>
      </x:c>
      <x:c r="T852" s="1" t="str">
        <x:f>IF(L852=1,MAX(0,I852+AB852-MIN(Q852,E852+P852)),"n.a.")</x:f>
        <x:v>n.a.</x:v>
      </x:c>
      <x:c r="U852" s="9" t="str">
        <x:f>IF(ISNUMBER(T852),T852*G852,"n.a.")</x:f>
        <x:v>n.a.</x:v>
      </x:c>
      <x:c r="V852" s="25" t="n">
        <x:f>IF(Dashboard!$I$6="Flat %",1,IF(ISNUMBER(H852),1,0))</x:f>
        <x:v>1</x:v>
      </x:c>
      <x:c r="W852" s="9" t="n">
        <x:f>IF(Dashboard!$I$6="Flat %",G852*(1+Dashboard!$L$6),H852)</x:f>
        <x:v>0.170373</x:v>
      </x:c>
      <x:c r="X852" s="9" t="n">
        <x:f>IF(V852=1,R852*(W852-G852),"n.a.")</x:f>
        <x:v>24.673000000000002</x:v>
      </x:c>
      <x:c r="Y852" s="9" t="n">
        <x:f>IF(V852=1,R852*W852,"n.a.")</x:f>
        <x:v>170.373</x:v>
      </x:c>
      <x:c r="Z852" s="1" t="str">
        <x:f>IF(ISNUMBER(T852),R852-T852,"n.a.")</x:f>
        <x:v>n.a.</x:v>
      </x:c>
      <x:c r="AA852" s="1" t="str">
        <x:f>'Inventory inputs'!R852</x:f>
        <x:v>Review receipt reconciliation or original PO baseline</x:v>
      </x:c>
      <x:c r="AB852" s="1" t="str">
        <x:f>IF(L852=1,SUMIFS('Incoming POs'!$P$2:$P$305,'Incoming POs'!$A$2:$A$305,A852,'Incoming POs'!$B$2:$B$305,B852,'Incoming POs'!$C$2:$C$305,C852,'Incoming POs'!$G$2:$G$305,"&gt;="&amp;D852,'Incoming POs'!$G$2:$G$305,"&lt;"&amp;Dashboard!$I$5,'Incoming POs'!$Q$2:$Q$305,"&lt;="&amp;('Inventory inputs'!P852/'Inventory inputs'!J852*1.01)),"n.a.")</x:f>
        <x:v>n.a.</x:v>
      </x:c>
      <x:c r="AC852" s="9" t="n">
        <x:f>I852*G852</x:f>
        <x:v>0</x:v>
      </x:c>
      <x:c r="AD852" s="9" t="n">
        <x:f>J852*G852</x:f>
        <x:v>0</x:v>
      </x:c>
      <x:c r="AE852" s="9" t="n">
        <x:f>K852*G852</x:f>
        <x:v>145.7</x:v>
      </x:c>
      <x:c r="AF852" s="9" t="n">
        <x:f>R852*G852</x:f>
        <x:v>145.7</x:v>
      </x:c>
    </x:row>
    <x:row r="853" ht="21" customHeight="1">
      <x:c r="A853" s="1" t="str">
        <x:f>'Inventory inputs'!A853</x:f>
        <x:v>PLAS</x:v>
      </x:c>
      <x:c r="B853" s="1" t="str">
        <x:f>'Inventory inputs'!B853</x:f>
        <x:v>60</x:v>
      </x:c>
      <x:c r="C853" s="1" t="str">
        <x:f>'Inventory inputs'!C853</x:f>
        <x:v>13419RSLFG</x:v>
      </x:c>
      <x:c r="D853" s="7" t="n">
        <x:f>'Inventory inputs'!E853</x:f>
        <x:v>46303</x:v>
      </x:c>
      <x:c r="E853" s="1" t="n">
        <x:f>'Inventory inputs'!F853</x:f>
        <x:v>650</x:v>
      </x:c>
      <x:c r="F853" s="1" t="n">
        <x:f>'Inventory inputs'!G853</x:f>
        <x:v>0</x:v>
      </x:c>
      <x:c r="G853" s="1" t="n">
        <x:f>'Inventory inputs'!H853/'Inventory inputs'!J853</x:f>
        <x:v>0.1457</x:v>
      </x:c>
      <x:c r="H853" s="1" t="n">
        <x:f>IF('Inventory inputs'!I853&gt;0,'Inventory inputs'!I853*'Inventory inputs'!K853/'Inventory inputs'!J853,"n.a.")</x:f>
        <x:v>0.170373</x:v>
      </x:c>
      <x:c r="I853" s="1" t="n">
        <x:f>'Inventory inputs'!L853</x:f>
        <x:v>0</x:v>
      </x:c>
      <x:c r="J853" s="1" t="n">
        <x:f>'Inventory inputs'!M853</x:f>
        <x:v>0</x:v>
      </x:c>
      <x:c r="K853" s="1" t="n">
        <x:f>'Inventory inputs'!N853</x:f>
        <x:v>650</x:v>
      </x:c>
      <x:c r="L853" s="1" t="n">
        <x:f>'Inventory inputs'!O853</x:f>
        <x:v>0</x:v>
      </x:c>
      <x:c r="M853" s="9" t="n">
        <x:f>E853*G853</x:f>
        <x:v>94.705</x:v>
      </x:c>
      <x:c r="N853" s="9" t="n">
        <x:f>'Inventory inputs'!Q853</x:f>
        <x:v>94.705</x:v>
      </x:c>
      <x:c r="O853" s="9" t="n">
        <x:f>N853-M853</x:f>
        <x:v>0</x:v>
      </x:c>
      <x:c r="P853" s="1" t="n">
        <x:f>SUMIFS('Incoming POs'!$P$2:$P$305,'Incoming POs'!$A$2:$A$305,A853,'Incoming POs'!$B$2:$B$305,B853,'Incoming POs'!$C$2:$C$305,C853,'Incoming POs'!$G$2:$G$305,"&gt;="&amp;D853,'Incoming POs'!$G$2:$G$305,"&lt;"&amp;Dashboard!$I$5)</x:f>
        <x:v>0</x:v>
      </x:c>
      <x:c r="Q853" s="1" t="n">
        <x:f>F853*Dashboard!$L$5*MAX(0,Dashboard!$I$5-D853)/30.4375</x:f>
        <x:v>0</x:v>
      </x:c>
      <x:c r="R853" s="1" t="n">
        <x:f>MAX(0,E853+P853-Q853)</x:f>
        <x:v>650</x:v>
      </x:c>
      <x:c r="S853" s="1" t="n">
        <x:f>MAX(0,Q853-E853-P853)</x:f>
        <x:v>0</x:v>
      </x:c>
      <x:c r="T853" s="1" t="str">
        <x:f>IF(L853=1,MAX(0,I853+AB853-MIN(Q853,E853+P853)),"n.a.")</x:f>
        <x:v>n.a.</x:v>
      </x:c>
      <x:c r="U853" s="9" t="str">
        <x:f>IF(ISNUMBER(T853),T853*G853,"n.a.")</x:f>
        <x:v>n.a.</x:v>
      </x:c>
      <x:c r="V853" s="25" t="n">
        <x:f>IF(Dashboard!$I$6="Flat %",1,IF(ISNUMBER(H853),1,0))</x:f>
        <x:v>1</x:v>
      </x:c>
      <x:c r="W853" s="9" t="n">
        <x:f>IF(Dashboard!$I$6="Flat %",G853*(1+Dashboard!$L$6),H853)</x:f>
        <x:v>0.170373</x:v>
      </x:c>
      <x:c r="X853" s="9" t="n">
        <x:f>IF(V853=1,R853*(W853-G853),"n.a.")</x:f>
        <x:v>16.03745</x:v>
      </x:c>
      <x:c r="Y853" s="9" t="n">
        <x:f>IF(V853=1,R853*W853,"n.a.")</x:f>
        <x:v>110.74244999999999</x:v>
      </x:c>
      <x:c r="Z853" s="1" t="str">
        <x:f>IF(ISNUMBER(T853),R853-T853,"n.a.")</x:f>
        <x:v>n.a.</x:v>
      </x:c>
      <x:c r="AA853" s="1" t="str">
        <x:f>'Inventory inputs'!R853</x:f>
        <x:v>Review receipt reconciliation or original PO baseline</x:v>
      </x:c>
      <x:c r="AB853" s="1" t="str">
        <x:f>IF(L853=1,SUMIFS('Incoming POs'!$P$2:$P$305,'Incoming POs'!$A$2:$A$305,A853,'Incoming POs'!$B$2:$B$305,B853,'Incoming POs'!$C$2:$C$305,C853,'Incoming POs'!$G$2:$G$305,"&gt;="&amp;D853,'Incoming POs'!$G$2:$G$305,"&lt;"&amp;Dashboard!$I$5,'Incoming POs'!$Q$2:$Q$305,"&lt;="&amp;('Inventory inputs'!P853/'Inventory inputs'!J853*1.01)),"n.a.")</x:f>
        <x:v>n.a.</x:v>
      </x:c>
      <x:c r="AC853" s="9" t="n">
        <x:f>I853*G853</x:f>
        <x:v>0</x:v>
      </x:c>
      <x:c r="AD853" s="9" t="n">
        <x:f>J853*G853</x:f>
        <x:v>0</x:v>
      </x:c>
      <x:c r="AE853" s="9" t="n">
        <x:f>K853*G853</x:f>
        <x:v>94.705</x:v>
      </x:c>
      <x:c r="AF853" s="9" t="n">
        <x:f>R853*G853</x:f>
        <x:v>94.705</x:v>
      </x:c>
    </x:row>
    <x:row r="854" ht="21" customHeight="1">
      <x:c r="A854" s="1" t="str">
        <x:f>'Inventory inputs'!A854</x:f>
        <x:v>PLAS</x:v>
      </x:c>
      <x:c r="B854" s="1" t="str">
        <x:f>'Inventory inputs'!B854</x:f>
        <x:v>60</x:v>
      </x:c>
      <x:c r="C854" s="1" t="str">
        <x:f>'Inventory inputs'!C854</x:f>
        <x:v>13419RSLMAR</x:v>
      </x:c>
      <x:c r="D854" s="7" t="n">
        <x:f>'Inventory inputs'!E854</x:f>
        <x:v>46303</x:v>
      </x:c>
      <x:c r="E854" s="1" t="n">
        <x:f>'Inventory inputs'!F854</x:f>
        <x:v>550</x:v>
      </x:c>
      <x:c r="F854" s="1" t="n">
        <x:f>'Inventory inputs'!G854</x:f>
        <x:v>0</x:v>
      </x:c>
      <x:c r="G854" s="1" t="n">
        <x:f>'Inventory inputs'!H854/'Inventory inputs'!J854</x:f>
        <x:v>0.1457</x:v>
      </x:c>
      <x:c r="H854" s="1" t="n">
        <x:f>IF('Inventory inputs'!I854&gt;0,'Inventory inputs'!I854*'Inventory inputs'!K854/'Inventory inputs'!J854,"n.a.")</x:f>
        <x:v>0.170373</x:v>
      </x:c>
      <x:c r="I854" s="1" t="n">
        <x:f>'Inventory inputs'!L854</x:f>
        <x:v>0</x:v>
      </x:c>
      <x:c r="J854" s="1" t="n">
        <x:f>'Inventory inputs'!M854</x:f>
        <x:v>0</x:v>
      </x:c>
      <x:c r="K854" s="1" t="n">
        <x:f>'Inventory inputs'!N854</x:f>
        <x:v>550</x:v>
      </x:c>
      <x:c r="L854" s="1" t="n">
        <x:f>'Inventory inputs'!O854</x:f>
        <x:v>0</x:v>
      </x:c>
      <x:c r="M854" s="9" t="n">
        <x:f>E854*G854</x:f>
        <x:v>80.13499999999999</x:v>
      </x:c>
      <x:c r="N854" s="9" t="n">
        <x:f>'Inventory inputs'!Q854</x:f>
        <x:v>80.135</x:v>
      </x:c>
      <x:c r="O854" s="9" t="n">
        <x:f>N854-M854</x:f>
        <x:v>1.4210854715202004e-14</x:v>
      </x:c>
      <x:c r="P854" s="1" t="n">
        <x:f>SUMIFS('Incoming POs'!$P$2:$P$305,'Incoming POs'!$A$2:$A$305,A854,'Incoming POs'!$B$2:$B$305,B854,'Incoming POs'!$C$2:$C$305,C854,'Incoming POs'!$G$2:$G$305,"&gt;="&amp;D854,'Incoming POs'!$G$2:$G$305,"&lt;"&amp;Dashboard!$I$5)</x:f>
        <x:v>0</x:v>
      </x:c>
      <x:c r="Q854" s="1" t="n">
        <x:f>F854*Dashboard!$L$5*MAX(0,Dashboard!$I$5-D854)/30.4375</x:f>
        <x:v>0</x:v>
      </x:c>
      <x:c r="R854" s="1" t="n">
        <x:f>MAX(0,E854+P854-Q854)</x:f>
        <x:v>550</x:v>
      </x:c>
      <x:c r="S854" s="1" t="n">
        <x:f>MAX(0,Q854-E854-P854)</x:f>
        <x:v>0</x:v>
      </x:c>
      <x:c r="T854" s="1" t="str">
        <x:f>IF(L854=1,MAX(0,I854+AB854-MIN(Q854,E854+P854)),"n.a.")</x:f>
        <x:v>n.a.</x:v>
      </x:c>
      <x:c r="U854" s="9" t="str">
        <x:f>IF(ISNUMBER(T854),T854*G854,"n.a.")</x:f>
        <x:v>n.a.</x:v>
      </x:c>
      <x:c r="V854" s="25" t="n">
        <x:f>IF(Dashboard!$I$6="Flat %",1,IF(ISNUMBER(H854),1,0))</x:f>
        <x:v>1</x:v>
      </x:c>
      <x:c r="W854" s="9" t="n">
        <x:f>IF(Dashboard!$I$6="Flat %",G854*(1+Dashboard!$L$6),H854)</x:f>
        <x:v>0.170373</x:v>
      </x:c>
      <x:c r="X854" s="9" t="n">
        <x:f>IF(V854=1,R854*(W854-G854),"n.a.")</x:f>
        <x:v>13.57015</x:v>
      </x:c>
      <x:c r="Y854" s="9" t="n">
        <x:f>IF(V854=1,R854*W854,"n.a.")</x:f>
        <x:v>93.70515</x:v>
      </x:c>
      <x:c r="Z854" s="1" t="str">
        <x:f>IF(ISNUMBER(T854),R854-T854,"n.a.")</x:f>
        <x:v>n.a.</x:v>
      </x:c>
      <x:c r="AA854" s="1" t="str">
        <x:f>'Inventory inputs'!R854</x:f>
        <x:v>Review receipt reconciliation or original PO baseline</x:v>
      </x:c>
      <x:c r="AB854" s="1" t="str">
        <x:f>IF(L854=1,SUMIFS('Incoming POs'!$P$2:$P$305,'Incoming POs'!$A$2:$A$305,A854,'Incoming POs'!$B$2:$B$305,B854,'Incoming POs'!$C$2:$C$305,C854,'Incoming POs'!$G$2:$G$305,"&gt;="&amp;D854,'Incoming POs'!$G$2:$G$305,"&lt;"&amp;Dashboard!$I$5,'Incoming POs'!$Q$2:$Q$305,"&lt;="&amp;('Inventory inputs'!P854/'Inventory inputs'!J854*1.01)),"n.a.")</x:f>
        <x:v>n.a.</x:v>
      </x:c>
      <x:c r="AC854" s="9" t="n">
        <x:f>I854*G854</x:f>
        <x:v>0</x:v>
      </x:c>
      <x:c r="AD854" s="9" t="n">
        <x:f>J854*G854</x:f>
        <x:v>0</x:v>
      </x:c>
      <x:c r="AE854" s="9" t="n">
        <x:f>K854*G854</x:f>
        <x:v>80.13499999999999</x:v>
      </x:c>
      <x:c r="AF854" s="9" t="n">
        <x:f>R854*G854</x:f>
        <x:v>80.13499999999999</x:v>
      </x:c>
    </x:row>
    <x:row r="855" ht="21" customHeight="1">
      <x:c r="A855" s="1" t="str">
        <x:f>'Inventory inputs'!A855</x:f>
        <x:v>PLAS</x:v>
      </x:c>
      <x:c r="B855" s="1" t="str">
        <x:f>'Inventory inputs'!B855</x:f>
        <x:v>60</x:v>
      </x:c>
      <x:c r="C855" s="1" t="str">
        <x:f>'Inventory inputs'!C855</x:f>
        <x:v>13419RSLRED</x:v>
      </x:c>
      <x:c r="D855" s="7" t="n">
        <x:f>'Inventory inputs'!E855</x:f>
        <x:v>46303</x:v>
      </x:c>
      <x:c r="E855" s="1" t="n">
        <x:f>'Inventory inputs'!F855</x:f>
        <x:v>500</x:v>
      </x:c>
      <x:c r="F855" s="1" t="n">
        <x:f>'Inventory inputs'!G855</x:f>
        <x:v>0</x:v>
      </x:c>
      <x:c r="G855" s="1" t="n">
        <x:f>'Inventory inputs'!H855/'Inventory inputs'!J855</x:f>
        <x:v>0.1457</x:v>
      </x:c>
      <x:c r="H855" s="1" t="n">
        <x:f>IF('Inventory inputs'!I855&gt;0,'Inventory inputs'!I855*'Inventory inputs'!K855/'Inventory inputs'!J855,"n.a.")</x:f>
        <x:v>0.170373</x:v>
      </x:c>
      <x:c r="I855" s="1" t="n">
        <x:f>'Inventory inputs'!L855</x:f>
        <x:v>0</x:v>
      </x:c>
      <x:c r="J855" s="1" t="n">
        <x:f>'Inventory inputs'!M855</x:f>
        <x:v>0</x:v>
      </x:c>
      <x:c r="K855" s="1" t="n">
        <x:f>'Inventory inputs'!N855</x:f>
        <x:v>500</x:v>
      </x:c>
      <x:c r="L855" s="1" t="n">
        <x:f>'Inventory inputs'!O855</x:f>
        <x:v>0</x:v>
      </x:c>
      <x:c r="M855" s="9" t="n">
        <x:f>E855*G855</x:f>
        <x:v>72.85</x:v>
      </x:c>
      <x:c r="N855" s="9" t="n">
        <x:f>'Inventory inputs'!Q855</x:f>
        <x:v>72.85000000000001</x:v>
      </x:c>
      <x:c r="O855" s="9" t="n">
        <x:f>N855-M855</x:f>
        <x:v>1.4210854715202004e-14</x:v>
      </x:c>
      <x:c r="P855" s="1" t="n">
        <x:f>SUMIFS('Incoming POs'!$P$2:$P$305,'Incoming POs'!$A$2:$A$305,A855,'Incoming POs'!$B$2:$B$305,B855,'Incoming POs'!$C$2:$C$305,C855,'Incoming POs'!$G$2:$G$305,"&gt;="&amp;D855,'Incoming POs'!$G$2:$G$305,"&lt;"&amp;Dashboard!$I$5)</x:f>
        <x:v>0</x:v>
      </x:c>
      <x:c r="Q855" s="1" t="n">
        <x:f>F855*Dashboard!$L$5*MAX(0,Dashboard!$I$5-D855)/30.4375</x:f>
        <x:v>0</x:v>
      </x:c>
      <x:c r="R855" s="1" t="n">
        <x:f>MAX(0,E855+P855-Q855)</x:f>
        <x:v>500</x:v>
      </x:c>
      <x:c r="S855" s="1" t="n">
        <x:f>MAX(0,Q855-E855-P855)</x:f>
        <x:v>0</x:v>
      </x:c>
      <x:c r="T855" s="1" t="str">
        <x:f>IF(L855=1,MAX(0,I855+AB855-MIN(Q855,E855+P855)),"n.a.")</x:f>
        <x:v>n.a.</x:v>
      </x:c>
      <x:c r="U855" s="9" t="str">
        <x:f>IF(ISNUMBER(T855),T855*G855,"n.a.")</x:f>
        <x:v>n.a.</x:v>
      </x:c>
      <x:c r="V855" s="25" t="n">
        <x:f>IF(Dashboard!$I$6="Flat %",1,IF(ISNUMBER(H855),1,0))</x:f>
        <x:v>1</x:v>
      </x:c>
      <x:c r="W855" s="9" t="n">
        <x:f>IF(Dashboard!$I$6="Flat %",G855*(1+Dashboard!$L$6),H855)</x:f>
        <x:v>0.170373</x:v>
      </x:c>
      <x:c r="X855" s="9" t="n">
        <x:f>IF(V855=1,R855*(W855-G855),"n.a.")</x:f>
        <x:v>12.336500000000001</x:v>
      </x:c>
      <x:c r="Y855" s="9" t="n">
        <x:f>IF(V855=1,R855*W855,"n.a.")</x:f>
        <x:v>85.1865</x:v>
      </x:c>
      <x:c r="Z855" s="1" t="str">
        <x:f>IF(ISNUMBER(T855),R855-T855,"n.a.")</x:f>
        <x:v>n.a.</x:v>
      </x:c>
      <x:c r="AA855" s="1" t="str">
        <x:f>'Inventory inputs'!R855</x:f>
        <x:v>Review receipt reconciliation or original PO baseline</x:v>
      </x:c>
      <x:c r="AB855" s="1" t="str">
        <x:f>IF(L855=1,SUMIFS('Incoming POs'!$P$2:$P$305,'Incoming POs'!$A$2:$A$305,A855,'Incoming POs'!$B$2:$B$305,B855,'Incoming POs'!$C$2:$C$305,C855,'Incoming POs'!$G$2:$G$305,"&gt;="&amp;D855,'Incoming POs'!$G$2:$G$305,"&lt;"&amp;Dashboard!$I$5,'Incoming POs'!$Q$2:$Q$305,"&lt;="&amp;('Inventory inputs'!P855/'Inventory inputs'!J855*1.01)),"n.a.")</x:f>
        <x:v>n.a.</x:v>
      </x:c>
      <x:c r="AC855" s="9" t="n">
        <x:f>I855*G855</x:f>
        <x:v>0</x:v>
      </x:c>
      <x:c r="AD855" s="9" t="n">
        <x:f>J855*G855</x:f>
        <x:v>0</x:v>
      </x:c>
      <x:c r="AE855" s="9" t="n">
        <x:f>K855*G855</x:f>
        <x:v>72.85</x:v>
      </x:c>
      <x:c r="AF855" s="9" t="n">
        <x:f>R855*G855</x:f>
        <x:v>72.85</x:v>
      </x:c>
    </x:row>
    <x:row r="856" ht="21" customHeight="1">
      <x:c r="A856" s="1" t="str">
        <x:f>'Inventory inputs'!A856</x:f>
        <x:v>PLAS</x:v>
      </x:c>
      <x:c r="B856" s="1" t="str">
        <x:f>'Inventory inputs'!B856</x:f>
        <x:v>60</x:v>
      </x:c>
      <x:c r="C856" s="1" t="str">
        <x:f>'Inventory inputs'!C856</x:f>
        <x:v>51615RWBBLK</x:v>
      </x:c>
      <x:c r="D856" s="7" t="n">
        <x:f>'Inventory inputs'!E856</x:f>
        <x:v>46303</x:v>
      </x:c>
      <x:c r="E856" s="1" t="n">
        <x:f>'Inventory inputs'!F856</x:f>
        <x:v>4337</x:v>
      </x:c>
      <x:c r="F856" s="1" t="n">
        <x:f>'Inventory inputs'!G856</x:f>
        <x:v>0</x:v>
      </x:c>
      <x:c r="G856" s="1" t="n">
        <x:f>'Inventory inputs'!H856/'Inventory inputs'!J856</x:f>
        <x:v>0.0131</x:v>
      </x:c>
      <x:c r="H856" s="1" t="n">
        <x:f>IF('Inventory inputs'!I856&gt;0,'Inventory inputs'!I856*'Inventory inputs'!K856/'Inventory inputs'!J856,"n.a.")</x:f>
        <x:v>0.015288</x:v>
      </x:c>
      <x:c r="I856" s="1" t="n">
        <x:f>'Inventory inputs'!L856</x:f>
        <x:v>0</x:v>
      </x:c>
      <x:c r="J856" s="1" t="n">
        <x:f>'Inventory inputs'!M856</x:f>
        <x:v>0</x:v>
      </x:c>
      <x:c r="K856" s="1" t="n">
        <x:f>'Inventory inputs'!N856</x:f>
        <x:v>4337</x:v>
      </x:c>
      <x:c r="L856" s="1" t="n">
        <x:f>'Inventory inputs'!O856</x:f>
        <x:v>0</x:v>
      </x:c>
      <x:c r="M856" s="9" t="n">
        <x:f>E856*G856</x:f>
        <x:v>56.8147</x:v>
      </x:c>
      <x:c r="N856" s="9" t="n">
        <x:f>'Inventory inputs'!Q856</x:f>
        <x:v>56.8147</x:v>
      </x:c>
      <x:c r="O856" s="9" t="n">
        <x:f>N856-M856</x:f>
        <x:v>0</x:v>
      </x:c>
      <x:c r="P856" s="1" t="n">
        <x:f>SUMIFS('Incoming POs'!$P$2:$P$305,'Incoming POs'!$A$2:$A$305,A856,'Incoming POs'!$B$2:$B$305,B856,'Incoming POs'!$C$2:$C$305,C856,'Incoming POs'!$G$2:$G$305,"&gt;="&amp;D856,'Incoming POs'!$G$2:$G$305,"&lt;"&amp;Dashboard!$I$5)</x:f>
        <x:v>0</x:v>
      </x:c>
      <x:c r="Q856" s="1" t="n">
        <x:f>F856*Dashboard!$L$5*MAX(0,Dashboard!$I$5-D856)/30.4375</x:f>
        <x:v>0</x:v>
      </x:c>
      <x:c r="R856" s="1" t="n">
        <x:f>MAX(0,E856+P856-Q856)</x:f>
        <x:v>4337</x:v>
      </x:c>
      <x:c r="S856" s="1" t="n">
        <x:f>MAX(0,Q856-E856-P856)</x:f>
        <x:v>0</x:v>
      </x:c>
      <x:c r="T856" s="1" t="str">
        <x:f>IF(L856=1,MAX(0,I856+AB856-MIN(Q856,E856+P856)),"n.a.")</x:f>
        <x:v>n.a.</x:v>
      </x:c>
      <x:c r="U856" s="9" t="str">
        <x:f>IF(ISNUMBER(T856),T856*G856,"n.a.")</x:f>
        <x:v>n.a.</x:v>
      </x:c>
      <x:c r="V856" s="25" t="n">
        <x:f>IF(Dashboard!$I$6="Flat %",1,IF(ISNUMBER(H856),1,0))</x:f>
        <x:v>1</x:v>
      </x:c>
      <x:c r="W856" s="9" t="n">
        <x:f>IF(Dashboard!$I$6="Flat %",G856*(1+Dashboard!$L$6),H856)</x:f>
        <x:v>0.015288</x:v>
      </x:c>
      <x:c r="X856" s="9" t="n">
        <x:f>IF(V856=1,R856*(W856-G856),"n.a.")</x:f>
        <x:v>9.489355999999995</x:v>
      </x:c>
      <x:c r="Y856" s="9" t="n">
        <x:f>IF(V856=1,R856*W856,"n.a.")</x:f>
        <x:v>66.304056</x:v>
      </x:c>
      <x:c r="Z856" s="1" t="str">
        <x:f>IF(ISNUMBER(T856),R856-T856,"n.a.")</x:f>
        <x:v>n.a.</x:v>
      </x:c>
      <x:c r="AA856" s="1" t="str">
        <x:f>'Inventory inputs'!R856</x:f>
        <x:v>Review receipt reconciliation or original PO baseline</x:v>
      </x:c>
      <x:c r="AB856" s="1" t="str">
        <x:f>IF(L856=1,SUMIFS('Incoming POs'!$P$2:$P$305,'Incoming POs'!$A$2:$A$305,A856,'Incoming POs'!$B$2:$B$305,B856,'Incoming POs'!$C$2:$C$305,C856,'Incoming POs'!$G$2:$G$305,"&gt;="&amp;D856,'Incoming POs'!$G$2:$G$305,"&lt;"&amp;Dashboard!$I$5,'Incoming POs'!$Q$2:$Q$305,"&lt;="&amp;('Inventory inputs'!P856/'Inventory inputs'!J856*1.01)),"n.a.")</x:f>
        <x:v>n.a.</x:v>
      </x:c>
      <x:c r="AC856" s="9" t="n">
        <x:f>I856*G856</x:f>
        <x:v>0</x:v>
      </x:c>
      <x:c r="AD856" s="9" t="n">
        <x:f>J856*G856</x:f>
        <x:v>0</x:v>
      </x:c>
      <x:c r="AE856" s="9" t="n">
        <x:f>K856*G856</x:f>
        <x:v>56.8147</x:v>
      </x:c>
      <x:c r="AF856" s="9" t="n">
        <x:f>R856*G856</x:f>
        <x:v>56.8147</x:v>
      </x:c>
    </x:row>
    <x:row r="857" ht="21" customHeight="1">
      <x:c r="A857" s="1" t="str">
        <x:f>'Inventory inputs'!A857</x:f>
        <x:v>PLAS</x:v>
      </x:c>
      <x:c r="B857" s="1" t="str">
        <x:f>'Inventory inputs'!B857</x:f>
        <x:v>60</x:v>
      </x:c>
      <x:c r="C857" s="1" t="str">
        <x:f>'Inventory inputs'!C857</x:f>
        <x:v>51615RWBWHT</x:v>
      </x:c>
      <x:c r="D857" s="7" t="n">
        <x:f>'Inventory inputs'!E857</x:f>
        <x:v>46303</x:v>
      </x:c>
      <x:c r="E857" s="1" t="n">
        <x:f>'Inventory inputs'!F857</x:f>
        <x:v>0</x:v>
      </x:c>
      <x:c r="F857" s="1" t="n">
        <x:f>'Inventory inputs'!G857</x:f>
        <x:v>0</x:v>
      </x:c>
      <x:c r="G857" s="1" t="n">
        <x:f>'Inventory inputs'!H857/'Inventory inputs'!J857</x:f>
        <x:v>0.0131</x:v>
      </x:c>
      <x:c r="H857" s="1" t="n">
        <x:f>IF('Inventory inputs'!I857&gt;0,'Inventory inputs'!I857*'Inventory inputs'!K857/'Inventory inputs'!J857,"n.a.")</x:f>
        <x:v>0.015288</x:v>
      </x:c>
      <x:c r="I857" s="1" t="n">
        <x:f>'Inventory inputs'!L857</x:f>
        <x:v>0</x:v>
      </x:c>
      <x:c r="J857" s="1" t="n">
        <x:f>'Inventory inputs'!M857</x:f>
        <x:v>0</x:v>
      </x:c>
      <x:c r="K857" s="1" t="n">
        <x:f>'Inventory inputs'!N857</x:f>
        <x:v>0</x:v>
      </x:c>
      <x:c r="L857" s="1" t="n">
        <x:f>'Inventory inputs'!O857</x:f>
        <x:v>1</x:v>
      </x:c>
      <x:c r="M857" s="9" t="n">
        <x:f>E857*G857</x:f>
        <x:v>0</x:v>
      </x:c>
      <x:c r="N857" s="9" t="n">
        <x:f>'Inventory inputs'!Q857</x:f>
        <x:v>0</x:v>
      </x:c>
      <x:c r="O857" s="9" t="n">
        <x:f>N857-M857</x:f>
        <x:v>0</x:v>
      </x:c>
      <x:c r="P857" s="1" t="n">
        <x:f>SUMIFS('Incoming POs'!$P$2:$P$305,'Incoming POs'!$A$2:$A$305,A857,'Incoming POs'!$B$2:$B$305,B857,'Incoming POs'!$C$2:$C$305,C857,'Incoming POs'!$G$2:$G$305,"&gt;="&amp;D857,'Incoming POs'!$G$2:$G$305,"&lt;"&amp;Dashboard!$I$5)</x:f>
        <x:v>0</x:v>
      </x:c>
      <x:c r="Q857" s="1" t="n">
        <x:f>F857*Dashboard!$L$5*MAX(0,Dashboard!$I$5-D857)/30.4375</x:f>
        <x:v>0</x:v>
      </x:c>
      <x:c r="R857" s="1" t="n">
        <x:f>MAX(0,E857+P857-Q857)</x:f>
        <x:v>0</x:v>
      </x:c>
      <x:c r="S857" s="1" t="n">
        <x:f>MAX(0,Q857-E857-P857)</x:f>
        <x:v>0</x:v>
      </x:c>
      <x:c r="T857" s="1" t="n">
        <x:f>IF(L857=1,MAX(0,I857+AB857-MIN(Q857,E857+P857)),"n.a.")</x:f>
        <x:v>0</x:v>
      </x:c>
      <x:c r="U857" s="9" t="n">
        <x:f>IF(ISNUMBER(T857),T857*G857,"n.a.")</x:f>
        <x:v>0</x:v>
      </x:c>
      <x:c r="V857" s="25" t="n">
        <x:f>IF(Dashboard!$I$6="Flat %",1,IF(ISNUMBER(H857),1,0))</x:f>
        <x:v>1</x:v>
      </x:c>
      <x:c r="W857" s="9" t="n">
        <x:f>IF(Dashboard!$I$6="Flat %",G857*(1+Dashboard!$L$6),H857)</x:f>
        <x:v>0.015288</x:v>
      </x:c>
      <x:c r="X857" s="9" t="n">
        <x:f>IF(V857=1,R857*(W857-G857),"n.a.")</x:f>
        <x:v>0</x:v>
      </x:c>
      <x:c r="Y857" s="9" t="n">
        <x:f>IF(V857=1,R857*W857,"n.a.")</x:f>
        <x:v>0</x:v>
      </x:c>
      <x:c r="Z857" s="1" t="n">
        <x:f>IF(ISNUMBER(T857),R857-T857,"n.a.")</x:f>
        <x:v>0</x:v>
      </x:c>
      <x:c r="AA857" s="1" t="str">
        <x:f>'Inventory inputs'!R857</x:f>
        <x:v>Classified</x:v>
      </x:c>
      <x:c r="AB857" s="1" t="n">
        <x:f>IF(L857=1,SUMIFS('Incoming POs'!$P$2:$P$305,'Incoming POs'!$A$2:$A$305,A857,'Incoming POs'!$B$2:$B$305,B857,'Incoming POs'!$C$2:$C$305,C857,'Incoming POs'!$G$2:$G$305,"&gt;="&amp;D857,'Incoming POs'!$G$2:$G$305,"&lt;"&amp;Dashboard!$I$5,'Incoming POs'!$Q$2:$Q$305,"&lt;="&amp;('Inventory inputs'!P857/'Inventory inputs'!J857*1.01)),"n.a.")</x:f>
        <x:v>0</x:v>
      </x:c>
      <x:c r="AC857" s="9" t="n">
        <x:f>I857*G857</x:f>
        <x:v>0</x:v>
      </x:c>
      <x:c r="AD857" s="9" t="n">
        <x:f>J857*G857</x:f>
        <x:v>0</x:v>
      </x:c>
      <x:c r="AE857" s="9" t="n">
        <x:f>K857*G857</x:f>
        <x:v>0</x:v>
      </x:c>
      <x:c r="AF857" s="9" t="n">
        <x:f>R857*G857</x:f>
        <x:v>0</x:v>
      </x:c>
    </x:row>
    <x:row r="858" ht="21" customHeight="1">
      <x:c r="A858" s="1" t="str">
        <x:f>'Inventory inputs'!A858</x:f>
        <x:v>PLAS</x:v>
      </x:c>
      <x:c r="B858" s="1" t="str">
        <x:f>'Inventory inputs'!B858</x:f>
        <x:v>60</x:v>
      </x:c>
      <x:c r="C858" s="1" t="str">
        <x:f>'Inventory inputs'!C858</x:f>
        <x:v>51680RWBBLK</x:v>
      </x:c>
      <x:c r="D858" s="7" t="n">
        <x:f>'Inventory inputs'!E858</x:f>
        <x:v>46303</x:v>
      </x:c>
      <x:c r="E858" s="1" t="n">
        <x:f>'Inventory inputs'!F858</x:f>
        <x:v>2966</x:v>
      </x:c>
      <x:c r="F858" s="1" t="n">
        <x:f>'Inventory inputs'!G858</x:f>
        <x:v>0</x:v>
      </x:c>
      <x:c r="G858" s="1" t="n">
        <x:f>'Inventory inputs'!H858/'Inventory inputs'!J858</x:f>
        <x:v>0.0741</x:v>
      </x:c>
      <x:c r="H858" s="1" t="n">
        <x:f>IF('Inventory inputs'!I858&gt;0,'Inventory inputs'!I858*'Inventory inputs'!K858/'Inventory inputs'!J858,"n.a.")</x:f>
        <x:v>0.08673</x:v>
      </x:c>
      <x:c r="I858" s="1" t="n">
        <x:f>'Inventory inputs'!L858</x:f>
        <x:v>0</x:v>
      </x:c>
      <x:c r="J858" s="1" t="n">
        <x:f>'Inventory inputs'!M858</x:f>
        <x:v>0</x:v>
      </x:c>
      <x:c r="K858" s="1" t="n">
        <x:f>'Inventory inputs'!N858</x:f>
        <x:v>2966</x:v>
      </x:c>
      <x:c r="L858" s="1" t="n">
        <x:f>'Inventory inputs'!O858</x:f>
        <x:v>0</x:v>
      </x:c>
      <x:c r="M858" s="9" t="n">
        <x:f>E858*G858</x:f>
        <x:v>219.7806</x:v>
      </x:c>
      <x:c r="N858" s="9" t="n">
        <x:f>'Inventory inputs'!Q858</x:f>
        <x:v>219.78060000000002</x:v>
      </x:c>
      <x:c r="O858" s="9" t="n">
        <x:f>N858-M858</x:f>
        <x:v>2.842170943040401e-14</x:v>
      </x:c>
      <x:c r="P858" s="1" t="n">
        <x:f>SUMIFS('Incoming POs'!$P$2:$P$305,'Incoming POs'!$A$2:$A$305,A858,'Incoming POs'!$B$2:$B$305,B858,'Incoming POs'!$C$2:$C$305,C858,'Incoming POs'!$G$2:$G$305,"&gt;="&amp;D858,'Incoming POs'!$G$2:$G$305,"&lt;"&amp;Dashboard!$I$5)</x:f>
        <x:v>0</x:v>
      </x:c>
      <x:c r="Q858" s="1" t="n">
        <x:f>F858*Dashboard!$L$5*MAX(0,Dashboard!$I$5-D858)/30.4375</x:f>
        <x:v>0</x:v>
      </x:c>
      <x:c r="R858" s="1" t="n">
        <x:f>MAX(0,E858+P858-Q858)</x:f>
        <x:v>2966</x:v>
      </x:c>
      <x:c r="S858" s="1" t="n">
        <x:f>MAX(0,Q858-E858-P858)</x:f>
        <x:v>0</x:v>
      </x:c>
      <x:c r="T858" s="1" t="str">
        <x:f>IF(L858=1,MAX(0,I858+AB858-MIN(Q858,E858+P858)),"n.a.")</x:f>
        <x:v>n.a.</x:v>
      </x:c>
      <x:c r="U858" s="9" t="str">
        <x:f>IF(ISNUMBER(T858),T858*G858,"n.a.")</x:f>
        <x:v>n.a.</x:v>
      </x:c>
      <x:c r="V858" s="25" t="n">
        <x:f>IF(Dashboard!$I$6="Flat %",1,IF(ISNUMBER(H858),1,0))</x:f>
        <x:v>1</x:v>
      </x:c>
      <x:c r="W858" s="9" t="n">
        <x:f>IF(Dashboard!$I$6="Flat %",G858*(1+Dashboard!$L$6),H858)</x:f>
        <x:v>0.08673</x:v>
      </x:c>
      <x:c r="X858" s="9" t="n">
        <x:f>IF(V858=1,R858*(W858-G858),"n.a.")</x:f>
        <x:v>37.46058000000001</x:v>
      </x:c>
      <x:c r="Y858" s="9" t="n">
        <x:f>IF(V858=1,R858*W858,"n.a.")</x:f>
        <x:v>257.24118</x:v>
      </x:c>
      <x:c r="Z858" s="1" t="str">
        <x:f>IF(ISNUMBER(T858),R858-T858,"n.a.")</x:f>
        <x:v>n.a.</x:v>
      </x:c>
      <x:c r="AA858" s="1" t="str">
        <x:f>'Inventory inputs'!R858</x:f>
        <x:v>Review receipt reconciliation or original PO baseline</x:v>
      </x:c>
      <x:c r="AB858" s="1" t="str">
        <x:f>IF(L858=1,SUMIFS('Incoming POs'!$P$2:$P$305,'Incoming POs'!$A$2:$A$305,A858,'Incoming POs'!$B$2:$B$305,B858,'Incoming POs'!$C$2:$C$305,C858,'Incoming POs'!$G$2:$G$305,"&gt;="&amp;D858,'Incoming POs'!$G$2:$G$305,"&lt;"&amp;Dashboard!$I$5,'Incoming POs'!$Q$2:$Q$305,"&lt;="&amp;('Inventory inputs'!P858/'Inventory inputs'!J858*1.01)),"n.a.")</x:f>
        <x:v>n.a.</x:v>
      </x:c>
      <x:c r="AC858" s="9" t="n">
        <x:f>I858*G858</x:f>
        <x:v>0</x:v>
      </x:c>
      <x:c r="AD858" s="9" t="n">
        <x:f>J858*G858</x:f>
        <x:v>0</x:v>
      </x:c>
      <x:c r="AE858" s="9" t="n">
        <x:f>K858*G858</x:f>
        <x:v>219.7806</x:v>
      </x:c>
      <x:c r="AF858" s="9" t="n">
        <x:f>R858*G858</x:f>
        <x:v>219.7806</x:v>
      </x:c>
    </x:row>
    <x:row r="859" ht="21" customHeight="1">
      <x:c r="A859" s="1" t="str">
        <x:f>'Inventory inputs'!A859</x:f>
        <x:v>PLAS</x:v>
      </x:c>
      <x:c r="B859" s="1" t="str">
        <x:f>'Inventory inputs'!B859</x:f>
        <x:v>60</x:v>
      </x:c>
      <x:c r="C859" s="1" t="str">
        <x:f>'Inventory inputs'!C859</x:f>
        <x:v>51680RWBWHT</x:v>
      </x:c>
      <x:c r="D859" s="7" t="n">
        <x:f>'Inventory inputs'!E859</x:f>
        <x:v>46303</x:v>
      </x:c>
      <x:c r="E859" s="1" t="n">
        <x:f>'Inventory inputs'!F859</x:f>
        <x:v>1959</x:v>
      </x:c>
      <x:c r="F859" s="1" t="n">
        <x:f>'Inventory inputs'!G859</x:f>
        <x:v>0</x:v>
      </x:c>
      <x:c r="G859" s="1" t="n">
        <x:f>'Inventory inputs'!H859/'Inventory inputs'!J859</x:f>
        <x:v>0.0741</x:v>
      </x:c>
      <x:c r="H859" s="1" t="n">
        <x:f>IF('Inventory inputs'!I859&gt;0,'Inventory inputs'!I859*'Inventory inputs'!K859/'Inventory inputs'!J859,"n.a.")</x:f>
        <x:v>0.08673</x:v>
      </x:c>
      <x:c r="I859" s="1" t="n">
        <x:f>'Inventory inputs'!L859</x:f>
        <x:v>0</x:v>
      </x:c>
      <x:c r="J859" s="1" t="n">
        <x:f>'Inventory inputs'!M859</x:f>
        <x:v>0</x:v>
      </x:c>
      <x:c r="K859" s="1" t="n">
        <x:f>'Inventory inputs'!N859</x:f>
        <x:v>1959</x:v>
      </x:c>
      <x:c r="L859" s="1" t="n">
        <x:f>'Inventory inputs'!O859</x:f>
        <x:v>0</x:v>
      </x:c>
      <x:c r="M859" s="9" t="n">
        <x:f>E859*G859</x:f>
        <x:v>145.1619</x:v>
      </x:c>
      <x:c r="N859" s="9" t="n">
        <x:f>'Inventory inputs'!Q859</x:f>
        <x:v>145.1619</x:v>
      </x:c>
      <x:c r="O859" s="9" t="n">
        <x:f>N859-M859</x:f>
        <x:v>0</x:v>
      </x:c>
      <x:c r="P859" s="1" t="n">
        <x:f>SUMIFS('Incoming POs'!$P$2:$P$305,'Incoming POs'!$A$2:$A$305,A859,'Incoming POs'!$B$2:$B$305,B859,'Incoming POs'!$C$2:$C$305,C859,'Incoming POs'!$G$2:$G$305,"&gt;="&amp;D859,'Incoming POs'!$G$2:$G$305,"&lt;"&amp;Dashboard!$I$5)</x:f>
        <x:v>0</x:v>
      </x:c>
      <x:c r="Q859" s="1" t="n">
        <x:f>F859*Dashboard!$L$5*MAX(0,Dashboard!$I$5-D859)/30.4375</x:f>
        <x:v>0</x:v>
      </x:c>
      <x:c r="R859" s="1" t="n">
        <x:f>MAX(0,E859+P859-Q859)</x:f>
        <x:v>1959</x:v>
      </x:c>
      <x:c r="S859" s="1" t="n">
        <x:f>MAX(0,Q859-E859-P859)</x:f>
        <x:v>0</x:v>
      </x:c>
      <x:c r="T859" s="1" t="str">
        <x:f>IF(L859=1,MAX(0,I859+AB859-MIN(Q859,E859+P859)),"n.a.")</x:f>
        <x:v>n.a.</x:v>
      </x:c>
      <x:c r="U859" s="9" t="str">
        <x:f>IF(ISNUMBER(T859),T859*G859,"n.a.")</x:f>
        <x:v>n.a.</x:v>
      </x:c>
      <x:c r="V859" s="25" t="n">
        <x:f>IF(Dashboard!$I$6="Flat %",1,IF(ISNUMBER(H859),1,0))</x:f>
        <x:v>1</x:v>
      </x:c>
      <x:c r="W859" s="9" t="n">
        <x:f>IF(Dashboard!$I$6="Flat %",G859*(1+Dashboard!$L$6),H859)</x:f>
        <x:v>0.08673</x:v>
      </x:c>
      <x:c r="X859" s="9" t="n">
        <x:f>IF(V859=1,R859*(W859-G859),"n.a.")</x:f>
        <x:v>24.742170000000005</x:v>
      </x:c>
      <x:c r="Y859" s="9" t="n">
        <x:f>IF(V859=1,R859*W859,"n.a.")</x:f>
        <x:v>169.90407</x:v>
      </x:c>
      <x:c r="Z859" s="1" t="str">
        <x:f>IF(ISNUMBER(T859),R859-T859,"n.a.")</x:f>
        <x:v>n.a.</x:v>
      </x:c>
      <x:c r="AA859" s="1" t="str">
        <x:f>'Inventory inputs'!R859</x:f>
        <x:v>Review receipt reconciliation or original PO baseline</x:v>
      </x:c>
      <x:c r="AB859" s="1" t="str">
        <x:f>IF(L859=1,SUMIFS('Incoming POs'!$P$2:$P$305,'Incoming POs'!$A$2:$A$305,A859,'Incoming POs'!$B$2:$B$305,B859,'Incoming POs'!$C$2:$C$305,C859,'Incoming POs'!$G$2:$G$305,"&gt;="&amp;D859,'Incoming POs'!$G$2:$G$305,"&lt;"&amp;Dashboard!$I$5,'Incoming POs'!$Q$2:$Q$305,"&lt;="&amp;('Inventory inputs'!P859/'Inventory inputs'!J859*1.01)),"n.a.")</x:f>
        <x:v>n.a.</x:v>
      </x:c>
      <x:c r="AC859" s="9" t="n">
        <x:f>I859*G859</x:f>
        <x:v>0</x:v>
      </x:c>
      <x:c r="AD859" s="9" t="n">
        <x:f>J859*G859</x:f>
        <x:v>0</x:v>
      </x:c>
      <x:c r="AE859" s="9" t="n">
        <x:f>K859*G859</x:f>
        <x:v>145.1619</x:v>
      </x:c>
      <x:c r="AF859" s="9" t="n">
        <x:f>R859*G859</x:f>
        <x:v>145.1619</x:v>
      </x:c>
    </x:row>
    <x:row r="860" ht="21" customHeight="1">
      <x:c r="A860" s="1" t="str">
        <x:f>'Inventory inputs'!A860</x:f>
        <x:v>PLAS</x:v>
      </x:c>
      <x:c r="B860" s="1" t="str">
        <x:f>'Inventory inputs'!B860</x:f>
        <x:v>60</x:v>
      </x:c>
      <x:c r="C860" s="1" t="str">
        <x:f>'Inventory inputs'!C860</x:f>
        <x:v>71615RWBWHT</x:v>
      </x:c>
      <x:c r="D860" s="7" t="n">
        <x:f>'Inventory inputs'!E860</x:f>
        <x:v>46303</x:v>
      </x:c>
      <x:c r="E860" s="1" t="n">
        <x:f>'Inventory inputs'!F860</x:f>
        <x:v>7000</x:v>
      </x:c>
      <x:c r="F860" s="1" t="n">
        <x:f>'Inventory inputs'!G860</x:f>
        <x:v>0</x:v>
      </x:c>
      <x:c r="G860" s="1" t="n">
        <x:f>'Inventory inputs'!H860/'Inventory inputs'!J860</x:f>
        <x:v>0.0219</x:v>
      </x:c>
      <x:c r="H860" s="1" t="n">
        <x:f>IF('Inventory inputs'!I860&gt;0,'Inventory inputs'!I860*'Inventory inputs'!K860/'Inventory inputs'!J860,"n.a.")</x:f>
        <x:v>0.025578</x:v>
      </x:c>
      <x:c r="I860" s="1" t="n">
        <x:f>'Inventory inputs'!L860</x:f>
        <x:v>0</x:v>
      </x:c>
      <x:c r="J860" s="1" t="n">
        <x:f>'Inventory inputs'!M860</x:f>
        <x:v>0</x:v>
      </x:c>
      <x:c r="K860" s="1" t="n">
        <x:f>'Inventory inputs'!N860</x:f>
        <x:v>7000</x:v>
      </x:c>
      <x:c r="L860" s="1" t="n">
        <x:f>'Inventory inputs'!O860</x:f>
        <x:v>0</x:v>
      </x:c>
      <x:c r="M860" s="9" t="n">
        <x:f>E860*G860</x:f>
        <x:v>153.29999999999998</x:v>
      </x:c>
      <x:c r="N860" s="9" t="n">
        <x:f>'Inventory inputs'!Q860</x:f>
        <x:v>153.3</x:v>
      </x:c>
      <x:c r="O860" s="9" t="n">
        <x:f>N860-M860</x:f>
        <x:v>2.842170943040401e-14</x:v>
      </x:c>
      <x:c r="P860" s="1" t="n">
        <x:f>SUMIFS('Incoming POs'!$P$2:$P$305,'Incoming POs'!$A$2:$A$305,A860,'Incoming POs'!$B$2:$B$305,B860,'Incoming POs'!$C$2:$C$305,C860,'Incoming POs'!$G$2:$G$305,"&gt;="&amp;D860,'Incoming POs'!$G$2:$G$305,"&lt;"&amp;Dashboard!$I$5)</x:f>
        <x:v>0</x:v>
      </x:c>
      <x:c r="Q860" s="1" t="n">
        <x:f>F860*Dashboard!$L$5*MAX(0,Dashboard!$I$5-D860)/30.4375</x:f>
        <x:v>0</x:v>
      </x:c>
      <x:c r="R860" s="1" t="n">
        <x:f>MAX(0,E860+P860-Q860)</x:f>
        <x:v>7000</x:v>
      </x:c>
      <x:c r="S860" s="1" t="n">
        <x:f>MAX(0,Q860-E860-P860)</x:f>
        <x:v>0</x:v>
      </x:c>
      <x:c r="T860" s="1" t="str">
        <x:f>IF(L860=1,MAX(0,I860+AB860-MIN(Q860,E860+P860)),"n.a.")</x:f>
        <x:v>n.a.</x:v>
      </x:c>
      <x:c r="U860" s="9" t="str">
        <x:f>IF(ISNUMBER(T860),T860*G860,"n.a.")</x:f>
        <x:v>n.a.</x:v>
      </x:c>
      <x:c r="V860" s="25" t="n">
        <x:f>IF(Dashboard!$I$6="Flat %",1,IF(ISNUMBER(H860),1,0))</x:f>
        <x:v>1</x:v>
      </x:c>
      <x:c r="W860" s="9" t="n">
        <x:f>IF(Dashboard!$I$6="Flat %",G860*(1+Dashboard!$L$6),H860)</x:f>
        <x:v>0.025578</x:v>
      </x:c>
      <x:c r="X860" s="9" t="n">
        <x:f>IF(V860=1,R860*(W860-G860),"n.a.")</x:f>
        <x:v>25.746000000000006</x:v>
      </x:c>
      <x:c r="Y860" s="9" t="n">
        <x:f>IF(V860=1,R860*W860,"n.a.")</x:f>
        <x:v>179.046</x:v>
      </x:c>
      <x:c r="Z860" s="1" t="str">
        <x:f>IF(ISNUMBER(T860),R860-T860,"n.a.")</x:f>
        <x:v>n.a.</x:v>
      </x:c>
      <x:c r="AA860" s="1" t="str">
        <x:f>'Inventory inputs'!R860</x:f>
        <x:v>Review receipt reconciliation or original PO baseline</x:v>
      </x:c>
      <x:c r="AB860" s="1" t="str">
        <x:f>IF(L860=1,SUMIFS('Incoming POs'!$P$2:$P$305,'Incoming POs'!$A$2:$A$305,A860,'Incoming POs'!$B$2:$B$305,B860,'Incoming POs'!$C$2:$C$305,C860,'Incoming POs'!$G$2:$G$305,"&gt;="&amp;D860,'Incoming POs'!$G$2:$G$305,"&lt;"&amp;Dashboard!$I$5,'Incoming POs'!$Q$2:$Q$305,"&lt;="&amp;('Inventory inputs'!P860/'Inventory inputs'!J860*1.01)),"n.a.")</x:f>
        <x:v>n.a.</x:v>
      </x:c>
      <x:c r="AC860" s="9" t="n">
        <x:f>I860*G860</x:f>
        <x:v>0</x:v>
      </x:c>
      <x:c r="AD860" s="9" t="n">
        <x:f>J860*G860</x:f>
        <x:v>0</x:v>
      </x:c>
      <x:c r="AE860" s="9" t="n">
        <x:f>K860*G860</x:f>
        <x:v>153.29999999999998</x:v>
      </x:c>
      <x:c r="AF860" s="9" t="n">
        <x:f>R860*G860</x:f>
        <x:v>153.29999999999998</x:v>
      </x:c>
    </x:row>
    <x:row r="861" ht="21" customHeight="1">
      <x:c r="A861" s="1" t="str">
        <x:f>'Inventory inputs'!A861</x:f>
        <x:v>PLAS</x:v>
      </x:c>
      <x:c r="B861" s="1" t="str">
        <x:f>'Inventory inputs'!B861</x:f>
        <x:v>60</x:v>
      </x:c>
      <x:c r="C861" s="1" t="str">
        <x:f>'Inventory inputs'!C861</x:f>
        <x:v>71619RWBRED</x:v>
      </x:c>
      <x:c r="D861" s="7" t="n">
        <x:f>'Inventory inputs'!E861</x:f>
        <x:v>46303</x:v>
      </x:c>
      <x:c r="E861" s="1" t="n">
        <x:f>'Inventory inputs'!F861</x:f>
        <x:v>2500</x:v>
      </x:c>
      <x:c r="F861" s="1" t="n">
        <x:f>'Inventory inputs'!G861</x:f>
        <x:v>0</x:v>
      </x:c>
      <x:c r="G861" s="1" t="n">
        <x:f>'Inventory inputs'!H861/'Inventory inputs'!J861</x:f>
        <x:v>0.0315</x:v>
      </x:c>
      <x:c r="H861" s="1" t="n">
        <x:f>IF('Inventory inputs'!I861&gt;0,'Inventory inputs'!I861*'Inventory inputs'!K861/'Inventory inputs'!J861,"n.a.")</x:f>
        <x:v>0.03675</x:v>
      </x:c>
      <x:c r="I861" s="1" t="n">
        <x:f>'Inventory inputs'!L861</x:f>
        <x:v>0</x:v>
      </x:c>
      <x:c r="J861" s="1" t="n">
        <x:f>'Inventory inputs'!M861</x:f>
        <x:v>0</x:v>
      </x:c>
      <x:c r="K861" s="1" t="n">
        <x:f>'Inventory inputs'!N861</x:f>
        <x:v>2500</x:v>
      </x:c>
      <x:c r="L861" s="1" t="n">
        <x:f>'Inventory inputs'!O861</x:f>
        <x:v>0</x:v>
      </x:c>
      <x:c r="M861" s="9" t="n">
        <x:f>E861*G861</x:f>
        <x:v>78.75</x:v>
      </x:c>
      <x:c r="N861" s="9" t="n">
        <x:f>'Inventory inputs'!Q861</x:f>
        <x:v>78.75</x:v>
      </x:c>
      <x:c r="O861" s="9" t="n">
        <x:f>N861-M861</x:f>
        <x:v>0</x:v>
      </x:c>
      <x:c r="P861" s="1" t="n">
        <x:f>SUMIFS('Incoming POs'!$P$2:$P$305,'Incoming POs'!$A$2:$A$305,A861,'Incoming POs'!$B$2:$B$305,B861,'Incoming POs'!$C$2:$C$305,C861,'Incoming POs'!$G$2:$G$305,"&gt;="&amp;D861,'Incoming POs'!$G$2:$G$305,"&lt;"&amp;Dashboard!$I$5)</x:f>
        <x:v>0</x:v>
      </x:c>
      <x:c r="Q861" s="1" t="n">
        <x:f>F861*Dashboard!$L$5*MAX(0,Dashboard!$I$5-D861)/30.4375</x:f>
        <x:v>0</x:v>
      </x:c>
      <x:c r="R861" s="1" t="n">
        <x:f>MAX(0,E861+P861-Q861)</x:f>
        <x:v>2500</x:v>
      </x:c>
      <x:c r="S861" s="1" t="n">
        <x:f>MAX(0,Q861-E861-P861)</x:f>
        <x:v>0</x:v>
      </x:c>
      <x:c r="T861" s="1" t="str">
        <x:f>IF(L861=1,MAX(0,I861+AB861-MIN(Q861,E861+P861)),"n.a.")</x:f>
        <x:v>n.a.</x:v>
      </x:c>
      <x:c r="U861" s="9" t="str">
        <x:f>IF(ISNUMBER(T861),T861*G861,"n.a.")</x:f>
        <x:v>n.a.</x:v>
      </x:c>
      <x:c r="V861" s="25" t="n">
        <x:f>IF(Dashboard!$I$6="Flat %",1,IF(ISNUMBER(H861),1,0))</x:f>
        <x:v>1</x:v>
      </x:c>
      <x:c r="W861" s="9" t="n">
        <x:f>IF(Dashboard!$I$6="Flat %",G861*(1+Dashboard!$L$6),H861)</x:f>
        <x:v>0.03675</x:v>
      </x:c>
      <x:c r="X861" s="9" t="n">
        <x:f>IF(V861=1,R861*(W861-G861),"n.a.")</x:f>
        <x:v>13.124999999999995</x:v>
      </x:c>
      <x:c r="Y861" s="9" t="n">
        <x:f>IF(V861=1,R861*W861,"n.a.")</x:f>
        <x:v>91.875</x:v>
      </x:c>
      <x:c r="Z861" s="1" t="str">
        <x:f>IF(ISNUMBER(T861),R861-T861,"n.a.")</x:f>
        <x:v>n.a.</x:v>
      </x:c>
      <x:c r="AA861" s="1" t="str">
        <x:f>'Inventory inputs'!R861</x:f>
        <x:v>Review receipt reconciliation or original PO baseline</x:v>
      </x:c>
      <x:c r="AB861" s="1" t="str">
        <x:f>IF(L861=1,SUMIFS('Incoming POs'!$P$2:$P$305,'Incoming POs'!$A$2:$A$305,A861,'Incoming POs'!$B$2:$B$305,B861,'Incoming POs'!$C$2:$C$305,C861,'Incoming POs'!$G$2:$G$305,"&gt;="&amp;D861,'Incoming POs'!$G$2:$G$305,"&lt;"&amp;Dashboard!$I$5,'Incoming POs'!$Q$2:$Q$305,"&lt;="&amp;('Inventory inputs'!P861/'Inventory inputs'!J861*1.01)),"n.a.")</x:f>
        <x:v>n.a.</x:v>
      </x:c>
      <x:c r="AC861" s="9" t="n">
        <x:f>I861*G861</x:f>
        <x:v>0</x:v>
      </x:c>
      <x:c r="AD861" s="9" t="n">
        <x:f>J861*G861</x:f>
        <x:v>0</x:v>
      </x:c>
      <x:c r="AE861" s="9" t="n">
        <x:f>K861*G861</x:f>
        <x:v>78.75</x:v>
      </x:c>
      <x:c r="AF861" s="9" t="n">
        <x:f>R861*G861</x:f>
        <x:v>78.75</x:v>
      </x:c>
    </x:row>
    <x:row r="862" ht="21" customHeight="1">
      <x:c r="A862" s="1" t="str">
        <x:f>'Inventory inputs'!A862</x:f>
        <x:v>PLAS</x:v>
      </x:c>
      <x:c r="B862" s="1" t="str">
        <x:f>'Inventory inputs'!B862</x:f>
        <x:v>60</x:v>
      </x:c>
      <x:c r="C862" s="1" t="str">
        <x:f>'Inventory inputs'!C862</x:f>
        <x:v>71680RWBBLK</x:v>
      </x:c>
      <x:c r="D862" s="7" t="n">
        <x:f>'Inventory inputs'!E862</x:f>
        <x:v>46303</x:v>
      </x:c>
      <x:c r="E862" s="1" t="n">
        <x:f>'Inventory inputs'!F862</x:f>
        <x:v>1841</x:v>
      </x:c>
      <x:c r="F862" s="1" t="n">
        <x:f>'Inventory inputs'!G862</x:f>
        <x:v>0</x:v>
      </x:c>
      <x:c r="G862" s="1" t="n">
        <x:f>'Inventory inputs'!H862/'Inventory inputs'!J862</x:f>
        <x:v>0.1226</x:v>
      </x:c>
      <x:c r="H862" s="1" t="n">
        <x:f>IF('Inventory inputs'!I862&gt;0,'Inventory inputs'!I862*'Inventory inputs'!K862/'Inventory inputs'!J862,"n.a.")</x:f>
        <x:v>0.143472</x:v>
      </x:c>
      <x:c r="I862" s="1" t="n">
        <x:f>'Inventory inputs'!L862</x:f>
        <x:v>0</x:v>
      </x:c>
      <x:c r="J862" s="1" t="n">
        <x:f>'Inventory inputs'!M862</x:f>
        <x:v>0</x:v>
      </x:c>
      <x:c r="K862" s="1" t="n">
        <x:f>'Inventory inputs'!N862</x:f>
        <x:v>1841</x:v>
      </x:c>
      <x:c r="L862" s="1" t="n">
        <x:f>'Inventory inputs'!O862</x:f>
        <x:v>0</x:v>
      </x:c>
      <x:c r="M862" s="9" t="n">
        <x:f>E862*G862</x:f>
        <x:v>225.7066</x:v>
      </x:c>
      <x:c r="N862" s="9" t="n">
        <x:f>'Inventory inputs'!Q862</x:f>
        <x:v>225.7066</x:v>
      </x:c>
      <x:c r="O862" s="9" t="n">
        <x:f>N862-M862</x:f>
        <x:v>0</x:v>
      </x:c>
      <x:c r="P862" s="1" t="n">
        <x:f>SUMIFS('Incoming POs'!$P$2:$P$305,'Incoming POs'!$A$2:$A$305,A862,'Incoming POs'!$B$2:$B$305,B862,'Incoming POs'!$C$2:$C$305,C862,'Incoming POs'!$G$2:$G$305,"&gt;="&amp;D862,'Incoming POs'!$G$2:$G$305,"&lt;"&amp;Dashboard!$I$5)</x:f>
        <x:v>0</x:v>
      </x:c>
      <x:c r="Q862" s="1" t="n">
        <x:f>F862*Dashboard!$L$5*MAX(0,Dashboard!$I$5-D862)/30.4375</x:f>
        <x:v>0</x:v>
      </x:c>
      <x:c r="R862" s="1" t="n">
        <x:f>MAX(0,E862+P862-Q862)</x:f>
        <x:v>1841</x:v>
      </x:c>
      <x:c r="S862" s="1" t="n">
        <x:f>MAX(0,Q862-E862-P862)</x:f>
        <x:v>0</x:v>
      </x:c>
      <x:c r="T862" s="1" t="str">
        <x:f>IF(L862=1,MAX(0,I862+AB862-MIN(Q862,E862+P862)),"n.a.")</x:f>
        <x:v>n.a.</x:v>
      </x:c>
      <x:c r="U862" s="9" t="str">
        <x:f>IF(ISNUMBER(T862),T862*G862,"n.a.")</x:f>
        <x:v>n.a.</x:v>
      </x:c>
      <x:c r="V862" s="25" t="n">
        <x:f>IF(Dashboard!$I$6="Flat %",1,IF(ISNUMBER(H862),1,0))</x:f>
        <x:v>1</x:v>
      </x:c>
      <x:c r="W862" s="9" t="n">
        <x:f>IF(Dashboard!$I$6="Flat %",G862*(1+Dashboard!$L$6),H862)</x:f>
        <x:v>0.143472</x:v>
      </x:c>
      <x:c r="X862" s="9" t="n">
        <x:f>IF(V862=1,R862*(W862-G862),"n.a.")</x:f>
        <x:v>38.425351999999975</x:v>
      </x:c>
      <x:c r="Y862" s="9" t="n">
        <x:f>IF(V862=1,R862*W862,"n.a.")</x:f>
        <x:v>264.13195199999996</x:v>
      </x:c>
      <x:c r="Z862" s="1" t="str">
        <x:f>IF(ISNUMBER(T862),R862-T862,"n.a.")</x:f>
        <x:v>n.a.</x:v>
      </x:c>
      <x:c r="AA862" s="1" t="str">
        <x:f>'Inventory inputs'!R862</x:f>
        <x:v>Review receipt reconciliation or original PO baseline</x:v>
      </x:c>
      <x:c r="AB862" s="1" t="str">
        <x:f>IF(L862=1,SUMIFS('Incoming POs'!$P$2:$P$305,'Incoming POs'!$A$2:$A$305,A862,'Incoming POs'!$B$2:$B$305,B862,'Incoming POs'!$C$2:$C$305,C862,'Incoming POs'!$G$2:$G$305,"&gt;="&amp;D862,'Incoming POs'!$G$2:$G$305,"&lt;"&amp;Dashboard!$I$5,'Incoming POs'!$Q$2:$Q$305,"&lt;="&amp;('Inventory inputs'!P862/'Inventory inputs'!J862*1.01)),"n.a.")</x:f>
        <x:v>n.a.</x:v>
      </x:c>
      <x:c r="AC862" s="9" t="n">
        <x:f>I862*G862</x:f>
        <x:v>0</x:v>
      </x:c>
      <x:c r="AD862" s="9" t="n">
        <x:f>J862*G862</x:f>
        <x:v>0</x:v>
      </x:c>
      <x:c r="AE862" s="9" t="n">
        <x:f>K862*G862</x:f>
        <x:v>225.7066</x:v>
      </x:c>
      <x:c r="AF862" s="9" t="n">
        <x:f>R862*G862</x:f>
        <x:v>225.7066</x:v>
      </x:c>
    </x:row>
    <x:row r="863" ht="21" customHeight="1">
      <x:c r="A863" s="1" t="str">
        <x:f>'Inventory inputs'!A863</x:f>
        <x:v>PLAS</x:v>
      </x:c>
      <x:c r="B863" s="1" t="str">
        <x:f>'Inventory inputs'!B863</x:f>
        <x:v>60</x:v>
      </x:c>
      <x:c r="C863" s="1" t="str">
        <x:f>'Inventory inputs'!C863</x:f>
        <x:v>71680RWBWHT</x:v>
      </x:c>
      <x:c r="D863" s="7" t="n">
        <x:f>'Inventory inputs'!E863</x:f>
        <x:v>46303</x:v>
      </x:c>
      <x:c r="E863" s="1" t="n">
        <x:f>'Inventory inputs'!F863</x:f>
        <x:v>2756</x:v>
      </x:c>
      <x:c r="F863" s="1" t="n">
        <x:f>'Inventory inputs'!G863</x:f>
        <x:v>0</x:v>
      </x:c>
      <x:c r="G863" s="1" t="n">
        <x:f>'Inventory inputs'!H863/'Inventory inputs'!J863</x:f>
        <x:v>0.1226</x:v>
      </x:c>
      <x:c r="H863" s="1" t="n">
        <x:f>IF('Inventory inputs'!I863&gt;0,'Inventory inputs'!I863*'Inventory inputs'!K863/'Inventory inputs'!J863,"n.a.")</x:f>
        <x:v>0.143472</x:v>
      </x:c>
      <x:c r="I863" s="1" t="n">
        <x:f>'Inventory inputs'!L863</x:f>
        <x:v>0</x:v>
      </x:c>
      <x:c r="J863" s="1" t="n">
        <x:f>'Inventory inputs'!M863</x:f>
        <x:v>0</x:v>
      </x:c>
      <x:c r="K863" s="1" t="n">
        <x:f>'Inventory inputs'!N863</x:f>
        <x:v>2756</x:v>
      </x:c>
      <x:c r="L863" s="1" t="n">
        <x:f>'Inventory inputs'!O863</x:f>
        <x:v>0</x:v>
      </x:c>
      <x:c r="M863" s="9" t="n">
        <x:f>E863*G863</x:f>
        <x:v>337.8856</x:v>
      </x:c>
      <x:c r="N863" s="9" t="n">
        <x:f>'Inventory inputs'!Q863</x:f>
        <x:v>337.8856</x:v>
      </x:c>
      <x:c r="O863" s="9" t="n">
        <x:f>N863-M863</x:f>
        <x:v>0</x:v>
      </x:c>
      <x:c r="P863" s="1" t="n">
        <x:f>SUMIFS('Incoming POs'!$P$2:$P$305,'Incoming POs'!$A$2:$A$305,A863,'Incoming POs'!$B$2:$B$305,B863,'Incoming POs'!$C$2:$C$305,C863,'Incoming POs'!$G$2:$G$305,"&gt;="&amp;D863,'Incoming POs'!$G$2:$G$305,"&lt;"&amp;Dashboard!$I$5)</x:f>
        <x:v>0</x:v>
      </x:c>
      <x:c r="Q863" s="1" t="n">
        <x:f>F863*Dashboard!$L$5*MAX(0,Dashboard!$I$5-D863)/30.4375</x:f>
        <x:v>0</x:v>
      </x:c>
      <x:c r="R863" s="1" t="n">
        <x:f>MAX(0,E863+P863-Q863)</x:f>
        <x:v>2756</x:v>
      </x:c>
      <x:c r="S863" s="1" t="n">
        <x:f>MAX(0,Q863-E863-P863)</x:f>
        <x:v>0</x:v>
      </x:c>
      <x:c r="T863" s="1" t="str">
        <x:f>IF(L863=1,MAX(0,I863+AB863-MIN(Q863,E863+P863)),"n.a.")</x:f>
        <x:v>n.a.</x:v>
      </x:c>
      <x:c r="U863" s="9" t="str">
        <x:f>IF(ISNUMBER(T863),T863*G863,"n.a.")</x:f>
        <x:v>n.a.</x:v>
      </x:c>
      <x:c r="V863" s="25" t="n">
        <x:f>IF(Dashboard!$I$6="Flat %",1,IF(ISNUMBER(H863),1,0))</x:f>
        <x:v>1</x:v>
      </x:c>
      <x:c r="W863" s="9" t="n">
        <x:f>IF(Dashboard!$I$6="Flat %",G863*(1+Dashboard!$L$6),H863)</x:f>
        <x:v>0.143472</x:v>
      </x:c>
      <x:c r="X863" s="9" t="n">
        <x:f>IF(V863=1,R863*(W863-G863),"n.a.")</x:f>
        <x:v>57.523231999999965</x:v>
      </x:c>
      <x:c r="Y863" s="9" t="n">
        <x:f>IF(V863=1,R863*W863,"n.a.")</x:f>
        <x:v>395.40883199999996</x:v>
      </x:c>
      <x:c r="Z863" s="1" t="str">
        <x:f>IF(ISNUMBER(T863),R863-T863,"n.a.")</x:f>
        <x:v>n.a.</x:v>
      </x:c>
      <x:c r="AA863" s="1" t="str">
        <x:f>'Inventory inputs'!R863</x:f>
        <x:v>Review receipt reconciliation or original PO baseline</x:v>
      </x:c>
      <x:c r="AB863" s="1" t="str">
        <x:f>IF(L863=1,SUMIFS('Incoming POs'!$P$2:$P$305,'Incoming POs'!$A$2:$A$305,A863,'Incoming POs'!$B$2:$B$305,B863,'Incoming POs'!$C$2:$C$305,C863,'Incoming POs'!$G$2:$G$305,"&gt;="&amp;D863,'Incoming POs'!$G$2:$G$305,"&lt;"&amp;Dashboard!$I$5,'Incoming POs'!$Q$2:$Q$305,"&lt;="&amp;('Inventory inputs'!P863/'Inventory inputs'!J863*1.01)),"n.a.")</x:f>
        <x:v>n.a.</x:v>
      </x:c>
      <x:c r="AC863" s="9" t="n">
        <x:f>I863*G863</x:f>
        <x:v>0</x:v>
      </x:c>
      <x:c r="AD863" s="9" t="n">
        <x:f>J863*G863</x:f>
        <x:v>0</x:v>
      </x:c>
      <x:c r="AE863" s="9" t="n">
        <x:f>K863*G863</x:f>
        <x:v>337.8856</x:v>
      </x:c>
      <x:c r="AF863" s="9" t="n">
        <x:f>R863*G863</x:f>
        <x:v>337.8856</x:v>
      </x:c>
    </x:row>
    <x:row r="864" ht="21" customHeight="1">
      <x:c r="A864" s="1" t="str">
        <x:f>'Inventory inputs'!A864</x:f>
        <x:v>PLAS</x:v>
      </x:c>
      <x:c r="B864" s="1" t="str">
        <x:f>'Inventory inputs'!B864</x:f>
        <x:v>60</x:v>
      </x:c>
      <x:c r="C864" s="1" t="str">
        <x:f>'Inventory inputs'!C864</x:f>
        <x:v>91615RWBBLK</x:v>
      </x:c>
      <x:c r="D864" s="7" t="n">
        <x:f>'Inventory inputs'!E864</x:f>
        <x:v>46303</x:v>
      </x:c>
      <x:c r="E864" s="1" t="n">
        <x:f>'Inventory inputs'!F864</x:f>
        <x:v>2000</x:v>
      </x:c>
      <x:c r="F864" s="1" t="n">
        <x:f>'Inventory inputs'!G864</x:f>
        <x:v>0</x:v>
      </x:c>
      <x:c r="G864" s="1" t="n">
        <x:f>'Inventory inputs'!H864/'Inventory inputs'!J864</x:f>
        <x:v>0.0291</x:v>
      </x:c>
      <x:c r="H864" s="1" t="n">
        <x:f>IF('Inventory inputs'!I864&gt;0,'Inventory inputs'!I864*'Inventory inputs'!K864/'Inventory inputs'!J864,"n.a.")</x:f>
        <x:v>0.034103999999999995</x:v>
      </x:c>
      <x:c r="I864" s="1" t="n">
        <x:f>'Inventory inputs'!L864</x:f>
        <x:v>0</x:v>
      </x:c>
      <x:c r="J864" s="1" t="n">
        <x:f>'Inventory inputs'!M864</x:f>
        <x:v>0</x:v>
      </x:c>
      <x:c r="K864" s="1" t="n">
        <x:f>'Inventory inputs'!N864</x:f>
        <x:v>2000</x:v>
      </x:c>
      <x:c r="L864" s="1" t="n">
        <x:f>'Inventory inputs'!O864</x:f>
        <x:v>0</x:v>
      </x:c>
      <x:c r="M864" s="9" t="n">
        <x:f>E864*G864</x:f>
        <x:v>58.2</x:v>
      </x:c>
      <x:c r="N864" s="9" t="n">
        <x:f>'Inventory inputs'!Q864</x:f>
        <x:v>58.2</x:v>
      </x:c>
      <x:c r="O864" s="9" t="n">
        <x:f>N864-M864</x:f>
        <x:v>0</x:v>
      </x:c>
      <x:c r="P864" s="1" t="n">
        <x:f>SUMIFS('Incoming POs'!$P$2:$P$305,'Incoming POs'!$A$2:$A$305,A864,'Incoming POs'!$B$2:$B$305,B864,'Incoming POs'!$C$2:$C$305,C864,'Incoming POs'!$G$2:$G$305,"&gt;="&amp;D864,'Incoming POs'!$G$2:$G$305,"&lt;"&amp;Dashboard!$I$5)</x:f>
        <x:v>0</x:v>
      </x:c>
      <x:c r="Q864" s="1" t="n">
        <x:f>F864*Dashboard!$L$5*MAX(0,Dashboard!$I$5-D864)/30.4375</x:f>
        <x:v>0</x:v>
      </x:c>
      <x:c r="R864" s="1" t="n">
        <x:f>MAX(0,E864+P864-Q864)</x:f>
        <x:v>2000</x:v>
      </x:c>
      <x:c r="S864" s="1" t="n">
        <x:f>MAX(0,Q864-E864-P864)</x:f>
        <x:v>0</x:v>
      </x:c>
      <x:c r="T864" s="1" t="str">
        <x:f>IF(L864=1,MAX(0,I864+AB864-MIN(Q864,E864+P864)),"n.a.")</x:f>
        <x:v>n.a.</x:v>
      </x:c>
      <x:c r="U864" s="9" t="str">
        <x:f>IF(ISNUMBER(T864),T864*G864,"n.a.")</x:f>
        <x:v>n.a.</x:v>
      </x:c>
      <x:c r="V864" s="25" t="n">
        <x:f>IF(Dashboard!$I$6="Flat %",1,IF(ISNUMBER(H864),1,0))</x:f>
        <x:v>1</x:v>
      </x:c>
      <x:c r="W864" s="9" t="n">
        <x:f>IF(Dashboard!$I$6="Flat %",G864*(1+Dashboard!$L$6),H864)</x:f>
        <x:v>0.034103999999999995</x:v>
      </x:c>
      <x:c r="X864" s="9" t="n">
        <x:f>IF(V864=1,R864*(W864-G864),"n.a.")</x:f>
        <x:v>10.007999999999988</x:v>
      </x:c>
      <x:c r="Y864" s="9" t="n">
        <x:f>IF(V864=1,R864*W864,"n.a.")</x:f>
        <x:v>68.20799999999998</x:v>
      </x:c>
      <x:c r="Z864" s="1" t="str">
        <x:f>IF(ISNUMBER(T864),R864-T864,"n.a.")</x:f>
        <x:v>n.a.</x:v>
      </x:c>
      <x:c r="AA864" s="1" t="str">
        <x:f>'Inventory inputs'!R864</x:f>
        <x:v>Review receipt reconciliation or original PO baseline</x:v>
      </x:c>
      <x:c r="AB864" s="1" t="str">
        <x:f>IF(L864=1,SUMIFS('Incoming POs'!$P$2:$P$305,'Incoming POs'!$A$2:$A$305,A864,'Incoming POs'!$B$2:$B$305,B864,'Incoming POs'!$C$2:$C$305,C864,'Incoming POs'!$G$2:$G$305,"&gt;="&amp;D864,'Incoming POs'!$G$2:$G$305,"&lt;"&amp;Dashboard!$I$5,'Incoming POs'!$Q$2:$Q$305,"&lt;="&amp;('Inventory inputs'!P864/'Inventory inputs'!J864*1.01)),"n.a.")</x:f>
        <x:v>n.a.</x:v>
      </x:c>
      <x:c r="AC864" s="9" t="n">
        <x:f>I864*G864</x:f>
        <x:v>0</x:v>
      </x:c>
      <x:c r="AD864" s="9" t="n">
        <x:f>J864*G864</x:f>
        <x:v>0</x:v>
      </x:c>
      <x:c r="AE864" s="9" t="n">
        <x:f>K864*G864</x:f>
        <x:v>58.2</x:v>
      </x:c>
      <x:c r="AF864" s="9" t="n">
        <x:f>R864*G864</x:f>
        <x:v>58.2</x:v>
      </x:c>
    </x:row>
    <x:row r="865" ht="21" customHeight="1">
      <x:c r="A865" s="1" t="str">
        <x:f>'Inventory inputs'!A865</x:f>
        <x:v>PLAS</x:v>
      </x:c>
      <x:c r="B865" s="1" t="str">
        <x:f>'Inventory inputs'!B865</x:f>
        <x:v>60</x:v>
      </x:c>
      <x:c r="C865" s="1" t="str">
        <x:f>'Inventory inputs'!C865</x:f>
        <x:v>91615RWBWHT</x:v>
      </x:c>
      <x:c r="D865" s="7" t="n">
        <x:f>'Inventory inputs'!E865</x:f>
        <x:v>46303</x:v>
      </x:c>
      <x:c r="E865" s="1" t="n">
        <x:f>'Inventory inputs'!F865</x:f>
        <x:v>1500</x:v>
      </x:c>
      <x:c r="F865" s="1" t="n">
        <x:f>'Inventory inputs'!G865</x:f>
        <x:v>0</x:v>
      </x:c>
      <x:c r="G865" s="1" t="n">
        <x:f>'Inventory inputs'!H865/'Inventory inputs'!J865</x:f>
        <x:v>0.0291</x:v>
      </x:c>
      <x:c r="H865" s="1" t="n">
        <x:f>IF('Inventory inputs'!I865&gt;0,'Inventory inputs'!I865*'Inventory inputs'!K865/'Inventory inputs'!J865,"n.a.")</x:f>
        <x:v>0.034103999999999995</x:v>
      </x:c>
      <x:c r="I865" s="1" t="n">
        <x:f>'Inventory inputs'!L865</x:f>
        <x:v>0</x:v>
      </x:c>
      <x:c r="J865" s="1" t="n">
        <x:f>'Inventory inputs'!M865</x:f>
        <x:v>0</x:v>
      </x:c>
      <x:c r="K865" s="1" t="n">
        <x:f>'Inventory inputs'!N865</x:f>
        <x:v>1500</x:v>
      </x:c>
      <x:c r="L865" s="1" t="n">
        <x:f>'Inventory inputs'!O865</x:f>
        <x:v>0</x:v>
      </x:c>
      <x:c r="M865" s="9" t="n">
        <x:f>E865*G865</x:f>
        <x:v>43.65</x:v>
      </x:c>
      <x:c r="N865" s="9" t="n">
        <x:f>'Inventory inputs'!Q865</x:f>
        <x:v>43.65</x:v>
      </x:c>
      <x:c r="O865" s="9" t="n">
        <x:f>N865-M865</x:f>
        <x:v>0</x:v>
      </x:c>
      <x:c r="P865" s="1" t="n">
        <x:f>SUMIFS('Incoming POs'!$P$2:$P$305,'Incoming POs'!$A$2:$A$305,A865,'Incoming POs'!$B$2:$B$305,B865,'Incoming POs'!$C$2:$C$305,C865,'Incoming POs'!$G$2:$G$305,"&gt;="&amp;D865,'Incoming POs'!$G$2:$G$305,"&lt;"&amp;Dashboard!$I$5)</x:f>
        <x:v>0</x:v>
      </x:c>
      <x:c r="Q865" s="1" t="n">
        <x:f>F865*Dashboard!$L$5*MAX(0,Dashboard!$I$5-D865)/30.4375</x:f>
        <x:v>0</x:v>
      </x:c>
      <x:c r="R865" s="1" t="n">
        <x:f>MAX(0,E865+P865-Q865)</x:f>
        <x:v>1500</x:v>
      </x:c>
      <x:c r="S865" s="1" t="n">
        <x:f>MAX(0,Q865-E865-P865)</x:f>
        <x:v>0</x:v>
      </x:c>
      <x:c r="T865" s="1" t="str">
        <x:f>IF(L865=1,MAX(0,I865+AB865-MIN(Q865,E865+P865)),"n.a.")</x:f>
        <x:v>n.a.</x:v>
      </x:c>
      <x:c r="U865" s="9" t="str">
        <x:f>IF(ISNUMBER(T865),T865*G865,"n.a.")</x:f>
        <x:v>n.a.</x:v>
      </x:c>
      <x:c r="V865" s="25" t="n">
        <x:f>IF(Dashboard!$I$6="Flat %",1,IF(ISNUMBER(H865),1,0))</x:f>
        <x:v>1</x:v>
      </x:c>
      <x:c r="W865" s="9" t="n">
        <x:f>IF(Dashboard!$I$6="Flat %",G865*(1+Dashboard!$L$6),H865)</x:f>
        <x:v>0.034103999999999995</x:v>
      </x:c>
      <x:c r="X865" s="9" t="n">
        <x:f>IF(V865=1,R865*(W865-G865),"n.a.")</x:f>
        <x:v>7.505999999999992</x:v>
      </x:c>
      <x:c r="Y865" s="9" t="n">
        <x:f>IF(V865=1,R865*W865,"n.a.")</x:f>
        <x:v>51.15599999999999</x:v>
      </x:c>
      <x:c r="Z865" s="1" t="str">
        <x:f>IF(ISNUMBER(T865),R865-T865,"n.a.")</x:f>
        <x:v>n.a.</x:v>
      </x:c>
      <x:c r="AA865" s="1" t="str">
        <x:f>'Inventory inputs'!R865</x:f>
        <x:v>Review receipt reconciliation or original PO baseline</x:v>
      </x:c>
      <x:c r="AB865" s="1" t="str">
        <x:f>IF(L865=1,SUMIFS('Incoming POs'!$P$2:$P$305,'Incoming POs'!$A$2:$A$305,A865,'Incoming POs'!$B$2:$B$305,B865,'Incoming POs'!$C$2:$C$305,C865,'Incoming POs'!$G$2:$G$305,"&gt;="&amp;D865,'Incoming POs'!$G$2:$G$305,"&lt;"&amp;Dashboard!$I$5,'Incoming POs'!$Q$2:$Q$305,"&lt;="&amp;('Inventory inputs'!P865/'Inventory inputs'!J865*1.01)),"n.a.")</x:f>
        <x:v>n.a.</x:v>
      </x:c>
      <x:c r="AC865" s="9" t="n">
        <x:f>I865*G865</x:f>
        <x:v>0</x:v>
      </x:c>
      <x:c r="AD865" s="9" t="n">
        <x:f>J865*G865</x:f>
        <x:v>0</x:v>
      </x:c>
      <x:c r="AE865" s="9" t="n">
        <x:f>K865*G865</x:f>
        <x:v>43.65</x:v>
      </x:c>
      <x:c r="AF865" s="9" t="n">
        <x:f>R865*G865</x:f>
        <x:v>43.65</x:v>
      </x:c>
    </x:row>
    <x:row r="866" ht="21" customHeight="1">
      <x:c r="A866" s="1" t="str">
        <x:f>'Inventory inputs'!A866</x:f>
        <x:v>PLAS</x:v>
      </x:c>
      <x:c r="B866" s="1" t="str">
        <x:f>'Inventory inputs'!B866</x:f>
        <x:v>60</x:v>
      </x:c>
      <x:c r="C866" s="1" t="str">
        <x:f>'Inventory inputs'!C866</x:f>
        <x:v>91619RWBCLR</x:v>
      </x:c>
      <x:c r="D866" s="7" t="n">
        <x:f>'Inventory inputs'!E866</x:f>
        <x:v>46303</x:v>
      </x:c>
      <x:c r="E866" s="1" t="n">
        <x:f>'Inventory inputs'!F866</x:f>
        <x:v>1800</x:v>
      </x:c>
      <x:c r="F866" s="1" t="n">
        <x:f>'Inventory inputs'!G866</x:f>
        <x:v>0</x:v>
      </x:c>
      <x:c r="G866" s="1" t="n">
        <x:f>'Inventory inputs'!H866/'Inventory inputs'!J866</x:f>
        <x:v>0.042800000000000005</x:v>
      </x:c>
      <x:c r="H866" s="1" t="n">
        <x:f>IF('Inventory inputs'!I866&gt;0,'Inventory inputs'!I866*'Inventory inputs'!K866/'Inventory inputs'!J866,"n.a.")</x:f>
        <x:v>0.049980000000000004</x:v>
      </x:c>
      <x:c r="I866" s="1" t="n">
        <x:f>'Inventory inputs'!L866</x:f>
        <x:v>0</x:v>
      </x:c>
      <x:c r="J866" s="1" t="n">
        <x:f>'Inventory inputs'!M866</x:f>
        <x:v>0</x:v>
      </x:c>
      <x:c r="K866" s="1" t="n">
        <x:f>'Inventory inputs'!N866</x:f>
        <x:v>1800</x:v>
      </x:c>
      <x:c r="L866" s="1" t="n">
        <x:f>'Inventory inputs'!O866</x:f>
        <x:v>0</x:v>
      </x:c>
      <x:c r="M866" s="9" t="n">
        <x:f>E866*G866</x:f>
        <x:v>77.04</x:v>
      </x:c>
      <x:c r="N866" s="9" t="n">
        <x:f>'Inventory inputs'!Q866</x:f>
        <x:v>77.04</x:v>
      </x:c>
      <x:c r="O866" s="9" t="n">
        <x:f>N866-M866</x:f>
        <x:v>0</x:v>
      </x:c>
      <x:c r="P866" s="1" t="n">
        <x:f>SUMIFS('Incoming POs'!$P$2:$P$305,'Incoming POs'!$A$2:$A$305,A866,'Incoming POs'!$B$2:$B$305,B866,'Incoming POs'!$C$2:$C$305,C866,'Incoming POs'!$G$2:$G$305,"&gt;="&amp;D866,'Incoming POs'!$G$2:$G$305,"&lt;"&amp;Dashboard!$I$5)</x:f>
        <x:v>0</x:v>
      </x:c>
      <x:c r="Q866" s="1" t="n">
        <x:f>F866*Dashboard!$L$5*MAX(0,Dashboard!$I$5-D866)/30.4375</x:f>
        <x:v>0</x:v>
      </x:c>
      <x:c r="R866" s="1" t="n">
        <x:f>MAX(0,E866+P866-Q866)</x:f>
        <x:v>1800</x:v>
      </x:c>
      <x:c r="S866" s="1" t="n">
        <x:f>MAX(0,Q866-E866-P866)</x:f>
        <x:v>0</x:v>
      </x:c>
      <x:c r="T866" s="1" t="str">
        <x:f>IF(L866=1,MAX(0,I866+AB866-MIN(Q866,E866+P866)),"n.a.")</x:f>
        <x:v>n.a.</x:v>
      </x:c>
      <x:c r="U866" s="9" t="str">
        <x:f>IF(ISNUMBER(T866),T866*G866,"n.a.")</x:f>
        <x:v>n.a.</x:v>
      </x:c>
      <x:c r="V866" s="25" t="n">
        <x:f>IF(Dashboard!$I$6="Flat %",1,IF(ISNUMBER(H866),1,0))</x:f>
        <x:v>1</x:v>
      </x:c>
      <x:c r="W866" s="9" t="n">
        <x:f>IF(Dashboard!$I$6="Flat %",G866*(1+Dashboard!$L$6),H866)</x:f>
        <x:v>0.049980000000000004</x:v>
      </x:c>
      <x:c r="X866" s="9" t="n">
        <x:f>IF(V866=1,R866*(W866-G866),"n.a.")</x:f>
        <x:v>12.923999999999998</x:v>
      </x:c>
      <x:c r="Y866" s="9" t="n">
        <x:f>IF(V866=1,R866*W866,"n.a.")</x:f>
        <x:v>89.96400000000001</x:v>
      </x:c>
      <x:c r="Z866" s="1" t="str">
        <x:f>IF(ISNUMBER(T866),R866-T866,"n.a.")</x:f>
        <x:v>n.a.</x:v>
      </x:c>
      <x:c r="AA866" s="1" t="str">
        <x:f>'Inventory inputs'!R866</x:f>
        <x:v>Review receipt reconciliation or original PO baseline</x:v>
      </x:c>
      <x:c r="AB866" s="1" t="str">
        <x:f>IF(L866=1,SUMIFS('Incoming POs'!$P$2:$P$305,'Incoming POs'!$A$2:$A$305,A866,'Incoming POs'!$B$2:$B$305,B866,'Incoming POs'!$C$2:$C$305,C866,'Incoming POs'!$G$2:$G$305,"&gt;="&amp;D866,'Incoming POs'!$G$2:$G$305,"&lt;"&amp;Dashboard!$I$5,'Incoming POs'!$Q$2:$Q$305,"&lt;="&amp;('Inventory inputs'!P866/'Inventory inputs'!J866*1.01)),"n.a.")</x:f>
        <x:v>n.a.</x:v>
      </x:c>
      <x:c r="AC866" s="9" t="n">
        <x:f>I866*G866</x:f>
        <x:v>0</x:v>
      </x:c>
      <x:c r="AD866" s="9" t="n">
        <x:f>J866*G866</x:f>
        <x:v>0</x:v>
      </x:c>
      <x:c r="AE866" s="9" t="n">
        <x:f>K866*G866</x:f>
        <x:v>77.04</x:v>
      </x:c>
      <x:c r="AF866" s="9" t="n">
        <x:f>R866*G866</x:f>
        <x:v>77.04</x:v>
      </x:c>
    </x:row>
    <x:row r="867" ht="21" customHeight="1">
      <x:c r="A867" s="1" t="str">
        <x:f>'Inventory inputs'!A867</x:f>
        <x:v>PLAS</x:v>
      </x:c>
      <x:c r="B867" s="1" t="str">
        <x:f>'Inventory inputs'!B867</x:f>
        <x:v>60</x:v>
      </x:c>
      <x:c r="C867" s="1" t="str">
        <x:f>'Inventory inputs'!C867</x:f>
        <x:v>91680RWBBLK</x:v>
      </x:c>
      <x:c r="D867" s="7" t="n">
        <x:f>'Inventory inputs'!E867</x:f>
        <x:v>46303</x:v>
      </x:c>
      <x:c r="E867" s="1" t="n">
        <x:f>'Inventory inputs'!F867</x:f>
        <x:v>1000</x:v>
      </x:c>
      <x:c r="F867" s="1" t="n">
        <x:f>'Inventory inputs'!G867</x:f>
        <x:v>0</x:v>
      </x:c>
      <x:c r="G867" s="1" t="n">
        <x:f>'Inventory inputs'!H867/'Inventory inputs'!J867</x:f>
        <x:v>0.1618</x:v>
      </x:c>
      <x:c r="H867" s="1" t="n">
        <x:f>IF('Inventory inputs'!I867&gt;0,'Inventory inputs'!I867*'Inventory inputs'!K867/'Inventory inputs'!J867,"n.a.")</x:f>
        <x:v>0.18933600000000003</x:v>
      </x:c>
      <x:c r="I867" s="1" t="n">
        <x:f>'Inventory inputs'!L867</x:f>
        <x:v>0</x:v>
      </x:c>
      <x:c r="J867" s="1" t="n">
        <x:f>'Inventory inputs'!M867</x:f>
        <x:v>0</x:v>
      </x:c>
      <x:c r="K867" s="1" t="n">
        <x:f>'Inventory inputs'!N867</x:f>
        <x:v>1000</x:v>
      </x:c>
      <x:c r="L867" s="1" t="n">
        <x:f>'Inventory inputs'!O867</x:f>
        <x:v>0</x:v>
      </x:c>
      <x:c r="M867" s="9" t="n">
        <x:f>E867*G867</x:f>
        <x:v>161.8</x:v>
      </x:c>
      <x:c r="N867" s="9" t="n">
        <x:f>'Inventory inputs'!Q867</x:f>
        <x:v>161.8</x:v>
      </x:c>
      <x:c r="O867" s="9" t="n">
        <x:f>N867-M867</x:f>
        <x:v>0</x:v>
      </x:c>
      <x:c r="P867" s="1" t="n">
        <x:f>SUMIFS('Incoming POs'!$P$2:$P$305,'Incoming POs'!$A$2:$A$305,A867,'Incoming POs'!$B$2:$B$305,B867,'Incoming POs'!$C$2:$C$305,C867,'Incoming POs'!$G$2:$G$305,"&gt;="&amp;D867,'Incoming POs'!$G$2:$G$305,"&lt;"&amp;Dashboard!$I$5)</x:f>
        <x:v>0</x:v>
      </x:c>
      <x:c r="Q867" s="1" t="n">
        <x:f>F867*Dashboard!$L$5*MAX(0,Dashboard!$I$5-D867)/30.4375</x:f>
        <x:v>0</x:v>
      </x:c>
      <x:c r="R867" s="1" t="n">
        <x:f>MAX(0,E867+P867-Q867)</x:f>
        <x:v>1000</x:v>
      </x:c>
      <x:c r="S867" s="1" t="n">
        <x:f>MAX(0,Q867-E867-P867)</x:f>
        <x:v>0</x:v>
      </x:c>
      <x:c r="T867" s="1" t="str">
        <x:f>IF(L867=1,MAX(0,I867+AB867-MIN(Q867,E867+P867)),"n.a.")</x:f>
        <x:v>n.a.</x:v>
      </x:c>
      <x:c r="U867" s="9" t="str">
        <x:f>IF(ISNUMBER(T867),T867*G867,"n.a.")</x:f>
        <x:v>n.a.</x:v>
      </x:c>
      <x:c r="V867" s="25" t="n">
        <x:f>IF(Dashboard!$I$6="Flat %",1,IF(ISNUMBER(H867),1,0))</x:f>
        <x:v>1</x:v>
      </x:c>
      <x:c r="W867" s="9" t="n">
        <x:f>IF(Dashboard!$I$6="Flat %",G867*(1+Dashboard!$L$6),H867)</x:f>
        <x:v>0.18933600000000003</x:v>
      </x:c>
      <x:c r="X867" s="9" t="n">
        <x:f>IF(V867=1,R867*(W867-G867),"n.a.")</x:f>
        <x:v>27.536000000000033</x:v>
      </x:c>
      <x:c r="Y867" s="9" t="n">
        <x:f>IF(V867=1,R867*W867,"n.a.")</x:f>
        <x:v>189.33600000000004</x:v>
      </x:c>
      <x:c r="Z867" s="1" t="str">
        <x:f>IF(ISNUMBER(T867),R867-T867,"n.a.")</x:f>
        <x:v>n.a.</x:v>
      </x:c>
      <x:c r="AA867" s="1" t="str">
        <x:f>'Inventory inputs'!R867</x:f>
        <x:v>Review receipt reconciliation or original PO baseline</x:v>
      </x:c>
      <x:c r="AB867" s="1" t="str">
        <x:f>IF(L867=1,SUMIFS('Incoming POs'!$P$2:$P$305,'Incoming POs'!$A$2:$A$305,A867,'Incoming POs'!$B$2:$B$305,B867,'Incoming POs'!$C$2:$C$305,C867,'Incoming POs'!$G$2:$G$305,"&gt;="&amp;D867,'Incoming POs'!$G$2:$G$305,"&lt;"&amp;Dashboard!$I$5,'Incoming POs'!$Q$2:$Q$305,"&lt;="&amp;('Inventory inputs'!P867/'Inventory inputs'!J867*1.01)),"n.a.")</x:f>
        <x:v>n.a.</x:v>
      </x:c>
      <x:c r="AC867" s="9" t="n">
        <x:f>I867*G867</x:f>
        <x:v>0</x:v>
      </x:c>
      <x:c r="AD867" s="9" t="n">
        <x:f>J867*G867</x:f>
        <x:v>0</x:v>
      </x:c>
      <x:c r="AE867" s="9" t="n">
        <x:f>K867*G867</x:f>
        <x:v>161.8</x:v>
      </x:c>
      <x:c r="AF867" s="9" t="n">
        <x:f>R867*G867</x:f>
        <x:v>161.8</x:v>
      </x:c>
    </x:row>
    <x:row r="868" ht="21" customHeight="1">
      <x:c r="A868" s="1" t="str">
        <x:f>'Inventory inputs'!A868</x:f>
        <x:v>PLAS</x:v>
      </x:c>
      <x:c r="B868" s="1" t="str">
        <x:f>'Inventory inputs'!B868</x:f>
        <x:v>60</x:v>
      </x:c>
      <x:c r="C868" s="1" t="str">
        <x:f>'Inventory inputs'!C868</x:f>
        <x:v>91680RWBWHT</x:v>
      </x:c>
      <x:c r="D868" s="7" t="n">
        <x:f>'Inventory inputs'!E868</x:f>
        <x:v>46303</x:v>
      </x:c>
      <x:c r="E868" s="1" t="n">
        <x:f>'Inventory inputs'!F868</x:f>
        <x:v>2299</x:v>
      </x:c>
      <x:c r="F868" s="1" t="n">
        <x:f>'Inventory inputs'!G868</x:f>
        <x:v>0</x:v>
      </x:c>
      <x:c r="G868" s="1" t="n">
        <x:f>'Inventory inputs'!H868/'Inventory inputs'!J868</x:f>
        <x:v>0.1618</x:v>
      </x:c>
      <x:c r="H868" s="1" t="n">
        <x:f>IF('Inventory inputs'!I868&gt;0,'Inventory inputs'!I868*'Inventory inputs'!K868/'Inventory inputs'!J868,"n.a.")</x:f>
        <x:v>0.18933600000000003</x:v>
      </x:c>
      <x:c r="I868" s="1" t="n">
        <x:f>'Inventory inputs'!L868</x:f>
        <x:v>0</x:v>
      </x:c>
      <x:c r="J868" s="1" t="n">
        <x:f>'Inventory inputs'!M868</x:f>
        <x:v>0</x:v>
      </x:c>
      <x:c r="K868" s="1" t="n">
        <x:f>'Inventory inputs'!N868</x:f>
        <x:v>2299</x:v>
      </x:c>
      <x:c r="L868" s="1" t="n">
        <x:f>'Inventory inputs'!O868</x:f>
        <x:v>0</x:v>
      </x:c>
      <x:c r="M868" s="9" t="n">
        <x:f>E868*G868</x:f>
        <x:v>371.9782</x:v>
      </x:c>
      <x:c r="N868" s="9" t="n">
        <x:f>'Inventory inputs'!Q868</x:f>
        <x:v>371.9782</x:v>
      </x:c>
      <x:c r="O868" s="9" t="n">
        <x:f>N868-M868</x:f>
        <x:v>0</x:v>
      </x:c>
      <x:c r="P868" s="1" t="n">
        <x:f>SUMIFS('Incoming POs'!$P$2:$P$305,'Incoming POs'!$A$2:$A$305,A868,'Incoming POs'!$B$2:$B$305,B868,'Incoming POs'!$C$2:$C$305,C868,'Incoming POs'!$G$2:$G$305,"&gt;="&amp;D868,'Incoming POs'!$G$2:$G$305,"&lt;"&amp;Dashboard!$I$5)</x:f>
        <x:v>0</x:v>
      </x:c>
      <x:c r="Q868" s="1" t="n">
        <x:f>F868*Dashboard!$L$5*MAX(0,Dashboard!$I$5-D868)/30.4375</x:f>
        <x:v>0</x:v>
      </x:c>
      <x:c r="R868" s="1" t="n">
        <x:f>MAX(0,E868+P868-Q868)</x:f>
        <x:v>2299</x:v>
      </x:c>
      <x:c r="S868" s="1" t="n">
        <x:f>MAX(0,Q868-E868-P868)</x:f>
        <x:v>0</x:v>
      </x:c>
      <x:c r="T868" s="1" t="str">
        <x:f>IF(L868=1,MAX(0,I868+AB868-MIN(Q868,E868+P868)),"n.a.")</x:f>
        <x:v>n.a.</x:v>
      </x:c>
      <x:c r="U868" s="9" t="str">
        <x:f>IF(ISNUMBER(T868),T868*G868,"n.a.")</x:f>
        <x:v>n.a.</x:v>
      </x:c>
      <x:c r="V868" s="25" t="n">
        <x:f>IF(Dashboard!$I$6="Flat %",1,IF(ISNUMBER(H868),1,0))</x:f>
        <x:v>1</x:v>
      </x:c>
      <x:c r="W868" s="9" t="n">
        <x:f>IF(Dashboard!$I$6="Flat %",G868*(1+Dashboard!$L$6),H868)</x:f>
        <x:v>0.18933600000000003</x:v>
      </x:c>
      <x:c r="X868" s="9" t="n">
        <x:f>IF(V868=1,R868*(W868-G868),"n.a.")</x:f>
        <x:v>63.30526400000007</x:v>
      </x:c>
      <x:c r="Y868" s="9" t="n">
        <x:f>IF(V868=1,R868*W868,"n.a.")</x:f>
        <x:v>435.2834640000001</x:v>
      </x:c>
      <x:c r="Z868" s="1" t="str">
        <x:f>IF(ISNUMBER(T868),R868-T868,"n.a.")</x:f>
        <x:v>n.a.</x:v>
      </x:c>
      <x:c r="AA868" s="1" t="str">
        <x:f>'Inventory inputs'!R868</x:f>
        <x:v>Review receipt reconciliation or original PO baseline</x:v>
      </x:c>
      <x:c r="AB868" s="1" t="str">
        <x:f>IF(L868=1,SUMIFS('Incoming POs'!$P$2:$P$305,'Incoming POs'!$A$2:$A$305,A868,'Incoming POs'!$B$2:$B$305,B868,'Incoming POs'!$C$2:$C$305,C868,'Incoming POs'!$G$2:$G$305,"&gt;="&amp;D868,'Incoming POs'!$G$2:$G$305,"&lt;"&amp;Dashboard!$I$5,'Incoming POs'!$Q$2:$Q$305,"&lt;="&amp;('Inventory inputs'!P868/'Inventory inputs'!J868*1.01)),"n.a.")</x:f>
        <x:v>n.a.</x:v>
      </x:c>
      <x:c r="AC868" s="9" t="n">
        <x:f>I868*G868</x:f>
        <x:v>0</x:v>
      </x:c>
      <x:c r="AD868" s="9" t="n">
        <x:f>J868*G868</x:f>
        <x:v>0</x:v>
      </x:c>
      <x:c r="AE868" s="9" t="n">
        <x:f>K868*G868</x:f>
        <x:v>371.9782</x:v>
      </x:c>
      <x:c r="AF868" s="9" t="n">
        <x:f>R868*G868</x:f>
        <x:v>371.9782</x:v>
      </x:c>
    </x:row>
    <x:row r="869" ht="21" customHeight="1">
      <x:c r="A869" s="1" t="str">
        <x:f>'Inventory inputs'!A869</x:f>
        <x:v>FILM</x:v>
      </x:c>
      <x:c r="B869" s="1" t="str">
        <x:f>'Inventory inputs'!B869</x:f>
        <x:v>10</x:v>
      </x:c>
      <x:c r="C869" s="1" t="str">
        <x:f>'Inventory inputs'!C869</x:f>
        <x:v>2550015C1</x:v>
      </x:c>
      <x:c r="D869" s="7" t="n">
        <x:f>'Inventory inputs'!E869</x:f>
        <x:v>46304</x:v>
      </x:c>
      <x:c r="E869" s="1" t="n">
        <x:f>'Inventory inputs'!F869</x:f>
        <x:v>8486</x:v>
      </x:c>
      <x:c r="F869" s="1" t="n">
        <x:f>'Inventory inputs'!G869</x:f>
        <x:v>2361</x:v>
      </x:c>
      <x:c r="G869" s="1" t="n">
        <x:f>'Inventory inputs'!H869/'Inventory inputs'!J869</x:f>
        <x:v>13.5</x:v>
      </x:c>
      <x:c r="H869" s="1" t="n">
        <x:f>IF('Inventory inputs'!I869&gt;0,'Inventory inputs'!I869*'Inventory inputs'!K869/'Inventory inputs'!J869,"n.a.")</x:f>
        <x:v>16.2</x:v>
      </x:c>
      <x:c r="I869" s="1" t="n">
        <x:f>'Inventory inputs'!L869</x:f>
        <x:v>566</x:v>
      </x:c>
      <x:c r="J869" s="1" t="n">
        <x:f>'Inventory inputs'!M869</x:f>
        <x:v>7920</x:v>
      </x:c>
      <x:c r="K869" s="1" t="n">
        <x:f>'Inventory inputs'!N869</x:f>
        <x:v>0</x:v>
      </x:c>
      <x:c r="L869" s="1" t="n">
        <x:f>'Inventory inputs'!O869</x:f>
        <x:v>1</x:v>
      </x:c>
      <x:c r="M869" s="9" t="n">
        <x:f>E869*G869</x:f>
        <x:v>114561</x:v>
      </x:c>
      <x:c r="N869" s="9" t="n">
        <x:f>'Inventory inputs'!Q869</x:f>
        <x:v>114561</x:v>
      </x:c>
      <x:c r="O869" s="9" t="n">
        <x:f>N869-M869</x:f>
        <x:v>0</x:v>
      </x:c>
      <x:c r="P869" s="1" t="n">
        <x:f>SUMIFS('Incoming POs'!$P$2:$P$305,'Incoming POs'!$A$2:$A$305,A869,'Incoming POs'!$B$2:$B$305,B869,'Incoming POs'!$C$2:$C$305,C869,'Incoming POs'!$G$2:$G$305,"&gt;="&amp;D869,'Incoming POs'!$G$2:$G$305,"&lt;"&amp;Dashboard!$I$5)</x:f>
        <x:v>4320</x:v>
      </x:c>
      <x:c r="Q869" s="1" t="n">
        <x:f>F869*Dashboard!$L$5*MAX(0,Dashboard!$I$5-D869)/30.4375</x:f>
        <x:v>3083.359342915811</x:v>
      </x:c>
      <x:c r="R869" s="1" t="n">
        <x:f>MAX(0,E869+P869-Q869)</x:f>
        <x:v>9722.64065708419</x:v>
      </x:c>
      <x:c r="S869" s="1" t="n">
        <x:f>MAX(0,Q869-E869-P869)</x:f>
        <x:v>0</x:v>
      </x:c>
      <x:c r="T869" s="1" t="n">
        <x:f>IF(L869=1,MAX(0,I869+AB869-MIN(Q869,E869+P869)),"n.a.")</x:f>
        <x:v>0</x:v>
      </x:c>
      <x:c r="U869" s="9" t="n">
        <x:f>IF(ISNUMBER(T869),T869*G869,"n.a.")</x:f>
        <x:v>0</x:v>
      </x:c>
      <x:c r="V869" s="25" t="n">
        <x:f>IF(Dashboard!$I$6="Flat %",1,IF(ISNUMBER(H869),1,0))</x:f>
        <x:v>1</x:v>
      </x:c>
      <x:c r="W869" s="9" t="n">
        <x:f>IF(Dashboard!$I$6="Flat %",G869*(1+Dashboard!$L$6),H869)</x:f>
        <x:v>16.2</x:v>
      </x:c>
      <x:c r="X869" s="9" t="n">
        <x:f>IF(V869=1,R869*(W869-G869),"n.a.")</x:f>
        <x:v>26251.129774127305</x:v>
      </x:c>
      <x:c r="Y869" s="9" t="n">
        <x:f>IF(V869=1,R869*W869,"n.a.")</x:f>
        <x:v>157506.77864476386</x:v>
      </x:c>
      <x:c r="Z869" s="1" t="n">
        <x:f>IF(ISNUMBER(T869),R869-T869,"n.a.")</x:f>
        <x:v>9722.64065708419</x:v>
      </x:c>
      <x:c r="AA869" s="1" t="str">
        <x:f>'Inventory inputs'!R869</x:f>
        <x:v>Classified</x:v>
      </x:c>
      <x:c r="AB869" s="1" t="n">
        <x:f>IF(L869=1,SUMIFS('Incoming POs'!$P$2:$P$305,'Incoming POs'!$A$2:$A$305,A869,'Incoming POs'!$B$2:$B$305,B869,'Incoming POs'!$C$2:$C$305,C869,'Incoming POs'!$G$2:$G$305,"&gt;="&amp;D869,'Incoming POs'!$G$2:$G$305,"&lt;"&amp;Dashboard!$I$5,'Incoming POs'!$Q$2:$Q$305,"&lt;="&amp;('Inventory inputs'!P869/'Inventory inputs'!J869*1.01)),"n.a.")</x:f>
        <x:v>0</x:v>
      </x:c>
      <x:c r="AC869" s="9" t="n">
        <x:f>I869*G869</x:f>
        <x:v>7641</x:v>
      </x:c>
      <x:c r="AD869" s="9" t="n">
        <x:f>J869*G869</x:f>
        <x:v>106920</x:v>
      </x:c>
      <x:c r="AE869" s="9" t="n">
        <x:f>K869*G869</x:f>
        <x:v>0</x:v>
      </x:c>
      <x:c r="AF869" s="9" t="n">
        <x:f>R869*G869</x:f>
        <x:v>131255.64887063656</x:v>
      </x:c>
    </x:row>
    <x:row r="870" ht="21" customHeight="1">
      <x:c r="A870" s="1" t="str">
        <x:f>'Inventory inputs'!A870</x:f>
        <x:v>FILM</x:v>
      </x:c>
      <x:c r="B870" s="1" t="str">
        <x:f>'Inventory inputs'!B870</x:f>
        <x:v>10</x:v>
      </x:c>
      <x:c r="C870" s="1" t="str">
        <x:f>'Inventory inputs'!C870</x:f>
        <x:v>2750015C1</x:v>
      </x:c>
      <x:c r="D870" s="7" t="n">
        <x:f>'Inventory inputs'!E870</x:f>
        <x:v>46304</x:v>
      </x:c>
      <x:c r="E870" s="1" t="n">
        <x:f>'Inventory inputs'!F870</x:f>
        <x:v>1868</x:v>
      </x:c>
      <x:c r="F870" s="1" t="n">
        <x:f>'Inventory inputs'!G870</x:f>
        <x:v>699.58</x:v>
      </x:c>
      <x:c r="G870" s="1" t="n">
        <x:f>'Inventory inputs'!H870/'Inventory inputs'!J870</x:f>
        <x:v>14.58</x:v>
      </x:c>
      <x:c r="H870" s="1" t="n">
        <x:f>IF('Inventory inputs'!I870&gt;0,'Inventory inputs'!I870*'Inventory inputs'!K870/'Inventory inputs'!J870,"n.a.")</x:f>
        <x:v>17.5</x:v>
      </x:c>
      <x:c r="I870" s="1" t="n">
        <x:f>'Inventory inputs'!L870</x:f>
        <x:v>0</x:v>
      </x:c>
      <x:c r="J870" s="1" t="n">
        <x:f>'Inventory inputs'!M870</x:f>
        <x:v>1868</x:v>
      </x:c>
      <x:c r="K870" s="1" t="n">
        <x:f>'Inventory inputs'!N870</x:f>
        <x:v>0</x:v>
      </x:c>
      <x:c r="L870" s="1" t="n">
        <x:f>'Inventory inputs'!O870</x:f>
        <x:v>1</x:v>
      </x:c>
      <x:c r="M870" s="9" t="n">
        <x:f>E870*G870</x:f>
        <x:v>27235.44</x:v>
      </x:c>
      <x:c r="N870" s="9" t="n">
        <x:f>'Inventory inputs'!Q870</x:f>
        <x:v>27264.6</x:v>
      </x:c>
      <x:c r="O870" s="9" t="n">
        <x:f>N870-M870</x:f>
        <x:v>29.159999999999854</x:v>
      </x:c>
      <x:c r="P870" s="1" t="n">
        <x:f>SUMIFS('Incoming POs'!$P$2:$P$305,'Incoming POs'!$A$2:$A$305,A870,'Incoming POs'!$B$2:$B$305,B870,'Incoming POs'!$C$2:$C$305,C870,'Incoming POs'!$G$2:$G$305,"&gt;="&amp;D870,'Incoming POs'!$G$2:$G$305,"&lt;"&amp;Dashboard!$I$5)</x:f>
        <x:v>1200</x:v>
      </x:c>
      <x:c r="Q870" s="1" t="n">
        <x:f>F870*Dashboard!$L$5*MAX(0,Dashboard!$I$5-D870)/30.4375</x:f>
        <x:v>913.6198767967147</x:v>
      </x:c>
      <x:c r="R870" s="1" t="n">
        <x:f>MAX(0,E870+P870-Q870)</x:f>
        <x:v>2154.380123203285</x:v>
      </x:c>
      <x:c r="S870" s="1" t="n">
        <x:f>MAX(0,Q870-E870-P870)</x:f>
        <x:v>0</x:v>
      </x:c>
      <x:c r="T870" s="1" t="n">
        <x:f>IF(L870=1,MAX(0,I870+AB870-MIN(Q870,E870+P870)),"n.a.")</x:f>
        <x:v>0</x:v>
      </x:c>
      <x:c r="U870" s="9" t="n">
        <x:f>IF(ISNUMBER(T870),T870*G870,"n.a.")</x:f>
        <x:v>0</x:v>
      </x:c>
      <x:c r="V870" s="25" t="n">
        <x:f>IF(Dashboard!$I$6="Flat %",1,IF(ISNUMBER(H870),1,0))</x:f>
        <x:v>1</x:v>
      </x:c>
      <x:c r="W870" s="9" t="n">
        <x:f>IF(Dashboard!$I$6="Flat %",G870*(1+Dashboard!$L$6),H870)</x:f>
        <x:v>17.5</x:v>
      </x:c>
      <x:c r="X870" s="9" t="n">
        <x:f>IF(V870=1,R870*(W870-G870),"n.a.")</x:f>
        <x:v>6290.7899597535925</x:v>
      </x:c>
      <x:c r="Y870" s="9" t="n">
        <x:f>IF(V870=1,R870*W870,"n.a.")</x:f>
        <x:v>37701.65215605749</x:v>
      </x:c>
      <x:c r="Z870" s="1" t="n">
        <x:f>IF(ISNUMBER(T870),R870-T870,"n.a.")</x:f>
        <x:v>2154.380123203285</x:v>
      </x:c>
      <x:c r="AA870" s="1" t="str">
        <x:f>'Inventory inputs'!R870</x:f>
        <x:v>Classified</x:v>
      </x:c>
      <x:c r="AB870" s="1" t="n">
        <x:f>IF(L870=1,SUMIFS('Incoming POs'!$P$2:$P$305,'Incoming POs'!$A$2:$A$305,A870,'Incoming POs'!$B$2:$B$305,B870,'Incoming POs'!$C$2:$C$305,C870,'Incoming POs'!$G$2:$G$305,"&gt;="&amp;D870,'Incoming POs'!$G$2:$G$305,"&lt;"&amp;Dashboard!$I$5,'Incoming POs'!$Q$2:$Q$305,"&lt;="&amp;('Inventory inputs'!P870/'Inventory inputs'!J870*1.01)),"n.a.")</x:f>
        <x:v>0</x:v>
      </x:c>
      <x:c r="AC870" s="9" t="n">
        <x:f>I870*G870</x:f>
        <x:v>0</x:v>
      </x:c>
      <x:c r="AD870" s="9" t="n">
        <x:f>J870*G870</x:f>
        <x:v>27235.44</x:v>
      </x:c>
      <x:c r="AE870" s="9" t="n">
        <x:f>K870*G870</x:f>
        <x:v>0</x:v>
      </x:c>
      <x:c r="AF870" s="9" t="n">
        <x:f>R870*G870</x:f>
        <x:v>31410.862196303897</x:v>
      </x:c>
    </x:row>
    <x:row r="871" ht="21" customHeight="1">
      <x:c r="A871" s="1" t="str">
        <x:f>'Inventory inputs'!A871</x:f>
        <x:v>FILM</x:v>
      </x:c>
      <x:c r="B871" s="1" t="str">
        <x:f>'Inventory inputs'!B871</x:f>
        <x:v>10</x:v>
      </x:c>
      <x:c r="C871" s="1" t="str">
        <x:f>'Inventory inputs'!C871</x:f>
        <x:v>252503C1</x:v>
      </x:c>
      <x:c r="D871" s="7" t="n">
        <x:f>'Inventory inputs'!E871</x:f>
        <x:v>46304</x:v>
      </x:c>
      <x:c r="E871" s="1" t="n">
        <x:f>'Inventory inputs'!F871</x:f>
        <x:v>1014</x:v>
      </x:c>
      <x:c r="F871" s="1" t="n">
        <x:f>'Inventory inputs'!G871</x:f>
        <x:v>659</x:v>
      </x:c>
      <x:c r="G871" s="1" t="n">
        <x:f>'Inventory inputs'!H871/'Inventory inputs'!J871</x:f>
        <x:v>14.63</x:v>
      </x:c>
      <x:c r="H871" s="1" t="n">
        <x:f>IF('Inventory inputs'!I871&gt;0,'Inventory inputs'!I871*'Inventory inputs'!K871/'Inventory inputs'!J871,"n.a.")</x:f>
        <x:v>17.55</x:v>
      </x:c>
      <x:c r="I871" s="1" t="n">
        <x:f>'Inventory inputs'!L871</x:f>
        <x:v>0</x:v>
      </x:c>
      <x:c r="J871" s="1" t="n">
        <x:f>'Inventory inputs'!M871</x:f>
        <x:v>1014</x:v>
      </x:c>
      <x:c r="K871" s="1" t="n">
        <x:f>'Inventory inputs'!N871</x:f>
        <x:v>0</x:v>
      </x:c>
      <x:c r="L871" s="1" t="n">
        <x:f>'Inventory inputs'!O871</x:f>
        <x:v>1</x:v>
      </x:c>
      <x:c r="M871" s="9" t="n">
        <x:f>E871*G871</x:f>
        <x:v>14834.820000000002</x:v>
      </x:c>
      <x:c r="N871" s="9" t="n">
        <x:f>'Inventory inputs'!Q871</x:f>
        <x:v>14834.820000000002</x:v>
      </x:c>
      <x:c r="O871" s="9" t="n">
        <x:f>N871-M871</x:f>
        <x:v>0</x:v>
      </x:c>
      <x:c r="P871" s="1" t="n">
        <x:f>SUMIFS('Incoming POs'!$P$2:$P$305,'Incoming POs'!$A$2:$A$305,A871,'Incoming POs'!$B$2:$B$305,B871,'Incoming POs'!$C$2:$C$305,C871,'Incoming POs'!$G$2:$G$305,"&gt;="&amp;D871,'Incoming POs'!$G$2:$G$305,"&lt;"&amp;Dashboard!$I$5)</x:f>
        <x:v>1560</x:v>
      </x:c>
      <x:c r="Q871" s="1" t="n">
        <x:f>F871*Dashboard!$L$5*MAX(0,Dashboard!$I$5-D871)/30.4375</x:f>
        <x:v>860.6242299794661</x:v>
      </x:c>
      <x:c r="R871" s="1" t="n">
        <x:f>MAX(0,E871+P871-Q871)</x:f>
        <x:v>1713.3757700205338</x:v>
      </x:c>
      <x:c r="S871" s="1" t="n">
        <x:f>MAX(0,Q871-E871-P871)</x:f>
        <x:v>0</x:v>
      </x:c>
      <x:c r="T871" s="1" t="n">
        <x:f>IF(L871=1,MAX(0,I871+AB871-MIN(Q871,E871+P871)),"n.a.")</x:f>
        <x:v>0</x:v>
      </x:c>
      <x:c r="U871" s="9" t="n">
        <x:f>IF(ISNUMBER(T871),T871*G871,"n.a.")</x:f>
        <x:v>0</x:v>
      </x:c>
      <x:c r="V871" s="25" t="n">
        <x:f>IF(Dashboard!$I$6="Flat %",1,IF(ISNUMBER(H871),1,0))</x:f>
        <x:v>1</x:v>
      </x:c>
      <x:c r="W871" s="9" t="n">
        <x:f>IF(Dashboard!$I$6="Flat %",G871*(1+Dashboard!$L$6),H871)</x:f>
        <x:v>17.55</x:v>
      </x:c>
      <x:c r="X871" s="9" t="n">
        <x:f>IF(V871=1,R871*(W871-G871),"n.a.")</x:f>
        <x:v>5003.057248459959</x:v>
      </x:c>
      <x:c r="Y871" s="9" t="n">
        <x:f>IF(V871=1,R871*W871,"n.a.")</x:f>
        <x:v>30069.74476386037</x:v>
      </x:c>
      <x:c r="Z871" s="1" t="n">
        <x:f>IF(ISNUMBER(T871),R871-T871,"n.a.")</x:f>
        <x:v>1713.3757700205338</x:v>
      </x:c>
      <x:c r="AA871" s="1" t="str">
        <x:f>'Inventory inputs'!R871</x:f>
        <x:v>Classified</x:v>
      </x:c>
      <x:c r="AB871" s="1" t="n">
        <x:f>IF(L871=1,SUMIFS('Incoming POs'!$P$2:$P$305,'Incoming POs'!$A$2:$A$305,A871,'Incoming POs'!$B$2:$B$305,B871,'Incoming POs'!$C$2:$C$305,C871,'Incoming POs'!$G$2:$G$305,"&gt;="&amp;D871,'Incoming POs'!$G$2:$G$305,"&lt;"&amp;Dashboard!$I$5,'Incoming POs'!$Q$2:$Q$305,"&lt;="&amp;('Inventory inputs'!P871/'Inventory inputs'!J871*1.01)),"n.a.")</x:f>
        <x:v>0</x:v>
      </x:c>
      <x:c r="AC871" s="9" t="n">
        <x:f>I871*G871</x:f>
        <x:v>0</x:v>
      </x:c>
      <x:c r="AD871" s="9" t="n">
        <x:f>J871*G871</x:f>
        <x:v>14834.820000000002</x:v>
      </x:c>
      <x:c r="AE871" s="9" t="n">
        <x:f>K871*G871</x:f>
        <x:v>0</x:v>
      </x:c>
      <x:c r="AF871" s="9" t="n">
        <x:f>R871*G871</x:f>
        <x:v>25066.687515400412</x:v>
      </x:c>
    </x:row>
    <x:row r="872" ht="21" customHeight="1">
      <x:c r="A872" s="1" t="str">
        <x:f>'Inventory inputs'!A872</x:f>
        <x:v>FILM</x:v>
      </x:c>
      <x:c r="B872" s="1" t="str">
        <x:f>'Inventory inputs'!B872</x:f>
        <x:v>30</x:v>
      </x:c>
      <x:c r="C872" s="1" t="str">
        <x:f>'Inventory inputs'!C872</x:f>
        <x:v>2550015C1</x:v>
      </x:c>
      <x:c r="D872" s="7" t="n">
        <x:f>'Inventory inputs'!E872</x:f>
        <x:v>46304</x:v>
      </x:c>
      <x:c r="E872" s="1" t="n">
        <x:f>'Inventory inputs'!F872</x:f>
        <x:v>5195</x:v>
      </x:c>
      <x:c r="F872" s="1" t="n">
        <x:f>'Inventory inputs'!G872</x:f>
        <x:v>542.33</x:v>
      </x:c>
      <x:c r="G872" s="1" t="n">
        <x:f>'Inventory inputs'!H872/'Inventory inputs'!J872</x:f>
        <x:v>13.5</x:v>
      </x:c>
      <x:c r="H872" s="1" t="n">
        <x:f>IF('Inventory inputs'!I872&gt;0,'Inventory inputs'!I872*'Inventory inputs'!K872/'Inventory inputs'!J872,"n.a.")</x:f>
        <x:v>16.2</x:v>
      </x:c>
      <x:c r="I872" s="1" t="n">
        <x:f>'Inventory inputs'!L872</x:f>
        <x:v>2435</x:v>
      </x:c>
      <x:c r="J872" s="1" t="n">
        <x:f>'Inventory inputs'!M872</x:f>
        <x:v>2760</x:v>
      </x:c>
      <x:c r="K872" s="1" t="n">
        <x:f>'Inventory inputs'!N872</x:f>
        <x:v>0</x:v>
      </x:c>
      <x:c r="L872" s="1" t="n">
        <x:f>'Inventory inputs'!O872</x:f>
        <x:v>1</x:v>
      </x:c>
      <x:c r="M872" s="9" t="n">
        <x:f>E872*G872</x:f>
        <x:v>70132.5</x:v>
      </x:c>
      <x:c r="N872" s="9" t="n">
        <x:f>'Inventory inputs'!Q872</x:f>
        <x:v>70132.5</x:v>
      </x:c>
      <x:c r="O872" s="9" t="n">
        <x:f>N872-M872</x:f>
        <x:v>0</x:v>
      </x:c>
      <x:c r="P872" s="1" t="n">
        <x:f>SUMIFS('Incoming POs'!$P$2:$P$305,'Incoming POs'!$A$2:$A$305,A872,'Incoming POs'!$B$2:$B$305,B872,'Incoming POs'!$C$2:$C$305,C872,'Incoming POs'!$G$2:$G$305,"&gt;="&amp;D872,'Incoming POs'!$G$2:$G$305,"&lt;"&amp;Dashboard!$I$5)</x:f>
        <x:v>0</x:v>
      </x:c>
      <x:c r="Q872" s="1" t="n">
        <x:f>F872*Dashboard!$L$5*MAX(0,Dashboard!$I$5-D872)/30.4375</x:f>
        <x:v>708.2584804928133</x:v>
      </x:c>
      <x:c r="R872" s="1" t="n">
        <x:f>MAX(0,E872+P872-Q872)</x:f>
        <x:v>4486.741519507186</x:v>
      </x:c>
      <x:c r="S872" s="1" t="n">
        <x:f>MAX(0,Q872-E872-P872)</x:f>
        <x:v>0</x:v>
      </x:c>
      <x:c r="T872" s="1" t="n">
        <x:f>IF(L872=1,MAX(0,I872+AB872-MIN(Q872,E872+P872)),"n.a.")</x:f>
        <x:v>1726.7415195071867</x:v>
      </x:c>
      <x:c r="U872" s="9" t="n">
        <x:f>IF(ISNUMBER(T872),T872*G872,"n.a.")</x:f>
        <x:v>23311.01051334702</x:v>
      </x:c>
      <x:c r="V872" s="25" t="n">
        <x:f>IF(Dashboard!$I$6="Flat %",1,IF(ISNUMBER(H872),1,0))</x:f>
        <x:v>1</x:v>
      </x:c>
      <x:c r="W872" s="9" t="n">
        <x:f>IF(Dashboard!$I$6="Flat %",G872*(1+Dashboard!$L$6),H872)</x:f>
        <x:v>16.2</x:v>
      </x:c>
      <x:c r="X872" s="9" t="n">
        <x:f>IF(V872=1,R872*(W872-G872),"n.a.")</x:f>
        <x:v>12114.2021026694</x:v>
      </x:c>
      <x:c r="Y872" s="9" t="n">
        <x:f>IF(V872=1,R872*W872,"n.a.")</x:f>
        <x:v>72685.21261601642</x:v>
      </x:c>
      <x:c r="Z872" s="1" t="n">
        <x:f>IF(ISNUMBER(T872),R872-T872,"n.a.")</x:f>
        <x:v>2759.9999999999995</x:v>
      </x:c>
      <x:c r="AA872" s="1" t="str">
        <x:f>'Inventory inputs'!R872</x:f>
        <x:v>Classified</x:v>
      </x:c>
      <x:c r="AB872" s="1" t="n">
        <x:f>IF(L872=1,SUMIFS('Incoming POs'!$P$2:$P$305,'Incoming POs'!$A$2:$A$305,A872,'Incoming POs'!$B$2:$B$305,B872,'Incoming POs'!$C$2:$C$305,C872,'Incoming POs'!$G$2:$G$305,"&gt;="&amp;D872,'Incoming POs'!$G$2:$G$305,"&lt;"&amp;Dashboard!$I$5,'Incoming POs'!$Q$2:$Q$305,"&lt;="&amp;('Inventory inputs'!P872/'Inventory inputs'!J872*1.01)),"n.a.")</x:f>
        <x:v>0</x:v>
      </x:c>
      <x:c r="AC872" s="9" t="n">
        <x:f>I872*G872</x:f>
        <x:v>32872.5</x:v>
      </x:c>
      <x:c r="AD872" s="9" t="n">
        <x:f>J872*G872</x:f>
        <x:v>37260</x:v>
      </x:c>
      <x:c r="AE872" s="9" t="n">
        <x:f>K872*G872</x:f>
        <x:v>0</x:v>
      </x:c>
      <x:c r="AF872" s="9" t="n">
        <x:f>R872*G872</x:f>
        <x:v>60571.01051334701</x:v>
      </x:c>
    </x:row>
    <x:row r="873" ht="21" customHeight="1">
      <x:c r="A873" s="1" t="str">
        <x:f>'Inventory inputs'!A873</x:f>
        <x:v>FILM</x:v>
      </x:c>
      <x:c r="B873" s="1" t="str">
        <x:f>'Inventory inputs'!B873</x:f>
        <x:v>60</x:v>
      </x:c>
      <x:c r="C873" s="1" t="str">
        <x:f>'Inventory inputs'!C873</x:f>
        <x:v>2550015C1</x:v>
      </x:c>
      <x:c r="D873" s="7" t="n">
        <x:f>'Inventory inputs'!E873</x:f>
        <x:v>46304</x:v>
      </x:c>
      <x:c r="E873" s="1" t="n">
        <x:f>'Inventory inputs'!F873</x:f>
        <x:v>2718</x:v>
      </x:c>
      <x:c r="F873" s="1" t="n">
        <x:f>'Inventory inputs'!G873</x:f>
        <x:v>536.33</x:v>
      </x:c>
      <x:c r="G873" s="1" t="n">
        <x:f>'Inventory inputs'!H873/'Inventory inputs'!J873</x:f>
        <x:v>13.5</x:v>
      </x:c>
      <x:c r="H873" s="1" t="n">
        <x:f>IF('Inventory inputs'!I873&gt;0,'Inventory inputs'!I873*'Inventory inputs'!K873/'Inventory inputs'!J873,"n.a.")</x:f>
        <x:v>16.2</x:v>
      </x:c>
      <x:c r="I873" s="1" t="n">
        <x:f>'Inventory inputs'!L873</x:f>
        <x:v>1758</x:v>
      </x:c>
      <x:c r="J873" s="1" t="n">
        <x:f>'Inventory inputs'!M873</x:f>
        <x:v>960</x:v>
      </x:c>
      <x:c r="K873" s="1" t="n">
        <x:f>'Inventory inputs'!N873</x:f>
        <x:v>0</x:v>
      </x:c>
      <x:c r="L873" s="1" t="n">
        <x:f>'Inventory inputs'!O873</x:f>
        <x:v>1</x:v>
      </x:c>
      <x:c r="M873" s="9" t="n">
        <x:f>E873*G873</x:f>
        <x:v>36693</x:v>
      </x:c>
      <x:c r="N873" s="9" t="n">
        <x:f>'Inventory inputs'!Q873</x:f>
        <x:v>36706.5</x:v>
      </x:c>
      <x:c r="O873" s="9" t="n">
        <x:f>N873-M873</x:f>
        <x:v>13.5</x:v>
      </x:c>
      <x:c r="P873" s="1" t="n">
        <x:f>SUMIFS('Incoming POs'!$P$2:$P$305,'Incoming POs'!$A$2:$A$305,A873,'Incoming POs'!$B$2:$B$305,B873,'Incoming POs'!$C$2:$C$305,C873,'Incoming POs'!$G$2:$G$305,"&gt;="&amp;D873,'Incoming POs'!$G$2:$G$305,"&lt;"&amp;Dashboard!$I$5)</x:f>
        <x:v>0</x:v>
      </x:c>
      <x:c r="Q873" s="1" t="n">
        <x:f>F873*Dashboard!$L$5*MAX(0,Dashboard!$I$5-D873)/30.4375</x:f>
        <x:v>700.4227515400412</x:v>
      </x:c>
      <x:c r="R873" s="1" t="n">
        <x:f>MAX(0,E873+P873-Q873)</x:f>
        <x:v>2017.5772484599588</x:v>
      </x:c>
      <x:c r="S873" s="1" t="n">
        <x:f>MAX(0,Q873-E873-P873)</x:f>
        <x:v>0</x:v>
      </x:c>
      <x:c r="T873" s="1" t="n">
        <x:f>IF(L873=1,MAX(0,I873+AB873-MIN(Q873,E873+P873)),"n.a.")</x:f>
        <x:v>1057.5772484599588</x:v>
      </x:c>
      <x:c r="U873" s="9" t="n">
        <x:f>IF(ISNUMBER(T873),T873*G873,"n.a.")</x:f>
        <x:v>14277.292854209443</x:v>
      </x:c>
      <x:c r="V873" s="25" t="n">
        <x:f>IF(Dashboard!$I$6="Flat %",1,IF(ISNUMBER(H873),1,0))</x:f>
        <x:v>1</x:v>
      </x:c>
      <x:c r="W873" s="9" t="n">
        <x:f>IF(Dashboard!$I$6="Flat %",G873*(1+Dashboard!$L$6),H873)</x:f>
        <x:v>16.2</x:v>
      </x:c>
      <x:c r="X873" s="9" t="n">
        <x:f>IF(V873=1,R873*(W873-G873),"n.a.")</x:f>
        <x:v>5447.458570841887</x:v>
      </x:c>
      <x:c r="Y873" s="9" t="n">
        <x:f>IF(V873=1,R873*W873,"n.a.")</x:f>
        <x:v>32684.75142505133</x:v>
      </x:c>
      <x:c r="Z873" s="1" t="n">
        <x:f>IF(ISNUMBER(T873),R873-T873,"n.a.")</x:f>
        <x:v>960</x:v>
      </x:c>
      <x:c r="AA873" s="1" t="str">
        <x:f>'Inventory inputs'!R873</x:f>
        <x:v>Classified</x:v>
      </x:c>
      <x:c r="AB873" s="1" t="n">
        <x:f>IF(L873=1,SUMIFS('Incoming POs'!$P$2:$P$305,'Incoming POs'!$A$2:$A$305,A873,'Incoming POs'!$B$2:$B$305,B873,'Incoming POs'!$C$2:$C$305,C873,'Incoming POs'!$G$2:$G$305,"&gt;="&amp;D873,'Incoming POs'!$G$2:$G$305,"&lt;"&amp;Dashboard!$I$5,'Incoming POs'!$Q$2:$Q$305,"&lt;="&amp;('Inventory inputs'!P873/'Inventory inputs'!J873*1.01)),"n.a.")</x:f>
        <x:v>0</x:v>
      </x:c>
      <x:c r="AC873" s="9" t="n">
        <x:f>I873*G873</x:f>
        <x:v>23733</x:v>
      </x:c>
      <x:c r="AD873" s="9" t="n">
        <x:f>J873*G873</x:f>
        <x:v>12960</x:v>
      </x:c>
      <x:c r="AE873" s="9" t="n">
        <x:f>K873*G873</x:f>
        <x:v>0</x:v>
      </x:c>
      <x:c r="AF873" s="9" t="n">
        <x:f>R873*G873</x:f>
        <x:v>27237.292854209445</x:v>
      </x:c>
    </x:row>
    <x:row r="874" ht="21" customHeight="1">
      <x:c r="A874" s="1" t="str">
        <x:f>'Inventory inputs'!A874</x:f>
        <x:v>FILM</x:v>
      </x:c>
      <x:c r="B874" s="1" t="str">
        <x:f>'Inventory inputs'!B874</x:f>
        <x:v>10</x:v>
      </x:c>
      <x:c r="C874" s="1" t="str">
        <x:f>'Inventory inputs'!C874</x:f>
        <x:v>272503C1</x:v>
      </x:c>
      <x:c r="D874" s="7" t="n">
        <x:f>'Inventory inputs'!E874</x:f>
        <x:v>46304</x:v>
      </x:c>
      <x:c r="E874" s="1" t="n">
        <x:f>'Inventory inputs'!F874</x:f>
        <x:v>716</x:v>
      </x:c>
      <x:c r="F874" s="1" t="n">
        <x:f>'Inventory inputs'!G874</x:f>
        <x:v>326.33</x:v>
      </x:c>
      <x:c r="G874" s="1" t="n">
        <x:f>'Inventory inputs'!H874/'Inventory inputs'!J874</x:f>
        <x:v>15.8</x:v>
      </x:c>
      <x:c r="H874" s="1" t="n">
        <x:f>IF('Inventory inputs'!I874&gt;0,'Inventory inputs'!I874*'Inventory inputs'!K874/'Inventory inputs'!J874,"n.a.")</x:f>
        <x:v>18.95</x:v>
      </x:c>
      <x:c r="I874" s="1" t="n">
        <x:f>'Inventory inputs'!L874</x:f>
        <x:v>0</x:v>
      </x:c>
      <x:c r="J874" s="1" t="n">
        <x:f>'Inventory inputs'!M874</x:f>
        <x:v>716</x:v>
      </x:c>
      <x:c r="K874" s="1" t="n">
        <x:f>'Inventory inputs'!N874</x:f>
        <x:v>0</x:v>
      </x:c>
      <x:c r="L874" s="1" t="n">
        <x:f>'Inventory inputs'!O874</x:f>
        <x:v>1</x:v>
      </x:c>
      <x:c r="M874" s="9" t="n">
        <x:f>E874*G874</x:f>
        <x:v>11312.800000000001</x:v>
      </x:c>
      <x:c r="N874" s="9" t="n">
        <x:f>'Inventory inputs'!Q874</x:f>
        <x:v>11312.800000000001</x:v>
      </x:c>
      <x:c r="O874" s="9" t="n">
        <x:f>N874-M874</x:f>
        <x:v>0</x:v>
      </x:c>
      <x:c r="P874" s="1" t="n">
        <x:f>SUMIFS('Incoming POs'!$P$2:$P$305,'Incoming POs'!$A$2:$A$305,A874,'Incoming POs'!$B$2:$B$305,B874,'Incoming POs'!$C$2:$C$305,C874,'Incoming POs'!$G$2:$G$305,"&gt;="&amp;D874,'Incoming POs'!$G$2:$G$305,"&lt;"&amp;Dashboard!$I$5)</x:f>
        <x:v>480</x:v>
      </x:c>
      <x:c r="Q874" s="1" t="n">
        <x:f>F874*Dashboard!$L$5*MAX(0,Dashboard!$I$5-D874)/30.4375</x:f>
        <x:v>426.1722381930185</x:v>
      </x:c>
      <x:c r="R874" s="1" t="n">
        <x:f>MAX(0,E874+P874-Q874)</x:f>
        <x:v>769.8277618069815</x:v>
      </x:c>
      <x:c r="S874" s="1" t="n">
        <x:f>MAX(0,Q874-E874-P874)</x:f>
        <x:v>0</x:v>
      </x:c>
      <x:c r="T874" s="1" t="n">
        <x:f>IF(L874=1,MAX(0,I874+AB874-MIN(Q874,E874+P874)),"n.a.")</x:f>
        <x:v>0</x:v>
      </x:c>
      <x:c r="U874" s="9" t="n">
        <x:f>IF(ISNUMBER(T874),T874*G874,"n.a.")</x:f>
        <x:v>0</x:v>
      </x:c>
      <x:c r="V874" s="25" t="n">
        <x:f>IF(Dashboard!$I$6="Flat %",1,IF(ISNUMBER(H874),1,0))</x:f>
        <x:v>1</x:v>
      </x:c>
      <x:c r="W874" s="9" t="n">
        <x:f>IF(Dashboard!$I$6="Flat %",G874*(1+Dashboard!$L$6),H874)</x:f>
        <x:v>18.95</x:v>
      </x:c>
      <x:c r="X874" s="9" t="n">
        <x:f>IF(V874=1,R874*(W874-G874),"n.a.")</x:f>
        <x:v>2424.9574496919904</x:v>
      </x:c>
      <x:c r="Y874" s="9" t="n">
        <x:f>IF(V874=1,R874*W874,"n.a.")</x:f>
        <x:v>14588.236086242297</x:v>
      </x:c>
      <x:c r="Z874" s="1" t="n">
        <x:f>IF(ISNUMBER(T874),R874-T874,"n.a.")</x:f>
        <x:v>769.8277618069815</x:v>
      </x:c>
      <x:c r="AA874" s="1" t="str">
        <x:f>'Inventory inputs'!R874</x:f>
        <x:v>Classified</x:v>
      </x:c>
      <x:c r="AB874" s="1" t="n">
        <x:f>IF(L874=1,SUMIFS('Incoming POs'!$P$2:$P$305,'Incoming POs'!$A$2:$A$305,A874,'Incoming POs'!$B$2:$B$305,B874,'Incoming POs'!$C$2:$C$305,C874,'Incoming POs'!$G$2:$G$305,"&gt;="&amp;D874,'Incoming POs'!$G$2:$G$305,"&lt;"&amp;Dashboard!$I$5,'Incoming POs'!$Q$2:$Q$305,"&lt;="&amp;('Inventory inputs'!P874/'Inventory inputs'!J874*1.01)),"n.a.")</x:f>
        <x:v>0</x:v>
      </x:c>
      <x:c r="AC874" s="9" t="n">
        <x:f>I874*G874</x:f>
        <x:v>0</x:v>
      </x:c>
      <x:c r="AD874" s="9" t="n">
        <x:f>J874*G874</x:f>
        <x:v>11312.800000000001</x:v>
      </x:c>
      <x:c r="AE874" s="9" t="n">
        <x:f>K874*G874</x:f>
        <x:v>0</x:v>
      </x:c>
      <x:c r="AF874" s="9" t="n">
        <x:f>R874*G874</x:f>
        <x:v>12163.278636550307</x:v>
      </x:c>
    </x:row>
    <x:row r="875" ht="21" customHeight="1">
      <x:c r="A875" s="1" t="str">
        <x:f>'Inventory inputs'!A875</x:f>
        <x:v>FILM</x:v>
      </x:c>
      <x:c r="B875" s="1" t="str">
        <x:f>'Inventory inputs'!B875</x:f>
        <x:v>30</x:v>
      </x:c>
      <x:c r="C875" s="1" t="str">
        <x:f>'Inventory inputs'!C875</x:f>
        <x:v>2750015C1</x:v>
      </x:c>
      <x:c r="D875" s="7" t="n">
        <x:f>'Inventory inputs'!E875</x:f>
        <x:v>46304</x:v>
      </x:c>
      <x:c r="E875" s="1" t="n">
        <x:f>'Inventory inputs'!F875</x:f>
        <x:v>527</x:v>
      </x:c>
      <x:c r="F875" s="1" t="n">
        <x:f>'Inventory inputs'!G875</x:f>
        <x:v>231.33</x:v>
      </x:c>
      <x:c r="G875" s="1" t="n">
        <x:f>'Inventory inputs'!H875/'Inventory inputs'!J875</x:f>
        <x:v>14.58</x:v>
      </x:c>
      <x:c r="H875" s="1" t="n">
        <x:f>IF('Inventory inputs'!I875&gt;0,'Inventory inputs'!I875*'Inventory inputs'!K875/'Inventory inputs'!J875,"n.a.")</x:f>
        <x:v>17.5</x:v>
      </x:c>
      <x:c r="I875" s="1" t="n">
        <x:f>'Inventory inputs'!L875</x:f>
        <x:v>47</x:v>
      </x:c>
      <x:c r="J875" s="1" t="n">
        <x:f>'Inventory inputs'!M875</x:f>
        <x:v>480</x:v>
      </x:c>
      <x:c r="K875" s="1" t="n">
        <x:f>'Inventory inputs'!N875</x:f>
        <x:v>0</x:v>
      </x:c>
      <x:c r="L875" s="1" t="n">
        <x:f>'Inventory inputs'!O875</x:f>
        <x:v>1</x:v>
      </x:c>
      <x:c r="M875" s="9" t="n">
        <x:f>E875*G875</x:f>
        <x:v>7683.66</x:v>
      </x:c>
      <x:c r="N875" s="9" t="n">
        <x:f>'Inventory inputs'!Q875</x:f>
        <x:v>7683.66</x:v>
      </x:c>
      <x:c r="O875" s="9" t="n">
        <x:f>N875-M875</x:f>
        <x:v>0</x:v>
      </x:c>
      <x:c r="P875" s="1" t="n">
        <x:f>SUMIFS('Incoming POs'!$P$2:$P$305,'Incoming POs'!$A$2:$A$305,A875,'Incoming POs'!$B$2:$B$305,B875,'Incoming POs'!$C$2:$C$305,C875,'Incoming POs'!$G$2:$G$305,"&gt;="&amp;D875,'Incoming POs'!$G$2:$G$305,"&lt;"&amp;Dashboard!$I$5)</x:f>
        <x:v>1080</x:v>
      </x:c>
      <x:c r="Q875" s="1" t="n">
        <x:f>F875*Dashboard!$L$5*MAX(0,Dashboard!$I$5-D875)/30.4375</x:f>
        <x:v>302.1065297741273</x:v>
      </x:c>
      <x:c r="R875" s="1" t="n">
        <x:f>MAX(0,E875+P875-Q875)</x:f>
        <x:v>1304.8934702258728</x:v>
      </x:c>
      <x:c r="S875" s="1" t="n">
        <x:f>MAX(0,Q875-E875-P875)</x:f>
        <x:v>0</x:v>
      </x:c>
      <x:c r="T875" s="1" t="n">
        <x:f>IF(L875=1,MAX(0,I875+AB875-MIN(Q875,E875+P875)),"n.a.")</x:f>
        <x:v>0</x:v>
      </x:c>
      <x:c r="U875" s="9" t="n">
        <x:f>IF(ISNUMBER(T875),T875*G875,"n.a.")</x:f>
        <x:v>0</x:v>
      </x:c>
      <x:c r="V875" s="25" t="n">
        <x:f>IF(Dashboard!$I$6="Flat %",1,IF(ISNUMBER(H875),1,0))</x:f>
        <x:v>1</x:v>
      </x:c>
      <x:c r="W875" s="9" t="n">
        <x:f>IF(Dashboard!$I$6="Flat %",G875*(1+Dashboard!$L$6),H875)</x:f>
        <x:v>17.5</x:v>
      </x:c>
      <x:c r="X875" s="9" t="n">
        <x:f>IF(V875=1,R875*(W875-G875),"n.a.")</x:f>
        <x:v>3810.2889330595485</x:v>
      </x:c>
      <x:c r="Y875" s="9" t="n">
        <x:f>IF(V875=1,R875*W875,"n.a.")</x:f>
        <x:v>22835.635728952773</x:v>
      </x:c>
      <x:c r="Z875" s="1" t="n">
        <x:f>IF(ISNUMBER(T875),R875-T875,"n.a.")</x:f>
        <x:v>1304.8934702258728</x:v>
      </x:c>
      <x:c r="AA875" s="1" t="str">
        <x:f>'Inventory inputs'!R875</x:f>
        <x:v>Classified</x:v>
      </x:c>
      <x:c r="AB875" s="1" t="n">
        <x:f>IF(L875=1,SUMIFS('Incoming POs'!$P$2:$P$305,'Incoming POs'!$A$2:$A$305,A875,'Incoming POs'!$B$2:$B$305,B875,'Incoming POs'!$C$2:$C$305,C875,'Incoming POs'!$G$2:$G$305,"&gt;="&amp;D875,'Incoming POs'!$G$2:$G$305,"&lt;"&amp;Dashboard!$I$5,'Incoming POs'!$Q$2:$Q$305,"&lt;="&amp;('Inventory inputs'!P875/'Inventory inputs'!J875*1.01)),"n.a.")</x:f>
        <x:v>0</x:v>
      </x:c>
      <x:c r="AC875" s="9" t="n">
        <x:f>I875*G875</x:f>
        <x:v>685.26</x:v>
      </x:c>
      <x:c r="AD875" s="9" t="n">
        <x:f>J875*G875</x:f>
        <x:v>6998.4</x:v>
      </x:c>
      <x:c r="AE875" s="9" t="n">
        <x:f>K875*G875</x:f>
        <x:v>0</x:v>
      </x:c>
      <x:c r="AF875" s="9" t="n">
        <x:f>R875*G875</x:f>
        <x:v>19025.346795893223</x:v>
      </x:c>
    </x:row>
    <x:row r="876" ht="21" customHeight="1">
      <x:c r="A876" s="1" t="str">
        <x:f>'Inventory inputs'!A876</x:f>
        <x:v>FILM</x:v>
      </x:c>
      <x:c r="B876" s="1" t="str">
        <x:f>'Inventory inputs'!B876</x:f>
        <x:v>60</x:v>
      </x:c>
      <x:c r="C876" s="1" t="str">
        <x:f>'Inventory inputs'!C876</x:f>
        <x:v>2750015C1</x:v>
      </x:c>
      <x:c r="D876" s="7" t="n">
        <x:f>'Inventory inputs'!E876</x:f>
        <x:v>46304</x:v>
      </x:c>
      <x:c r="E876" s="1" t="n">
        <x:f>'Inventory inputs'!F876</x:f>
        <x:v>1122</x:v>
      </x:c>
      <x:c r="F876" s="1" t="n">
        <x:f>'Inventory inputs'!G876</x:f>
        <x:v>180.5</x:v>
      </x:c>
      <x:c r="G876" s="1" t="n">
        <x:f>'Inventory inputs'!H876/'Inventory inputs'!J876</x:f>
        <x:v>14.58</x:v>
      </x:c>
      <x:c r="H876" s="1" t="n">
        <x:f>IF('Inventory inputs'!I876&gt;0,'Inventory inputs'!I876*'Inventory inputs'!K876/'Inventory inputs'!J876,"n.a.")</x:f>
        <x:v>17.5</x:v>
      </x:c>
      <x:c r="I876" s="1" t="n">
        <x:f>'Inventory inputs'!L876</x:f>
        <x:v>162</x:v>
      </x:c>
      <x:c r="J876" s="1" t="n">
        <x:f>'Inventory inputs'!M876</x:f>
        <x:v>960</x:v>
      </x:c>
      <x:c r="K876" s="1" t="n">
        <x:f>'Inventory inputs'!N876</x:f>
        <x:v>0</x:v>
      </x:c>
      <x:c r="L876" s="1" t="n">
        <x:f>'Inventory inputs'!O876</x:f>
        <x:v>1</x:v>
      </x:c>
      <x:c r="M876" s="9" t="n">
        <x:f>E876*G876</x:f>
        <x:v>16358.76</x:v>
      </x:c>
      <x:c r="N876" s="9" t="n">
        <x:f>'Inventory inputs'!Q876</x:f>
        <x:v>16358.76</x:v>
      </x:c>
      <x:c r="O876" s="9" t="n">
        <x:f>N876-M876</x:f>
        <x:v>0</x:v>
      </x:c>
      <x:c r="P876" s="1" t="n">
        <x:f>SUMIFS('Incoming POs'!$P$2:$P$305,'Incoming POs'!$A$2:$A$305,A876,'Incoming POs'!$B$2:$B$305,B876,'Incoming POs'!$C$2:$C$305,C876,'Incoming POs'!$G$2:$G$305,"&gt;="&amp;D876,'Incoming POs'!$G$2:$G$305,"&lt;"&amp;Dashboard!$I$5)</x:f>
        <x:v>0</x:v>
      </x:c>
      <x:c r="Q876" s="1" t="n">
        <x:f>F876*Dashboard!$L$5*MAX(0,Dashboard!$I$5-D876)/30.4375</x:f>
        <x:v>235.72484599589322</x:v>
      </x:c>
      <x:c r="R876" s="1" t="n">
        <x:f>MAX(0,E876+P876-Q876)</x:f>
        <x:v>886.2751540041068</x:v>
      </x:c>
      <x:c r="S876" s="1" t="n">
        <x:f>MAX(0,Q876-E876-P876)</x:f>
        <x:v>0</x:v>
      </x:c>
      <x:c r="T876" s="1" t="n">
        <x:f>IF(L876=1,MAX(0,I876+AB876-MIN(Q876,E876+P876)),"n.a.")</x:f>
        <x:v>0</x:v>
      </x:c>
      <x:c r="U876" s="9" t="n">
        <x:f>IF(ISNUMBER(T876),T876*G876,"n.a.")</x:f>
        <x:v>0</x:v>
      </x:c>
      <x:c r="V876" s="25" t="n">
        <x:f>IF(Dashboard!$I$6="Flat %",1,IF(ISNUMBER(H876),1,0))</x:f>
        <x:v>1</x:v>
      </x:c>
      <x:c r="W876" s="9" t="n">
        <x:f>IF(Dashboard!$I$6="Flat %",G876*(1+Dashboard!$L$6),H876)</x:f>
        <x:v>17.5</x:v>
      </x:c>
      <x:c r="X876" s="9" t="n">
        <x:f>IF(V876=1,R876*(W876-G876),"n.a.")</x:f>
        <x:v>2587.9234496919917</x:v>
      </x:c>
      <x:c r="Y876" s="9" t="n">
        <x:f>IF(V876=1,R876*W876,"n.a.")</x:f>
        <x:v>15509.815195071867</x:v>
      </x:c>
      <x:c r="Z876" s="1" t="n">
        <x:f>IF(ISNUMBER(T876),R876-T876,"n.a.")</x:f>
        <x:v>886.2751540041068</x:v>
      </x:c>
      <x:c r="AA876" s="1" t="str">
        <x:f>'Inventory inputs'!R876</x:f>
        <x:v>Classified</x:v>
      </x:c>
      <x:c r="AB876" s="1" t="n">
        <x:f>IF(L876=1,SUMIFS('Incoming POs'!$P$2:$P$305,'Incoming POs'!$A$2:$A$305,A876,'Incoming POs'!$B$2:$B$305,B876,'Incoming POs'!$C$2:$C$305,C876,'Incoming POs'!$G$2:$G$305,"&gt;="&amp;D876,'Incoming POs'!$G$2:$G$305,"&lt;"&amp;Dashboard!$I$5,'Incoming POs'!$Q$2:$Q$305,"&lt;="&amp;('Inventory inputs'!P876/'Inventory inputs'!J876*1.01)),"n.a.")</x:f>
        <x:v>0</x:v>
      </x:c>
      <x:c r="AC876" s="9" t="n">
        <x:f>I876*G876</x:f>
        <x:v>2361.96</x:v>
      </x:c>
      <x:c r="AD876" s="9" t="n">
        <x:f>J876*G876</x:f>
        <x:v>13996.8</x:v>
      </x:c>
      <x:c r="AE876" s="9" t="n">
        <x:f>K876*G876</x:f>
        <x:v>0</x:v>
      </x:c>
      <x:c r="AF876" s="9" t="n">
        <x:f>R876*G876</x:f>
        <x:v>12921.891745379877</x:v>
      </x:c>
    </x:row>
    <x:row r="877" ht="21" customHeight="1">
      <x:c r="A877" s="1" t="str">
        <x:f>'Inventory inputs'!A877</x:f>
        <x:v>FILM</x:v>
      </x:c>
      <x:c r="B877" s="1" t="str">
        <x:f>'Inventory inputs'!B877</x:f>
        <x:v>30</x:v>
      </x:c>
      <x:c r="C877" s="1" t="str">
        <x:f>'Inventory inputs'!C877</x:f>
        <x:v>272503C1</x:v>
      </x:c>
      <x:c r="D877" s="7" t="n">
        <x:f>'Inventory inputs'!E877</x:f>
        <x:v>46304</x:v>
      </x:c>
      <x:c r="E877" s="1" t="n">
        <x:f>'Inventory inputs'!F877</x:f>
        <x:v>356</x:v>
      </x:c>
      <x:c r="F877" s="1" t="n">
        <x:f>'Inventory inputs'!G877</x:f>
        <x:v>160</x:v>
      </x:c>
      <x:c r="G877" s="1" t="n">
        <x:f>'Inventory inputs'!H877/'Inventory inputs'!J877</x:f>
        <x:v>15.8</x:v>
      </x:c>
      <x:c r="H877" s="1" t="n">
        <x:f>IF('Inventory inputs'!I877&gt;0,'Inventory inputs'!I877*'Inventory inputs'!K877/'Inventory inputs'!J877,"n.a.")</x:f>
        <x:v>18.95</x:v>
      </x:c>
      <x:c r="I877" s="1" t="n">
        <x:f>'Inventory inputs'!L877</x:f>
        <x:v>0</x:v>
      </x:c>
      <x:c r="J877" s="1" t="n">
        <x:f>'Inventory inputs'!M877</x:f>
        <x:v>356</x:v>
      </x:c>
      <x:c r="K877" s="1" t="n">
        <x:f>'Inventory inputs'!N877</x:f>
        <x:v>0</x:v>
      </x:c>
      <x:c r="L877" s="1" t="n">
        <x:f>'Inventory inputs'!O877</x:f>
        <x:v>1</x:v>
      </x:c>
      <x:c r="M877" s="9" t="n">
        <x:f>E877*G877</x:f>
        <x:v>5624.8</x:v>
      </x:c>
      <x:c r="N877" s="9" t="n">
        <x:f>'Inventory inputs'!Q877</x:f>
        <x:v>5656.400000000001</x:v>
      </x:c>
      <x:c r="O877" s="9" t="n">
        <x:f>N877-M877</x:f>
        <x:v>31.600000000000364</x:v>
      </x:c>
      <x:c r="P877" s="1" t="n">
        <x:f>SUMIFS('Incoming POs'!$P$2:$P$305,'Incoming POs'!$A$2:$A$305,A877,'Incoming POs'!$B$2:$B$305,B877,'Incoming POs'!$C$2:$C$305,C877,'Incoming POs'!$G$2:$G$305,"&gt;="&amp;D877,'Incoming POs'!$G$2:$G$305,"&lt;"&amp;Dashboard!$I$5)</x:f>
        <x:v>1080</x:v>
      </x:c>
      <x:c r="Q877" s="1" t="n">
        <x:f>F877*Dashboard!$L$5*MAX(0,Dashboard!$I$5-D877)/30.4375</x:f>
        <x:v>208.95277207392198</x:v>
      </x:c>
      <x:c r="R877" s="1" t="n">
        <x:f>MAX(0,E877+P877-Q877)</x:f>
        <x:v>1227.047227926078</x:v>
      </x:c>
      <x:c r="S877" s="1" t="n">
        <x:f>MAX(0,Q877-E877-P877)</x:f>
        <x:v>0</x:v>
      </x:c>
      <x:c r="T877" s="1" t="n">
        <x:f>IF(L877=1,MAX(0,I877+AB877-MIN(Q877,E877+P877)),"n.a.")</x:f>
        <x:v>0</x:v>
      </x:c>
      <x:c r="U877" s="9" t="n">
        <x:f>IF(ISNUMBER(T877),T877*G877,"n.a.")</x:f>
        <x:v>0</x:v>
      </x:c>
      <x:c r="V877" s="25" t="n">
        <x:f>IF(Dashboard!$I$6="Flat %",1,IF(ISNUMBER(H877),1,0))</x:f>
        <x:v>1</x:v>
      </x:c>
      <x:c r="W877" s="9" t="n">
        <x:f>IF(Dashboard!$I$6="Flat %",G877*(1+Dashboard!$L$6),H877)</x:f>
        <x:v>18.95</x:v>
      </x:c>
      <x:c r="X877" s="9" t="n">
        <x:f>IF(V877=1,R877*(W877-G877),"n.a.")</x:f>
        <x:v>3865.198767967144</x:v>
      </x:c>
      <x:c r="Y877" s="9" t="n">
        <x:f>IF(V877=1,R877*W877,"n.a.")</x:f>
        <x:v>23252.544969199178</x:v>
      </x:c>
      <x:c r="Z877" s="1" t="n">
        <x:f>IF(ISNUMBER(T877),R877-T877,"n.a.")</x:f>
        <x:v>1227.047227926078</x:v>
      </x:c>
      <x:c r="AA877" s="1" t="str">
        <x:f>'Inventory inputs'!R877</x:f>
        <x:v>Classified</x:v>
      </x:c>
      <x:c r="AB877" s="1" t="n">
        <x:f>IF(L877=1,SUMIFS('Incoming POs'!$P$2:$P$305,'Incoming POs'!$A$2:$A$305,A877,'Incoming POs'!$B$2:$B$305,B877,'Incoming POs'!$C$2:$C$305,C877,'Incoming POs'!$G$2:$G$305,"&gt;="&amp;D877,'Incoming POs'!$G$2:$G$305,"&lt;"&amp;Dashboard!$I$5,'Incoming POs'!$Q$2:$Q$305,"&lt;="&amp;('Inventory inputs'!P877/'Inventory inputs'!J877*1.01)),"n.a.")</x:f>
        <x:v>0</x:v>
      </x:c>
      <x:c r="AC877" s="9" t="n">
        <x:f>I877*G877</x:f>
        <x:v>0</x:v>
      </x:c>
      <x:c r="AD877" s="9" t="n">
        <x:f>J877*G877</x:f>
        <x:v>5624.8</x:v>
      </x:c>
      <x:c r="AE877" s="9" t="n">
        <x:f>K877*G877</x:f>
        <x:v>0</x:v>
      </x:c>
      <x:c r="AF877" s="9" t="n">
        <x:f>R877*G877</x:f>
        <x:v>19387.346201232034</x:v>
      </x:c>
    </x:row>
    <x:row r="878" ht="21" customHeight="1">
      <x:c r="A878" s="1" t="str">
        <x:f>'Inventory inputs'!A878</x:f>
        <x:v>FILM</x:v>
      </x:c>
      <x:c r="B878" s="1" t="str">
        <x:f>'Inventory inputs'!B878</x:f>
        <x:v>30</x:v>
      </x:c>
      <x:c r="C878" s="1" t="str">
        <x:f>'Inventory inputs'!C878</x:f>
        <x:v>252503C1</x:v>
      </x:c>
      <x:c r="D878" s="7" t="n">
        <x:f>'Inventory inputs'!E878</x:f>
        <x:v>46304</x:v>
      </x:c>
      <x:c r="E878" s="1" t="n">
        <x:f>'Inventory inputs'!F878</x:f>
        <x:v>440</x:v>
      </x:c>
      <x:c r="F878" s="1" t="n">
        <x:f>'Inventory inputs'!G878</x:f>
        <x:v>122.67</x:v>
      </x:c>
      <x:c r="G878" s="1" t="n">
        <x:f>'Inventory inputs'!H878/'Inventory inputs'!J878</x:f>
        <x:v>14.63</x:v>
      </x:c>
      <x:c r="H878" s="1" t="n">
        <x:f>IF('Inventory inputs'!I878&gt;0,'Inventory inputs'!I878*'Inventory inputs'!K878/'Inventory inputs'!J878,"n.a.")</x:f>
        <x:v>17.55</x:v>
      </x:c>
      <x:c r="I878" s="1" t="n">
        <x:f>'Inventory inputs'!L878</x:f>
        <x:v>80</x:v>
      </x:c>
      <x:c r="J878" s="1" t="n">
        <x:f>'Inventory inputs'!M878</x:f>
        <x:v>360</x:v>
      </x:c>
      <x:c r="K878" s="1" t="n">
        <x:f>'Inventory inputs'!N878</x:f>
        <x:v>0</x:v>
      </x:c>
      <x:c r="L878" s="1" t="n">
        <x:f>'Inventory inputs'!O878</x:f>
        <x:v>1</x:v>
      </x:c>
      <x:c r="M878" s="9" t="n">
        <x:f>E878*G878</x:f>
        <x:v>6437.200000000001</x:v>
      </x:c>
      <x:c r="N878" s="9" t="n">
        <x:f>'Inventory inputs'!Q878</x:f>
        <x:v>6437.200000000001</x:v>
      </x:c>
      <x:c r="O878" s="9" t="n">
        <x:f>N878-M878</x:f>
        <x:v>0</x:v>
      </x:c>
      <x:c r="P878" s="1" t="n">
        <x:f>SUMIFS('Incoming POs'!$P$2:$P$305,'Incoming POs'!$A$2:$A$305,A878,'Incoming POs'!$B$2:$B$305,B878,'Incoming POs'!$C$2:$C$305,C878,'Incoming POs'!$G$2:$G$305,"&gt;="&amp;D878,'Incoming POs'!$G$2:$G$305,"&lt;"&amp;Dashboard!$I$5)</x:f>
        <x:v>720</x:v>
      </x:c>
      <x:c r="Q878" s="1" t="n">
        <x:f>F878*Dashboard!$L$5*MAX(0,Dashboard!$I$5-D878)/30.4375</x:f>
        <x:v>160.20147843942505</x:v>
      </x:c>
      <x:c r="R878" s="1" t="n">
        <x:f>MAX(0,E878+P878-Q878)</x:f>
        <x:v>999.798521560575</x:v>
      </x:c>
      <x:c r="S878" s="1" t="n">
        <x:f>MAX(0,Q878-E878-P878)</x:f>
        <x:v>0</x:v>
      </x:c>
      <x:c r="T878" s="1" t="n">
        <x:f>IF(L878=1,MAX(0,I878+AB878-MIN(Q878,E878+P878)),"n.a.")</x:f>
        <x:v>0</x:v>
      </x:c>
      <x:c r="U878" s="9" t="n">
        <x:f>IF(ISNUMBER(T878),T878*G878,"n.a.")</x:f>
        <x:v>0</x:v>
      </x:c>
      <x:c r="V878" s="25" t="n">
        <x:f>IF(Dashboard!$I$6="Flat %",1,IF(ISNUMBER(H878),1,0))</x:f>
        <x:v>1</x:v>
      </x:c>
      <x:c r="W878" s="9" t="n">
        <x:f>IF(Dashboard!$I$6="Flat %",G878*(1+Dashboard!$L$6),H878)</x:f>
        <x:v>17.55</x:v>
      </x:c>
      <x:c r="X878" s="9" t="n">
        <x:f>IF(V878=1,R878*(W878-G878),"n.a.")</x:f>
        <x:v>2919.411682956879</x:v>
      </x:c>
      <x:c r="Y878" s="9" t="n">
        <x:f>IF(V878=1,R878*W878,"n.a.")</x:f>
        <x:v>17546.464053388092</x:v>
      </x:c>
      <x:c r="Z878" s="1" t="n">
        <x:f>IF(ISNUMBER(T878),R878-T878,"n.a.")</x:f>
        <x:v>999.798521560575</x:v>
      </x:c>
      <x:c r="AA878" s="1" t="str">
        <x:f>'Inventory inputs'!R878</x:f>
        <x:v>Classified</x:v>
      </x:c>
      <x:c r="AB878" s="1" t="n">
        <x:f>IF(L878=1,SUMIFS('Incoming POs'!$P$2:$P$305,'Incoming POs'!$A$2:$A$305,A878,'Incoming POs'!$B$2:$B$305,B878,'Incoming POs'!$C$2:$C$305,C878,'Incoming POs'!$G$2:$G$305,"&gt;="&amp;D878,'Incoming POs'!$G$2:$G$305,"&lt;"&amp;Dashboard!$I$5,'Incoming POs'!$Q$2:$Q$305,"&lt;="&amp;('Inventory inputs'!P878/'Inventory inputs'!J878*1.01)),"n.a.")</x:f>
        <x:v>0</x:v>
      </x:c>
      <x:c r="AC878" s="9" t="n">
        <x:f>I878*G878</x:f>
        <x:v>1170.4</x:v>
      </x:c>
      <x:c r="AD878" s="9" t="n">
        <x:f>J878*G878</x:f>
        <x:v>5266.8</x:v>
      </x:c>
      <x:c r="AE878" s="9" t="n">
        <x:f>K878*G878</x:f>
        <x:v>0</x:v>
      </x:c>
      <x:c r="AF878" s="9" t="n">
        <x:f>R878*G878</x:f>
        <x:v>14627.052370431213</x:v>
      </x:c>
    </x:row>
    <x:row r="879" ht="21" customHeight="1">
      <x:c r="A879" s="1" t="str">
        <x:f>'Inventory inputs'!A879</x:f>
        <x:v>FILM</x:v>
      </x:c>
      <x:c r="B879" s="1" t="str">
        <x:f>'Inventory inputs'!B879</x:f>
        <x:v>60</x:v>
      </x:c>
      <x:c r="C879" s="1" t="str">
        <x:f>'Inventory inputs'!C879</x:f>
        <x:v>252503C1</x:v>
      </x:c>
      <x:c r="D879" s="7" t="n">
        <x:f>'Inventory inputs'!E879</x:f>
        <x:v>46304</x:v>
      </x:c>
      <x:c r="E879" s="1" t="n">
        <x:f>'Inventory inputs'!F879</x:f>
        <x:v>291</x:v>
      </x:c>
      <x:c r="F879" s="1" t="n">
        <x:f>'Inventory inputs'!G879</x:f>
        <x:v>112.25</x:v>
      </x:c>
      <x:c r="G879" s="1" t="n">
        <x:f>'Inventory inputs'!H879/'Inventory inputs'!J879</x:f>
        <x:v>14.63</x:v>
      </x:c>
      <x:c r="H879" s="1" t="n">
        <x:f>IF('Inventory inputs'!I879&gt;0,'Inventory inputs'!I879*'Inventory inputs'!K879/'Inventory inputs'!J879,"n.a.")</x:f>
        <x:v>17.55</x:v>
      </x:c>
      <x:c r="I879" s="1" t="n">
        <x:f>'Inventory inputs'!L879</x:f>
        <x:v>171</x:v>
      </x:c>
      <x:c r="J879" s="1" t="n">
        <x:f>'Inventory inputs'!M879</x:f>
        <x:v>120</x:v>
      </x:c>
      <x:c r="K879" s="1" t="n">
        <x:f>'Inventory inputs'!N879</x:f>
        <x:v>0</x:v>
      </x:c>
      <x:c r="L879" s="1" t="n">
        <x:f>'Inventory inputs'!O879</x:f>
        <x:v>1</x:v>
      </x:c>
      <x:c r="M879" s="9" t="n">
        <x:f>E879*G879</x:f>
        <x:v>4257.33</x:v>
      </x:c>
      <x:c r="N879" s="9" t="n">
        <x:f>'Inventory inputs'!Q879</x:f>
        <x:v>4403.63</x:v>
      </x:c>
      <x:c r="O879" s="9" t="n">
        <x:f>N879-M879</x:f>
        <x:v>146.30000000000018</x:v>
      </x:c>
      <x:c r="P879" s="1" t="n">
        <x:f>SUMIFS('Incoming POs'!$P$2:$P$305,'Incoming POs'!$A$2:$A$305,A879,'Incoming POs'!$B$2:$B$305,B879,'Incoming POs'!$C$2:$C$305,C879,'Incoming POs'!$G$2:$G$305,"&gt;="&amp;D879,'Incoming POs'!$G$2:$G$305,"&lt;"&amp;Dashboard!$I$5)</x:f>
        <x:v>0</x:v>
      </x:c>
      <x:c r="Q879" s="1" t="n">
        <x:f>F879*Dashboard!$L$5*MAX(0,Dashboard!$I$5-D879)/30.4375</x:f>
        <x:v>146.5934291581109</x:v>
      </x:c>
      <x:c r="R879" s="1" t="n">
        <x:f>MAX(0,E879+P879-Q879)</x:f>
        <x:v>144.4065708418891</x:v>
      </x:c>
      <x:c r="S879" s="1" t="n">
        <x:f>MAX(0,Q879-E879-P879)</x:f>
        <x:v>0</x:v>
      </x:c>
      <x:c r="T879" s="1" t="n">
        <x:f>IF(L879=1,MAX(0,I879+AB879-MIN(Q879,E879+P879)),"n.a.")</x:f>
        <x:v>24.406570841889106</x:v>
      </x:c>
      <x:c r="U879" s="9" t="n">
        <x:f>IF(ISNUMBER(T879),T879*G879,"n.a.")</x:f>
        <x:v>357.0681314168376</x:v>
      </x:c>
      <x:c r="V879" s="25" t="n">
        <x:f>IF(Dashboard!$I$6="Flat %",1,IF(ISNUMBER(H879),1,0))</x:f>
        <x:v>1</x:v>
      </x:c>
      <x:c r="W879" s="9" t="n">
        <x:f>IF(Dashboard!$I$6="Flat %",G879*(1+Dashboard!$L$6),H879)</x:f>
        <x:v>17.55</x:v>
      </x:c>
      <x:c r="X879" s="9" t="n">
        <x:f>IF(V879=1,R879*(W879-G879),"n.a.")</x:f>
        <x:v>421.6671868583162</x:v>
      </x:c>
      <x:c r="Y879" s="9" t="n">
        <x:f>IF(V879=1,R879*W879,"n.a.")</x:f>
        <x:v>2534.335318275154</x:v>
      </x:c>
      <x:c r="Z879" s="1" t="n">
        <x:f>IF(ISNUMBER(T879),R879-T879,"n.a.")</x:f>
        <x:v>120</x:v>
      </x:c>
      <x:c r="AA879" s="1" t="str">
        <x:f>'Inventory inputs'!R879</x:f>
        <x:v>Classified</x:v>
      </x:c>
      <x:c r="AB879" s="1" t="n">
        <x:f>IF(L879=1,SUMIFS('Incoming POs'!$P$2:$P$305,'Incoming POs'!$A$2:$A$305,A879,'Incoming POs'!$B$2:$B$305,B879,'Incoming POs'!$C$2:$C$305,C879,'Incoming POs'!$G$2:$G$305,"&gt;="&amp;D879,'Incoming POs'!$G$2:$G$305,"&lt;"&amp;Dashboard!$I$5,'Incoming POs'!$Q$2:$Q$305,"&lt;="&amp;('Inventory inputs'!P879/'Inventory inputs'!J879*1.01)),"n.a.")</x:f>
        <x:v>0</x:v>
      </x:c>
      <x:c r="AC879" s="9" t="n">
        <x:f>I879*G879</x:f>
        <x:v>2501.73</x:v>
      </x:c>
      <x:c r="AD879" s="9" t="n">
        <x:f>J879*G879</x:f>
        <x:v>1755.6000000000001</x:v>
      </x:c>
      <x:c r="AE879" s="9" t="n">
        <x:f>K879*G879</x:f>
        <x:v>0</x:v>
      </x:c>
      <x:c r="AF879" s="9" t="n">
        <x:f>R879*G879</x:f>
        <x:v>2112.6681314168377</x:v>
      </x:c>
    </x:row>
    <x:row r="880" ht="21" customHeight="1">
      <x:c r="A880" s="1" t="str">
        <x:f>'Inventory inputs'!A880</x:f>
        <x:v>FILM</x:v>
      </x:c>
      <x:c r="B880" s="1" t="str">
        <x:f>'Inventory inputs'!B880</x:f>
        <x:v>60</x:v>
      </x:c>
      <x:c r="C880" s="1" t="str">
        <x:f>'Inventory inputs'!C880</x:f>
        <x:v>272503C1</x:v>
      </x:c>
      <x:c r="D880" s="7" t="n">
        <x:f>'Inventory inputs'!E880</x:f>
        <x:v>46304</x:v>
      </x:c>
      <x:c r="E880" s="1" t="n">
        <x:f>'Inventory inputs'!F880</x:f>
        <x:v>552</x:v>
      </x:c>
      <x:c r="F880" s="1" t="n">
        <x:f>'Inventory inputs'!G880</x:f>
        <x:v>95.67</x:v>
      </x:c>
      <x:c r="G880" s="1" t="n">
        <x:f>'Inventory inputs'!H880/'Inventory inputs'!J880</x:f>
        <x:v>15.8</x:v>
      </x:c>
      <x:c r="H880" s="1" t="n">
        <x:f>IF('Inventory inputs'!I880&gt;0,'Inventory inputs'!I880*'Inventory inputs'!K880/'Inventory inputs'!J880,"n.a.")</x:f>
        <x:v>18.95</x:v>
      </x:c>
      <x:c r="I880" s="1" t="n">
        <x:f>'Inventory inputs'!L880</x:f>
        <x:v>0</x:v>
      </x:c>
      <x:c r="J880" s="1" t="n">
        <x:f>'Inventory inputs'!M880</x:f>
        <x:v>552</x:v>
      </x:c>
      <x:c r="K880" s="1" t="n">
        <x:f>'Inventory inputs'!N880</x:f>
        <x:v>0</x:v>
      </x:c>
      <x:c r="L880" s="1" t="n">
        <x:f>'Inventory inputs'!O880</x:f>
        <x:v>1</x:v>
      </x:c>
      <x:c r="M880" s="9" t="n">
        <x:f>E880*G880</x:f>
        <x:v>8721.6</x:v>
      </x:c>
      <x:c r="N880" s="9" t="n">
        <x:f>'Inventory inputs'!Q880</x:f>
        <x:v>8721.6</x:v>
      </x:c>
      <x:c r="O880" s="9" t="n">
        <x:f>N880-M880</x:f>
        <x:v>0</x:v>
      </x:c>
      <x:c r="P880" s="1" t="n">
        <x:f>SUMIFS('Incoming POs'!$P$2:$P$305,'Incoming POs'!$A$2:$A$305,A880,'Incoming POs'!$B$2:$B$305,B880,'Incoming POs'!$C$2:$C$305,C880,'Incoming POs'!$G$2:$G$305,"&gt;="&amp;D880,'Incoming POs'!$G$2:$G$305,"&lt;"&amp;Dashboard!$I$5)</x:f>
        <x:v>0</x:v>
      </x:c>
      <x:c r="Q880" s="1" t="n">
        <x:f>F880*Dashboard!$L$5*MAX(0,Dashboard!$I$5-D880)/30.4375</x:f>
        <x:v>124.94069815195071</x:v>
      </x:c>
      <x:c r="R880" s="1" t="n">
        <x:f>MAX(0,E880+P880-Q880)</x:f>
        <x:v>427.0593018480493</x:v>
      </x:c>
      <x:c r="S880" s="1" t="n">
        <x:f>MAX(0,Q880-E880-P880)</x:f>
        <x:v>0</x:v>
      </x:c>
      <x:c r="T880" s="1" t="n">
        <x:f>IF(L880=1,MAX(0,I880+AB880-MIN(Q880,E880+P880)),"n.a.")</x:f>
        <x:v>0</x:v>
      </x:c>
      <x:c r="U880" s="9" t="n">
        <x:f>IF(ISNUMBER(T880),T880*G880,"n.a.")</x:f>
        <x:v>0</x:v>
      </x:c>
      <x:c r="V880" s="25" t="n">
        <x:f>IF(Dashboard!$I$6="Flat %",1,IF(ISNUMBER(H880),1,0))</x:f>
        <x:v>1</x:v>
      </x:c>
      <x:c r="W880" s="9" t="n">
        <x:f>IF(Dashboard!$I$6="Flat %",G880*(1+Dashboard!$L$6),H880)</x:f>
        <x:v>18.95</x:v>
      </x:c>
      <x:c r="X880" s="9" t="n">
        <x:f>IF(V880=1,R880*(W880-G880),"n.a.")</x:f>
        <x:v>1345.2368008213548</x:v>
      </x:c>
      <x:c r="Y880" s="9" t="n">
        <x:f>IF(V880=1,R880*W880,"n.a.")</x:f>
        <x:v>8092.773770020534</x:v>
      </x:c>
      <x:c r="Z880" s="1" t="n">
        <x:f>IF(ISNUMBER(T880),R880-T880,"n.a.")</x:f>
        <x:v>427.0593018480493</x:v>
      </x:c>
      <x:c r="AA880" s="1" t="str">
        <x:f>'Inventory inputs'!R880</x:f>
        <x:v>Classified</x:v>
      </x:c>
      <x:c r="AB880" s="1" t="n">
        <x:f>IF(L880=1,SUMIFS('Incoming POs'!$P$2:$P$305,'Incoming POs'!$A$2:$A$305,A880,'Incoming POs'!$B$2:$B$305,B880,'Incoming POs'!$C$2:$C$305,C880,'Incoming POs'!$G$2:$G$305,"&gt;="&amp;D880,'Incoming POs'!$G$2:$G$305,"&lt;"&amp;Dashboard!$I$5,'Incoming POs'!$Q$2:$Q$305,"&lt;="&amp;('Inventory inputs'!P880/'Inventory inputs'!J880*1.01)),"n.a.")</x:f>
        <x:v>0</x:v>
      </x:c>
      <x:c r="AC880" s="9" t="n">
        <x:f>I880*G880</x:f>
        <x:v>0</x:v>
      </x:c>
      <x:c r="AD880" s="9" t="n">
        <x:f>J880*G880</x:f>
        <x:v>8721.6</x:v>
      </x:c>
      <x:c r="AE880" s="9" t="n">
        <x:f>K880*G880</x:f>
        <x:v>0</x:v>
      </x:c>
      <x:c r="AF880" s="9" t="n">
        <x:f>R880*G880</x:f>
        <x:v>6747.536969199179</x:v>
      </x:c>
    </x:row>
    <x:row r="881" ht="21" customHeight="1">
      <x:c r="A881" s="1" t="str">
        <x:f>'Inventory inputs'!A881</x:f>
        <x:v>FILM</x:v>
      </x:c>
      <x:c r="B881" s="1" t="str">
        <x:f>'Inventory inputs'!B881</x:f>
        <x:v>10</x:v>
      </x:c>
      <x:c r="C881" s="1" t="str">
        <x:f>'Inventory inputs'!C881</x:f>
        <x:v>PR272503C1</x:v>
      </x:c>
      <x:c r="D881" s="7" t="n">
        <x:f>'Inventory inputs'!E881</x:f>
        <x:v>46304</x:v>
      </x:c>
      <x:c r="E881" s="1" t="n">
        <x:f>'Inventory inputs'!F881</x:f>
        <x:v>1409</x:v>
      </x:c>
      <x:c r="F881" s="1" t="n">
        <x:f>'Inventory inputs'!G881</x:f>
        <x:v>90</x:v>
      </x:c>
      <x:c r="G881" s="1" t="n">
        <x:f>'Inventory inputs'!H881/'Inventory inputs'!J881</x:f>
        <x:v>18.23</x:v>
      </x:c>
      <x:c r="H881" s="1" t="n">
        <x:f>IF('Inventory inputs'!I881&gt;0,'Inventory inputs'!I881*'Inventory inputs'!K881/'Inventory inputs'!J881,"n.a.")</x:f>
        <x:v>21.87</x:v>
      </x:c>
      <x:c r="I881" s="1" t="n">
        <x:f>'Inventory inputs'!L881</x:f>
        <x:v>1409</x:v>
      </x:c>
      <x:c r="J881" s="1" t="n">
        <x:f>'Inventory inputs'!M881</x:f>
        <x:v>0</x:v>
      </x:c>
      <x:c r="K881" s="1" t="n">
        <x:f>'Inventory inputs'!N881</x:f>
        <x:v>0</x:v>
      </x:c>
      <x:c r="L881" s="1" t="n">
        <x:f>'Inventory inputs'!O881</x:f>
        <x:v>1</x:v>
      </x:c>
      <x:c r="M881" s="9" t="n">
        <x:f>E881*G881</x:f>
        <x:v>25686.07</x:v>
      </x:c>
      <x:c r="N881" s="9" t="n">
        <x:f>'Inventory inputs'!Q881</x:f>
        <x:v>25686.07</x:v>
      </x:c>
      <x:c r="O881" s="9" t="n">
        <x:f>N881-M881</x:f>
        <x:v>0</x:v>
      </x:c>
      <x:c r="P881" s="1" t="n">
        <x:f>SUMIFS('Incoming POs'!$P$2:$P$305,'Incoming POs'!$A$2:$A$305,A881,'Incoming POs'!$B$2:$B$305,B881,'Incoming POs'!$C$2:$C$305,C881,'Incoming POs'!$G$2:$G$305,"&gt;="&amp;D881,'Incoming POs'!$G$2:$G$305,"&lt;"&amp;Dashboard!$I$5)</x:f>
        <x:v>0</x:v>
      </x:c>
      <x:c r="Q881" s="1" t="n">
        <x:f>F881*Dashboard!$L$5*MAX(0,Dashboard!$I$5-D881)/30.4375</x:f>
        <x:v>117.53593429158111</x:v>
      </x:c>
      <x:c r="R881" s="1" t="n">
        <x:f>MAX(0,E881+P881-Q881)</x:f>
        <x:v>1291.464065708419</x:v>
      </x:c>
      <x:c r="S881" s="1" t="n">
        <x:f>MAX(0,Q881-E881-P881)</x:f>
        <x:v>0</x:v>
      </x:c>
      <x:c r="T881" s="1" t="n">
        <x:f>IF(L881=1,MAX(0,I881+AB881-MIN(Q881,E881+P881)),"n.a.")</x:f>
        <x:v>1291.464065708419</x:v>
      </x:c>
      <x:c r="U881" s="9" t="n">
        <x:f>IF(ISNUMBER(T881),T881*G881,"n.a.")</x:f>
        <x:v>23543.38991786448</x:v>
      </x:c>
      <x:c r="V881" s="25" t="n">
        <x:f>IF(Dashboard!$I$6="Flat %",1,IF(ISNUMBER(H881),1,0))</x:f>
        <x:v>1</x:v>
      </x:c>
      <x:c r="W881" s="9" t="n">
        <x:f>IF(Dashboard!$I$6="Flat %",G881*(1+Dashboard!$L$6),H881)</x:f>
        <x:v>21.87</x:v>
      </x:c>
      <x:c r="X881" s="9" t="n">
        <x:f>IF(V881=1,R881*(W881-G881),"n.a.")</x:f>
        <x:v>4700.929199178646</x:v>
      </x:c>
      <x:c r="Y881" s="9" t="n">
        <x:f>IF(V881=1,R881*W881,"n.a.")</x:f>
        <x:v>28244.319117043124</x:v>
      </x:c>
      <x:c r="Z881" s="1" t="n">
        <x:f>IF(ISNUMBER(T881),R881-T881,"n.a.")</x:f>
        <x:v>0</x:v>
      </x:c>
      <x:c r="AA881" s="1" t="str">
        <x:f>'Inventory inputs'!R881</x:f>
        <x:v>Classified</x:v>
      </x:c>
      <x:c r="AB881" s="1" t="n">
        <x:f>IF(L881=1,SUMIFS('Incoming POs'!$P$2:$P$305,'Incoming POs'!$A$2:$A$305,A881,'Incoming POs'!$B$2:$B$305,B881,'Incoming POs'!$C$2:$C$305,C881,'Incoming POs'!$G$2:$G$305,"&gt;="&amp;D881,'Incoming POs'!$G$2:$G$305,"&lt;"&amp;Dashboard!$I$5,'Incoming POs'!$Q$2:$Q$305,"&lt;="&amp;('Inventory inputs'!P881/'Inventory inputs'!J881*1.01)),"n.a.")</x:f>
        <x:v>0</x:v>
      </x:c>
      <x:c r="AC881" s="9" t="n">
        <x:f>I881*G881</x:f>
        <x:v>25686.07</x:v>
      </x:c>
      <x:c r="AD881" s="9" t="n">
        <x:f>J881*G881</x:f>
        <x:v>0</x:v>
      </x:c>
      <x:c r="AE881" s="9" t="n">
        <x:f>K881*G881</x:f>
        <x:v>0</x:v>
      </x:c>
      <x:c r="AF881" s="9" t="n">
        <x:f>R881*G881</x:f>
        <x:v>23543.38991786448</x:v>
      </x:c>
    </x:row>
    <x:row r="882" ht="21" customHeight="1">
      <x:c r="A882" s="1" t="str">
        <x:f>'Inventory inputs'!A882</x:f>
        <x:v>FILM</x:v>
      </x:c>
      <x:c r="B882" s="1" t="str">
        <x:f>'Inventory inputs'!B882</x:f>
        <x:v>10</x:v>
      </x:c>
      <x:c r="C882" s="1" t="str">
        <x:f>'Inventory inputs'!C882</x:f>
        <x:v>SG25500C1</x:v>
      </x:c>
      <x:c r="D882" s="7" t="n">
        <x:f>'Inventory inputs'!E882</x:f>
        <x:v>46304</x:v>
      </x:c>
      <x:c r="E882" s="1" t="n">
        <x:f>'Inventory inputs'!F882</x:f>
        <x:v>780</x:v>
      </x:c>
      <x:c r="F882" s="1" t="n">
        <x:f>'Inventory inputs'!G882</x:f>
        <x:v>84.67</x:v>
      </x:c>
      <x:c r="G882" s="1" t="n">
        <x:f>'Inventory inputs'!H882/'Inventory inputs'!J882</x:f>
        <x:v>12.3</x:v>
      </x:c>
      <x:c r="H882" s="1" t="n">
        <x:f>IF('Inventory inputs'!I882&gt;0,'Inventory inputs'!I882*'Inventory inputs'!K882/'Inventory inputs'!J882,"n.a.")</x:f>
        <x:v>14.85</x:v>
      </x:c>
      <x:c r="I882" s="1" t="n">
        <x:f>'Inventory inputs'!L882</x:f>
        <x:v>780</x:v>
      </x:c>
      <x:c r="J882" s="1" t="n">
        <x:f>'Inventory inputs'!M882</x:f>
        <x:v>0</x:v>
      </x:c>
      <x:c r="K882" s="1" t="n">
        <x:f>'Inventory inputs'!N882</x:f>
        <x:v>0</x:v>
      </x:c>
      <x:c r="L882" s="1" t="n">
        <x:f>'Inventory inputs'!O882</x:f>
        <x:v>1</x:v>
      </x:c>
      <x:c r="M882" s="9" t="n">
        <x:f>E882*G882</x:f>
        <x:v>9594</x:v>
      </x:c>
      <x:c r="N882" s="9" t="n">
        <x:f>'Inventory inputs'!Q882</x:f>
        <x:v>9594</x:v>
      </x:c>
      <x:c r="O882" s="9" t="n">
        <x:f>N882-M882</x:f>
        <x:v>0</x:v>
      </x:c>
      <x:c r="P882" s="1" t="n">
        <x:f>SUMIFS('Incoming POs'!$P$2:$P$305,'Incoming POs'!$A$2:$A$305,A882,'Incoming POs'!$B$2:$B$305,B882,'Incoming POs'!$C$2:$C$305,C882,'Incoming POs'!$G$2:$G$305,"&gt;="&amp;D882,'Incoming POs'!$G$2:$G$305,"&lt;"&amp;Dashboard!$I$5)</x:f>
        <x:v>0</x:v>
      </x:c>
      <x:c r="Q882" s="1" t="n">
        <x:f>F882*Dashboard!$L$5*MAX(0,Dashboard!$I$5-D882)/30.4375</x:f>
        <x:v>110.57519507186858</x:v>
      </x:c>
      <x:c r="R882" s="1" t="n">
        <x:f>MAX(0,E882+P882-Q882)</x:f>
        <x:v>669.4248049281314</x:v>
      </x:c>
      <x:c r="S882" s="1" t="n">
        <x:f>MAX(0,Q882-E882-P882)</x:f>
        <x:v>0</x:v>
      </x:c>
      <x:c r="T882" s="1" t="n">
        <x:f>IF(L882=1,MAX(0,I882+AB882-MIN(Q882,E882+P882)),"n.a.")</x:f>
        <x:v>669.4248049281314</x:v>
      </x:c>
      <x:c r="U882" s="9" t="n">
        <x:f>IF(ISNUMBER(T882),T882*G882,"n.a.")</x:f>
        <x:v>8233.925100616016</x:v>
      </x:c>
      <x:c r="V882" s="25" t="n">
        <x:f>IF(Dashboard!$I$6="Flat %",1,IF(ISNUMBER(H882),1,0))</x:f>
        <x:v>1</x:v>
      </x:c>
      <x:c r="W882" s="9" t="n">
        <x:f>IF(Dashboard!$I$6="Flat %",G882*(1+Dashboard!$L$6),H882)</x:f>
        <x:v>14.85</x:v>
      </x:c>
      <x:c r="X882" s="9" t="n">
        <x:f>IF(V882=1,R882*(W882-G882),"n.a.")</x:f>
        <x:v>1707.0332525667343</x:v>
      </x:c>
      <x:c r="Y882" s="9" t="n">
        <x:f>IF(V882=1,R882*W882,"n.a.")</x:f>
        <x:v>9940.95835318275</x:v>
      </x:c>
      <x:c r="Z882" s="1" t="n">
        <x:f>IF(ISNUMBER(T882),R882-T882,"n.a.")</x:f>
        <x:v>0</x:v>
      </x:c>
      <x:c r="AA882" s="1" t="str">
        <x:f>'Inventory inputs'!R882</x:f>
        <x:v>Classified</x:v>
      </x:c>
      <x:c r="AB882" s="1" t="n">
        <x:f>IF(L882=1,SUMIFS('Incoming POs'!$P$2:$P$305,'Incoming POs'!$A$2:$A$305,A882,'Incoming POs'!$B$2:$B$305,B882,'Incoming POs'!$C$2:$C$305,C882,'Incoming POs'!$G$2:$G$305,"&gt;="&amp;D882,'Incoming POs'!$G$2:$G$305,"&lt;"&amp;Dashboard!$I$5,'Incoming POs'!$Q$2:$Q$305,"&lt;="&amp;('Inventory inputs'!P882/'Inventory inputs'!J882*1.01)),"n.a.")</x:f>
        <x:v>0</x:v>
      </x:c>
      <x:c r="AC882" s="9" t="n">
        <x:f>I882*G882</x:f>
        <x:v>9594</x:v>
      </x:c>
      <x:c r="AD882" s="9" t="n">
        <x:f>J882*G882</x:f>
        <x:v>0</x:v>
      </x:c>
      <x:c r="AE882" s="9" t="n">
        <x:f>K882*G882</x:f>
        <x:v>0</x:v>
      </x:c>
      <x:c r="AF882" s="9" t="n">
        <x:f>R882*G882</x:f>
        <x:v>8233.925100616016</x:v>
      </x:c>
    </x:row>
    <x:row r="883" ht="21" customHeight="1">
      <x:c r="A883" s="1" t="str">
        <x:f>'Inventory inputs'!A883</x:f>
        <x:v>FILM</x:v>
      </x:c>
      <x:c r="B883" s="1" t="str">
        <x:f>'Inventory inputs'!B883</x:f>
        <x:v>10</x:v>
      </x:c>
      <x:c r="C883" s="1" t="str">
        <x:f>'Inventory inputs'!C883</x:f>
        <x:v>252005C1</x:v>
      </x:c>
      <x:c r="D883" s="7" t="n">
        <x:f>'Inventory inputs'!E883</x:f>
        <x:v>46304</x:v>
      </x:c>
      <x:c r="E883" s="1" t="n">
        <x:f>'Inventory inputs'!F883</x:f>
        <x:v>264</x:v>
      </x:c>
      <x:c r="F883" s="1" t="n">
        <x:f>'Inventory inputs'!G883</x:f>
        <x:v>71.25</x:v>
      </x:c>
      <x:c r="G883" s="1" t="n">
        <x:f>'Inventory inputs'!H883/'Inventory inputs'!J883</x:f>
        <x:v>21.18</x:v>
      </x:c>
      <x:c r="H883" s="1" t="n">
        <x:f>IF('Inventory inputs'!I883&gt;0,'Inventory inputs'!I883*'Inventory inputs'!K883/'Inventory inputs'!J883,"n.a.")</x:f>
        <x:v>25.44</x:v>
      </x:c>
      <x:c r="I883" s="1" t="n">
        <x:f>'Inventory inputs'!L883</x:f>
        <x:v>48</x:v>
      </x:c>
      <x:c r="J883" s="1" t="n">
        <x:f>'Inventory inputs'!M883</x:f>
        <x:v>216</x:v>
      </x:c>
      <x:c r="K883" s="1" t="n">
        <x:f>'Inventory inputs'!N883</x:f>
        <x:v>0</x:v>
      </x:c>
      <x:c r="L883" s="1" t="n">
        <x:f>'Inventory inputs'!O883</x:f>
        <x:v>1</x:v>
      </x:c>
      <x:c r="M883" s="9" t="n">
        <x:f>E883*G883</x:f>
        <x:v>5591.5199999999995</x:v>
      </x:c>
      <x:c r="N883" s="9" t="n">
        <x:f>'Inventory inputs'!Q883</x:f>
        <x:v>5591.5199999999995</x:v>
      </x:c>
      <x:c r="O883" s="9" t="n">
        <x:f>N883-M883</x:f>
        <x:v>0</x:v>
      </x:c>
      <x:c r="P883" s="1" t="n">
        <x:f>SUMIFS('Incoming POs'!$P$2:$P$305,'Incoming POs'!$A$2:$A$305,A883,'Incoming POs'!$B$2:$B$305,B883,'Incoming POs'!$C$2:$C$305,C883,'Incoming POs'!$G$2:$G$305,"&gt;="&amp;D883,'Incoming POs'!$G$2:$G$305,"&lt;"&amp;Dashboard!$I$5)</x:f>
        <x:v>288</x:v>
      </x:c>
      <x:c r="Q883" s="1" t="n">
        <x:f>F883*Dashboard!$L$5*MAX(0,Dashboard!$I$5-D883)/30.4375</x:f>
        <x:v>93.04928131416838</x:v>
      </x:c>
      <x:c r="R883" s="1" t="n">
        <x:f>MAX(0,E883+P883-Q883)</x:f>
        <x:v>458.9507186858316</x:v>
      </x:c>
      <x:c r="S883" s="1" t="n">
        <x:f>MAX(0,Q883-E883-P883)</x:f>
        <x:v>0</x:v>
      </x:c>
      <x:c r="T883" s="1" t="n">
        <x:f>IF(L883=1,MAX(0,I883+AB883-MIN(Q883,E883+P883)),"n.a.")</x:f>
        <x:v>0</x:v>
      </x:c>
      <x:c r="U883" s="9" t="n">
        <x:f>IF(ISNUMBER(T883),T883*G883,"n.a.")</x:f>
        <x:v>0</x:v>
      </x:c>
      <x:c r="V883" s="25" t="n">
        <x:f>IF(Dashboard!$I$6="Flat %",1,IF(ISNUMBER(H883),1,0))</x:f>
        <x:v>1</x:v>
      </x:c>
      <x:c r="W883" s="9" t="n">
        <x:f>IF(Dashboard!$I$6="Flat %",G883*(1+Dashboard!$L$6),H883)</x:f>
        <x:v>25.44</x:v>
      </x:c>
      <x:c r="X883" s="9" t="n">
        <x:f>IF(V883=1,R883*(W883-G883),"n.a.")</x:f>
        <x:v>1955.1300616016433</x:v>
      </x:c>
      <x:c r="Y883" s="9" t="n">
        <x:f>IF(V883=1,R883*W883,"n.a.")</x:f>
        <x:v>11675.706283367555</x:v>
      </x:c>
      <x:c r="Z883" s="1" t="n">
        <x:f>IF(ISNUMBER(T883),R883-T883,"n.a.")</x:f>
        <x:v>458.9507186858316</x:v>
      </x:c>
      <x:c r="AA883" s="1" t="str">
        <x:f>'Inventory inputs'!R883</x:f>
        <x:v>Classified</x:v>
      </x:c>
      <x:c r="AB883" s="1" t="n">
        <x:f>IF(L883=1,SUMIFS('Incoming POs'!$P$2:$P$305,'Incoming POs'!$A$2:$A$305,A883,'Incoming POs'!$B$2:$B$305,B883,'Incoming POs'!$C$2:$C$305,C883,'Incoming POs'!$G$2:$G$305,"&gt;="&amp;D883,'Incoming POs'!$G$2:$G$305,"&lt;"&amp;Dashboard!$I$5,'Incoming POs'!$Q$2:$Q$305,"&lt;="&amp;('Inventory inputs'!P883/'Inventory inputs'!J883*1.01)),"n.a.")</x:f>
        <x:v>0</x:v>
      </x:c>
      <x:c r="AC883" s="9" t="n">
        <x:f>I883*G883</x:f>
        <x:v>1016.64</x:v>
      </x:c>
      <x:c r="AD883" s="9" t="n">
        <x:f>J883*G883</x:f>
        <x:v>4574.88</x:v>
      </x:c>
      <x:c r="AE883" s="9" t="n">
        <x:f>K883*G883</x:f>
        <x:v>0</x:v>
      </x:c>
      <x:c r="AF883" s="9" t="n">
        <x:f>R883*G883</x:f>
        <x:v>9720.576221765912</x:v>
      </x:c>
    </x:row>
    <x:row r="884" ht="21" customHeight="1">
      <x:c r="A884" s="1" t="str">
        <x:f>'Inventory inputs'!A884</x:f>
        <x:v>FILM</x:v>
      </x:c>
      <x:c r="B884" s="1" t="str">
        <x:f>'Inventory inputs'!B884</x:f>
        <x:v>10</x:v>
      </x:c>
      <x:c r="C884" s="1" t="str">
        <x:f>'Inventory inputs'!C884</x:f>
        <x:v>272005C1</x:v>
      </x:c>
      <x:c r="D884" s="7" t="n">
        <x:f>'Inventory inputs'!E884</x:f>
        <x:v>46304</x:v>
      </x:c>
      <x:c r="E884" s="1" t="n">
        <x:f>'Inventory inputs'!F884</x:f>
        <x:v>145</x:v>
      </x:c>
      <x:c r="F884" s="1" t="n">
        <x:f>'Inventory inputs'!G884</x:f>
        <x:v>67.58</x:v>
      </x:c>
      <x:c r="G884" s="1" t="n">
        <x:f>'Inventory inputs'!H884/'Inventory inputs'!J884</x:f>
        <x:v>22.87</x:v>
      </x:c>
      <x:c r="H884" s="1" t="n">
        <x:f>IF('Inventory inputs'!I884&gt;0,'Inventory inputs'!I884*'Inventory inputs'!K884/'Inventory inputs'!J884,"n.a.")</x:f>
        <x:v>27.48</x:v>
      </x:c>
      <x:c r="I884" s="1" t="n">
        <x:f>'Inventory inputs'!L884</x:f>
        <x:v>0</x:v>
      </x:c>
      <x:c r="J884" s="1" t="n">
        <x:f>'Inventory inputs'!M884</x:f>
        <x:v>145</x:v>
      </x:c>
      <x:c r="K884" s="1" t="n">
        <x:f>'Inventory inputs'!N884</x:f>
        <x:v>0</x:v>
      </x:c>
      <x:c r="L884" s="1" t="n">
        <x:f>'Inventory inputs'!O884</x:f>
        <x:v>1</x:v>
      </x:c>
      <x:c r="M884" s="9" t="n">
        <x:f>E884*G884</x:f>
        <x:v>3316.15</x:v>
      </x:c>
      <x:c r="N884" s="9" t="n">
        <x:f>'Inventory inputs'!Q884</x:f>
        <x:v>3316.15</x:v>
      </x:c>
      <x:c r="O884" s="9" t="n">
        <x:f>N884-M884</x:f>
        <x:v>0</x:v>
      </x:c>
      <x:c r="P884" s="1" t="n">
        <x:f>SUMIFS('Incoming POs'!$P$2:$P$305,'Incoming POs'!$A$2:$A$305,A884,'Incoming POs'!$B$2:$B$305,B884,'Incoming POs'!$C$2:$C$305,C884,'Incoming POs'!$G$2:$G$305,"&gt;="&amp;D884,'Incoming POs'!$G$2:$G$305,"&lt;"&amp;Dashboard!$I$5)</x:f>
        <x:v>216</x:v>
      </x:c>
      <x:c r="Q884" s="1" t="n">
        <x:f>F884*Dashboard!$L$5*MAX(0,Dashboard!$I$5-D884)/30.4375</x:f>
        <x:v>88.2564271047228</x:v>
      </x:c>
      <x:c r="R884" s="1" t="n">
        <x:f>MAX(0,E884+P884-Q884)</x:f>
        <x:v>272.7435728952772</x:v>
      </x:c>
      <x:c r="S884" s="1" t="n">
        <x:f>MAX(0,Q884-E884-P884)</x:f>
        <x:v>0</x:v>
      </x:c>
      <x:c r="T884" s="1" t="n">
        <x:f>IF(L884=1,MAX(0,I884+AB884-MIN(Q884,E884+P884)),"n.a.")</x:f>
        <x:v>0</x:v>
      </x:c>
      <x:c r="U884" s="9" t="n">
        <x:f>IF(ISNUMBER(T884),T884*G884,"n.a.")</x:f>
        <x:v>0</x:v>
      </x:c>
      <x:c r="V884" s="25" t="n">
        <x:f>IF(Dashboard!$I$6="Flat %",1,IF(ISNUMBER(H884),1,0))</x:f>
        <x:v>1</x:v>
      </x:c>
      <x:c r="W884" s="9" t="n">
        <x:f>IF(Dashboard!$I$6="Flat %",G884*(1+Dashboard!$L$6),H884)</x:f>
        <x:v>27.48</x:v>
      </x:c>
      <x:c r="X884" s="9" t="n">
        <x:f>IF(V884=1,R884*(W884-G884),"n.a.")</x:f>
        <x:v>1257.347871047228</x:v>
      </x:c>
      <x:c r="Y884" s="9" t="n">
        <x:f>IF(V884=1,R884*W884,"n.a.")</x:f>
        <x:v>7494.993383162218</x:v>
      </x:c>
      <x:c r="Z884" s="1" t="n">
        <x:f>IF(ISNUMBER(T884),R884-T884,"n.a.")</x:f>
        <x:v>272.7435728952772</x:v>
      </x:c>
      <x:c r="AA884" s="1" t="str">
        <x:f>'Inventory inputs'!R884</x:f>
        <x:v>Classified</x:v>
      </x:c>
      <x:c r="AB884" s="1" t="n">
        <x:f>IF(L884=1,SUMIFS('Incoming POs'!$P$2:$P$305,'Incoming POs'!$A$2:$A$305,A884,'Incoming POs'!$B$2:$B$305,B884,'Incoming POs'!$C$2:$C$305,C884,'Incoming POs'!$G$2:$G$305,"&gt;="&amp;D884,'Incoming POs'!$G$2:$G$305,"&lt;"&amp;Dashboard!$I$5,'Incoming POs'!$Q$2:$Q$305,"&lt;="&amp;('Inventory inputs'!P884/'Inventory inputs'!J884*1.01)),"n.a.")</x:f>
        <x:v>0</x:v>
      </x:c>
      <x:c r="AC884" s="9" t="n">
        <x:f>I884*G884</x:f>
        <x:v>0</x:v>
      </x:c>
      <x:c r="AD884" s="9" t="n">
        <x:f>J884*G884</x:f>
        <x:v>3316.15</x:v>
      </x:c>
      <x:c r="AE884" s="9" t="n">
        <x:f>K884*G884</x:f>
        <x:v>0</x:v>
      </x:c>
      <x:c r="AF884" s="9" t="n">
        <x:f>R884*G884</x:f>
        <x:v>6237.64551211499</x:v>
      </x:c>
    </x:row>
    <x:row r="885" ht="21" customHeight="1">
      <x:c r="A885" s="1" t="str">
        <x:f>'Inventory inputs'!A885</x:f>
        <x:v>FILM</x:v>
      </x:c>
      <x:c r="B885" s="1" t="str">
        <x:f>'Inventory inputs'!B885</x:f>
        <x:v>60</x:v>
      </x:c>
      <x:c r="C885" s="1" t="str">
        <x:f>'Inventory inputs'!C885</x:f>
        <x:v>252005C1</x:v>
      </x:c>
      <x:c r="D885" s="7" t="n">
        <x:f>'Inventory inputs'!E885</x:f>
        <x:v>46304</x:v>
      </x:c>
      <x:c r="E885" s="1" t="n">
        <x:f>'Inventory inputs'!F885</x:f>
        <x:v>398</x:v>
      </x:c>
      <x:c r="F885" s="1" t="n">
        <x:f>'Inventory inputs'!G885</x:f>
        <x:v>62.92</x:v>
      </x:c>
      <x:c r="G885" s="1" t="n">
        <x:f>'Inventory inputs'!H885/'Inventory inputs'!J885</x:f>
        <x:v>21.18</x:v>
      </x:c>
      <x:c r="H885" s="1" t="n">
        <x:f>IF('Inventory inputs'!I885&gt;0,'Inventory inputs'!I885*'Inventory inputs'!K885/'Inventory inputs'!J885,"n.a.")</x:f>
        <x:v>25.44</x:v>
      </x:c>
      <x:c r="I885" s="1" t="n">
        <x:f>'Inventory inputs'!L885</x:f>
        <x:v>38</x:v>
      </x:c>
      <x:c r="J885" s="1" t="n">
        <x:f>'Inventory inputs'!M885</x:f>
        <x:v>360</x:v>
      </x:c>
      <x:c r="K885" s="1" t="n">
        <x:f>'Inventory inputs'!N885</x:f>
        <x:v>0</x:v>
      </x:c>
      <x:c r="L885" s="1" t="n">
        <x:f>'Inventory inputs'!O885</x:f>
        <x:v>1</x:v>
      </x:c>
      <x:c r="M885" s="9" t="n">
        <x:f>E885*G885</x:f>
        <x:v>8429.64</x:v>
      </x:c>
      <x:c r="N885" s="9" t="n">
        <x:f>'Inventory inputs'!Q885</x:f>
        <x:v>8429.64</x:v>
      </x:c>
      <x:c r="O885" s="9" t="n">
        <x:f>N885-M885</x:f>
        <x:v>0</x:v>
      </x:c>
      <x:c r="P885" s="1" t="n">
        <x:f>SUMIFS('Incoming POs'!$P$2:$P$305,'Incoming POs'!$A$2:$A$305,A885,'Incoming POs'!$B$2:$B$305,B885,'Incoming POs'!$C$2:$C$305,C885,'Incoming POs'!$G$2:$G$305,"&gt;="&amp;D885,'Incoming POs'!$G$2:$G$305,"&lt;"&amp;Dashboard!$I$5)</x:f>
        <x:v>0</x:v>
      </x:c>
      <x:c r="Q885" s="1" t="n">
        <x:f>F885*Dashboard!$L$5*MAX(0,Dashboard!$I$5-D885)/30.4375</x:f>
        <x:v>82.1706776180698</x:v>
      </x:c>
      <x:c r="R885" s="1" t="n">
        <x:f>MAX(0,E885+P885-Q885)</x:f>
        <x:v>315.8293223819302</x:v>
      </x:c>
      <x:c r="S885" s="1" t="n">
        <x:f>MAX(0,Q885-E885-P885)</x:f>
        <x:v>0</x:v>
      </x:c>
      <x:c r="T885" s="1" t="n">
        <x:f>IF(L885=1,MAX(0,I885+AB885-MIN(Q885,E885+P885)),"n.a.")</x:f>
        <x:v>0</x:v>
      </x:c>
      <x:c r="U885" s="9" t="n">
        <x:f>IF(ISNUMBER(T885),T885*G885,"n.a.")</x:f>
        <x:v>0</x:v>
      </x:c>
      <x:c r="V885" s="25" t="n">
        <x:f>IF(Dashboard!$I$6="Flat %",1,IF(ISNUMBER(H885),1,0))</x:f>
        <x:v>1</x:v>
      </x:c>
      <x:c r="W885" s="9" t="n">
        <x:f>IF(Dashboard!$I$6="Flat %",G885*(1+Dashboard!$L$6),H885)</x:f>
        <x:v>25.44</x:v>
      </x:c>
      <x:c r="X885" s="9" t="n">
        <x:f>IF(V885=1,R885*(W885-G885),"n.a.")</x:f>
        <x:v>1345.432913347023</x:v>
      </x:c>
      <x:c r="Y885" s="9" t="n">
        <x:f>IF(V885=1,R885*W885,"n.a.")</x:f>
        <x:v>8034.697961396304</x:v>
      </x:c>
      <x:c r="Z885" s="1" t="n">
        <x:f>IF(ISNUMBER(T885),R885-T885,"n.a.")</x:f>
        <x:v>315.8293223819302</x:v>
      </x:c>
      <x:c r="AA885" s="1" t="str">
        <x:f>'Inventory inputs'!R885</x:f>
        <x:v>Classified</x:v>
      </x:c>
      <x:c r="AB885" s="1" t="n">
        <x:f>IF(L885=1,SUMIFS('Incoming POs'!$P$2:$P$305,'Incoming POs'!$A$2:$A$305,A885,'Incoming POs'!$B$2:$B$305,B885,'Incoming POs'!$C$2:$C$305,C885,'Incoming POs'!$G$2:$G$305,"&gt;="&amp;D885,'Incoming POs'!$G$2:$G$305,"&lt;"&amp;Dashboard!$I$5,'Incoming POs'!$Q$2:$Q$305,"&lt;="&amp;('Inventory inputs'!P885/'Inventory inputs'!J885*1.01)),"n.a.")</x:f>
        <x:v>0</x:v>
      </x:c>
      <x:c r="AC885" s="9" t="n">
        <x:f>I885*G885</x:f>
        <x:v>804.84</x:v>
      </x:c>
      <x:c r="AD885" s="9" t="n">
        <x:f>J885*G885</x:f>
        <x:v>7624.8</x:v>
      </x:c>
      <x:c r="AE885" s="9" t="n">
        <x:f>K885*G885</x:f>
        <x:v>0</x:v>
      </x:c>
      <x:c r="AF885" s="9" t="n">
        <x:f>R885*G885</x:f>
        <x:v>6689.265048049281</x:v>
      </x:c>
    </x:row>
    <x:row r="886" ht="21" customHeight="1">
      <x:c r="A886" s="1" t="str">
        <x:f>'Inventory inputs'!A886</x:f>
        <x:v>FILM</x:v>
      </x:c>
      <x:c r="B886" s="1" t="str">
        <x:f>'Inventory inputs'!B886</x:f>
        <x:v>10</x:v>
      </x:c>
      <x:c r="C886" s="1" t="str">
        <x:f>'Inventory inputs'!C886</x:f>
        <x:v>PR252503C1</x:v>
      </x:c>
      <x:c r="D886" s="7" t="n">
        <x:f>'Inventory inputs'!E886</x:f>
        <x:v>46304</x:v>
      </x:c>
      <x:c r="E886" s="1" t="n">
        <x:f>'Inventory inputs'!F886</x:f>
        <x:v>126</x:v>
      </x:c>
      <x:c r="F886" s="1" t="n">
        <x:f>'Inventory inputs'!G886</x:f>
        <x:v>46.67</x:v>
      </x:c>
      <x:c r="G886" s="1" t="n">
        <x:f>'Inventory inputs'!H886/'Inventory inputs'!J886</x:f>
        <x:v>16.88</x:v>
      </x:c>
      <x:c r="H886" s="1" t="n">
        <x:f>IF('Inventory inputs'!I886&gt;0,'Inventory inputs'!I886*'Inventory inputs'!K886/'Inventory inputs'!J886,"n.a.")</x:f>
        <x:v>20.25</x:v>
      </x:c>
      <x:c r="I886" s="1" t="n">
        <x:f>'Inventory inputs'!L886</x:f>
        <x:v>126</x:v>
      </x:c>
      <x:c r="J886" s="1" t="n">
        <x:f>'Inventory inputs'!M886</x:f>
        <x:v>0</x:v>
      </x:c>
      <x:c r="K886" s="1" t="n">
        <x:f>'Inventory inputs'!N886</x:f>
        <x:v>0</x:v>
      </x:c>
      <x:c r="L886" s="1" t="n">
        <x:f>'Inventory inputs'!O886</x:f>
        <x:v>1</x:v>
      </x:c>
      <x:c r="M886" s="9" t="n">
        <x:f>E886*G886</x:f>
        <x:v>2126.8799999999997</x:v>
      </x:c>
      <x:c r="N886" s="9" t="n">
        <x:f>'Inventory inputs'!Q886</x:f>
        <x:v>2143.7599999999998</x:v>
      </x:c>
      <x:c r="O886" s="9" t="n">
        <x:f>N886-M886</x:f>
        <x:v>16.88000000000011</x:v>
      </x:c>
      <x:c r="P886" s="1" t="n">
        <x:f>SUMIFS('Incoming POs'!$P$2:$P$305,'Incoming POs'!$A$2:$A$305,A886,'Incoming POs'!$B$2:$B$305,B886,'Incoming POs'!$C$2:$C$305,C886,'Incoming POs'!$G$2:$G$305,"&gt;="&amp;D886,'Incoming POs'!$G$2:$G$305,"&lt;"&amp;Dashboard!$I$5)</x:f>
        <x:v>120</x:v>
      </x:c>
      <x:c r="Q886" s="1" t="n">
        <x:f>F886*Dashboard!$L$5*MAX(0,Dashboard!$I$5-D886)/30.4375</x:f>
        <x:v>60.94891170431211</x:v>
      </x:c>
      <x:c r="R886" s="1" t="n">
        <x:f>MAX(0,E886+P886-Q886)</x:f>
        <x:v>185.0510882956879</x:v>
      </x:c>
      <x:c r="S886" s="1" t="n">
        <x:f>MAX(0,Q886-E886-P886)</x:f>
        <x:v>0</x:v>
      </x:c>
      <x:c r="T886" s="1" t="n">
        <x:f>IF(L886=1,MAX(0,I886+AB886-MIN(Q886,E886+P886)),"n.a.")</x:f>
        <x:v>65.05108829568789</x:v>
      </x:c>
      <x:c r="U886" s="9" t="n">
        <x:f>IF(ISNUMBER(T886),T886*G886,"n.a.")</x:f>
        <x:v>1098.0623704312115</x:v>
      </x:c>
      <x:c r="V886" s="25" t="n">
        <x:f>IF(Dashboard!$I$6="Flat %",1,IF(ISNUMBER(H886),1,0))</x:f>
        <x:v>1</x:v>
      </x:c>
      <x:c r="W886" s="9" t="n">
        <x:f>IF(Dashboard!$I$6="Flat %",G886*(1+Dashboard!$L$6),H886)</x:f>
        <x:v>20.25</x:v>
      </x:c>
      <x:c r="X886" s="9" t="n">
        <x:f>IF(V886=1,R886*(W886-G886),"n.a.")</x:f>
        <x:v>623.6221675564684</x:v>
      </x:c>
      <x:c r="Y886" s="9" t="n">
        <x:f>IF(V886=1,R886*W886,"n.a.")</x:f>
        <x:v>3747.28453798768</x:v>
      </x:c>
      <x:c r="Z886" s="1" t="n">
        <x:f>IF(ISNUMBER(T886),R886-T886,"n.a.")</x:f>
        <x:v>120</x:v>
      </x:c>
      <x:c r="AA886" s="1" t="str">
        <x:f>'Inventory inputs'!R886</x:f>
        <x:v>Classified</x:v>
      </x:c>
      <x:c r="AB886" s="1" t="n">
        <x:f>IF(L886=1,SUMIFS('Incoming POs'!$P$2:$P$305,'Incoming POs'!$A$2:$A$305,A886,'Incoming POs'!$B$2:$B$305,B886,'Incoming POs'!$C$2:$C$305,C886,'Incoming POs'!$G$2:$G$305,"&gt;="&amp;D886,'Incoming POs'!$G$2:$G$305,"&lt;"&amp;Dashboard!$I$5,'Incoming POs'!$Q$2:$Q$305,"&lt;="&amp;('Inventory inputs'!P886/'Inventory inputs'!J886*1.01)),"n.a.")</x:f>
        <x:v>0</x:v>
      </x:c>
      <x:c r="AC886" s="9" t="n">
        <x:f>I886*G886</x:f>
        <x:v>2126.8799999999997</x:v>
      </x:c>
      <x:c r="AD886" s="9" t="n">
        <x:f>J886*G886</x:f>
        <x:v>0</x:v>
      </x:c>
      <x:c r="AE886" s="9" t="n">
        <x:f>K886*G886</x:f>
        <x:v>0</x:v>
      </x:c>
      <x:c r="AF886" s="9" t="n">
        <x:f>R886*G886</x:f>
        <x:v>3123.6623704312115</x:v>
      </x:c>
    </x:row>
    <x:row r="887" ht="21" customHeight="1">
      <x:c r="A887" s="1" t="str">
        <x:f>'Inventory inputs'!A887</x:f>
        <x:v>FILM</x:v>
      </x:c>
      <x:c r="B887" s="1" t="str">
        <x:f>'Inventory inputs'!B887</x:f>
        <x:v>30</x:v>
      </x:c>
      <x:c r="C887" s="1" t="str">
        <x:f>'Inventory inputs'!C887</x:f>
        <x:v>272005C1</x:v>
      </x:c>
      <x:c r="D887" s="7" t="n">
        <x:f>'Inventory inputs'!E887</x:f>
        <x:v>46304</x:v>
      </x:c>
      <x:c r="E887" s="1" t="n">
        <x:f>'Inventory inputs'!F887</x:f>
        <x:v>192</x:v>
      </x:c>
      <x:c r="F887" s="1" t="n">
        <x:f>'Inventory inputs'!G887</x:f>
        <x:v>40.83</x:v>
      </x:c>
      <x:c r="G887" s="1" t="n">
        <x:f>'Inventory inputs'!H887/'Inventory inputs'!J887</x:f>
        <x:v>22.87</x:v>
      </x:c>
      <x:c r="H887" s="1" t="n">
        <x:f>IF('Inventory inputs'!I887&gt;0,'Inventory inputs'!I887*'Inventory inputs'!K887/'Inventory inputs'!J887,"n.a.")</x:f>
        <x:v>27.48</x:v>
      </x:c>
      <x:c r="I887" s="1" t="n">
        <x:f>'Inventory inputs'!L887</x:f>
        <x:v>48</x:v>
      </x:c>
      <x:c r="J887" s="1" t="n">
        <x:f>'Inventory inputs'!M887</x:f>
        <x:v>144</x:v>
      </x:c>
      <x:c r="K887" s="1" t="n">
        <x:f>'Inventory inputs'!N887</x:f>
        <x:v>0</x:v>
      </x:c>
      <x:c r="L887" s="1" t="n">
        <x:f>'Inventory inputs'!O887</x:f>
        <x:v>1</x:v>
      </x:c>
      <x:c r="M887" s="9" t="n">
        <x:f>E887*G887</x:f>
        <x:v>4391.04</x:v>
      </x:c>
      <x:c r="N887" s="9" t="n">
        <x:f>'Inventory inputs'!Q887</x:f>
        <x:v>4574</x:v>
      </x:c>
      <x:c r="O887" s="9" t="n">
        <x:f>N887-M887</x:f>
        <x:v>182.96000000000004</x:v>
      </x:c>
      <x:c r="P887" s="1" t="n">
        <x:f>SUMIFS('Incoming POs'!$P$2:$P$305,'Incoming POs'!$A$2:$A$305,A887,'Incoming POs'!$B$2:$B$305,B887,'Incoming POs'!$C$2:$C$305,C887,'Incoming POs'!$G$2:$G$305,"&gt;="&amp;D887,'Incoming POs'!$G$2:$G$305,"&lt;"&amp;Dashboard!$I$5)</x:f>
        <x:v>72</x:v>
      </x:c>
      <x:c r="Q887" s="1" t="n">
        <x:f>F887*Dashboard!$L$5*MAX(0,Dashboard!$I$5-D887)/30.4375</x:f>
        <x:v>53.32213552361396</x:v>
      </x:c>
      <x:c r="R887" s="1" t="n">
        <x:f>MAX(0,E887+P887-Q887)</x:f>
        <x:v>210.67786447638605</x:v>
      </x:c>
      <x:c r="S887" s="1" t="n">
        <x:f>MAX(0,Q887-E887-P887)</x:f>
        <x:v>0</x:v>
      </x:c>
      <x:c r="T887" s="1" t="n">
        <x:f>IF(L887=1,MAX(0,I887+AB887-MIN(Q887,E887+P887)),"n.a.")</x:f>
        <x:v>0</x:v>
      </x:c>
      <x:c r="U887" s="9" t="n">
        <x:f>IF(ISNUMBER(T887),T887*G887,"n.a.")</x:f>
        <x:v>0</x:v>
      </x:c>
      <x:c r="V887" s="25" t="n">
        <x:f>IF(Dashboard!$I$6="Flat %",1,IF(ISNUMBER(H887),1,0))</x:f>
        <x:v>1</x:v>
      </x:c>
      <x:c r="W887" s="9" t="n">
        <x:f>IF(Dashboard!$I$6="Flat %",G887*(1+Dashboard!$L$6),H887)</x:f>
        <x:v>27.48</x:v>
      </x:c>
      <x:c r="X887" s="9" t="n">
        <x:f>IF(V887=1,R887*(W887-G887),"n.a.")</x:f>
        <x:v>971.2249552361395</x:v>
      </x:c>
      <x:c r="Y887" s="9" t="n">
        <x:f>IF(V887=1,R887*W887,"n.a.")</x:f>
        <x:v>5789.427715811089</x:v>
      </x:c>
      <x:c r="Z887" s="1" t="n">
        <x:f>IF(ISNUMBER(T887),R887-T887,"n.a.")</x:f>
        <x:v>210.67786447638605</x:v>
      </x:c>
      <x:c r="AA887" s="1" t="str">
        <x:f>'Inventory inputs'!R887</x:f>
        <x:v>Classified</x:v>
      </x:c>
      <x:c r="AB887" s="1" t="n">
        <x:f>IF(L887=1,SUMIFS('Incoming POs'!$P$2:$P$305,'Incoming POs'!$A$2:$A$305,A887,'Incoming POs'!$B$2:$B$305,B887,'Incoming POs'!$C$2:$C$305,C887,'Incoming POs'!$G$2:$G$305,"&gt;="&amp;D887,'Incoming POs'!$G$2:$G$305,"&lt;"&amp;Dashboard!$I$5,'Incoming POs'!$Q$2:$Q$305,"&lt;="&amp;('Inventory inputs'!P887/'Inventory inputs'!J887*1.01)),"n.a.")</x:f>
        <x:v>0</x:v>
      </x:c>
      <x:c r="AC887" s="9" t="n">
        <x:f>I887*G887</x:f>
        <x:v>1097.76</x:v>
      </x:c>
      <x:c r="AD887" s="9" t="n">
        <x:f>J887*G887</x:f>
        <x:v>3293.28</x:v>
      </x:c>
      <x:c r="AE887" s="9" t="n">
        <x:f>K887*G887</x:f>
        <x:v>0</x:v>
      </x:c>
      <x:c r="AF887" s="9" t="n">
        <x:f>R887*G887</x:f>
        <x:v>4818.202760574949</x:v>
      </x:c>
    </x:row>
    <x:row r="888" ht="21" customHeight="1">
      <x:c r="A888" s="1" t="str">
        <x:f>'Inventory inputs'!A888</x:f>
        <x:v>FILM</x:v>
      </x:c>
      <x:c r="B888" s="1" t="str">
        <x:f>'Inventory inputs'!B888</x:f>
        <x:v>10</x:v>
      </x:c>
      <x:c r="C888" s="1" t="str">
        <x:f>'Inventory inputs'!C888</x:f>
        <x:v>182005C1</x:v>
      </x:c>
      <x:c r="D888" s="7" t="n">
        <x:f>'Inventory inputs'!E888</x:f>
        <x:v>46304</x:v>
      </x:c>
      <x:c r="E888" s="1" t="n">
        <x:f>'Inventory inputs'!F888</x:f>
        <x:v>80</x:v>
      </x:c>
      <x:c r="F888" s="1" t="n">
        <x:f>'Inventory inputs'!G888</x:f>
        <x:v>38.33</x:v>
      </x:c>
      <x:c r="G888" s="1" t="n">
        <x:f>'Inventory inputs'!H888/'Inventory inputs'!J888</x:f>
        <x:v>15.25</x:v>
      </x:c>
      <x:c r="H888" s="1" t="n">
        <x:f>IF('Inventory inputs'!I888&gt;0,'Inventory inputs'!I888*'Inventory inputs'!K888/'Inventory inputs'!J888,"n.a.")</x:f>
        <x:v>18.32</x:v>
      </x:c>
      <x:c r="I888" s="1" t="n">
        <x:f>'Inventory inputs'!L888</x:f>
        <x:v>0</x:v>
      </x:c>
      <x:c r="J888" s="1" t="n">
        <x:f>'Inventory inputs'!M888</x:f>
        <x:v>80</x:v>
      </x:c>
      <x:c r="K888" s="1" t="n">
        <x:f>'Inventory inputs'!N888</x:f>
        <x:v>0</x:v>
      </x:c>
      <x:c r="L888" s="1" t="n">
        <x:f>'Inventory inputs'!O888</x:f>
        <x:v>1</x:v>
      </x:c>
      <x:c r="M888" s="9" t="n">
        <x:f>E888*G888</x:f>
        <x:v>1220</x:v>
      </x:c>
      <x:c r="N888" s="9" t="n">
        <x:f>'Inventory inputs'!Q888</x:f>
        <x:v>1250.5</x:v>
      </x:c>
      <x:c r="O888" s="9" t="n">
        <x:f>N888-M888</x:f>
        <x:v>30.5</x:v>
      </x:c>
      <x:c r="P888" s="1" t="n">
        <x:f>SUMIFS('Incoming POs'!$P$2:$P$305,'Incoming POs'!$A$2:$A$305,A888,'Incoming POs'!$B$2:$B$305,B888,'Incoming POs'!$C$2:$C$305,C888,'Incoming POs'!$G$2:$G$305,"&gt;="&amp;D888,'Incoming POs'!$G$2:$G$305,"&lt;"&amp;Dashboard!$I$5)</x:f>
        <x:v>72</x:v>
      </x:c>
      <x:c r="Q888" s="1" t="n">
        <x:f>F888*Dashboard!$L$5*MAX(0,Dashboard!$I$5-D888)/30.4375</x:f>
        <x:v>50.05724845995893</x:v>
      </x:c>
      <x:c r="R888" s="1" t="n">
        <x:f>MAX(0,E888+P888-Q888)</x:f>
        <x:v>101.94275154004107</x:v>
      </x:c>
      <x:c r="S888" s="1" t="n">
        <x:f>MAX(0,Q888-E888-P888)</x:f>
        <x:v>0</x:v>
      </x:c>
      <x:c r="T888" s="1" t="n">
        <x:f>IF(L888=1,MAX(0,I888+AB888-MIN(Q888,E888+P888)),"n.a.")</x:f>
        <x:v>0</x:v>
      </x:c>
      <x:c r="U888" s="9" t="n">
        <x:f>IF(ISNUMBER(T888),T888*G888,"n.a.")</x:f>
        <x:v>0</x:v>
      </x:c>
      <x:c r="V888" s="25" t="n">
        <x:f>IF(Dashboard!$I$6="Flat %",1,IF(ISNUMBER(H888),1,0))</x:f>
        <x:v>1</x:v>
      </x:c>
      <x:c r="W888" s="9" t="n">
        <x:f>IF(Dashboard!$I$6="Flat %",G888*(1+Dashboard!$L$6),H888)</x:f>
        <x:v>18.32</x:v>
      </x:c>
      <x:c r="X888" s="9" t="n">
        <x:f>IF(V888=1,R888*(W888-G888),"n.a.")</x:f>
        <x:v>312.96424722792614</x:v>
      </x:c>
      <x:c r="Y888" s="9" t="n">
        <x:f>IF(V888=1,R888*W888,"n.a.")</x:f>
        <x:v>1867.5912082135526</x:v>
      </x:c>
      <x:c r="Z888" s="1" t="n">
        <x:f>IF(ISNUMBER(T888),R888-T888,"n.a.")</x:f>
        <x:v>101.94275154004107</x:v>
      </x:c>
      <x:c r="AA888" s="1" t="str">
        <x:f>'Inventory inputs'!R888</x:f>
        <x:v>Classified</x:v>
      </x:c>
      <x:c r="AB888" s="1" t="n">
        <x:f>IF(L888=1,SUMIFS('Incoming POs'!$P$2:$P$305,'Incoming POs'!$A$2:$A$305,A888,'Incoming POs'!$B$2:$B$305,B888,'Incoming POs'!$C$2:$C$305,C888,'Incoming POs'!$G$2:$G$305,"&gt;="&amp;D888,'Incoming POs'!$G$2:$G$305,"&lt;"&amp;Dashboard!$I$5,'Incoming POs'!$Q$2:$Q$305,"&lt;="&amp;('Inventory inputs'!P888/'Inventory inputs'!J888*1.01)),"n.a.")</x:f>
        <x:v>0</x:v>
      </x:c>
      <x:c r="AC888" s="9" t="n">
        <x:f>I888*G888</x:f>
        <x:v>0</x:v>
      </x:c>
      <x:c r="AD888" s="9" t="n">
        <x:f>J888*G888</x:f>
        <x:v>1220</x:v>
      </x:c>
      <x:c r="AE888" s="9" t="n">
        <x:f>K888*G888</x:f>
        <x:v>0</x:v>
      </x:c>
      <x:c r="AF888" s="9" t="n">
        <x:f>R888*G888</x:f>
        <x:v>1554.6269609856263</x:v>
      </x:c>
    </x:row>
    <x:row r="889" ht="21" customHeight="1">
      <x:c r="A889" s="1" t="str">
        <x:f>'Inventory inputs'!A889</x:f>
        <x:v>FILM</x:v>
      </x:c>
      <x:c r="B889" s="1" t="str">
        <x:f>'Inventory inputs'!B889</x:f>
        <x:v>60</x:v>
      </x:c>
      <x:c r="C889" s="1" t="str">
        <x:f>'Inventory inputs'!C889</x:f>
        <x:v>272005C1</x:v>
      </x:c>
      <x:c r="D889" s="7" t="n">
        <x:f>'Inventory inputs'!E889</x:f>
        <x:v>46304</x:v>
      </x:c>
      <x:c r="E889" s="1" t="n">
        <x:f>'Inventory inputs'!F889</x:f>
        <x:v>168</x:v>
      </x:c>
      <x:c r="F889" s="1" t="n">
        <x:f>'Inventory inputs'!G889</x:f>
        <x:v>37.83</x:v>
      </x:c>
      <x:c r="G889" s="1" t="n">
        <x:f>'Inventory inputs'!H889/'Inventory inputs'!J889</x:f>
        <x:v>22.87</x:v>
      </x:c>
      <x:c r="H889" s="1" t="n">
        <x:f>IF('Inventory inputs'!I889&gt;0,'Inventory inputs'!I889*'Inventory inputs'!K889/'Inventory inputs'!J889,"n.a.")</x:f>
        <x:v>27.48</x:v>
      </x:c>
      <x:c r="I889" s="1" t="n">
        <x:f>'Inventory inputs'!L889</x:f>
        <x:v>0</x:v>
      </x:c>
      <x:c r="J889" s="1" t="n">
        <x:f>'Inventory inputs'!M889</x:f>
        <x:v>168</x:v>
      </x:c>
      <x:c r="K889" s="1" t="n">
        <x:f>'Inventory inputs'!N889</x:f>
        <x:v>0</x:v>
      </x:c>
      <x:c r="L889" s="1" t="n">
        <x:f>'Inventory inputs'!O889</x:f>
        <x:v>1</x:v>
      </x:c>
      <x:c r="M889" s="9" t="n">
        <x:f>E889*G889</x:f>
        <x:v>3842.1600000000003</x:v>
      </x:c>
      <x:c r="N889" s="9" t="n">
        <x:f>'Inventory inputs'!Q889</x:f>
        <x:v>3842.1600000000003</x:v>
      </x:c>
      <x:c r="O889" s="9" t="n">
        <x:f>N889-M889</x:f>
        <x:v>0</x:v>
      </x:c>
      <x:c r="P889" s="1" t="n">
        <x:f>SUMIFS('Incoming POs'!$P$2:$P$305,'Incoming POs'!$A$2:$A$305,A889,'Incoming POs'!$B$2:$B$305,B889,'Incoming POs'!$C$2:$C$305,C889,'Incoming POs'!$G$2:$G$305,"&gt;="&amp;D889,'Incoming POs'!$G$2:$G$305,"&lt;"&amp;Dashboard!$I$5)</x:f>
        <x:v>0</x:v>
      </x:c>
      <x:c r="Q889" s="1" t="n">
        <x:f>F889*Dashboard!$L$5*MAX(0,Dashboard!$I$5-D889)/30.4375</x:f>
        <x:v>49.40427104722792</x:v>
      </x:c>
      <x:c r="R889" s="1" t="n">
        <x:f>MAX(0,E889+P889-Q889)</x:f>
        <x:v>118.59572895277208</x:v>
      </x:c>
      <x:c r="S889" s="1" t="n">
        <x:f>MAX(0,Q889-E889-P889)</x:f>
        <x:v>0</x:v>
      </x:c>
      <x:c r="T889" s="1" t="n">
        <x:f>IF(L889=1,MAX(0,I889+AB889-MIN(Q889,E889+P889)),"n.a.")</x:f>
        <x:v>0</x:v>
      </x:c>
      <x:c r="U889" s="9" t="n">
        <x:f>IF(ISNUMBER(T889),T889*G889,"n.a.")</x:f>
        <x:v>0</x:v>
      </x:c>
      <x:c r="V889" s="25" t="n">
        <x:f>IF(Dashboard!$I$6="Flat %",1,IF(ISNUMBER(H889),1,0))</x:f>
        <x:v>1</x:v>
      </x:c>
      <x:c r="W889" s="9" t="n">
        <x:f>IF(Dashboard!$I$6="Flat %",G889*(1+Dashboard!$L$6),H889)</x:f>
        <x:v>27.48</x:v>
      </x:c>
      <x:c r="X889" s="9" t="n">
        <x:f>IF(V889=1,R889*(W889-G889),"n.a.")</x:f>
        <x:v>546.7263104722792</x:v>
      </x:c>
      <x:c r="Y889" s="9" t="n">
        <x:f>IF(V889=1,R889*W889,"n.a.")</x:f>
        <x:v>3259.010631622177</x:v>
      </x:c>
      <x:c r="Z889" s="1" t="n">
        <x:f>IF(ISNUMBER(T889),R889-T889,"n.a.")</x:f>
        <x:v>118.59572895277208</x:v>
      </x:c>
      <x:c r="AA889" s="1" t="str">
        <x:f>'Inventory inputs'!R889</x:f>
        <x:v>Classified</x:v>
      </x:c>
      <x:c r="AB889" s="1" t="n">
        <x:f>IF(L889=1,SUMIFS('Incoming POs'!$P$2:$P$305,'Incoming POs'!$A$2:$A$305,A889,'Incoming POs'!$B$2:$B$305,B889,'Incoming POs'!$C$2:$C$305,C889,'Incoming POs'!$G$2:$G$305,"&gt;="&amp;D889,'Incoming POs'!$G$2:$G$305,"&lt;"&amp;Dashboard!$I$5,'Incoming POs'!$Q$2:$Q$305,"&lt;="&amp;('Inventory inputs'!P889/'Inventory inputs'!J889*1.01)),"n.a.")</x:f>
        <x:v>0</x:v>
      </x:c>
      <x:c r="AC889" s="9" t="n">
        <x:f>I889*G889</x:f>
        <x:v>0</x:v>
      </x:c>
      <x:c r="AD889" s="9" t="n">
        <x:f>J889*G889</x:f>
        <x:v>3842.1600000000003</x:v>
      </x:c>
      <x:c r="AE889" s="9" t="n">
        <x:f>K889*G889</x:f>
        <x:v>0</x:v>
      </x:c>
      <x:c r="AF889" s="9" t="n">
        <x:f>R889*G889</x:f>
        <x:v>2712.2843211498976</x:v>
      </x:c>
    </x:row>
    <x:row r="890" ht="21" customHeight="1">
      <x:c r="A890" s="1" t="str">
        <x:f>'Inventory inputs'!A890</x:f>
        <x:v>FILM</x:v>
      </x:c>
      <x:c r="B890" s="1" t="str">
        <x:f>'Inventory inputs'!B890</x:f>
        <x:v>30</x:v>
      </x:c>
      <x:c r="C890" s="1" t="str">
        <x:f>'Inventory inputs'!C890</x:f>
        <x:v>SG25500C1</x:v>
      </x:c>
      <x:c r="D890" s="7" t="n">
        <x:f>'Inventory inputs'!E890</x:f>
        <x:v>46304</x:v>
      </x:c>
      <x:c r="E890" s="1" t="n">
        <x:f>'Inventory inputs'!F890</x:f>
        <x:v>218</x:v>
      </x:c>
      <x:c r="F890" s="1" t="n">
        <x:f>'Inventory inputs'!G890</x:f>
        <x:v>36</x:v>
      </x:c>
      <x:c r="G890" s="1" t="n">
        <x:f>'Inventory inputs'!H890/'Inventory inputs'!J890</x:f>
        <x:v>12.3</x:v>
      </x:c>
      <x:c r="H890" s="1" t="n">
        <x:f>IF('Inventory inputs'!I890&gt;0,'Inventory inputs'!I890*'Inventory inputs'!K890/'Inventory inputs'!J890,"n.a.")</x:f>
        <x:v>14.85</x:v>
      </x:c>
      <x:c r="I890" s="1" t="n">
        <x:f>'Inventory inputs'!L890</x:f>
        <x:v>218</x:v>
      </x:c>
      <x:c r="J890" s="1" t="n">
        <x:f>'Inventory inputs'!M890</x:f>
        <x:v>0</x:v>
      </x:c>
      <x:c r="K890" s="1" t="n">
        <x:f>'Inventory inputs'!N890</x:f>
        <x:v>0</x:v>
      </x:c>
      <x:c r="L890" s="1" t="n">
        <x:f>'Inventory inputs'!O890</x:f>
        <x:v>1</x:v>
      </x:c>
      <x:c r="M890" s="9" t="n">
        <x:f>E890*G890</x:f>
        <x:v>2681.4</x:v>
      </x:c>
      <x:c r="N890" s="9" t="n">
        <x:f>'Inventory inputs'!Q890</x:f>
        <x:v>2681.4</x:v>
      </x:c>
      <x:c r="O890" s="9" t="n">
        <x:f>N890-M890</x:f>
        <x:v>0</x:v>
      </x:c>
      <x:c r="P890" s="1" t="n">
        <x:f>SUMIFS('Incoming POs'!$P$2:$P$305,'Incoming POs'!$A$2:$A$305,A890,'Incoming POs'!$B$2:$B$305,B890,'Incoming POs'!$C$2:$C$305,C890,'Incoming POs'!$G$2:$G$305,"&gt;="&amp;D890,'Incoming POs'!$G$2:$G$305,"&lt;"&amp;Dashboard!$I$5)</x:f>
        <x:v>0</x:v>
      </x:c>
      <x:c r="Q890" s="1" t="n">
        <x:f>F890*Dashboard!$L$5*MAX(0,Dashboard!$I$5-D890)/30.4375</x:f>
        <x:v>47.01437371663244</x:v>
      </x:c>
      <x:c r="R890" s="1" t="n">
        <x:f>MAX(0,E890+P890-Q890)</x:f>
        <x:v>170.98562628336757</x:v>
      </x:c>
      <x:c r="S890" s="1" t="n">
        <x:f>MAX(0,Q890-E890-P890)</x:f>
        <x:v>0</x:v>
      </x:c>
      <x:c r="T890" s="1" t="n">
        <x:f>IF(L890=1,MAX(0,I890+AB890-MIN(Q890,E890+P890)),"n.a.")</x:f>
        <x:v>170.98562628336757</x:v>
      </x:c>
      <x:c r="U890" s="9" t="n">
        <x:f>IF(ISNUMBER(T890),T890*G890,"n.a.")</x:f>
        <x:v>2103.1232032854214</x:v>
      </x:c>
      <x:c r="V890" s="25" t="n">
        <x:f>IF(Dashboard!$I$6="Flat %",1,IF(ISNUMBER(H890),1,0))</x:f>
        <x:v>1</x:v>
      </x:c>
      <x:c r="W890" s="9" t="n">
        <x:f>IF(Dashboard!$I$6="Flat %",G890*(1+Dashboard!$L$6),H890)</x:f>
        <x:v>14.85</x:v>
      </x:c>
      <x:c r="X890" s="9" t="n">
        <x:f>IF(V890=1,R890*(W890-G890),"n.a.")</x:f>
        <x:v>436.0133470225871</x:v>
      </x:c>
      <x:c r="Y890" s="9" t="n">
        <x:f>IF(V890=1,R890*W890,"n.a.")</x:f>
        <x:v>2539.1365503080083</x:v>
      </x:c>
      <x:c r="Z890" s="1" t="n">
        <x:f>IF(ISNUMBER(T890),R890-T890,"n.a.")</x:f>
        <x:v>0</x:v>
      </x:c>
      <x:c r="AA890" s="1" t="str">
        <x:f>'Inventory inputs'!R890</x:f>
        <x:v>Classified</x:v>
      </x:c>
      <x:c r="AB890" s="1" t="n">
        <x:f>IF(L890=1,SUMIFS('Incoming POs'!$P$2:$P$305,'Incoming POs'!$A$2:$A$305,A890,'Incoming POs'!$B$2:$B$305,B890,'Incoming POs'!$C$2:$C$305,C890,'Incoming POs'!$G$2:$G$305,"&gt;="&amp;D890,'Incoming POs'!$G$2:$G$305,"&lt;"&amp;Dashboard!$I$5,'Incoming POs'!$Q$2:$Q$305,"&lt;="&amp;('Inventory inputs'!P890/'Inventory inputs'!J890*1.01)),"n.a.")</x:f>
        <x:v>0</x:v>
      </x:c>
      <x:c r="AC890" s="9" t="n">
        <x:f>I890*G890</x:f>
        <x:v>2681.4</x:v>
      </x:c>
      <x:c r="AD890" s="9" t="n">
        <x:f>J890*G890</x:f>
        <x:v>0</x:v>
      </x:c>
      <x:c r="AE890" s="9" t="n">
        <x:f>K890*G890</x:f>
        <x:v>0</x:v>
      </x:c>
      <x:c r="AF890" s="9" t="n">
        <x:f>R890*G890</x:f>
        <x:v>2103.1232032854214</x:v>
      </x:c>
    </x:row>
    <x:row r="891" ht="21" customHeight="1">
      <x:c r="A891" s="1" t="str">
        <x:f>'Inventory inputs'!A891</x:f>
        <x:v>FILM</x:v>
      </x:c>
      <x:c r="B891" s="1" t="str">
        <x:f>'Inventory inputs'!B891</x:f>
        <x:v>10</x:v>
      </x:c>
      <x:c r="C891" s="1" t="str">
        <x:f>'Inventory inputs'!C891</x:f>
        <x:v>2550017C1</x:v>
      </x:c>
      <x:c r="D891" s="7" t="n">
        <x:f>'Inventory inputs'!E891</x:f>
        <x:v>46304</x:v>
      </x:c>
      <x:c r="E891" s="1" t="n">
        <x:f>'Inventory inputs'!F891</x:f>
        <x:v>84</x:v>
      </x:c>
      <x:c r="F891" s="1" t="n">
        <x:f>'Inventory inputs'!G891</x:f>
        <x:v>32.5</x:v>
      </x:c>
      <x:c r="G891" s="1" t="n">
        <x:f>'Inventory inputs'!H891/'Inventory inputs'!J891</x:f>
        <x:v>19.35</x:v>
      </x:c>
      <x:c r="H891" s="1" t="n">
        <x:f>IF('Inventory inputs'!I891&gt;0,'Inventory inputs'!I891*'Inventory inputs'!K891/'Inventory inputs'!J891,"n.a.")</x:f>
        <x:v>23.35</x:v>
      </x:c>
      <x:c r="I891" s="1" t="n">
        <x:f>'Inventory inputs'!L891</x:f>
        <x:v>0</x:v>
      </x:c>
      <x:c r="J891" s="1" t="n">
        <x:f>'Inventory inputs'!M891</x:f>
        <x:v>84</x:v>
      </x:c>
      <x:c r="K891" s="1" t="n">
        <x:f>'Inventory inputs'!N891</x:f>
        <x:v>0</x:v>
      </x:c>
      <x:c r="L891" s="1" t="n">
        <x:f>'Inventory inputs'!O891</x:f>
        <x:v>1</x:v>
      </x:c>
      <x:c r="M891" s="9" t="n">
        <x:f>E891*G891</x:f>
        <x:v>1625.4</x:v>
      </x:c>
      <x:c r="N891" s="9" t="n">
        <x:f>'Inventory inputs'!Q891</x:f>
        <x:v>1625.4</x:v>
      </x:c>
      <x:c r="O891" s="9" t="n">
        <x:f>N891-M891</x:f>
        <x:v>0</x:v>
      </x:c>
      <x:c r="P891" s="1" t="n">
        <x:f>SUMIFS('Incoming POs'!$P$2:$P$305,'Incoming POs'!$A$2:$A$305,A891,'Incoming POs'!$B$2:$B$305,B891,'Incoming POs'!$C$2:$C$305,C891,'Incoming POs'!$G$2:$G$305,"&gt;="&amp;D891,'Incoming POs'!$G$2:$G$305,"&lt;"&amp;Dashboard!$I$5)</x:f>
        <x:v>180</x:v>
      </x:c>
      <x:c r="Q891" s="1" t="n">
        <x:f>F891*Dashboard!$L$5*MAX(0,Dashboard!$I$5-D891)/30.4375</x:f>
        <x:v>42.4435318275154</x:v>
      </x:c>
      <x:c r="R891" s="1" t="n">
        <x:f>MAX(0,E891+P891-Q891)</x:f>
        <x:v>221.55646817248459</x:v>
      </x:c>
      <x:c r="S891" s="1" t="n">
        <x:f>MAX(0,Q891-E891-P891)</x:f>
        <x:v>0</x:v>
      </x:c>
      <x:c r="T891" s="1" t="n">
        <x:f>IF(L891=1,MAX(0,I891+AB891-MIN(Q891,E891+P891)),"n.a.")</x:f>
        <x:v>0</x:v>
      </x:c>
      <x:c r="U891" s="9" t="n">
        <x:f>IF(ISNUMBER(T891),T891*G891,"n.a.")</x:f>
        <x:v>0</x:v>
      </x:c>
      <x:c r="V891" s="25" t="n">
        <x:f>IF(Dashboard!$I$6="Flat %",1,IF(ISNUMBER(H891),1,0))</x:f>
        <x:v>1</x:v>
      </x:c>
      <x:c r="W891" s="9" t="n">
        <x:f>IF(Dashboard!$I$6="Flat %",G891*(1+Dashboard!$L$6),H891)</x:f>
        <x:v>23.35</x:v>
      </x:c>
      <x:c r="X891" s="9" t="n">
        <x:f>IF(V891=1,R891*(W891-G891),"n.a.")</x:f>
        <x:v>886.2258726899383</x:v>
      </x:c>
      <x:c r="Y891" s="9" t="n">
        <x:f>IF(V891=1,R891*W891,"n.a.")</x:f>
        <x:v>5173.343531827515</x:v>
      </x:c>
      <x:c r="Z891" s="1" t="n">
        <x:f>IF(ISNUMBER(T891),R891-T891,"n.a.")</x:f>
        <x:v>221.55646817248459</x:v>
      </x:c>
      <x:c r="AA891" s="1" t="str">
        <x:f>'Inventory inputs'!R891</x:f>
        <x:v>Classified</x:v>
      </x:c>
      <x:c r="AB891" s="1" t="n">
        <x:f>IF(L891=1,SUMIFS('Incoming POs'!$P$2:$P$305,'Incoming POs'!$A$2:$A$305,A891,'Incoming POs'!$B$2:$B$305,B891,'Incoming POs'!$C$2:$C$305,C891,'Incoming POs'!$G$2:$G$305,"&gt;="&amp;D891,'Incoming POs'!$G$2:$G$305,"&lt;"&amp;Dashboard!$I$5,'Incoming POs'!$Q$2:$Q$305,"&lt;="&amp;('Inventory inputs'!P891/'Inventory inputs'!J891*1.01)),"n.a.")</x:f>
        <x:v>0</x:v>
      </x:c>
      <x:c r="AC891" s="9" t="n">
        <x:f>I891*G891</x:f>
        <x:v>0</x:v>
      </x:c>
      <x:c r="AD891" s="9" t="n">
        <x:f>J891*G891</x:f>
        <x:v>1625.4</x:v>
      </x:c>
      <x:c r="AE891" s="9" t="n">
        <x:f>K891*G891</x:f>
        <x:v>0</x:v>
      </x:c>
      <x:c r="AF891" s="9" t="n">
        <x:f>R891*G891</x:f>
        <x:v>4287.117659137577</x:v>
      </x:c>
    </x:row>
    <x:row r="892" ht="21" customHeight="1">
      <x:c r="A892" s="1" t="str">
        <x:f>'Inventory inputs'!A892</x:f>
        <x:v>FILM</x:v>
      </x:c>
      <x:c r="B892" s="1" t="str">
        <x:f>'Inventory inputs'!B892</x:f>
        <x:v>10</x:v>
      </x:c>
      <x:c r="C892" s="1" t="str">
        <x:f>'Inventory inputs'!C892</x:f>
        <x:v>122005C1</x:v>
      </x:c>
      <x:c r="D892" s="7" t="n">
        <x:f>'Inventory inputs'!E892</x:f>
        <x:v>46304</x:v>
      </x:c>
      <x:c r="E892" s="1" t="n">
        <x:f>'Inventory inputs'!F892</x:f>
        <x:v>112</x:v>
      </x:c>
      <x:c r="F892" s="1" t="n">
        <x:f>'Inventory inputs'!G892</x:f>
        <x:v>31</x:v>
      </x:c>
      <x:c r="G892" s="1" t="n">
        <x:f>'Inventory inputs'!H892/'Inventory inputs'!J892</x:f>
        <x:v>10.17</x:v>
      </x:c>
      <x:c r="H892" s="1" t="n">
        <x:f>IF('Inventory inputs'!I892&gt;0,'Inventory inputs'!I892*'Inventory inputs'!K892/'Inventory inputs'!J892,"n.a.")</x:f>
        <x:v>12.21</x:v>
      </x:c>
      <x:c r="I892" s="1" t="n">
        <x:f>'Inventory inputs'!L892</x:f>
        <x:v>0</x:v>
      </x:c>
      <x:c r="J892" s="1" t="n">
        <x:f>'Inventory inputs'!M892</x:f>
        <x:v>112</x:v>
      </x:c>
      <x:c r="K892" s="1" t="n">
        <x:f>'Inventory inputs'!N892</x:f>
        <x:v>0</x:v>
      </x:c>
      <x:c r="L892" s="1" t="n">
        <x:f>'Inventory inputs'!O892</x:f>
        <x:v>1</x:v>
      </x:c>
      <x:c r="M892" s="9" t="n">
        <x:f>E892*G892</x:f>
        <x:v>1139.04</x:v>
      </x:c>
      <x:c r="N892" s="9" t="n">
        <x:f>'Inventory inputs'!Q892</x:f>
        <x:v>1139.04</x:v>
      </x:c>
      <x:c r="O892" s="9" t="n">
        <x:f>N892-M892</x:f>
        <x:v>0</x:v>
      </x:c>
      <x:c r="P892" s="1" t="n">
        <x:f>SUMIFS('Incoming POs'!$P$2:$P$305,'Incoming POs'!$A$2:$A$305,A892,'Incoming POs'!$B$2:$B$305,B892,'Incoming POs'!$C$2:$C$305,C892,'Incoming POs'!$G$2:$G$305,"&gt;="&amp;D892,'Incoming POs'!$G$2:$G$305,"&lt;"&amp;Dashboard!$I$5)</x:f>
        <x:v>72</x:v>
      </x:c>
      <x:c r="Q892" s="1" t="n">
        <x:f>F892*Dashboard!$L$5*MAX(0,Dashboard!$I$5-D892)/30.4375</x:f>
        <x:v>40.48459958932238</x:v>
      </x:c>
      <x:c r="R892" s="1" t="n">
        <x:f>MAX(0,E892+P892-Q892)</x:f>
        <x:v>143.51540041067761</x:v>
      </x:c>
      <x:c r="S892" s="1" t="n">
        <x:f>MAX(0,Q892-E892-P892)</x:f>
        <x:v>0</x:v>
      </x:c>
      <x:c r="T892" s="1" t="n">
        <x:f>IF(L892=1,MAX(0,I892+AB892-MIN(Q892,E892+P892)),"n.a.")</x:f>
        <x:v>0</x:v>
      </x:c>
      <x:c r="U892" s="9" t="n">
        <x:f>IF(ISNUMBER(T892),T892*G892,"n.a.")</x:f>
        <x:v>0</x:v>
      </x:c>
      <x:c r="V892" s="25" t="n">
        <x:f>IF(Dashboard!$I$6="Flat %",1,IF(ISNUMBER(H892),1,0))</x:f>
        <x:v>1</x:v>
      </x:c>
      <x:c r="W892" s="9" t="n">
        <x:f>IF(Dashboard!$I$6="Flat %",G892*(1+Dashboard!$L$6),H892)</x:f>
        <x:v>12.21</x:v>
      </x:c>
      <x:c r="X892" s="9" t="n">
        <x:f>IF(V892=1,R892*(W892-G892),"n.a.")</x:f>
        <x:v>292.77141683778245</x:v>
      </x:c>
      <x:c r="Y892" s="9" t="n">
        <x:f>IF(V892=1,R892*W892,"n.a.")</x:f>
        <x:v>1752.3230390143738</x:v>
      </x:c>
      <x:c r="Z892" s="1" t="n">
        <x:f>IF(ISNUMBER(T892),R892-T892,"n.a.")</x:f>
        <x:v>143.51540041067761</x:v>
      </x:c>
      <x:c r="AA892" s="1" t="str">
        <x:f>'Inventory inputs'!R892</x:f>
        <x:v>Classified</x:v>
      </x:c>
      <x:c r="AB892" s="1" t="n">
        <x:f>IF(L892=1,SUMIFS('Incoming POs'!$P$2:$P$305,'Incoming POs'!$A$2:$A$305,A892,'Incoming POs'!$B$2:$B$305,B892,'Incoming POs'!$C$2:$C$305,C892,'Incoming POs'!$G$2:$G$305,"&gt;="&amp;D892,'Incoming POs'!$G$2:$G$305,"&lt;"&amp;Dashboard!$I$5,'Incoming POs'!$Q$2:$Q$305,"&lt;="&amp;('Inventory inputs'!P892/'Inventory inputs'!J892*1.01)),"n.a.")</x:f>
        <x:v>0</x:v>
      </x:c>
      <x:c r="AC892" s="9" t="n">
        <x:f>I892*G892</x:f>
        <x:v>0</x:v>
      </x:c>
      <x:c r="AD892" s="9" t="n">
        <x:f>J892*G892</x:f>
        <x:v>1139.04</x:v>
      </x:c>
      <x:c r="AE892" s="9" t="n">
        <x:f>K892*G892</x:f>
        <x:v>0</x:v>
      </x:c>
      <x:c r="AF892" s="9" t="n">
        <x:f>R892*G892</x:f>
        <x:v>1459.5516221765913</x:v>
      </x:c>
    </x:row>
    <x:row r="893" ht="21" customHeight="1">
      <x:c r="A893" s="1" t="str">
        <x:f>'Inventory inputs'!A893</x:f>
        <x:v>FILM</x:v>
      </x:c>
      <x:c r="B893" s="1" t="str">
        <x:f>'Inventory inputs'!B893</x:f>
        <x:v>30</x:v>
      </x:c>
      <x:c r="C893" s="1" t="str">
        <x:f>'Inventory inputs'!C893</x:f>
        <x:v>1850015C1</x:v>
      </x:c>
      <x:c r="D893" s="7" t="n">
        <x:f>'Inventory inputs'!E893</x:f>
        <x:v>46304</x:v>
      </x:c>
      <x:c r="E893" s="1" t="n">
        <x:f>'Inventory inputs'!F893</x:f>
        <x:v>42</x:v>
      </x:c>
      <x:c r="F893" s="1" t="n">
        <x:f>'Inventory inputs'!G893</x:f>
        <x:v>30</x:v>
      </x:c>
      <x:c r="G893" s="1" t="n">
        <x:f>'Inventory inputs'!H893/'Inventory inputs'!J893</x:f>
        <x:v>9.72</x:v>
      </x:c>
      <x:c r="H893" s="1" t="n">
        <x:f>IF('Inventory inputs'!I893&gt;0,'Inventory inputs'!I893*'Inventory inputs'!K893/'Inventory inputs'!J893,"n.a.")</x:f>
        <x:v>11.66</x:v>
      </x:c>
      <x:c r="I893" s="1" t="n">
        <x:f>'Inventory inputs'!L893</x:f>
        <x:v>0</x:v>
      </x:c>
      <x:c r="J893" s="1" t="n">
        <x:f>'Inventory inputs'!M893</x:f>
        <x:v>42</x:v>
      </x:c>
      <x:c r="K893" s="1" t="n">
        <x:f>'Inventory inputs'!N893</x:f>
        <x:v>0</x:v>
      </x:c>
      <x:c r="L893" s="1" t="n">
        <x:f>'Inventory inputs'!O893</x:f>
        <x:v>1</x:v>
      </x:c>
      <x:c r="M893" s="9" t="n">
        <x:f>E893*G893</x:f>
        <x:v>408.24</x:v>
      </x:c>
      <x:c r="N893" s="9" t="n">
        <x:f>'Inventory inputs'!Q893</x:f>
        <x:v>408.24</x:v>
      </x:c>
      <x:c r="O893" s="9" t="n">
        <x:f>N893-M893</x:f>
        <x:v>0</x:v>
      </x:c>
      <x:c r="P893" s="1" t="n">
        <x:f>SUMIFS('Incoming POs'!$P$2:$P$305,'Incoming POs'!$A$2:$A$305,A893,'Incoming POs'!$B$2:$B$305,B893,'Incoming POs'!$C$2:$C$305,C893,'Incoming POs'!$G$2:$G$305,"&gt;="&amp;D893,'Incoming POs'!$G$2:$G$305,"&lt;"&amp;Dashboard!$I$5)</x:f>
        <x:v>240</x:v>
      </x:c>
      <x:c r="Q893" s="1" t="n">
        <x:f>F893*Dashboard!$L$5*MAX(0,Dashboard!$I$5-D893)/30.4375</x:f>
        <x:v>39.17864476386037</x:v>
      </x:c>
      <x:c r="R893" s="1" t="n">
        <x:f>MAX(0,E893+P893-Q893)</x:f>
        <x:v>242.82135523613962</x:v>
      </x:c>
      <x:c r="S893" s="1" t="n">
        <x:f>MAX(0,Q893-E893-P893)</x:f>
        <x:v>0</x:v>
      </x:c>
      <x:c r="T893" s="1" t="n">
        <x:f>IF(L893=1,MAX(0,I893+AB893-MIN(Q893,E893+P893)),"n.a.")</x:f>
        <x:v>0</x:v>
      </x:c>
      <x:c r="U893" s="9" t="n">
        <x:f>IF(ISNUMBER(T893),T893*G893,"n.a.")</x:f>
        <x:v>0</x:v>
      </x:c>
      <x:c r="V893" s="25" t="n">
        <x:f>IF(Dashboard!$I$6="Flat %",1,IF(ISNUMBER(H893),1,0))</x:f>
        <x:v>1</x:v>
      </x:c>
      <x:c r="W893" s="9" t="n">
        <x:f>IF(Dashboard!$I$6="Flat %",G893*(1+Dashboard!$L$6),H893)</x:f>
        <x:v>11.66</x:v>
      </x:c>
      <x:c r="X893" s="9" t="n">
        <x:f>IF(V893=1,R893*(W893-G893),"n.a.")</x:f>
        <x:v>471.07342915811074</x:v>
      </x:c>
      <x:c r="Y893" s="9" t="n">
        <x:f>IF(V893=1,R893*W893,"n.a.")</x:f>
        <x:v>2831.297002053388</x:v>
      </x:c>
      <x:c r="Z893" s="1" t="n">
        <x:f>IF(ISNUMBER(T893),R893-T893,"n.a.")</x:f>
        <x:v>242.82135523613962</x:v>
      </x:c>
      <x:c r="AA893" s="1" t="str">
        <x:f>'Inventory inputs'!R893</x:f>
        <x:v>Classified</x:v>
      </x:c>
      <x:c r="AB893" s="1" t="n">
        <x:f>IF(L893=1,SUMIFS('Incoming POs'!$P$2:$P$305,'Incoming POs'!$A$2:$A$305,A893,'Incoming POs'!$B$2:$B$305,B893,'Incoming POs'!$C$2:$C$305,C893,'Incoming POs'!$G$2:$G$305,"&gt;="&amp;D893,'Incoming POs'!$G$2:$G$305,"&lt;"&amp;Dashboard!$I$5,'Incoming POs'!$Q$2:$Q$305,"&lt;="&amp;('Inventory inputs'!P893/'Inventory inputs'!J893*1.01)),"n.a.")</x:f>
        <x:v>0</x:v>
      </x:c>
      <x:c r="AC893" s="9" t="n">
        <x:f>I893*G893</x:f>
        <x:v>0</x:v>
      </x:c>
      <x:c r="AD893" s="9" t="n">
        <x:f>J893*G893</x:f>
        <x:v>408.24</x:v>
      </x:c>
      <x:c r="AE893" s="9" t="n">
        <x:f>K893*G893</x:f>
        <x:v>0</x:v>
      </x:c>
      <x:c r="AF893" s="9" t="n">
        <x:f>R893*G893</x:f>
        <x:v>2360.2235728952774</x:v>
      </x:c>
    </x:row>
    <x:row r="894" ht="21" customHeight="1">
      <x:c r="A894" s="1" t="str">
        <x:f>'Inventory inputs'!A894</x:f>
        <x:v>FILM</x:v>
      </x:c>
      <x:c r="B894" s="1" t="str">
        <x:f>'Inventory inputs'!B894</x:f>
        <x:v>30</x:v>
      </x:c>
      <x:c r="C894" s="1" t="str">
        <x:f>'Inventory inputs'!C894</x:f>
        <x:v>252005C1</x:v>
      </x:c>
      <x:c r="D894" s="7" t="n">
        <x:f>'Inventory inputs'!E894</x:f>
        <x:v>46304</x:v>
      </x:c>
      <x:c r="E894" s="1" t="n">
        <x:f>'Inventory inputs'!F894</x:f>
        <x:v>142</x:v>
      </x:c>
      <x:c r="F894" s="1" t="n">
        <x:f>'Inventory inputs'!G894</x:f>
        <x:v>30</x:v>
      </x:c>
      <x:c r="G894" s="1" t="n">
        <x:f>'Inventory inputs'!H894/'Inventory inputs'!J894</x:f>
        <x:v>21.18</x:v>
      </x:c>
      <x:c r="H894" s="1" t="n">
        <x:f>IF('Inventory inputs'!I894&gt;0,'Inventory inputs'!I894*'Inventory inputs'!K894/'Inventory inputs'!J894,"n.a.")</x:f>
        <x:v>25.44</x:v>
      </x:c>
      <x:c r="I894" s="1" t="n">
        <x:f>'Inventory inputs'!L894</x:f>
        <x:v>70</x:v>
      </x:c>
      <x:c r="J894" s="1" t="n">
        <x:f>'Inventory inputs'!M894</x:f>
        <x:v>72</x:v>
      </x:c>
      <x:c r="K894" s="1" t="n">
        <x:f>'Inventory inputs'!N894</x:f>
        <x:v>0</x:v>
      </x:c>
      <x:c r="L894" s="1" t="n">
        <x:f>'Inventory inputs'!O894</x:f>
        <x:v>1</x:v>
      </x:c>
      <x:c r="M894" s="9" t="n">
        <x:f>E894*G894</x:f>
        <x:v>3007.56</x:v>
      </x:c>
      <x:c r="N894" s="9" t="n">
        <x:f>'Inventory inputs'!Q894</x:f>
        <x:v>3049.92</x:v>
      </x:c>
      <x:c r="O894" s="9" t="n">
        <x:f>N894-M894</x:f>
        <x:v>42.36000000000013</x:v>
      </x:c>
      <x:c r="P894" s="1" t="n">
        <x:f>SUMIFS('Incoming POs'!$P$2:$P$305,'Incoming POs'!$A$2:$A$305,A894,'Incoming POs'!$B$2:$B$305,B894,'Incoming POs'!$C$2:$C$305,C894,'Incoming POs'!$G$2:$G$305,"&gt;="&amp;D894,'Incoming POs'!$G$2:$G$305,"&lt;"&amp;Dashboard!$I$5)</x:f>
        <x:v>144</x:v>
      </x:c>
      <x:c r="Q894" s="1" t="n">
        <x:f>F894*Dashboard!$L$5*MAX(0,Dashboard!$I$5-D894)/30.4375</x:f>
        <x:v>39.17864476386037</x:v>
      </x:c>
      <x:c r="R894" s="1" t="n">
        <x:f>MAX(0,E894+P894-Q894)</x:f>
        <x:v>246.82135523613962</x:v>
      </x:c>
      <x:c r="S894" s="1" t="n">
        <x:f>MAX(0,Q894-E894-P894)</x:f>
        <x:v>0</x:v>
      </x:c>
      <x:c r="T894" s="1" t="n">
        <x:f>IF(L894=1,MAX(0,I894+AB894-MIN(Q894,E894+P894)),"n.a.")</x:f>
        <x:v>30.82135523613963</x:v>
      </x:c>
      <x:c r="U894" s="9" t="n">
        <x:f>IF(ISNUMBER(T894),T894*G894,"n.a.")</x:f>
        <x:v>652.7963039014373</x:v>
      </x:c>
      <x:c r="V894" s="25" t="n">
        <x:f>IF(Dashboard!$I$6="Flat %",1,IF(ISNUMBER(H894),1,0))</x:f>
        <x:v>1</x:v>
      </x:c>
      <x:c r="W894" s="9" t="n">
        <x:f>IF(Dashboard!$I$6="Flat %",G894*(1+Dashboard!$L$6),H894)</x:f>
        <x:v>25.44</x:v>
      </x:c>
      <x:c r="X894" s="9" t="n">
        <x:f>IF(V894=1,R894*(W894-G894),"n.a.")</x:f>
        <x:v>1051.4589733059552</x:v>
      </x:c>
      <x:c r="Y894" s="9" t="n">
        <x:f>IF(V894=1,R894*W894,"n.a.")</x:f>
        <x:v>6279.135277207392</x:v>
      </x:c>
      <x:c r="Z894" s="1" t="n">
        <x:f>IF(ISNUMBER(T894),R894-T894,"n.a.")</x:f>
        <x:v>216</x:v>
      </x:c>
      <x:c r="AA894" s="1" t="str">
        <x:f>'Inventory inputs'!R894</x:f>
        <x:v>Classified</x:v>
      </x:c>
      <x:c r="AB894" s="1" t="n">
        <x:f>IF(L894=1,SUMIFS('Incoming POs'!$P$2:$P$305,'Incoming POs'!$A$2:$A$305,A894,'Incoming POs'!$B$2:$B$305,B894,'Incoming POs'!$C$2:$C$305,C894,'Incoming POs'!$G$2:$G$305,"&gt;="&amp;D894,'Incoming POs'!$G$2:$G$305,"&lt;"&amp;Dashboard!$I$5,'Incoming POs'!$Q$2:$Q$305,"&lt;="&amp;('Inventory inputs'!P894/'Inventory inputs'!J894*1.01)),"n.a.")</x:f>
        <x:v>0</x:v>
      </x:c>
      <x:c r="AC894" s="9" t="n">
        <x:f>I894*G894</x:f>
        <x:v>1482.6</x:v>
      </x:c>
      <x:c r="AD894" s="9" t="n">
        <x:f>J894*G894</x:f>
        <x:v>1524.96</x:v>
      </x:c>
      <x:c r="AE894" s="9" t="n">
        <x:f>K894*G894</x:f>
        <x:v>0</x:v>
      </x:c>
      <x:c r="AF894" s="9" t="n">
        <x:f>R894*G894</x:f>
        <x:v>5227.676303901437</x:v>
      </x:c>
    </x:row>
    <x:row r="895" ht="21" customHeight="1">
      <x:c r="A895" s="1" t="str">
        <x:f>'Inventory inputs'!A895</x:f>
        <x:v>FILM</x:v>
      </x:c>
      <x:c r="B895" s="1" t="str">
        <x:f>'Inventory inputs'!B895</x:f>
        <x:v>10</x:v>
      </x:c>
      <x:c r="C895" s="1" t="str">
        <x:f>'Inventory inputs'!C895</x:f>
        <x:v>HLA123G</x:v>
      </x:c>
      <x:c r="D895" s="7" t="n">
        <x:f>'Inventory inputs'!E895</x:f>
        <x:v>46304</x:v>
      </x:c>
      <x:c r="E895" s="1" t="n">
        <x:f>'Inventory inputs'!F895</x:f>
        <x:v>134</x:v>
      </x:c>
      <x:c r="F895" s="1" t="n">
        <x:f>'Inventory inputs'!G895</x:f>
        <x:v>29.33</x:v>
      </x:c>
      <x:c r="G895" s="1" t="n">
        <x:f>'Inventory inputs'!H895/'Inventory inputs'!J895</x:f>
        <x:v>65.98</x:v>
      </x:c>
      <x:c r="H895" s="1" t="n">
        <x:f>IF('Inventory inputs'!I895&gt;0,'Inventory inputs'!I895*'Inventory inputs'!K895/'Inventory inputs'!J895,"n.a.")</x:f>
        <x:v>65.98</x:v>
      </x:c>
      <x:c r="I895" s="1" t="n">
        <x:f>'Inventory inputs'!L895</x:f>
        <x:v>0</x:v>
      </x:c>
      <x:c r="J895" s="1" t="n">
        <x:f>'Inventory inputs'!M895</x:f>
        <x:v>0</x:v>
      </x:c>
      <x:c r="K895" s="1" t="n">
        <x:f>'Inventory inputs'!N895</x:f>
        <x:v>134</x:v>
      </x:c>
      <x:c r="L895" s="1" t="n">
        <x:f>'Inventory inputs'!O895</x:f>
        <x:v>0</x:v>
      </x:c>
      <x:c r="M895" s="9" t="n">
        <x:f>E895*G895</x:f>
        <x:v>8841.32</x:v>
      </x:c>
      <x:c r="N895" s="9" t="n">
        <x:f>'Inventory inputs'!Q895</x:f>
        <x:v>8841.32</x:v>
      </x:c>
      <x:c r="O895" s="9" t="n">
        <x:f>N895-M895</x:f>
        <x:v>0</x:v>
      </x:c>
      <x:c r="P895" s="1" t="n">
        <x:f>SUMIFS('Incoming POs'!$P$2:$P$305,'Incoming POs'!$A$2:$A$305,A895,'Incoming POs'!$B$2:$B$305,B895,'Incoming POs'!$C$2:$C$305,C895,'Incoming POs'!$G$2:$G$305,"&gt;="&amp;D895,'Incoming POs'!$G$2:$G$305,"&lt;"&amp;Dashboard!$I$5)</x:f>
        <x:v>0</x:v>
      </x:c>
      <x:c r="Q895" s="1" t="n">
        <x:f>F895*Dashboard!$L$5*MAX(0,Dashboard!$I$5-D895)/30.4375</x:f>
        <x:v>38.30365503080082</x:v>
      </x:c>
      <x:c r="R895" s="1" t="n">
        <x:f>MAX(0,E895+P895-Q895)</x:f>
        <x:v>95.69634496919917</x:v>
      </x:c>
      <x:c r="S895" s="1" t="n">
        <x:f>MAX(0,Q895-E895-P895)</x:f>
        <x:v>0</x:v>
      </x:c>
      <x:c r="T895" s="1" t="str">
        <x:f>IF(L895=1,MAX(0,I895+AB895-MIN(Q895,E895+P895)),"n.a.")</x:f>
        <x:v>n.a.</x:v>
      </x:c>
      <x:c r="U895" s="9" t="str">
        <x:f>IF(ISNUMBER(T895),T895*G895,"n.a.")</x:f>
        <x:v>n.a.</x:v>
      </x:c>
      <x:c r="V895" s="25" t="n">
        <x:f>IF(Dashboard!$I$6="Flat %",1,IF(ISNUMBER(H895),1,0))</x:f>
        <x:v>1</x:v>
      </x:c>
      <x:c r="W895" s="9" t="n">
        <x:f>IF(Dashboard!$I$6="Flat %",G895*(1+Dashboard!$L$6),H895)</x:f>
        <x:v>65.98</x:v>
      </x:c>
      <x:c r="X895" s="9" t="n">
        <x:f>IF(V895=1,R895*(W895-G895),"n.a.")</x:f>
        <x:v>0</x:v>
      </x:c>
      <x:c r="Y895" s="9" t="n">
        <x:f>IF(V895=1,R895*W895,"n.a.")</x:f>
        <x:v>6314.044841067762</x:v>
      </x:c>
      <x:c r="Z895" s="1" t="str">
        <x:f>IF(ISNUMBER(T895),R895-T895,"n.a.")</x:f>
        <x:v>n.a.</x:v>
      </x:c>
      <x:c r="AA895" s="1" t="str">
        <x:f>'Inventory inputs'!R895</x:f>
        <x:v>Review receipt reconciliation or original PO baseline</x:v>
      </x:c>
      <x:c r="AB895" s="1" t="str">
        <x:f>IF(L895=1,SUMIFS('Incoming POs'!$P$2:$P$305,'Incoming POs'!$A$2:$A$305,A895,'Incoming POs'!$B$2:$B$305,B895,'Incoming POs'!$C$2:$C$305,C895,'Incoming POs'!$G$2:$G$305,"&gt;="&amp;D895,'Incoming POs'!$G$2:$G$305,"&lt;"&amp;Dashboard!$I$5,'Incoming POs'!$Q$2:$Q$305,"&lt;="&amp;('Inventory inputs'!P895/'Inventory inputs'!J895*1.01)),"n.a.")</x:f>
        <x:v>n.a.</x:v>
      </x:c>
      <x:c r="AC895" s="9" t="n">
        <x:f>I895*G895</x:f>
        <x:v>0</x:v>
      </x:c>
      <x:c r="AD895" s="9" t="n">
        <x:f>J895*G895</x:f>
        <x:v>0</x:v>
      </x:c>
      <x:c r="AE895" s="9" t="n">
        <x:f>K895*G895</x:f>
        <x:v>8841.32</x:v>
      </x:c>
      <x:c r="AF895" s="9" t="n">
        <x:f>R895*G895</x:f>
        <x:v>6314.044841067762</x:v>
      </x:c>
    </x:row>
    <x:row r="896" ht="21" customHeight="1">
      <x:c r="A896" s="1" t="str">
        <x:f>'Inventory inputs'!A896</x:f>
        <x:v>FILM</x:v>
      </x:c>
      <x:c r="B896" s="1" t="str">
        <x:f>'Inventory inputs'!B896</x:f>
        <x:v>60</x:v>
      </x:c>
      <x:c r="C896" s="1" t="str">
        <x:f>'Inventory inputs'!C896</x:f>
        <x:v>PR272503C1</x:v>
      </x:c>
      <x:c r="D896" s="7" t="n">
        <x:f>'Inventory inputs'!E896</x:f>
        <x:v>46304</x:v>
      </x:c>
      <x:c r="E896" s="1" t="n">
        <x:f>'Inventory inputs'!F896</x:f>
        <x:v>878</x:v>
      </x:c>
      <x:c r="F896" s="1" t="n">
        <x:f>'Inventory inputs'!G896</x:f>
        <x:v>26</x:v>
      </x:c>
      <x:c r="G896" s="1" t="n">
        <x:f>'Inventory inputs'!H896/'Inventory inputs'!J896</x:f>
        <x:v>18.23</x:v>
      </x:c>
      <x:c r="H896" s="1" t="n">
        <x:f>IF('Inventory inputs'!I896&gt;0,'Inventory inputs'!I896*'Inventory inputs'!K896/'Inventory inputs'!J896,"n.a.")</x:f>
        <x:v>21.87</x:v>
      </x:c>
      <x:c r="I896" s="1" t="n">
        <x:f>'Inventory inputs'!L896</x:f>
        <x:v>878</x:v>
      </x:c>
      <x:c r="J896" s="1" t="n">
        <x:f>'Inventory inputs'!M896</x:f>
        <x:v>0</x:v>
      </x:c>
      <x:c r="K896" s="1" t="n">
        <x:f>'Inventory inputs'!N896</x:f>
        <x:v>0</x:v>
      </x:c>
      <x:c r="L896" s="1" t="n">
        <x:f>'Inventory inputs'!O896</x:f>
        <x:v>1</x:v>
      </x:c>
      <x:c r="M896" s="9" t="n">
        <x:f>E896*G896</x:f>
        <x:v>16005.94</x:v>
      </x:c>
      <x:c r="N896" s="9" t="n">
        <x:f>'Inventory inputs'!Q896</x:f>
        <x:v>16005.94</x:v>
      </x:c>
      <x:c r="O896" s="9" t="n">
        <x:f>N896-M896</x:f>
        <x:v>0</x:v>
      </x:c>
      <x:c r="P896" s="1" t="n">
        <x:f>SUMIFS('Incoming POs'!$P$2:$P$305,'Incoming POs'!$A$2:$A$305,A896,'Incoming POs'!$B$2:$B$305,B896,'Incoming POs'!$C$2:$C$305,C896,'Incoming POs'!$G$2:$G$305,"&gt;="&amp;D896,'Incoming POs'!$G$2:$G$305,"&lt;"&amp;Dashboard!$I$5)</x:f>
        <x:v>0</x:v>
      </x:c>
      <x:c r="Q896" s="1" t="n">
        <x:f>F896*Dashboard!$L$5*MAX(0,Dashboard!$I$5-D896)/30.4375</x:f>
        <x:v>33.95482546201232</x:v>
      </x:c>
      <x:c r="R896" s="1" t="n">
        <x:f>MAX(0,E896+P896-Q896)</x:f>
        <x:v>844.0451745379877</x:v>
      </x:c>
      <x:c r="S896" s="1" t="n">
        <x:f>MAX(0,Q896-E896-P896)</x:f>
        <x:v>0</x:v>
      </x:c>
      <x:c r="T896" s="1" t="n">
        <x:f>IF(L896=1,MAX(0,I896+AB896-MIN(Q896,E896+P896)),"n.a.")</x:f>
        <x:v>844.0451745379877</x:v>
      </x:c>
      <x:c r="U896" s="9" t="n">
        <x:f>IF(ISNUMBER(T896),T896*G896,"n.a.")</x:f>
        <x:v>15386.943531827515</x:v>
      </x:c>
      <x:c r="V896" s="25" t="n">
        <x:f>IF(Dashboard!$I$6="Flat %",1,IF(ISNUMBER(H896),1,0))</x:f>
        <x:v>1</x:v>
      </x:c>
      <x:c r="W896" s="9" t="n">
        <x:f>IF(Dashboard!$I$6="Flat %",G896*(1+Dashboard!$L$6),H896)</x:f>
        <x:v>21.87</x:v>
      </x:c>
      <x:c r="X896" s="9" t="n">
        <x:f>IF(V896=1,R896*(W896-G896),"n.a.")</x:f>
        <x:v>3072.324435318276</x:v>
      </x:c>
      <x:c r="Y896" s="9" t="n">
        <x:f>IF(V896=1,R896*W896,"n.a.")</x:f>
        <x:v>18459.26796714579</x:v>
      </x:c>
      <x:c r="Z896" s="1" t="n">
        <x:f>IF(ISNUMBER(T896),R896-T896,"n.a.")</x:f>
        <x:v>0</x:v>
      </x:c>
      <x:c r="AA896" s="1" t="str">
        <x:f>'Inventory inputs'!R896</x:f>
        <x:v>Classified</x:v>
      </x:c>
      <x:c r="AB896" s="1" t="n">
        <x:f>IF(L896=1,SUMIFS('Incoming POs'!$P$2:$P$305,'Incoming POs'!$A$2:$A$305,A896,'Incoming POs'!$B$2:$B$305,B896,'Incoming POs'!$C$2:$C$305,C896,'Incoming POs'!$G$2:$G$305,"&gt;="&amp;D896,'Incoming POs'!$G$2:$G$305,"&lt;"&amp;Dashboard!$I$5,'Incoming POs'!$Q$2:$Q$305,"&lt;="&amp;('Inventory inputs'!P896/'Inventory inputs'!J896*1.01)),"n.a.")</x:f>
        <x:v>0</x:v>
      </x:c>
      <x:c r="AC896" s="9" t="n">
        <x:f>I896*G896</x:f>
        <x:v>16005.94</x:v>
      </x:c>
      <x:c r="AD896" s="9" t="n">
        <x:f>J896*G896</x:f>
        <x:v>0</x:v>
      </x:c>
      <x:c r="AE896" s="9" t="n">
        <x:f>K896*G896</x:f>
        <x:v>0</x:v>
      </x:c>
      <x:c r="AF896" s="9" t="n">
        <x:f>R896*G896</x:f>
        <x:v>15386.943531827515</x:v>
      </x:c>
    </x:row>
    <x:row r="897" ht="21" customHeight="1">
      <x:c r="A897" s="1" t="str">
        <x:f>'Inventory inputs'!A897</x:f>
        <x:v>FILM</x:v>
      </x:c>
      <x:c r="B897" s="1" t="str">
        <x:f>'Inventory inputs'!B897</x:f>
        <x:v>60</x:v>
      </x:c>
      <x:c r="C897" s="1" t="str">
        <x:f>'Inventory inputs'!C897</x:f>
        <x:v>2750017C1</x:v>
      </x:c>
      <x:c r="D897" s="7" t="n">
        <x:f>'Inventory inputs'!E897</x:f>
        <x:v>46304</x:v>
      </x:c>
      <x:c r="E897" s="1" t="n">
        <x:f>'Inventory inputs'!F897</x:f>
        <x:v>297</x:v>
      </x:c>
      <x:c r="F897" s="1" t="n">
        <x:f>'Inventory inputs'!G897</x:f>
        <x:v>25.33</x:v>
      </x:c>
      <x:c r="G897" s="1" t="n">
        <x:f>'Inventory inputs'!H897/'Inventory inputs'!J897</x:f>
        <x:v>20.9</x:v>
      </x:c>
      <x:c r="H897" s="1" t="n">
        <x:f>IF('Inventory inputs'!I897&gt;0,'Inventory inputs'!I897*'Inventory inputs'!K897/'Inventory inputs'!J897,"n.a.")</x:f>
        <x:v>25.11</x:v>
      </x:c>
      <x:c r="I897" s="1" t="n">
        <x:f>'Inventory inputs'!L897</x:f>
        <x:v>117</x:v>
      </x:c>
      <x:c r="J897" s="1" t="n">
        <x:f>'Inventory inputs'!M897</x:f>
        <x:v>180</x:v>
      </x:c>
      <x:c r="K897" s="1" t="n">
        <x:f>'Inventory inputs'!N897</x:f>
        <x:v>0</x:v>
      </x:c>
      <x:c r="L897" s="1" t="n">
        <x:f>'Inventory inputs'!O897</x:f>
        <x:v>1</x:v>
      </x:c>
      <x:c r="M897" s="9" t="n">
        <x:f>E897*G897</x:f>
        <x:v>6207.299999999999</x:v>
      </x:c>
      <x:c r="N897" s="9" t="n">
        <x:f>'Inventory inputs'!Q897</x:f>
        <x:v>6207.299999999999</x:v>
      </x:c>
      <x:c r="O897" s="9" t="n">
        <x:f>N897-M897</x:f>
        <x:v>0</x:v>
      </x:c>
      <x:c r="P897" s="1" t="n">
        <x:f>SUMIFS('Incoming POs'!$P$2:$P$305,'Incoming POs'!$A$2:$A$305,A897,'Incoming POs'!$B$2:$B$305,B897,'Incoming POs'!$C$2:$C$305,C897,'Incoming POs'!$G$2:$G$305,"&gt;="&amp;D897,'Incoming POs'!$G$2:$G$305,"&lt;"&amp;Dashboard!$I$5)</x:f>
        <x:v>0</x:v>
      </x:c>
      <x:c r="Q897" s="1" t="n">
        <x:f>F897*Dashboard!$L$5*MAX(0,Dashboard!$I$5-D897)/30.4375</x:f>
        <x:v>33.07983572895277</x:v>
      </x:c>
      <x:c r="R897" s="1" t="n">
        <x:f>MAX(0,E897+P897-Q897)</x:f>
        <x:v>263.9201642710472</x:v>
      </x:c>
      <x:c r="S897" s="1" t="n">
        <x:f>MAX(0,Q897-E897-P897)</x:f>
        <x:v>0</x:v>
      </x:c>
      <x:c r="T897" s="1" t="n">
        <x:f>IF(L897=1,MAX(0,I897+AB897-MIN(Q897,E897+P897)),"n.a.")</x:f>
        <x:v>83.92016427104723</x:v>
      </x:c>
      <x:c r="U897" s="9" t="n">
        <x:f>IF(ISNUMBER(T897),T897*G897,"n.a.")</x:f>
        <x:v>1753.931433264887</x:v>
      </x:c>
      <x:c r="V897" s="25" t="n">
        <x:f>IF(Dashboard!$I$6="Flat %",1,IF(ISNUMBER(H897),1,0))</x:f>
        <x:v>1</x:v>
      </x:c>
      <x:c r="W897" s="9" t="n">
        <x:f>IF(Dashboard!$I$6="Flat %",G897*(1+Dashboard!$L$6),H897)</x:f>
        <x:v>25.11</x:v>
      </x:c>
      <x:c r="X897" s="9" t="n">
        <x:f>IF(V897=1,R897*(W897-G897),"n.a.")</x:f>
        <x:v>1111.1038915811089</x:v>
      </x:c>
      <x:c r="Y897" s="9" t="n">
        <x:f>IF(V897=1,R897*W897,"n.a.")</x:f>
        <x:v>6627.035324845995</x:v>
      </x:c>
      <x:c r="Z897" s="1" t="n">
        <x:f>IF(ISNUMBER(T897),R897-T897,"n.a.")</x:f>
        <x:v>180</x:v>
      </x:c>
      <x:c r="AA897" s="1" t="str">
        <x:f>'Inventory inputs'!R897</x:f>
        <x:v>Classified</x:v>
      </x:c>
      <x:c r="AB897" s="1" t="n">
        <x:f>IF(L897=1,SUMIFS('Incoming POs'!$P$2:$P$305,'Incoming POs'!$A$2:$A$305,A897,'Incoming POs'!$B$2:$B$305,B897,'Incoming POs'!$C$2:$C$305,C897,'Incoming POs'!$G$2:$G$305,"&gt;="&amp;D897,'Incoming POs'!$G$2:$G$305,"&lt;"&amp;Dashboard!$I$5,'Incoming POs'!$Q$2:$Q$305,"&lt;="&amp;('Inventory inputs'!P897/'Inventory inputs'!J897*1.01)),"n.a.")</x:f>
        <x:v>0</x:v>
      </x:c>
      <x:c r="AC897" s="9" t="n">
        <x:f>I897*G897</x:f>
        <x:v>2445.2999999999997</x:v>
      </x:c>
      <x:c r="AD897" s="9" t="n">
        <x:f>J897*G897</x:f>
        <x:v>3761.9999999999995</x:v>
      </x:c>
      <x:c r="AE897" s="9" t="n">
        <x:f>K897*G897</x:f>
        <x:v>0</x:v>
      </x:c>
      <x:c r="AF897" s="9" t="n">
        <x:f>R897*G897</x:f>
        <x:v>5515.931433264886</x:v>
      </x:c>
    </x:row>
    <x:row r="898" ht="21" customHeight="1">
      <x:c r="A898" s="1" t="str">
        <x:f>'Inventory inputs'!A898</x:f>
        <x:v>FILM</x:v>
      </x:c>
      <x:c r="B898" s="1" t="str">
        <x:f>'Inventory inputs'!B898</x:f>
        <x:v>60</x:v>
      </x:c>
      <x:c r="C898" s="1" t="str">
        <x:f>'Inventory inputs'!C898</x:f>
        <x:v>182005C1</x:v>
      </x:c>
      <x:c r="D898" s="7" t="n">
        <x:f>'Inventory inputs'!E898</x:f>
        <x:v>46304</x:v>
      </x:c>
      <x:c r="E898" s="1" t="n">
        <x:f>'Inventory inputs'!F898</x:f>
        <x:v>146</x:v>
      </x:c>
      <x:c r="F898" s="1" t="n">
        <x:f>'Inventory inputs'!G898</x:f>
        <x:v>24.92</x:v>
      </x:c>
      <x:c r="G898" s="1" t="n">
        <x:f>'Inventory inputs'!H898/'Inventory inputs'!J898</x:f>
        <x:v>15.25</x:v>
      </x:c>
      <x:c r="H898" s="1" t="n">
        <x:f>IF('Inventory inputs'!I898&gt;0,'Inventory inputs'!I898*'Inventory inputs'!K898/'Inventory inputs'!J898,"n.a.")</x:f>
        <x:v>18.32</x:v>
      </x:c>
      <x:c r="I898" s="1" t="n">
        <x:f>'Inventory inputs'!L898</x:f>
        <x:v>74</x:v>
      </x:c>
      <x:c r="J898" s="1" t="n">
        <x:f>'Inventory inputs'!M898</x:f>
        <x:v>72</x:v>
      </x:c>
      <x:c r="K898" s="1" t="n">
        <x:f>'Inventory inputs'!N898</x:f>
        <x:v>0</x:v>
      </x:c>
      <x:c r="L898" s="1" t="n">
        <x:f>'Inventory inputs'!O898</x:f>
        <x:v>1</x:v>
      </x:c>
      <x:c r="M898" s="9" t="n">
        <x:f>E898*G898</x:f>
        <x:v>2226.5</x:v>
      </x:c>
      <x:c r="N898" s="9" t="n">
        <x:f>'Inventory inputs'!Q898</x:f>
        <x:v>2226.5</x:v>
      </x:c>
      <x:c r="O898" s="9" t="n">
        <x:f>N898-M898</x:f>
        <x:v>0</x:v>
      </x:c>
      <x:c r="P898" s="1" t="n">
        <x:f>SUMIFS('Incoming POs'!$P$2:$P$305,'Incoming POs'!$A$2:$A$305,A898,'Incoming POs'!$B$2:$B$305,B898,'Incoming POs'!$C$2:$C$305,C898,'Incoming POs'!$G$2:$G$305,"&gt;="&amp;D898,'Incoming POs'!$G$2:$G$305,"&lt;"&amp;Dashboard!$I$5)</x:f>
        <x:v>0</x:v>
      </x:c>
      <x:c r="Q898" s="1" t="n">
        <x:f>F898*Dashboard!$L$5*MAX(0,Dashboard!$I$5-D898)/30.4375</x:f>
        <x:v>32.54439425051335</x:v>
      </x:c>
      <x:c r="R898" s="1" t="n">
        <x:f>MAX(0,E898+P898-Q898)</x:f>
        <x:v>113.45560574948665</x:v>
      </x:c>
      <x:c r="S898" s="1" t="n">
        <x:f>MAX(0,Q898-E898-P898)</x:f>
        <x:v>0</x:v>
      </x:c>
      <x:c r="T898" s="1" t="n">
        <x:f>IF(L898=1,MAX(0,I898+AB898-MIN(Q898,E898+P898)),"n.a.")</x:f>
        <x:v>41.45560574948665</x:v>
      </x:c>
      <x:c r="U898" s="9" t="n">
        <x:f>IF(ISNUMBER(T898),T898*G898,"n.a.")</x:f>
        <x:v>632.1979876796714</x:v>
      </x:c>
      <x:c r="V898" s="25" t="n">
        <x:f>IF(Dashboard!$I$6="Flat %",1,IF(ISNUMBER(H898),1,0))</x:f>
        <x:v>1</x:v>
      </x:c>
      <x:c r="W898" s="9" t="n">
        <x:f>IF(Dashboard!$I$6="Flat %",G898*(1+Dashboard!$L$6),H898)</x:f>
        <x:v>18.32</x:v>
      </x:c>
      <x:c r="X898" s="9" t="n">
        <x:f>IF(V898=1,R898*(W898-G898),"n.a.")</x:f>
        <x:v>348.3087096509241</x:v>
      </x:c>
      <x:c r="Y898" s="9" t="n">
        <x:f>IF(V898=1,R898*W898,"n.a.")</x:f>
        <x:v>2078.5066973305957</x:v>
      </x:c>
      <x:c r="Z898" s="1" t="n">
        <x:f>IF(ISNUMBER(T898),R898-T898,"n.a.")</x:f>
        <x:v>72</x:v>
      </x:c>
      <x:c r="AA898" s="1" t="str">
        <x:f>'Inventory inputs'!R898</x:f>
        <x:v>Classified</x:v>
      </x:c>
      <x:c r="AB898" s="1" t="n">
        <x:f>IF(L898=1,SUMIFS('Incoming POs'!$P$2:$P$305,'Incoming POs'!$A$2:$A$305,A898,'Incoming POs'!$B$2:$B$305,B898,'Incoming POs'!$C$2:$C$305,C898,'Incoming POs'!$G$2:$G$305,"&gt;="&amp;D898,'Incoming POs'!$G$2:$G$305,"&lt;"&amp;Dashboard!$I$5,'Incoming POs'!$Q$2:$Q$305,"&lt;="&amp;('Inventory inputs'!P898/'Inventory inputs'!J898*1.01)),"n.a.")</x:f>
        <x:v>0</x:v>
      </x:c>
      <x:c r="AC898" s="9" t="n">
        <x:f>I898*G898</x:f>
        <x:v>1128.5</x:v>
      </x:c>
      <x:c r="AD898" s="9" t="n">
        <x:f>J898*G898</x:f>
        <x:v>1098</x:v>
      </x:c>
      <x:c r="AE898" s="9" t="n">
        <x:f>K898*G898</x:f>
        <x:v>0</x:v>
      </x:c>
      <x:c r="AF898" s="9" t="n">
        <x:f>R898*G898</x:f>
        <x:v>1730.1979876796713</x:v>
      </x:c>
    </x:row>
    <x:row r="899" ht="21" customHeight="1">
      <x:c r="A899" s="1" t="str">
        <x:f>'Inventory inputs'!A899</x:f>
        <x:v>FILM</x:v>
      </x:c>
      <x:c r="B899" s="1" t="str">
        <x:f>'Inventory inputs'!B899</x:f>
        <x:v>30</x:v>
      </x:c>
      <x:c r="C899" s="1" t="str">
        <x:f>'Inventory inputs'!C899</x:f>
        <x:v>182005C1</x:v>
      </x:c>
      <x:c r="D899" s="7" t="n">
        <x:f>'Inventory inputs'!E899</x:f>
        <x:v>46304</x:v>
      </x:c>
      <x:c r="E899" s="1" t="n">
        <x:f>'Inventory inputs'!F899</x:f>
        <x:v>72</x:v>
      </x:c>
      <x:c r="F899" s="1" t="n">
        <x:f>'Inventory inputs'!G899</x:f>
        <x:v>24</x:v>
      </x:c>
      <x:c r="G899" s="1" t="n">
        <x:f>'Inventory inputs'!H899/'Inventory inputs'!J899</x:f>
        <x:v>15.25</x:v>
      </x:c>
      <x:c r="H899" s="1" t="n">
        <x:f>IF('Inventory inputs'!I899&gt;0,'Inventory inputs'!I899*'Inventory inputs'!K899/'Inventory inputs'!J899,"n.a.")</x:f>
        <x:v>18.32</x:v>
      </x:c>
      <x:c r="I899" s="1" t="n">
        <x:f>'Inventory inputs'!L899</x:f>
        <x:v>72</x:v>
      </x:c>
      <x:c r="J899" s="1" t="n">
        <x:f>'Inventory inputs'!M899</x:f>
        <x:v>0</x:v>
      </x:c>
      <x:c r="K899" s="1" t="n">
        <x:f>'Inventory inputs'!N899</x:f>
        <x:v>0</x:v>
      </x:c>
      <x:c r="L899" s="1" t="n">
        <x:f>'Inventory inputs'!O899</x:f>
        <x:v>1</x:v>
      </x:c>
      <x:c r="M899" s="9" t="n">
        <x:f>E899*G899</x:f>
        <x:v>1098</x:v>
      </x:c>
      <x:c r="N899" s="9" t="n">
        <x:f>'Inventory inputs'!Q899</x:f>
        <x:v>1098</x:v>
      </x:c>
      <x:c r="O899" s="9" t="n">
        <x:f>N899-M899</x:f>
        <x:v>0</x:v>
      </x:c>
      <x:c r="P899" s="1" t="n">
        <x:f>SUMIFS('Incoming POs'!$P$2:$P$305,'Incoming POs'!$A$2:$A$305,A899,'Incoming POs'!$B$2:$B$305,B899,'Incoming POs'!$C$2:$C$305,C899,'Incoming POs'!$G$2:$G$305,"&gt;="&amp;D899,'Incoming POs'!$G$2:$G$305,"&lt;"&amp;Dashboard!$I$5)</x:f>
        <x:v>144</x:v>
      </x:c>
      <x:c r="Q899" s="1" t="n">
        <x:f>F899*Dashboard!$L$5*MAX(0,Dashboard!$I$5-D899)/30.4375</x:f>
        <x:v>31.342915811088297</x:v>
      </x:c>
      <x:c r="R899" s="1" t="n">
        <x:f>MAX(0,E899+P899-Q899)</x:f>
        <x:v>184.6570841889117</x:v>
      </x:c>
      <x:c r="S899" s="1" t="n">
        <x:f>MAX(0,Q899-E899-P899)</x:f>
        <x:v>0</x:v>
      </x:c>
      <x:c r="T899" s="1" t="n">
        <x:f>IF(L899=1,MAX(0,I899+AB899-MIN(Q899,E899+P899)),"n.a.")</x:f>
        <x:v>40.6570841889117</x:v>
      </x:c>
      <x:c r="U899" s="9" t="n">
        <x:f>IF(ISNUMBER(T899),T899*G899,"n.a.")</x:f>
        <x:v>620.0205338809035</x:v>
      </x:c>
      <x:c r="V899" s="25" t="n">
        <x:f>IF(Dashboard!$I$6="Flat %",1,IF(ISNUMBER(H899),1,0))</x:f>
        <x:v>1</x:v>
      </x:c>
      <x:c r="W899" s="9" t="n">
        <x:f>IF(Dashboard!$I$6="Flat %",G899*(1+Dashboard!$L$6),H899)</x:f>
        <x:v>18.32</x:v>
      </x:c>
      <x:c r="X899" s="9" t="n">
        <x:f>IF(V899=1,R899*(W899-G899),"n.a.")</x:f>
        <x:v>566.897248459959</x:v>
      </x:c>
      <x:c r="Y899" s="9" t="n">
        <x:f>IF(V899=1,R899*W899,"n.a.")</x:f>
        <x:v>3382.9177823408627</x:v>
      </x:c>
      <x:c r="Z899" s="1" t="n">
        <x:f>IF(ISNUMBER(T899),R899-T899,"n.a.")</x:f>
        <x:v>144</x:v>
      </x:c>
      <x:c r="AA899" s="1" t="str">
        <x:f>'Inventory inputs'!R899</x:f>
        <x:v>Classified</x:v>
      </x:c>
      <x:c r="AB899" s="1" t="n">
        <x:f>IF(L899=1,SUMIFS('Incoming POs'!$P$2:$P$305,'Incoming POs'!$A$2:$A$305,A899,'Incoming POs'!$B$2:$B$305,B899,'Incoming POs'!$C$2:$C$305,C899,'Incoming POs'!$G$2:$G$305,"&gt;="&amp;D899,'Incoming POs'!$G$2:$G$305,"&lt;"&amp;Dashboard!$I$5,'Incoming POs'!$Q$2:$Q$305,"&lt;="&amp;('Inventory inputs'!P899/'Inventory inputs'!J899*1.01)),"n.a.")</x:f>
        <x:v>0</x:v>
      </x:c>
      <x:c r="AC899" s="9" t="n">
        <x:f>I899*G899</x:f>
        <x:v>1098</x:v>
      </x:c>
      <x:c r="AD899" s="9" t="n">
        <x:f>J899*G899</x:f>
        <x:v>0</x:v>
      </x:c>
      <x:c r="AE899" s="9" t="n">
        <x:f>K899*G899</x:f>
        <x:v>0</x:v>
      </x:c>
      <x:c r="AF899" s="9" t="n">
        <x:f>R899*G899</x:f>
        <x:v>2816.0205338809037</x:v>
      </x:c>
    </x:row>
    <x:row r="900" ht="21" customHeight="1">
      <x:c r="A900" s="1" t="str">
        <x:f>'Inventory inputs'!A900</x:f>
        <x:v>FILM</x:v>
      </x:c>
      <x:c r="B900" s="1" t="str">
        <x:f>'Inventory inputs'!B900</x:f>
        <x:v>60</x:v>
      </x:c>
      <x:c r="C900" s="1" t="str">
        <x:f>'Inventory inputs'!C900</x:f>
        <x:v>PR252503C1</x:v>
      </x:c>
      <x:c r="D900" s="7" t="n">
        <x:f>'Inventory inputs'!E900</x:f>
        <x:v>46304</x:v>
      </x:c>
      <x:c r="E900" s="1" t="n">
        <x:f>'Inventory inputs'!F900</x:f>
        <x:v>57</x:v>
      </x:c>
      <x:c r="F900" s="1" t="n">
        <x:f>'Inventory inputs'!G900</x:f>
        <x:v>23.33</x:v>
      </x:c>
      <x:c r="G900" s="1" t="n">
        <x:f>'Inventory inputs'!H900/'Inventory inputs'!J900</x:f>
        <x:v>16.88</x:v>
      </x:c>
      <x:c r="H900" s="1" t="n">
        <x:f>IF('Inventory inputs'!I900&gt;0,'Inventory inputs'!I900*'Inventory inputs'!K900/'Inventory inputs'!J900,"n.a.")</x:f>
        <x:v>20.25</x:v>
      </x:c>
      <x:c r="I900" s="1" t="n">
        <x:f>'Inventory inputs'!L900</x:f>
        <x:v>57</x:v>
      </x:c>
      <x:c r="J900" s="1" t="n">
        <x:f>'Inventory inputs'!M900</x:f>
        <x:v>0</x:v>
      </x:c>
      <x:c r="K900" s="1" t="n">
        <x:f>'Inventory inputs'!N900</x:f>
        <x:v>0</x:v>
      </x:c>
      <x:c r="L900" s="1" t="n">
        <x:f>'Inventory inputs'!O900</x:f>
        <x:v>1</x:v>
      </x:c>
      <x:c r="M900" s="9" t="n">
        <x:f>E900*G900</x:f>
        <x:v>962.16</x:v>
      </x:c>
      <x:c r="N900" s="9" t="n">
        <x:f>'Inventory inputs'!Q900</x:f>
        <x:v>962.16</x:v>
      </x:c>
      <x:c r="O900" s="9" t="n">
        <x:f>N900-M900</x:f>
        <x:v>0</x:v>
      </x:c>
      <x:c r="P900" s="1" t="n">
        <x:f>SUMIFS('Incoming POs'!$P$2:$P$305,'Incoming POs'!$A$2:$A$305,A900,'Incoming POs'!$B$2:$B$305,B900,'Incoming POs'!$C$2:$C$305,C900,'Incoming POs'!$G$2:$G$305,"&gt;="&amp;D900,'Incoming POs'!$G$2:$G$305,"&lt;"&amp;Dashboard!$I$5)</x:f>
        <x:v>0</x:v>
      </x:c>
      <x:c r="Q900" s="1" t="n">
        <x:f>F900*Dashboard!$L$5*MAX(0,Dashboard!$I$5-D900)/30.4375</x:f>
        <x:v>30.467926078028746</x:v>
      </x:c>
      <x:c r="R900" s="1" t="n">
        <x:f>MAX(0,E900+P900-Q900)</x:f>
        <x:v>26.532073921971254</x:v>
      </x:c>
      <x:c r="S900" s="1" t="n">
        <x:f>MAX(0,Q900-E900-P900)</x:f>
        <x:v>0</x:v>
      </x:c>
      <x:c r="T900" s="1" t="n">
        <x:f>IF(L900=1,MAX(0,I900+AB900-MIN(Q900,E900+P900)),"n.a.")</x:f>
        <x:v>26.532073921971254</x:v>
      </x:c>
      <x:c r="U900" s="9" t="n">
        <x:f>IF(ISNUMBER(T900),T900*G900,"n.a.")</x:f>
        <x:v>447.86140780287474</x:v>
      </x:c>
      <x:c r="V900" s="25" t="n">
        <x:f>IF(Dashboard!$I$6="Flat %",1,IF(ISNUMBER(H900),1,0))</x:f>
        <x:v>1</x:v>
      </x:c>
      <x:c r="W900" s="9" t="n">
        <x:f>IF(Dashboard!$I$6="Flat %",G900*(1+Dashboard!$L$6),H900)</x:f>
        <x:v>20.25</x:v>
      </x:c>
      <x:c r="X900" s="9" t="n">
        <x:f>IF(V900=1,R900*(W900-G900),"n.a.")</x:f>
        <x:v>89.41308911704316</x:v>
      </x:c>
      <x:c r="Y900" s="9" t="n">
        <x:f>IF(V900=1,R900*W900,"n.a.")</x:f>
        <x:v>537.2744969199179</x:v>
      </x:c>
      <x:c r="Z900" s="1" t="n">
        <x:f>IF(ISNUMBER(T900),R900-T900,"n.a.")</x:f>
        <x:v>0</x:v>
      </x:c>
      <x:c r="AA900" s="1" t="str">
        <x:f>'Inventory inputs'!R900</x:f>
        <x:v>Classified</x:v>
      </x:c>
      <x:c r="AB900" s="1" t="n">
        <x:f>IF(L900=1,SUMIFS('Incoming POs'!$P$2:$P$305,'Incoming POs'!$A$2:$A$305,A900,'Incoming POs'!$B$2:$B$305,B900,'Incoming POs'!$C$2:$C$305,C900,'Incoming POs'!$G$2:$G$305,"&gt;="&amp;D900,'Incoming POs'!$G$2:$G$305,"&lt;"&amp;Dashboard!$I$5,'Incoming POs'!$Q$2:$Q$305,"&lt;="&amp;('Inventory inputs'!P900/'Inventory inputs'!J900*1.01)),"n.a.")</x:f>
        <x:v>0</x:v>
      </x:c>
      <x:c r="AC900" s="9" t="n">
        <x:f>I900*G900</x:f>
        <x:v>962.16</x:v>
      </x:c>
      <x:c r="AD900" s="9" t="n">
        <x:f>J900*G900</x:f>
        <x:v>0</x:v>
      </x:c>
      <x:c r="AE900" s="9" t="n">
        <x:f>K900*G900</x:f>
        <x:v>0</x:v>
      </x:c>
      <x:c r="AF900" s="9" t="n">
        <x:f>R900*G900</x:f>
        <x:v>447.86140780287474</x:v>
      </x:c>
    </x:row>
    <x:row r="901" ht="21" customHeight="1">
      <x:c r="A901" s="1" t="str">
        <x:f>'Inventory inputs'!A901</x:f>
        <x:v>FILM</x:v>
      </x:c>
      <x:c r="B901" s="1" t="str">
        <x:f>'Inventory inputs'!B901</x:f>
        <x:v>10</x:v>
      </x:c>
      <x:c r="C901" s="1" t="str">
        <x:f>'Inventory inputs'!C901</x:f>
        <x:v>182503C1</x:v>
      </x:c>
      <x:c r="D901" s="7" t="n">
        <x:f>'Inventory inputs'!E901</x:f>
        <x:v>46304</x:v>
      </x:c>
      <x:c r="E901" s="1" t="n">
        <x:f>'Inventory inputs'!F901</x:f>
        <x:v>87</x:v>
      </x:c>
      <x:c r="F901" s="1" t="n">
        <x:f>'Inventory inputs'!G901</x:f>
        <x:v>19.75</x:v>
      </x:c>
      <x:c r="G901" s="1" t="n">
        <x:f>'Inventory inputs'!H901/'Inventory inputs'!J901</x:f>
        <x:v>10.53</x:v>
      </x:c>
      <x:c r="H901" s="1" t="n">
        <x:f>IF('Inventory inputs'!I901&gt;0,'Inventory inputs'!I901*'Inventory inputs'!K901/'Inventory inputs'!J901,"n.a.")</x:f>
        <x:v>12.64</x:v>
      </x:c>
      <x:c r="I901" s="1" t="n">
        <x:f>'Inventory inputs'!L901</x:f>
        <x:v>87</x:v>
      </x:c>
      <x:c r="J901" s="1" t="n">
        <x:f>'Inventory inputs'!M901</x:f>
        <x:v>0</x:v>
      </x:c>
      <x:c r="K901" s="1" t="n">
        <x:f>'Inventory inputs'!N901</x:f>
        <x:v>0</x:v>
      </x:c>
      <x:c r="L901" s="1" t="n">
        <x:f>'Inventory inputs'!O901</x:f>
        <x:v>1</x:v>
      </x:c>
      <x:c r="M901" s="9" t="n">
        <x:f>E901*G901</x:f>
        <x:v>916.1099999999999</x:v>
      </x:c>
      <x:c r="N901" s="9" t="n">
        <x:f>'Inventory inputs'!Q901</x:f>
        <x:v>916.1099999999999</x:v>
      </x:c>
      <x:c r="O901" s="9" t="n">
        <x:f>N901-M901</x:f>
        <x:v>0</x:v>
      </x:c>
      <x:c r="P901" s="1" t="n">
        <x:f>SUMIFS('Incoming POs'!$P$2:$P$305,'Incoming POs'!$A$2:$A$305,A901,'Incoming POs'!$B$2:$B$305,B901,'Incoming POs'!$C$2:$C$305,C901,'Incoming POs'!$G$2:$G$305,"&gt;="&amp;D901,'Incoming POs'!$G$2:$G$305,"&lt;"&amp;Dashboard!$I$5)</x:f>
        <x:v>0</x:v>
      </x:c>
      <x:c r="Q901" s="1" t="n">
        <x:f>F901*Dashboard!$L$5*MAX(0,Dashboard!$I$5-D901)/30.4375</x:f>
        <x:v>25.792607802874745</x:v>
      </x:c>
      <x:c r="R901" s="1" t="n">
        <x:f>MAX(0,E901+P901-Q901)</x:f>
        <x:v>61.20739219712526</x:v>
      </x:c>
      <x:c r="S901" s="1" t="n">
        <x:f>MAX(0,Q901-E901-P901)</x:f>
        <x:v>0</x:v>
      </x:c>
      <x:c r="T901" s="1" t="n">
        <x:f>IF(L901=1,MAX(0,I901+AB901-MIN(Q901,E901+P901)),"n.a.")</x:f>
        <x:v>61.20739219712526</x:v>
      </x:c>
      <x:c r="U901" s="9" t="n">
        <x:f>IF(ISNUMBER(T901),T901*G901,"n.a.")</x:f>
        <x:v>644.513839835729</x:v>
      </x:c>
      <x:c r="V901" s="25" t="n">
        <x:f>IF(Dashboard!$I$6="Flat %",1,IF(ISNUMBER(H901),1,0))</x:f>
        <x:v>1</x:v>
      </x:c>
      <x:c r="W901" s="9" t="n">
        <x:f>IF(Dashboard!$I$6="Flat %",G901*(1+Dashboard!$L$6),H901)</x:f>
        <x:v>12.64</x:v>
      </x:c>
      <x:c r="X901" s="9" t="n">
        <x:f>IF(V901=1,R901*(W901-G901),"n.a.")</x:f>
        <x:v>129.14759753593438</x:v>
      </x:c>
      <x:c r="Y901" s="9" t="n">
        <x:f>IF(V901=1,R901*W901,"n.a.")</x:f>
        <x:v>773.6614373716633</x:v>
      </x:c>
      <x:c r="Z901" s="1" t="n">
        <x:f>IF(ISNUMBER(T901),R901-T901,"n.a.")</x:f>
        <x:v>0</x:v>
      </x:c>
      <x:c r="AA901" s="1" t="str">
        <x:f>'Inventory inputs'!R901</x:f>
        <x:v>Classified</x:v>
      </x:c>
      <x:c r="AB901" s="1" t="n">
        <x:f>IF(L901=1,SUMIFS('Incoming POs'!$P$2:$P$305,'Incoming POs'!$A$2:$A$305,A901,'Incoming POs'!$B$2:$B$305,B901,'Incoming POs'!$C$2:$C$305,C901,'Incoming POs'!$G$2:$G$305,"&gt;="&amp;D901,'Incoming POs'!$G$2:$G$305,"&lt;"&amp;Dashboard!$I$5,'Incoming POs'!$Q$2:$Q$305,"&lt;="&amp;('Inventory inputs'!P901/'Inventory inputs'!J901*1.01)),"n.a.")</x:f>
        <x:v>0</x:v>
      </x:c>
      <x:c r="AC901" s="9" t="n">
        <x:f>I901*G901</x:f>
        <x:v>916.1099999999999</x:v>
      </x:c>
      <x:c r="AD901" s="9" t="n">
        <x:f>J901*G901</x:f>
        <x:v>0</x:v>
      </x:c>
      <x:c r="AE901" s="9" t="n">
        <x:f>K901*G901</x:f>
        <x:v>0</x:v>
      </x:c>
      <x:c r="AF901" s="9" t="n">
        <x:f>R901*G901</x:f>
        <x:v>644.513839835729</x:v>
      </x:c>
    </x:row>
    <x:row r="902" ht="21" customHeight="1">
      <x:c r="A902" s="1" t="str">
        <x:f>'Inventory inputs'!A902</x:f>
        <x:v>FILM</x:v>
      </x:c>
      <x:c r="B902" s="1" t="str">
        <x:f>'Inventory inputs'!B902</x:f>
        <x:v>10</x:v>
      </x:c>
      <x:c r="C902" s="1" t="str">
        <x:f>'Inventory inputs'!C902</x:f>
        <x:v>382005C3</x:v>
      </x:c>
      <x:c r="D902" s="7" t="n">
        <x:f>'Inventory inputs'!E902</x:f>
        <x:v>46304</x:v>
      </x:c>
      <x:c r="E902" s="1" t="n">
        <x:f>'Inventory inputs'!F902</x:f>
        <x:v>58</x:v>
      </x:c>
      <x:c r="F902" s="1" t="n">
        <x:f>'Inventory inputs'!G902</x:f>
        <x:v>17.92</x:v>
      </x:c>
      <x:c r="G902" s="1" t="n">
        <x:f>'Inventory inputs'!H902/'Inventory inputs'!J902</x:f>
        <x:v>32.19</x:v>
      </x:c>
      <x:c r="H902" s="1" t="n">
        <x:f>IF('Inventory inputs'!I902&gt;0,'Inventory inputs'!I902*'Inventory inputs'!K902/'Inventory inputs'!J902,"n.a.")</x:f>
        <x:v>38.67</x:v>
      </x:c>
      <x:c r="I902" s="1" t="n">
        <x:f>'Inventory inputs'!L902</x:f>
        <x:v>8</x:v>
      </x:c>
      <x:c r="J902" s="1" t="n">
        <x:f>'Inventory inputs'!M902</x:f>
        <x:v>50</x:v>
      </x:c>
      <x:c r="K902" s="1" t="n">
        <x:f>'Inventory inputs'!N902</x:f>
        <x:v>0</x:v>
      </x:c>
      <x:c r="L902" s="1" t="n">
        <x:f>'Inventory inputs'!O902</x:f>
        <x:v>1</x:v>
      </x:c>
      <x:c r="M902" s="9" t="n">
        <x:f>E902*G902</x:f>
        <x:v>1867.02</x:v>
      </x:c>
      <x:c r="N902" s="9" t="n">
        <x:f>'Inventory inputs'!Q902</x:f>
        <x:v>1867.02</x:v>
      </x:c>
      <x:c r="O902" s="9" t="n">
        <x:f>N902-M902</x:f>
        <x:v>0</x:v>
      </x:c>
      <x:c r="P902" s="1" t="n">
        <x:f>SUMIFS('Incoming POs'!$P$2:$P$305,'Incoming POs'!$A$2:$A$305,A902,'Incoming POs'!$B$2:$B$305,B902,'Incoming POs'!$C$2:$C$305,C902,'Incoming POs'!$G$2:$G$305,"&gt;="&amp;D902,'Incoming POs'!$G$2:$G$305,"&lt;"&amp;Dashboard!$I$5)</x:f>
        <x:v>25</x:v>
      </x:c>
      <x:c r="Q902" s="1" t="n">
        <x:f>F902*Dashboard!$L$5*MAX(0,Dashboard!$I$5-D902)/30.4375</x:f>
        <x:v>23.402710472279264</x:v>
      </x:c>
      <x:c r="R902" s="1" t="n">
        <x:f>MAX(0,E902+P902-Q902)</x:f>
        <x:v>59.59728952772073</x:v>
      </x:c>
      <x:c r="S902" s="1" t="n">
        <x:f>MAX(0,Q902-E902-P902)</x:f>
        <x:v>0</x:v>
      </x:c>
      <x:c r="T902" s="1" t="n">
        <x:f>IF(L902=1,MAX(0,I902+AB902-MIN(Q902,E902+P902)),"n.a.")</x:f>
        <x:v>0</x:v>
      </x:c>
      <x:c r="U902" s="9" t="n">
        <x:f>IF(ISNUMBER(T902),T902*G902,"n.a.")</x:f>
        <x:v>0</x:v>
      </x:c>
      <x:c r="V902" s="25" t="n">
        <x:f>IF(Dashboard!$I$6="Flat %",1,IF(ISNUMBER(H902),1,0))</x:f>
        <x:v>1</x:v>
      </x:c>
      <x:c r="W902" s="9" t="n">
        <x:f>IF(Dashboard!$I$6="Flat %",G902*(1+Dashboard!$L$6),H902)</x:f>
        <x:v>38.67</x:v>
      </x:c>
      <x:c r="X902" s="9" t="n">
        <x:f>IF(V902=1,R902*(W902-G902),"n.a.")</x:f>
        <x:v>386.1904361396306</x:v>
      </x:c>
      <x:c r="Y902" s="9" t="n">
        <x:f>IF(V902=1,R902*W902,"n.a.")</x:f>
        <x:v>2304.6271860369607</x:v>
      </x:c>
      <x:c r="Z902" s="1" t="n">
        <x:f>IF(ISNUMBER(T902),R902-T902,"n.a.")</x:f>
        <x:v>59.59728952772073</x:v>
      </x:c>
      <x:c r="AA902" s="1" t="str">
        <x:f>'Inventory inputs'!R902</x:f>
        <x:v>Classified</x:v>
      </x:c>
      <x:c r="AB902" s="1" t="n">
        <x:f>IF(L902=1,SUMIFS('Incoming POs'!$P$2:$P$305,'Incoming POs'!$A$2:$A$305,A902,'Incoming POs'!$B$2:$B$305,B902,'Incoming POs'!$C$2:$C$305,C902,'Incoming POs'!$G$2:$G$305,"&gt;="&amp;D902,'Incoming POs'!$G$2:$G$305,"&lt;"&amp;Dashboard!$I$5,'Incoming POs'!$Q$2:$Q$305,"&lt;="&amp;('Inventory inputs'!P902/'Inventory inputs'!J902*1.01)),"n.a.")</x:f>
        <x:v>0</x:v>
      </x:c>
      <x:c r="AC902" s="9" t="n">
        <x:f>I902*G902</x:f>
        <x:v>257.52</x:v>
      </x:c>
      <x:c r="AD902" s="9" t="n">
        <x:f>J902*G902</x:f>
        <x:v>1609.5</x:v>
      </x:c>
      <x:c r="AE902" s="9" t="n">
        <x:f>K902*G902</x:f>
        <x:v>0</x:v>
      </x:c>
      <x:c r="AF902" s="9" t="n">
        <x:f>R902*G902</x:f>
        <x:v>1918.4367498973302</x:v>
      </x:c>
    </x:row>
    <x:row r="903" ht="21" customHeight="1">
      <x:c r="A903" s="1" t="str">
        <x:f>'Inventory inputs'!A903</x:f>
        <x:v>FILM</x:v>
      </x:c>
      <x:c r="B903" s="1" t="str">
        <x:f>'Inventory inputs'!B903</x:f>
        <x:v>30</x:v>
      </x:c>
      <x:c r="C903" s="1" t="str">
        <x:f>'Inventory inputs'!C903</x:f>
        <x:v>2750017C1</x:v>
      </x:c>
      <x:c r="D903" s="7" t="n">
        <x:f>'Inventory inputs'!E903</x:f>
        <x:v>46304</x:v>
      </x:c>
      <x:c r="E903" s="1" t="n">
        <x:f>'Inventory inputs'!F903</x:f>
        <x:v>10</x:v>
      </x:c>
      <x:c r="F903" s="1" t="n">
        <x:f>'Inventory inputs'!G903</x:f>
        <x:v>17.17</x:v>
      </x:c>
      <x:c r="G903" s="1" t="n">
        <x:f>'Inventory inputs'!H903/'Inventory inputs'!J903</x:f>
        <x:v>20.9</x:v>
      </x:c>
      <x:c r="H903" s="1" t="n">
        <x:f>IF('Inventory inputs'!I903&gt;0,'Inventory inputs'!I903*'Inventory inputs'!K903/'Inventory inputs'!J903,"n.a.")</x:f>
        <x:v>25.11</x:v>
      </x:c>
      <x:c r="I903" s="1" t="n">
        <x:f>'Inventory inputs'!L903</x:f>
        <x:v>10</x:v>
      </x:c>
      <x:c r="J903" s="1" t="n">
        <x:f>'Inventory inputs'!M903</x:f>
        <x:v>0</x:v>
      </x:c>
      <x:c r="K903" s="1" t="n">
        <x:f>'Inventory inputs'!N903</x:f>
        <x:v>0</x:v>
      </x:c>
      <x:c r="L903" s="1" t="n">
        <x:f>'Inventory inputs'!O903</x:f>
        <x:v>1</x:v>
      </x:c>
      <x:c r="M903" s="9" t="n">
        <x:f>E903*G903</x:f>
        <x:v>209</x:v>
      </x:c>
      <x:c r="N903" s="9" t="n">
        <x:f>'Inventory inputs'!Q903</x:f>
        <x:v>209</x:v>
      </x:c>
      <x:c r="O903" s="9" t="n">
        <x:f>N903-M903</x:f>
        <x:v>0</x:v>
      </x:c>
      <x:c r="P903" s="1" t="n">
        <x:f>SUMIFS('Incoming POs'!$P$2:$P$305,'Incoming POs'!$A$2:$A$305,A903,'Incoming POs'!$B$2:$B$305,B903,'Incoming POs'!$C$2:$C$305,C903,'Incoming POs'!$G$2:$G$305,"&gt;="&amp;D903,'Incoming POs'!$G$2:$G$305,"&lt;"&amp;Dashboard!$I$5)</x:f>
        <x:v>180</x:v>
      </x:c>
      <x:c r="Q903" s="1" t="n">
        <x:f>F903*Dashboard!$L$5*MAX(0,Dashboard!$I$5-D903)/30.4375</x:f>
        <x:v>22.423244353182753</x:v>
      </x:c>
      <x:c r="R903" s="1" t="n">
        <x:f>MAX(0,E903+P903-Q903)</x:f>
        <x:v>167.57675564681725</x:v>
      </x:c>
      <x:c r="S903" s="1" t="n">
        <x:f>MAX(0,Q903-E903-P903)</x:f>
        <x:v>0</x:v>
      </x:c>
      <x:c r="T903" s="1" t="n">
        <x:f>IF(L903=1,MAX(0,I903+AB903-MIN(Q903,E903+P903)),"n.a.")</x:f>
        <x:v>0</x:v>
      </x:c>
      <x:c r="U903" s="9" t="n">
        <x:f>IF(ISNUMBER(T903),T903*G903,"n.a.")</x:f>
        <x:v>0</x:v>
      </x:c>
      <x:c r="V903" s="25" t="n">
        <x:f>IF(Dashboard!$I$6="Flat %",1,IF(ISNUMBER(H903),1,0))</x:f>
        <x:v>1</x:v>
      </x:c>
      <x:c r="W903" s="9" t="n">
        <x:f>IF(Dashboard!$I$6="Flat %",G903*(1+Dashboard!$L$6),H903)</x:f>
        <x:v>25.11</x:v>
      </x:c>
      <x:c r="X903" s="9" t="n">
        <x:f>IF(V903=1,R903*(W903-G903),"n.a.")</x:f>
        <x:v>705.4981412731007</x:v>
      </x:c>
      <x:c r="Y903" s="9" t="n">
        <x:f>IF(V903=1,R903*W903,"n.a.")</x:f>
        <x:v>4207.852334291581</x:v>
      </x:c>
      <x:c r="Z903" s="1" t="n">
        <x:f>IF(ISNUMBER(T903),R903-T903,"n.a.")</x:f>
        <x:v>167.57675564681725</x:v>
      </x:c>
      <x:c r="AA903" s="1" t="str">
        <x:f>'Inventory inputs'!R903</x:f>
        <x:v>Classified</x:v>
      </x:c>
      <x:c r="AB903" s="1" t="n">
        <x:f>IF(L903=1,SUMIFS('Incoming POs'!$P$2:$P$305,'Incoming POs'!$A$2:$A$305,A903,'Incoming POs'!$B$2:$B$305,B903,'Incoming POs'!$C$2:$C$305,C903,'Incoming POs'!$G$2:$G$305,"&gt;="&amp;D903,'Incoming POs'!$G$2:$G$305,"&lt;"&amp;Dashboard!$I$5,'Incoming POs'!$Q$2:$Q$305,"&lt;="&amp;('Inventory inputs'!P903/'Inventory inputs'!J903*1.01)),"n.a.")</x:f>
        <x:v>0</x:v>
      </x:c>
      <x:c r="AC903" s="9" t="n">
        <x:f>I903*G903</x:f>
        <x:v>209</x:v>
      </x:c>
      <x:c r="AD903" s="9" t="n">
        <x:f>J903*G903</x:f>
        <x:v>0</x:v>
      </x:c>
      <x:c r="AE903" s="9" t="n">
        <x:f>K903*G903</x:f>
        <x:v>0</x:v>
      </x:c>
      <x:c r="AF903" s="9" t="n">
        <x:f>R903*G903</x:f>
        <x:v>3502.35419301848</x:v>
      </x:c>
    </x:row>
    <x:row r="904" ht="21" customHeight="1">
      <x:c r="A904" s="1" t="str">
        <x:f>'Inventory inputs'!A904</x:f>
        <x:v>FILM</x:v>
      </x:c>
      <x:c r="B904" s="1" t="str">
        <x:f>'Inventory inputs'!B904</x:f>
        <x:v>60</x:v>
      </x:c>
      <x:c r="C904" s="1" t="str">
        <x:f>'Inventory inputs'!C904</x:f>
        <x:v>182503C1</x:v>
      </x:c>
      <x:c r="D904" s="7" t="n">
        <x:f>'Inventory inputs'!E904</x:f>
        <x:v>46304</x:v>
      </x:c>
      <x:c r="E904" s="1" t="n">
        <x:f>'Inventory inputs'!F904</x:f>
        <x:v>186</x:v>
      </x:c>
      <x:c r="F904" s="1" t="n">
        <x:f>'Inventory inputs'!G904</x:f>
        <x:v>16.33</x:v>
      </x:c>
      <x:c r="G904" s="1" t="n">
        <x:f>'Inventory inputs'!H904/'Inventory inputs'!J904</x:f>
        <x:v>10.53</x:v>
      </x:c>
      <x:c r="H904" s="1" t="n">
        <x:f>IF('Inventory inputs'!I904&gt;0,'Inventory inputs'!I904*'Inventory inputs'!K904/'Inventory inputs'!J904,"n.a.")</x:f>
        <x:v>12.64</x:v>
      </x:c>
      <x:c r="I904" s="1" t="n">
        <x:f>'Inventory inputs'!L904</x:f>
        <x:v>186</x:v>
      </x:c>
      <x:c r="J904" s="1" t="n">
        <x:f>'Inventory inputs'!M904</x:f>
        <x:v>0</x:v>
      </x:c>
      <x:c r="K904" s="1" t="n">
        <x:f>'Inventory inputs'!N904</x:f>
        <x:v>0</x:v>
      </x:c>
      <x:c r="L904" s="1" t="n">
        <x:f>'Inventory inputs'!O904</x:f>
        <x:v>1</x:v>
      </x:c>
      <x:c r="M904" s="9" t="n">
        <x:f>E904*G904</x:f>
        <x:v>1958.58</x:v>
      </x:c>
      <x:c r="N904" s="9" t="n">
        <x:f>'Inventory inputs'!Q904</x:f>
        <x:v>1958.58</x:v>
      </x:c>
      <x:c r="O904" s="9" t="n">
        <x:f>N904-M904</x:f>
        <x:v>0</x:v>
      </x:c>
      <x:c r="P904" s="1" t="n">
        <x:f>SUMIFS('Incoming POs'!$P$2:$P$305,'Incoming POs'!$A$2:$A$305,A904,'Incoming POs'!$B$2:$B$305,B904,'Incoming POs'!$C$2:$C$305,C904,'Incoming POs'!$G$2:$G$305,"&gt;="&amp;D904,'Incoming POs'!$G$2:$G$305,"&lt;"&amp;Dashboard!$I$5)</x:f>
        <x:v>0</x:v>
      </x:c>
      <x:c r="Q904" s="1" t="n">
        <x:f>F904*Dashboard!$L$5*MAX(0,Dashboard!$I$5-D904)/30.4375</x:f>
        <x:v>21.32624229979466</x:v>
      </x:c>
      <x:c r="R904" s="1" t="n">
        <x:f>MAX(0,E904+P904-Q904)</x:f>
        <x:v>164.67375770020533</x:v>
      </x:c>
      <x:c r="S904" s="1" t="n">
        <x:f>MAX(0,Q904-E904-P904)</x:f>
        <x:v>0</x:v>
      </x:c>
      <x:c r="T904" s="1" t="n">
        <x:f>IF(L904=1,MAX(0,I904+AB904-MIN(Q904,E904+P904)),"n.a.")</x:f>
        <x:v>164.67375770020533</x:v>
      </x:c>
      <x:c r="U904" s="9" t="n">
        <x:f>IF(ISNUMBER(T904),T904*G904,"n.a.")</x:f>
        <x:v>1734.014668583162</x:v>
      </x:c>
      <x:c r="V904" s="25" t="n">
        <x:f>IF(Dashboard!$I$6="Flat %",1,IF(ISNUMBER(H904),1,0))</x:f>
        <x:v>1</x:v>
      </x:c>
      <x:c r="W904" s="9" t="n">
        <x:f>IF(Dashboard!$I$6="Flat %",G904*(1+Dashboard!$L$6),H904)</x:f>
        <x:v>12.64</x:v>
      </x:c>
      <x:c r="X904" s="9" t="n">
        <x:f>IF(V904=1,R904*(W904-G904),"n.a.")</x:f>
        <x:v>347.46162874743345</x:v>
      </x:c>
      <x:c r="Y904" s="9" t="n">
        <x:f>IF(V904=1,R904*W904,"n.a.")</x:f>
        <x:v>2081.4762973305956</x:v>
      </x:c>
      <x:c r="Z904" s="1" t="n">
        <x:f>IF(ISNUMBER(T904),R904-T904,"n.a.")</x:f>
        <x:v>0</x:v>
      </x:c>
      <x:c r="AA904" s="1" t="str">
        <x:f>'Inventory inputs'!R904</x:f>
        <x:v>Classified</x:v>
      </x:c>
      <x:c r="AB904" s="1" t="n">
        <x:f>IF(L904=1,SUMIFS('Incoming POs'!$P$2:$P$305,'Incoming POs'!$A$2:$A$305,A904,'Incoming POs'!$B$2:$B$305,B904,'Incoming POs'!$C$2:$C$305,C904,'Incoming POs'!$G$2:$G$305,"&gt;="&amp;D904,'Incoming POs'!$G$2:$G$305,"&lt;"&amp;Dashboard!$I$5,'Incoming POs'!$Q$2:$Q$305,"&lt;="&amp;('Inventory inputs'!P904/'Inventory inputs'!J904*1.01)),"n.a.")</x:f>
        <x:v>0</x:v>
      </x:c>
      <x:c r="AC904" s="9" t="n">
        <x:f>I904*G904</x:f>
        <x:v>1958.58</x:v>
      </x:c>
      <x:c r="AD904" s="9" t="n">
        <x:f>J904*G904</x:f>
        <x:v>0</x:v>
      </x:c>
      <x:c r="AE904" s="9" t="n">
        <x:f>K904*G904</x:f>
        <x:v>0</x:v>
      </x:c>
      <x:c r="AF904" s="9" t="n">
        <x:f>R904*G904</x:f>
        <x:v>1734.014668583162</x:v>
      </x:c>
    </x:row>
    <x:row r="905" ht="21" customHeight="1">
      <x:c r="A905" s="1" t="str">
        <x:f>'Inventory inputs'!A905</x:f>
        <x:v>FILM</x:v>
      </x:c>
      <x:c r="B905" s="1" t="str">
        <x:f>'Inventory inputs'!B905</x:f>
        <x:v>10</x:v>
      </x:c>
      <x:c r="C905" s="1" t="str">
        <x:f>'Inventory inputs'!C905</x:f>
        <x:v>1210010C1</x:v>
      </x:c>
      <x:c r="D905" s="7" t="n">
        <x:f>'Inventory inputs'!E905</x:f>
        <x:v>46304</x:v>
      </x:c>
      <x:c r="E905" s="1" t="n">
        <x:f>'Inventory inputs'!F905</x:f>
        <x:v>103</x:v>
      </x:c>
      <x:c r="F905" s="1" t="n">
        <x:f>'Inventory inputs'!G905</x:f>
        <x:v>15.17</x:v>
      </x:c>
      <x:c r="G905" s="1" t="n">
        <x:f>'Inventory inputs'!H905/'Inventory inputs'!J905</x:f>
        <x:v>11.38</x:v>
      </x:c>
      <x:c r="H905" s="1" t="n">
        <x:f>IF('Inventory inputs'!I905&gt;0,'Inventory inputs'!I905*'Inventory inputs'!K905/'Inventory inputs'!J905,"n.a.")</x:f>
        <x:v>13.66</x:v>
      </x:c>
      <x:c r="I905" s="1" t="n">
        <x:f>'Inventory inputs'!L905</x:f>
        <x:v>0</x:v>
      </x:c>
      <x:c r="J905" s="1" t="n">
        <x:f>'Inventory inputs'!M905</x:f>
        <x:v>103</x:v>
      </x:c>
      <x:c r="K905" s="1" t="n">
        <x:f>'Inventory inputs'!N905</x:f>
        <x:v>0</x:v>
      </x:c>
      <x:c r="L905" s="1" t="n">
        <x:f>'Inventory inputs'!O905</x:f>
        <x:v>1</x:v>
      </x:c>
      <x:c r="M905" s="9" t="n">
        <x:f>E905*G905</x:f>
        <x:v>1172.14</x:v>
      </x:c>
      <x:c r="N905" s="9" t="n">
        <x:f>'Inventory inputs'!Q905</x:f>
        <x:v>1172.14</x:v>
      </x:c>
      <x:c r="O905" s="9" t="n">
        <x:f>N905-M905</x:f>
        <x:v>0</x:v>
      </x:c>
      <x:c r="P905" s="1" t="n">
        <x:f>SUMIFS('Incoming POs'!$P$2:$P$305,'Incoming POs'!$A$2:$A$305,A905,'Incoming POs'!$B$2:$B$305,B905,'Incoming POs'!$C$2:$C$305,C905,'Incoming POs'!$G$2:$G$305,"&gt;="&amp;D905,'Incoming POs'!$G$2:$G$305,"&lt;"&amp;Dashboard!$I$5)</x:f>
        <x:v>0</x:v>
      </x:c>
      <x:c r="Q905" s="1" t="n">
        <x:f>F905*Dashboard!$L$5*MAX(0,Dashboard!$I$5-D905)/30.4375</x:f>
        <x:v>19.811334702258726</x:v>
      </x:c>
      <x:c r="R905" s="1" t="n">
        <x:f>MAX(0,E905+P905-Q905)</x:f>
        <x:v>83.18866529774127</x:v>
      </x:c>
      <x:c r="S905" s="1" t="n">
        <x:f>MAX(0,Q905-E905-P905)</x:f>
        <x:v>0</x:v>
      </x:c>
      <x:c r="T905" s="1" t="n">
        <x:f>IF(L905=1,MAX(0,I905+AB905-MIN(Q905,E905+P905)),"n.a.")</x:f>
        <x:v>0</x:v>
      </x:c>
      <x:c r="U905" s="9" t="n">
        <x:f>IF(ISNUMBER(T905),T905*G905,"n.a.")</x:f>
        <x:v>0</x:v>
      </x:c>
      <x:c r="V905" s="25" t="n">
        <x:f>IF(Dashboard!$I$6="Flat %",1,IF(ISNUMBER(H905),1,0))</x:f>
        <x:v>1</x:v>
      </x:c>
      <x:c r="W905" s="9" t="n">
        <x:f>IF(Dashboard!$I$6="Flat %",G905*(1+Dashboard!$L$6),H905)</x:f>
        <x:v>13.66</x:v>
      </x:c>
      <x:c r="X905" s="9" t="n">
        <x:f>IF(V905=1,R905*(W905-G905),"n.a.")</x:f>
        <x:v>189.67015687885004</x:v>
      </x:c>
      <x:c r="Y905" s="9" t="n">
        <x:f>IF(V905=1,R905*W905,"n.a.")</x:f>
        <x:v>1136.3571679671456</x:v>
      </x:c>
      <x:c r="Z905" s="1" t="n">
        <x:f>IF(ISNUMBER(T905),R905-T905,"n.a.")</x:f>
        <x:v>83.18866529774127</x:v>
      </x:c>
      <x:c r="AA905" s="1" t="str">
        <x:f>'Inventory inputs'!R905</x:f>
        <x:v>Classified</x:v>
      </x:c>
      <x:c r="AB905" s="1" t="n">
        <x:f>IF(L905=1,SUMIFS('Incoming POs'!$P$2:$P$305,'Incoming POs'!$A$2:$A$305,A905,'Incoming POs'!$B$2:$B$305,B905,'Incoming POs'!$C$2:$C$305,C905,'Incoming POs'!$G$2:$G$305,"&gt;="&amp;D905,'Incoming POs'!$G$2:$G$305,"&lt;"&amp;Dashboard!$I$5,'Incoming POs'!$Q$2:$Q$305,"&lt;="&amp;('Inventory inputs'!P905/'Inventory inputs'!J905*1.01)),"n.a.")</x:f>
        <x:v>0</x:v>
      </x:c>
      <x:c r="AC905" s="9" t="n">
        <x:f>I905*G905</x:f>
        <x:v>0</x:v>
      </x:c>
      <x:c r="AD905" s="9" t="n">
        <x:f>J905*G905</x:f>
        <x:v>1172.14</x:v>
      </x:c>
      <x:c r="AE905" s="9" t="n">
        <x:f>K905*G905</x:f>
        <x:v>0</x:v>
      </x:c>
      <x:c r="AF905" s="9" t="n">
        <x:f>R905*G905</x:f>
        <x:v>946.6870110882957</x:v>
      </x:c>
    </x:row>
    <x:row r="906" ht="21" customHeight="1">
      <x:c r="A906" s="1" t="str">
        <x:f>'Inventory inputs'!A906</x:f>
        <x:v>FILM</x:v>
      </x:c>
      <x:c r="B906" s="1" t="str">
        <x:f>'Inventory inputs'!B906</x:f>
        <x:v>30</x:v>
      </x:c>
      <x:c r="C906" s="1" t="str">
        <x:f>'Inventory inputs'!C906</x:f>
        <x:v>ST252503M1</x:v>
      </x:c>
      <x:c r="D906" s="7" t="n">
        <x:f>'Inventory inputs'!E906</x:f>
        <x:v>46304</x:v>
      </x:c>
      <x:c r="E906" s="1" t="n">
        <x:f>'Inventory inputs'!F906</x:f>
        <x:v>158</x:v>
      </x:c>
      <x:c r="F906" s="1" t="n">
        <x:f>'Inventory inputs'!G906</x:f>
        <x:v>14.67</x:v>
      </x:c>
      <x:c r="G906" s="1" t="n">
        <x:f>'Inventory inputs'!H906/'Inventory inputs'!J906</x:f>
        <x:v>40.88</x:v>
      </x:c>
      <x:c r="H906" s="1" t="n">
        <x:f>IF('Inventory inputs'!I906&gt;0,'Inventory inputs'!I906*'Inventory inputs'!K906/'Inventory inputs'!J906,"n.a.")</x:f>
        <x:v>49.05</x:v>
      </x:c>
      <x:c r="I906" s="1" t="n">
        <x:f>'Inventory inputs'!L906</x:f>
        <x:v>158</x:v>
      </x:c>
      <x:c r="J906" s="1" t="n">
        <x:f>'Inventory inputs'!M906</x:f>
        <x:v>0</x:v>
      </x:c>
      <x:c r="K906" s="1" t="n">
        <x:f>'Inventory inputs'!N906</x:f>
        <x:v>0</x:v>
      </x:c>
      <x:c r="L906" s="1" t="n">
        <x:f>'Inventory inputs'!O906</x:f>
        <x:v>1</x:v>
      </x:c>
      <x:c r="M906" s="9" t="n">
        <x:f>E906*G906</x:f>
        <x:v>6459.04</x:v>
      </x:c>
      <x:c r="N906" s="9" t="n">
        <x:f>'Inventory inputs'!Q906</x:f>
        <x:v>6459.04</x:v>
      </x:c>
      <x:c r="O906" s="9" t="n">
        <x:f>N906-M906</x:f>
        <x:v>0</x:v>
      </x:c>
      <x:c r="P906" s="1" t="n">
        <x:f>SUMIFS('Incoming POs'!$P$2:$P$305,'Incoming POs'!$A$2:$A$305,A906,'Incoming POs'!$B$2:$B$305,B906,'Incoming POs'!$C$2:$C$305,C906,'Incoming POs'!$G$2:$G$305,"&gt;="&amp;D906,'Incoming POs'!$G$2:$G$305,"&lt;"&amp;Dashboard!$I$5)</x:f>
        <x:v>120</x:v>
      </x:c>
      <x:c r="Q906" s="1" t="n">
        <x:f>F906*Dashboard!$L$5*MAX(0,Dashboard!$I$5-D906)/30.4375</x:f>
        <x:v>19.158357289527718</x:v>
      </x:c>
      <x:c r="R906" s="1" t="n">
        <x:f>MAX(0,E906+P906-Q906)</x:f>
        <x:v>258.8416427104723</x:v>
      </x:c>
      <x:c r="S906" s="1" t="n">
        <x:f>MAX(0,Q906-E906-P906)</x:f>
        <x:v>0</x:v>
      </x:c>
      <x:c r="T906" s="1" t="n">
        <x:f>IF(L906=1,MAX(0,I906+AB906-MIN(Q906,E906+P906)),"n.a.")</x:f>
        <x:v>138.84164271047229</x:v>
      </x:c>
      <x:c r="U906" s="9" t="n">
        <x:f>IF(ISNUMBER(T906),T906*G906,"n.a.")</x:f>
        <x:v>5675.8463540041075</x:v>
      </x:c>
      <x:c r="V906" s="25" t="n">
        <x:f>IF(Dashboard!$I$6="Flat %",1,IF(ISNUMBER(H906),1,0))</x:f>
        <x:v>1</x:v>
      </x:c>
      <x:c r="W906" s="9" t="n">
        <x:f>IF(Dashboard!$I$6="Flat %",G906*(1+Dashboard!$L$6),H906)</x:f>
        <x:v>49.05</x:v>
      </x:c>
      <x:c r="X906" s="9" t="n">
        <x:f>IF(V906=1,R906*(W906-G906),"n.a.")</x:f>
        <x:v>2114.7362209445573</x:v>
      </x:c>
      <x:c r="Y906" s="9" t="n">
        <x:f>IF(V906=1,R906*W906,"n.a.")</x:f>
        <x:v>12696.182574948665</x:v>
      </x:c>
      <x:c r="Z906" s="1" t="n">
        <x:f>IF(ISNUMBER(T906),R906-T906,"n.a.")</x:f>
        <x:v>120</x:v>
      </x:c>
      <x:c r="AA906" s="1" t="str">
        <x:f>'Inventory inputs'!R906</x:f>
        <x:v>Classified</x:v>
      </x:c>
      <x:c r="AB906" s="1" t="n">
        <x:f>IF(L906=1,SUMIFS('Incoming POs'!$P$2:$P$305,'Incoming POs'!$A$2:$A$305,A906,'Incoming POs'!$B$2:$B$305,B906,'Incoming POs'!$C$2:$C$305,C906,'Incoming POs'!$G$2:$G$305,"&gt;="&amp;D906,'Incoming POs'!$G$2:$G$305,"&lt;"&amp;Dashboard!$I$5,'Incoming POs'!$Q$2:$Q$305,"&lt;="&amp;('Inventory inputs'!P906/'Inventory inputs'!J906*1.01)),"n.a.")</x:f>
        <x:v>0</x:v>
      </x:c>
      <x:c r="AC906" s="9" t="n">
        <x:f>I906*G906</x:f>
        <x:v>6459.04</x:v>
      </x:c>
      <x:c r="AD906" s="9" t="n">
        <x:f>J906*G906</x:f>
        <x:v>0</x:v>
      </x:c>
      <x:c r="AE906" s="9" t="n">
        <x:f>K906*G906</x:f>
        <x:v>0</x:v>
      </x:c>
      <x:c r="AF906" s="9" t="n">
        <x:f>R906*G906</x:f>
        <x:v>10581.446354004107</x:v>
      </x:c>
    </x:row>
    <x:row r="907" ht="21" customHeight="1">
      <x:c r="A907" s="1" t="str">
        <x:f>'Inventory inputs'!A907</x:f>
        <x:v>FILM</x:v>
      </x:c>
      <x:c r="B907" s="1" t="str">
        <x:f>'Inventory inputs'!B907</x:f>
        <x:v>10</x:v>
      </x:c>
      <x:c r="C907" s="1" t="str">
        <x:f>'Inventory inputs'!C907</x:f>
        <x:v>1850015C1</x:v>
      </x:c>
      <x:c r="D907" s="7" t="n">
        <x:f>'Inventory inputs'!E907</x:f>
        <x:v>46304</x:v>
      </x:c>
      <x:c r="E907" s="1" t="n">
        <x:f>'Inventory inputs'!F907</x:f>
        <x:v>307</x:v>
      </x:c>
      <x:c r="F907" s="1" t="n">
        <x:f>'Inventory inputs'!G907</x:f>
        <x:v>14.5</x:v>
      </x:c>
      <x:c r="G907" s="1" t="n">
        <x:f>'Inventory inputs'!H907/'Inventory inputs'!J907</x:f>
        <x:v>9.72</x:v>
      </x:c>
      <x:c r="H907" s="1" t="n">
        <x:f>IF('Inventory inputs'!I907&gt;0,'Inventory inputs'!I907*'Inventory inputs'!K907/'Inventory inputs'!J907,"n.a.")</x:f>
        <x:v>11.66</x:v>
      </x:c>
      <x:c r="I907" s="1" t="n">
        <x:f>'Inventory inputs'!L907</x:f>
        <x:v>187</x:v>
      </x:c>
      <x:c r="J907" s="1" t="n">
        <x:f>'Inventory inputs'!M907</x:f>
        <x:v>120</x:v>
      </x:c>
      <x:c r="K907" s="1" t="n">
        <x:f>'Inventory inputs'!N907</x:f>
        <x:v>0</x:v>
      </x:c>
      <x:c r="L907" s="1" t="n">
        <x:f>'Inventory inputs'!O907</x:f>
        <x:v>1</x:v>
      </x:c>
      <x:c r="M907" s="9" t="n">
        <x:f>E907*G907</x:f>
        <x:v>2984.0400000000004</x:v>
      </x:c>
      <x:c r="N907" s="9" t="n">
        <x:f>'Inventory inputs'!Q907</x:f>
        <x:v>2984.0400000000004</x:v>
      </x:c>
      <x:c r="O907" s="9" t="n">
        <x:f>N907-M907</x:f>
        <x:v>0</x:v>
      </x:c>
      <x:c r="P907" s="1" t="n">
        <x:f>SUMIFS('Incoming POs'!$P$2:$P$305,'Incoming POs'!$A$2:$A$305,A907,'Incoming POs'!$B$2:$B$305,B907,'Incoming POs'!$C$2:$C$305,C907,'Incoming POs'!$G$2:$G$305,"&gt;="&amp;D907,'Incoming POs'!$G$2:$G$305,"&lt;"&amp;Dashboard!$I$5)</x:f>
        <x:v>0</x:v>
      </x:c>
      <x:c r="Q907" s="1" t="n">
        <x:f>F907*Dashboard!$L$5*MAX(0,Dashboard!$I$5-D907)/30.4375</x:f>
        <x:v>18.93634496919918</x:v>
      </x:c>
      <x:c r="R907" s="1" t="n">
        <x:f>MAX(0,E907+P907-Q907)</x:f>
        <x:v>288.0636550308008</x:v>
      </x:c>
      <x:c r="S907" s="1" t="n">
        <x:f>MAX(0,Q907-E907-P907)</x:f>
        <x:v>0</x:v>
      </x:c>
      <x:c r="T907" s="1" t="n">
        <x:f>IF(L907=1,MAX(0,I907+AB907-MIN(Q907,E907+P907)),"n.a.")</x:f>
        <x:v>168.06365503080082</x:v>
      </x:c>
      <x:c r="U907" s="9" t="n">
        <x:f>IF(ISNUMBER(T907),T907*G907,"n.a.")</x:f>
        <x:v>1633.578726899384</x:v>
      </x:c>
      <x:c r="V907" s="25" t="n">
        <x:f>IF(Dashboard!$I$6="Flat %",1,IF(ISNUMBER(H907),1,0))</x:f>
        <x:v>1</x:v>
      </x:c>
      <x:c r="W907" s="9" t="n">
        <x:f>IF(Dashboard!$I$6="Flat %",G907*(1+Dashboard!$L$6),H907)</x:f>
        <x:v>11.66</x:v>
      </x:c>
      <x:c r="X907" s="9" t="n">
        <x:f>IF(V907=1,R907*(W907-G907),"n.a.")</x:f>
        <x:v>558.8434907597534</x:v>
      </x:c>
      <x:c r="Y907" s="9" t="n">
        <x:f>IF(V907=1,R907*W907,"n.a.")</x:f>
        <x:v>3358.8222176591376</x:v>
      </x:c>
      <x:c r="Z907" s="1" t="n">
        <x:f>IF(ISNUMBER(T907),R907-T907,"n.a.")</x:f>
        <x:v>120</x:v>
      </x:c>
      <x:c r="AA907" s="1" t="str">
        <x:f>'Inventory inputs'!R907</x:f>
        <x:v>Classified</x:v>
      </x:c>
      <x:c r="AB907" s="1" t="n">
        <x:f>IF(L907=1,SUMIFS('Incoming POs'!$P$2:$P$305,'Incoming POs'!$A$2:$A$305,A907,'Incoming POs'!$B$2:$B$305,B907,'Incoming POs'!$C$2:$C$305,C907,'Incoming POs'!$G$2:$G$305,"&gt;="&amp;D907,'Incoming POs'!$G$2:$G$305,"&lt;"&amp;Dashboard!$I$5,'Incoming POs'!$Q$2:$Q$305,"&lt;="&amp;('Inventory inputs'!P907/'Inventory inputs'!J907*1.01)),"n.a.")</x:f>
        <x:v>0</x:v>
      </x:c>
      <x:c r="AC907" s="9" t="n">
        <x:f>I907*G907</x:f>
        <x:v>1817.64</x:v>
      </x:c>
      <x:c r="AD907" s="9" t="n">
        <x:f>J907*G907</x:f>
        <x:v>1166.4</x:v>
      </x:c>
      <x:c r="AE907" s="9" t="n">
        <x:f>K907*G907</x:f>
        <x:v>0</x:v>
      </x:c>
      <x:c r="AF907" s="9" t="n">
        <x:f>R907*G907</x:f>
        <x:v>2799.978726899384</x:v>
      </x:c>
    </x:row>
    <x:row r="908" ht="21" customHeight="1">
      <x:c r="A908" s="1" t="str">
        <x:f>'Inventory inputs'!A908</x:f>
        <x:v>FILM</x:v>
      </x:c>
      <x:c r="B908" s="1" t="str">
        <x:f>'Inventory inputs'!B908</x:f>
        <x:v>60</x:v>
      </x:c>
      <x:c r="C908" s="1" t="str">
        <x:f>'Inventory inputs'!C908</x:f>
        <x:v>122005C1</x:v>
      </x:c>
      <x:c r="D908" s="7" t="n">
        <x:f>'Inventory inputs'!E908</x:f>
        <x:v>46304</x:v>
      </x:c>
      <x:c r="E908" s="1" t="n">
        <x:f>'Inventory inputs'!F908</x:f>
        <x:v>53</x:v>
      </x:c>
      <x:c r="F908" s="1" t="n">
        <x:f>'Inventory inputs'!G908</x:f>
        <x:v>14.17</x:v>
      </x:c>
      <x:c r="G908" s="1" t="n">
        <x:f>'Inventory inputs'!H908/'Inventory inputs'!J908</x:f>
        <x:v>10.17</x:v>
      </x:c>
      <x:c r="H908" s="1" t="n">
        <x:f>IF('Inventory inputs'!I908&gt;0,'Inventory inputs'!I908*'Inventory inputs'!K908/'Inventory inputs'!J908,"n.a.")</x:f>
        <x:v>12.21</x:v>
      </x:c>
      <x:c r="I908" s="1" t="n">
        <x:f>'Inventory inputs'!L908</x:f>
        <x:v>53</x:v>
      </x:c>
      <x:c r="J908" s="1" t="n">
        <x:f>'Inventory inputs'!M908</x:f>
        <x:v>0</x:v>
      </x:c>
      <x:c r="K908" s="1" t="n">
        <x:f>'Inventory inputs'!N908</x:f>
        <x:v>0</x:v>
      </x:c>
      <x:c r="L908" s="1" t="n">
        <x:f>'Inventory inputs'!O908</x:f>
        <x:v>1</x:v>
      </x:c>
      <x:c r="M908" s="9" t="n">
        <x:f>E908*G908</x:f>
        <x:v>539.01</x:v>
      </x:c>
      <x:c r="N908" s="9" t="n">
        <x:f>'Inventory inputs'!Q908</x:f>
        <x:v>539.01</x:v>
      </x:c>
      <x:c r="O908" s="9" t="n">
        <x:f>N908-M908</x:f>
        <x:v>0</x:v>
      </x:c>
      <x:c r="P908" s="1" t="n">
        <x:f>SUMIFS('Incoming POs'!$P$2:$P$305,'Incoming POs'!$A$2:$A$305,A908,'Incoming POs'!$B$2:$B$305,B908,'Incoming POs'!$C$2:$C$305,C908,'Incoming POs'!$G$2:$G$305,"&gt;="&amp;D908,'Incoming POs'!$G$2:$G$305,"&lt;"&amp;Dashboard!$I$5)</x:f>
        <x:v>0</x:v>
      </x:c>
      <x:c r="Q908" s="1" t="n">
        <x:f>F908*Dashboard!$L$5*MAX(0,Dashboard!$I$5-D908)/30.4375</x:f>
        <x:v>18.505379876796713</x:v>
      </x:c>
      <x:c r="R908" s="1" t="n">
        <x:f>MAX(0,E908+P908-Q908)</x:f>
        <x:v>34.49462012320329</x:v>
      </x:c>
      <x:c r="S908" s="1" t="n">
        <x:f>MAX(0,Q908-E908-P908)</x:f>
        <x:v>0</x:v>
      </x:c>
      <x:c r="T908" s="1" t="n">
        <x:f>IF(L908=1,MAX(0,I908+AB908-MIN(Q908,E908+P908)),"n.a.")</x:f>
        <x:v>34.49462012320329</x:v>
      </x:c>
      <x:c r="U908" s="9" t="n">
        <x:f>IF(ISNUMBER(T908),T908*G908,"n.a.")</x:f>
        <x:v>350.8102866529775</x:v>
      </x:c>
      <x:c r="V908" s="25" t="n">
        <x:f>IF(Dashboard!$I$6="Flat %",1,IF(ISNUMBER(H908),1,0))</x:f>
        <x:v>1</x:v>
      </x:c>
      <x:c r="W908" s="9" t="n">
        <x:f>IF(Dashboard!$I$6="Flat %",G908*(1+Dashboard!$L$6),H908)</x:f>
        <x:v>12.21</x:v>
      </x:c>
      <x:c r="X908" s="9" t="n">
        <x:f>IF(V908=1,R908*(W908-G908),"n.a.")</x:f>
        <x:v>70.36902505133475</x:v>
      </x:c>
      <x:c r="Y908" s="9" t="n">
        <x:f>IF(V908=1,R908*W908,"n.a.")</x:f>
        <x:v>421.1793117043122</x:v>
      </x:c>
      <x:c r="Z908" s="1" t="n">
        <x:f>IF(ISNUMBER(T908),R908-T908,"n.a.")</x:f>
        <x:v>0</x:v>
      </x:c>
      <x:c r="AA908" s="1" t="str">
        <x:f>'Inventory inputs'!R908</x:f>
        <x:v>Classified</x:v>
      </x:c>
      <x:c r="AB908" s="1" t="n">
        <x:f>IF(L908=1,SUMIFS('Incoming POs'!$P$2:$P$305,'Incoming POs'!$A$2:$A$305,A908,'Incoming POs'!$B$2:$B$305,B908,'Incoming POs'!$C$2:$C$305,C908,'Incoming POs'!$G$2:$G$305,"&gt;="&amp;D908,'Incoming POs'!$G$2:$G$305,"&lt;"&amp;Dashboard!$I$5,'Incoming POs'!$Q$2:$Q$305,"&lt;="&amp;('Inventory inputs'!P908/'Inventory inputs'!J908*1.01)),"n.a.")</x:f>
        <x:v>0</x:v>
      </x:c>
      <x:c r="AC908" s="9" t="n">
        <x:f>I908*G908</x:f>
        <x:v>539.01</x:v>
      </x:c>
      <x:c r="AD908" s="9" t="n">
        <x:f>J908*G908</x:f>
        <x:v>0</x:v>
      </x:c>
      <x:c r="AE908" s="9" t="n">
        <x:f>K908*G908</x:f>
        <x:v>0</x:v>
      </x:c>
      <x:c r="AF908" s="9" t="n">
        <x:f>R908*G908</x:f>
        <x:v>350.8102866529775</x:v>
      </x:c>
    </x:row>
    <x:row r="909" ht="21" customHeight="1">
      <x:c r="A909" s="1" t="str">
        <x:f>'Inventory inputs'!A909</x:f>
        <x:v>FILM</x:v>
      </x:c>
      <x:c r="B909" s="1" t="str">
        <x:f>'Inventory inputs'!B909</x:f>
        <x:v>10</x:v>
      </x:c>
      <x:c r="C909" s="1" t="str">
        <x:f>'Inventory inputs'!C909</x:f>
        <x:v>PR122503C1</x:v>
      </x:c>
      <x:c r="D909" s="7" t="n">
        <x:f>'Inventory inputs'!E909</x:f>
        <x:v>46304</x:v>
      </x:c>
      <x:c r="E909" s="1" t="n">
        <x:f>'Inventory inputs'!F909</x:f>
        <x:v>96</x:v>
      </x:c>
      <x:c r="F909" s="1" t="n">
        <x:f>'Inventory inputs'!G909</x:f>
        <x:v>14</x:v>
      </x:c>
      <x:c r="G909" s="1" t="n">
        <x:f>'Inventory inputs'!H909/'Inventory inputs'!J909</x:f>
        <x:v>8.1</x:v>
      </x:c>
      <x:c r="H909" s="1" t="n">
        <x:f>IF('Inventory inputs'!I909&gt;0,'Inventory inputs'!I909*'Inventory inputs'!K909/'Inventory inputs'!J909,"n.a.")</x:f>
        <x:v>9.72</x:v>
      </x:c>
      <x:c r="I909" s="1" t="n">
        <x:f>'Inventory inputs'!L909</x:f>
        <x:v>96</x:v>
      </x:c>
      <x:c r="J909" s="1" t="n">
        <x:f>'Inventory inputs'!M909</x:f>
        <x:v>0</x:v>
      </x:c>
      <x:c r="K909" s="1" t="n">
        <x:f>'Inventory inputs'!N909</x:f>
        <x:v>0</x:v>
      </x:c>
      <x:c r="L909" s="1" t="n">
        <x:f>'Inventory inputs'!O909</x:f>
        <x:v>1</x:v>
      </x:c>
      <x:c r="M909" s="9" t="n">
        <x:f>E909*G909</x:f>
        <x:v>777.5999999999999</x:v>
      </x:c>
      <x:c r="N909" s="9" t="n">
        <x:f>'Inventory inputs'!Q909</x:f>
        <x:v>777.5999999999999</x:v>
      </x:c>
      <x:c r="O909" s="9" t="n">
        <x:f>N909-M909</x:f>
        <x:v>0</x:v>
      </x:c>
      <x:c r="P909" s="1" t="n">
        <x:f>SUMIFS('Incoming POs'!$P$2:$P$305,'Incoming POs'!$A$2:$A$305,A909,'Incoming POs'!$B$2:$B$305,B909,'Incoming POs'!$C$2:$C$305,C909,'Incoming POs'!$G$2:$G$305,"&gt;="&amp;D909,'Incoming POs'!$G$2:$G$305,"&lt;"&amp;Dashboard!$I$5)</x:f>
        <x:v>120</x:v>
      </x:c>
      <x:c r="Q909" s="1" t="n">
        <x:f>F909*Dashboard!$L$5*MAX(0,Dashboard!$I$5-D909)/30.4375</x:f>
        <x:v>18.28336755646817</x:v>
      </x:c>
      <x:c r="R909" s="1" t="n">
        <x:f>MAX(0,E909+P909-Q909)</x:f>
        <x:v>197.71663244353184</x:v>
      </x:c>
      <x:c r="S909" s="1" t="n">
        <x:f>MAX(0,Q909-E909-P909)</x:f>
        <x:v>0</x:v>
      </x:c>
      <x:c r="T909" s="1" t="n">
        <x:f>IF(L909=1,MAX(0,I909+AB909-MIN(Q909,E909+P909)),"n.a.")</x:f>
        <x:v>77.71663244353184</x:v>
      </x:c>
      <x:c r="U909" s="9" t="n">
        <x:f>IF(ISNUMBER(T909),T909*G909,"n.a.")</x:f>
        <x:v>629.5047227926078</x:v>
      </x:c>
      <x:c r="V909" s="25" t="n">
        <x:f>IF(Dashboard!$I$6="Flat %",1,IF(ISNUMBER(H909),1,0))</x:f>
        <x:v>1</x:v>
      </x:c>
      <x:c r="W909" s="9" t="n">
        <x:f>IF(Dashboard!$I$6="Flat %",G909*(1+Dashboard!$L$6),H909)</x:f>
        <x:v>9.72</x:v>
      </x:c>
      <x:c r="X909" s="9" t="n">
        <x:f>IF(V909=1,R909*(W909-G909),"n.a.")</x:f>
        <x:v>320.3009445585218</x:v>
      </x:c>
      <x:c r="Y909" s="9" t="n">
        <x:f>IF(V909=1,R909*W909,"n.a.")</x:f>
        <x:v>1921.8056673511296</x:v>
      </x:c>
      <x:c r="Z909" s="1" t="n">
        <x:f>IF(ISNUMBER(T909),R909-T909,"n.a.")</x:f>
        <x:v>120</x:v>
      </x:c>
      <x:c r="AA909" s="1" t="str">
        <x:f>'Inventory inputs'!R909</x:f>
        <x:v>Classified</x:v>
      </x:c>
      <x:c r="AB909" s="1" t="n">
        <x:f>IF(L909=1,SUMIFS('Incoming POs'!$P$2:$P$305,'Incoming POs'!$A$2:$A$305,A909,'Incoming POs'!$B$2:$B$305,B909,'Incoming POs'!$C$2:$C$305,C909,'Incoming POs'!$G$2:$G$305,"&gt;="&amp;D909,'Incoming POs'!$G$2:$G$305,"&lt;"&amp;Dashboard!$I$5,'Incoming POs'!$Q$2:$Q$305,"&lt;="&amp;('Inventory inputs'!P909/'Inventory inputs'!J909*1.01)),"n.a.")</x:f>
        <x:v>0</x:v>
      </x:c>
      <x:c r="AC909" s="9" t="n">
        <x:f>I909*G909</x:f>
        <x:v>777.5999999999999</x:v>
      </x:c>
      <x:c r="AD909" s="9" t="n">
        <x:f>J909*G909</x:f>
        <x:v>0</x:v>
      </x:c>
      <x:c r="AE909" s="9" t="n">
        <x:f>K909*G909</x:f>
        <x:v>0</x:v>
      </x:c>
      <x:c r="AF909" s="9" t="n">
        <x:f>R909*G909</x:f>
        <x:v>1601.5047227926077</x:v>
      </x:c>
    </x:row>
    <x:row r="910" ht="21" customHeight="1">
      <x:c r="A910" s="1" t="str">
        <x:f>'Inventory inputs'!A910</x:f>
        <x:v>FILM</x:v>
      </x:c>
      <x:c r="B910" s="1" t="str">
        <x:f>'Inventory inputs'!B910</x:f>
        <x:v>10</x:v>
      </x:c>
      <x:c r="C910" s="1" t="str">
        <x:f>'Inventory inputs'!C910</x:f>
        <x:v>2510010C1</x:v>
      </x:c>
      <x:c r="D910" s="7" t="n">
        <x:f>'Inventory inputs'!E910</x:f>
        <x:v>46304</x:v>
      </x:c>
      <x:c r="E910" s="1" t="n">
        <x:f>'Inventory inputs'!F910</x:f>
        <x:v>1</x:v>
      </x:c>
      <x:c r="F910" s="1" t="n">
        <x:f>'Inventory inputs'!G910</x:f>
        <x:v>13.33</x:v>
      </x:c>
      <x:c r="G910" s="1" t="n">
        <x:f>'Inventory inputs'!H910/'Inventory inputs'!J910</x:f>
        <x:v>23.7</x:v>
      </x:c>
      <x:c r="H910" s="1" t="n">
        <x:f>IF('Inventory inputs'!I910&gt;0,'Inventory inputs'!I910*'Inventory inputs'!K910/'Inventory inputs'!J910,"n.a.")</x:f>
        <x:v>28.44</x:v>
      </x:c>
      <x:c r="I910" s="1" t="n">
        <x:f>'Inventory inputs'!L910</x:f>
        <x:v>1</x:v>
      </x:c>
      <x:c r="J910" s="1" t="n">
        <x:f>'Inventory inputs'!M910</x:f>
        <x:v>0</x:v>
      </x:c>
      <x:c r="K910" s="1" t="n">
        <x:f>'Inventory inputs'!N910</x:f>
        <x:v>0</x:v>
      </x:c>
      <x:c r="L910" s="1" t="n">
        <x:f>'Inventory inputs'!O910</x:f>
        <x:v>1</x:v>
      </x:c>
      <x:c r="M910" s="9" t="n">
        <x:f>E910*G910</x:f>
        <x:v>23.7</x:v>
      </x:c>
      <x:c r="N910" s="9" t="n">
        <x:f>'Inventory inputs'!Q910</x:f>
        <x:v>23.7</x:v>
      </x:c>
      <x:c r="O910" s="9" t="n">
        <x:f>N910-M910</x:f>
        <x:v>0</x:v>
      </x:c>
      <x:c r="P910" s="1" t="n">
        <x:f>SUMIFS('Incoming POs'!$P$2:$P$305,'Incoming POs'!$A$2:$A$305,A910,'Incoming POs'!$B$2:$B$305,B910,'Incoming POs'!$C$2:$C$305,C910,'Incoming POs'!$G$2:$G$305,"&gt;="&amp;D910,'Incoming POs'!$G$2:$G$305,"&lt;"&amp;Dashboard!$I$5)</x:f>
        <x:v>72</x:v>
      </x:c>
      <x:c r="Q910" s="1" t="n">
        <x:f>F910*Dashboard!$L$5*MAX(0,Dashboard!$I$5-D910)/30.4375</x:f>
        <x:v>17.408377823408625</x:v>
      </x:c>
      <x:c r="R910" s="1" t="n">
        <x:f>MAX(0,E910+P910-Q910)</x:f>
        <x:v>55.59162217659137</x:v>
      </x:c>
      <x:c r="S910" s="1" t="n">
        <x:f>MAX(0,Q910-E910-P910)</x:f>
        <x:v>0</x:v>
      </x:c>
      <x:c r="T910" s="1" t="n">
        <x:f>IF(L910=1,MAX(0,I910+AB910-MIN(Q910,E910+P910)),"n.a.")</x:f>
        <x:v>0</x:v>
      </x:c>
      <x:c r="U910" s="9" t="n">
        <x:f>IF(ISNUMBER(T910),T910*G910,"n.a.")</x:f>
        <x:v>0</x:v>
      </x:c>
      <x:c r="V910" s="25" t="n">
        <x:f>IF(Dashboard!$I$6="Flat %",1,IF(ISNUMBER(H910),1,0))</x:f>
        <x:v>1</x:v>
      </x:c>
      <x:c r="W910" s="9" t="n">
        <x:f>IF(Dashboard!$I$6="Flat %",G910*(1+Dashboard!$L$6),H910)</x:f>
        <x:v>28.44</x:v>
      </x:c>
      <x:c r="X910" s="9" t="n">
        <x:f>IF(V910=1,R910*(W910-G910),"n.a.")</x:f>
        <x:v>263.5042891170432</x:v>
      </x:c>
      <x:c r="Y910" s="9" t="n">
        <x:f>IF(V910=1,R910*W910,"n.a.")</x:f>
        <x:v>1581.0257347022587</x:v>
      </x:c>
      <x:c r="Z910" s="1" t="n">
        <x:f>IF(ISNUMBER(T910),R910-T910,"n.a.")</x:f>
        <x:v>55.59162217659137</x:v>
      </x:c>
      <x:c r="AA910" s="1" t="str">
        <x:f>'Inventory inputs'!R910</x:f>
        <x:v>Classified</x:v>
      </x:c>
      <x:c r="AB910" s="1" t="n">
        <x:f>IF(L910=1,SUMIFS('Incoming POs'!$P$2:$P$305,'Incoming POs'!$A$2:$A$305,A910,'Incoming POs'!$B$2:$B$305,B910,'Incoming POs'!$C$2:$C$305,C910,'Incoming POs'!$G$2:$G$305,"&gt;="&amp;D910,'Incoming POs'!$G$2:$G$305,"&lt;"&amp;Dashboard!$I$5,'Incoming POs'!$Q$2:$Q$305,"&lt;="&amp;('Inventory inputs'!P910/'Inventory inputs'!J910*1.01)),"n.a.")</x:f>
        <x:v>0</x:v>
      </x:c>
      <x:c r="AC910" s="9" t="n">
        <x:f>I910*G910</x:f>
        <x:v>23.7</x:v>
      </x:c>
      <x:c r="AD910" s="9" t="n">
        <x:f>J910*G910</x:f>
        <x:v>0</x:v>
      </x:c>
      <x:c r="AE910" s="9" t="n">
        <x:f>K910*G910</x:f>
        <x:v>0</x:v>
      </x:c>
      <x:c r="AF910" s="9" t="n">
        <x:f>R910*G910</x:f>
        <x:v>1317.5214455852154</x:v>
      </x:c>
    </x:row>
    <x:row r="911" ht="21" customHeight="1">
      <x:c r="A911" s="1" t="str">
        <x:f>'Inventory inputs'!A911</x:f>
        <x:v>FILM</x:v>
      </x:c>
      <x:c r="B911" s="1" t="str">
        <x:f>'Inventory inputs'!B911</x:f>
        <x:v>30</x:v>
      </x:c>
      <x:c r="C911" s="1" t="str">
        <x:f>'Inventory inputs'!C911</x:f>
        <x:v>382005C3</x:v>
      </x:c>
      <x:c r="D911" s="7" t="n">
        <x:f>'Inventory inputs'!E911</x:f>
        <x:v>46304</x:v>
      </x:c>
      <x:c r="E911" s="1" t="n">
        <x:f>'Inventory inputs'!F911</x:f>
        <x:v>56</x:v>
      </x:c>
      <x:c r="F911" s="1" t="n">
        <x:f>'Inventory inputs'!G911</x:f>
        <x:v>12.33</x:v>
      </x:c>
      <x:c r="G911" s="1" t="n">
        <x:f>'Inventory inputs'!H911/'Inventory inputs'!J911</x:f>
        <x:v>32.19</x:v>
      </x:c>
      <x:c r="H911" s="1" t="n">
        <x:f>IF('Inventory inputs'!I911&gt;0,'Inventory inputs'!I911*'Inventory inputs'!K911/'Inventory inputs'!J911,"n.a.")</x:f>
        <x:v>38.67</x:v>
      </x:c>
      <x:c r="I911" s="1" t="n">
        <x:f>'Inventory inputs'!L911</x:f>
        <x:v>6</x:v>
      </x:c>
      <x:c r="J911" s="1" t="n">
        <x:f>'Inventory inputs'!M911</x:f>
        <x:v>50</x:v>
      </x:c>
      <x:c r="K911" s="1" t="n">
        <x:f>'Inventory inputs'!N911</x:f>
        <x:v>0</x:v>
      </x:c>
      <x:c r="L911" s="1" t="n">
        <x:f>'Inventory inputs'!O911</x:f>
        <x:v>1</x:v>
      </x:c>
      <x:c r="M911" s="9" t="n">
        <x:f>E911*G911</x:f>
        <x:v>1802.6399999999999</x:v>
      </x:c>
      <x:c r="N911" s="9" t="n">
        <x:f>'Inventory inputs'!Q911</x:f>
        <x:v>1834.83</x:v>
      </x:c>
      <x:c r="O911" s="9" t="n">
        <x:f>N911-M911</x:f>
        <x:v>32.190000000000055</x:v>
      </x:c>
      <x:c r="P911" s="1" t="n">
        <x:f>SUMIFS('Incoming POs'!$P$2:$P$305,'Incoming POs'!$A$2:$A$305,A911,'Incoming POs'!$B$2:$B$305,B911,'Incoming POs'!$C$2:$C$305,C911,'Incoming POs'!$G$2:$G$305,"&gt;="&amp;D911,'Incoming POs'!$G$2:$G$305,"&lt;"&amp;Dashboard!$I$5)</x:f>
        <x:v>25</x:v>
      </x:c>
      <x:c r="Q911" s="1" t="n">
        <x:f>F911*Dashboard!$L$5*MAX(0,Dashboard!$I$5-D911)/30.4375</x:f>
        <x:v>16.10242299794661</x:v>
      </x:c>
      <x:c r="R911" s="1" t="n">
        <x:f>MAX(0,E911+P911-Q911)</x:f>
        <x:v>64.8975770020534</x:v>
      </x:c>
      <x:c r="S911" s="1" t="n">
        <x:f>MAX(0,Q911-E911-P911)</x:f>
        <x:v>0</x:v>
      </x:c>
      <x:c r="T911" s="1" t="n">
        <x:f>IF(L911=1,MAX(0,I911+AB911-MIN(Q911,E911+P911)),"n.a.")</x:f>
        <x:v>0</x:v>
      </x:c>
      <x:c r="U911" s="9" t="n">
        <x:f>IF(ISNUMBER(T911),T911*G911,"n.a.")</x:f>
        <x:v>0</x:v>
      </x:c>
      <x:c r="V911" s="25" t="n">
        <x:f>IF(Dashboard!$I$6="Flat %",1,IF(ISNUMBER(H911),1,0))</x:f>
        <x:v>1</x:v>
      </x:c>
      <x:c r="W911" s="9" t="n">
        <x:f>IF(Dashboard!$I$6="Flat %",G911*(1+Dashboard!$L$6),H911)</x:f>
        <x:v>38.67</x:v>
      </x:c>
      <x:c r="X911" s="9" t="n">
        <x:f>IF(V911=1,R911*(W911-G911),"n.a.")</x:f>
        <x:v>420.53629897330626</x:v>
      </x:c>
      <x:c r="Y911" s="9" t="n">
        <x:f>IF(V911=1,R911*W911,"n.a.")</x:f>
        <x:v>2509.589302669405</x:v>
      </x:c>
      <x:c r="Z911" s="1" t="n">
        <x:f>IF(ISNUMBER(T911),R911-T911,"n.a.")</x:f>
        <x:v>64.8975770020534</x:v>
      </x:c>
      <x:c r="AA911" s="1" t="str">
        <x:f>'Inventory inputs'!R911</x:f>
        <x:v>Classified</x:v>
      </x:c>
      <x:c r="AB911" s="1" t="n">
        <x:f>IF(L911=1,SUMIFS('Incoming POs'!$P$2:$P$305,'Incoming POs'!$A$2:$A$305,A911,'Incoming POs'!$B$2:$B$305,B911,'Incoming POs'!$C$2:$C$305,C911,'Incoming POs'!$G$2:$G$305,"&gt;="&amp;D911,'Incoming POs'!$G$2:$G$305,"&lt;"&amp;Dashboard!$I$5,'Incoming POs'!$Q$2:$Q$305,"&lt;="&amp;('Inventory inputs'!P911/'Inventory inputs'!J911*1.01)),"n.a.")</x:f>
        <x:v>0</x:v>
      </x:c>
      <x:c r="AC911" s="9" t="n">
        <x:f>I911*G911</x:f>
        <x:v>193.14</x:v>
      </x:c>
      <x:c r="AD911" s="9" t="n">
        <x:f>J911*G911</x:f>
        <x:v>1609.5</x:v>
      </x:c>
      <x:c r="AE911" s="9" t="n">
        <x:f>K911*G911</x:f>
        <x:v>0</x:v>
      </x:c>
      <x:c r="AF911" s="9" t="n">
        <x:f>R911*G911</x:f>
        <x:v>2089.0530036960986</x:v>
      </x:c>
    </x:row>
    <x:row r="912" ht="21" customHeight="1">
      <x:c r="A912" s="1" t="str">
        <x:f>'Inventory inputs'!A912</x:f>
        <x:v>FILM</x:v>
      </x:c>
      <x:c r="B912" s="1" t="str">
        <x:f>'Inventory inputs'!B912</x:f>
        <x:v>30</x:v>
      </x:c>
      <x:c r="C912" s="1" t="str">
        <x:f>'Inventory inputs'!C912</x:f>
        <x:v>2550015C2</x:v>
      </x:c>
      <x:c r="D912" s="7" t="n">
        <x:f>'Inventory inputs'!E912</x:f>
        <x:v>46304</x:v>
      </x:c>
      <x:c r="E912" s="1" t="n">
        <x:f>'Inventory inputs'!F912</x:f>
        <x:v>8</x:v>
      </x:c>
      <x:c r="F912" s="1" t="n">
        <x:f>'Inventory inputs'!G912</x:f>
        <x:v>12.17</x:v>
      </x:c>
      <x:c r="G912" s="1" t="n">
        <x:f>'Inventory inputs'!H912/'Inventory inputs'!J912</x:f>
        <x:v>13.5</x:v>
      </x:c>
      <x:c r="H912" s="1" t="n">
        <x:f>IF('Inventory inputs'!I912&gt;0,'Inventory inputs'!I912*'Inventory inputs'!K912/'Inventory inputs'!J912,"n.a.")</x:f>
        <x:v>16.2</x:v>
      </x:c>
      <x:c r="I912" s="1" t="n">
        <x:f>'Inventory inputs'!L912</x:f>
        <x:v>8</x:v>
      </x:c>
      <x:c r="J912" s="1" t="n">
        <x:f>'Inventory inputs'!M912</x:f>
        <x:v>0</x:v>
      </x:c>
      <x:c r="K912" s="1" t="n">
        <x:f>'Inventory inputs'!N912</x:f>
        <x:v>0</x:v>
      </x:c>
      <x:c r="L912" s="1" t="n">
        <x:f>'Inventory inputs'!O912</x:f>
        <x:v>1</x:v>
      </x:c>
      <x:c r="M912" s="9" t="n">
        <x:f>E912*G912</x:f>
        <x:v>108</x:v>
      </x:c>
      <x:c r="N912" s="9" t="n">
        <x:f>'Inventory inputs'!Q912</x:f>
        <x:v>108</x:v>
      </x:c>
      <x:c r="O912" s="9" t="n">
        <x:f>N912-M912</x:f>
        <x:v>0</x:v>
      </x:c>
      <x:c r="P912" s="1" t="n">
        <x:f>SUMIFS('Incoming POs'!$P$2:$P$305,'Incoming POs'!$A$2:$A$305,A912,'Incoming POs'!$B$2:$B$305,B912,'Incoming POs'!$C$2:$C$305,C912,'Incoming POs'!$G$2:$G$305,"&gt;="&amp;D912,'Incoming POs'!$G$2:$G$305,"&lt;"&amp;Dashboard!$I$5)</x:f>
        <x:v>128</x:v>
      </x:c>
      <x:c r="Q912" s="1" t="n">
        <x:f>F912*Dashboard!$L$5*MAX(0,Dashboard!$I$5-D912)/30.4375</x:f>
        <x:v>15.89347022587269</x:v>
      </x:c>
      <x:c r="R912" s="1" t="n">
        <x:f>MAX(0,E912+P912-Q912)</x:f>
        <x:v>120.10652977412731</x:v>
      </x:c>
      <x:c r="S912" s="1" t="n">
        <x:f>MAX(0,Q912-E912-P912)</x:f>
        <x:v>0</x:v>
      </x:c>
      <x:c r="T912" s="1" t="n">
        <x:f>IF(L912=1,MAX(0,I912+AB912-MIN(Q912,E912+P912)),"n.a.")</x:f>
        <x:v>0</x:v>
      </x:c>
      <x:c r="U912" s="9" t="n">
        <x:f>IF(ISNUMBER(T912),T912*G912,"n.a.")</x:f>
        <x:v>0</x:v>
      </x:c>
      <x:c r="V912" s="25" t="n">
        <x:f>IF(Dashboard!$I$6="Flat %",1,IF(ISNUMBER(H912),1,0))</x:f>
        <x:v>1</x:v>
      </x:c>
      <x:c r="W912" s="9" t="n">
        <x:f>IF(Dashboard!$I$6="Flat %",G912*(1+Dashboard!$L$6),H912)</x:f>
        <x:v>16.2</x:v>
      </x:c>
      <x:c r="X912" s="9" t="n">
        <x:f>IF(V912=1,R912*(W912-G912),"n.a.")</x:f>
        <x:v>324.28763039014365</x:v>
      </x:c>
      <x:c r="Y912" s="9" t="n">
        <x:f>IF(V912=1,R912*W912,"n.a.")</x:f>
        <x:v>1945.7257823408622</x:v>
      </x:c>
      <x:c r="Z912" s="1" t="n">
        <x:f>IF(ISNUMBER(T912),R912-T912,"n.a.")</x:f>
        <x:v>120.10652977412731</x:v>
      </x:c>
      <x:c r="AA912" s="1" t="str">
        <x:f>'Inventory inputs'!R912</x:f>
        <x:v>Classified</x:v>
      </x:c>
      <x:c r="AB912" s="1" t="n">
        <x:f>IF(L912=1,SUMIFS('Incoming POs'!$P$2:$P$305,'Incoming POs'!$A$2:$A$305,A912,'Incoming POs'!$B$2:$B$305,B912,'Incoming POs'!$C$2:$C$305,C912,'Incoming POs'!$G$2:$G$305,"&gt;="&amp;D912,'Incoming POs'!$G$2:$G$305,"&lt;"&amp;Dashboard!$I$5,'Incoming POs'!$Q$2:$Q$305,"&lt;="&amp;('Inventory inputs'!P912/'Inventory inputs'!J912*1.01)),"n.a.")</x:f>
        <x:v>0</x:v>
      </x:c>
      <x:c r="AC912" s="9" t="n">
        <x:f>I912*G912</x:f>
        <x:v>108</x:v>
      </x:c>
      <x:c r="AD912" s="9" t="n">
        <x:f>J912*G912</x:f>
        <x:v>0</x:v>
      </x:c>
      <x:c r="AE912" s="9" t="n">
        <x:f>K912*G912</x:f>
        <x:v>0</x:v>
      </x:c>
      <x:c r="AF912" s="9" t="n">
        <x:f>R912*G912</x:f>
        <x:v>1621.4381519507187</x:v>
      </x:c>
    </x:row>
    <x:row r="913" ht="21" customHeight="1">
      <x:c r="A913" s="1" t="str">
        <x:f>'Inventory inputs'!A913</x:f>
        <x:v>FILM</x:v>
      </x:c>
      <x:c r="B913" s="1" t="str">
        <x:f>'Inventory inputs'!B913</x:f>
        <x:v>10</x:v>
      </x:c>
      <x:c r="C913" s="1" t="str">
        <x:f>'Inventory inputs'!C913</x:f>
        <x:v>2710010C1</x:v>
      </x:c>
      <x:c r="D913" s="7" t="n">
        <x:f>'Inventory inputs'!E913</x:f>
        <x:v>46304</x:v>
      </x:c>
      <x:c r="E913" s="1" t="n">
        <x:f>'Inventory inputs'!F913</x:f>
        <x:v>88</x:v>
      </x:c>
      <x:c r="F913" s="1" t="n">
        <x:f>'Inventory inputs'!G913</x:f>
        <x:v>12</x:v>
      </x:c>
      <x:c r="G913" s="1" t="n">
        <x:f>'Inventory inputs'!H913/'Inventory inputs'!J913</x:f>
        <x:v>25.6</x:v>
      </x:c>
      <x:c r="H913" s="1" t="n">
        <x:f>IF('Inventory inputs'!I913&gt;0,'Inventory inputs'!I913*'Inventory inputs'!K913/'Inventory inputs'!J913,"n.a.")</x:f>
        <x:v>30.72</x:v>
      </x:c>
      <x:c r="I913" s="1" t="n">
        <x:f>'Inventory inputs'!L913</x:f>
        <x:v>16</x:v>
      </x:c>
      <x:c r="J913" s="1" t="n">
        <x:f>'Inventory inputs'!M913</x:f>
        <x:v>72</x:v>
      </x:c>
      <x:c r="K913" s="1" t="n">
        <x:f>'Inventory inputs'!N913</x:f>
        <x:v>0</x:v>
      </x:c>
      <x:c r="L913" s="1" t="n">
        <x:f>'Inventory inputs'!O913</x:f>
        <x:v>1</x:v>
      </x:c>
      <x:c r="M913" s="9" t="n">
        <x:f>E913*G913</x:f>
        <x:v>2252.8</x:v>
      </x:c>
      <x:c r="N913" s="9" t="n">
        <x:f>'Inventory inputs'!Q913</x:f>
        <x:v>2252.8</x:v>
      </x:c>
      <x:c r="O913" s="9" t="n">
        <x:f>N913-M913</x:f>
        <x:v>0</x:v>
      </x:c>
      <x:c r="P913" s="1" t="n">
        <x:f>SUMIFS('Incoming POs'!$P$2:$P$305,'Incoming POs'!$A$2:$A$305,A913,'Incoming POs'!$B$2:$B$305,B913,'Incoming POs'!$C$2:$C$305,C913,'Incoming POs'!$G$2:$G$305,"&gt;="&amp;D913,'Incoming POs'!$G$2:$G$305,"&lt;"&amp;Dashboard!$I$5)</x:f>
        <x:v>0</x:v>
      </x:c>
      <x:c r="Q913" s="1" t="n">
        <x:f>F913*Dashboard!$L$5*MAX(0,Dashboard!$I$5-D913)/30.4375</x:f>
        <x:v>15.671457905544148</x:v>
      </x:c>
      <x:c r="R913" s="1" t="n">
        <x:f>MAX(0,E913+P913-Q913)</x:f>
        <x:v>72.32854209445586</x:v>
      </x:c>
      <x:c r="S913" s="1" t="n">
        <x:f>MAX(0,Q913-E913-P913)</x:f>
        <x:v>0</x:v>
      </x:c>
      <x:c r="T913" s="1" t="n">
        <x:f>IF(L913=1,MAX(0,I913+AB913-MIN(Q913,E913+P913)),"n.a.")</x:f>
        <x:v>0.3285420944558517</x:v>
      </x:c>
      <x:c r="U913" s="9" t="n">
        <x:f>IF(ISNUMBER(T913),T913*G913,"n.a.")</x:f>
        <x:v>8.410677618069803</x:v>
      </x:c>
      <x:c r="V913" s="25" t="n">
        <x:f>IF(Dashboard!$I$6="Flat %",1,IF(ISNUMBER(H913),1,0))</x:f>
        <x:v>1</x:v>
      </x:c>
      <x:c r="W913" s="9" t="n">
        <x:f>IF(Dashboard!$I$6="Flat %",G913*(1+Dashboard!$L$6),H913)</x:f>
        <x:v>30.72</x:v>
      </x:c>
      <x:c r="X913" s="9" t="n">
        <x:f>IF(V913=1,R913*(W913-G913),"n.a.")</x:f>
        <x:v>370.3221355236138</x:v>
      </x:c>
      <x:c r="Y913" s="9" t="n">
        <x:f>IF(V913=1,R913*W913,"n.a.")</x:f>
        <x:v>2221.9328131416837</x:v>
      </x:c>
      <x:c r="Z913" s="1" t="n">
        <x:f>IF(ISNUMBER(T913),R913-T913,"n.a.")</x:f>
        <x:v>72</x:v>
      </x:c>
      <x:c r="AA913" s="1" t="str">
        <x:f>'Inventory inputs'!R913</x:f>
        <x:v>Classified</x:v>
      </x:c>
      <x:c r="AB913" s="1" t="n">
        <x:f>IF(L913=1,SUMIFS('Incoming POs'!$P$2:$P$305,'Incoming POs'!$A$2:$A$305,A913,'Incoming POs'!$B$2:$B$305,B913,'Incoming POs'!$C$2:$C$305,C913,'Incoming POs'!$G$2:$G$305,"&gt;="&amp;D913,'Incoming POs'!$G$2:$G$305,"&lt;"&amp;Dashboard!$I$5,'Incoming POs'!$Q$2:$Q$305,"&lt;="&amp;('Inventory inputs'!P913/'Inventory inputs'!J913*1.01)),"n.a.")</x:f>
        <x:v>0</x:v>
      </x:c>
      <x:c r="AC913" s="9" t="n">
        <x:f>I913*G913</x:f>
        <x:v>409.6</x:v>
      </x:c>
      <x:c r="AD913" s="9" t="n">
        <x:f>J913*G913</x:f>
        <x:v>1843.2</x:v>
      </x:c>
      <x:c r="AE913" s="9" t="n">
        <x:f>K913*G913</x:f>
        <x:v>0</x:v>
      </x:c>
      <x:c r="AF913" s="9" t="n">
        <x:f>R913*G913</x:f>
        <x:v>1851.61067761807</x:v>
      </x:c>
    </x:row>
    <x:row r="914" ht="21" customHeight="1">
      <x:c r="A914" s="1" t="str">
        <x:f>'Inventory inputs'!A914</x:f>
        <x:v>FILM</x:v>
      </x:c>
      <x:c r="B914" s="1" t="str">
        <x:f>'Inventory inputs'!B914</x:f>
        <x:v>30</x:v>
      </x:c>
      <x:c r="C914" s="1" t="str">
        <x:f>'Inventory inputs'!C914</x:f>
        <x:v>2550017C1</x:v>
      </x:c>
      <x:c r="D914" s="7" t="n">
        <x:f>'Inventory inputs'!E914</x:f>
        <x:v>46304</x:v>
      </x:c>
      <x:c r="E914" s="1" t="n">
        <x:f>'Inventory inputs'!F914</x:f>
        <x:v>44</x:v>
      </x:c>
      <x:c r="F914" s="1" t="n">
        <x:f>'Inventory inputs'!G914</x:f>
        <x:v>11.33</x:v>
      </x:c>
      <x:c r="G914" s="1" t="n">
        <x:f>'Inventory inputs'!H914/'Inventory inputs'!J914</x:f>
        <x:v>19.35</x:v>
      </x:c>
      <x:c r="H914" s="1" t="n">
        <x:f>IF('Inventory inputs'!I914&gt;0,'Inventory inputs'!I914*'Inventory inputs'!K914/'Inventory inputs'!J914,"n.a.")</x:f>
        <x:v>23.35</x:v>
      </x:c>
      <x:c r="I914" s="1" t="n">
        <x:f>'Inventory inputs'!L914</x:f>
        <x:v>44</x:v>
      </x:c>
      <x:c r="J914" s="1" t="n">
        <x:f>'Inventory inputs'!M914</x:f>
        <x:v>0</x:v>
      </x:c>
      <x:c r="K914" s="1" t="n">
        <x:f>'Inventory inputs'!N914</x:f>
        <x:v>0</x:v>
      </x:c>
      <x:c r="L914" s="1" t="n">
        <x:f>'Inventory inputs'!O914</x:f>
        <x:v>1</x:v>
      </x:c>
      <x:c r="M914" s="9" t="n">
        <x:f>E914*G914</x:f>
        <x:v>851.4000000000001</x:v>
      </x:c>
      <x:c r="N914" s="9" t="n">
        <x:f>'Inventory inputs'!Q914</x:f>
        <x:v>851.4000000000001</x:v>
      </x:c>
      <x:c r="O914" s="9" t="n">
        <x:f>N914-M914</x:f>
        <x:v>0</x:v>
      </x:c>
      <x:c r="P914" s="1" t="n">
        <x:f>SUMIFS('Incoming POs'!$P$2:$P$305,'Incoming POs'!$A$2:$A$305,A914,'Incoming POs'!$B$2:$B$305,B914,'Incoming POs'!$C$2:$C$305,C914,'Incoming POs'!$G$2:$G$305,"&gt;="&amp;D914,'Incoming POs'!$G$2:$G$305,"&lt;"&amp;Dashboard!$I$5)</x:f>
        <x:v>0</x:v>
      </x:c>
      <x:c r="Q914" s="1" t="n">
        <x:f>F914*Dashboard!$L$5*MAX(0,Dashboard!$I$5-D914)/30.4375</x:f>
        <x:v>14.7964681724846</x:v>
      </x:c>
      <x:c r="R914" s="1" t="n">
        <x:f>MAX(0,E914+P914-Q914)</x:f>
        <x:v>29.2035318275154</x:v>
      </x:c>
      <x:c r="S914" s="1" t="n">
        <x:f>MAX(0,Q914-E914-P914)</x:f>
        <x:v>0</x:v>
      </x:c>
      <x:c r="T914" s="1" t="n">
        <x:f>IF(L914=1,MAX(0,I914+AB914-MIN(Q914,E914+P914)),"n.a.")</x:f>
        <x:v>29.2035318275154</x:v>
      </x:c>
      <x:c r="U914" s="9" t="n">
        <x:f>IF(ISNUMBER(T914),T914*G914,"n.a.")</x:f>
        <x:v>565.088340862423</x:v>
      </x:c>
      <x:c r="V914" s="25" t="n">
        <x:f>IF(Dashboard!$I$6="Flat %",1,IF(ISNUMBER(H914),1,0))</x:f>
        <x:v>1</x:v>
      </x:c>
      <x:c r="W914" s="9" t="n">
        <x:f>IF(Dashboard!$I$6="Flat %",G914*(1+Dashboard!$L$6),H914)</x:f>
        <x:v>23.35</x:v>
      </x:c>
      <x:c r="X914" s="9" t="n">
        <x:f>IF(V914=1,R914*(W914-G914),"n.a.")</x:f>
        <x:v>116.8141273100616</x:v>
      </x:c>
      <x:c r="Y914" s="9" t="n">
        <x:f>IF(V914=1,R914*W914,"n.a.")</x:f>
        <x:v>681.9024681724846</x:v>
      </x:c>
      <x:c r="Z914" s="1" t="n">
        <x:f>IF(ISNUMBER(T914),R914-T914,"n.a.")</x:f>
        <x:v>0</x:v>
      </x:c>
      <x:c r="AA914" s="1" t="str">
        <x:f>'Inventory inputs'!R914</x:f>
        <x:v>Classified</x:v>
      </x:c>
      <x:c r="AB914" s="1" t="n">
        <x:f>IF(L914=1,SUMIFS('Incoming POs'!$P$2:$P$305,'Incoming POs'!$A$2:$A$305,A914,'Incoming POs'!$B$2:$B$305,B914,'Incoming POs'!$C$2:$C$305,C914,'Incoming POs'!$G$2:$G$305,"&gt;="&amp;D914,'Incoming POs'!$G$2:$G$305,"&lt;"&amp;Dashboard!$I$5,'Incoming POs'!$Q$2:$Q$305,"&lt;="&amp;('Inventory inputs'!P914/'Inventory inputs'!J914*1.01)),"n.a.")</x:f>
        <x:v>0</x:v>
      </x:c>
      <x:c r="AC914" s="9" t="n">
        <x:f>I914*G914</x:f>
        <x:v>851.4000000000001</x:v>
      </x:c>
      <x:c r="AD914" s="9" t="n">
        <x:f>J914*G914</x:f>
        <x:v>0</x:v>
      </x:c>
      <x:c r="AE914" s="9" t="n">
        <x:f>K914*G914</x:f>
        <x:v>0</x:v>
      </x:c>
      <x:c r="AF914" s="9" t="n">
        <x:f>R914*G914</x:f>
        <x:v>565.088340862423</x:v>
      </x:c>
    </x:row>
    <x:row r="915" ht="21" customHeight="1">
      <x:c r="A915" s="1" t="str">
        <x:f>'Inventory inputs'!A915</x:f>
        <x:v>FILM</x:v>
      </x:c>
      <x:c r="B915" s="1" t="str">
        <x:f>'Inventory inputs'!B915</x:f>
        <x:v>60</x:v>
      </x:c>
      <x:c r="C915" s="1" t="str">
        <x:f>'Inventory inputs'!C915</x:f>
        <x:v>2510010C1</x:v>
      </x:c>
      <x:c r="D915" s="7" t="n">
        <x:f>'Inventory inputs'!E915</x:f>
        <x:v>46304</x:v>
      </x:c>
      <x:c r="E915" s="1" t="n">
        <x:f>'Inventory inputs'!F915</x:f>
        <x:v>55</x:v>
      </x:c>
      <x:c r="F915" s="1" t="n">
        <x:f>'Inventory inputs'!G915</x:f>
        <x:v>11.33</x:v>
      </x:c>
      <x:c r="G915" s="1" t="n">
        <x:f>'Inventory inputs'!H915/'Inventory inputs'!J915</x:f>
        <x:v>23.7</x:v>
      </x:c>
      <x:c r="H915" s="1" t="n">
        <x:f>IF('Inventory inputs'!I915&gt;0,'Inventory inputs'!I915*'Inventory inputs'!K915/'Inventory inputs'!J915,"n.a.")</x:f>
        <x:v>28.44</x:v>
      </x:c>
      <x:c r="I915" s="1" t="n">
        <x:f>'Inventory inputs'!L915</x:f>
        <x:v>0</x:v>
      </x:c>
      <x:c r="J915" s="1" t="n">
        <x:f>'Inventory inputs'!M915</x:f>
        <x:v>55</x:v>
      </x:c>
      <x:c r="K915" s="1" t="n">
        <x:f>'Inventory inputs'!N915</x:f>
        <x:v>0</x:v>
      </x:c>
      <x:c r="L915" s="1" t="n">
        <x:f>'Inventory inputs'!O915</x:f>
        <x:v>1</x:v>
      </x:c>
      <x:c r="M915" s="9" t="n">
        <x:f>E915*G915</x:f>
        <x:v>1303.5</x:v>
      </x:c>
      <x:c r="N915" s="9" t="n">
        <x:f>'Inventory inputs'!Q915</x:f>
        <x:v>1303.5</x:v>
      </x:c>
      <x:c r="O915" s="9" t="n">
        <x:f>N915-M915</x:f>
        <x:v>0</x:v>
      </x:c>
      <x:c r="P915" s="1" t="n">
        <x:f>SUMIFS('Incoming POs'!$P$2:$P$305,'Incoming POs'!$A$2:$A$305,A915,'Incoming POs'!$B$2:$B$305,B915,'Incoming POs'!$C$2:$C$305,C915,'Incoming POs'!$G$2:$G$305,"&gt;="&amp;D915,'Incoming POs'!$G$2:$G$305,"&lt;"&amp;Dashboard!$I$5)</x:f>
        <x:v>0</x:v>
      </x:c>
      <x:c r="Q915" s="1" t="n">
        <x:f>F915*Dashboard!$L$5*MAX(0,Dashboard!$I$5-D915)/30.4375</x:f>
        <x:v>14.7964681724846</x:v>
      </x:c>
      <x:c r="R915" s="1" t="n">
        <x:f>MAX(0,E915+P915-Q915)</x:f>
        <x:v>40.2035318275154</x:v>
      </x:c>
      <x:c r="S915" s="1" t="n">
        <x:f>MAX(0,Q915-E915-P915)</x:f>
        <x:v>0</x:v>
      </x:c>
      <x:c r="T915" s="1" t="n">
        <x:f>IF(L915=1,MAX(0,I915+AB915-MIN(Q915,E915+P915)),"n.a.")</x:f>
        <x:v>0</x:v>
      </x:c>
      <x:c r="U915" s="9" t="n">
        <x:f>IF(ISNUMBER(T915),T915*G915,"n.a.")</x:f>
        <x:v>0</x:v>
      </x:c>
      <x:c r="V915" s="25" t="n">
        <x:f>IF(Dashboard!$I$6="Flat %",1,IF(ISNUMBER(H915),1,0))</x:f>
        <x:v>1</x:v>
      </x:c>
      <x:c r="W915" s="9" t="n">
        <x:f>IF(Dashboard!$I$6="Flat %",G915*(1+Dashboard!$L$6),H915)</x:f>
        <x:v>28.44</x:v>
      </x:c>
      <x:c r="X915" s="9" t="n">
        <x:f>IF(V915=1,R915*(W915-G915),"n.a.")</x:f>
        <x:v>190.56474086242306</x:v>
      </x:c>
      <x:c r="Y915" s="9" t="n">
        <x:f>IF(V915=1,R915*W915,"n.a.")</x:f>
        <x:v>1143.388445174538</x:v>
      </x:c>
      <x:c r="Z915" s="1" t="n">
        <x:f>IF(ISNUMBER(T915),R915-T915,"n.a.")</x:f>
        <x:v>40.2035318275154</x:v>
      </x:c>
      <x:c r="AA915" s="1" t="str">
        <x:f>'Inventory inputs'!R915</x:f>
        <x:v>Classified</x:v>
      </x:c>
      <x:c r="AB915" s="1" t="n">
        <x:f>IF(L915=1,SUMIFS('Incoming POs'!$P$2:$P$305,'Incoming POs'!$A$2:$A$305,A915,'Incoming POs'!$B$2:$B$305,B915,'Incoming POs'!$C$2:$C$305,C915,'Incoming POs'!$G$2:$G$305,"&gt;="&amp;D915,'Incoming POs'!$G$2:$G$305,"&lt;"&amp;Dashboard!$I$5,'Incoming POs'!$Q$2:$Q$305,"&lt;="&amp;('Inventory inputs'!P915/'Inventory inputs'!J915*1.01)),"n.a.")</x:f>
        <x:v>0</x:v>
      </x:c>
      <x:c r="AC915" s="9" t="n">
        <x:f>I915*G915</x:f>
        <x:v>0</x:v>
      </x:c>
      <x:c r="AD915" s="9" t="n">
        <x:f>J915*G915</x:f>
        <x:v>1303.5</x:v>
      </x:c>
      <x:c r="AE915" s="9" t="n">
        <x:f>K915*G915</x:f>
        <x:v>0</x:v>
      </x:c>
      <x:c r="AF915" s="9" t="n">
        <x:f>R915*G915</x:f>
        <x:v>952.823704312115</x:v>
      </x:c>
    </x:row>
    <x:row r="916" ht="21" customHeight="1">
      <x:c r="A916" s="1" t="str">
        <x:f>'Inventory inputs'!A916</x:f>
        <x:v>FILM</x:v>
      </x:c>
      <x:c r="B916" s="1" t="str">
        <x:f>'Inventory inputs'!B916</x:f>
        <x:v>60</x:v>
      </x:c>
      <x:c r="C916" s="1" t="str">
        <x:f>'Inventory inputs'!C916</x:f>
        <x:v>1810010C1</x:v>
      </x:c>
      <x:c r="D916" s="7" t="n">
        <x:f>'Inventory inputs'!E916</x:f>
        <x:v>46304</x:v>
      </x:c>
      <x:c r="E916" s="1" t="n">
        <x:f>'Inventory inputs'!F916</x:f>
        <x:v>86</x:v>
      </x:c>
      <x:c r="F916" s="1" t="n">
        <x:f>'Inventory inputs'!G916</x:f>
        <x:v>10.83</x:v>
      </x:c>
      <x:c r="G916" s="1" t="n">
        <x:f>'Inventory inputs'!H916/'Inventory inputs'!J916</x:f>
        <x:v>17.06</x:v>
      </x:c>
      <x:c r="H916" s="1" t="n">
        <x:f>IF('Inventory inputs'!I916&gt;0,'Inventory inputs'!I916*'Inventory inputs'!K916/'Inventory inputs'!J916,"n.a.")</x:f>
        <x:v>20.47</x:v>
      </x:c>
      <x:c r="I916" s="1" t="n">
        <x:f>'Inventory inputs'!L916</x:f>
        <x:v>86</x:v>
      </x:c>
      <x:c r="J916" s="1" t="n">
        <x:f>'Inventory inputs'!M916</x:f>
        <x:v>0</x:v>
      </x:c>
      <x:c r="K916" s="1" t="n">
        <x:f>'Inventory inputs'!N916</x:f>
        <x:v>0</x:v>
      </x:c>
      <x:c r="L916" s="1" t="n">
        <x:f>'Inventory inputs'!O916</x:f>
        <x:v>1</x:v>
      </x:c>
      <x:c r="M916" s="9" t="n">
        <x:f>E916*G916</x:f>
        <x:v>1467.1599999999999</x:v>
      </x:c>
      <x:c r="N916" s="9" t="n">
        <x:f>'Inventory inputs'!Q916</x:f>
        <x:v>1467.1599999999999</x:v>
      </x:c>
      <x:c r="O916" s="9" t="n">
        <x:f>N916-M916</x:f>
        <x:v>0</x:v>
      </x:c>
      <x:c r="P916" s="1" t="n">
        <x:f>SUMIFS('Incoming POs'!$P$2:$P$305,'Incoming POs'!$A$2:$A$305,A916,'Incoming POs'!$B$2:$B$305,B916,'Incoming POs'!$C$2:$C$305,C916,'Incoming POs'!$G$2:$G$305,"&gt;="&amp;D916,'Incoming POs'!$G$2:$G$305,"&lt;"&amp;Dashboard!$I$5)</x:f>
        <x:v>0</x:v>
      </x:c>
      <x:c r="Q916" s="1" t="n">
        <x:f>F916*Dashboard!$L$5*MAX(0,Dashboard!$I$5-D916)/30.4375</x:f>
        <x:v>14.143490759753593</x:v>
      </x:c>
      <x:c r="R916" s="1" t="n">
        <x:f>MAX(0,E916+P916-Q916)</x:f>
        <x:v>71.85650924024641</x:v>
      </x:c>
      <x:c r="S916" s="1" t="n">
        <x:f>MAX(0,Q916-E916-P916)</x:f>
        <x:v>0</x:v>
      </x:c>
      <x:c r="T916" s="1" t="n">
        <x:f>IF(L916=1,MAX(0,I916+AB916-MIN(Q916,E916+P916)),"n.a.")</x:f>
        <x:v>71.85650924024641</x:v>
      </x:c>
      <x:c r="U916" s="9" t="n">
        <x:f>IF(ISNUMBER(T916),T916*G916,"n.a.")</x:f>
        <x:v>1225.8720476386036</x:v>
      </x:c>
      <x:c r="V916" s="25" t="n">
        <x:f>IF(Dashboard!$I$6="Flat %",1,IF(ISNUMBER(H916),1,0))</x:f>
        <x:v>1</x:v>
      </x:c>
      <x:c r="W916" s="9" t="n">
        <x:f>IF(Dashboard!$I$6="Flat %",G916*(1+Dashboard!$L$6),H916)</x:f>
        <x:v>20.47</x:v>
      </x:c>
      <x:c r="X916" s="9" t="n">
        <x:f>IF(V916=1,R916*(W916-G916),"n.a.")</x:f>
        <x:v>245.03069650924027</x:v>
      </x:c>
      <x:c r="Y916" s="9" t="n">
        <x:f>IF(V916=1,R916*W916,"n.a.")</x:f>
        <x:v>1470.902744147844</x:v>
      </x:c>
      <x:c r="Z916" s="1" t="n">
        <x:f>IF(ISNUMBER(T916),R916-T916,"n.a.")</x:f>
        <x:v>0</x:v>
      </x:c>
      <x:c r="AA916" s="1" t="str">
        <x:f>'Inventory inputs'!R916</x:f>
        <x:v>Classified</x:v>
      </x:c>
      <x:c r="AB916" s="1" t="n">
        <x:f>IF(L916=1,SUMIFS('Incoming POs'!$P$2:$P$305,'Incoming POs'!$A$2:$A$305,A916,'Incoming POs'!$B$2:$B$305,B916,'Incoming POs'!$C$2:$C$305,C916,'Incoming POs'!$G$2:$G$305,"&gt;="&amp;D916,'Incoming POs'!$G$2:$G$305,"&lt;"&amp;Dashboard!$I$5,'Incoming POs'!$Q$2:$Q$305,"&lt;="&amp;('Inventory inputs'!P916/'Inventory inputs'!J916*1.01)),"n.a.")</x:f>
        <x:v>0</x:v>
      </x:c>
      <x:c r="AC916" s="9" t="n">
        <x:f>I916*G916</x:f>
        <x:v>1467.1599999999999</x:v>
      </x:c>
      <x:c r="AD916" s="9" t="n">
        <x:f>J916*G916</x:f>
        <x:v>0</x:v>
      </x:c>
      <x:c r="AE916" s="9" t="n">
        <x:f>K916*G916</x:f>
        <x:v>0</x:v>
      </x:c>
      <x:c r="AF916" s="9" t="n">
        <x:f>R916*G916</x:f>
        <x:v>1225.8720476386036</x:v>
      </x:c>
    </x:row>
    <x:row r="917" ht="21" customHeight="1">
      <x:c r="A917" s="1" t="str">
        <x:f>'Inventory inputs'!A917</x:f>
        <x:v>FILM</x:v>
      </x:c>
      <x:c r="B917" s="1" t="str">
        <x:f>'Inventory inputs'!B917</x:f>
        <x:v>10</x:v>
      </x:c>
      <x:c r="C917" s="1" t="str">
        <x:f>'Inventory inputs'!C917</x:f>
        <x:v>1250010C3</x:v>
      </x:c>
      <x:c r="D917" s="7" t="n">
        <x:f>'Inventory inputs'!E917</x:f>
        <x:v>46304</x:v>
      </x:c>
      <x:c r="E917" s="1" t="n">
        <x:f>'Inventory inputs'!F917</x:f>
        <x:v>54</x:v>
      </x:c>
      <x:c r="F917" s="1" t="n">
        <x:f>'Inventory inputs'!G917</x:f>
        <x:v>10.67</x:v>
      </x:c>
      <x:c r="G917" s="1" t="n">
        <x:f>'Inventory inputs'!H917/'Inventory inputs'!J917</x:f>
        <x:v>56.88</x:v>
      </x:c>
      <x:c r="H917" s="1" t="n">
        <x:f>IF('Inventory inputs'!I917&gt;0,'Inventory inputs'!I917*'Inventory inputs'!K917/'Inventory inputs'!J917,"n.a.")</x:f>
        <x:v>68.26</x:v>
      </x:c>
      <x:c r="I917" s="1" t="n">
        <x:f>'Inventory inputs'!L917</x:f>
        <x:v>0</x:v>
      </x:c>
      <x:c r="J917" s="1" t="n">
        <x:f>'Inventory inputs'!M917</x:f>
        <x:v>54</x:v>
      </x:c>
      <x:c r="K917" s="1" t="n">
        <x:f>'Inventory inputs'!N917</x:f>
        <x:v>0</x:v>
      </x:c>
      <x:c r="L917" s="1" t="n">
        <x:f>'Inventory inputs'!O917</x:f>
        <x:v>1</x:v>
      </x:c>
      <x:c r="M917" s="9" t="n">
        <x:f>E917*G917</x:f>
        <x:v>3071.52</x:v>
      </x:c>
      <x:c r="N917" s="9" t="n">
        <x:f>'Inventory inputs'!Q917</x:f>
        <x:v>3071.52</x:v>
      </x:c>
      <x:c r="O917" s="9" t="n">
        <x:f>N917-M917</x:f>
        <x:v>0</x:v>
      </x:c>
      <x:c r="P917" s="1" t="n">
        <x:f>SUMIFS('Incoming POs'!$P$2:$P$305,'Incoming POs'!$A$2:$A$305,A917,'Incoming POs'!$B$2:$B$305,B917,'Incoming POs'!$C$2:$C$305,C917,'Incoming POs'!$G$2:$G$305,"&gt;="&amp;D917,'Incoming POs'!$G$2:$G$305,"&lt;"&amp;Dashboard!$I$5)</x:f>
        <x:v>16</x:v>
      </x:c>
      <x:c r="Q917" s="1" t="n">
        <x:f>F917*Dashboard!$L$5*MAX(0,Dashboard!$I$5-D917)/30.4375</x:f>
        <x:v>13.934537987679672</x:v>
      </x:c>
      <x:c r="R917" s="1" t="n">
        <x:f>MAX(0,E917+P917-Q917)</x:f>
        <x:v>56.065462012320324</x:v>
      </x:c>
      <x:c r="S917" s="1" t="n">
        <x:f>MAX(0,Q917-E917-P917)</x:f>
        <x:v>0</x:v>
      </x:c>
      <x:c r="T917" s="1" t="n">
        <x:f>IF(L917=1,MAX(0,I917+AB917-MIN(Q917,E917+P917)),"n.a.")</x:f>
        <x:v>0</x:v>
      </x:c>
      <x:c r="U917" s="9" t="n">
        <x:f>IF(ISNUMBER(T917),T917*G917,"n.a.")</x:f>
        <x:v>0</x:v>
      </x:c>
      <x:c r="V917" s="25" t="n">
        <x:f>IF(Dashboard!$I$6="Flat %",1,IF(ISNUMBER(H917),1,0))</x:f>
        <x:v>1</x:v>
      </x:c>
      <x:c r="W917" s="9" t="n">
        <x:f>IF(Dashboard!$I$6="Flat %",G917*(1+Dashboard!$L$6),H917)</x:f>
        <x:v>68.26</x:v>
      </x:c>
      <x:c r="X917" s="9" t="n">
        <x:f>IF(V917=1,R917*(W917-G917),"n.a.")</x:f>
        <x:v>638.0249577002054</x:v>
      </x:c>
      <x:c r="Y917" s="9" t="n">
        <x:f>IF(V917=1,R917*W917,"n.a.")</x:f>
        <x:v>3827.028436960986</x:v>
      </x:c>
      <x:c r="Z917" s="1" t="n">
        <x:f>IF(ISNUMBER(T917),R917-T917,"n.a.")</x:f>
        <x:v>56.065462012320324</x:v>
      </x:c>
      <x:c r="AA917" s="1" t="str">
        <x:f>'Inventory inputs'!R917</x:f>
        <x:v>Classified</x:v>
      </x:c>
      <x:c r="AB917" s="1" t="n">
        <x:f>IF(L917=1,SUMIFS('Incoming POs'!$P$2:$P$305,'Incoming POs'!$A$2:$A$305,A917,'Incoming POs'!$B$2:$B$305,B917,'Incoming POs'!$C$2:$C$305,C917,'Incoming POs'!$G$2:$G$305,"&gt;="&amp;D917,'Incoming POs'!$G$2:$G$305,"&lt;"&amp;Dashboard!$I$5,'Incoming POs'!$Q$2:$Q$305,"&lt;="&amp;('Inventory inputs'!P917/'Inventory inputs'!J917*1.01)),"n.a.")</x:f>
        <x:v>0</x:v>
      </x:c>
      <x:c r="AC917" s="9" t="n">
        <x:f>I917*G917</x:f>
        <x:v>0</x:v>
      </x:c>
      <x:c r="AD917" s="9" t="n">
        <x:f>J917*G917</x:f>
        <x:v>3071.52</x:v>
      </x:c>
      <x:c r="AE917" s="9" t="n">
        <x:f>K917*G917</x:f>
        <x:v>0</x:v>
      </x:c>
      <x:c r="AF917" s="9" t="n">
        <x:f>R917*G917</x:f>
        <x:v>3189.0034792607803</x:v>
      </x:c>
    </x:row>
    <x:row r="918" ht="21" customHeight="1">
      <x:c r="A918" s="1" t="str">
        <x:f>'Inventory inputs'!A918</x:f>
        <x:v>FILM</x:v>
      </x:c>
      <x:c r="B918" s="1" t="str">
        <x:f>'Inventory inputs'!B918</x:f>
        <x:v>60</x:v>
      </x:c>
      <x:c r="C918" s="1" t="str">
        <x:f>'Inventory inputs'!C918</x:f>
        <x:v>SG25500C1</x:v>
      </x:c>
      <x:c r="D918" s="7" t="n">
        <x:f>'Inventory inputs'!E918</x:f>
        <x:v>46304</x:v>
      </x:c>
      <x:c r="E918" s="1" t="n">
        <x:f>'Inventory inputs'!F918</x:f>
        <x:v>524</x:v>
      </x:c>
      <x:c r="F918" s="1" t="n">
        <x:f>'Inventory inputs'!G918</x:f>
        <x:v>10.33</x:v>
      </x:c>
      <x:c r="G918" s="1" t="n">
        <x:f>'Inventory inputs'!H918/'Inventory inputs'!J918</x:f>
        <x:v>12.3</x:v>
      </x:c>
      <x:c r="H918" s="1" t="n">
        <x:f>IF('Inventory inputs'!I918&gt;0,'Inventory inputs'!I918*'Inventory inputs'!K918/'Inventory inputs'!J918,"n.a.")</x:f>
        <x:v>14.85</x:v>
      </x:c>
      <x:c r="I918" s="1" t="n">
        <x:f>'Inventory inputs'!L918</x:f>
        <x:v>524</x:v>
      </x:c>
      <x:c r="J918" s="1" t="n">
        <x:f>'Inventory inputs'!M918</x:f>
        <x:v>0</x:v>
      </x:c>
      <x:c r="K918" s="1" t="n">
        <x:f>'Inventory inputs'!N918</x:f>
        <x:v>0</x:v>
      </x:c>
      <x:c r="L918" s="1" t="n">
        <x:f>'Inventory inputs'!O918</x:f>
        <x:v>1</x:v>
      </x:c>
      <x:c r="M918" s="9" t="n">
        <x:f>E918*G918</x:f>
        <x:v>6445.200000000001</x:v>
      </x:c>
      <x:c r="N918" s="9" t="n">
        <x:f>'Inventory inputs'!Q918</x:f>
        <x:v>6445.200000000001</x:v>
      </x:c>
      <x:c r="O918" s="9" t="n">
        <x:f>N918-M918</x:f>
        <x:v>0</x:v>
      </x:c>
      <x:c r="P918" s="1" t="n">
        <x:f>SUMIFS('Incoming POs'!$P$2:$P$305,'Incoming POs'!$A$2:$A$305,A918,'Incoming POs'!$B$2:$B$305,B918,'Incoming POs'!$C$2:$C$305,C918,'Incoming POs'!$G$2:$G$305,"&gt;="&amp;D918,'Incoming POs'!$G$2:$G$305,"&lt;"&amp;Dashboard!$I$5)</x:f>
        <x:v>0</x:v>
      </x:c>
      <x:c r="Q918" s="1" t="n">
        <x:f>F918*Dashboard!$L$5*MAX(0,Dashboard!$I$5-D918)/30.4375</x:f>
        <x:v>13.490513347022587</x:v>
      </x:c>
      <x:c r="R918" s="1" t="n">
        <x:f>MAX(0,E918+P918-Q918)</x:f>
        <x:v>510.5094866529774</x:v>
      </x:c>
      <x:c r="S918" s="1" t="n">
        <x:f>MAX(0,Q918-E918-P918)</x:f>
        <x:v>0</x:v>
      </x:c>
      <x:c r="T918" s="1" t="n">
        <x:f>IF(L918=1,MAX(0,I918+AB918-MIN(Q918,E918+P918)),"n.a.")</x:f>
        <x:v>510.5094866529774</x:v>
      </x:c>
      <x:c r="U918" s="9" t="n">
        <x:f>IF(ISNUMBER(T918),T918*G918,"n.a.")</x:f>
        <x:v>6279.266685831622</x:v>
      </x:c>
      <x:c r="V918" s="25" t="n">
        <x:f>IF(Dashboard!$I$6="Flat %",1,IF(ISNUMBER(H918),1,0))</x:f>
        <x:v>1</x:v>
      </x:c>
      <x:c r="W918" s="9" t="n">
        <x:f>IF(Dashboard!$I$6="Flat %",G918*(1+Dashboard!$L$6),H918)</x:f>
        <x:v>14.85</x:v>
      </x:c>
      <x:c r="X918" s="9" t="n">
        <x:f>IF(V918=1,R918*(W918-G918),"n.a.")</x:f>
        <x:v>1301.7991909650918</x:v>
      </x:c>
      <x:c r="Y918" s="9" t="n">
        <x:f>IF(V918=1,R918*W918,"n.a.")</x:f>
        <x:v>7581.065876796714</x:v>
      </x:c>
      <x:c r="Z918" s="1" t="n">
        <x:f>IF(ISNUMBER(T918),R918-T918,"n.a.")</x:f>
        <x:v>0</x:v>
      </x:c>
      <x:c r="AA918" s="1" t="str">
        <x:f>'Inventory inputs'!R918</x:f>
        <x:v>Classified</x:v>
      </x:c>
      <x:c r="AB918" s="1" t="n">
        <x:f>IF(L918=1,SUMIFS('Incoming POs'!$P$2:$P$305,'Incoming POs'!$A$2:$A$305,A918,'Incoming POs'!$B$2:$B$305,B918,'Incoming POs'!$C$2:$C$305,C918,'Incoming POs'!$G$2:$G$305,"&gt;="&amp;D918,'Incoming POs'!$G$2:$G$305,"&lt;"&amp;Dashboard!$I$5,'Incoming POs'!$Q$2:$Q$305,"&lt;="&amp;('Inventory inputs'!P918/'Inventory inputs'!J918*1.01)),"n.a.")</x:f>
        <x:v>0</x:v>
      </x:c>
      <x:c r="AC918" s="9" t="n">
        <x:f>I918*G918</x:f>
        <x:v>6445.200000000001</x:v>
      </x:c>
      <x:c r="AD918" s="9" t="n">
        <x:f>J918*G918</x:f>
        <x:v>0</x:v>
      </x:c>
      <x:c r="AE918" s="9" t="n">
        <x:f>K918*G918</x:f>
        <x:v>0</x:v>
      </x:c>
      <x:c r="AF918" s="9" t="n">
        <x:f>R918*G918</x:f>
        <x:v>6279.266685831622</x:v>
      </x:c>
    </x:row>
    <x:row r="919" ht="21" customHeight="1">
      <x:c r="A919" s="1" t="str">
        <x:f>'Inventory inputs'!A919</x:f>
        <x:v>FILM</x:v>
      </x:c>
      <x:c r="B919" s="1" t="str">
        <x:f>'Inventory inputs'!B919</x:f>
        <x:v>60</x:v>
      </x:c>
      <x:c r="C919" s="1" t="str">
        <x:f>'Inventory inputs'!C919</x:f>
        <x:v>2550017C1</x:v>
      </x:c>
      <x:c r="D919" s="7" t="n">
        <x:f>'Inventory inputs'!E919</x:f>
        <x:v>46304</x:v>
      </x:c>
      <x:c r="E919" s="1" t="n">
        <x:f>'Inventory inputs'!F919</x:f>
        <x:v>172</x:v>
      </x:c>
      <x:c r="F919" s="1" t="n">
        <x:f>'Inventory inputs'!G919</x:f>
        <x:v>9.83</x:v>
      </x:c>
      <x:c r="G919" s="1" t="n">
        <x:f>'Inventory inputs'!H919/'Inventory inputs'!J919</x:f>
        <x:v>19.35</x:v>
      </x:c>
      <x:c r="H919" s="1" t="n">
        <x:f>IF('Inventory inputs'!I919&gt;0,'Inventory inputs'!I919*'Inventory inputs'!K919/'Inventory inputs'!J919,"n.a.")</x:f>
        <x:v>23.35</x:v>
      </x:c>
      <x:c r="I919" s="1" t="n">
        <x:f>'Inventory inputs'!L919</x:f>
        <x:v>172</x:v>
      </x:c>
      <x:c r="J919" s="1" t="n">
        <x:f>'Inventory inputs'!M919</x:f>
        <x:v>0</x:v>
      </x:c>
      <x:c r="K919" s="1" t="n">
        <x:f>'Inventory inputs'!N919</x:f>
        <x:v>0</x:v>
      </x:c>
      <x:c r="L919" s="1" t="n">
        <x:f>'Inventory inputs'!O919</x:f>
        <x:v>1</x:v>
      </x:c>
      <x:c r="M919" s="9" t="n">
        <x:f>E919*G919</x:f>
        <x:v>3328.2000000000003</x:v>
      </x:c>
      <x:c r="N919" s="9" t="n">
        <x:f>'Inventory inputs'!Q919</x:f>
        <x:v>3328.2000000000003</x:v>
      </x:c>
      <x:c r="O919" s="9" t="n">
        <x:f>N919-M919</x:f>
        <x:v>0</x:v>
      </x:c>
      <x:c r="P919" s="1" t="n">
        <x:f>SUMIFS('Incoming POs'!$P$2:$P$305,'Incoming POs'!$A$2:$A$305,A919,'Incoming POs'!$B$2:$B$305,B919,'Incoming POs'!$C$2:$C$305,C919,'Incoming POs'!$G$2:$G$305,"&gt;="&amp;D919,'Incoming POs'!$G$2:$G$305,"&lt;"&amp;Dashboard!$I$5)</x:f>
        <x:v>0</x:v>
      </x:c>
      <x:c r="Q919" s="1" t="n">
        <x:f>F919*Dashboard!$L$5*MAX(0,Dashboard!$I$5-D919)/30.4375</x:f>
        <x:v>12.837535934291582</x:v>
      </x:c>
      <x:c r="R919" s="1" t="n">
        <x:f>MAX(0,E919+P919-Q919)</x:f>
        <x:v>159.1624640657084</x:v>
      </x:c>
      <x:c r="S919" s="1" t="n">
        <x:f>MAX(0,Q919-E919-P919)</x:f>
        <x:v>0</x:v>
      </x:c>
      <x:c r="T919" s="1" t="n">
        <x:f>IF(L919=1,MAX(0,I919+AB919-MIN(Q919,E919+P919)),"n.a.")</x:f>
        <x:v>159.1624640657084</x:v>
      </x:c>
      <x:c r="U919" s="9" t="n">
        <x:f>IF(ISNUMBER(T919),T919*G919,"n.a.")</x:f>
        <x:v>3079.793679671458</x:v>
      </x:c>
      <x:c r="V919" s="25" t="n">
        <x:f>IF(Dashboard!$I$6="Flat %",1,IF(ISNUMBER(H919),1,0))</x:f>
        <x:v>1</x:v>
      </x:c>
      <x:c r="W919" s="9" t="n">
        <x:f>IF(Dashboard!$I$6="Flat %",G919*(1+Dashboard!$L$6),H919)</x:f>
        <x:v>23.35</x:v>
      </x:c>
      <x:c r="X919" s="9" t="n">
        <x:f>IF(V919=1,R919*(W919-G919),"n.a.")</x:f>
        <x:v>636.6498562628336</x:v>
      </x:c>
      <x:c r="Y919" s="9" t="n">
        <x:f>IF(V919=1,R919*W919,"n.a.")</x:f>
        <x:v>3716.4435359342915</x:v>
      </x:c>
      <x:c r="Z919" s="1" t="n">
        <x:f>IF(ISNUMBER(T919),R919-T919,"n.a.")</x:f>
        <x:v>0</x:v>
      </x:c>
      <x:c r="AA919" s="1" t="str">
        <x:f>'Inventory inputs'!R919</x:f>
        <x:v>Classified</x:v>
      </x:c>
      <x:c r="AB919" s="1" t="n">
        <x:f>IF(L919=1,SUMIFS('Incoming POs'!$P$2:$P$305,'Incoming POs'!$A$2:$A$305,A919,'Incoming POs'!$B$2:$B$305,B919,'Incoming POs'!$C$2:$C$305,C919,'Incoming POs'!$G$2:$G$305,"&gt;="&amp;D919,'Incoming POs'!$G$2:$G$305,"&lt;"&amp;Dashboard!$I$5,'Incoming POs'!$Q$2:$Q$305,"&lt;="&amp;('Inventory inputs'!P919/'Inventory inputs'!J919*1.01)),"n.a.")</x:f>
        <x:v>0</x:v>
      </x:c>
      <x:c r="AC919" s="9" t="n">
        <x:f>I919*G919</x:f>
        <x:v>3328.2000000000003</x:v>
      </x:c>
      <x:c r="AD919" s="9" t="n">
        <x:f>J919*G919</x:f>
        <x:v>0</x:v>
      </x:c>
      <x:c r="AE919" s="9" t="n">
        <x:f>K919*G919</x:f>
        <x:v>0</x:v>
      </x:c>
      <x:c r="AF919" s="9" t="n">
        <x:f>R919*G919</x:f>
        <x:v>3079.793679671458</x:v>
      </x:c>
    </x:row>
    <x:row r="920" ht="21" customHeight="1">
      <x:c r="A920" s="1" t="str">
        <x:f>'Inventory inputs'!A920</x:f>
        <x:v>FILM</x:v>
      </x:c>
      <x:c r="B920" s="1" t="str">
        <x:f>'Inventory inputs'!B920</x:f>
        <x:v>10</x:v>
      </x:c>
      <x:c r="C920" s="1" t="str">
        <x:f>'Inventory inputs'!C920</x:f>
        <x:v>132005C1</x:v>
      </x:c>
      <x:c r="D920" s="7" t="n">
        <x:f>'Inventory inputs'!E920</x:f>
        <x:v>46304</x:v>
      </x:c>
      <x:c r="E920" s="1" t="n">
        <x:f>'Inventory inputs'!F920</x:f>
        <x:v>0</x:v>
      </x:c>
      <x:c r="F920" s="1" t="n">
        <x:f>'Inventory inputs'!G920</x:f>
        <x:v>9.67</x:v>
      </x:c>
      <x:c r="G920" s="1" t="n">
        <x:f>'Inventory inputs'!H920/'Inventory inputs'!J920</x:f>
        <x:v>7.61</x:v>
      </x:c>
      <x:c r="H920" s="1" t="str">
        <x:f>IF('Inventory inputs'!I920&gt;0,'Inventory inputs'!I920*'Inventory inputs'!K920/'Inventory inputs'!J920,"n.a.")</x:f>
        <x:v>n.a.</x:v>
      </x:c>
      <x:c r="I920" s="1" t="n">
        <x:f>'Inventory inputs'!L920</x:f>
        <x:v>0</x:v>
      </x:c>
      <x:c r="J920" s="1" t="n">
        <x:f>'Inventory inputs'!M920</x:f>
        <x:v>0</x:v>
      </x:c>
      <x:c r="K920" s="1" t="n">
        <x:f>'Inventory inputs'!N920</x:f>
        <x:v>0</x:v>
      </x:c>
      <x:c r="L920" s="1" t="n">
        <x:f>'Inventory inputs'!O920</x:f>
        <x:v>0</x:v>
      </x:c>
      <x:c r="M920" s="9" t="n">
        <x:f>E920*G920</x:f>
        <x:v>0</x:v>
      </x:c>
      <x:c r="N920" s="9" t="n">
        <x:f>'Inventory inputs'!Q920</x:f>
        <x:v>0</x:v>
      </x:c>
      <x:c r="O920" s="9" t="n">
        <x:f>N920-M920</x:f>
        <x:v>0</x:v>
      </x:c>
      <x:c r="P920" s="1" t="n">
        <x:f>SUMIFS('Incoming POs'!$P$2:$P$305,'Incoming POs'!$A$2:$A$305,A920,'Incoming POs'!$B$2:$B$305,B920,'Incoming POs'!$C$2:$C$305,C920,'Incoming POs'!$G$2:$G$305,"&gt;="&amp;D920,'Incoming POs'!$G$2:$G$305,"&lt;"&amp;Dashboard!$I$5)</x:f>
        <x:v>0</x:v>
      </x:c>
      <x:c r="Q920" s="1" t="n">
        <x:f>F920*Dashboard!$L$5*MAX(0,Dashboard!$I$5-D920)/30.4375</x:f>
        <x:v>12.628583162217659</x:v>
      </x:c>
      <x:c r="R920" s="1" t="n">
        <x:f>MAX(0,E920+P920-Q920)</x:f>
        <x:v>0</x:v>
      </x:c>
      <x:c r="S920" s="1" t="n">
        <x:f>MAX(0,Q920-E920-P920)</x:f>
        <x:v>12.628583162217659</x:v>
      </x:c>
      <x:c r="T920" s="1" t="str">
        <x:f>IF(L920=1,MAX(0,I920+AB920-MIN(Q920,E920+P920)),"n.a.")</x:f>
        <x:v>n.a.</x:v>
      </x:c>
      <x:c r="U920" s="9" t="str">
        <x:f>IF(ISNUMBER(T920),T920*G920,"n.a.")</x:f>
        <x:v>n.a.</x:v>
      </x:c>
      <x:c r="V920" s="25" t="n">
        <x:f>IF(Dashboard!$I$6="Flat %",1,IF(ISNUMBER(H920),1,0))</x:f>
        <x:v>0</x:v>
      </x:c>
      <x:c r="W920" s="9" t="str">
        <x:f>IF(Dashboard!$I$6="Flat %",G920*(1+Dashboard!$L$6),H920)</x:f>
        <x:v>n.a.</x:v>
      </x:c>
      <x:c r="X920" s="9" t="str">
        <x:f>IF(V920=1,R920*(W920-G920),"n.a.")</x:f>
        <x:v>n.a.</x:v>
      </x:c>
      <x:c r="Y920" s="9" t="str">
        <x:f>IF(V920=1,R920*W920,"n.a.")</x:f>
        <x:v>n.a.</x:v>
      </x:c>
      <x:c r="Z920" s="1" t="str">
        <x:f>IF(ISNUMBER(T920),R920-T920,"n.a.")</x:f>
        <x:v>n.a.</x:v>
      </x:c>
      <x:c r="AA920" s="1" t="str">
        <x:f>'Inventory inputs'!R920</x:f>
        <x:v>Review receipt reconciliation or original PO baseline</x:v>
      </x:c>
      <x:c r="AB920" s="1" t="str">
        <x:f>IF(L920=1,SUMIFS('Incoming POs'!$P$2:$P$305,'Incoming POs'!$A$2:$A$305,A920,'Incoming POs'!$B$2:$B$305,B920,'Incoming POs'!$C$2:$C$305,C920,'Incoming POs'!$G$2:$G$305,"&gt;="&amp;D920,'Incoming POs'!$G$2:$G$305,"&lt;"&amp;Dashboard!$I$5,'Incoming POs'!$Q$2:$Q$305,"&lt;="&amp;('Inventory inputs'!P920/'Inventory inputs'!J920*1.01)),"n.a.")</x:f>
        <x:v>n.a.</x:v>
      </x:c>
      <x:c r="AC920" s="9" t="n">
        <x:f>I920*G920</x:f>
        <x:v>0</x:v>
      </x:c>
      <x:c r="AD920" s="9" t="n">
        <x:f>J920*G920</x:f>
        <x:v>0</x:v>
      </x:c>
      <x:c r="AE920" s="9" t="n">
        <x:f>K920*G920</x:f>
        <x:v>0</x:v>
      </x:c>
      <x:c r="AF920" s="9" t="n">
        <x:f>R920*G920</x:f>
        <x:v>0</x:v>
      </x:c>
    </x:row>
    <x:row r="921" ht="21" customHeight="1">
      <x:c r="A921" s="1" t="str">
        <x:f>'Inventory inputs'!A921</x:f>
        <x:v>FILM</x:v>
      </x:c>
      <x:c r="B921" s="1" t="str">
        <x:f>'Inventory inputs'!B921</x:f>
        <x:v>10</x:v>
      </x:c>
      <x:c r="C921" s="1" t="str">
        <x:f>'Inventory inputs'!C921</x:f>
        <x:v>1810010C1</x:v>
      </x:c>
      <x:c r="D921" s="7" t="n">
        <x:f>'Inventory inputs'!E921</x:f>
        <x:v>46304</x:v>
      </x:c>
      <x:c r="E921" s="1" t="n">
        <x:f>'Inventory inputs'!F921</x:f>
        <x:v>80</x:v>
      </x:c>
      <x:c r="F921" s="1" t="n">
        <x:f>'Inventory inputs'!G921</x:f>
        <x:v>9.67</x:v>
      </x:c>
      <x:c r="G921" s="1" t="n">
        <x:f>'Inventory inputs'!H921/'Inventory inputs'!J921</x:f>
        <x:v>17.06</x:v>
      </x:c>
      <x:c r="H921" s="1" t="n">
        <x:f>IF('Inventory inputs'!I921&gt;0,'Inventory inputs'!I921*'Inventory inputs'!K921/'Inventory inputs'!J921,"n.a.")</x:f>
        <x:v>20.47</x:v>
      </x:c>
      <x:c r="I921" s="1" t="n">
        <x:f>'Inventory inputs'!L921</x:f>
        <x:v>80</x:v>
      </x:c>
      <x:c r="J921" s="1" t="n">
        <x:f>'Inventory inputs'!M921</x:f>
        <x:v>0</x:v>
      </x:c>
      <x:c r="K921" s="1" t="n">
        <x:f>'Inventory inputs'!N921</x:f>
        <x:v>0</x:v>
      </x:c>
      <x:c r="L921" s="1" t="n">
        <x:f>'Inventory inputs'!O921</x:f>
        <x:v>1</x:v>
      </x:c>
      <x:c r="M921" s="9" t="n">
        <x:f>E921*G921</x:f>
        <x:v>1364.8</x:v>
      </x:c>
      <x:c r="N921" s="9" t="n">
        <x:f>'Inventory inputs'!Q921</x:f>
        <x:v>1364.8</x:v>
      </x:c>
      <x:c r="O921" s="9" t="n">
        <x:f>N921-M921</x:f>
        <x:v>0</x:v>
      </x:c>
      <x:c r="P921" s="1" t="n">
        <x:f>SUMIFS('Incoming POs'!$P$2:$P$305,'Incoming POs'!$A$2:$A$305,A921,'Incoming POs'!$B$2:$B$305,B921,'Incoming POs'!$C$2:$C$305,C921,'Incoming POs'!$G$2:$G$305,"&gt;="&amp;D921,'Incoming POs'!$G$2:$G$305,"&lt;"&amp;Dashboard!$I$5)</x:f>
        <x:v>0</x:v>
      </x:c>
      <x:c r="Q921" s="1" t="n">
        <x:f>F921*Dashboard!$L$5*MAX(0,Dashboard!$I$5-D921)/30.4375</x:f>
        <x:v>12.628583162217659</x:v>
      </x:c>
      <x:c r="R921" s="1" t="n">
        <x:f>MAX(0,E921+P921-Q921)</x:f>
        <x:v>67.37141683778233</x:v>
      </x:c>
      <x:c r="S921" s="1" t="n">
        <x:f>MAX(0,Q921-E921-P921)</x:f>
        <x:v>0</x:v>
      </x:c>
      <x:c r="T921" s="1" t="n">
        <x:f>IF(L921=1,MAX(0,I921+AB921-MIN(Q921,E921+P921)),"n.a.")</x:f>
        <x:v>67.37141683778233</x:v>
      </x:c>
      <x:c r="U921" s="9" t="n">
        <x:f>IF(ISNUMBER(T921),T921*G921,"n.a.")</x:f>
        <x:v>1149.3563712525665</x:v>
      </x:c>
      <x:c r="V921" s="25" t="n">
        <x:f>IF(Dashboard!$I$6="Flat %",1,IF(ISNUMBER(H921),1,0))</x:f>
        <x:v>1</x:v>
      </x:c>
      <x:c r="W921" s="9" t="n">
        <x:f>IF(Dashboard!$I$6="Flat %",G921*(1+Dashboard!$L$6),H921)</x:f>
        <x:v>20.47</x:v>
      </x:c>
      <x:c r="X921" s="9" t="n">
        <x:f>IF(V921=1,R921*(W921-G921),"n.a.")</x:f>
        <x:v>229.73653141683778</x:v>
      </x:c>
      <x:c r="Y921" s="9" t="n">
        <x:f>IF(V921=1,R921*W921,"n.a.")</x:f>
        <x:v>1379.0929026694043</x:v>
      </x:c>
      <x:c r="Z921" s="1" t="n">
        <x:f>IF(ISNUMBER(T921),R921-T921,"n.a.")</x:f>
        <x:v>0</x:v>
      </x:c>
      <x:c r="AA921" s="1" t="str">
        <x:f>'Inventory inputs'!R921</x:f>
        <x:v>Classified</x:v>
      </x:c>
      <x:c r="AB921" s="1" t="n">
        <x:f>IF(L921=1,SUMIFS('Incoming POs'!$P$2:$P$305,'Incoming POs'!$A$2:$A$305,A921,'Incoming POs'!$B$2:$B$305,B921,'Incoming POs'!$C$2:$C$305,C921,'Incoming POs'!$G$2:$G$305,"&gt;="&amp;D921,'Incoming POs'!$G$2:$G$305,"&lt;"&amp;Dashboard!$I$5,'Incoming POs'!$Q$2:$Q$305,"&lt;="&amp;('Inventory inputs'!P921/'Inventory inputs'!J921*1.01)),"n.a.")</x:f>
        <x:v>0</x:v>
      </x:c>
      <x:c r="AC921" s="9" t="n">
        <x:f>I921*G921</x:f>
        <x:v>1364.8</x:v>
      </x:c>
      <x:c r="AD921" s="9" t="n">
        <x:f>J921*G921</x:f>
        <x:v>0</x:v>
      </x:c>
      <x:c r="AE921" s="9" t="n">
        <x:f>K921*G921</x:f>
        <x:v>0</x:v>
      </x:c>
      <x:c r="AF921" s="9" t="n">
        <x:f>R921*G921</x:f>
        <x:v>1149.3563712525665</x:v>
      </x:c>
    </x:row>
    <x:row r="922" ht="21" customHeight="1">
      <x:c r="A922" s="1" t="str">
        <x:f>'Inventory inputs'!A922</x:f>
        <x:v>FILM</x:v>
      </x:c>
      <x:c r="B922" s="1" t="str">
        <x:f>'Inventory inputs'!B922</x:f>
        <x:v>10</x:v>
      </x:c>
      <x:c r="C922" s="1" t="str">
        <x:f>'Inventory inputs'!C922</x:f>
        <x:v>ST252503M1</x:v>
      </x:c>
      <x:c r="D922" s="7" t="n">
        <x:f>'Inventory inputs'!E922</x:f>
        <x:v>46304</x:v>
      </x:c>
      <x:c r="E922" s="1" t="n">
        <x:f>'Inventory inputs'!F922</x:f>
        <x:v>75</x:v>
      </x:c>
      <x:c r="F922" s="1" t="n">
        <x:f>'Inventory inputs'!G922</x:f>
        <x:v>9.67</x:v>
      </x:c>
      <x:c r="G922" s="1" t="n">
        <x:f>'Inventory inputs'!H922/'Inventory inputs'!J922</x:f>
        <x:v>40.88</x:v>
      </x:c>
      <x:c r="H922" s="1" t="n">
        <x:f>IF('Inventory inputs'!I922&gt;0,'Inventory inputs'!I922*'Inventory inputs'!K922/'Inventory inputs'!J922,"n.a.")</x:f>
        <x:v>49.05</x:v>
      </x:c>
      <x:c r="I922" s="1" t="n">
        <x:f>'Inventory inputs'!L922</x:f>
        <x:v>75</x:v>
      </x:c>
      <x:c r="J922" s="1" t="n">
        <x:f>'Inventory inputs'!M922</x:f>
        <x:v>0</x:v>
      </x:c>
      <x:c r="K922" s="1" t="n">
        <x:f>'Inventory inputs'!N922</x:f>
        <x:v>0</x:v>
      </x:c>
      <x:c r="L922" s="1" t="n">
        <x:f>'Inventory inputs'!O922</x:f>
        <x:v>1</x:v>
      </x:c>
      <x:c r="M922" s="9" t="n">
        <x:f>E922*G922</x:f>
        <x:v>3066</x:v>
      </x:c>
      <x:c r="N922" s="9" t="n">
        <x:f>'Inventory inputs'!Q922</x:f>
        <x:v>3066</x:v>
      </x:c>
      <x:c r="O922" s="9" t="n">
        <x:f>N922-M922</x:f>
        <x:v>0</x:v>
      </x:c>
      <x:c r="P922" s="1" t="n">
        <x:f>SUMIFS('Incoming POs'!$P$2:$P$305,'Incoming POs'!$A$2:$A$305,A922,'Incoming POs'!$B$2:$B$305,B922,'Incoming POs'!$C$2:$C$305,C922,'Incoming POs'!$G$2:$G$305,"&gt;="&amp;D922,'Incoming POs'!$G$2:$G$305,"&lt;"&amp;Dashboard!$I$5)</x:f>
        <x:v>0</x:v>
      </x:c>
      <x:c r="Q922" s="1" t="n">
        <x:f>F922*Dashboard!$L$5*MAX(0,Dashboard!$I$5-D922)/30.4375</x:f>
        <x:v>12.628583162217659</x:v>
      </x:c>
      <x:c r="R922" s="1" t="n">
        <x:f>MAX(0,E922+P922-Q922)</x:f>
        <x:v>62.37141683778234</x:v>
      </x:c>
      <x:c r="S922" s="1" t="n">
        <x:f>MAX(0,Q922-E922-P922)</x:f>
        <x:v>0</x:v>
      </x:c>
      <x:c r="T922" s="1" t="n">
        <x:f>IF(L922=1,MAX(0,I922+AB922-MIN(Q922,E922+P922)),"n.a.")</x:f>
        <x:v>62.37141683778234</x:v>
      </x:c>
      <x:c r="U922" s="9" t="n">
        <x:f>IF(ISNUMBER(T922),T922*G922,"n.a.")</x:f>
        <x:v>2549.743520328542</x:v>
      </x:c>
      <x:c r="V922" s="25" t="n">
        <x:f>IF(Dashboard!$I$6="Flat %",1,IF(ISNUMBER(H922),1,0))</x:f>
        <x:v>1</x:v>
      </x:c>
      <x:c r="W922" s="9" t="n">
        <x:f>IF(Dashboard!$I$6="Flat %",G922*(1+Dashboard!$L$6),H922)</x:f>
        <x:v>49.05</x:v>
      </x:c>
      <x:c r="X922" s="9" t="n">
        <x:f>IF(V922=1,R922*(W922-G922),"n.a.")</x:f>
        <x:v>509.5744755646814</x:v>
      </x:c>
      <x:c r="Y922" s="9" t="n">
        <x:f>IF(V922=1,R922*W922,"n.a.")</x:f>
        <x:v>3059.3179958932237</x:v>
      </x:c>
      <x:c r="Z922" s="1" t="n">
        <x:f>IF(ISNUMBER(T922),R922-T922,"n.a.")</x:f>
        <x:v>0</x:v>
      </x:c>
      <x:c r="AA922" s="1" t="str">
        <x:f>'Inventory inputs'!R922</x:f>
        <x:v>Classified</x:v>
      </x:c>
      <x:c r="AB922" s="1" t="n">
        <x:f>IF(L922=1,SUMIFS('Incoming POs'!$P$2:$P$305,'Incoming POs'!$A$2:$A$305,A922,'Incoming POs'!$B$2:$B$305,B922,'Incoming POs'!$C$2:$C$305,C922,'Incoming POs'!$G$2:$G$305,"&gt;="&amp;D922,'Incoming POs'!$G$2:$G$305,"&lt;"&amp;Dashboard!$I$5,'Incoming POs'!$Q$2:$Q$305,"&lt;="&amp;('Inventory inputs'!P922/'Inventory inputs'!J922*1.01)),"n.a.")</x:f>
        <x:v>0</x:v>
      </x:c>
      <x:c r="AC922" s="9" t="n">
        <x:f>I922*G922</x:f>
        <x:v>3066</x:v>
      </x:c>
      <x:c r="AD922" s="9" t="n">
        <x:f>J922*G922</x:f>
        <x:v>0</x:v>
      </x:c>
      <x:c r="AE922" s="9" t="n">
        <x:f>K922*G922</x:f>
        <x:v>0</x:v>
      </x:c>
      <x:c r="AF922" s="9" t="n">
        <x:f>R922*G922</x:f>
        <x:v>2549.743520328542</x:v>
      </x:c>
    </x:row>
    <x:row r="923" ht="21" customHeight="1">
      <x:c r="A923" s="1" t="str">
        <x:f>'Inventory inputs'!A923</x:f>
        <x:v>FILM</x:v>
      </x:c>
      <x:c r="B923" s="1" t="str">
        <x:f>'Inventory inputs'!B923</x:f>
        <x:v>10</x:v>
      </x:c>
      <x:c r="C923" s="1" t="str">
        <x:f>'Inventory inputs'!C923</x:f>
        <x:v>182503C2</x:v>
      </x:c>
      <x:c r="D923" s="7" t="n">
        <x:f>'Inventory inputs'!E923</x:f>
        <x:v>46304</x:v>
      </x:c>
      <x:c r="E923" s="1" t="n">
        <x:f>'Inventory inputs'!F923</x:f>
        <x:v>82</x:v>
      </x:c>
      <x:c r="F923" s="1" t="n">
        <x:f>'Inventory inputs'!G923</x:f>
        <x:v>9.33</x:v>
      </x:c>
      <x:c r="G923" s="1" t="n">
        <x:f>'Inventory inputs'!H923/'Inventory inputs'!J923</x:f>
        <x:v>10.53</x:v>
      </x:c>
      <x:c r="H923" s="1" t="n">
        <x:f>IF('Inventory inputs'!I923&gt;0,'Inventory inputs'!I923*'Inventory inputs'!K923/'Inventory inputs'!J923,"n.a.")</x:f>
        <x:v>12.64</x:v>
      </x:c>
      <x:c r="I923" s="1" t="n">
        <x:f>'Inventory inputs'!L923</x:f>
        <x:v>18</x:v>
      </x:c>
      <x:c r="J923" s="1" t="n">
        <x:f>'Inventory inputs'!M923</x:f>
        <x:v>64</x:v>
      </x:c>
      <x:c r="K923" s="1" t="n">
        <x:f>'Inventory inputs'!N923</x:f>
        <x:v>0</x:v>
      </x:c>
      <x:c r="L923" s="1" t="n">
        <x:f>'Inventory inputs'!O923</x:f>
        <x:v>1</x:v>
      </x:c>
      <x:c r="M923" s="9" t="n">
        <x:f>E923*G923</x:f>
        <x:v>863.4599999999999</x:v>
      </x:c>
      <x:c r="N923" s="9" t="n">
        <x:f>'Inventory inputs'!Q923</x:f>
        <x:v>863.4599999999999</x:v>
      </x:c>
      <x:c r="O923" s="9" t="n">
        <x:f>N923-M923</x:f>
        <x:v>0</x:v>
      </x:c>
      <x:c r="P923" s="1" t="n">
        <x:f>SUMIFS('Incoming POs'!$P$2:$P$305,'Incoming POs'!$A$2:$A$305,A923,'Incoming POs'!$B$2:$B$305,B923,'Incoming POs'!$C$2:$C$305,C923,'Incoming POs'!$G$2:$G$305,"&gt;="&amp;D923,'Incoming POs'!$G$2:$G$305,"&lt;"&amp;Dashboard!$I$5)</x:f>
        <x:v>0</x:v>
      </x:c>
      <x:c r="Q923" s="1" t="n">
        <x:f>F923*Dashboard!$L$5*MAX(0,Dashboard!$I$5-D923)/30.4375</x:f>
        <x:v>12.184558521560575</x:v>
      </x:c>
      <x:c r="R923" s="1" t="n">
        <x:f>MAX(0,E923+P923-Q923)</x:f>
        <x:v>69.81544147843942</x:v>
      </x:c>
      <x:c r="S923" s="1" t="n">
        <x:f>MAX(0,Q923-E923-P923)</x:f>
        <x:v>0</x:v>
      </x:c>
      <x:c r="T923" s="1" t="n">
        <x:f>IF(L923=1,MAX(0,I923+AB923-MIN(Q923,E923+P923)),"n.a.")</x:f>
        <x:v>5.815441478439425</x:v>
      </x:c>
      <x:c r="U923" s="9" t="n">
        <x:f>IF(ISNUMBER(T923),T923*G923,"n.a.")</x:f>
        <x:v>61.23659876796714</x:v>
      </x:c>
      <x:c r="V923" s="25" t="n">
        <x:f>IF(Dashboard!$I$6="Flat %",1,IF(ISNUMBER(H923),1,0))</x:f>
        <x:v>1</x:v>
      </x:c>
      <x:c r="W923" s="9" t="n">
        <x:f>IF(Dashboard!$I$6="Flat %",G923*(1+Dashboard!$L$6),H923)</x:f>
        <x:v>12.64</x:v>
      </x:c>
      <x:c r="X923" s="9" t="n">
        <x:f>IF(V923=1,R923*(W923-G923),"n.a.")</x:f>
        <x:v>147.31058151950728</x:v>
      </x:c>
      <x:c r="Y923" s="9" t="n">
        <x:f>IF(V923=1,R923*W923,"n.a.")</x:f>
        <x:v>882.4671802874743</x:v>
      </x:c>
      <x:c r="Z923" s="1" t="n">
        <x:f>IF(ISNUMBER(T923),R923-T923,"n.a.")</x:f>
        <x:v>64</x:v>
      </x:c>
      <x:c r="AA923" s="1" t="str">
        <x:f>'Inventory inputs'!R923</x:f>
        <x:v>Classified</x:v>
      </x:c>
      <x:c r="AB923" s="1" t="n">
        <x:f>IF(L923=1,SUMIFS('Incoming POs'!$P$2:$P$305,'Incoming POs'!$A$2:$A$305,A923,'Incoming POs'!$B$2:$B$305,B923,'Incoming POs'!$C$2:$C$305,C923,'Incoming POs'!$G$2:$G$305,"&gt;="&amp;D923,'Incoming POs'!$G$2:$G$305,"&lt;"&amp;Dashboard!$I$5,'Incoming POs'!$Q$2:$Q$305,"&lt;="&amp;('Inventory inputs'!P923/'Inventory inputs'!J923*1.01)),"n.a.")</x:f>
        <x:v>0</x:v>
      </x:c>
      <x:c r="AC923" s="9" t="n">
        <x:f>I923*G923</x:f>
        <x:v>189.54</x:v>
      </x:c>
      <x:c r="AD923" s="9" t="n">
        <x:f>J923*G923</x:f>
        <x:v>673.92</x:v>
      </x:c>
      <x:c r="AE923" s="9" t="n">
        <x:f>K923*G923</x:f>
        <x:v>0</x:v>
      </x:c>
      <x:c r="AF923" s="9" t="n">
        <x:f>R923*G923</x:f>
        <x:v>735.1565987679671</x:v>
      </x:c>
    </x:row>
    <x:row r="924" ht="21" customHeight="1">
      <x:c r="A924" s="1" t="str">
        <x:f>'Inventory inputs'!A924</x:f>
        <x:v>FILM</x:v>
      </x:c>
      <x:c r="B924" s="1" t="str">
        <x:f>'Inventory inputs'!B924</x:f>
        <x:v>10</x:v>
      </x:c>
      <x:c r="C924" s="1" t="str">
        <x:f>'Inventory inputs'!C924</x:f>
        <x:v>ST2550017M1</x:v>
      </x:c>
      <x:c r="D924" s="7" t="n">
        <x:f>'Inventory inputs'!E924</x:f>
        <x:v>46304</x:v>
      </x:c>
      <x:c r="E924" s="1" t="n">
        <x:f>'Inventory inputs'!F924</x:f>
        <x:v>158</x:v>
      </x:c>
      <x:c r="F924" s="1" t="n">
        <x:f>'Inventory inputs'!G924</x:f>
        <x:v>9</x:v>
      </x:c>
      <x:c r="G924" s="1" t="n">
        <x:f>'Inventory inputs'!H924/'Inventory inputs'!J924</x:f>
        <x:v>63</x:v>
      </x:c>
      <x:c r="H924" s="1" t="n">
        <x:f>IF('Inventory inputs'!I924&gt;0,'Inventory inputs'!I924*'Inventory inputs'!K924/'Inventory inputs'!J924,"n.a.")</x:f>
        <x:v>75.6</x:v>
      </x:c>
      <x:c r="I924" s="1" t="n">
        <x:f>'Inventory inputs'!L924</x:f>
        <x:v>68</x:v>
      </x:c>
      <x:c r="J924" s="1" t="n">
        <x:f>'Inventory inputs'!M924</x:f>
        <x:v>90</x:v>
      </x:c>
      <x:c r="K924" s="1" t="n">
        <x:f>'Inventory inputs'!N924</x:f>
        <x:v>0</x:v>
      </x:c>
      <x:c r="L924" s="1" t="n">
        <x:f>'Inventory inputs'!O924</x:f>
        <x:v>1</x:v>
      </x:c>
      <x:c r="M924" s="9" t="n">
        <x:f>E924*G924</x:f>
        <x:v>9954</x:v>
      </x:c>
      <x:c r="N924" s="9" t="n">
        <x:f>'Inventory inputs'!Q924</x:f>
        <x:v>9954</x:v>
      </x:c>
      <x:c r="O924" s="9" t="n">
        <x:f>N924-M924</x:f>
        <x:v>0</x:v>
      </x:c>
      <x:c r="P924" s="1" t="n">
        <x:f>SUMIFS('Incoming POs'!$P$2:$P$305,'Incoming POs'!$A$2:$A$305,A924,'Incoming POs'!$B$2:$B$305,B924,'Incoming POs'!$C$2:$C$305,C924,'Incoming POs'!$G$2:$G$305,"&gt;="&amp;D924,'Incoming POs'!$G$2:$G$305,"&lt;"&amp;Dashboard!$I$5)</x:f>
        <x:v>0</x:v>
      </x:c>
      <x:c r="Q924" s="1" t="n">
        <x:f>F924*Dashboard!$L$5*MAX(0,Dashboard!$I$5-D924)/30.4375</x:f>
        <x:v>11.75359342915811</x:v>
      </x:c>
      <x:c r="R924" s="1" t="n">
        <x:f>MAX(0,E924+P924-Q924)</x:f>
        <x:v>146.24640657084188</x:v>
      </x:c>
      <x:c r="S924" s="1" t="n">
        <x:f>MAX(0,Q924-E924-P924)</x:f>
        <x:v>0</x:v>
      </x:c>
      <x:c r="T924" s="1" t="n">
        <x:f>IF(L924=1,MAX(0,I924+AB924-MIN(Q924,E924+P924)),"n.a.")</x:f>
        <x:v>56.24640657084189</x:v>
      </x:c>
      <x:c r="U924" s="9" t="n">
        <x:f>IF(ISNUMBER(T924),T924*G924,"n.a.")</x:f>
        <x:v>3543.523613963039</x:v>
      </x:c>
      <x:c r="V924" s="25" t="n">
        <x:f>IF(Dashboard!$I$6="Flat %",1,IF(ISNUMBER(H924),1,0))</x:f>
        <x:v>1</x:v>
      </x:c>
      <x:c r="W924" s="9" t="n">
        <x:f>IF(Dashboard!$I$6="Flat %",G924*(1+Dashboard!$L$6),H924)</x:f>
        <x:v>75.6</x:v>
      </x:c>
      <x:c r="X924" s="9" t="n">
        <x:f>IF(V924=1,R924*(W924-G924),"n.a.")</x:f>
        <x:v>1842.7047227926068</x:v>
      </x:c>
      <x:c r="Y924" s="9" t="n">
        <x:f>IF(V924=1,R924*W924,"n.a.")</x:f>
        <x:v>11056.228336755647</x:v>
      </x:c>
      <x:c r="Z924" s="1" t="n">
        <x:f>IF(ISNUMBER(T924),R924-T924,"n.a.")</x:f>
        <x:v>90</x:v>
      </x:c>
      <x:c r="AA924" s="1" t="str">
        <x:f>'Inventory inputs'!R924</x:f>
        <x:v>Classified</x:v>
      </x:c>
      <x:c r="AB924" s="1" t="n">
        <x:f>IF(L924=1,SUMIFS('Incoming POs'!$P$2:$P$305,'Incoming POs'!$A$2:$A$305,A924,'Incoming POs'!$B$2:$B$305,B924,'Incoming POs'!$C$2:$C$305,C924,'Incoming POs'!$G$2:$G$305,"&gt;="&amp;D924,'Incoming POs'!$G$2:$G$305,"&lt;"&amp;Dashboard!$I$5,'Incoming POs'!$Q$2:$Q$305,"&lt;="&amp;('Inventory inputs'!P924/'Inventory inputs'!J924*1.01)),"n.a.")</x:f>
        <x:v>0</x:v>
      </x:c>
      <x:c r="AC924" s="9" t="n">
        <x:f>I924*G924</x:f>
        <x:v>4284</x:v>
      </x:c>
      <x:c r="AD924" s="9" t="n">
        <x:f>J924*G924</x:f>
        <x:v>5670</x:v>
      </x:c>
      <x:c r="AE924" s="9" t="n">
        <x:f>K924*G924</x:f>
        <x:v>0</x:v>
      </x:c>
      <x:c r="AF924" s="9" t="n">
        <x:f>R924*G924</x:f>
        <x:v>9213.523613963038</x:v>
      </x:c>
    </x:row>
    <x:row r="925" ht="21" customHeight="1">
      <x:c r="A925" s="1" t="str">
        <x:f>'Inventory inputs'!A925</x:f>
        <x:v>FILM</x:v>
      </x:c>
      <x:c r="B925" s="1" t="str">
        <x:f>'Inventory inputs'!B925</x:f>
        <x:v>60</x:v>
      </x:c>
      <x:c r="C925" s="1" t="str">
        <x:f>'Inventory inputs'!C925</x:f>
        <x:v>122503C1</x:v>
      </x:c>
      <x:c r="D925" s="7" t="n">
        <x:f>'Inventory inputs'!E925</x:f>
        <x:v>46304</x:v>
      </x:c>
      <x:c r="E925" s="1" t="n">
        <x:f>'Inventory inputs'!F925</x:f>
        <x:v>218</x:v>
      </x:c>
      <x:c r="F925" s="1" t="n">
        <x:f>'Inventory inputs'!G925</x:f>
        <x:v>8.67</x:v>
      </x:c>
      <x:c r="G925" s="1" t="n">
        <x:f>'Inventory inputs'!H925/'Inventory inputs'!J925</x:f>
        <x:v>7.02</x:v>
      </x:c>
      <x:c r="H925" s="1" t="n">
        <x:f>IF('Inventory inputs'!I925&gt;0,'Inventory inputs'!I925*'Inventory inputs'!K925/'Inventory inputs'!J925,"n.a.")</x:f>
        <x:v>8.42</x:v>
      </x:c>
      <x:c r="I925" s="1" t="n">
        <x:f>'Inventory inputs'!L925</x:f>
        <x:v>218</x:v>
      </x:c>
      <x:c r="J925" s="1" t="n">
        <x:f>'Inventory inputs'!M925</x:f>
        <x:v>0</x:v>
      </x:c>
      <x:c r="K925" s="1" t="n">
        <x:f>'Inventory inputs'!N925</x:f>
        <x:v>0</x:v>
      </x:c>
      <x:c r="L925" s="1" t="n">
        <x:f>'Inventory inputs'!O925</x:f>
        <x:v>1</x:v>
      </x:c>
      <x:c r="M925" s="9" t="n">
        <x:f>E925*G925</x:f>
        <x:v>1530.36</x:v>
      </x:c>
      <x:c r="N925" s="9" t="n">
        <x:f>'Inventory inputs'!Q925</x:f>
        <x:v>1530.36</x:v>
      </x:c>
      <x:c r="O925" s="9" t="n">
        <x:f>N925-M925</x:f>
        <x:v>0</x:v>
      </x:c>
      <x:c r="P925" s="1" t="n">
        <x:f>SUMIFS('Incoming POs'!$P$2:$P$305,'Incoming POs'!$A$2:$A$305,A925,'Incoming POs'!$B$2:$B$305,B925,'Incoming POs'!$C$2:$C$305,C925,'Incoming POs'!$G$2:$G$305,"&gt;="&amp;D925,'Incoming POs'!$G$2:$G$305,"&lt;"&amp;Dashboard!$I$5)</x:f>
        <x:v>0</x:v>
      </x:c>
      <x:c r="Q925" s="1" t="n">
        <x:f>F925*Dashboard!$L$5*MAX(0,Dashboard!$I$5-D925)/30.4375</x:f>
        <x:v>11.322628336755647</x:v>
      </x:c>
      <x:c r="R925" s="1" t="n">
        <x:f>MAX(0,E925+P925-Q925)</x:f>
        <x:v>206.67737166324434</x:v>
      </x:c>
      <x:c r="S925" s="1" t="n">
        <x:f>MAX(0,Q925-E925-P925)</x:f>
        <x:v>0</x:v>
      </x:c>
      <x:c r="T925" s="1" t="n">
        <x:f>IF(L925=1,MAX(0,I925+AB925-MIN(Q925,E925+P925)),"n.a.")</x:f>
        <x:v>206.67737166324434</x:v>
      </x:c>
      <x:c r="U925" s="9" t="n">
        <x:f>IF(ISNUMBER(T925),T925*G925,"n.a.")</x:f>
        <x:v>1450.8751490759753</x:v>
      </x:c>
      <x:c r="V925" s="25" t="n">
        <x:f>IF(Dashboard!$I$6="Flat %",1,IF(ISNUMBER(H925),1,0))</x:f>
        <x:v>1</x:v>
      </x:c>
      <x:c r="W925" s="9" t="n">
        <x:f>IF(Dashboard!$I$6="Flat %",G925*(1+Dashboard!$L$6),H925)</x:f>
        <x:v>8.42</x:v>
      </x:c>
      <x:c r="X925" s="9" t="n">
        <x:f>IF(V925=1,R925*(W925-G925),"n.a.")</x:f>
        <x:v>289.3483203285422</x:v>
      </x:c>
      <x:c r="Y925" s="9" t="n">
        <x:f>IF(V925=1,R925*W925,"n.a.")</x:f>
        <x:v>1740.2234694045173</x:v>
      </x:c>
      <x:c r="Z925" s="1" t="n">
        <x:f>IF(ISNUMBER(T925),R925-T925,"n.a.")</x:f>
        <x:v>0</x:v>
      </x:c>
      <x:c r="AA925" s="1" t="str">
        <x:f>'Inventory inputs'!R925</x:f>
        <x:v>Classified</x:v>
      </x:c>
      <x:c r="AB925" s="1" t="n">
        <x:f>IF(L925=1,SUMIFS('Incoming POs'!$P$2:$P$305,'Incoming POs'!$A$2:$A$305,A925,'Incoming POs'!$B$2:$B$305,B925,'Incoming POs'!$C$2:$C$305,C925,'Incoming POs'!$G$2:$G$305,"&gt;="&amp;D925,'Incoming POs'!$G$2:$G$305,"&lt;"&amp;Dashboard!$I$5,'Incoming POs'!$Q$2:$Q$305,"&lt;="&amp;('Inventory inputs'!P925/'Inventory inputs'!J925*1.01)),"n.a.")</x:f>
        <x:v>0</x:v>
      </x:c>
      <x:c r="AC925" s="9" t="n">
        <x:f>I925*G925</x:f>
        <x:v>1530.36</x:v>
      </x:c>
      <x:c r="AD925" s="9" t="n">
        <x:f>J925*G925</x:f>
        <x:v>0</x:v>
      </x:c>
      <x:c r="AE925" s="9" t="n">
        <x:f>K925*G925</x:f>
        <x:v>0</x:v>
      </x:c>
      <x:c r="AF925" s="9" t="n">
        <x:f>R925*G925</x:f>
        <x:v>1450.8751490759753</x:v>
      </x:c>
    </x:row>
    <x:row r="926" ht="21" customHeight="1">
      <x:c r="A926" s="1" t="str">
        <x:f>'Inventory inputs'!A926</x:f>
        <x:v>FILM</x:v>
      </x:c>
      <x:c r="B926" s="1" t="str">
        <x:f>'Inventory inputs'!B926</x:f>
        <x:v>60</x:v>
      </x:c>
      <x:c r="C926" s="1" t="str">
        <x:f>'Inventory inputs'!C926</x:f>
        <x:v>182503C2</x:v>
      </x:c>
      <x:c r="D926" s="7" t="n">
        <x:f>'Inventory inputs'!E926</x:f>
        <x:v>46304</x:v>
      </x:c>
      <x:c r="E926" s="1" t="n">
        <x:f>'Inventory inputs'!F926</x:f>
        <x:v>94</x:v>
      </x:c>
      <x:c r="F926" s="1" t="n">
        <x:f>'Inventory inputs'!G926</x:f>
        <x:v>8.33</x:v>
      </x:c>
      <x:c r="G926" s="1" t="n">
        <x:f>'Inventory inputs'!H926/'Inventory inputs'!J926</x:f>
        <x:v>10.53</x:v>
      </x:c>
      <x:c r="H926" s="1" t="n">
        <x:f>IF('Inventory inputs'!I926&gt;0,'Inventory inputs'!I926*'Inventory inputs'!K926/'Inventory inputs'!J926,"n.a.")</x:f>
        <x:v>12.64</x:v>
      </x:c>
      <x:c r="I926" s="1" t="n">
        <x:f>'Inventory inputs'!L926</x:f>
        <x:v>30</x:v>
      </x:c>
      <x:c r="J926" s="1" t="n">
        <x:f>'Inventory inputs'!M926</x:f>
        <x:v>64</x:v>
      </x:c>
      <x:c r="K926" s="1" t="n">
        <x:f>'Inventory inputs'!N926</x:f>
        <x:v>0</x:v>
      </x:c>
      <x:c r="L926" s="1" t="n">
        <x:f>'Inventory inputs'!O926</x:f>
        <x:v>1</x:v>
      </x:c>
      <x:c r="M926" s="9" t="n">
        <x:f>E926*G926</x:f>
        <x:v>989.8199999999999</x:v>
      </x:c>
      <x:c r="N926" s="9" t="n">
        <x:f>'Inventory inputs'!Q926</x:f>
        <x:v>989.8199999999999</x:v>
      </x:c>
      <x:c r="O926" s="9" t="n">
        <x:f>N926-M926</x:f>
        <x:v>0</x:v>
      </x:c>
      <x:c r="P926" s="1" t="n">
        <x:f>SUMIFS('Incoming POs'!$P$2:$P$305,'Incoming POs'!$A$2:$A$305,A926,'Incoming POs'!$B$2:$B$305,B926,'Incoming POs'!$C$2:$C$305,C926,'Incoming POs'!$G$2:$G$305,"&gt;="&amp;D926,'Incoming POs'!$G$2:$G$305,"&lt;"&amp;Dashboard!$I$5)</x:f>
        <x:v>0</x:v>
      </x:c>
      <x:c r="Q926" s="1" t="n">
        <x:f>F926*Dashboard!$L$5*MAX(0,Dashboard!$I$5-D926)/30.4375</x:f>
        <x:v>10.878603696098564</x:v>
      </x:c>
      <x:c r="R926" s="1" t="n">
        <x:f>MAX(0,E926+P926-Q926)</x:f>
        <x:v>83.12139630390143</x:v>
      </x:c>
      <x:c r="S926" s="1" t="n">
        <x:f>MAX(0,Q926-E926-P926)</x:f>
        <x:v>0</x:v>
      </x:c>
      <x:c r="T926" s="1" t="n">
        <x:f>IF(L926=1,MAX(0,I926+AB926-MIN(Q926,E926+P926)),"n.a.")</x:f>
        <x:v>19.121396303901435</x:v>
      </x:c>
      <x:c r="U926" s="9" t="n">
        <x:f>IF(ISNUMBER(T926),T926*G926,"n.a.")</x:f>
        <x:v>201.3483030800821</x:v>
      </x:c>
      <x:c r="V926" s="25" t="n">
        <x:f>IF(Dashboard!$I$6="Flat %",1,IF(ISNUMBER(H926),1,0))</x:f>
        <x:v>1</x:v>
      </x:c>
      <x:c r="W926" s="9" t="n">
        <x:f>IF(Dashboard!$I$6="Flat %",G926*(1+Dashboard!$L$6),H926)</x:f>
        <x:v>12.64</x:v>
      </x:c>
      <x:c r="X926" s="9" t="n">
        <x:f>IF(V926=1,R926*(W926-G926),"n.a.")</x:f>
        <x:v>175.38614620123212</x:v>
      </x:c>
      <x:c r="Y926" s="9" t="n">
        <x:f>IF(V926=1,R926*W926,"n.a.")</x:f>
        <x:v>1050.654449281314</x:v>
      </x:c>
      <x:c r="Z926" s="1" t="n">
        <x:f>IF(ISNUMBER(T926),R926-T926,"n.a.")</x:f>
        <x:v>64</x:v>
      </x:c>
      <x:c r="AA926" s="1" t="str">
        <x:f>'Inventory inputs'!R926</x:f>
        <x:v>Classified</x:v>
      </x:c>
      <x:c r="AB926" s="1" t="n">
        <x:f>IF(L926=1,SUMIFS('Incoming POs'!$P$2:$P$305,'Incoming POs'!$A$2:$A$305,A926,'Incoming POs'!$B$2:$B$305,B926,'Incoming POs'!$C$2:$C$305,C926,'Incoming POs'!$G$2:$G$305,"&gt;="&amp;D926,'Incoming POs'!$G$2:$G$305,"&lt;"&amp;Dashboard!$I$5,'Incoming POs'!$Q$2:$Q$305,"&lt;="&amp;('Inventory inputs'!P926/'Inventory inputs'!J926*1.01)),"n.a.")</x:f>
        <x:v>0</x:v>
      </x:c>
      <x:c r="AC926" s="9" t="n">
        <x:f>I926*G926</x:f>
        <x:v>315.9</x:v>
      </x:c>
      <x:c r="AD926" s="9" t="n">
        <x:f>J926*G926</x:f>
        <x:v>673.92</x:v>
      </x:c>
      <x:c r="AE926" s="9" t="n">
        <x:f>K926*G926</x:f>
        <x:v>0</x:v>
      </x:c>
      <x:c r="AF926" s="9" t="n">
        <x:f>R926*G926</x:f>
        <x:v>875.2683030800821</x:v>
      </x:c>
    </x:row>
    <x:row r="927" ht="21" customHeight="1">
      <x:c r="A927" s="1" t="str">
        <x:f>'Inventory inputs'!A927</x:f>
        <x:v>FILM</x:v>
      </x:c>
      <x:c r="B927" s="1" t="str">
        <x:f>'Inventory inputs'!B927</x:f>
        <x:v>10</x:v>
      </x:c>
      <x:c r="C927" s="1" t="str">
        <x:f>'Inventory inputs'!C927</x:f>
        <x:v>PR432503C3</x:v>
      </x:c>
      <x:c r="D927" s="7" t="n">
        <x:f>'Inventory inputs'!E927</x:f>
        <x:v>46304</x:v>
      </x:c>
      <x:c r="E927" s="1" t="n">
        <x:f>'Inventory inputs'!F927</x:f>
        <x:v>28</x:v>
      </x:c>
      <x:c r="F927" s="1" t="n">
        <x:f>'Inventory inputs'!G927</x:f>
        <x:v>7.83</x:v>
      </x:c>
      <x:c r="G927" s="1" t="n">
        <x:f>'Inventory inputs'!H927/'Inventory inputs'!J927</x:f>
        <x:v>29.03</x:v>
      </x:c>
      <x:c r="H927" s="1" t="n">
        <x:f>IF('Inventory inputs'!I927&gt;0,'Inventory inputs'!I927*'Inventory inputs'!K927/'Inventory inputs'!J927,"n.a.")</x:f>
        <x:v>34.83</x:v>
      </x:c>
      <x:c r="I927" s="1" t="n">
        <x:f>'Inventory inputs'!L927</x:f>
        <x:v>0</x:v>
      </x:c>
      <x:c r="J927" s="1" t="n">
        <x:f>'Inventory inputs'!M927</x:f>
        <x:v>28</x:v>
      </x:c>
      <x:c r="K927" s="1" t="n">
        <x:f>'Inventory inputs'!N927</x:f>
        <x:v>0</x:v>
      </x:c>
      <x:c r="L927" s="1" t="n">
        <x:f>'Inventory inputs'!O927</x:f>
        <x:v>1</x:v>
      </x:c>
      <x:c r="M927" s="9" t="n">
        <x:f>E927*G927</x:f>
        <x:v>812.84</x:v>
      </x:c>
      <x:c r="N927" s="9" t="n">
        <x:f>'Inventory inputs'!Q927</x:f>
        <x:v>812.84</x:v>
      </x:c>
      <x:c r="O927" s="9" t="n">
        <x:f>N927-M927</x:f>
        <x:v>0</x:v>
      </x:c>
      <x:c r="P927" s="1" t="n">
        <x:f>SUMIFS('Incoming POs'!$P$2:$P$305,'Incoming POs'!$A$2:$A$305,A927,'Incoming POs'!$B$2:$B$305,B927,'Incoming POs'!$C$2:$C$305,C927,'Incoming POs'!$G$2:$G$305,"&gt;="&amp;D927,'Incoming POs'!$G$2:$G$305,"&lt;"&amp;Dashboard!$I$5)</x:f>
        <x:v>36</x:v>
      </x:c>
      <x:c r="Q927" s="1" t="n">
        <x:f>F927*Dashboard!$L$5*MAX(0,Dashboard!$I$5-D927)/30.4375</x:f>
        <x:v>10.225626283367557</x:v>
      </x:c>
      <x:c r="R927" s="1" t="n">
        <x:f>MAX(0,E927+P927-Q927)</x:f>
        <x:v>53.77437371663244</x:v>
      </x:c>
      <x:c r="S927" s="1" t="n">
        <x:f>MAX(0,Q927-E927-P927)</x:f>
        <x:v>0</x:v>
      </x:c>
      <x:c r="T927" s="1" t="n">
        <x:f>IF(L927=1,MAX(0,I927+AB927-MIN(Q927,E927+P927)),"n.a.")</x:f>
        <x:v>0</x:v>
      </x:c>
      <x:c r="U927" s="9" t="n">
        <x:f>IF(ISNUMBER(T927),T927*G927,"n.a.")</x:f>
        <x:v>0</x:v>
      </x:c>
      <x:c r="V927" s="25" t="n">
        <x:f>IF(Dashboard!$I$6="Flat %",1,IF(ISNUMBER(H927),1,0))</x:f>
        <x:v>1</x:v>
      </x:c>
      <x:c r="W927" s="9" t="n">
        <x:f>IF(Dashboard!$I$6="Flat %",G927*(1+Dashboard!$L$6),H927)</x:f>
        <x:v>34.83</x:v>
      </x:c>
      <x:c r="X927" s="9" t="n">
        <x:f>IF(V927=1,R927*(W927-G927),"n.a.")</x:f>
        <x:v>311.89136755646797</x:v>
      </x:c>
      <x:c r="Y927" s="9" t="n">
        <x:f>IF(V927=1,R927*W927,"n.a.")</x:f>
        <x:v>1872.9614365503078</x:v>
      </x:c>
      <x:c r="Z927" s="1" t="n">
        <x:f>IF(ISNUMBER(T927),R927-T927,"n.a.")</x:f>
        <x:v>53.77437371663244</x:v>
      </x:c>
      <x:c r="AA927" s="1" t="str">
        <x:f>'Inventory inputs'!R927</x:f>
        <x:v>Classified</x:v>
      </x:c>
      <x:c r="AB927" s="1" t="n">
        <x:f>IF(L927=1,SUMIFS('Incoming POs'!$P$2:$P$305,'Incoming POs'!$A$2:$A$305,A927,'Incoming POs'!$B$2:$B$305,B927,'Incoming POs'!$C$2:$C$305,C927,'Incoming POs'!$G$2:$G$305,"&gt;="&amp;D927,'Incoming POs'!$G$2:$G$305,"&lt;"&amp;Dashboard!$I$5,'Incoming POs'!$Q$2:$Q$305,"&lt;="&amp;('Inventory inputs'!P927/'Inventory inputs'!J927*1.01)),"n.a.")</x:f>
        <x:v>0</x:v>
      </x:c>
      <x:c r="AC927" s="9" t="n">
        <x:f>I927*G927</x:f>
        <x:v>0</x:v>
      </x:c>
      <x:c r="AD927" s="9" t="n">
        <x:f>J927*G927</x:f>
        <x:v>812.84</x:v>
      </x:c>
      <x:c r="AE927" s="9" t="n">
        <x:f>K927*G927</x:f>
        <x:v>0</x:v>
      </x:c>
      <x:c r="AF927" s="9" t="n">
        <x:f>R927*G927</x:f>
        <x:v>1561.0700689938399</x:v>
      </x:c>
    </x:row>
    <x:row r="928" ht="21" customHeight="1">
      <x:c r="A928" s="1" t="str">
        <x:f>'Inventory inputs'!A928</x:f>
        <x:v>FILM</x:v>
      </x:c>
      <x:c r="B928" s="1" t="str">
        <x:f>'Inventory inputs'!B928</x:f>
        <x:v>10</x:v>
      </x:c>
      <x:c r="C928" s="1" t="str">
        <x:f>'Inventory inputs'!C928</x:f>
        <x:v>122503C1</x:v>
      </x:c>
      <x:c r="D928" s="7" t="n">
        <x:f>'Inventory inputs'!E928</x:f>
        <x:v>46304</x:v>
      </x:c>
      <x:c r="E928" s="1" t="n">
        <x:f>'Inventory inputs'!F928</x:f>
        <x:v>107</x:v>
      </x:c>
      <x:c r="F928" s="1" t="n">
        <x:f>'Inventory inputs'!G928</x:f>
        <x:v>7.75</x:v>
      </x:c>
      <x:c r="G928" s="1" t="n">
        <x:f>'Inventory inputs'!H928/'Inventory inputs'!J928</x:f>
        <x:v>7.02</x:v>
      </x:c>
      <x:c r="H928" s="1" t="n">
        <x:f>IF('Inventory inputs'!I928&gt;0,'Inventory inputs'!I928*'Inventory inputs'!K928/'Inventory inputs'!J928,"n.a.")</x:f>
        <x:v>8.42</x:v>
      </x:c>
      <x:c r="I928" s="1" t="n">
        <x:f>'Inventory inputs'!L928</x:f>
        <x:v>107</x:v>
      </x:c>
      <x:c r="J928" s="1" t="n">
        <x:f>'Inventory inputs'!M928</x:f>
        <x:v>0</x:v>
      </x:c>
      <x:c r="K928" s="1" t="n">
        <x:f>'Inventory inputs'!N928</x:f>
        <x:v>0</x:v>
      </x:c>
      <x:c r="L928" s="1" t="n">
        <x:f>'Inventory inputs'!O928</x:f>
        <x:v>1</x:v>
      </x:c>
      <x:c r="M928" s="9" t="n">
        <x:f>E928*G928</x:f>
        <x:v>751.14</x:v>
      </x:c>
      <x:c r="N928" s="9" t="n">
        <x:f>'Inventory inputs'!Q928</x:f>
        <x:v>751.14</x:v>
      </x:c>
      <x:c r="O928" s="9" t="n">
        <x:f>N928-M928</x:f>
        <x:v>0</x:v>
      </x:c>
      <x:c r="P928" s="1" t="n">
        <x:f>SUMIFS('Incoming POs'!$P$2:$P$305,'Incoming POs'!$A$2:$A$305,A928,'Incoming POs'!$B$2:$B$305,B928,'Incoming POs'!$C$2:$C$305,C928,'Incoming POs'!$G$2:$G$305,"&gt;="&amp;D928,'Incoming POs'!$G$2:$G$305,"&lt;"&amp;Dashboard!$I$5)</x:f>
        <x:v>0</x:v>
      </x:c>
      <x:c r="Q928" s="1" t="n">
        <x:f>F928*Dashboard!$L$5*MAX(0,Dashboard!$I$5-D928)/30.4375</x:f>
        <x:v>10.121149897330595</x:v>
      </x:c>
      <x:c r="R928" s="1" t="n">
        <x:f>MAX(0,E928+P928-Q928)</x:f>
        <x:v>96.8788501026694</x:v>
      </x:c>
      <x:c r="S928" s="1" t="n">
        <x:f>MAX(0,Q928-E928-P928)</x:f>
        <x:v>0</x:v>
      </x:c>
      <x:c r="T928" s="1" t="n">
        <x:f>IF(L928=1,MAX(0,I928+AB928-MIN(Q928,E928+P928)),"n.a.")</x:f>
        <x:v>96.8788501026694</x:v>
      </x:c>
      <x:c r="U928" s="9" t="n">
        <x:f>IF(ISNUMBER(T928),T928*G928,"n.a.")</x:f>
        <x:v>680.0895277207392</x:v>
      </x:c>
      <x:c r="V928" s="25" t="n">
        <x:f>IF(Dashboard!$I$6="Flat %",1,IF(ISNUMBER(H928),1,0))</x:f>
        <x:v>1</x:v>
      </x:c>
      <x:c r="W928" s="9" t="n">
        <x:f>IF(Dashboard!$I$6="Flat %",G928*(1+Dashboard!$L$6),H928)</x:f>
        <x:v>8.42</x:v>
      </x:c>
      <x:c r="X928" s="9" t="n">
        <x:f>IF(V928=1,R928*(W928-G928),"n.a.")</x:f>
        <x:v>135.6303901437372</x:v>
      </x:c>
      <x:c r="Y928" s="9" t="n">
        <x:f>IF(V928=1,R928*W928,"n.a.")</x:f>
        <x:v>815.7199178644763</x:v>
      </x:c>
      <x:c r="Z928" s="1" t="n">
        <x:f>IF(ISNUMBER(T928),R928-T928,"n.a.")</x:f>
        <x:v>0</x:v>
      </x:c>
      <x:c r="AA928" s="1" t="str">
        <x:f>'Inventory inputs'!R928</x:f>
        <x:v>Classified</x:v>
      </x:c>
      <x:c r="AB928" s="1" t="n">
        <x:f>IF(L928=1,SUMIFS('Incoming POs'!$P$2:$P$305,'Incoming POs'!$A$2:$A$305,A928,'Incoming POs'!$B$2:$B$305,B928,'Incoming POs'!$C$2:$C$305,C928,'Incoming POs'!$G$2:$G$305,"&gt;="&amp;D928,'Incoming POs'!$G$2:$G$305,"&lt;"&amp;Dashboard!$I$5,'Incoming POs'!$Q$2:$Q$305,"&lt;="&amp;('Inventory inputs'!P928/'Inventory inputs'!J928*1.01)),"n.a.")</x:f>
        <x:v>0</x:v>
      </x:c>
      <x:c r="AC928" s="9" t="n">
        <x:f>I928*G928</x:f>
        <x:v>751.14</x:v>
      </x:c>
      <x:c r="AD928" s="9" t="n">
        <x:f>J928*G928</x:f>
        <x:v>0</x:v>
      </x:c>
      <x:c r="AE928" s="9" t="n">
        <x:f>K928*G928</x:f>
        <x:v>0</x:v>
      </x:c>
      <x:c r="AF928" s="9" t="n">
        <x:f>R928*G928</x:f>
        <x:v>680.0895277207392</x:v>
      </x:c>
    </x:row>
    <x:row r="929" ht="21" customHeight="1">
      <x:c r="A929" s="1" t="str">
        <x:f>'Inventory inputs'!A929</x:f>
        <x:v>FILM</x:v>
      </x:c>
      <x:c r="B929" s="1" t="str">
        <x:f>'Inventory inputs'!B929</x:f>
        <x:v>60</x:v>
      </x:c>
      <x:c r="C929" s="1" t="str">
        <x:f>'Inventory inputs'!C929</x:f>
        <x:v>ST252503M1</x:v>
      </x:c>
      <x:c r="D929" s="7" t="n">
        <x:f>'Inventory inputs'!E929</x:f>
        <x:v>46304</x:v>
      </x:c>
      <x:c r="E929" s="1" t="n">
        <x:f>'Inventory inputs'!F929</x:f>
        <x:v>16</x:v>
      </x:c>
      <x:c r="F929" s="1" t="n">
        <x:f>'Inventory inputs'!G929</x:f>
        <x:v>7.67</x:v>
      </x:c>
      <x:c r="G929" s="1" t="n">
        <x:f>'Inventory inputs'!H929/'Inventory inputs'!J929</x:f>
        <x:v>40.88</x:v>
      </x:c>
      <x:c r="H929" s="1" t="n">
        <x:f>IF('Inventory inputs'!I929&gt;0,'Inventory inputs'!I929*'Inventory inputs'!K929/'Inventory inputs'!J929,"n.a.")</x:f>
        <x:v>49.05</x:v>
      </x:c>
      <x:c r="I929" s="1" t="n">
        <x:f>'Inventory inputs'!L929</x:f>
        <x:v>16</x:v>
      </x:c>
      <x:c r="J929" s="1" t="n">
        <x:f>'Inventory inputs'!M929</x:f>
        <x:v>0</x:v>
      </x:c>
      <x:c r="K929" s="1" t="n">
        <x:f>'Inventory inputs'!N929</x:f>
        <x:v>0</x:v>
      </x:c>
      <x:c r="L929" s="1" t="n">
        <x:f>'Inventory inputs'!O929</x:f>
        <x:v>1</x:v>
      </x:c>
      <x:c r="M929" s="9" t="n">
        <x:f>E929*G929</x:f>
        <x:v>654.08</x:v>
      </x:c>
      <x:c r="N929" s="9" t="n">
        <x:f>'Inventory inputs'!Q929</x:f>
        <x:v>654.08</x:v>
      </x:c>
      <x:c r="O929" s="9" t="n">
        <x:f>N929-M929</x:f>
        <x:v>0</x:v>
      </x:c>
      <x:c r="P929" s="1" t="n">
        <x:f>SUMIFS('Incoming POs'!$P$2:$P$305,'Incoming POs'!$A$2:$A$305,A929,'Incoming POs'!$B$2:$B$305,B929,'Incoming POs'!$C$2:$C$305,C929,'Incoming POs'!$G$2:$G$305,"&gt;="&amp;D929,'Incoming POs'!$G$2:$G$305,"&lt;"&amp;Dashboard!$I$5)</x:f>
        <x:v>0</x:v>
      </x:c>
      <x:c r="Q929" s="1" t="n">
        <x:f>F929*Dashboard!$L$5*MAX(0,Dashboard!$I$5-D929)/30.4375</x:f>
        <x:v>10.016673511293634</x:v>
      </x:c>
      <x:c r="R929" s="1" t="n">
        <x:f>MAX(0,E929+P929-Q929)</x:f>
        <x:v>5.983326488706366</x:v>
      </x:c>
      <x:c r="S929" s="1" t="n">
        <x:f>MAX(0,Q929-E929-P929)</x:f>
        <x:v>0</x:v>
      </x:c>
      <x:c r="T929" s="1" t="n">
        <x:f>IF(L929=1,MAX(0,I929+AB929-MIN(Q929,E929+P929)),"n.a.")</x:f>
        <x:v>5.983326488706366</x:v>
      </x:c>
      <x:c r="U929" s="9" t="n">
        <x:f>IF(ISNUMBER(T929),T929*G929,"n.a.")</x:f>
        <x:v>244.59838685831625</x:v>
      </x:c>
      <x:c r="V929" s="25" t="n">
        <x:f>IF(Dashboard!$I$6="Flat %",1,IF(ISNUMBER(H929),1,0))</x:f>
        <x:v>1</x:v>
      </x:c>
      <x:c r="W929" s="9" t="n">
        <x:f>IF(Dashboard!$I$6="Flat %",G929*(1+Dashboard!$L$6),H929)</x:f>
        <x:v>49.05</x:v>
      </x:c>
      <x:c r="X929" s="9" t="n">
        <x:f>IF(V929=1,R929*(W929-G929),"n.a.")</x:f>
        <x:v>48.88377741273098</x:v>
      </x:c>
      <x:c r="Y929" s="9" t="n">
        <x:f>IF(V929=1,R929*W929,"n.a.")</x:f>
        <x:v>293.4821642710472</x:v>
      </x:c>
      <x:c r="Z929" s="1" t="n">
        <x:f>IF(ISNUMBER(T929),R929-T929,"n.a.")</x:f>
        <x:v>0</x:v>
      </x:c>
      <x:c r="AA929" s="1" t="str">
        <x:f>'Inventory inputs'!R929</x:f>
        <x:v>Classified</x:v>
      </x:c>
      <x:c r="AB929" s="1" t="n">
        <x:f>IF(L929=1,SUMIFS('Incoming POs'!$P$2:$P$305,'Incoming POs'!$A$2:$A$305,A929,'Incoming POs'!$B$2:$B$305,B929,'Incoming POs'!$C$2:$C$305,C929,'Incoming POs'!$G$2:$G$305,"&gt;="&amp;D929,'Incoming POs'!$G$2:$G$305,"&lt;"&amp;Dashboard!$I$5,'Incoming POs'!$Q$2:$Q$305,"&lt;="&amp;('Inventory inputs'!P929/'Inventory inputs'!J929*1.01)),"n.a.")</x:f>
        <x:v>0</x:v>
      </x:c>
      <x:c r="AC929" s="9" t="n">
        <x:f>I929*G929</x:f>
        <x:v>654.08</x:v>
      </x:c>
      <x:c r="AD929" s="9" t="n">
        <x:f>J929*G929</x:f>
        <x:v>0</x:v>
      </x:c>
      <x:c r="AE929" s="9" t="n">
        <x:f>K929*G929</x:f>
        <x:v>0</x:v>
      </x:c>
      <x:c r="AF929" s="9" t="n">
        <x:f>R929*G929</x:f>
        <x:v>244.59838685831625</x:v>
      </x:c>
    </x:row>
    <x:row r="930" ht="21" customHeight="1">
      <x:c r="A930" s="1" t="str">
        <x:f>'Inventory inputs'!A930</x:f>
        <x:v>FILM</x:v>
      </x:c>
      <x:c r="B930" s="1" t="str">
        <x:f>'Inventory inputs'!B930</x:f>
        <x:v>30</x:v>
      </x:c>
      <x:c r="C930" s="1" t="str">
        <x:f>'Inventory inputs'!C930</x:f>
        <x:v>382005C2</x:v>
      </x:c>
      <x:c r="D930" s="7" t="n">
        <x:f>'Inventory inputs'!E930</x:f>
        <x:v>46304</x:v>
      </x:c>
      <x:c r="E930" s="1" t="n">
        <x:f>'Inventory inputs'!F930</x:f>
        <x:v>83</x:v>
      </x:c>
      <x:c r="F930" s="1" t="n">
        <x:f>'Inventory inputs'!G930</x:f>
        <x:v>7.17</x:v>
      </x:c>
      <x:c r="G930" s="1" t="n">
        <x:f>'Inventory inputs'!H930/'Inventory inputs'!J930</x:f>
        <x:v>32.19</x:v>
      </x:c>
      <x:c r="H930" s="1" t="n">
        <x:f>IF('Inventory inputs'!I930&gt;0,'Inventory inputs'!I930*'Inventory inputs'!K930/'Inventory inputs'!J930,"n.a.")</x:f>
        <x:v>38.67</x:v>
      </x:c>
      <x:c r="I930" s="1" t="n">
        <x:f>'Inventory inputs'!L930</x:f>
        <x:v>19</x:v>
      </x:c>
      <x:c r="J930" s="1" t="n">
        <x:f>'Inventory inputs'!M930</x:f>
        <x:v>64</x:v>
      </x:c>
      <x:c r="K930" s="1" t="n">
        <x:f>'Inventory inputs'!N930</x:f>
        <x:v>0</x:v>
      </x:c>
      <x:c r="L930" s="1" t="n">
        <x:f>'Inventory inputs'!O930</x:f>
        <x:v>1</x:v>
      </x:c>
      <x:c r="M930" s="9" t="n">
        <x:f>E930*G930</x:f>
        <x:v>2671.77</x:v>
      </x:c>
      <x:c r="N930" s="9" t="n">
        <x:f>'Inventory inputs'!Q930</x:f>
        <x:v>2671.77</x:v>
      </x:c>
      <x:c r="O930" s="9" t="n">
        <x:f>N930-M930</x:f>
        <x:v>0</x:v>
      </x:c>
      <x:c r="P930" s="1" t="n">
        <x:f>SUMIFS('Incoming POs'!$P$2:$P$305,'Incoming POs'!$A$2:$A$305,A930,'Incoming POs'!$B$2:$B$305,B930,'Incoming POs'!$C$2:$C$305,C930,'Incoming POs'!$G$2:$G$305,"&gt;="&amp;D930,'Incoming POs'!$G$2:$G$305,"&lt;"&amp;Dashboard!$I$5)</x:f>
        <x:v>0</x:v>
      </x:c>
      <x:c r="Q930" s="1" t="n">
        <x:f>F930*Dashboard!$L$5*MAX(0,Dashboard!$I$5-D930)/30.4375</x:f>
        <x:v>9.363696098562627</x:v>
      </x:c>
      <x:c r="R930" s="1" t="n">
        <x:f>MAX(0,E930+P930-Q930)</x:f>
        <x:v>73.63630390143737</x:v>
      </x:c>
      <x:c r="S930" s="1" t="n">
        <x:f>MAX(0,Q930-E930-P930)</x:f>
        <x:v>0</x:v>
      </x:c>
      <x:c r="T930" s="1" t="n">
        <x:f>IF(L930=1,MAX(0,I930+AB930-MIN(Q930,E930+P930)),"n.a.")</x:f>
        <x:v>9.636303901437373</x:v>
      </x:c>
      <x:c r="U930" s="9" t="n">
        <x:f>IF(ISNUMBER(T930),T930*G930,"n.a.")</x:f>
        <x:v>310.192622587269</x:v>
      </x:c>
      <x:c r="V930" s="25" t="n">
        <x:f>IF(Dashboard!$I$6="Flat %",1,IF(ISNUMBER(H930),1,0))</x:f>
        <x:v>1</x:v>
      </x:c>
      <x:c r="W930" s="9" t="n">
        <x:f>IF(Dashboard!$I$6="Flat %",G930*(1+Dashboard!$L$6),H930)</x:f>
        <x:v>38.67</x:v>
      </x:c>
      <x:c r="X930" s="9" t="n">
        <x:f>IF(V930=1,R930*(W930-G930),"n.a.")</x:f>
        <x:v>477.16324928131445</x:v>
      </x:c>
      <x:c r="Y930" s="9" t="n">
        <x:f>IF(V930=1,R930*W930,"n.a.")</x:f>
        <x:v>2847.5158718685834</x:v>
      </x:c>
      <x:c r="Z930" s="1" t="n">
        <x:f>IF(ISNUMBER(T930),R930-T930,"n.a.")</x:f>
        <x:v>64</x:v>
      </x:c>
      <x:c r="AA930" s="1" t="str">
        <x:f>'Inventory inputs'!R930</x:f>
        <x:v>Classified</x:v>
      </x:c>
      <x:c r="AB930" s="1" t="n">
        <x:f>IF(L930=1,SUMIFS('Incoming POs'!$P$2:$P$305,'Incoming POs'!$A$2:$A$305,A930,'Incoming POs'!$B$2:$B$305,B930,'Incoming POs'!$C$2:$C$305,C930,'Incoming POs'!$G$2:$G$305,"&gt;="&amp;D930,'Incoming POs'!$G$2:$G$305,"&lt;"&amp;Dashboard!$I$5,'Incoming POs'!$Q$2:$Q$305,"&lt;="&amp;('Inventory inputs'!P930/'Inventory inputs'!J930*1.01)),"n.a.")</x:f>
        <x:v>0</x:v>
      </x:c>
      <x:c r="AC930" s="9" t="n">
        <x:f>I930*G930</x:f>
        <x:v>611.6099999999999</x:v>
      </x:c>
      <x:c r="AD930" s="9" t="n">
        <x:f>J930*G930</x:f>
        <x:v>2060.16</x:v>
      </x:c>
      <x:c r="AE930" s="9" t="n">
        <x:f>K930*G930</x:f>
        <x:v>0</x:v>
      </x:c>
      <x:c r="AF930" s="9" t="n">
        <x:f>R930*G930</x:f>
        <x:v>2370.352622587269</x:v>
      </x:c>
    </x:row>
    <x:row r="931" ht="21" customHeight="1">
      <x:c r="A931" s="1" t="str">
        <x:f>'Inventory inputs'!A931</x:f>
        <x:v>FILM</x:v>
      </x:c>
      <x:c r="B931" s="1" t="str">
        <x:f>'Inventory inputs'!B931</x:f>
        <x:v>10</x:v>
      </x:c>
      <x:c r="C931" s="1" t="str">
        <x:f>'Inventory inputs'!C931</x:f>
        <x:v>252503C2</x:v>
      </x:c>
      <x:c r="D931" s="7" t="n">
        <x:f>'Inventory inputs'!E931</x:f>
        <x:v>46304</x:v>
      </x:c>
      <x:c r="E931" s="1" t="n">
        <x:f>'Inventory inputs'!F931</x:f>
        <x:v>76</x:v>
      </x:c>
      <x:c r="F931" s="1" t="n">
        <x:f>'Inventory inputs'!G931</x:f>
        <x:v>6.83</x:v>
      </x:c>
      <x:c r="G931" s="1" t="n">
        <x:f>'Inventory inputs'!H931/'Inventory inputs'!J931</x:f>
        <x:v>14.63</x:v>
      </x:c>
      <x:c r="H931" s="1" t="n">
        <x:f>IF('Inventory inputs'!I931&gt;0,'Inventory inputs'!I931*'Inventory inputs'!K931/'Inventory inputs'!J931,"n.a.")</x:f>
        <x:v>17.55</x:v>
      </x:c>
      <x:c r="I931" s="1" t="n">
        <x:f>'Inventory inputs'!L931</x:f>
        <x:v>12</x:v>
      </x:c>
      <x:c r="J931" s="1" t="n">
        <x:f>'Inventory inputs'!M931</x:f>
        <x:v>64</x:v>
      </x:c>
      <x:c r="K931" s="1" t="n">
        <x:f>'Inventory inputs'!N931</x:f>
        <x:v>0</x:v>
      </x:c>
      <x:c r="L931" s="1" t="n">
        <x:f>'Inventory inputs'!O931</x:f>
        <x:v>1</x:v>
      </x:c>
      <x:c r="M931" s="9" t="n">
        <x:f>E931*G931</x:f>
        <x:v>1111.88</x:v>
      </x:c>
      <x:c r="N931" s="9" t="n">
        <x:f>'Inventory inputs'!Q931</x:f>
        <x:v>1111.88</x:v>
      </x:c>
      <x:c r="O931" s="9" t="n">
        <x:f>N931-M931</x:f>
        <x:v>0</x:v>
      </x:c>
      <x:c r="P931" s="1" t="n">
        <x:f>SUMIFS('Incoming POs'!$P$2:$P$305,'Incoming POs'!$A$2:$A$305,A931,'Incoming POs'!$B$2:$B$305,B931,'Incoming POs'!$C$2:$C$305,C931,'Incoming POs'!$G$2:$G$305,"&gt;="&amp;D931,'Incoming POs'!$G$2:$G$305,"&lt;"&amp;Dashboard!$I$5)</x:f>
        <x:v>0</x:v>
      </x:c>
      <x:c r="Q931" s="1" t="n">
        <x:f>F931*Dashboard!$L$5*MAX(0,Dashboard!$I$5-D931)/30.4375</x:f>
        <x:v>8.919671457905544</x:v>
      </x:c>
      <x:c r="R931" s="1" t="n">
        <x:f>MAX(0,E931+P931-Q931)</x:f>
        <x:v>67.08032854209446</x:v>
      </x:c>
      <x:c r="S931" s="1" t="n">
        <x:f>MAX(0,Q931-E931-P931)</x:f>
        <x:v>0</x:v>
      </x:c>
      <x:c r="T931" s="1" t="n">
        <x:f>IF(L931=1,MAX(0,I931+AB931-MIN(Q931,E931+P931)),"n.a.")</x:f>
        <x:v>3.080328542094456</x:v>
      </x:c>
      <x:c r="U931" s="9" t="n">
        <x:f>IF(ISNUMBER(T931),T931*G931,"n.a.")</x:f>
        <x:v>45.065206570841895</x:v>
      </x:c>
      <x:c r="V931" s="25" t="n">
        <x:f>IF(Dashboard!$I$6="Flat %",1,IF(ISNUMBER(H931),1,0))</x:f>
        <x:v>1</x:v>
      </x:c>
      <x:c r="W931" s="9" t="n">
        <x:f>IF(Dashboard!$I$6="Flat %",G931*(1+Dashboard!$L$6),H931)</x:f>
        <x:v>17.55</x:v>
      </x:c>
      <x:c r="X931" s="9" t="n">
        <x:f>IF(V931=1,R931*(W931-G931),"n.a.")</x:f>
        <x:v>195.87455934291583</x:v>
      </x:c>
      <x:c r="Y931" s="9" t="n">
        <x:f>IF(V931=1,R931*W931,"n.a.")</x:f>
        <x:v>1177.259765913758</x:v>
      </x:c>
      <x:c r="Z931" s="1" t="n">
        <x:f>IF(ISNUMBER(T931),R931-T931,"n.a.")</x:f>
        <x:v>64</x:v>
      </x:c>
      <x:c r="AA931" s="1" t="str">
        <x:f>'Inventory inputs'!R931</x:f>
        <x:v>Classified</x:v>
      </x:c>
      <x:c r="AB931" s="1" t="n">
        <x:f>IF(L931=1,SUMIFS('Incoming POs'!$P$2:$P$305,'Incoming POs'!$A$2:$A$305,A931,'Incoming POs'!$B$2:$B$305,B931,'Incoming POs'!$C$2:$C$305,C931,'Incoming POs'!$G$2:$G$305,"&gt;="&amp;D931,'Incoming POs'!$G$2:$G$305,"&lt;"&amp;Dashboard!$I$5,'Incoming POs'!$Q$2:$Q$305,"&lt;="&amp;('Inventory inputs'!P931/'Inventory inputs'!J931*1.01)),"n.a.")</x:f>
        <x:v>0</x:v>
      </x:c>
      <x:c r="AC931" s="9" t="n">
        <x:f>I931*G931</x:f>
        <x:v>175.56</x:v>
      </x:c>
      <x:c r="AD931" s="9" t="n">
        <x:f>J931*G931</x:f>
        <x:v>936.32</x:v>
      </x:c>
      <x:c r="AE931" s="9" t="n">
        <x:f>K931*G931</x:f>
        <x:v>0</x:v>
      </x:c>
      <x:c r="AF931" s="9" t="n">
        <x:f>R931*G931</x:f>
        <x:v>981.385206570842</x:v>
      </x:c>
    </x:row>
    <x:row r="932" ht="21" customHeight="1">
      <x:c r="A932" s="1" t="str">
        <x:f>'Inventory inputs'!A932</x:f>
        <x:v>FILM</x:v>
      </x:c>
      <x:c r="B932" s="1" t="str">
        <x:f>'Inventory inputs'!B932</x:f>
        <x:v>30</x:v>
      </x:c>
      <x:c r="C932" s="1" t="str">
        <x:f>'Inventory inputs'!C932</x:f>
        <x:v>ST2550017M1</x:v>
      </x:c>
      <x:c r="D932" s="7" t="n">
        <x:f>'Inventory inputs'!E932</x:f>
        <x:v>46304</x:v>
      </x:c>
      <x:c r="E932" s="1" t="n">
        <x:f>'Inventory inputs'!F932</x:f>
        <x:v>44</x:v>
      </x:c>
      <x:c r="F932" s="1" t="n">
        <x:f>'Inventory inputs'!G932</x:f>
        <x:v>6.67</x:v>
      </x:c>
      <x:c r="G932" s="1" t="n">
        <x:f>'Inventory inputs'!H932/'Inventory inputs'!J932</x:f>
        <x:v>63</x:v>
      </x:c>
      <x:c r="H932" s="1" t="n">
        <x:f>IF('Inventory inputs'!I932&gt;0,'Inventory inputs'!I932*'Inventory inputs'!K932/'Inventory inputs'!J932,"n.a.")</x:f>
        <x:v>75.6</x:v>
      </x:c>
      <x:c r="I932" s="1" t="n">
        <x:f>'Inventory inputs'!L932</x:f>
        <x:v>44</x:v>
      </x:c>
      <x:c r="J932" s="1" t="n">
        <x:f>'Inventory inputs'!M932</x:f>
        <x:v>0</x:v>
      </x:c>
      <x:c r="K932" s="1" t="n">
        <x:f>'Inventory inputs'!N932</x:f>
        <x:v>0</x:v>
      </x:c>
      <x:c r="L932" s="1" t="n">
        <x:f>'Inventory inputs'!O932</x:f>
        <x:v>1</x:v>
      </x:c>
      <x:c r="M932" s="9" t="n">
        <x:f>E932*G932</x:f>
        <x:v>2772</x:v>
      </x:c>
      <x:c r="N932" s="9" t="n">
        <x:f>'Inventory inputs'!Q932</x:f>
        <x:v>2772</x:v>
      </x:c>
      <x:c r="O932" s="9" t="n">
        <x:f>N932-M932</x:f>
        <x:v>0</x:v>
      </x:c>
      <x:c r="P932" s="1" t="n">
        <x:f>SUMIFS('Incoming POs'!$P$2:$P$305,'Incoming POs'!$A$2:$A$305,A932,'Incoming POs'!$B$2:$B$305,B932,'Incoming POs'!$C$2:$C$305,C932,'Incoming POs'!$G$2:$G$305,"&gt;="&amp;D932,'Incoming POs'!$G$2:$G$305,"&lt;"&amp;Dashboard!$I$5)</x:f>
        <x:v>0</x:v>
      </x:c>
      <x:c r="Q932" s="1" t="n">
        <x:f>F932*Dashboard!$L$5*MAX(0,Dashboard!$I$5-D932)/30.4375</x:f>
        <x:v>8.710718685831623</x:v>
      </x:c>
      <x:c r="R932" s="1" t="n">
        <x:f>MAX(0,E932+P932-Q932)</x:f>
        <x:v>35.28928131416838</x:v>
      </x:c>
      <x:c r="S932" s="1" t="n">
        <x:f>MAX(0,Q932-E932-P932)</x:f>
        <x:v>0</x:v>
      </x:c>
      <x:c r="T932" s="1" t="n">
        <x:f>IF(L932=1,MAX(0,I932+AB932-MIN(Q932,E932+P932)),"n.a.")</x:f>
        <x:v>35.28928131416838</x:v>
      </x:c>
      <x:c r="U932" s="9" t="n">
        <x:f>IF(ISNUMBER(T932),T932*G932,"n.a.")</x:f>
        <x:v>2223.2247227926077</x:v>
      </x:c>
      <x:c r="V932" s="25" t="n">
        <x:f>IF(Dashboard!$I$6="Flat %",1,IF(ISNUMBER(H932),1,0))</x:f>
        <x:v>1</x:v>
      </x:c>
      <x:c r="W932" s="9" t="n">
        <x:f>IF(Dashboard!$I$6="Flat %",G932*(1+Dashboard!$L$6),H932)</x:f>
        <x:v>75.6</x:v>
      </x:c>
      <x:c r="X932" s="9" t="n">
        <x:f>IF(V932=1,R932*(W932-G932),"n.a.")</x:f>
        <x:v>444.64494455852133</x:v>
      </x:c>
      <x:c r="Y932" s="9" t="n">
        <x:f>IF(V932=1,R932*W932,"n.a.")</x:f>
        <x:v>2667.869667351129</x:v>
      </x:c>
      <x:c r="Z932" s="1" t="n">
        <x:f>IF(ISNUMBER(T932),R932-T932,"n.a.")</x:f>
        <x:v>0</x:v>
      </x:c>
      <x:c r="AA932" s="1" t="str">
        <x:f>'Inventory inputs'!R932</x:f>
        <x:v>Classified</x:v>
      </x:c>
      <x:c r="AB932" s="1" t="n">
        <x:f>IF(L932=1,SUMIFS('Incoming POs'!$P$2:$P$305,'Incoming POs'!$A$2:$A$305,A932,'Incoming POs'!$B$2:$B$305,B932,'Incoming POs'!$C$2:$C$305,C932,'Incoming POs'!$G$2:$G$305,"&gt;="&amp;D932,'Incoming POs'!$G$2:$G$305,"&lt;"&amp;Dashboard!$I$5,'Incoming POs'!$Q$2:$Q$305,"&lt;="&amp;('Inventory inputs'!P932/'Inventory inputs'!J932*1.01)),"n.a.")</x:f>
        <x:v>0</x:v>
      </x:c>
      <x:c r="AC932" s="9" t="n">
        <x:f>I932*G932</x:f>
        <x:v>2772</x:v>
      </x:c>
      <x:c r="AD932" s="9" t="n">
        <x:f>J932*G932</x:f>
        <x:v>0</x:v>
      </x:c>
      <x:c r="AE932" s="9" t="n">
        <x:f>K932*G932</x:f>
        <x:v>0</x:v>
      </x:c>
      <x:c r="AF932" s="9" t="n">
        <x:f>R932*G932</x:f>
        <x:v>2223.2247227926077</x:v>
      </x:c>
    </x:row>
    <x:row r="933" ht="21" customHeight="1">
      <x:c r="A933" s="1" t="str">
        <x:f>'Inventory inputs'!A933</x:f>
        <x:v>FILM</x:v>
      </x:c>
      <x:c r="B933" s="1" t="str">
        <x:f>'Inventory inputs'!B933</x:f>
        <x:v>60</x:v>
      </x:c>
      <x:c r="C933" s="1" t="str">
        <x:f>'Inventory inputs'!C933</x:f>
        <x:v>1210010C1</x:v>
      </x:c>
      <x:c r="D933" s="7" t="n">
        <x:f>'Inventory inputs'!E933</x:f>
        <x:v>46304</x:v>
      </x:c>
      <x:c r="E933" s="1" t="n">
        <x:f>'Inventory inputs'!F933</x:f>
        <x:v>3</x:v>
      </x:c>
      <x:c r="F933" s="1" t="n">
        <x:f>'Inventory inputs'!G933</x:f>
        <x:v>6.42</x:v>
      </x:c>
      <x:c r="G933" s="1" t="n">
        <x:f>'Inventory inputs'!H933/'Inventory inputs'!J933</x:f>
        <x:v>11.38</x:v>
      </x:c>
      <x:c r="H933" s="1" t="n">
        <x:f>IF('Inventory inputs'!I933&gt;0,'Inventory inputs'!I933*'Inventory inputs'!K933/'Inventory inputs'!J933,"n.a.")</x:f>
        <x:v>13.66</x:v>
      </x:c>
      <x:c r="I933" s="1" t="n">
        <x:f>'Inventory inputs'!L933</x:f>
        <x:v>3</x:v>
      </x:c>
      <x:c r="J933" s="1" t="n">
        <x:f>'Inventory inputs'!M933</x:f>
        <x:v>0</x:v>
      </x:c>
      <x:c r="K933" s="1" t="n">
        <x:f>'Inventory inputs'!N933</x:f>
        <x:v>0</x:v>
      </x:c>
      <x:c r="L933" s="1" t="n">
        <x:f>'Inventory inputs'!O933</x:f>
        <x:v>1</x:v>
      </x:c>
      <x:c r="M933" s="9" t="n">
        <x:f>E933*G933</x:f>
        <x:v>34.14</x:v>
      </x:c>
      <x:c r="N933" s="9" t="n">
        <x:f>'Inventory inputs'!Q933</x:f>
        <x:v>34.14</x:v>
      </x:c>
      <x:c r="O933" s="9" t="n">
        <x:f>N933-M933</x:f>
        <x:v>0</x:v>
      </x:c>
      <x:c r="P933" s="1" t="n">
        <x:f>SUMIFS('Incoming POs'!$P$2:$P$305,'Incoming POs'!$A$2:$A$305,A933,'Incoming POs'!$B$2:$B$305,B933,'Incoming POs'!$C$2:$C$305,C933,'Incoming POs'!$G$2:$G$305,"&gt;="&amp;D933,'Incoming POs'!$G$2:$G$305,"&lt;"&amp;Dashboard!$I$5)</x:f>
        <x:v>0</x:v>
      </x:c>
      <x:c r="Q933" s="1" t="n">
        <x:f>F933*Dashboard!$L$5*MAX(0,Dashboard!$I$5-D933)/30.4375</x:f>
        <x:v>8.384229979466118</x:v>
      </x:c>
      <x:c r="R933" s="1" t="n">
        <x:f>MAX(0,E933+P933-Q933)</x:f>
        <x:v>0</x:v>
      </x:c>
      <x:c r="S933" s="1" t="n">
        <x:f>MAX(0,Q933-E933-P933)</x:f>
        <x:v>5.384229979466118</x:v>
      </x:c>
      <x:c r="T933" s="1" t="n">
        <x:f>IF(L933=1,MAX(0,I933+AB933-MIN(Q933,E933+P933)),"n.a.")</x:f>
        <x:v>0</x:v>
      </x:c>
      <x:c r="U933" s="9" t="n">
        <x:f>IF(ISNUMBER(T933),T933*G933,"n.a.")</x:f>
        <x:v>0</x:v>
      </x:c>
      <x:c r="V933" s="25" t="n">
        <x:f>IF(Dashboard!$I$6="Flat %",1,IF(ISNUMBER(H933),1,0))</x:f>
        <x:v>1</x:v>
      </x:c>
      <x:c r="W933" s="9" t="n">
        <x:f>IF(Dashboard!$I$6="Flat %",G933*(1+Dashboard!$L$6),H933)</x:f>
        <x:v>13.66</x:v>
      </x:c>
      <x:c r="X933" s="9" t="n">
        <x:f>IF(V933=1,R933*(W933-G933),"n.a.")</x:f>
        <x:v>0</x:v>
      </x:c>
      <x:c r="Y933" s="9" t="n">
        <x:f>IF(V933=1,R933*W933,"n.a.")</x:f>
        <x:v>0</x:v>
      </x:c>
      <x:c r="Z933" s="1" t="n">
        <x:f>IF(ISNUMBER(T933),R933-T933,"n.a.")</x:f>
        <x:v>0</x:v>
      </x:c>
      <x:c r="AA933" s="1" t="str">
        <x:f>'Inventory inputs'!R933</x:f>
        <x:v>Classified</x:v>
      </x:c>
      <x:c r="AB933" s="1" t="n">
        <x:f>IF(L933=1,SUMIFS('Incoming POs'!$P$2:$P$305,'Incoming POs'!$A$2:$A$305,A933,'Incoming POs'!$B$2:$B$305,B933,'Incoming POs'!$C$2:$C$305,C933,'Incoming POs'!$G$2:$G$305,"&gt;="&amp;D933,'Incoming POs'!$G$2:$G$305,"&lt;"&amp;Dashboard!$I$5,'Incoming POs'!$Q$2:$Q$305,"&lt;="&amp;('Inventory inputs'!P933/'Inventory inputs'!J933*1.01)),"n.a.")</x:f>
        <x:v>0</x:v>
      </x:c>
      <x:c r="AC933" s="9" t="n">
        <x:f>I933*G933</x:f>
        <x:v>34.14</x:v>
      </x:c>
      <x:c r="AD933" s="9" t="n">
        <x:f>J933*G933</x:f>
        <x:v>0</x:v>
      </x:c>
      <x:c r="AE933" s="9" t="n">
        <x:f>K933*G933</x:f>
        <x:v>0</x:v>
      </x:c>
      <x:c r="AF933" s="9" t="n">
        <x:f>R933*G933</x:f>
        <x:v>0</x:v>
      </x:c>
    </x:row>
    <x:row r="934" ht="21" customHeight="1">
      <x:c r="A934" s="1" t="str">
        <x:f>'Inventory inputs'!A934</x:f>
        <x:v>FILM</x:v>
      </x:c>
      <x:c r="B934" s="1" t="str">
        <x:f>'Inventory inputs'!B934</x:f>
        <x:v>60</x:v>
      </x:c>
      <x:c r="C934" s="1" t="str">
        <x:f>'Inventory inputs'!C934</x:f>
        <x:v>382005C3</x:v>
      </x:c>
      <x:c r="D934" s="7" t="n">
        <x:f>'Inventory inputs'!E934</x:f>
        <x:v>46304</x:v>
      </x:c>
      <x:c r="E934" s="1" t="n">
        <x:f>'Inventory inputs'!F934</x:f>
        <x:v>36</x:v>
      </x:c>
      <x:c r="F934" s="1" t="n">
        <x:f>'Inventory inputs'!G934</x:f>
        <x:v>6.42</x:v>
      </x:c>
      <x:c r="G934" s="1" t="n">
        <x:f>'Inventory inputs'!H934/'Inventory inputs'!J934</x:f>
        <x:v>32.19</x:v>
      </x:c>
      <x:c r="H934" s="1" t="n">
        <x:f>IF('Inventory inputs'!I934&gt;0,'Inventory inputs'!I934*'Inventory inputs'!K934/'Inventory inputs'!J934,"n.a.")</x:f>
        <x:v>38.67</x:v>
      </x:c>
      <x:c r="I934" s="1" t="n">
        <x:f>'Inventory inputs'!L934</x:f>
        <x:v>11</x:v>
      </x:c>
      <x:c r="J934" s="1" t="n">
        <x:f>'Inventory inputs'!M934</x:f>
        <x:v>25</x:v>
      </x:c>
      <x:c r="K934" s="1" t="n">
        <x:f>'Inventory inputs'!N934</x:f>
        <x:v>0</x:v>
      </x:c>
      <x:c r="L934" s="1" t="n">
        <x:f>'Inventory inputs'!O934</x:f>
        <x:v>1</x:v>
      </x:c>
      <x:c r="M934" s="9" t="n">
        <x:f>E934*G934</x:f>
        <x:v>1158.84</x:v>
      </x:c>
      <x:c r="N934" s="9" t="n">
        <x:f>'Inventory inputs'!Q934</x:f>
        <x:v>1191.03</x:v>
      </x:c>
      <x:c r="O934" s="9" t="n">
        <x:f>N934-M934</x:f>
        <x:v>32.190000000000055</x:v>
      </x:c>
      <x:c r="P934" s="1" t="n">
        <x:f>SUMIFS('Incoming POs'!$P$2:$P$305,'Incoming POs'!$A$2:$A$305,A934,'Incoming POs'!$B$2:$B$305,B934,'Incoming POs'!$C$2:$C$305,C934,'Incoming POs'!$G$2:$G$305,"&gt;="&amp;D934,'Incoming POs'!$G$2:$G$305,"&lt;"&amp;Dashboard!$I$5)</x:f>
        <x:v>0</x:v>
      </x:c>
      <x:c r="Q934" s="1" t="n">
        <x:f>F934*Dashboard!$L$5*MAX(0,Dashboard!$I$5-D934)/30.4375</x:f>
        <x:v>8.384229979466118</x:v>
      </x:c>
      <x:c r="R934" s="1" t="n">
        <x:f>MAX(0,E934+P934-Q934)</x:f>
        <x:v>27.61577002053388</x:v>
      </x:c>
      <x:c r="S934" s="1" t="n">
        <x:f>MAX(0,Q934-E934-P934)</x:f>
        <x:v>0</x:v>
      </x:c>
      <x:c r="T934" s="1" t="n">
        <x:f>IF(L934=1,MAX(0,I934+AB934-MIN(Q934,E934+P934)),"n.a.")</x:f>
        <x:v>2.6157700205338816</x:v>
      </x:c>
      <x:c r="U934" s="9" t="n">
        <x:f>IF(ISNUMBER(T934),T934*G934,"n.a.")</x:f>
        <x:v>84.20163696098564</x:v>
      </x:c>
      <x:c r="V934" s="25" t="n">
        <x:f>IF(Dashboard!$I$6="Flat %",1,IF(ISNUMBER(H934),1,0))</x:f>
        <x:v>1</x:v>
      </x:c>
      <x:c r="W934" s="9" t="n">
        <x:f>IF(Dashboard!$I$6="Flat %",G934*(1+Dashboard!$L$6),H934)</x:f>
        <x:v>38.67</x:v>
      </x:c>
      <x:c r="X934" s="9" t="n">
        <x:f>IF(V934=1,R934*(W934-G934),"n.a.")</x:f>
        <x:v>178.95018973305966</x:v>
      </x:c>
      <x:c r="Y934" s="9" t="n">
        <x:f>IF(V934=1,R934*W934,"n.a.")</x:f>
        <x:v>1067.9018266940452</x:v>
      </x:c>
      <x:c r="Z934" s="1" t="n">
        <x:f>IF(ISNUMBER(T934),R934-T934,"n.a.")</x:f>
        <x:v>25</x:v>
      </x:c>
      <x:c r="AA934" s="1" t="str">
        <x:f>'Inventory inputs'!R934</x:f>
        <x:v>Classified</x:v>
      </x:c>
      <x:c r="AB934" s="1" t="n">
        <x:f>IF(L934=1,SUMIFS('Incoming POs'!$P$2:$P$305,'Incoming POs'!$A$2:$A$305,A934,'Incoming POs'!$B$2:$B$305,B934,'Incoming POs'!$C$2:$C$305,C934,'Incoming POs'!$G$2:$G$305,"&gt;="&amp;D934,'Incoming POs'!$G$2:$G$305,"&lt;"&amp;Dashboard!$I$5,'Incoming POs'!$Q$2:$Q$305,"&lt;="&amp;('Inventory inputs'!P934/'Inventory inputs'!J934*1.01)),"n.a.")</x:f>
        <x:v>0</x:v>
      </x:c>
      <x:c r="AC934" s="9" t="n">
        <x:f>I934*G934</x:f>
        <x:v>354.09</x:v>
      </x:c>
      <x:c r="AD934" s="9" t="n">
        <x:f>J934*G934</x:f>
        <x:v>804.75</x:v>
      </x:c>
      <x:c r="AE934" s="9" t="n">
        <x:f>K934*G934</x:f>
        <x:v>0</x:v>
      </x:c>
      <x:c r="AF934" s="9" t="n">
        <x:f>R934*G934</x:f>
        <x:v>888.9516369609855</x:v>
      </x:c>
    </x:row>
    <x:row r="935" ht="21" customHeight="1">
      <x:c r="A935" s="1" t="str">
        <x:f>'Inventory inputs'!A935</x:f>
        <x:v>FILM</x:v>
      </x:c>
      <x:c r="B935" s="1" t="str">
        <x:f>'Inventory inputs'!B935</x:f>
        <x:v>10</x:v>
      </x:c>
      <x:c r="C935" s="1" t="str">
        <x:f>'Inventory inputs'!C935</x:f>
        <x:v>382005C2</x:v>
      </x:c>
      <x:c r="D935" s="7" t="n">
        <x:f>'Inventory inputs'!E935</x:f>
        <x:v>46304</x:v>
      </x:c>
      <x:c r="E935" s="1" t="n">
        <x:f>'Inventory inputs'!F935</x:f>
        <x:v>43</x:v>
      </x:c>
      <x:c r="F935" s="1" t="n">
        <x:f>'Inventory inputs'!G935</x:f>
        <x:v>6.33</x:v>
      </x:c>
      <x:c r="G935" s="1" t="n">
        <x:f>'Inventory inputs'!H935/'Inventory inputs'!J935</x:f>
        <x:v>32.19</x:v>
      </x:c>
      <x:c r="H935" s="1" t="n">
        <x:f>IF('Inventory inputs'!I935&gt;0,'Inventory inputs'!I935*'Inventory inputs'!K935/'Inventory inputs'!J935,"n.a.")</x:f>
        <x:v>38.67</x:v>
      </x:c>
      <x:c r="I935" s="1" t="n">
        <x:f>'Inventory inputs'!L935</x:f>
        <x:v>43</x:v>
      </x:c>
      <x:c r="J935" s="1" t="n">
        <x:f>'Inventory inputs'!M935</x:f>
        <x:v>0</x:v>
      </x:c>
      <x:c r="K935" s="1" t="n">
        <x:f>'Inventory inputs'!N935</x:f>
        <x:v>0</x:v>
      </x:c>
      <x:c r="L935" s="1" t="n">
        <x:f>'Inventory inputs'!O935</x:f>
        <x:v>1</x:v>
      </x:c>
      <x:c r="M935" s="9" t="n">
        <x:f>E935*G935</x:f>
        <x:v>1384.1699999999998</x:v>
      </x:c>
      <x:c r="N935" s="9" t="n">
        <x:f>'Inventory inputs'!Q935</x:f>
        <x:v>1384.1699999999998</x:v>
      </x:c>
      <x:c r="O935" s="9" t="n">
        <x:f>N935-M935</x:f>
        <x:v>0</x:v>
      </x:c>
      <x:c r="P935" s="1" t="n">
        <x:f>SUMIFS('Incoming POs'!$P$2:$P$305,'Incoming POs'!$A$2:$A$305,A935,'Incoming POs'!$B$2:$B$305,B935,'Incoming POs'!$C$2:$C$305,C935,'Incoming POs'!$G$2:$G$305,"&gt;="&amp;D935,'Incoming POs'!$G$2:$G$305,"&lt;"&amp;Dashboard!$I$5)</x:f>
        <x:v>0</x:v>
      </x:c>
      <x:c r="Q935" s="1" t="n">
        <x:f>F935*Dashboard!$L$5*MAX(0,Dashboard!$I$5-D935)/30.4375</x:f>
        <x:v>8.266694045174539</x:v>
      </x:c>
      <x:c r="R935" s="1" t="n">
        <x:f>MAX(0,E935+P935-Q935)</x:f>
        <x:v>34.73330595482546</x:v>
      </x:c>
      <x:c r="S935" s="1" t="n">
        <x:f>MAX(0,Q935-E935-P935)</x:f>
        <x:v>0</x:v>
      </x:c>
      <x:c r="T935" s="1" t="n">
        <x:f>IF(L935=1,MAX(0,I935+AB935-MIN(Q935,E935+P935)),"n.a.")</x:f>
        <x:v>34.73330595482546</x:v>
      </x:c>
      <x:c r="U935" s="9" t="n">
        <x:f>IF(ISNUMBER(T935),T935*G935,"n.a.")</x:f>
        <x:v>1118.0651186858315</x:v>
      </x:c>
      <x:c r="V935" s="25" t="n">
        <x:f>IF(Dashboard!$I$6="Flat %",1,IF(ISNUMBER(H935),1,0))</x:f>
        <x:v>1</x:v>
      </x:c>
      <x:c r="W935" s="9" t="n">
        <x:f>IF(Dashboard!$I$6="Flat %",G935*(1+Dashboard!$L$6),H935)</x:f>
        <x:v>38.67</x:v>
      </x:c>
      <x:c r="X935" s="9" t="n">
        <x:f>IF(V935=1,R935*(W935-G935),"n.a.")</x:f>
        <x:v>225.07182258726914</x:v>
      </x:c>
      <x:c r="Y935" s="9" t="n">
        <x:f>IF(V935=1,R935*W935,"n.a.")</x:f>
        <x:v>1343.1369412731005</x:v>
      </x:c>
      <x:c r="Z935" s="1" t="n">
        <x:f>IF(ISNUMBER(T935),R935-T935,"n.a.")</x:f>
        <x:v>0</x:v>
      </x:c>
      <x:c r="AA935" s="1" t="str">
        <x:f>'Inventory inputs'!R935</x:f>
        <x:v>Classified</x:v>
      </x:c>
      <x:c r="AB935" s="1" t="n">
        <x:f>IF(L935=1,SUMIFS('Incoming POs'!$P$2:$P$305,'Incoming POs'!$A$2:$A$305,A935,'Incoming POs'!$B$2:$B$305,B935,'Incoming POs'!$C$2:$C$305,C935,'Incoming POs'!$G$2:$G$305,"&gt;="&amp;D935,'Incoming POs'!$G$2:$G$305,"&lt;"&amp;Dashboard!$I$5,'Incoming POs'!$Q$2:$Q$305,"&lt;="&amp;('Inventory inputs'!P935/'Inventory inputs'!J935*1.01)),"n.a.")</x:f>
        <x:v>0</x:v>
      </x:c>
      <x:c r="AC935" s="9" t="n">
        <x:f>I935*G935</x:f>
        <x:v>1384.1699999999998</x:v>
      </x:c>
      <x:c r="AD935" s="9" t="n">
        <x:f>J935*G935</x:f>
        <x:v>0</x:v>
      </x:c>
      <x:c r="AE935" s="9" t="n">
        <x:f>K935*G935</x:f>
        <x:v>0</x:v>
      </x:c>
      <x:c r="AF935" s="9" t="n">
        <x:f>R935*G935</x:f>
        <x:v>1118.0651186858315</x:v>
      </x:c>
    </x:row>
    <x:row r="936" ht="21" customHeight="1">
      <x:c r="A936" s="1" t="str">
        <x:f>'Inventory inputs'!A936</x:f>
        <x:v>FILM</x:v>
      </x:c>
      <x:c r="B936" s="1" t="str">
        <x:f>'Inventory inputs'!B936</x:f>
        <x:v>10</x:v>
      </x:c>
      <x:c r="C936" s="1" t="str">
        <x:f>'Inventory inputs'!C936</x:f>
        <x:v>255003C1</x:v>
      </x:c>
      <x:c r="D936" s="7" t="n">
        <x:f>'Inventory inputs'!E936</x:f>
        <x:v>46304</x:v>
      </x:c>
      <x:c r="E936" s="1" t="n">
        <x:f>'Inventory inputs'!F936</x:f>
        <x:v>66</x:v>
      </x:c>
      <x:c r="F936" s="1" t="n">
        <x:f>'Inventory inputs'!G936</x:f>
        <x:v>6.17</x:v>
      </x:c>
      <x:c r="G936" s="1" t="n">
        <x:f>'Inventory inputs'!H936/'Inventory inputs'!J936</x:f>
        <x:v>29.25</x:v>
      </x:c>
      <x:c r="H936" s="1" t="n">
        <x:f>IF('Inventory inputs'!I936&gt;0,'Inventory inputs'!I936*'Inventory inputs'!K936/'Inventory inputs'!J936,"n.a.")</x:f>
        <x:v>35.1</x:v>
      </x:c>
      <x:c r="I936" s="1" t="n">
        <x:f>'Inventory inputs'!L936</x:f>
        <x:v>66</x:v>
      </x:c>
      <x:c r="J936" s="1" t="n">
        <x:f>'Inventory inputs'!M936</x:f>
        <x:v>0</x:v>
      </x:c>
      <x:c r="K936" s="1" t="n">
        <x:f>'Inventory inputs'!N936</x:f>
        <x:v>0</x:v>
      </x:c>
      <x:c r="L936" s="1" t="n">
        <x:f>'Inventory inputs'!O936</x:f>
        <x:v>1</x:v>
      </x:c>
      <x:c r="M936" s="9" t="n">
        <x:f>E936*G936</x:f>
        <x:v>1930.5</x:v>
      </x:c>
      <x:c r="N936" s="9" t="n">
        <x:f>'Inventory inputs'!Q936</x:f>
        <x:v>1930.5</x:v>
      </x:c>
      <x:c r="O936" s="9" t="n">
        <x:f>N936-M936</x:f>
        <x:v>0</x:v>
      </x:c>
      <x:c r="P936" s="1" t="n">
        <x:f>SUMIFS('Incoming POs'!$P$2:$P$305,'Incoming POs'!$A$2:$A$305,A936,'Incoming POs'!$B$2:$B$305,B936,'Incoming POs'!$C$2:$C$305,C936,'Incoming POs'!$G$2:$G$305,"&gt;="&amp;D936,'Incoming POs'!$G$2:$G$305,"&lt;"&amp;Dashboard!$I$5)</x:f>
        <x:v>0</x:v>
      </x:c>
      <x:c r="Q936" s="1" t="n">
        <x:f>F936*Dashboard!$L$5*MAX(0,Dashboard!$I$5-D936)/30.4375</x:f>
        <x:v>8.057741273100614</x:v>
      </x:c>
      <x:c r="R936" s="1" t="n">
        <x:f>MAX(0,E936+P936-Q936)</x:f>
        <x:v>57.94225872689938</x:v>
      </x:c>
      <x:c r="S936" s="1" t="n">
        <x:f>MAX(0,Q936-E936-P936)</x:f>
        <x:v>0</x:v>
      </x:c>
      <x:c r="T936" s="1" t="n">
        <x:f>IF(L936=1,MAX(0,I936+AB936-MIN(Q936,E936+P936)),"n.a.")</x:f>
        <x:v>57.94225872689938</x:v>
      </x:c>
      <x:c r="U936" s="9" t="n">
        <x:f>IF(ISNUMBER(T936),T936*G936,"n.a.")</x:f>
        <x:v>1694.811067761807</x:v>
      </x:c>
      <x:c r="V936" s="25" t="n">
        <x:f>IF(Dashboard!$I$6="Flat %",1,IF(ISNUMBER(H936),1,0))</x:f>
        <x:v>1</x:v>
      </x:c>
      <x:c r="W936" s="9" t="n">
        <x:f>IF(Dashboard!$I$6="Flat %",G936*(1+Dashboard!$L$6),H936)</x:f>
        <x:v>35.1</x:v>
      </x:c>
      <x:c r="X936" s="9" t="n">
        <x:f>IF(V936=1,R936*(W936-G936),"n.a.")</x:f>
        <x:v>338.96221355236145</x:v>
      </x:c>
      <x:c r="Y936" s="9" t="n">
        <x:f>IF(V936=1,R936*W936,"n.a.")</x:f>
        <x:v>2033.7732813141683</x:v>
      </x:c>
      <x:c r="Z936" s="1" t="n">
        <x:f>IF(ISNUMBER(T936),R936-T936,"n.a.")</x:f>
        <x:v>0</x:v>
      </x:c>
      <x:c r="AA936" s="1" t="str">
        <x:f>'Inventory inputs'!R936</x:f>
        <x:v>Classified</x:v>
      </x:c>
      <x:c r="AB936" s="1" t="n">
        <x:f>IF(L936=1,SUMIFS('Incoming POs'!$P$2:$P$305,'Incoming POs'!$A$2:$A$305,A936,'Incoming POs'!$B$2:$B$305,B936,'Incoming POs'!$C$2:$C$305,C936,'Incoming POs'!$G$2:$G$305,"&gt;="&amp;D936,'Incoming POs'!$G$2:$G$305,"&lt;"&amp;Dashboard!$I$5,'Incoming POs'!$Q$2:$Q$305,"&lt;="&amp;('Inventory inputs'!P936/'Inventory inputs'!J936*1.01)),"n.a.")</x:f>
        <x:v>0</x:v>
      </x:c>
      <x:c r="AC936" s="9" t="n">
        <x:f>I936*G936</x:f>
        <x:v>1930.5</x:v>
      </x:c>
      <x:c r="AD936" s="9" t="n">
        <x:f>J936*G936</x:f>
        <x:v>0</x:v>
      </x:c>
      <x:c r="AE936" s="9" t="n">
        <x:f>K936*G936</x:f>
        <x:v>0</x:v>
      </x:c>
      <x:c r="AF936" s="9" t="n">
        <x:f>R936*G936</x:f>
        <x:v>1694.811067761807</x:v>
      </x:c>
    </x:row>
    <x:row r="937" ht="21" customHeight="1">
      <x:c r="A937" s="1" t="str">
        <x:f>'Inventory inputs'!A937</x:f>
        <x:v>FILM</x:v>
      </x:c>
      <x:c r="B937" s="1" t="str">
        <x:f>'Inventory inputs'!B937</x:f>
        <x:v>10</x:v>
      </x:c>
      <x:c r="C937" s="1" t="str">
        <x:f>'Inventory inputs'!C937</x:f>
        <x:v>1250015C1</x:v>
      </x:c>
      <x:c r="D937" s="7" t="n">
        <x:f>'Inventory inputs'!E937</x:f>
        <x:v>46304</x:v>
      </x:c>
      <x:c r="E937" s="1" t="n">
        <x:f>'Inventory inputs'!F937</x:f>
        <x:v>71</x:v>
      </x:c>
      <x:c r="F937" s="1" t="n">
        <x:f>'Inventory inputs'!G937</x:f>
        <x:v>5.83</x:v>
      </x:c>
      <x:c r="G937" s="1" t="n">
        <x:f>'Inventory inputs'!H937/'Inventory inputs'!J937</x:f>
        <x:v>6.48</x:v>
      </x:c>
      <x:c r="H937" s="1" t="n">
        <x:f>IF('Inventory inputs'!I937&gt;0,'Inventory inputs'!I937*'Inventory inputs'!K937/'Inventory inputs'!J937,"n.a.")</x:f>
        <x:v>7.78</x:v>
      </x:c>
      <x:c r="I937" s="1" t="n">
        <x:f>'Inventory inputs'!L937</x:f>
        <x:v>71</x:v>
      </x:c>
      <x:c r="J937" s="1" t="n">
        <x:f>'Inventory inputs'!M937</x:f>
        <x:v>0</x:v>
      </x:c>
      <x:c r="K937" s="1" t="n">
        <x:f>'Inventory inputs'!N937</x:f>
        <x:v>0</x:v>
      </x:c>
      <x:c r="L937" s="1" t="n">
        <x:f>'Inventory inputs'!O937</x:f>
        <x:v>1</x:v>
      </x:c>
      <x:c r="M937" s="9" t="n">
        <x:f>E937*G937</x:f>
        <x:v>460.08000000000004</x:v>
      </x:c>
      <x:c r="N937" s="9" t="n">
        <x:f>'Inventory inputs'!Q937</x:f>
        <x:v>460.08000000000004</x:v>
      </x:c>
      <x:c r="O937" s="9" t="n">
        <x:f>N937-M937</x:f>
        <x:v>0</x:v>
      </x:c>
      <x:c r="P937" s="1" t="n">
        <x:f>SUMIFS('Incoming POs'!$P$2:$P$305,'Incoming POs'!$A$2:$A$305,A937,'Incoming POs'!$B$2:$B$305,B937,'Incoming POs'!$C$2:$C$305,C937,'Incoming POs'!$G$2:$G$305,"&gt;="&amp;D937,'Incoming POs'!$G$2:$G$305,"&lt;"&amp;Dashboard!$I$5)</x:f>
        <x:v>0</x:v>
      </x:c>
      <x:c r="Q937" s="1" t="n">
        <x:f>F937*Dashboard!$L$5*MAX(0,Dashboard!$I$5-D937)/30.4375</x:f>
        <x:v>7.613716632443533</x:v>
      </x:c>
      <x:c r="R937" s="1" t="n">
        <x:f>MAX(0,E937+P937-Q937)</x:f>
        <x:v>63.386283367556466</x:v>
      </x:c>
      <x:c r="S937" s="1" t="n">
        <x:f>MAX(0,Q937-E937-P937)</x:f>
        <x:v>0</x:v>
      </x:c>
      <x:c r="T937" s="1" t="n">
        <x:f>IF(L937=1,MAX(0,I937+AB937-MIN(Q937,E937+P937)),"n.a.")</x:f>
        <x:v>63.386283367556466</x:v>
      </x:c>
      <x:c r="U937" s="9" t="n">
        <x:f>IF(ISNUMBER(T937),T937*G937,"n.a.")</x:f>
        <x:v>410.74311622176594</x:v>
      </x:c>
      <x:c r="V937" s="25" t="n">
        <x:f>IF(Dashboard!$I$6="Flat %",1,IF(ISNUMBER(H937),1,0))</x:f>
        <x:v>1</x:v>
      </x:c>
      <x:c r="W937" s="9" t="n">
        <x:f>IF(Dashboard!$I$6="Flat %",G937*(1+Dashboard!$L$6),H937)</x:f>
        <x:v>7.78</x:v>
      </x:c>
      <x:c r="X937" s="9" t="n">
        <x:f>IF(V937=1,R937*(W937-G937),"n.a.")</x:f>
        <x:v>82.4021683778234</x:v>
      </x:c>
      <x:c r="Y937" s="9" t="n">
        <x:f>IF(V937=1,R937*W937,"n.a.")</x:f>
        <x:v>493.14528459958933</x:v>
      </x:c>
      <x:c r="Z937" s="1" t="n">
        <x:f>IF(ISNUMBER(T937),R937-T937,"n.a.")</x:f>
        <x:v>0</x:v>
      </x:c>
      <x:c r="AA937" s="1" t="str">
        <x:f>'Inventory inputs'!R937</x:f>
        <x:v>Classified</x:v>
      </x:c>
      <x:c r="AB937" s="1" t="n">
        <x:f>IF(L937=1,SUMIFS('Incoming POs'!$P$2:$P$305,'Incoming POs'!$A$2:$A$305,A937,'Incoming POs'!$B$2:$B$305,B937,'Incoming POs'!$C$2:$C$305,C937,'Incoming POs'!$G$2:$G$305,"&gt;="&amp;D937,'Incoming POs'!$G$2:$G$305,"&lt;"&amp;Dashboard!$I$5,'Incoming POs'!$Q$2:$Q$305,"&lt;="&amp;('Inventory inputs'!P937/'Inventory inputs'!J937*1.01)),"n.a.")</x:f>
        <x:v>0</x:v>
      </x:c>
      <x:c r="AC937" s="9" t="n">
        <x:f>I937*G937</x:f>
        <x:v>460.08000000000004</x:v>
      </x:c>
      <x:c r="AD937" s="9" t="n">
        <x:f>J937*G937</x:f>
        <x:v>0</x:v>
      </x:c>
      <x:c r="AE937" s="9" t="n">
        <x:f>K937*G937</x:f>
        <x:v>0</x:v>
      </x:c>
      <x:c r="AF937" s="9" t="n">
        <x:f>R937*G937</x:f>
        <x:v>410.74311622176594</x:v>
      </x:c>
    </x:row>
    <x:row r="938" ht="21" customHeight="1">
      <x:c r="A938" s="1" t="str">
        <x:f>'Inventory inputs'!A938</x:f>
        <x:v>FILM</x:v>
      </x:c>
      <x:c r="B938" s="1" t="str">
        <x:f>'Inventory inputs'!B938</x:f>
        <x:v>10</x:v>
      </x:c>
      <x:c r="C938" s="1" t="str">
        <x:f>'Inventory inputs'!C938</x:f>
        <x:v>252005C2</x:v>
      </x:c>
      <x:c r="D938" s="7" t="n">
        <x:f>'Inventory inputs'!E938</x:f>
        <x:v>46304</x:v>
      </x:c>
      <x:c r="E938" s="1" t="n">
        <x:f>'Inventory inputs'!F938</x:f>
        <x:v>52</x:v>
      </x:c>
      <x:c r="F938" s="1" t="n">
        <x:f>'Inventory inputs'!G938</x:f>
        <x:v>5.67</x:v>
      </x:c>
      <x:c r="G938" s="1" t="n">
        <x:f>'Inventory inputs'!H938/'Inventory inputs'!J938</x:f>
        <x:v>21.18</x:v>
      </x:c>
      <x:c r="H938" s="1" t="n">
        <x:f>IF('Inventory inputs'!I938&gt;0,'Inventory inputs'!I938*'Inventory inputs'!K938/'Inventory inputs'!J938,"n.a.")</x:f>
        <x:v>25.44</x:v>
      </x:c>
      <x:c r="I938" s="1" t="n">
        <x:f>'Inventory inputs'!L938</x:f>
        <x:v>52</x:v>
      </x:c>
      <x:c r="J938" s="1" t="n">
        <x:f>'Inventory inputs'!M938</x:f>
        <x:v>0</x:v>
      </x:c>
      <x:c r="K938" s="1" t="n">
        <x:f>'Inventory inputs'!N938</x:f>
        <x:v>0</x:v>
      </x:c>
      <x:c r="L938" s="1" t="n">
        <x:f>'Inventory inputs'!O938</x:f>
        <x:v>1</x:v>
      </x:c>
      <x:c r="M938" s="9" t="n">
        <x:f>E938*G938</x:f>
        <x:v>1101.36</x:v>
      </x:c>
      <x:c r="N938" s="9" t="n">
        <x:f>'Inventory inputs'!Q938</x:f>
        <x:v>1101.36</x:v>
      </x:c>
      <x:c r="O938" s="9" t="n">
        <x:f>N938-M938</x:f>
        <x:v>0</x:v>
      </x:c>
      <x:c r="P938" s="1" t="n">
        <x:f>SUMIFS('Incoming POs'!$P$2:$P$305,'Incoming POs'!$A$2:$A$305,A938,'Incoming POs'!$B$2:$B$305,B938,'Incoming POs'!$C$2:$C$305,C938,'Incoming POs'!$G$2:$G$305,"&gt;="&amp;D938,'Incoming POs'!$G$2:$G$305,"&lt;"&amp;Dashboard!$I$5)</x:f>
        <x:v>0</x:v>
      </x:c>
      <x:c r="Q938" s="1" t="n">
        <x:f>F938*Dashboard!$L$5*MAX(0,Dashboard!$I$5-D938)/30.4375</x:f>
        <x:v>7.404763860369608</x:v>
      </x:c>
      <x:c r="R938" s="1" t="n">
        <x:f>MAX(0,E938+P938-Q938)</x:f>
        <x:v>44.595236139630394</x:v>
      </x:c>
      <x:c r="S938" s="1" t="n">
        <x:f>MAX(0,Q938-E938-P938)</x:f>
        <x:v>0</x:v>
      </x:c>
      <x:c r="T938" s="1" t="n">
        <x:f>IF(L938=1,MAX(0,I938+AB938-MIN(Q938,E938+P938)),"n.a.")</x:f>
        <x:v>44.595236139630394</x:v>
      </x:c>
      <x:c r="U938" s="9" t="n">
        <x:f>IF(ISNUMBER(T938),T938*G938,"n.a.")</x:f>
        <x:v>944.5271014373717</x:v>
      </x:c>
      <x:c r="V938" s="25" t="n">
        <x:f>IF(Dashboard!$I$6="Flat %",1,IF(ISNUMBER(H938),1,0))</x:f>
        <x:v>1</x:v>
      </x:c>
      <x:c r="W938" s="9" t="n">
        <x:f>IF(Dashboard!$I$6="Flat %",G938*(1+Dashboard!$L$6),H938)</x:f>
        <x:v>25.44</x:v>
      </x:c>
      <x:c r="X938" s="9" t="n">
        <x:f>IF(V938=1,R938*(W938-G938),"n.a.")</x:f>
        <x:v>189.97570595482554</x:v>
      </x:c>
      <x:c r="Y938" s="9" t="n">
        <x:f>IF(V938=1,R938*W938,"n.a.")</x:f>
        <x:v>1134.5028073921974</x:v>
      </x:c>
      <x:c r="Z938" s="1" t="n">
        <x:f>IF(ISNUMBER(T938),R938-T938,"n.a.")</x:f>
        <x:v>0</x:v>
      </x:c>
      <x:c r="AA938" s="1" t="str">
        <x:f>'Inventory inputs'!R938</x:f>
        <x:v>Classified</x:v>
      </x:c>
      <x:c r="AB938" s="1" t="n">
        <x:f>IF(L938=1,SUMIFS('Incoming POs'!$P$2:$P$305,'Incoming POs'!$A$2:$A$305,A938,'Incoming POs'!$B$2:$B$305,B938,'Incoming POs'!$C$2:$C$305,C938,'Incoming POs'!$G$2:$G$305,"&gt;="&amp;D938,'Incoming POs'!$G$2:$G$305,"&lt;"&amp;Dashboard!$I$5,'Incoming POs'!$Q$2:$Q$305,"&lt;="&amp;('Inventory inputs'!P938/'Inventory inputs'!J938*1.01)),"n.a.")</x:f>
        <x:v>0</x:v>
      </x:c>
      <x:c r="AC938" s="9" t="n">
        <x:f>I938*G938</x:f>
        <x:v>1101.36</x:v>
      </x:c>
      <x:c r="AD938" s="9" t="n">
        <x:f>J938*G938</x:f>
        <x:v>0</x:v>
      </x:c>
      <x:c r="AE938" s="9" t="n">
        <x:f>K938*G938</x:f>
        <x:v>0</x:v>
      </x:c>
      <x:c r="AF938" s="9" t="n">
        <x:f>R938*G938</x:f>
        <x:v>944.5271014373717</x:v>
      </x:c>
    </x:row>
    <x:row r="939" ht="21" customHeight="1">
      <x:c r="A939" s="1" t="str">
        <x:f>'Inventory inputs'!A939</x:f>
        <x:v>FILM</x:v>
      </x:c>
      <x:c r="B939" s="1" t="str">
        <x:f>'Inventory inputs'!B939</x:f>
        <x:v>10</x:v>
      </x:c>
      <x:c r="C939" s="1" t="str">
        <x:f>'Inventory inputs'!C939</x:f>
        <x:v>125003C1</x:v>
      </x:c>
      <x:c r="D939" s="7" t="n">
        <x:f>'Inventory inputs'!E939</x:f>
        <x:v>46304</x:v>
      </x:c>
      <x:c r="E939" s="1" t="n">
        <x:f>'Inventory inputs'!F939</x:f>
        <x:v>1</x:v>
      </x:c>
      <x:c r="F939" s="1" t="n">
        <x:f>'Inventory inputs'!G939</x:f>
        <x:v>5.5</x:v>
      </x:c>
      <x:c r="G939" s="1" t="n">
        <x:f>'Inventory inputs'!H939/'Inventory inputs'!J939</x:f>
        <x:v>10.73</x:v>
      </x:c>
      <x:c r="H939" s="1" t="str">
        <x:f>IF('Inventory inputs'!I939&gt;0,'Inventory inputs'!I939*'Inventory inputs'!K939/'Inventory inputs'!J939,"n.a.")</x:f>
        <x:v>n.a.</x:v>
      </x:c>
      <x:c r="I939" s="1" t="n">
        <x:f>'Inventory inputs'!L939</x:f>
        <x:v>0</x:v>
      </x:c>
      <x:c r="J939" s="1" t="n">
        <x:f>'Inventory inputs'!M939</x:f>
        <x:v>0</x:v>
      </x:c>
      <x:c r="K939" s="1" t="n">
        <x:f>'Inventory inputs'!N939</x:f>
        <x:v>1</x:v>
      </x:c>
      <x:c r="L939" s="1" t="n">
        <x:f>'Inventory inputs'!O939</x:f>
        <x:v>0</x:v>
      </x:c>
      <x:c r="M939" s="9" t="n">
        <x:f>E939*G939</x:f>
        <x:v>10.73</x:v>
      </x:c>
      <x:c r="N939" s="9" t="n">
        <x:f>'Inventory inputs'!Q939</x:f>
        <x:v>10.73</x:v>
      </x:c>
      <x:c r="O939" s="9" t="n">
        <x:f>N939-M939</x:f>
        <x:v>0</x:v>
      </x:c>
      <x:c r="P939" s="1" t="n">
        <x:f>SUMIFS('Incoming POs'!$P$2:$P$305,'Incoming POs'!$A$2:$A$305,A939,'Incoming POs'!$B$2:$B$305,B939,'Incoming POs'!$C$2:$C$305,C939,'Incoming POs'!$G$2:$G$305,"&gt;="&amp;D939,'Incoming POs'!$G$2:$G$305,"&lt;"&amp;Dashboard!$I$5)</x:f>
        <x:v>0</x:v>
      </x:c>
      <x:c r="Q939" s="1" t="n">
        <x:f>F939*Dashboard!$L$5*MAX(0,Dashboard!$I$5-D939)/30.4375</x:f>
        <x:v>7.1827515400410675</x:v>
      </x:c>
      <x:c r="R939" s="1" t="n">
        <x:f>MAX(0,E939+P939-Q939)</x:f>
        <x:v>0</x:v>
      </x:c>
      <x:c r="S939" s="1" t="n">
        <x:f>MAX(0,Q939-E939-P939)</x:f>
        <x:v>6.1827515400410675</x:v>
      </x:c>
      <x:c r="T939" s="1" t="str">
        <x:f>IF(L939=1,MAX(0,I939+AB939-MIN(Q939,E939+P939)),"n.a.")</x:f>
        <x:v>n.a.</x:v>
      </x:c>
      <x:c r="U939" s="9" t="str">
        <x:f>IF(ISNUMBER(T939),T939*G939,"n.a.")</x:f>
        <x:v>n.a.</x:v>
      </x:c>
      <x:c r="V939" s="25" t="n">
        <x:f>IF(Dashboard!$I$6="Flat %",1,IF(ISNUMBER(H939),1,0))</x:f>
        <x:v>0</x:v>
      </x:c>
      <x:c r="W939" s="9" t="str">
        <x:f>IF(Dashboard!$I$6="Flat %",G939*(1+Dashboard!$L$6),H939)</x:f>
        <x:v>n.a.</x:v>
      </x:c>
      <x:c r="X939" s="9" t="str">
        <x:f>IF(V939=1,R939*(W939-G939),"n.a.")</x:f>
        <x:v>n.a.</x:v>
      </x:c>
      <x:c r="Y939" s="9" t="str">
        <x:f>IF(V939=1,R939*W939,"n.a.")</x:f>
        <x:v>n.a.</x:v>
      </x:c>
      <x:c r="Z939" s="1" t="str">
        <x:f>IF(ISNUMBER(T939),R939-T939,"n.a.")</x:f>
        <x:v>n.a.</x:v>
      </x:c>
      <x:c r="AA939" s="1" t="str">
        <x:f>'Inventory inputs'!R939</x:f>
        <x:v>Review receipt reconciliation or original PO baseline</x:v>
      </x:c>
      <x:c r="AB939" s="1" t="str">
        <x:f>IF(L939=1,SUMIFS('Incoming POs'!$P$2:$P$305,'Incoming POs'!$A$2:$A$305,A939,'Incoming POs'!$B$2:$B$305,B939,'Incoming POs'!$C$2:$C$305,C939,'Incoming POs'!$G$2:$G$305,"&gt;="&amp;D939,'Incoming POs'!$G$2:$G$305,"&lt;"&amp;Dashboard!$I$5,'Incoming POs'!$Q$2:$Q$305,"&lt;="&amp;('Inventory inputs'!P939/'Inventory inputs'!J939*1.01)),"n.a.")</x:f>
        <x:v>n.a.</x:v>
      </x:c>
      <x:c r="AC939" s="9" t="n">
        <x:f>I939*G939</x:f>
        <x:v>0</x:v>
      </x:c>
      <x:c r="AD939" s="9" t="n">
        <x:f>J939*G939</x:f>
        <x:v>0</x:v>
      </x:c>
      <x:c r="AE939" s="9" t="n">
        <x:f>K939*G939</x:f>
        <x:v>10.73</x:v>
      </x:c>
      <x:c r="AF939" s="9" t="n">
        <x:f>R939*G939</x:f>
        <x:v>0</x:v>
      </x:c>
    </x:row>
    <x:row r="940" ht="21" customHeight="1">
      <x:c r="A940" s="1" t="str">
        <x:f>'Inventory inputs'!A940</x:f>
        <x:v>FILM</x:v>
      </x:c>
      <x:c r="B940" s="1" t="str">
        <x:f>'Inventory inputs'!B940</x:f>
        <x:v>30</x:v>
      </x:c>
      <x:c r="C940" s="1" t="str">
        <x:f>'Inventory inputs'!C940</x:f>
        <x:v>92503C1</x:v>
      </x:c>
      <x:c r="D940" s="7" t="n">
        <x:f>'Inventory inputs'!E940</x:f>
        <x:v>46304</x:v>
      </x:c>
      <x:c r="E940" s="1" t="n">
        <x:f>'Inventory inputs'!F940</x:f>
        <x:v>83</x:v>
      </x:c>
      <x:c r="F940" s="1" t="n">
        <x:f>'Inventory inputs'!G940</x:f>
        <x:v>5.33</x:v>
      </x:c>
      <x:c r="G940" s="1" t="n">
        <x:f>'Inventory inputs'!H940/'Inventory inputs'!J940</x:f>
        <x:v>3.75</x:v>
      </x:c>
      <x:c r="H940" s="1" t="str">
        <x:f>IF('Inventory inputs'!I940&gt;0,'Inventory inputs'!I940*'Inventory inputs'!K940/'Inventory inputs'!J940,"n.a.")</x:f>
        <x:v>n.a.</x:v>
      </x:c>
      <x:c r="I940" s="1" t="n">
        <x:f>'Inventory inputs'!L940</x:f>
        <x:v>0</x:v>
      </x:c>
      <x:c r="J940" s="1" t="n">
        <x:f>'Inventory inputs'!M940</x:f>
        <x:v>0</x:v>
      </x:c>
      <x:c r="K940" s="1" t="n">
        <x:f>'Inventory inputs'!N940</x:f>
        <x:v>83</x:v>
      </x:c>
      <x:c r="L940" s="1" t="n">
        <x:f>'Inventory inputs'!O940</x:f>
        <x:v>0</x:v>
      </x:c>
      <x:c r="M940" s="9" t="n">
        <x:f>E940*G940</x:f>
        <x:v>311.25</x:v>
      </x:c>
      <x:c r="N940" s="9" t="n">
        <x:f>'Inventory inputs'!Q940</x:f>
        <x:v>311.25</x:v>
      </x:c>
      <x:c r="O940" s="9" t="n">
        <x:f>N940-M940</x:f>
        <x:v>0</x:v>
      </x:c>
      <x:c r="P940" s="1" t="n">
        <x:f>SUMIFS('Incoming POs'!$P$2:$P$305,'Incoming POs'!$A$2:$A$305,A940,'Incoming POs'!$B$2:$B$305,B940,'Incoming POs'!$C$2:$C$305,C940,'Incoming POs'!$G$2:$G$305,"&gt;="&amp;D940,'Incoming POs'!$G$2:$G$305,"&lt;"&amp;Dashboard!$I$5)</x:f>
        <x:v>0</x:v>
      </x:c>
      <x:c r="Q940" s="1" t="n">
        <x:f>F940*Dashboard!$L$5*MAX(0,Dashboard!$I$5-D940)/30.4375</x:f>
        <x:v>6.960739219712526</x:v>
      </x:c>
      <x:c r="R940" s="1" t="n">
        <x:f>MAX(0,E940+P940-Q940)</x:f>
        <x:v>76.03926078028748</x:v>
      </x:c>
      <x:c r="S940" s="1" t="n">
        <x:f>MAX(0,Q940-E940-P940)</x:f>
        <x:v>0</x:v>
      </x:c>
      <x:c r="T940" s="1" t="str">
        <x:f>IF(L940=1,MAX(0,I940+AB940-MIN(Q940,E940+P940)),"n.a.")</x:f>
        <x:v>n.a.</x:v>
      </x:c>
      <x:c r="U940" s="9" t="str">
        <x:f>IF(ISNUMBER(T940),T940*G940,"n.a.")</x:f>
        <x:v>n.a.</x:v>
      </x:c>
      <x:c r="V940" s="25" t="n">
        <x:f>IF(Dashboard!$I$6="Flat %",1,IF(ISNUMBER(H940),1,0))</x:f>
        <x:v>0</x:v>
      </x:c>
      <x:c r="W940" s="9" t="str">
        <x:f>IF(Dashboard!$I$6="Flat %",G940*(1+Dashboard!$L$6),H940)</x:f>
        <x:v>n.a.</x:v>
      </x:c>
      <x:c r="X940" s="9" t="str">
        <x:f>IF(V940=1,R940*(W940-G940),"n.a.")</x:f>
        <x:v>n.a.</x:v>
      </x:c>
      <x:c r="Y940" s="9" t="str">
        <x:f>IF(V940=1,R940*W940,"n.a.")</x:f>
        <x:v>n.a.</x:v>
      </x:c>
      <x:c r="Z940" s="1" t="str">
        <x:f>IF(ISNUMBER(T940),R940-T940,"n.a.")</x:f>
        <x:v>n.a.</x:v>
      </x:c>
      <x:c r="AA940" s="1" t="str">
        <x:f>'Inventory inputs'!R940</x:f>
        <x:v>Review receipt reconciliation or original PO baseline</x:v>
      </x:c>
      <x:c r="AB940" s="1" t="str">
        <x:f>IF(L940=1,SUMIFS('Incoming POs'!$P$2:$P$305,'Incoming POs'!$A$2:$A$305,A940,'Incoming POs'!$B$2:$B$305,B940,'Incoming POs'!$C$2:$C$305,C940,'Incoming POs'!$G$2:$G$305,"&gt;="&amp;D940,'Incoming POs'!$G$2:$G$305,"&lt;"&amp;Dashboard!$I$5,'Incoming POs'!$Q$2:$Q$305,"&lt;="&amp;('Inventory inputs'!P940/'Inventory inputs'!J940*1.01)),"n.a.")</x:f>
        <x:v>n.a.</x:v>
      </x:c>
      <x:c r="AC940" s="9" t="n">
        <x:f>I940*G940</x:f>
        <x:v>0</x:v>
      </x:c>
      <x:c r="AD940" s="9" t="n">
        <x:f>J940*G940</x:f>
        <x:v>0</x:v>
      </x:c>
      <x:c r="AE940" s="9" t="n">
        <x:f>K940*G940</x:f>
        <x:v>311.25</x:v>
      </x:c>
      <x:c r="AF940" s="9" t="n">
        <x:f>R940*G940</x:f>
        <x:v>285.147227926078</x:v>
      </x:c>
    </x:row>
    <x:row r="941" ht="21" customHeight="1">
      <x:c r="A941" s="1" t="str">
        <x:f>'Inventory inputs'!A941</x:f>
        <x:v>FILM</x:v>
      </x:c>
      <x:c r="B941" s="1" t="str">
        <x:f>'Inventory inputs'!B941</x:f>
        <x:v>30</x:v>
      </x:c>
      <x:c r="C941" s="1" t="str">
        <x:f>'Inventory inputs'!C941</x:f>
        <x:v>PR252503C1</x:v>
      </x:c>
      <x:c r="D941" s="7" t="n">
        <x:f>'Inventory inputs'!E941</x:f>
        <x:v>46304</x:v>
      </x:c>
      <x:c r="E941" s="1" t="n">
        <x:f>'Inventory inputs'!F941</x:f>
        <x:v>129</x:v>
      </x:c>
      <x:c r="F941" s="1" t="n">
        <x:f>'Inventory inputs'!G941</x:f>
        <x:v>5.25</x:v>
      </x:c>
      <x:c r="G941" s="1" t="n">
        <x:f>'Inventory inputs'!H941/'Inventory inputs'!J941</x:f>
        <x:v>16.88</x:v>
      </x:c>
      <x:c r="H941" s="1" t="n">
        <x:f>IF('Inventory inputs'!I941&gt;0,'Inventory inputs'!I941*'Inventory inputs'!K941/'Inventory inputs'!J941,"n.a.")</x:f>
        <x:v>20.25</x:v>
      </x:c>
      <x:c r="I941" s="1" t="n">
        <x:f>'Inventory inputs'!L941</x:f>
        <x:v>129</x:v>
      </x:c>
      <x:c r="J941" s="1" t="n">
        <x:f>'Inventory inputs'!M941</x:f>
        <x:v>0</x:v>
      </x:c>
      <x:c r="K941" s="1" t="n">
        <x:f>'Inventory inputs'!N941</x:f>
        <x:v>0</x:v>
      </x:c>
      <x:c r="L941" s="1" t="n">
        <x:f>'Inventory inputs'!O941</x:f>
        <x:v>1</x:v>
      </x:c>
      <x:c r="M941" s="9" t="n">
        <x:f>E941*G941</x:f>
        <x:v>2177.52</x:v>
      </x:c>
      <x:c r="N941" s="9" t="n">
        <x:f>'Inventory inputs'!Q941</x:f>
        <x:v>2177.52</x:v>
      </x:c>
      <x:c r="O941" s="9" t="n">
        <x:f>N941-M941</x:f>
        <x:v>0</x:v>
      </x:c>
      <x:c r="P941" s="1" t="n">
        <x:f>SUMIFS('Incoming POs'!$P$2:$P$305,'Incoming POs'!$A$2:$A$305,A941,'Incoming POs'!$B$2:$B$305,B941,'Incoming POs'!$C$2:$C$305,C941,'Incoming POs'!$G$2:$G$305,"&gt;="&amp;D941,'Incoming POs'!$G$2:$G$305,"&lt;"&amp;Dashboard!$I$5)</x:f>
        <x:v>0</x:v>
      </x:c>
      <x:c r="Q941" s="1" t="n">
        <x:f>F941*Dashboard!$L$5*MAX(0,Dashboard!$I$5-D941)/30.4375</x:f>
        <x:v>6.856262833675565</x:v>
      </x:c>
      <x:c r="R941" s="1" t="n">
        <x:f>MAX(0,E941+P941-Q941)</x:f>
        <x:v>122.14373716632443</x:v>
      </x:c>
      <x:c r="S941" s="1" t="n">
        <x:f>MAX(0,Q941-E941-P941)</x:f>
        <x:v>0</x:v>
      </x:c>
      <x:c r="T941" s="1" t="n">
        <x:f>IF(L941=1,MAX(0,I941+AB941-MIN(Q941,E941+P941)),"n.a.")</x:f>
        <x:v>122.14373716632443</x:v>
      </x:c>
      <x:c r="U941" s="9" t="n">
        <x:f>IF(ISNUMBER(T941),T941*G941,"n.a.")</x:f>
        <x:v>2061.7862833675563</x:v>
      </x:c>
      <x:c r="V941" s="25" t="n">
        <x:f>IF(Dashboard!$I$6="Flat %",1,IF(ISNUMBER(H941),1,0))</x:f>
        <x:v>1</x:v>
      </x:c>
      <x:c r="W941" s="9" t="n">
        <x:f>IF(Dashboard!$I$6="Flat %",G941*(1+Dashboard!$L$6),H941)</x:f>
        <x:v>20.25</x:v>
      </x:c>
      <x:c r="X941" s="9" t="n">
        <x:f>IF(V941=1,R941*(W941-G941),"n.a.")</x:f>
        <x:v>411.62439425051343</x:v>
      </x:c>
      <x:c r="Y941" s="9" t="n">
        <x:f>IF(V941=1,R941*W941,"n.a.")</x:f>
        <x:v>2473.4106776180697</x:v>
      </x:c>
      <x:c r="Z941" s="1" t="n">
        <x:f>IF(ISNUMBER(T941),R941-T941,"n.a.")</x:f>
        <x:v>0</x:v>
      </x:c>
      <x:c r="AA941" s="1" t="str">
        <x:f>'Inventory inputs'!R941</x:f>
        <x:v>Classified</x:v>
      </x:c>
      <x:c r="AB941" s="1" t="n">
        <x:f>IF(L941=1,SUMIFS('Incoming POs'!$P$2:$P$305,'Incoming POs'!$A$2:$A$305,A941,'Incoming POs'!$B$2:$B$305,B941,'Incoming POs'!$C$2:$C$305,C941,'Incoming POs'!$G$2:$G$305,"&gt;="&amp;D941,'Incoming POs'!$G$2:$G$305,"&lt;"&amp;Dashboard!$I$5,'Incoming POs'!$Q$2:$Q$305,"&lt;="&amp;('Inventory inputs'!P941/'Inventory inputs'!J941*1.01)),"n.a.")</x:f>
        <x:v>0</x:v>
      </x:c>
      <x:c r="AC941" s="9" t="n">
        <x:f>I941*G941</x:f>
        <x:v>2177.52</x:v>
      </x:c>
      <x:c r="AD941" s="9" t="n">
        <x:f>J941*G941</x:f>
        <x:v>0</x:v>
      </x:c>
      <x:c r="AE941" s="9" t="n">
        <x:f>K941*G941</x:f>
        <x:v>0</x:v>
      </x:c>
      <x:c r="AF941" s="9" t="n">
        <x:f>R941*G941</x:f>
        <x:v>2061.7862833675563</x:v>
      </x:c>
    </x:row>
    <x:row r="942" ht="21" customHeight="1">
      <x:c r="A942" s="1" t="str">
        <x:f>'Inventory inputs'!A942</x:f>
        <x:v>FILM</x:v>
      </x:c>
      <x:c r="B942" s="1" t="str">
        <x:f>'Inventory inputs'!B942</x:f>
        <x:v>60</x:v>
      </x:c>
      <x:c r="C942" s="1" t="str">
        <x:f>'Inventory inputs'!C942</x:f>
        <x:v>255003C1</x:v>
      </x:c>
      <x:c r="D942" s="7" t="n">
        <x:f>'Inventory inputs'!E942</x:f>
        <x:v>46304</x:v>
      </x:c>
      <x:c r="E942" s="1" t="n">
        <x:f>'Inventory inputs'!F942</x:f>
        <x:v>85</x:v>
      </x:c>
      <x:c r="F942" s="1" t="n">
        <x:f>'Inventory inputs'!G942</x:f>
        <x:v>5</x:v>
      </x:c>
      <x:c r="G942" s="1" t="n">
        <x:f>'Inventory inputs'!H942/'Inventory inputs'!J942</x:f>
        <x:v>29.25</x:v>
      </x:c>
      <x:c r="H942" s="1" t="n">
        <x:f>IF('Inventory inputs'!I942&gt;0,'Inventory inputs'!I942*'Inventory inputs'!K942/'Inventory inputs'!J942,"n.a.")</x:f>
        <x:v>35.1</x:v>
      </x:c>
      <x:c r="I942" s="1" t="n">
        <x:f>'Inventory inputs'!L942</x:f>
        <x:v>85</x:v>
      </x:c>
      <x:c r="J942" s="1" t="n">
        <x:f>'Inventory inputs'!M942</x:f>
        <x:v>0</x:v>
      </x:c>
      <x:c r="K942" s="1" t="n">
        <x:f>'Inventory inputs'!N942</x:f>
        <x:v>0</x:v>
      </x:c>
      <x:c r="L942" s="1" t="n">
        <x:f>'Inventory inputs'!O942</x:f>
        <x:v>1</x:v>
      </x:c>
      <x:c r="M942" s="9" t="n">
        <x:f>E942*G942</x:f>
        <x:v>2486.25</x:v>
      </x:c>
      <x:c r="N942" s="9" t="n">
        <x:f>'Inventory inputs'!Q942</x:f>
        <x:v>2486.25</x:v>
      </x:c>
      <x:c r="O942" s="9" t="n">
        <x:f>N942-M942</x:f>
        <x:v>0</x:v>
      </x:c>
      <x:c r="P942" s="1" t="n">
        <x:f>SUMIFS('Incoming POs'!$P$2:$P$305,'Incoming POs'!$A$2:$A$305,A942,'Incoming POs'!$B$2:$B$305,B942,'Incoming POs'!$C$2:$C$305,C942,'Incoming POs'!$G$2:$G$305,"&gt;="&amp;D942,'Incoming POs'!$G$2:$G$305,"&lt;"&amp;Dashboard!$I$5)</x:f>
        <x:v>0</x:v>
      </x:c>
      <x:c r="Q942" s="1" t="n">
        <x:f>F942*Dashboard!$L$5*MAX(0,Dashboard!$I$5-D942)/30.4375</x:f>
        <x:v>6.529774127310062</x:v>
      </x:c>
      <x:c r="R942" s="1" t="n">
        <x:f>MAX(0,E942+P942-Q942)</x:f>
        <x:v>78.47022587268994</x:v>
      </x:c>
      <x:c r="S942" s="1" t="n">
        <x:f>MAX(0,Q942-E942-P942)</x:f>
        <x:v>0</x:v>
      </x:c>
      <x:c r="T942" s="1" t="n">
        <x:f>IF(L942=1,MAX(0,I942+AB942-MIN(Q942,E942+P942)),"n.a.")</x:f>
        <x:v>78.47022587268994</x:v>
      </x:c>
      <x:c r="U942" s="9" t="n">
        <x:f>IF(ISNUMBER(T942),T942*G942,"n.a.")</x:f>
        <x:v>2295.254106776181</x:v>
      </x:c>
      <x:c r="V942" s="25" t="n">
        <x:f>IF(Dashboard!$I$6="Flat %",1,IF(ISNUMBER(H942),1,0))</x:f>
        <x:v>1</x:v>
      </x:c>
      <x:c r="W942" s="9" t="n">
        <x:f>IF(Dashboard!$I$6="Flat %",G942*(1+Dashboard!$L$6),H942)</x:f>
        <x:v>35.1</x:v>
      </x:c>
      <x:c r="X942" s="9" t="n">
        <x:f>IF(V942=1,R942*(W942-G942),"n.a.")</x:f>
        <x:v>459.0508213552362</x:v>
      </x:c>
      <x:c r="Y942" s="9" t="n">
        <x:f>IF(V942=1,R942*W942,"n.a.")</x:f>
        <x:v>2754.304928131417</x:v>
      </x:c>
      <x:c r="Z942" s="1" t="n">
        <x:f>IF(ISNUMBER(T942),R942-T942,"n.a.")</x:f>
        <x:v>0</x:v>
      </x:c>
      <x:c r="AA942" s="1" t="str">
        <x:f>'Inventory inputs'!R942</x:f>
        <x:v>Classified</x:v>
      </x:c>
      <x:c r="AB942" s="1" t="n">
        <x:f>IF(L942=1,SUMIFS('Incoming POs'!$P$2:$P$305,'Incoming POs'!$A$2:$A$305,A942,'Incoming POs'!$B$2:$B$305,B942,'Incoming POs'!$C$2:$C$305,C942,'Incoming POs'!$G$2:$G$305,"&gt;="&amp;D942,'Incoming POs'!$G$2:$G$305,"&lt;"&amp;Dashboard!$I$5,'Incoming POs'!$Q$2:$Q$305,"&lt;="&amp;('Inventory inputs'!P942/'Inventory inputs'!J942*1.01)),"n.a.")</x:f>
        <x:v>0</x:v>
      </x:c>
      <x:c r="AC942" s="9" t="n">
        <x:f>I942*G942</x:f>
        <x:v>2486.25</x:v>
      </x:c>
      <x:c r="AD942" s="9" t="n">
        <x:f>J942*G942</x:f>
        <x:v>0</x:v>
      </x:c>
      <x:c r="AE942" s="9" t="n">
        <x:f>K942*G942</x:f>
        <x:v>0</x:v>
      </x:c>
      <x:c r="AF942" s="9" t="n">
        <x:f>R942*G942</x:f>
        <x:v>2295.254106776181</x:v>
      </x:c>
    </x:row>
    <x:row r="943" ht="21" customHeight="1">
      <x:c r="A943" s="1" t="str">
        <x:f>'Inventory inputs'!A943</x:f>
        <x:v>FILM</x:v>
      </x:c>
      <x:c r="B943" s="1" t="str">
        <x:f>'Inventory inputs'!B943</x:f>
        <x:v>60</x:v>
      </x:c>
      <x:c r="C943" s="1" t="str">
        <x:f>'Inventory inputs'!C943</x:f>
        <x:v>PR402503C2</x:v>
      </x:c>
      <x:c r="D943" s="7" t="n">
        <x:f>'Inventory inputs'!E943</x:f>
        <x:v>46304</x:v>
      </x:c>
      <x:c r="E943" s="1" t="n">
        <x:f>'Inventory inputs'!F943</x:f>
        <x:v>31</x:v>
      </x:c>
      <x:c r="F943" s="1" t="n">
        <x:f>'Inventory inputs'!G943</x:f>
        <x:v>5</x:v>
      </x:c>
      <x:c r="G943" s="1" t="n">
        <x:f>'Inventory inputs'!H943/'Inventory inputs'!J943</x:f>
        <x:v>27</x:v>
      </x:c>
      <x:c r="H943" s="1" t="n">
        <x:f>IF('Inventory inputs'!I943&gt;0,'Inventory inputs'!I943*'Inventory inputs'!K943/'Inventory inputs'!J943,"n.a.")</x:f>
        <x:v>32.4</x:v>
      </x:c>
      <x:c r="I943" s="1" t="n">
        <x:f>'Inventory inputs'!L943</x:f>
        <x:v>31</x:v>
      </x:c>
      <x:c r="J943" s="1" t="n">
        <x:f>'Inventory inputs'!M943</x:f>
        <x:v>0</x:v>
      </x:c>
      <x:c r="K943" s="1" t="n">
        <x:f>'Inventory inputs'!N943</x:f>
        <x:v>0</x:v>
      </x:c>
      <x:c r="L943" s="1" t="n">
        <x:f>'Inventory inputs'!O943</x:f>
        <x:v>1</x:v>
      </x:c>
      <x:c r="M943" s="9" t="n">
        <x:f>E943*G943</x:f>
        <x:v>837</x:v>
      </x:c>
      <x:c r="N943" s="9" t="n">
        <x:f>'Inventory inputs'!Q943</x:f>
        <x:v>837</x:v>
      </x:c>
      <x:c r="O943" s="9" t="n">
        <x:f>N943-M943</x:f>
        <x:v>0</x:v>
      </x:c>
      <x:c r="P943" s="1" t="n">
        <x:f>SUMIFS('Incoming POs'!$P$2:$P$305,'Incoming POs'!$A$2:$A$305,A943,'Incoming POs'!$B$2:$B$305,B943,'Incoming POs'!$C$2:$C$305,C943,'Incoming POs'!$G$2:$G$305,"&gt;="&amp;D943,'Incoming POs'!$G$2:$G$305,"&lt;"&amp;Dashboard!$I$5)</x:f>
        <x:v>0</x:v>
      </x:c>
      <x:c r="Q943" s="1" t="n">
        <x:f>F943*Dashboard!$L$5*MAX(0,Dashboard!$I$5-D943)/30.4375</x:f>
        <x:v>6.529774127310062</x:v>
      </x:c>
      <x:c r="R943" s="1" t="n">
        <x:f>MAX(0,E943+P943-Q943)</x:f>
        <x:v>24.470225872689937</x:v>
      </x:c>
      <x:c r="S943" s="1" t="n">
        <x:f>MAX(0,Q943-E943-P943)</x:f>
        <x:v>0</x:v>
      </x:c>
      <x:c r="T943" s="1" t="n">
        <x:f>IF(L943=1,MAX(0,I943+AB943-MIN(Q943,E943+P943)),"n.a.")</x:f>
        <x:v>24.470225872689937</x:v>
      </x:c>
      <x:c r="U943" s="9" t="n">
        <x:f>IF(ISNUMBER(T943),T943*G943,"n.a.")</x:f>
        <x:v>660.6960985626283</x:v>
      </x:c>
      <x:c r="V943" s="25" t="n">
        <x:f>IF(Dashboard!$I$6="Flat %",1,IF(ISNUMBER(H943),1,0))</x:f>
        <x:v>1</x:v>
      </x:c>
      <x:c r="W943" s="9" t="n">
        <x:f>IF(Dashboard!$I$6="Flat %",G943*(1+Dashboard!$L$6),H943)</x:f>
        <x:v>32.4</x:v>
      </x:c>
      <x:c r="X943" s="9" t="n">
        <x:f>IF(V943=1,R943*(W943-G943),"n.a.")</x:f>
        <x:v>132.13921971252563</x:v>
      </x:c>
      <x:c r="Y943" s="9" t="n">
        <x:f>IF(V943=1,R943*W943,"n.a.")</x:f>
        <x:v>792.8353182751539</x:v>
      </x:c>
      <x:c r="Z943" s="1" t="n">
        <x:f>IF(ISNUMBER(T943),R943-T943,"n.a.")</x:f>
        <x:v>0</x:v>
      </x:c>
      <x:c r="AA943" s="1" t="str">
        <x:f>'Inventory inputs'!R943</x:f>
        <x:v>Classified</x:v>
      </x:c>
      <x:c r="AB943" s="1" t="n">
        <x:f>IF(L943=1,SUMIFS('Incoming POs'!$P$2:$P$305,'Incoming POs'!$A$2:$A$305,A943,'Incoming POs'!$B$2:$B$305,B943,'Incoming POs'!$C$2:$C$305,C943,'Incoming POs'!$G$2:$G$305,"&gt;="&amp;D943,'Incoming POs'!$G$2:$G$305,"&lt;"&amp;Dashboard!$I$5,'Incoming POs'!$Q$2:$Q$305,"&lt;="&amp;('Inventory inputs'!P943/'Inventory inputs'!J943*1.01)),"n.a.")</x:f>
        <x:v>0</x:v>
      </x:c>
      <x:c r="AC943" s="9" t="n">
        <x:f>I943*G943</x:f>
        <x:v>837</x:v>
      </x:c>
      <x:c r="AD943" s="9" t="n">
        <x:f>J943*G943</x:f>
        <x:v>0</x:v>
      </x:c>
      <x:c r="AE943" s="9" t="n">
        <x:f>K943*G943</x:f>
        <x:v>0</x:v>
      </x:c>
      <x:c r="AF943" s="9" t="n">
        <x:f>R943*G943</x:f>
        <x:v>660.6960985626283</x:v>
      </x:c>
    </x:row>
    <x:row r="944" ht="21" customHeight="1">
      <x:c r="A944" s="1" t="str">
        <x:f>'Inventory inputs'!A944</x:f>
        <x:v>FILM</x:v>
      </x:c>
      <x:c r="B944" s="1" t="str">
        <x:f>'Inventory inputs'!B944</x:f>
        <x:v>10</x:v>
      </x:c>
      <x:c r="C944" s="1" t="str">
        <x:f>'Inventory inputs'!C944</x:f>
        <x:v>PR382503C2</x:v>
      </x:c>
      <x:c r="D944" s="7" t="n">
        <x:f>'Inventory inputs'!E944</x:f>
        <x:v>46304</x:v>
      </x:c>
      <x:c r="E944" s="1" t="n">
        <x:f>'Inventory inputs'!F944</x:f>
        <x:v>21</x:v>
      </x:c>
      <x:c r="F944" s="1" t="n">
        <x:f>'Inventory inputs'!G944</x:f>
        <x:v>4.83</x:v>
      </x:c>
      <x:c r="G944" s="1" t="n">
        <x:f>'Inventory inputs'!H944/'Inventory inputs'!J944</x:f>
        <x:v>24.97</x:v>
      </x:c>
      <x:c r="H944" s="1" t="n">
        <x:f>IF('Inventory inputs'!I944&gt;0,'Inventory inputs'!I944*'Inventory inputs'!K944/'Inventory inputs'!J944,"n.a.")</x:f>
        <x:v>26.22</x:v>
      </x:c>
      <x:c r="I944" s="1" t="n">
        <x:f>'Inventory inputs'!L944</x:f>
        <x:v>1</x:v>
      </x:c>
      <x:c r="J944" s="1" t="n">
        <x:f>'Inventory inputs'!M944</x:f>
        <x:v>20</x:v>
      </x:c>
      <x:c r="K944" s="1" t="n">
        <x:f>'Inventory inputs'!N944</x:f>
        <x:v>0</x:v>
      </x:c>
      <x:c r="L944" s="1" t="n">
        <x:f>'Inventory inputs'!O944</x:f>
        <x:v>1</x:v>
      </x:c>
      <x:c r="M944" s="9" t="n">
        <x:f>E944*G944</x:f>
        <x:v>524.37</x:v>
      </x:c>
      <x:c r="N944" s="9" t="n">
        <x:f>'Inventory inputs'!Q944</x:f>
        <x:v>898.92</x:v>
      </x:c>
      <x:c r="O944" s="9" t="n">
        <x:f>N944-M944</x:f>
        <x:v>374.54999999999995</x:v>
      </x:c>
      <x:c r="P944" s="1" t="n">
        <x:f>SUMIFS('Incoming POs'!$P$2:$P$305,'Incoming POs'!$A$2:$A$305,A944,'Incoming POs'!$B$2:$B$305,B944,'Incoming POs'!$C$2:$C$305,C944,'Incoming POs'!$G$2:$G$305,"&gt;="&amp;D944,'Incoming POs'!$G$2:$G$305,"&lt;"&amp;Dashboard!$I$5)</x:f>
        <x:v>0</x:v>
      </x:c>
      <x:c r="Q944" s="1" t="n">
        <x:f>F944*Dashboard!$L$5*MAX(0,Dashboard!$I$5-D944)/30.4375</x:f>
        <x:v>6.30776180698152</x:v>
      </x:c>
      <x:c r="R944" s="1" t="n">
        <x:f>MAX(0,E944+P944-Q944)</x:f>
        <x:v>14.692238193018479</x:v>
      </x:c>
      <x:c r="S944" s="1" t="n">
        <x:f>MAX(0,Q944-E944-P944)</x:f>
        <x:v>0</x:v>
      </x:c>
      <x:c r="T944" s="1" t="n">
        <x:f>IF(L944=1,MAX(0,I944+AB944-MIN(Q944,E944+P944)),"n.a.")</x:f>
        <x:v>0</x:v>
      </x:c>
      <x:c r="U944" s="9" t="n">
        <x:f>IF(ISNUMBER(T944),T944*G944,"n.a.")</x:f>
        <x:v>0</x:v>
      </x:c>
      <x:c r="V944" s="25" t="n">
        <x:f>IF(Dashboard!$I$6="Flat %",1,IF(ISNUMBER(H944),1,0))</x:f>
        <x:v>1</x:v>
      </x:c>
      <x:c r="W944" s="9" t="n">
        <x:f>IF(Dashboard!$I$6="Flat %",G944*(1+Dashboard!$L$6),H944)</x:f>
        <x:v>26.22</x:v>
      </x:c>
      <x:c r="X944" s="9" t="n">
        <x:f>IF(V944=1,R944*(W944-G944),"n.a.")</x:f>
        <x:v>18.3652977412731</x:v>
      </x:c>
      <x:c r="Y944" s="9" t="n">
        <x:f>IF(V944=1,R944*W944,"n.a.")</x:f>
        <x:v>385.2304854209445</x:v>
      </x:c>
      <x:c r="Z944" s="1" t="n">
        <x:f>IF(ISNUMBER(T944),R944-T944,"n.a.")</x:f>
        <x:v>14.692238193018479</x:v>
      </x:c>
      <x:c r="AA944" s="1" t="str">
        <x:f>'Inventory inputs'!R944</x:f>
        <x:v>Classified</x:v>
      </x:c>
      <x:c r="AB944" s="1" t="n">
        <x:f>IF(L944=1,SUMIFS('Incoming POs'!$P$2:$P$305,'Incoming POs'!$A$2:$A$305,A944,'Incoming POs'!$B$2:$B$305,B944,'Incoming POs'!$C$2:$C$305,C944,'Incoming POs'!$G$2:$G$305,"&gt;="&amp;D944,'Incoming POs'!$G$2:$G$305,"&lt;"&amp;Dashboard!$I$5,'Incoming POs'!$Q$2:$Q$305,"&lt;="&amp;('Inventory inputs'!P944/'Inventory inputs'!J944*1.01)),"n.a.")</x:f>
        <x:v>0</x:v>
      </x:c>
      <x:c r="AC944" s="9" t="n">
        <x:f>I944*G944</x:f>
        <x:v>24.97</x:v>
      </x:c>
      <x:c r="AD944" s="9" t="n">
        <x:f>J944*G944</x:f>
        <x:v>499.4</x:v>
      </x:c>
      <x:c r="AE944" s="9" t="n">
        <x:f>K944*G944</x:f>
        <x:v>0</x:v>
      </x:c>
      <x:c r="AF944" s="9" t="n">
        <x:f>R944*G944</x:f>
        <x:v>366.8651876796714</x:v>
      </x:c>
    </x:row>
    <x:row r="945" ht="21" customHeight="1">
      <x:c r="A945" s="1" t="str">
        <x:f>'Inventory inputs'!A945</x:f>
        <x:v>FILM</x:v>
      </x:c>
      <x:c r="B945" s="1" t="str">
        <x:f>'Inventory inputs'!B945</x:f>
        <x:v>30</x:v>
      </x:c>
      <x:c r="C945" s="1" t="str">
        <x:f>'Inventory inputs'!C945</x:f>
        <x:v>1250015C1</x:v>
      </x:c>
      <x:c r="D945" s="7" t="n">
        <x:f>'Inventory inputs'!E945</x:f>
        <x:v>46304</x:v>
      </x:c>
      <x:c r="E945" s="1" t="n">
        <x:f>'Inventory inputs'!F945</x:f>
        <x:v>53</x:v>
      </x:c>
      <x:c r="F945" s="1" t="n">
        <x:f>'Inventory inputs'!G945</x:f>
        <x:v>4.83</x:v>
      </x:c>
      <x:c r="G945" s="1" t="n">
        <x:f>'Inventory inputs'!H945/'Inventory inputs'!J945</x:f>
        <x:v>6.48</x:v>
      </x:c>
      <x:c r="H945" s="1" t="n">
        <x:f>IF('Inventory inputs'!I945&gt;0,'Inventory inputs'!I945*'Inventory inputs'!K945/'Inventory inputs'!J945,"n.a.")</x:f>
        <x:v>7.78</x:v>
      </x:c>
      <x:c r="I945" s="1" t="n">
        <x:f>'Inventory inputs'!L945</x:f>
        <x:v>53</x:v>
      </x:c>
      <x:c r="J945" s="1" t="n">
        <x:f>'Inventory inputs'!M945</x:f>
        <x:v>0</x:v>
      </x:c>
      <x:c r="K945" s="1" t="n">
        <x:f>'Inventory inputs'!N945</x:f>
        <x:v>0</x:v>
      </x:c>
      <x:c r="L945" s="1" t="n">
        <x:f>'Inventory inputs'!O945</x:f>
        <x:v>1</x:v>
      </x:c>
      <x:c r="M945" s="9" t="n">
        <x:f>E945*G945</x:f>
        <x:v>343.44</x:v>
      </x:c>
      <x:c r="N945" s="9" t="n">
        <x:f>'Inventory inputs'!Q945</x:f>
        <x:v>343.44</x:v>
      </x:c>
      <x:c r="O945" s="9" t="n">
        <x:f>N945-M945</x:f>
        <x:v>0</x:v>
      </x:c>
      <x:c r="P945" s="1" t="n">
        <x:f>SUMIFS('Incoming POs'!$P$2:$P$305,'Incoming POs'!$A$2:$A$305,A945,'Incoming POs'!$B$2:$B$305,B945,'Incoming POs'!$C$2:$C$305,C945,'Incoming POs'!$G$2:$G$305,"&gt;="&amp;D945,'Incoming POs'!$G$2:$G$305,"&lt;"&amp;Dashboard!$I$5)</x:f>
        <x:v>0</x:v>
      </x:c>
      <x:c r="Q945" s="1" t="n">
        <x:f>F945*Dashboard!$L$5*MAX(0,Dashboard!$I$5-D945)/30.4375</x:f>
        <x:v>6.30776180698152</x:v>
      </x:c>
      <x:c r="R945" s="1" t="n">
        <x:f>MAX(0,E945+P945-Q945)</x:f>
        <x:v>46.69223819301848</x:v>
      </x:c>
      <x:c r="S945" s="1" t="n">
        <x:f>MAX(0,Q945-E945-P945)</x:f>
        <x:v>0</x:v>
      </x:c>
      <x:c r="T945" s="1" t="n">
        <x:f>IF(L945=1,MAX(0,I945+AB945-MIN(Q945,E945+P945)),"n.a.")</x:f>
        <x:v>46.69223819301848</x:v>
      </x:c>
      <x:c r="U945" s="9" t="n">
        <x:f>IF(ISNUMBER(T945),T945*G945,"n.a.")</x:f>
        <x:v>302.5657034907598</x:v>
      </x:c>
      <x:c r="V945" s="25" t="n">
        <x:f>IF(Dashboard!$I$6="Flat %",1,IF(ISNUMBER(H945),1,0))</x:f>
        <x:v>1</x:v>
      </x:c>
      <x:c r="W945" s="9" t="n">
        <x:f>IF(Dashboard!$I$6="Flat %",G945*(1+Dashboard!$L$6),H945)</x:f>
        <x:v>7.78</x:v>
      </x:c>
      <x:c r="X945" s="9" t="n">
        <x:f>IF(V945=1,R945*(W945-G945),"n.a.")</x:f>
        <x:v>60.69990965092402</x:v>
      </x:c>
      <x:c r="Y945" s="9" t="n">
        <x:f>IF(V945=1,R945*W945,"n.a.")</x:f>
        <x:v>363.2656131416838</x:v>
      </x:c>
      <x:c r="Z945" s="1" t="n">
        <x:f>IF(ISNUMBER(T945),R945-T945,"n.a.")</x:f>
        <x:v>0</x:v>
      </x:c>
      <x:c r="AA945" s="1" t="str">
        <x:f>'Inventory inputs'!R945</x:f>
        <x:v>Classified</x:v>
      </x:c>
      <x:c r="AB945" s="1" t="n">
        <x:f>IF(L945=1,SUMIFS('Incoming POs'!$P$2:$P$305,'Incoming POs'!$A$2:$A$305,A945,'Incoming POs'!$B$2:$B$305,B945,'Incoming POs'!$C$2:$C$305,C945,'Incoming POs'!$G$2:$G$305,"&gt;="&amp;D945,'Incoming POs'!$G$2:$G$305,"&lt;"&amp;Dashboard!$I$5,'Incoming POs'!$Q$2:$Q$305,"&lt;="&amp;('Inventory inputs'!P945/'Inventory inputs'!J945*1.01)),"n.a.")</x:f>
        <x:v>0</x:v>
      </x:c>
      <x:c r="AC945" s="9" t="n">
        <x:f>I945*G945</x:f>
        <x:v>343.44</x:v>
      </x:c>
      <x:c r="AD945" s="9" t="n">
        <x:f>J945*G945</x:f>
        <x:v>0</x:v>
      </x:c>
      <x:c r="AE945" s="9" t="n">
        <x:f>K945*G945</x:f>
        <x:v>0</x:v>
      </x:c>
      <x:c r="AF945" s="9" t="n">
        <x:f>R945*G945</x:f>
        <x:v>302.5657034907598</x:v>
      </x:c>
    </x:row>
    <x:row r="946" ht="21" customHeight="1">
      <x:c r="A946" s="1" t="str">
        <x:f>'Inventory inputs'!A946</x:f>
        <x:v>FILM</x:v>
      </x:c>
      <x:c r="B946" s="1" t="str">
        <x:f>'Inventory inputs'!B946</x:f>
        <x:v>60</x:v>
      </x:c>
      <x:c r="C946" s="1" t="str">
        <x:f>'Inventory inputs'!C946</x:f>
        <x:v>252005C2</x:v>
      </x:c>
      <x:c r="D946" s="7" t="n">
        <x:f>'Inventory inputs'!E946</x:f>
        <x:v>46304</x:v>
      </x:c>
      <x:c r="E946" s="1" t="n">
        <x:f>'Inventory inputs'!F946</x:f>
        <x:v>38</x:v>
      </x:c>
      <x:c r="F946" s="1" t="n">
        <x:f>'Inventory inputs'!G946</x:f>
        <x:v>4.83</x:v>
      </x:c>
      <x:c r="G946" s="1" t="n">
        <x:f>'Inventory inputs'!H946/'Inventory inputs'!J946</x:f>
        <x:v>21.18</x:v>
      </x:c>
      <x:c r="H946" s="1" t="n">
        <x:f>IF('Inventory inputs'!I946&gt;0,'Inventory inputs'!I946*'Inventory inputs'!K946/'Inventory inputs'!J946,"n.a.")</x:f>
        <x:v>25.44</x:v>
      </x:c>
      <x:c r="I946" s="1" t="n">
        <x:f>'Inventory inputs'!L946</x:f>
        <x:v>38</x:v>
      </x:c>
      <x:c r="J946" s="1" t="n">
        <x:f>'Inventory inputs'!M946</x:f>
        <x:v>0</x:v>
      </x:c>
      <x:c r="K946" s="1" t="n">
        <x:f>'Inventory inputs'!N946</x:f>
        <x:v>0</x:v>
      </x:c>
      <x:c r="L946" s="1" t="n">
        <x:f>'Inventory inputs'!O946</x:f>
        <x:v>1</x:v>
      </x:c>
      <x:c r="M946" s="9" t="n">
        <x:f>E946*G946</x:f>
        <x:v>804.84</x:v>
      </x:c>
      <x:c r="N946" s="9" t="n">
        <x:f>'Inventory inputs'!Q946</x:f>
        <x:v>804.84</x:v>
      </x:c>
      <x:c r="O946" s="9" t="n">
        <x:f>N946-M946</x:f>
        <x:v>0</x:v>
      </x:c>
      <x:c r="P946" s="1" t="n">
        <x:f>SUMIFS('Incoming POs'!$P$2:$P$305,'Incoming POs'!$A$2:$A$305,A946,'Incoming POs'!$B$2:$B$305,B946,'Incoming POs'!$C$2:$C$305,C946,'Incoming POs'!$G$2:$G$305,"&gt;="&amp;D946,'Incoming POs'!$G$2:$G$305,"&lt;"&amp;Dashboard!$I$5)</x:f>
        <x:v>0</x:v>
      </x:c>
      <x:c r="Q946" s="1" t="n">
        <x:f>F946*Dashboard!$L$5*MAX(0,Dashboard!$I$5-D946)/30.4375</x:f>
        <x:v>6.30776180698152</x:v>
      </x:c>
      <x:c r="R946" s="1" t="n">
        <x:f>MAX(0,E946+P946-Q946)</x:f>
        <x:v>31.69223819301848</x:v>
      </x:c>
      <x:c r="S946" s="1" t="n">
        <x:f>MAX(0,Q946-E946-P946)</x:f>
        <x:v>0</x:v>
      </x:c>
      <x:c r="T946" s="1" t="n">
        <x:f>IF(L946=1,MAX(0,I946+AB946-MIN(Q946,E946+P946)),"n.a.")</x:f>
        <x:v>31.69223819301848</x:v>
      </x:c>
      <x:c r="U946" s="9" t="n">
        <x:f>IF(ISNUMBER(T946),T946*G946,"n.a.")</x:f>
        <x:v>671.2416049281313</x:v>
      </x:c>
      <x:c r="V946" s="25" t="n">
        <x:f>IF(Dashboard!$I$6="Flat %",1,IF(ISNUMBER(H946),1,0))</x:f>
        <x:v>1</x:v>
      </x:c>
      <x:c r="W946" s="9" t="n">
        <x:f>IF(Dashboard!$I$6="Flat %",G946*(1+Dashboard!$L$6),H946)</x:f>
        <x:v>25.44</x:v>
      </x:c>
      <x:c r="X946" s="9" t="n">
        <x:f>IF(V946=1,R946*(W946-G946),"n.a.")</x:f>
        <x:v>135.00893470225878</x:v>
      </x:c>
      <x:c r="Y946" s="9" t="n">
        <x:f>IF(V946=1,R946*W946,"n.a.")</x:f>
        <x:v>806.2505396303901</x:v>
      </x:c>
      <x:c r="Z946" s="1" t="n">
        <x:f>IF(ISNUMBER(T946),R946-T946,"n.a.")</x:f>
        <x:v>0</x:v>
      </x:c>
      <x:c r="AA946" s="1" t="str">
        <x:f>'Inventory inputs'!R946</x:f>
        <x:v>Classified</x:v>
      </x:c>
      <x:c r="AB946" s="1" t="n">
        <x:f>IF(L946=1,SUMIFS('Incoming POs'!$P$2:$P$305,'Incoming POs'!$A$2:$A$305,A946,'Incoming POs'!$B$2:$B$305,B946,'Incoming POs'!$C$2:$C$305,C946,'Incoming POs'!$G$2:$G$305,"&gt;="&amp;D946,'Incoming POs'!$G$2:$G$305,"&lt;"&amp;Dashboard!$I$5,'Incoming POs'!$Q$2:$Q$305,"&lt;="&amp;('Inventory inputs'!P946/'Inventory inputs'!J946*1.01)),"n.a.")</x:f>
        <x:v>0</x:v>
      </x:c>
      <x:c r="AC946" s="9" t="n">
        <x:f>I946*G946</x:f>
        <x:v>804.84</x:v>
      </x:c>
      <x:c r="AD946" s="9" t="n">
        <x:f>J946*G946</x:f>
        <x:v>0</x:v>
      </x:c>
      <x:c r="AE946" s="9" t="n">
        <x:f>K946*G946</x:f>
        <x:v>0</x:v>
      </x:c>
      <x:c r="AF946" s="9" t="n">
        <x:f>R946*G946</x:f>
        <x:v>671.2416049281313</x:v>
      </x:c>
    </x:row>
    <x:row r="947" ht="21" customHeight="1">
      <x:c r="A947" s="1" t="str">
        <x:f>'Inventory inputs'!A947</x:f>
        <x:v>FILM</x:v>
      </x:c>
      <x:c r="B947" s="1" t="str">
        <x:f>'Inventory inputs'!B947</x:f>
        <x:v>60</x:v>
      </x:c>
      <x:c r="C947" s="1" t="str">
        <x:f>'Inventory inputs'!C947</x:f>
        <x:v>2550015C2</x:v>
      </x:c>
      <x:c r="D947" s="7" t="n">
        <x:f>'Inventory inputs'!E947</x:f>
        <x:v>46304</x:v>
      </x:c>
      <x:c r="E947" s="1" t="n">
        <x:f>'Inventory inputs'!F947</x:f>
        <x:v>136</x:v>
      </x:c>
      <x:c r="F947" s="1" t="n">
        <x:f>'Inventory inputs'!G947</x:f>
        <x:v>4.5</x:v>
      </x:c>
      <x:c r="G947" s="1" t="n">
        <x:f>'Inventory inputs'!H947/'Inventory inputs'!J947</x:f>
        <x:v>13.5</x:v>
      </x:c>
      <x:c r="H947" s="1" t="n">
        <x:f>IF('Inventory inputs'!I947&gt;0,'Inventory inputs'!I947*'Inventory inputs'!K947/'Inventory inputs'!J947,"n.a.")</x:f>
        <x:v>16.2</x:v>
      </x:c>
      <x:c r="I947" s="1" t="n">
        <x:f>'Inventory inputs'!L947</x:f>
        <x:v>136</x:v>
      </x:c>
      <x:c r="J947" s="1" t="n">
        <x:f>'Inventory inputs'!M947</x:f>
        <x:v>0</x:v>
      </x:c>
      <x:c r="K947" s="1" t="n">
        <x:f>'Inventory inputs'!N947</x:f>
        <x:v>0</x:v>
      </x:c>
      <x:c r="L947" s="1" t="n">
        <x:f>'Inventory inputs'!O947</x:f>
        <x:v>1</x:v>
      </x:c>
      <x:c r="M947" s="9" t="n">
        <x:f>E947*G947</x:f>
        <x:v>1836</x:v>
      </x:c>
      <x:c r="N947" s="9" t="n">
        <x:f>'Inventory inputs'!Q947</x:f>
        <x:v>1836</x:v>
      </x:c>
      <x:c r="O947" s="9" t="n">
        <x:f>N947-M947</x:f>
        <x:v>0</x:v>
      </x:c>
      <x:c r="P947" s="1" t="n">
        <x:f>SUMIFS('Incoming POs'!$P$2:$P$305,'Incoming POs'!$A$2:$A$305,A947,'Incoming POs'!$B$2:$B$305,B947,'Incoming POs'!$C$2:$C$305,C947,'Incoming POs'!$G$2:$G$305,"&gt;="&amp;D947,'Incoming POs'!$G$2:$G$305,"&lt;"&amp;Dashboard!$I$5)</x:f>
        <x:v>0</x:v>
      </x:c>
      <x:c r="Q947" s="1" t="n">
        <x:f>F947*Dashboard!$L$5*MAX(0,Dashboard!$I$5-D947)/30.4375</x:f>
        <x:v>5.876796714579055</x:v>
      </x:c>
      <x:c r="R947" s="1" t="n">
        <x:f>MAX(0,E947+P947-Q947)</x:f>
        <x:v>130.12320328542094</x:v>
      </x:c>
      <x:c r="S947" s="1" t="n">
        <x:f>MAX(0,Q947-E947-P947)</x:f>
        <x:v>0</x:v>
      </x:c>
      <x:c r="T947" s="1" t="n">
        <x:f>IF(L947=1,MAX(0,I947+AB947-MIN(Q947,E947+P947)),"n.a.")</x:f>
        <x:v>130.12320328542094</x:v>
      </x:c>
      <x:c r="U947" s="9" t="n">
        <x:f>IF(ISNUMBER(T947),T947*G947,"n.a.")</x:f>
        <x:v>1756.6632443531828</x:v>
      </x:c>
      <x:c r="V947" s="25" t="n">
        <x:f>IF(Dashboard!$I$6="Flat %",1,IF(ISNUMBER(H947),1,0))</x:f>
        <x:v>1</x:v>
      </x:c>
      <x:c r="W947" s="9" t="n">
        <x:f>IF(Dashboard!$I$6="Flat %",G947*(1+Dashboard!$L$6),H947)</x:f>
        <x:v>16.2</x:v>
      </x:c>
      <x:c r="X947" s="9" t="n">
        <x:f>IF(V947=1,R947*(W947-G947),"n.a.")</x:f>
        <x:v>351.33264887063643</x:v>
      </x:c>
      <x:c r="Y947" s="9" t="n">
        <x:f>IF(V947=1,R947*W947,"n.a.")</x:f>
        <x:v>2107.995893223819</x:v>
      </x:c>
      <x:c r="Z947" s="1" t="n">
        <x:f>IF(ISNUMBER(T947),R947-T947,"n.a.")</x:f>
        <x:v>0</x:v>
      </x:c>
      <x:c r="AA947" s="1" t="str">
        <x:f>'Inventory inputs'!R947</x:f>
        <x:v>Classified</x:v>
      </x:c>
      <x:c r="AB947" s="1" t="n">
        <x:f>IF(L947=1,SUMIFS('Incoming POs'!$P$2:$P$305,'Incoming POs'!$A$2:$A$305,A947,'Incoming POs'!$B$2:$B$305,B947,'Incoming POs'!$C$2:$C$305,C947,'Incoming POs'!$G$2:$G$305,"&gt;="&amp;D947,'Incoming POs'!$G$2:$G$305,"&lt;"&amp;Dashboard!$I$5,'Incoming POs'!$Q$2:$Q$305,"&lt;="&amp;('Inventory inputs'!P947/'Inventory inputs'!J947*1.01)),"n.a.")</x:f>
        <x:v>0</x:v>
      </x:c>
      <x:c r="AC947" s="9" t="n">
        <x:f>I947*G947</x:f>
        <x:v>1836</x:v>
      </x:c>
      <x:c r="AD947" s="9" t="n">
        <x:f>J947*G947</x:f>
        <x:v>0</x:v>
      </x:c>
      <x:c r="AE947" s="9" t="n">
        <x:f>K947*G947</x:f>
        <x:v>0</x:v>
      </x:c>
      <x:c r="AF947" s="9" t="n">
        <x:f>R947*G947</x:f>
        <x:v>1756.6632443531828</x:v>
      </x:c>
    </x:row>
    <x:row r="948" ht="21" customHeight="1">
      <x:c r="A948" s="1" t="str">
        <x:f>'Inventory inputs'!A948</x:f>
        <x:v>FILM</x:v>
      </x:c>
      <x:c r="B948" s="1" t="str">
        <x:f>'Inventory inputs'!B948</x:f>
        <x:v>10</x:v>
      </x:c>
      <x:c r="C948" s="1" t="str">
        <x:f>'Inventory inputs'!C948</x:f>
        <x:v>HLA1215G</x:v>
      </x:c>
      <x:c r="D948" s="7" t="n">
        <x:f>'Inventory inputs'!E948</x:f>
        <x:v>46304</x:v>
      </x:c>
      <x:c r="E948" s="1" t="n">
        <x:f>'Inventory inputs'!F948</x:f>
        <x:v>30</x:v>
      </x:c>
      <x:c r="F948" s="1" t="n">
        <x:f>'Inventory inputs'!G948</x:f>
        <x:v>4.33</x:v>
      </x:c>
      <x:c r="G948" s="1" t="n">
        <x:f>'Inventory inputs'!H948/'Inventory inputs'!J948</x:f>
        <x:v>70.68</x:v>
      </x:c>
      <x:c r="H948" s="1" t="n">
        <x:f>IF('Inventory inputs'!I948&gt;0,'Inventory inputs'!I948*'Inventory inputs'!K948/'Inventory inputs'!J948,"n.a.")</x:f>
        <x:v>70.68</x:v>
      </x:c>
      <x:c r="I948" s="1" t="n">
        <x:f>'Inventory inputs'!L948</x:f>
        <x:v>0</x:v>
      </x:c>
      <x:c r="J948" s="1" t="n">
        <x:f>'Inventory inputs'!M948</x:f>
        <x:v>0</x:v>
      </x:c>
      <x:c r="K948" s="1" t="n">
        <x:f>'Inventory inputs'!N948</x:f>
        <x:v>30</x:v>
      </x:c>
      <x:c r="L948" s="1" t="n">
        <x:f>'Inventory inputs'!O948</x:f>
        <x:v>0</x:v>
      </x:c>
      <x:c r="M948" s="9" t="n">
        <x:f>E948*G948</x:f>
        <x:v>2120.4</x:v>
      </x:c>
      <x:c r="N948" s="9" t="n">
        <x:f>'Inventory inputs'!Q948</x:f>
        <x:v>2120.4</x:v>
      </x:c>
      <x:c r="O948" s="9" t="n">
        <x:f>N948-M948</x:f>
        <x:v>0</x:v>
      </x:c>
      <x:c r="P948" s="1" t="n">
        <x:f>SUMIFS('Incoming POs'!$P$2:$P$305,'Incoming POs'!$A$2:$A$305,A948,'Incoming POs'!$B$2:$B$305,B948,'Incoming POs'!$C$2:$C$305,C948,'Incoming POs'!$G$2:$G$305,"&gt;="&amp;D948,'Incoming POs'!$G$2:$G$305,"&lt;"&amp;Dashboard!$I$5)</x:f>
        <x:v>0</x:v>
      </x:c>
      <x:c r="Q948" s="1" t="n">
        <x:f>F948*Dashboard!$L$5*MAX(0,Dashboard!$I$5-D948)/30.4375</x:f>
        <x:v>5.654784394250513</x:v>
      </x:c>
      <x:c r="R948" s="1" t="n">
        <x:f>MAX(0,E948+P948-Q948)</x:f>
        <x:v>24.345215605749488</x:v>
      </x:c>
      <x:c r="S948" s="1" t="n">
        <x:f>MAX(0,Q948-E948-P948)</x:f>
        <x:v>0</x:v>
      </x:c>
      <x:c r="T948" s="1" t="str">
        <x:f>IF(L948=1,MAX(0,I948+AB948-MIN(Q948,E948+P948)),"n.a.")</x:f>
        <x:v>n.a.</x:v>
      </x:c>
      <x:c r="U948" s="9" t="str">
        <x:f>IF(ISNUMBER(T948),T948*G948,"n.a.")</x:f>
        <x:v>n.a.</x:v>
      </x:c>
      <x:c r="V948" s="25" t="n">
        <x:f>IF(Dashboard!$I$6="Flat %",1,IF(ISNUMBER(H948),1,0))</x:f>
        <x:v>1</x:v>
      </x:c>
      <x:c r="W948" s="9" t="n">
        <x:f>IF(Dashboard!$I$6="Flat %",G948*(1+Dashboard!$L$6),H948)</x:f>
        <x:v>70.68</x:v>
      </x:c>
      <x:c r="X948" s="9" t="n">
        <x:f>IF(V948=1,R948*(W948-G948),"n.a.")</x:f>
        <x:v>0</x:v>
      </x:c>
      <x:c r="Y948" s="9" t="n">
        <x:f>IF(V948=1,R948*W948,"n.a.")</x:f>
        <x:v>1720.719839014374</x:v>
      </x:c>
      <x:c r="Z948" s="1" t="str">
        <x:f>IF(ISNUMBER(T948),R948-T948,"n.a.")</x:f>
        <x:v>n.a.</x:v>
      </x:c>
      <x:c r="AA948" s="1" t="str">
        <x:f>'Inventory inputs'!R948</x:f>
        <x:v>Review receipt reconciliation or original PO baseline</x:v>
      </x:c>
      <x:c r="AB948" s="1" t="str">
        <x:f>IF(L948=1,SUMIFS('Incoming POs'!$P$2:$P$305,'Incoming POs'!$A$2:$A$305,A948,'Incoming POs'!$B$2:$B$305,B948,'Incoming POs'!$C$2:$C$305,C948,'Incoming POs'!$G$2:$G$305,"&gt;="&amp;D948,'Incoming POs'!$G$2:$G$305,"&lt;"&amp;Dashboard!$I$5,'Incoming POs'!$Q$2:$Q$305,"&lt;="&amp;('Inventory inputs'!P948/'Inventory inputs'!J948*1.01)),"n.a.")</x:f>
        <x:v>n.a.</x:v>
      </x:c>
      <x:c r="AC948" s="9" t="n">
        <x:f>I948*G948</x:f>
        <x:v>0</x:v>
      </x:c>
      <x:c r="AD948" s="9" t="n">
        <x:f>J948*G948</x:f>
        <x:v>0</x:v>
      </x:c>
      <x:c r="AE948" s="9" t="n">
        <x:f>K948*G948</x:f>
        <x:v>2120.4</x:v>
      </x:c>
      <x:c r="AF948" s="9" t="n">
        <x:f>R948*G948</x:f>
        <x:v>1720.719839014374</x:v>
      </x:c>
    </x:row>
    <x:row r="949" ht="21" customHeight="1">
      <x:c r="A949" s="1" t="str">
        <x:f>'Inventory inputs'!A949</x:f>
        <x:v>FILM</x:v>
      </x:c>
      <x:c r="B949" s="1" t="str">
        <x:f>'Inventory inputs'!B949</x:f>
        <x:v>60</x:v>
      </x:c>
      <x:c r="C949" s="1" t="str">
        <x:f>'Inventory inputs'!C949</x:f>
        <x:v>402005C2</x:v>
      </x:c>
      <x:c r="D949" s="7" t="n">
        <x:f>'Inventory inputs'!E949</x:f>
        <x:v>46304</x:v>
      </x:c>
      <x:c r="E949" s="1" t="n">
        <x:f>'Inventory inputs'!F949</x:f>
        <x:v>162</x:v>
      </x:c>
      <x:c r="F949" s="1" t="n">
        <x:f>'Inventory inputs'!G949</x:f>
        <x:v>4.33</x:v>
      </x:c>
      <x:c r="G949" s="1" t="n">
        <x:f>'Inventory inputs'!H949/'Inventory inputs'!J949</x:f>
        <x:v>33.89</x:v>
      </x:c>
      <x:c r="H949" s="1" t="n">
        <x:f>IF('Inventory inputs'!I949&gt;0,'Inventory inputs'!I949*'Inventory inputs'!K949/'Inventory inputs'!J949,"n.a.")</x:f>
        <x:v>40.7</x:v>
      </x:c>
      <x:c r="I949" s="1" t="n">
        <x:f>'Inventory inputs'!L949</x:f>
        <x:v>162</x:v>
      </x:c>
      <x:c r="J949" s="1" t="n">
        <x:f>'Inventory inputs'!M949</x:f>
        <x:v>0</x:v>
      </x:c>
      <x:c r="K949" s="1" t="n">
        <x:f>'Inventory inputs'!N949</x:f>
        <x:v>0</x:v>
      </x:c>
      <x:c r="L949" s="1" t="n">
        <x:f>'Inventory inputs'!O949</x:f>
        <x:v>1</x:v>
      </x:c>
      <x:c r="M949" s="9" t="n">
        <x:f>E949*G949</x:f>
        <x:v>5490.18</x:v>
      </x:c>
      <x:c r="N949" s="9" t="n">
        <x:f>'Inventory inputs'!Q949</x:f>
        <x:v>5490.18</x:v>
      </x:c>
      <x:c r="O949" s="9" t="n">
        <x:f>N949-M949</x:f>
        <x:v>0</x:v>
      </x:c>
      <x:c r="P949" s="1" t="n">
        <x:f>SUMIFS('Incoming POs'!$P$2:$P$305,'Incoming POs'!$A$2:$A$305,A949,'Incoming POs'!$B$2:$B$305,B949,'Incoming POs'!$C$2:$C$305,C949,'Incoming POs'!$G$2:$G$305,"&gt;="&amp;D949,'Incoming POs'!$G$2:$G$305,"&lt;"&amp;Dashboard!$I$5)</x:f>
        <x:v>0</x:v>
      </x:c>
      <x:c r="Q949" s="1" t="n">
        <x:f>F949*Dashboard!$L$5*MAX(0,Dashboard!$I$5-D949)/30.4375</x:f>
        <x:v>5.654784394250513</x:v>
      </x:c>
      <x:c r="R949" s="1" t="n">
        <x:f>MAX(0,E949+P949-Q949)</x:f>
        <x:v>156.34521560574947</x:v>
      </x:c>
      <x:c r="S949" s="1" t="n">
        <x:f>MAX(0,Q949-E949-P949)</x:f>
        <x:v>0</x:v>
      </x:c>
      <x:c r="T949" s="1" t="n">
        <x:f>IF(L949=1,MAX(0,I949+AB949-MIN(Q949,E949+P949)),"n.a.")</x:f>
        <x:v>156.34521560574947</x:v>
      </x:c>
      <x:c r="U949" s="9" t="n">
        <x:f>IF(ISNUMBER(T949),T949*G949,"n.a.")</x:f>
        <x:v>5298.5393568788495</x:v>
      </x:c>
      <x:c r="V949" s="25" t="n">
        <x:f>IF(Dashboard!$I$6="Flat %",1,IF(ISNUMBER(H949),1,0))</x:f>
        <x:v>1</x:v>
      </x:c>
      <x:c r="W949" s="9" t="n">
        <x:f>IF(Dashboard!$I$6="Flat %",G949*(1+Dashboard!$L$6),H949)</x:f>
        <x:v>40.7</x:v>
      </x:c>
      <x:c r="X949" s="9" t="n">
        <x:f>IF(V949=1,R949*(W949-G949),"n.a.")</x:f>
        <x:v>1064.7109182751542</x:v>
      </x:c>
      <x:c r="Y949" s="9" t="n">
        <x:f>IF(V949=1,R949*W949,"n.a.")</x:f>
        <x:v>6363.250275154004</x:v>
      </x:c>
      <x:c r="Z949" s="1" t="n">
        <x:f>IF(ISNUMBER(T949),R949-T949,"n.a.")</x:f>
        <x:v>0</x:v>
      </x:c>
      <x:c r="AA949" s="1" t="str">
        <x:f>'Inventory inputs'!R949</x:f>
        <x:v>Classified</x:v>
      </x:c>
      <x:c r="AB949" s="1" t="n">
        <x:f>IF(L949=1,SUMIFS('Incoming POs'!$P$2:$P$305,'Incoming POs'!$A$2:$A$305,A949,'Incoming POs'!$B$2:$B$305,B949,'Incoming POs'!$C$2:$C$305,C949,'Incoming POs'!$G$2:$G$305,"&gt;="&amp;D949,'Incoming POs'!$G$2:$G$305,"&lt;"&amp;Dashboard!$I$5,'Incoming POs'!$Q$2:$Q$305,"&lt;="&amp;('Inventory inputs'!P949/'Inventory inputs'!J949*1.01)),"n.a.")</x:f>
        <x:v>0</x:v>
      </x:c>
      <x:c r="AC949" s="9" t="n">
        <x:f>I949*G949</x:f>
        <x:v>5490.18</x:v>
      </x:c>
      <x:c r="AD949" s="9" t="n">
        <x:f>J949*G949</x:f>
        <x:v>0</x:v>
      </x:c>
      <x:c r="AE949" s="9" t="n">
        <x:f>K949*G949</x:f>
        <x:v>0</x:v>
      </x:c>
      <x:c r="AF949" s="9" t="n">
        <x:f>R949*G949</x:f>
        <x:v>5298.5393568788495</x:v>
      </x:c>
    </x:row>
    <x:row r="950" ht="21" customHeight="1">
      <x:c r="A950" s="1" t="str">
        <x:f>'Inventory inputs'!A950</x:f>
        <x:v>FILM</x:v>
      </x:c>
      <x:c r="B950" s="1" t="str">
        <x:f>'Inventory inputs'!B950</x:f>
        <x:v>10</x:v>
      </x:c>
      <x:c r="C950" s="1" t="str">
        <x:f>'Inventory inputs'!C950</x:f>
        <x:v>2750017C1</x:v>
      </x:c>
      <x:c r="D950" s="7" t="n">
        <x:f>'Inventory inputs'!E950</x:f>
        <x:v>46304</x:v>
      </x:c>
      <x:c r="E950" s="1" t="n">
        <x:f>'Inventory inputs'!F950</x:f>
        <x:v>84</x:v>
      </x:c>
      <x:c r="F950" s="1" t="n">
        <x:f>'Inventory inputs'!G950</x:f>
        <x:v>4.17</x:v>
      </x:c>
      <x:c r="G950" s="1" t="n">
        <x:f>'Inventory inputs'!H950/'Inventory inputs'!J950</x:f>
        <x:v>20.9</x:v>
      </x:c>
      <x:c r="H950" s="1" t="n">
        <x:f>IF('Inventory inputs'!I950&gt;0,'Inventory inputs'!I950*'Inventory inputs'!K950/'Inventory inputs'!J950,"n.a.")</x:f>
        <x:v>25.11</x:v>
      </x:c>
      <x:c r="I950" s="1" t="n">
        <x:f>'Inventory inputs'!L950</x:f>
        <x:v>0</x:v>
      </x:c>
      <x:c r="J950" s="1" t="n">
        <x:f>'Inventory inputs'!M950</x:f>
        <x:v>84</x:v>
      </x:c>
      <x:c r="K950" s="1" t="n">
        <x:f>'Inventory inputs'!N950</x:f>
        <x:v>0</x:v>
      </x:c>
      <x:c r="L950" s="1" t="n">
        <x:f>'Inventory inputs'!O950</x:f>
        <x:v>1</x:v>
      </x:c>
      <x:c r="M950" s="9" t="n">
        <x:f>E950*G950</x:f>
        <x:v>1755.6</x:v>
      </x:c>
      <x:c r="N950" s="9" t="n">
        <x:f>'Inventory inputs'!Q950</x:f>
        <x:v>1755.6</x:v>
      </x:c>
      <x:c r="O950" s="9" t="n">
        <x:f>N950-M950</x:f>
        <x:v>0</x:v>
      </x:c>
      <x:c r="P950" s="1" t="n">
        <x:f>SUMIFS('Incoming POs'!$P$2:$P$305,'Incoming POs'!$A$2:$A$305,A950,'Incoming POs'!$B$2:$B$305,B950,'Incoming POs'!$C$2:$C$305,C950,'Incoming POs'!$G$2:$G$305,"&gt;="&amp;D950,'Incoming POs'!$G$2:$G$305,"&lt;"&amp;Dashboard!$I$5)</x:f>
        <x:v>0</x:v>
      </x:c>
      <x:c r="Q950" s="1" t="n">
        <x:f>F950*Dashboard!$L$5*MAX(0,Dashboard!$I$5-D950)/30.4375</x:f>
        <x:v>5.445831622176591</x:v>
      </x:c>
      <x:c r="R950" s="1" t="n">
        <x:f>MAX(0,E950+P950-Q950)</x:f>
        <x:v>78.5541683778234</x:v>
      </x:c>
      <x:c r="S950" s="1" t="n">
        <x:f>MAX(0,Q950-E950-P950)</x:f>
        <x:v>0</x:v>
      </x:c>
      <x:c r="T950" s="1" t="n">
        <x:f>IF(L950=1,MAX(0,I950+AB950-MIN(Q950,E950+P950)),"n.a.")</x:f>
        <x:v>0</x:v>
      </x:c>
      <x:c r="U950" s="9" t="n">
        <x:f>IF(ISNUMBER(T950),T950*G950,"n.a.")</x:f>
        <x:v>0</x:v>
      </x:c>
      <x:c r="V950" s="25" t="n">
        <x:f>IF(Dashboard!$I$6="Flat %",1,IF(ISNUMBER(H950),1,0))</x:f>
        <x:v>1</x:v>
      </x:c>
      <x:c r="W950" s="9" t="n">
        <x:f>IF(Dashboard!$I$6="Flat %",G950*(1+Dashboard!$L$6),H950)</x:f>
        <x:v>25.11</x:v>
      </x:c>
      <x:c r="X950" s="9" t="n">
        <x:f>IF(V950=1,R950*(W950-G950),"n.a.")</x:f>
        <x:v>330.7130488706366</x:v>
      </x:c>
      <x:c r="Y950" s="9" t="n">
        <x:f>IF(V950=1,R950*W950,"n.a.")</x:f>
        <x:v>1972.4951679671456</x:v>
      </x:c>
      <x:c r="Z950" s="1" t="n">
        <x:f>IF(ISNUMBER(T950),R950-T950,"n.a.")</x:f>
        <x:v>78.5541683778234</x:v>
      </x:c>
      <x:c r="AA950" s="1" t="str">
        <x:f>'Inventory inputs'!R950</x:f>
        <x:v>Classified</x:v>
      </x:c>
      <x:c r="AB950" s="1" t="n">
        <x:f>IF(L950=1,SUMIFS('Incoming POs'!$P$2:$P$305,'Incoming POs'!$A$2:$A$305,A950,'Incoming POs'!$B$2:$B$305,B950,'Incoming POs'!$C$2:$C$305,C950,'Incoming POs'!$G$2:$G$305,"&gt;="&amp;D950,'Incoming POs'!$G$2:$G$305,"&lt;"&amp;Dashboard!$I$5,'Incoming POs'!$Q$2:$Q$305,"&lt;="&amp;('Inventory inputs'!P950/'Inventory inputs'!J950*1.01)),"n.a.")</x:f>
        <x:v>0</x:v>
      </x:c>
      <x:c r="AC950" s="9" t="n">
        <x:f>I950*G950</x:f>
        <x:v>0</x:v>
      </x:c>
      <x:c r="AD950" s="9" t="n">
        <x:f>J950*G950</x:f>
        <x:v>1755.6</x:v>
      </x:c>
      <x:c r="AE950" s="9" t="n">
        <x:f>K950*G950</x:f>
        <x:v>0</x:v>
      </x:c>
      <x:c r="AF950" s="9" t="n">
        <x:f>R950*G950</x:f>
        <x:v>1641.782119096509</x:v>
      </x:c>
    </x:row>
    <x:row r="951" ht="21" customHeight="1">
      <x:c r="A951" s="1" t="str">
        <x:f>'Inventory inputs'!A951</x:f>
        <x:v>FILM</x:v>
      </x:c>
      <x:c r="B951" s="1" t="str">
        <x:f>'Inventory inputs'!B951</x:f>
        <x:v>10</x:v>
      </x:c>
      <x:c r="C951" s="1" t="str">
        <x:f>'Inventory inputs'!C951</x:f>
        <x:v>PR402503C2</x:v>
      </x:c>
      <x:c r="D951" s="7" t="n">
        <x:f>'Inventory inputs'!E951</x:f>
        <x:v>46304</x:v>
      </x:c>
      <x:c r="E951" s="1" t="n">
        <x:f>'Inventory inputs'!F951</x:f>
        <x:v>62</x:v>
      </x:c>
      <x:c r="F951" s="1" t="n">
        <x:f>'Inventory inputs'!G951</x:f>
        <x:v>4</x:v>
      </x:c>
      <x:c r="G951" s="1" t="n">
        <x:f>'Inventory inputs'!H951/'Inventory inputs'!J951</x:f>
        <x:v>27</x:v>
      </x:c>
      <x:c r="H951" s="1" t="n">
        <x:f>IF('Inventory inputs'!I951&gt;0,'Inventory inputs'!I951*'Inventory inputs'!K951/'Inventory inputs'!J951,"n.a.")</x:f>
        <x:v>32.4</x:v>
      </x:c>
      <x:c r="I951" s="1" t="n">
        <x:f>'Inventory inputs'!L951</x:f>
        <x:v>0</x:v>
      </x:c>
      <x:c r="J951" s="1" t="n">
        <x:f>'Inventory inputs'!M951</x:f>
        <x:v>62</x:v>
      </x:c>
      <x:c r="K951" s="1" t="n">
        <x:f>'Inventory inputs'!N951</x:f>
        <x:v>0</x:v>
      </x:c>
      <x:c r="L951" s="1" t="n">
        <x:f>'Inventory inputs'!O951</x:f>
        <x:v>1</x:v>
      </x:c>
      <x:c r="M951" s="9" t="n">
        <x:f>E951*G951</x:f>
        <x:v>1674</x:v>
      </x:c>
      <x:c r="N951" s="9" t="n">
        <x:f>'Inventory inputs'!Q951</x:f>
        <x:v>1674</x:v>
      </x:c>
      <x:c r="O951" s="9" t="n">
        <x:f>N951-M951</x:f>
        <x:v>0</x:v>
      </x:c>
      <x:c r="P951" s="1" t="n">
        <x:f>SUMIFS('Incoming POs'!$P$2:$P$305,'Incoming POs'!$A$2:$A$305,A951,'Incoming POs'!$B$2:$B$305,B951,'Incoming POs'!$C$2:$C$305,C951,'Incoming POs'!$G$2:$G$305,"&gt;="&amp;D951,'Incoming POs'!$G$2:$G$305,"&lt;"&amp;Dashboard!$I$5)</x:f>
        <x:v>0</x:v>
      </x:c>
      <x:c r="Q951" s="1" t="n">
        <x:f>F951*Dashboard!$L$5*MAX(0,Dashboard!$I$5-D951)/30.4375</x:f>
        <x:v>5.223819301848049</x:v>
      </x:c>
      <x:c r="R951" s="1" t="n">
        <x:f>MAX(0,E951+P951-Q951)</x:f>
        <x:v>56.77618069815195</x:v>
      </x:c>
      <x:c r="S951" s="1" t="n">
        <x:f>MAX(0,Q951-E951-P951)</x:f>
        <x:v>0</x:v>
      </x:c>
      <x:c r="T951" s="1" t="n">
        <x:f>IF(L951=1,MAX(0,I951+AB951-MIN(Q951,E951+P951)),"n.a.")</x:f>
        <x:v>0</x:v>
      </x:c>
      <x:c r="U951" s="9" t="n">
        <x:f>IF(ISNUMBER(T951),T951*G951,"n.a.")</x:f>
        <x:v>0</x:v>
      </x:c>
      <x:c r="V951" s="25" t="n">
        <x:f>IF(Dashboard!$I$6="Flat %",1,IF(ISNUMBER(H951),1,0))</x:f>
        <x:v>1</x:v>
      </x:c>
      <x:c r="W951" s="9" t="n">
        <x:f>IF(Dashboard!$I$6="Flat %",G951*(1+Dashboard!$L$6),H951)</x:f>
        <x:v>32.4</x:v>
      </x:c>
      <x:c r="X951" s="9" t="n">
        <x:f>IF(V951=1,R951*(W951-G951),"n.a.")</x:f>
        <x:v>306.5913757700204</x:v>
      </x:c>
      <x:c r="Y951" s="9" t="n">
        <x:f>IF(V951=1,R951*W951,"n.a.")</x:f>
        <x:v>1839.548254620123</x:v>
      </x:c>
      <x:c r="Z951" s="1" t="n">
        <x:f>IF(ISNUMBER(T951),R951-T951,"n.a.")</x:f>
        <x:v>56.77618069815195</x:v>
      </x:c>
      <x:c r="AA951" s="1" t="str">
        <x:f>'Inventory inputs'!R951</x:f>
        <x:v>Classified</x:v>
      </x:c>
      <x:c r="AB951" s="1" t="n">
        <x:f>IF(L951=1,SUMIFS('Incoming POs'!$P$2:$P$305,'Incoming POs'!$A$2:$A$305,A951,'Incoming POs'!$B$2:$B$305,B951,'Incoming POs'!$C$2:$C$305,C951,'Incoming POs'!$G$2:$G$305,"&gt;="&amp;D951,'Incoming POs'!$G$2:$G$305,"&lt;"&amp;Dashboard!$I$5,'Incoming POs'!$Q$2:$Q$305,"&lt;="&amp;('Inventory inputs'!P951/'Inventory inputs'!J951*1.01)),"n.a.")</x:f>
        <x:v>0</x:v>
      </x:c>
      <x:c r="AC951" s="9" t="n">
        <x:f>I951*G951</x:f>
        <x:v>0</x:v>
      </x:c>
      <x:c r="AD951" s="9" t="n">
        <x:f>J951*G951</x:f>
        <x:v>1674</x:v>
      </x:c>
      <x:c r="AE951" s="9" t="n">
        <x:f>K951*G951</x:f>
        <x:v>0</x:v>
      </x:c>
      <x:c r="AF951" s="9" t="n">
        <x:f>R951*G951</x:f>
        <x:v>1532.9568788501026</x:v>
      </x:c>
    </x:row>
    <x:row r="952" ht="21" customHeight="1">
      <x:c r="A952" s="1" t="str">
        <x:f>'Inventory inputs'!A952</x:f>
        <x:v>FILM</x:v>
      </x:c>
      <x:c r="B952" s="1" t="str">
        <x:f>'Inventory inputs'!B952</x:f>
        <x:v>10</x:v>
      </x:c>
      <x:c r="C952" s="1" t="str">
        <x:f>'Inventory inputs'!C952</x:f>
        <x:v>1850010C3</x:v>
      </x:c>
      <x:c r="D952" s="7" t="n">
        <x:f>'Inventory inputs'!E952</x:f>
        <x:v>46304</x:v>
      </x:c>
      <x:c r="E952" s="1" t="n">
        <x:f>'Inventory inputs'!F952</x:f>
        <x:v>5</x:v>
      </x:c>
      <x:c r="F952" s="1" t="n">
        <x:f>'Inventory inputs'!G952</x:f>
        <x:v>3.67</x:v>
      </x:c>
      <x:c r="G952" s="1" t="n">
        <x:f>'Inventory inputs'!H952/'Inventory inputs'!J952</x:f>
        <x:v>85.32</x:v>
      </x:c>
      <x:c r="H952" s="1" t="n">
        <x:f>IF('Inventory inputs'!I952&gt;0,'Inventory inputs'!I952*'Inventory inputs'!K952/'Inventory inputs'!J952,"n.a.")</x:f>
        <x:v>102.38</x:v>
      </x:c>
      <x:c r="I952" s="1" t="n">
        <x:f>'Inventory inputs'!L952</x:f>
        <x:v>0</x:v>
      </x:c>
      <x:c r="J952" s="1" t="n">
        <x:f>'Inventory inputs'!M952</x:f>
        <x:v>5</x:v>
      </x:c>
      <x:c r="K952" s="1" t="n">
        <x:f>'Inventory inputs'!N952</x:f>
        <x:v>0</x:v>
      </x:c>
      <x:c r="L952" s="1" t="n">
        <x:f>'Inventory inputs'!O952</x:f>
        <x:v>1</x:v>
      </x:c>
      <x:c r="M952" s="9" t="n">
        <x:f>E952*G952</x:f>
        <x:v>426.59999999999997</x:v>
      </x:c>
      <x:c r="N952" s="9" t="n">
        <x:f>'Inventory inputs'!Q952</x:f>
        <x:v>426.59999999999997</x:v>
      </x:c>
      <x:c r="O952" s="9" t="n">
        <x:f>N952-M952</x:f>
        <x:v>0</x:v>
      </x:c>
      <x:c r="P952" s="1" t="n">
        <x:f>SUMIFS('Incoming POs'!$P$2:$P$305,'Incoming POs'!$A$2:$A$305,A952,'Incoming POs'!$B$2:$B$305,B952,'Incoming POs'!$C$2:$C$305,C952,'Incoming POs'!$G$2:$G$305,"&gt;="&amp;D952,'Incoming POs'!$G$2:$G$305,"&lt;"&amp;Dashboard!$I$5)</x:f>
        <x:v>16</x:v>
      </x:c>
      <x:c r="Q952" s="1" t="n">
        <x:f>F952*Dashboard!$L$5*MAX(0,Dashboard!$I$5-D952)/30.4375</x:f>
        <x:v>4.792854209445585</x:v>
      </x:c>
      <x:c r="R952" s="1" t="n">
        <x:f>MAX(0,E952+P952-Q952)</x:f>
        <x:v>16.207145790554414</x:v>
      </x:c>
      <x:c r="S952" s="1" t="n">
        <x:f>MAX(0,Q952-E952-P952)</x:f>
        <x:v>0</x:v>
      </x:c>
      <x:c r="T952" s="1" t="n">
        <x:f>IF(L952=1,MAX(0,I952+AB952-MIN(Q952,E952+P952)),"n.a.")</x:f>
        <x:v>0</x:v>
      </x:c>
      <x:c r="U952" s="9" t="n">
        <x:f>IF(ISNUMBER(T952),T952*G952,"n.a.")</x:f>
        <x:v>0</x:v>
      </x:c>
      <x:c r="V952" s="25" t="n">
        <x:f>IF(Dashboard!$I$6="Flat %",1,IF(ISNUMBER(H952),1,0))</x:f>
        <x:v>1</x:v>
      </x:c>
      <x:c r="W952" s="9" t="n">
        <x:f>IF(Dashboard!$I$6="Flat %",G952*(1+Dashboard!$L$6),H952)</x:f>
        <x:v>102.38</x:v>
      </x:c>
      <x:c r="X952" s="9" t="n">
        <x:f>IF(V952=1,R952*(W952-G952),"n.a.")</x:f>
        <x:v>276.49390718685834</x:v>
      </x:c>
      <x:c r="Y952" s="9" t="n">
        <x:f>IF(V952=1,R952*W952,"n.a.")</x:f>
        <x:v>1659.2875860369609</x:v>
      </x:c>
      <x:c r="Z952" s="1" t="n">
        <x:f>IF(ISNUMBER(T952),R952-T952,"n.a.")</x:f>
        <x:v>16.207145790554414</x:v>
      </x:c>
      <x:c r="AA952" s="1" t="str">
        <x:f>'Inventory inputs'!R952</x:f>
        <x:v>Classified</x:v>
      </x:c>
      <x:c r="AB952" s="1" t="n">
        <x:f>IF(L952=1,SUMIFS('Incoming POs'!$P$2:$P$305,'Incoming POs'!$A$2:$A$305,A952,'Incoming POs'!$B$2:$B$305,B952,'Incoming POs'!$C$2:$C$305,C952,'Incoming POs'!$G$2:$G$305,"&gt;="&amp;D952,'Incoming POs'!$G$2:$G$305,"&lt;"&amp;Dashboard!$I$5,'Incoming POs'!$Q$2:$Q$305,"&lt;="&amp;('Inventory inputs'!P952/'Inventory inputs'!J952*1.01)),"n.a.")</x:f>
        <x:v>0</x:v>
      </x:c>
      <x:c r="AC952" s="9" t="n">
        <x:f>I952*G952</x:f>
        <x:v>0</x:v>
      </x:c>
      <x:c r="AD952" s="9" t="n">
        <x:f>J952*G952</x:f>
        <x:v>426.59999999999997</x:v>
      </x:c>
      <x:c r="AE952" s="9" t="n">
        <x:f>K952*G952</x:f>
        <x:v>0</x:v>
      </x:c>
      <x:c r="AF952" s="9" t="n">
        <x:f>R952*G952</x:f>
        <x:v>1382.7936788501024</x:v>
      </x:c>
    </x:row>
    <x:row r="953" ht="21" customHeight="1">
      <x:c r="A953" s="1" t="str">
        <x:f>'Inventory inputs'!A953</x:f>
        <x:v>FILM</x:v>
      </x:c>
      <x:c r="B953" s="1" t="str">
        <x:f>'Inventory inputs'!B953</x:f>
        <x:v>10</x:v>
      </x:c>
      <x:c r="C953" s="1" t="str">
        <x:f>'Inventory inputs'!C953</x:f>
        <x:v>PR182503C1</x:v>
      </x:c>
      <x:c r="D953" s="7" t="n">
        <x:f>'Inventory inputs'!E953</x:f>
        <x:v>46304</x:v>
      </x:c>
      <x:c r="E953" s="1" t="n">
        <x:f>'Inventory inputs'!F953</x:f>
        <x:v>150</x:v>
      </x:c>
      <x:c r="F953" s="1" t="n">
        <x:f>'Inventory inputs'!G953</x:f>
        <x:v>3.67</x:v>
      </x:c>
      <x:c r="G953" s="1" t="n">
        <x:f>'Inventory inputs'!H953/'Inventory inputs'!J953</x:f>
        <x:v>12.15</x:v>
      </x:c>
      <x:c r="H953" s="1" t="n">
        <x:f>IF('Inventory inputs'!I953&gt;0,'Inventory inputs'!I953*'Inventory inputs'!K953/'Inventory inputs'!J953,"n.a.")</x:f>
        <x:v>14.58</x:v>
      </x:c>
      <x:c r="I953" s="1" t="n">
        <x:f>'Inventory inputs'!L953</x:f>
        <x:v>150</x:v>
      </x:c>
      <x:c r="J953" s="1" t="n">
        <x:f>'Inventory inputs'!M953</x:f>
        <x:v>0</x:v>
      </x:c>
      <x:c r="K953" s="1" t="n">
        <x:f>'Inventory inputs'!N953</x:f>
        <x:v>0</x:v>
      </x:c>
      <x:c r="L953" s="1" t="n">
        <x:f>'Inventory inputs'!O953</x:f>
        <x:v>1</x:v>
      </x:c>
      <x:c r="M953" s="9" t="n">
        <x:f>E953*G953</x:f>
        <x:v>1822.5</x:v>
      </x:c>
      <x:c r="N953" s="9" t="n">
        <x:f>'Inventory inputs'!Q953</x:f>
        <x:v>1822.5</x:v>
      </x:c>
      <x:c r="O953" s="9" t="n">
        <x:f>N953-M953</x:f>
        <x:v>0</x:v>
      </x:c>
      <x:c r="P953" s="1" t="n">
        <x:f>SUMIFS('Incoming POs'!$P$2:$P$305,'Incoming POs'!$A$2:$A$305,A953,'Incoming POs'!$B$2:$B$305,B953,'Incoming POs'!$C$2:$C$305,C953,'Incoming POs'!$G$2:$G$305,"&gt;="&amp;D953,'Incoming POs'!$G$2:$G$305,"&lt;"&amp;Dashboard!$I$5)</x:f>
        <x:v>0</x:v>
      </x:c>
      <x:c r="Q953" s="1" t="n">
        <x:f>F953*Dashboard!$L$5*MAX(0,Dashboard!$I$5-D953)/30.4375</x:f>
        <x:v>4.792854209445585</x:v>
      </x:c>
      <x:c r="R953" s="1" t="n">
        <x:f>MAX(0,E953+P953-Q953)</x:f>
        <x:v>145.20714579055442</x:v>
      </x:c>
      <x:c r="S953" s="1" t="n">
        <x:f>MAX(0,Q953-E953-P953)</x:f>
        <x:v>0</x:v>
      </x:c>
      <x:c r="T953" s="1" t="n">
        <x:f>IF(L953=1,MAX(0,I953+AB953-MIN(Q953,E953+P953)),"n.a.")</x:f>
        <x:v>145.20714579055442</x:v>
      </x:c>
      <x:c r="U953" s="9" t="n">
        <x:f>IF(ISNUMBER(T953),T953*G953,"n.a.")</x:f>
        <x:v>1764.2668213552363</x:v>
      </x:c>
      <x:c r="V953" s="25" t="n">
        <x:f>IF(Dashboard!$I$6="Flat %",1,IF(ISNUMBER(H953),1,0))</x:f>
        <x:v>1</x:v>
      </x:c>
      <x:c r="W953" s="9" t="n">
        <x:f>IF(Dashboard!$I$6="Flat %",G953*(1+Dashboard!$L$6),H953)</x:f>
        <x:v>14.58</x:v>
      </x:c>
      <x:c r="X953" s="9" t="n">
        <x:f>IF(V953=1,R953*(W953-G953),"n.a.")</x:f>
        <x:v>352.8533642710472</x:v>
      </x:c>
      <x:c r="Y953" s="9" t="n">
        <x:f>IF(V953=1,R953*W953,"n.a.")</x:f>
        <x:v>2117.1201856262833</x:v>
      </x:c>
      <x:c r="Z953" s="1" t="n">
        <x:f>IF(ISNUMBER(T953),R953-T953,"n.a.")</x:f>
        <x:v>0</x:v>
      </x:c>
      <x:c r="AA953" s="1" t="str">
        <x:f>'Inventory inputs'!R953</x:f>
        <x:v>Classified</x:v>
      </x:c>
      <x:c r="AB953" s="1" t="n">
        <x:f>IF(L953=1,SUMIFS('Incoming POs'!$P$2:$P$305,'Incoming POs'!$A$2:$A$305,A953,'Incoming POs'!$B$2:$B$305,B953,'Incoming POs'!$C$2:$C$305,C953,'Incoming POs'!$G$2:$G$305,"&gt;="&amp;D953,'Incoming POs'!$G$2:$G$305,"&lt;"&amp;Dashboard!$I$5,'Incoming POs'!$Q$2:$Q$305,"&lt;="&amp;('Inventory inputs'!P953/'Inventory inputs'!J953*1.01)),"n.a.")</x:f>
        <x:v>0</x:v>
      </x:c>
      <x:c r="AC953" s="9" t="n">
        <x:f>I953*G953</x:f>
        <x:v>1822.5</x:v>
      </x:c>
      <x:c r="AD953" s="9" t="n">
        <x:f>J953*G953</x:f>
        <x:v>0</x:v>
      </x:c>
      <x:c r="AE953" s="9" t="n">
        <x:f>K953*G953</x:f>
        <x:v>0</x:v>
      </x:c>
      <x:c r="AF953" s="9" t="n">
        <x:f>R953*G953</x:f>
        <x:v>1764.2668213552363</x:v>
      </x:c>
    </x:row>
    <x:row r="954" ht="21" customHeight="1">
      <x:c r="A954" s="1" t="str">
        <x:f>'Inventory inputs'!A954</x:f>
        <x:v>FILM</x:v>
      </x:c>
      <x:c r="B954" s="1" t="str">
        <x:f>'Inventory inputs'!B954</x:f>
        <x:v>10</x:v>
      </x:c>
      <x:c r="C954" s="1" t="str">
        <x:f>'Inventory inputs'!C954</x:f>
        <x:v>HLA125G</x:v>
      </x:c>
      <x:c r="D954" s="7" t="n">
        <x:f>'Inventory inputs'!E954</x:f>
        <x:v>46304</x:v>
      </x:c>
      <x:c r="E954" s="1" t="n">
        <x:f>'Inventory inputs'!F954</x:f>
        <x:v>32</x:v>
      </x:c>
      <x:c r="F954" s="1" t="n">
        <x:f>'Inventory inputs'!G954</x:f>
        <x:v>3.67</x:v>
      </x:c>
      <x:c r="G954" s="1" t="n">
        <x:f>'Inventory inputs'!H954/'Inventory inputs'!J954</x:f>
        <x:v>65.05</x:v>
      </x:c>
      <x:c r="H954" s="1" t="n">
        <x:f>IF('Inventory inputs'!I954&gt;0,'Inventory inputs'!I954*'Inventory inputs'!K954/'Inventory inputs'!J954,"n.a.")</x:f>
        <x:v>65.05</x:v>
      </x:c>
      <x:c r="I954" s="1" t="n">
        <x:f>'Inventory inputs'!L954</x:f>
        <x:v>0</x:v>
      </x:c>
      <x:c r="J954" s="1" t="n">
        <x:f>'Inventory inputs'!M954</x:f>
        <x:v>0</x:v>
      </x:c>
      <x:c r="K954" s="1" t="n">
        <x:f>'Inventory inputs'!N954</x:f>
        <x:v>32</x:v>
      </x:c>
      <x:c r="L954" s="1" t="n">
        <x:f>'Inventory inputs'!O954</x:f>
        <x:v>0</x:v>
      </x:c>
      <x:c r="M954" s="9" t="n">
        <x:f>E954*G954</x:f>
        <x:v>2081.6</x:v>
      </x:c>
      <x:c r="N954" s="9" t="n">
        <x:f>'Inventory inputs'!Q954</x:f>
        <x:v>2081.6</x:v>
      </x:c>
      <x:c r="O954" s="9" t="n">
        <x:f>N954-M954</x:f>
        <x:v>0</x:v>
      </x:c>
      <x:c r="P954" s="1" t="n">
        <x:f>SUMIFS('Incoming POs'!$P$2:$P$305,'Incoming POs'!$A$2:$A$305,A954,'Incoming POs'!$B$2:$B$305,B954,'Incoming POs'!$C$2:$C$305,C954,'Incoming POs'!$G$2:$G$305,"&gt;="&amp;D954,'Incoming POs'!$G$2:$G$305,"&lt;"&amp;Dashboard!$I$5)</x:f>
        <x:v>0</x:v>
      </x:c>
      <x:c r="Q954" s="1" t="n">
        <x:f>F954*Dashboard!$L$5*MAX(0,Dashboard!$I$5-D954)/30.4375</x:f>
        <x:v>4.792854209445585</x:v>
      </x:c>
      <x:c r="R954" s="1" t="n">
        <x:f>MAX(0,E954+P954-Q954)</x:f>
        <x:v>27.207145790554414</x:v>
      </x:c>
      <x:c r="S954" s="1" t="n">
        <x:f>MAX(0,Q954-E954-P954)</x:f>
        <x:v>0</x:v>
      </x:c>
      <x:c r="T954" s="1" t="str">
        <x:f>IF(L954=1,MAX(0,I954+AB954-MIN(Q954,E954+P954)),"n.a.")</x:f>
        <x:v>n.a.</x:v>
      </x:c>
      <x:c r="U954" s="9" t="str">
        <x:f>IF(ISNUMBER(T954),T954*G954,"n.a.")</x:f>
        <x:v>n.a.</x:v>
      </x:c>
      <x:c r="V954" s="25" t="n">
        <x:f>IF(Dashboard!$I$6="Flat %",1,IF(ISNUMBER(H954),1,0))</x:f>
        <x:v>1</x:v>
      </x:c>
      <x:c r="W954" s="9" t="n">
        <x:f>IF(Dashboard!$I$6="Flat %",G954*(1+Dashboard!$L$6),H954)</x:f>
        <x:v>65.05</x:v>
      </x:c>
      <x:c r="X954" s="9" t="n">
        <x:f>IF(V954=1,R954*(W954-G954),"n.a.")</x:f>
        <x:v>0</x:v>
      </x:c>
      <x:c r="Y954" s="9" t="n">
        <x:f>IF(V954=1,R954*W954,"n.a.")</x:f>
        <x:v>1769.8248336755646</x:v>
      </x:c>
      <x:c r="Z954" s="1" t="str">
        <x:f>IF(ISNUMBER(T954),R954-T954,"n.a.")</x:f>
        <x:v>n.a.</x:v>
      </x:c>
      <x:c r="AA954" s="1" t="str">
        <x:f>'Inventory inputs'!R954</x:f>
        <x:v>Review receipt reconciliation or original PO baseline</x:v>
      </x:c>
      <x:c r="AB954" s="1" t="str">
        <x:f>IF(L954=1,SUMIFS('Incoming POs'!$P$2:$P$305,'Incoming POs'!$A$2:$A$305,A954,'Incoming POs'!$B$2:$B$305,B954,'Incoming POs'!$C$2:$C$305,C954,'Incoming POs'!$G$2:$G$305,"&gt;="&amp;D954,'Incoming POs'!$G$2:$G$305,"&lt;"&amp;Dashboard!$I$5,'Incoming POs'!$Q$2:$Q$305,"&lt;="&amp;('Inventory inputs'!P954/'Inventory inputs'!J954*1.01)),"n.a.")</x:f>
        <x:v>n.a.</x:v>
      </x:c>
      <x:c r="AC954" s="9" t="n">
        <x:f>I954*G954</x:f>
        <x:v>0</x:v>
      </x:c>
      <x:c r="AD954" s="9" t="n">
        <x:f>J954*G954</x:f>
        <x:v>0</x:v>
      </x:c>
      <x:c r="AE954" s="9" t="n">
        <x:f>K954*G954</x:f>
        <x:v>2081.6</x:v>
      </x:c>
      <x:c r="AF954" s="9" t="n">
        <x:f>R954*G954</x:f>
        <x:v>1769.8248336755646</x:v>
      </x:c>
    </x:row>
    <x:row r="955" ht="21" customHeight="1">
      <x:c r="A955" s="1" t="str">
        <x:f>'Inventory inputs'!A955</x:f>
        <x:v>FILM</x:v>
      </x:c>
      <x:c r="B955" s="1" t="str">
        <x:f>'Inventory inputs'!B955</x:f>
        <x:v>30</x:v>
      </x:c>
      <x:c r="C955" s="1" t="str">
        <x:f>'Inventory inputs'!C955</x:f>
        <x:v>122005C1</x:v>
      </x:c>
      <x:c r="D955" s="7" t="n">
        <x:f>'Inventory inputs'!E955</x:f>
        <x:v>46304</x:v>
      </x:c>
      <x:c r="E955" s="1" t="n">
        <x:f>'Inventory inputs'!F955</x:f>
        <x:v>108</x:v>
      </x:c>
      <x:c r="F955" s="1" t="n">
        <x:f>'Inventory inputs'!G955</x:f>
        <x:v>3.67</x:v>
      </x:c>
      <x:c r="G955" s="1" t="n">
        <x:f>'Inventory inputs'!H955/'Inventory inputs'!J955</x:f>
        <x:v>10.17</x:v>
      </x:c>
      <x:c r="H955" s="1" t="n">
        <x:f>IF('Inventory inputs'!I955&gt;0,'Inventory inputs'!I955*'Inventory inputs'!K955/'Inventory inputs'!J955,"n.a.")</x:f>
        <x:v>12.21</x:v>
      </x:c>
      <x:c r="I955" s="1" t="n">
        <x:f>'Inventory inputs'!L955</x:f>
        <x:v>108</x:v>
      </x:c>
      <x:c r="J955" s="1" t="n">
        <x:f>'Inventory inputs'!M955</x:f>
        <x:v>0</x:v>
      </x:c>
      <x:c r="K955" s="1" t="n">
        <x:f>'Inventory inputs'!N955</x:f>
        <x:v>0</x:v>
      </x:c>
      <x:c r="L955" s="1" t="n">
        <x:f>'Inventory inputs'!O955</x:f>
        <x:v>1</x:v>
      </x:c>
      <x:c r="M955" s="9" t="n">
        <x:f>E955*G955</x:f>
        <x:v>1098.36</x:v>
      </x:c>
      <x:c r="N955" s="9" t="n">
        <x:f>'Inventory inputs'!Q955</x:f>
        <x:v>1098.36</x:v>
      </x:c>
      <x:c r="O955" s="9" t="n">
        <x:f>N955-M955</x:f>
        <x:v>0</x:v>
      </x:c>
      <x:c r="P955" s="1" t="n">
        <x:f>SUMIFS('Incoming POs'!$P$2:$P$305,'Incoming POs'!$A$2:$A$305,A955,'Incoming POs'!$B$2:$B$305,B955,'Incoming POs'!$C$2:$C$305,C955,'Incoming POs'!$G$2:$G$305,"&gt;="&amp;D955,'Incoming POs'!$G$2:$G$305,"&lt;"&amp;Dashboard!$I$5)</x:f>
        <x:v>0</x:v>
      </x:c>
      <x:c r="Q955" s="1" t="n">
        <x:f>F955*Dashboard!$L$5*MAX(0,Dashboard!$I$5-D955)/30.4375</x:f>
        <x:v>4.792854209445585</x:v>
      </x:c>
      <x:c r="R955" s="1" t="n">
        <x:f>MAX(0,E955+P955-Q955)</x:f>
        <x:v>103.20714579055442</x:v>
      </x:c>
      <x:c r="S955" s="1" t="n">
        <x:f>MAX(0,Q955-E955-P955)</x:f>
        <x:v>0</x:v>
      </x:c>
      <x:c r="T955" s="1" t="n">
        <x:f>IF(L955=1,MAX(0,I955+AB955-MIN(Q955,E955+P955)),"n.a.")</x:f>
        <x:v>103.20714579055442</x:v>
      </x:c>
      <x:c r="U955" s="9" t="n">
        <x:f>IF(ISNUMBER(T955),T955*G955,"n.a.")</x:f>
        <x:v>1049.6166726899385</x:v>
      </x:c>
      <x:c r="V955" s="25" t="n">
        <x:f>IF(Dashboard!$I$6="Flat %",1,IF(ISNUMBER(H955),1,0))</x:f>
        <x:v>1</x:v>
      </x:c>
      <x:c r="W955" s="9" t="n">
        <x:f>IF(Dashboard!$I$6="Flat %",G955*(1+Dashboard!$L$6),H955)</x:f>
        <x:v>12.21</x:v>
      </x:c>
      <x:c r="X955" s="9" t="n">
        <x:f>IF(V955=1,R955*(W955-G955),"n.a.")</x:f>
        <x:v>210.5425774127311</x:v>
      </x:c>
      <x:c r="Y955" s="9" t="n">
        <x:f>IF(V955=1,R955*W955,"n.a.")</x:f>
        <x:v>1260.1592501026696</x:v>
      </x:c>
      <x:c r="Z955" s="1" t="n">
        <x:f>IF(ISNUMBER(T955),R955-T955,"n.a.")</x:f>
        <x:v>0</x:v>
      </x:c>
      <x:c r="AA955" s="1" t="str">
        <x:f>'Inventory inputs'!R955</x:f>
        <x:v>Classified</x:v>
      </x:c>
      <x:c r="AB955" s="1" t="n">
        <x:f>IF(L955=1,SUMIFS('Incoming POs'!$P$2:$P$305,'Incoming POs'!$A$2:$A$305,A955,'Incoming POs'!$B$2:$B$305,B955,'Incoming POs'!$C$2:$C$305,C955,'Incoming POs'!$G$2:$G$305,"&gt;="&amp;D955,'Incoming POs'!$G$2:$G$305,"&lt;"&amp;Dashboard!$I$5,'Incoming POs'!$Q$2:$Q$305,"&lt;="&amp;('Inventory inputs'!P955/'Inventory inputs'!J955*1.01)),"n.a.")</x:f>
        <x:v>0</x:v>
      </x:c>
      <x:c r="AC955" s="9" t="n">
        <x:f>I955*G955</x:f>
        <x:v>1098.36</x:v>
      </x:c>
      <x:c r="AD955" s="9" t="n">
        <x:f>J955*G955</x:f>
        <x:v>0</x:v>
      </x:c>
      <x:c r="AE955" s="9" t="n">
        <x:f>K955*G955</x:f>
        <x:v>0</x:v>
      </x:c>
      <x:c r="AF955" s="9" t="n">
        <x:f>R955*G955</x:f>
        <x:v>1049.6166726899385</x:v>
      </x:c>
    </x:row>
    <x:row r="956" ht="21" customHeight="1">
      <x:c r="A956" s="1" t="str">
        <x:f>'Inventory inputs'!A956</x:f>
        <x:v>FILM</x:v>
      </x:c>
      <x:c r="B956" s="1" t="str">
        <x:f>'Inventory inputs'!B956</x:f>
        <x:v>30</x:v>
      </x:c>
      <x:c r="C956" s="1" t="str">
        <x:f>'Inventory inputs'!C956</x:f>
        <x:v>1250015C2</x:v>
      </x:c>
      <x:c r="D956" s="7" t="n">
        <x:f>'Inventory inputs'!E956</x:f>
        <x:v>46304</x:v>
      </x:c>
      <x:c r="E956" s="1" t="n">
        <x:f>'Inventory inputs'!F956</x:f>
        <x:v>112</x:v>
      </x:c>
      <x:c r="F956" s="1" t="n">
        <x:f>'Inventory inputs'!G956</x:f>
        <x:v>3.67</x:v>
      </x:c>
      <x:c r="G956" s="1" t="n">
        <x:f>'Inventory inputs'!H956/'Inventory inputs'!J956</x:f>
        <x:v>6.48</x:v>
      </x:c>
      <x:c r="H956" s="1" t="n">
        <x:f>IF('Inventory inputs'!I956&gt;0,'Inventory inputs'!I956*'Inventory inputs'!K956/'Inventory inputs'!J956,"n.a.")</x:f>
        <x:v>7.78</x:v>
      </x:c>
      <x:c r="I956" s="1" t="n">
        <x:f>'Inventory inputs'!L956</x:f>
        <x:v>112</x:v>
      </x:c>
      <x:c r="J956" s="1" t="n">
        <x:f>'Inventory inputs'!M956</x:f>
        <x:v>0</x:v>
      </x:c>
      <x:c r="K956" s="1" t="n">
        <x:f>'Inventory inputs'!N956</x:f>
        <x:v>0</x:v>
      </x:c>
      <x:c r="L956" s="1" t="n">
        <x:f>'Inventory inputs'!O956</x:f>
        <x:v>1</x:v>
      </x:c>
      <x:c r="M956" s="9" t="n">
        <x:f>E956*G956</x:f>
        <x:v>725.76</x:v>
      </x:c>
      <x:c r="N956" s="9" t="n">
        <x:f>'Inventory inputs'!Q956</x:f>
        <x:v>725.76</x:v>
      </x:c>
      <x:c r="O956" s="9" t="n">
        <x:f>N956-M956</x:f>
        <x:v>0</x:v>
      </x:c>
      <x:c r="P956" s="1" t="n">
        <x:f>SUMIFS('Incoming POs'!$P$2:$P$305,'Incoming POs'!$A$2:$A$305,A956,'Incoming POs'!$B$2:$B$305,B956,'Incoming POs'!$C$2:$C$305,C956,'Incoming POs'!$G$2:$G$305,"&gt;="&amp;D956,'Incoming POs'!$G$2:$G$305,"&lt;"&amp;Dashboard!$I$5)</x:f>
        <x:v>0</x:v>
      </x:c>
      <x:c r="Q956" s="1" t="n">
        <x:f>F956*Dashboard!$L$5*MAX(0,Dashboard!$I$5-D956)/30.4375</x:f>
        <x:v>4.792854209445585</x:v>
      </x:c>
      <x:c r="R956" s="1" t="n">
        <x:f>MAX(0,E956+P956-Q956)</x:f>
        <x:v>107.20714579055442</x:v>
      </x:c>
      <x:c r="S956" s="1" t="n">
        <x:f>MAX(0,Q956-E956-P956)</x:f>
        <x:v>0</x:v>
      </x:c>
      <x:c r="T956" s="1" t="n">
        <x:f>IF(L956=1,MAX(0,I956+AB956-MIN(Q956,E956+P956)),"n.a.")</x:f>
        <x:v>107.20714579055442</x:v>
      </x:c>
      <x:c r="U956" s="9" t="n">
        <x:f>IF(ISNUMBER(T956),T956*G956,"n.a.")</x:f>
        <x:v>694.7023047227927</x:v>
      </x:c>
      <x:c r="V956" s="25" t="n">
        <x:f>IF(Dashboard!$I$6="Flat %",1,IF(ISNUMBER(H956),1,0))</x:f>
        <x:v>1</x:v>
      </x:c>
      <x:c r="W956" s="9" t="n">
        <x:f>IF(Dashboard!$I$6="Flat %",G956*(1+Dashboard!$L$6),H956)</x:f>
        <x:v>7.78</x:v>
      </x:c>
      <x:c r="X956" s="9" t="n">
        <x:f>IF(V956=1,R956*(W956-G956),"n.a.")</x:f>
        <x:v>139.36928952772072</x:v>
      </x:c>
      <x:c r="Y956" s="9" t="n">
        <x:f>IF(V956=1,R956*W956,"n.a.")</x:f>
        <x:v>834.0715942505134</x:v>
      </x:c>
      <x:c r="Z956" s="1" t="n">
        <x:f>IF(ISNUMBER(T956),R956-T956,"n.a.")</x:f>
        <x:v>0</x:v>
      </x:c>
      <x:c r="AA956" s="1" t="str">
        <x:f>'Inventory inputs'!R956</x:f>
        <x:v>Classified</x:v>
      </x:c>
      <x:c r="AB956" s="1" t="n">
        <x:f>IF(L956=1,SUMIFS('Incoming POs'!$P$2:$P$305,'Incoming POs'!$A$2:$A$305,A956,'Incoming POs'!$B$2:$B$305,B956,'Incoming POs'!$C$2:$C$305,C956,'Incoming POs'!$G$2:$G$305,"&gt;="&amp;D956,'Incoming POs'!$G$2:$G$305,"&lt;"&amp;Dashboard!$I$5,'Incoming POs'!$Q$2:$Q$305,"&lt;="&amp;('Inventory inputs'!P956/'Inventory inputs'!J956*1.01)),"n.a.")</x:f>
        <x:v>0</x:v>
      </x:c>
      <x:c r="AC956" s="9" t="n">
        <x:f>I956*G956</x:f>
        <x:v>725.76</x:v>
      </x:c>
      <x:c r="AD956" s="9" t="n">
        <x:f>J956*G956</x:f>
        <x:v>0</x:v>
      </x:c>
      <x:c r="AE956" s="9" t="n">
        <x:f>K956*G956</x:f>
        <x:v>0</x:v>
      </x:c>
      <x:c r="AF956" s="9" t="n">
        <x:f>R956*G956</x:f>
        <x:v>694.7023047227927</x:v>
      </x:c>
    </x:row>
    <x:row r="957" ht="21" customHeight="1">
      <x:c r="A957" s="1" t="str">
        <x:f>'Inventory inputs'!A957</x:f>
        <x:v>FILM</x:v>
      </x:c>
      <x:c r="B957" s="1" t="str">
        <x:f>'Inventory inputs'!B957</x:f>
        <x:v>10</x:v>
      </x:c>
      <x:c r="C957" s="1" t="str">
        <x:f>'Inventory inputs'!C957</x:f>
        <x:v>185005C2</x:v>
      </x:c>
      <x:c r="D957" s="7" t="n">
        <x:f>'Inventory inputs'!E957</x:f>
        <x:v>46304</x:v>
      </x:c>
      <x:c r="E957" s="1" t="n">
        <x:f>'Inventory inputs'!F957</x:f>
        <x:v>22</x:v>
      </x:c>
      <x:c r="F957" s="1" t="n">
        <x:f>'Inventory inputs'!G957</x:f>
        <x:v>3.5</x:v>
      </x:c>
      <x:c r="G957" s="1" t="n">
        <x:f>'Inventory inputs'!H957/'Inventory inputs'!J957</x:f>
        <x:v>38.12</x:v>
      </x:c>
      <x:c r="H957" s="1" t="n">
        <x:f>IF('Inventory inputs'!I957&gt;0,'Inventory inputs'!I957*'Inventory inputs'!K957/'Inventory inputs'!J957,"n.a.")</x:f>
        <x:v>45.79</x:v>
      </x:c>
      <x:c r="I957" s="1" t="n">
        <x:f>'Inventory inputs'!L957</x:f>
        <x:v>22</x:v>
      </x:c>
      <x:c r="J957" s="1" t="n">
        <x:f>'Inventory inputs'!M957</x:f>
        <x:v>0</x:v>
      </x:c>
      <x:c r="K957" s="1" t="n">
        <x:f>'Inventory inputs'!N957</x:f>
        <x:v>0</x:v>
      </x:c>
      <x:c r="L957" s="1" t="n">
        <x:f>'Inventory inputs'!O957</x:f>
        <x:v>1</x:v>
      </x:c>
      <x:c r="M957" s="9" t="n">
        <x:f>E957*G957</x:f>
        <x:v>838.64</x:v>
      </x:c>
      <x:c r="N957" s="9" t="n">
        <x:f>'Inventory inputs'!Q957</x:f>
        <x:v>838.64</x:v>
      </x:c>
      <x:c r="O957" s="9" t="n">
        <x:f>N957-M957</x:f>
        <x:v>0</x:v>
      </x:c>
      <x:c r="P957" s="1" t="n">
        <x:f>SUMIFS('Incoming POs'!$P$2:$P$305,'Incoming POs'!$A$2:$A$305,A957,'Incoming POs'!$B$2:$B$305,B957,'Incoming POs'!$C$2:$C$305,C957,'Incoming POs'!$G$2:$G$305,"&gt;="&amp;D957,'Incoming POs'!$G$2:$G$305,"&lt;"&amp;Dashboard!$I$5)</x:f>
        <x:v>0</x:v>
      </x:c>
      <x:c r="Q957" s="1" t="n">
        <x:f>F957*Dashboard!$L$5*MAX(0,Dashboard!$I$5-D957)/30.4375</x:f>
        <x:v>4.570841889117043</x:v>
      </x:c>
      <x:c r="R957" s="1" t="n">
        <x:f>MAX(0,E957+P957-Q957)</x:f>
        <x:v>17.42915811088296</x:v>
      </x:c>
      <x:c r="S957" s="1" t="n">
        <x:f>MAX(0,Q957-E957-P957)</x:f>
        <x:v>0</x:v>
      </x:c>
      <x:c r="T957" s="1" t="n">
        <x:f>IF(L957=1,MAX(0,I957+AB957-MIN(Q957,E957+P957)),"n.a.")</x:f>
        <x:v>17.42915811088296</x:v>
      </x:c>
      <x:c r="U957" s="9" t="n">
        <x:f>IF(ISNUMBER(T957),T957*G957,"n.a.")</x:f>
        <x:v>664.3995071868584</x:v>
      </x:c>
      <x:c r="V957" s="25" t="n">
        <x:f>IF(Dashboard!$I$6="Flat %",1,IF(ISNUMBER(H957),1,0))</x:f>
        <x:v>1</x:v>
      </x:c>
      <x:c r="W957" s="9" t="n">
        <x:f>IF(Dashboard!$I$6="Flat %",G957*(1+Dashboard!$L$6),H957)</x:f>
        <x:v>45.79</x:v>
      </x:c>
      <x:c r="X957" s="9" t="n">
        <x:f>IF(V957=1,R957*(W957-G957),"n.a.")</x:f>
        <x:v>133.68164271047232</x:v>
      </x:c>
      <x:c r="Y957" s="9" t="n">
        <x:f>IF(V957=1,R957*W957,"n.a.")</x:f>
        <x:v>798.0811498973306</x:v>
      </x:c>
      <x:c r="Z957" s="1" t="n">
        <x:f>IF(ISNUMBER(T957),R957-T957,"n.a.")</x:f>
        <x:v>0</x:v>
      </x:c>
      <x:c r="AA957" s="1" t="str">
        <x:f>'Inventory inputs'!R957</x:f>
        <x:v>Classified</x:v>
      </x:c>
      <x:c r="AB957" s="1" t="n">
        <x:f>IF(L957=1,SUMIFS('Incoming POs'!$P$2:$P$305,'Incoming POs'!$A$2:$A$305,A957,'Incoming POs'!$B$2:$B$305,B957,'Incoming POs'!$C$2:$C$305,C957,'Incoming POs'!$G$2:$G$305,"&gt;="&amp;D957,'Incoming POs'!$G$2:$G$305,"&lt;"&amp;Dashboard!$I$5,'Incoming POs'!$Q$2:$Q$305,"&lt;="&amp;('Inventory inputs'!P957/'Inventory inputs'!J957*1.01)),"n.a.")</x:f>
        <x:v>0</x:v>
      </x:c>
      <x:c r="AC957" s="9" t="n">
        <x:f>I957*G957</x:f>
        <x:v>838.64</x:v>
      </x:c>
      <x:c r="AD957" s="9" t="n">
        <x:f>J957*G957</x:f>
        <x:v>0</x:v>
      </x:c>
      <x:c r="AE957" s="9" t="n">
        <x:f>K957*G957</x:f>
        <x:v>0</x:v>
      </x:c>
      <x:c r="AF957" s="9" t="n">
        <x:f>R957*G957</x:f>
        <x:v>664.3995071868584</x:v>
      </x:c>
    </x:row>
    <x:row r="958" ht="21" customHeight="1">
      <x:c r="A958" s="1" t="str">
        <x:f>'Inventory inputs'!A958</x:f>
        <x:v>FILM</x:v>
      </x:c>
      <x:c r="B958" s="1" t="str">
        <x:f>'Inventory inputs'!B958</x:f>
        <x:v>10</x:v>
      </x:c>
      <x:c r="C958" s="1" t="str">
        <x:f>'Inventory inputs'!C958</x:f>
        <x:v>2550015C2</x:v>
      </x:c>
      <x:c r="D958" s="7" t="n">
        <x:f>'Inventory inputs'!E958</x:f>
        <x:v>46304</x:v>
      </x:c>
      <x:c r="E958" s="1" t="n">
        <x:f>'Inventory inputs'!F958</x:f>
        <x:v>76</x:v>
      </x:c>
      <x:c r="F958" s="1" t="n">
        <x:f>'Inventory inputs'!G958</x:f>
        <x:v>3.33</x:v>
      </x:c>
      <x:c r="G958" s="1" t="n">
        <x:f>'Inventory inputs'!H958/'Inventory inputs'!J958</x:f>
        <x:v>13.5</x:v>
      </x:c>
      <x:c r="H958" s="1" t="n">
        <x:f>IF('Inventory inputs'!I958&gt;0,'Inventory inputs'!I958*'Inventory inputs'!K958/'Inventory inputs'!J958,"n.a.")</x:f>
        <x:v>16.2</x:v>
      </x:c>
      <x:c r="I958" s="1" t="n">
        <x:f>'Inventory inputs'!L958</x:f>
        <x:v>0</x:v>
      </x:c>
      <x:c r="J958" s="1" t="n">
        <x:f>'Inventory inputs'!M958</x:f>
        <x:v>0</x:v>
      </x:c>
      <x:c r="K958" s="1" t="n">
        <x:f>'Inventory inputs'!N958</x:f>
        <x:v>76</x:v>
      </x:c>
      <x:c r="L958" s="1" t="n">
        <x:f>'Inventory inputs'!O958</x:f>
        <x:v>0</x:v>
      </x:c>
      <x:c r="M958" s="9" t="n">
        <x:f>E958*G958</x:f>
        <x:v>1026</x:v>
      </x:c>
      <x:c r="N958" s="9" t="n">
        <x:f>'Inventory inputs'!Q958</x:f>
        <x:v>1026</x:v>
      </x:c>
      <x:c r="O958" s="9" t="n">
        <x:f>N958-M958</x:f>
        <x:v>0</x:v>
      </x:c>
      <x:c r="P958" s="1" t="n">
        <x:f>SUMIFS('Incoming POs'!$P$2:$P$305,'Incoming POs'!$A$2:$A$305,A958,'Incoming POs'!$B$2:$B$305,B958,'Incoming POs'!$C$2:$C$305,C958,'Incoming POs'!$G$2:$G$305,"&gt;="&amp;D958,'Incoming POs'!$G$2:$G$305,"&lt;"&amp;Dashboard!$I$5)</x:f>
        <x:v>0</x:v>
      </x:c>
      <x:c r="Q958" s="1" t="n">
        <x:f>F958*Dashboard!$L$5*MAX(0,Dashboard!$I$5-D958)/30.4375</x:f>
        <x:v>4.348829568788501</x:v>
      </x:c>
      <x:c r="R958" s="1" t="n">
        <x:f>MAX(0,E958+P958-Q958)</x:f>
        <x:v>71.6511704312115</x:v>
      </x:c>
      <x:c r="S958" s="1" t="n">
        <x:f>MAX(0,Q958-E958-P958)</x:f>
        <x:v>0</x:v>
      </x:c>
      <x:c r="T958" s="1" t="str">
        <x:f>IF(L958=1,MAX(0,I958+AB958-MIN(Q958,E958+P958)),"n.a.")</x:f>
        <x:v>n.a.</x:v>
      </x:c>
      <x:c r="U958" s="9" t="str">
        <x:f>IF(ISNUMBER(T958),T958*G958,"n.a.")</x:f>
        <x:v>n.a.</x:v>
      </x:c>
      <x:c r="V958" s="25" t="n">
        <x:f>IF(Dashboard!$I$6="Flat %",1,IF(ISNUMBER(H958),1,0))</x:f>
        <x:v>1</x:v>
      </x:c>
      <x:c r="W958" s="9" t="n">
        <x:f>IF(Dashboard!$I$6="Flat %",G958*(1+Dashboard!$L$6),H958)</x:f>
        <x:v>16.2</x:v>
      </x:c>
      <x:c r="X958" s="9" t="n">
        <x:f>IF(V958=1,R958*(W958-G958),"n.a.")</x:f>
        <x:v>193.458160164271</x:v>
      </x:c>
      <x:c r="Y958" s="9" t="n">
        <x:f>IF(V958=1,R958*W958,"n.a.")</x:f>
        <x:v>1160.7489609856261</x:v>
      </x:c>
      <x:c r="Z958" s="1" t="str">
        <x:f>IF(ISNUMBER(T958),R958-T958,"n.a.")</x:f>
        <x:v>n.a.</x:v>
      </x:c>
      <x:c r="AA958" s="1" t="str">
        <x:f>'Inventory inputs'!R958</x:f>
        <x:v>Review receipt reconciliation or original PO baseline</x:v>
      </x:c>
      <x:c r="AB958" s="1" t="str">
        <x:f>IF(L958=1,SUMIFS('Incoming POs'!$P$2:$P$305,'Incoming POs'!$A$2:$A$305,A958,'Incoming POs'!$B$2:$B$305,B958,'Incoming POs'!$C$2:$C$305,C958,'Incoming POs'!$G$2:$G$305,"&gt;="&amp;D958,'Incoming POs'!$G$2:$G$305,"&lt;"&amp;Dashboard!$I$5,'Incoming POs'!$Q$2:$Q$305,"&lt;="&amp;('Inventory inputs'!P958/'Inventory inputs'!J958*1.01)),"n.a.")</x:f>
        <x:v>n.a.</x:v>
      </x:c>
      <x:c r="AC958" s="9" t="n">
        <x:f>I958*G958</x:f>
        <x:v>0</x:v>
      </x:c>
      <x:c r="AD958" s="9" t="n">
        <x:f>J958*G958</x:f>
        <x:v>0</x:v>
      </x:c>
      <x:c r="AE958" s="9" t="n">
        <x:f>K958*G958</x:f>
        <x:v>1026</x:v>
      </x:c>
      <x:c r="AF958" s="9" t="n">
        <x:f>R958*G958</x:f>
        <x:v>967.2908008213552</x:v>
      </x:c>
    </x:row>
    <x:row r="959" ht="21" customHeight="1">
      <x:c r="A959" s="1" t="str">
        <x:f>'Inventory inputs'!A959</x:f>
        <x:v>FILM</x:v>
      </x:c>
      <x:c r="B959" s="1" t="str">
        <x:f>'Inventory inputs'!B959</x:f>
        <x:v>10</x:v>
      </x:c>
      <x:c r="C959" s="1" t="str">
        <x:f>'Inventory inputs'!C959</x:f>
        <x:v>PR142503C1</x:v>
      </x:c>
      <x:c r="D959" s="7" t="n">
        <x:f>'Inventory inputs'!E959</x:f>
        <x:v>46304</x:v>
      </x:c>
      <x:c r="E959" s="1" t="n">
        <x:f>'Inventory inputs'!F959</x:f>
        <x:v>68</x:v>
      </x:c>
      <x:c r="F959" s="1" t="n">
        <x:f>'Inventory inputs'!G959</x:f>
        <x:v>3.33</x:v>
      </x:c>
      <x:c r="G959" s="1" t="n">
        <x:f>'Inventory inputs'!H959/'Inventory inputs'!J959</x:f>
        <x:v>6.38</x:v>
      </x:c>
      <x:c r="H959" s="1" t="str">
        <x:f>IF('Inventory inputs'!I959&gt;0,'Inventory inputs'!I959*'Inventory inputs'!K959/'Inventory inputs'!J959,"n.a.")</x:f>
        <x:v>n.a.</x:v>
      </x:c>
      <x:c r="I959" s="1" t="n">
        <x:f>'Inventory inputs'!L959</x:f>
        <x:v>0</x:v>
      </x:c>
      <x:c r="J959" s="1" t="n">
        <x:f>'Inventory inputs'!M959</x:f>
        <x:v>0</x:v>
      </x:c>
      <x:c r="K959" s="1" t="n">
        <x:f>'Inventory inputs'!N959</x:f>
        <x:v>68</x:v>
      </x:c>
      <x:c r="L959" s="1" t="n">
        <x:f>'Inventory inputs'!O959</x:f>
        <x:v>0</x:v>
      </x:c>
      <x:c r="M959" s="9" t="n">
        <x:f>E959*G959</x:f>
        <x:v>433.84</x:v>
      </x:c>
      <x:c r="N959" s="9" t="n">
        <x:f>'Inventory inputs'!Q959</x:f>
        <x:v>433.84</x:v>
      </x:c>
      <x:c r="O959" s="9" t="n">
        <x:f>N959-M959</x:f>
        <x:v>0</x:v>
      </x:c>
      <x:c r="P959" s="1" t="n">
        <x:f>SUMIFS('Incoming POs'!$P$2:$P$305,'Incoming POs'!$A$2:$A$305,A959,'Incoming POs'!$B$2:$B$305,B959,'Incoming POs'!$C$2:$C$305,C959,'Incoming POs'!$G$2:$G$305,"&gt;="&amp;D959,'Incoming POs'!$G$2:$G$305,"&lt;"&amp;Dashboard!$I$5)</x:f>
        <x:v>0</x:v>
      </x:c>
      <x:c r="Q959" s="1" t="n">
        <x:f>F959*Dashboard!$L$5*MAX(0,Dashboard!$I$5-D959)/30.4375</x:f>
        <x:v>4.348829568788501</x:v>
      </x:c>
      <x:c r="R959" s="1" t="n">
        <x:f>MAX(0,E959+P959-Q959)</x:f>
        <x:v>63.6511704312115</x:v>
      </x:c>
      <x:c r="S959" s="1" t="n">
        <x:f>MAX(0,Q959-E959-P959)</x:f>
        <x:v>0</x:v>
      </x:c>
      <x:c r="T959" s="1" t="str">
        <x:f>IF(L959=1,MAX(0,I959+AB959-MIN(Q959,E959+P959)),"n.a.")</x:f>
        <x:v>n.a.</x:v>
      </x:c>
      <x:c r="U959" s="9" t="str">
        <x:f>IF(ISNUMBER(T959),T959*G959,"n.a.")</x:f>
        <x:v>n.a.</x:v>
      </x:c>
      <x:c r="V959" s="25" t="n">
        <x:f>IF(Dashboard!$I$6="Flat %",1,IF(ISNUMBER(H959),1,0))</x:f>
        <x:v>0</x:v>
      </x:c>
      <x:c r="W959" s="9" t="str">
        <x:f>IF(Dashboard!$I$6="Flat %",G959*(1+Dashboard!$L$6),H959)</x:f>
        <x:v>n.a.</x:v>
      </x:c>
      <x:c r="X959" s="9" t="str">
        <x:f>IF(V959=1,R959*(W959-G959),"n.a.")</x:f>
        <x:v>n.a.</x:v>
      </x:c>
      <x:c r="Y959" s="9" t="str">
        <x:f>IF(V959=1,R959*W959,"n.a.")</x:f>
        <x:v>n.a.</x:v>
      </x:c>
      <x:c r="Z959" s="1" t="str">
        <x:f>IF(ISNUMBER(T959),R959-T959,"n.a.")</x:f>
        <x:v>n.a.</x:v>
      </x:c>
      <x:c r="AA959" s="1" t="str">
        <x:f>'Inventory inputs'!R959</x:f>
        <x:v>Review receipt reconciliation or original PO baseline</x:v>
      </x:c>
      <x:c r="AB959" s="1" t="str">
        <x:f>IF(L959=1,SUMIFS('Incoming POs'!$P$2:$P$305,'Incoming POs'!$A$2:$A$305,A959,'Incoming POs'!$B$2:$B$305,B959,'Incoming POs'!$C$2:$C$305,C959,'Incoming POs'!$G$2:$G$305,"&gt;="&amp;D959,'Incoming POs'!$G$2:$G$305,"&lt;"&amp;Dashboard!$I$5,'Incoming POs'!$Q$2:$Q$305,"&lt;="&amp;('Inventory inputs'!P959/'Inventory inputs'!J959*1.01)),"n.a.")</x:f>
        <x:v>n.a.</x:v>
      </x:c>
      <x:c r="AC959" s="9" t="n">
        <x:f>I959*G959</x:f>
        <x:v>0</x:v>
      </x:c>
      <x:c r="AD959" s="9" t="n">
        <x:f>J959*G959</x:f>
        <x:v>0</x:v>
      </x:c>
      <x:c r="AE959" s="9" t="n">
        <x:f>K959*G959</x:f>
        <x:v>433.84</x:v>
      </x:c>
      <x:c r="AF959" s="9" t="n">
        <x:f>R959*G959</x:f>
        <x:v>406.09446735112937</x:v>
      </x:c>
    </x:row>
    <x:row r="960" ht="21" customHeight="1">
      <x:c r="A960" s="1" t="str">
        <x:f>'Inventory inputs'!A960</x:f>
        <x:v>FILM</x:v>
      </x:c>
      <x:c r="B960" s="1" t="str">
        <x:f>'Inventory inputs'!B960</x:f>
        <x:v>30</x:v>
      </x:c>
      <x:c r="C960" s="1" t="str">
        <x:f>'Inventory inputs'!C960</x:f>
        <x:v>1810010C1</x:v>
      </x:c>
      <x:c r="D960" s="7" t="n">
        <x:f>'Inventory inputs'!E960</x:f>
        <x:v>46304</x:v>
      </x:c>
      <x:c r="E960" s="1" t="n">
        <x:f>'Inventory inputs'!F960</x:f>
        <x:v>31</x:v>
      </x:c>
      <x:c r="F960" s="1" t="n">
        <x:f>'Inventory inputs'!G960</x:f>
        <x:v>3.33</x:v>
      </x:c>
      <x:c r="G960" s="1" t="n">
        <x:f>'Inventory inputs'!H960/'Inventory inputs'!J960</x:f>
        <x:v>17.06</x:v>
      </x:c>
      <x:c r="H960" s="1" t="n">
        <x:f>IF('Inventory inputs'!I960&gt;0,'Inventory inputs'!I960*'Inventory inputs'!K960/'Inventory inputs'!J960,"n.a.")</x:f>
        <x:v>20.47</x:v>
      </x:c>
      <x:c r="I960" s="1" t="n">
        <x:f>'Inventory inputs'!L960</x:f>
        <x:v>0</x:v>
      </x:c>
      <x:c r="J960" s="1" t="n">
        <x:f>'Inventory inputs'!M960</x:f>
        <x:v>0</x:v>
      </x:c>
      <x:c r="K960" s="1" t="n">
        <x:f>'Inventory inputs'!N960</x:f>
        <x:v>31</x:v>
      </x:c>
      <x:c r="L960" s="1" t="n">
        <x:f>'Inventory inputs'!O960</x:f>
        <x:v>0</x:v>
      </x:c>
      <x:c r="M960" s="9" t="n">
        <x:f>E960*G960</x:f>
        <x:v>528.86</x:v>
      </x:c>
      <x:c r="N960" s="9" t="n">
        <x:f>'Inventory inputs'!Q960</x:f>
        <x:v>528.86</x:v>
      </x:c>
      <x:c r="O960" s="9" t="n">
        <x:f>N960-M960</x:f>
        <x:v>0</x:v>
      </x:c>
      <x:c r="P960" s="1" t="n">
        <x:f>SUMIFS('Incoming POs'!$P$2:$P$305,'Incoming POs'!$A$2:$A$305,A960,'Incoming POs'!$B$2:$B$305,B960,'Incoming POs'!$C$2:$C$305,C960,'Incoming POs'!$G$2:$G$305,"&gt;="&amp;D960,'Incoming POs'!$G$2:$G$305,"&lt;"&amp;Dashboard!$I$5)</x:f>
        <x:v>0</x:v>
      </x:c>
      <x:c r="Q960" s="1" t="n">
        <x:f>F960*Dashboard!$L$5*MAX(0,Dashboard!$I$5-D960)/30.4375</x:f>
        <x:v>4.348829568788501</x:v>
      </x:c>
      <x:c r="R960" s="1" t="n">
        <x:f>MAX(0,E960+P960-Q960)</x:f>
        <x:v>26.651170431211497</x:v>
      </x:c>
      <x:c r="S960" s="1" t="n">
        <x:f>MAX(0,Q960-E960-P960)</x:f>
        <x:v>0</x:v>
      </x:c>
      <x:c r="T960" s="1" t="str">
        <x:f>IF(L960=1,MAX(0,I960+AB960-MIN(Q960,E960+P960)),"n.a.")</x:f>
        <x:v>n.a.</x:v>
      </x:c>
      <x:c r="U960" s="9" t="str">
        <x:f>IF(ISNUMBER(T960),T960*G960,"n.a.")</x:f>
        <x:v>n.a.</x:v>
      </x:c>
      <x:c r="V960" s="25" t="n">
        <x:f>IF(Dashboard!$I$6="Flat %",1,IF(ISNUMBER(H960),1,0))</x:f>
        <x:v>1</x:v>
      </x:c>
      <x:c r="W960" s="9" t="n">
        <x:f>IF(Dashboard!$I$6="Flat %",G960*(1+Dashboard!$L$6),H960)</x:f>
        <x:v>20.47</x:v>
      </x:c>
      <x:c r="X960" s="9" t="n">
        <x:f>IF(V960=1,R960*(W960-G960),"n.a.")</x:f>
        <x:v>90.88049117043121</x:v>
      </x:c>
      <x:c r="Y960" s="9" t="n">
        <x:f>IF(V960=1,R960*W960,"n.a.")</x:f>
        <x:v>545.5494587268993</x:v>
      </x:c>
      <x:c r="Z960" s="1" t="str">
        <x:f>IF(ISNUMBER(T960),R960-T960,"n.a.")</x:f>
        <x:v>n.a.</x:v>
      </x:c>
      <x:c r="AA960" s="1" t="str">
        <x:f>'Inventory inputs'!R960</x:f>
        <x:v>Review receipt reconciliation or original PO baseline</x:v>
      </x:c>
      <x:c r="AB960" s="1" t="str">
        <x:f>IF(L960=1,SUMIFS('Incoming POs'!$P$2:$P$305,'Incoming POs'!$A$2:$A$305,A960,'Incoming POs'!$B$2:$B$305,B960,'Incoming POs'!$C$2:$C$305,C960,'Incoming POs'!$G$2:$G$305,"&gt;="&amp;D960,'Incoming POs'!$G$2:$G$305,"&lt;"&amp;Dashboard!$I$5,'Incoming POs'!$Q$2:$Q$305,"&lt;="&amp;('Inventory inputs'!P960/'Inventory inputs'!J960*1.01)),"n.a.")</x:f>
        <x:v>n.a.</x:v>
      </x:c>
      <x:c r="AC960" s="9" t="n">
        <x:f>I960*G960</x:f>
        <x:v>0</x:v>
      </x:c>
      <x:c r="AD960" s="9" t="n">
        <x:f>J960*G960</x:f>
        <x:v>0</x:v>
      </x:c>
      <x:c r="AE960" s="9" t="n">
        <x:f>K960*G960</x:f>
        <x:v>528.86</x:v>
      </x:c>
      <x:c r="AF960" s="9" t="n">
        <x:f>R960*G960</x:f>
        <x:v>454.6689675564681</x:v>
      </x:c>
    </x:row>
    <x:row r="961" ht="21" customHeight="1">
      <x:c r="A961" s="1" t="str">
        <x:f>'Inventory inputs'!A961</x:f>
        <x:v>FILM</x:v>
      </x:c>
      <x:c r="B961" s="1" t="str">
        <x:f>'Inventory inputs'!B961</x:f>
        <x:v>30</x:v>
      </x:c>
      <x:c r="C961" s="1" t="str">
        <x:f>'Inventory inputs'!C961</x:f>
        <x:v>2710010C1</x:v>
      </x:c>
      <x:c r="D961" s="7" t="n">
        <x:f>'Inventory inputs'!E961</x:f>
        <x:v>46304</x:v>
      </x:c>
      <x:c r="E961" s="1" t="n">
        <x:f>'Inventory inputs'!F961</x:f>
        <x:v>60</x:v>
      </x:c>
      <x:c r="F961" s="1" t="n">
        <x:f>'Inventory inputs'!G961</x:f>
        <x:v>3.33</x:v>
      </x:c>
      <x:c r="G961" s="1" t="n">
        <x:f>'Inventory inputs'!H961/'Inventory inputs'!J961</x:f>
        <x:v>25.6</x:v>
      </x:c>
      <x:c r="H961" s="1" t="n">
        <x:f>IF('Inventory inputs'!I961&gt;0,'Inventory inputs'!I961*'Inventory inputs'!K961/'Inventory inputs'!J961,"n.a.")</x:f>
        <x:v>30.72</x:v>
      </x:c>
      <x:c r="I961" s="1" t="n">
        <x:f>'Inventory inputs'!L961</x:f>
        <x:v>60</x:v>
      </x:c>
      <x:c r="J961" s="1" t="n">
        <x:f>'Inventory inputs'!M961</x:f>
        <x:v>0</x:v>
      </x:c>
      <x:c r="K961" s="1" t="n">
        <x:f>'Inventory inputs'!N961</x:f>
        <x:v>0</x:v>
      </x:c>
      <x:c r="L961" s="1" t="n">
        <x:f>'Inventory inputs'!O961</x:f>
        <x:v>1</x:v>
      </x:c>
      <x:c r="M961" s="9" t="n">
        <x:f>E961*G961</x:f>
        <x:v>1536</x:v>
      </x:c>
      <x:c r="N961" s="9" t="n">
        <x:f>'Inventory inputs'!Q961</x:f>
        <x:v>1536</x:v>
      </x:c>
      <x:c r="O961" s="9" t="n">
        <x:f>N961-M961</x:f>
        <x:v>0</x:v>
      </x:c>
      <x:c r="P961" s="1" t="n">
        <x:f>SUMIFS('Incoming POs'!$P$2:$P$305,'Incoming POs'!$A$2:$A$305,A961,'Incoming POs'!$B$2:$B$305,B961,'Incoming POs'!$C$2:$C$305,C961,'Incoming POs'!$G$2:$G$305,"&gt;="&amp;D961,'Incoming POs'!$G$2:$G$305,"&lt;"&amp;Dashboard!$I$5)</x:f>
        <x:v>0</x:v>
      </x:c>
      <x:c r="Q961" s="1" t="n">
        <x:f>F961*Dashboard!$L$5*MAX(0,Dashboard!$I$5-D961)/30.4375</x:f>
        <x:v>4.348829568788501</x:v>
      </x:c>
      <x:c r="R961" s="1" t="n">
        <x:f>MAX(0,E961+P961-Q961)</x:f>
        <x:v>55.6511704312115</x:v>
      </x:c>
      <x:c r="S961" s="1" t="n">
        <x:f>MAX(0,Q961-E961-P961)</x:f>
        <x:v>0</x:v>
      </x:c>
      <x:c r="T961" s="1" t="n">
        <x:f>IF(L961=1,MAX(0,I961+AB961-MIN(Q961,E961+P961)),"n.a.")</x:f>
        <x:v>55.6511704312115</x:v>
      </x:c>
      <x:c r="U961" s="9" t="n">
        <x:f>IF(ISNUMBER(T961),T961*G961,"n.a.")</x:f>
        <x:v>1424.6699630390144</x:v>
      </x:c>
      <x:c r="V961" s="25" t="n">
        <x:f>IF(Dashboard!$I$6="Flat %",1,IF(ISNUMBER(H961),1,0))</x:f>
        <x:v>1</x:v>
      </x:c>
      <x:c r="W961" s="9" t="n">
        <x:f>IF(Dashboard!$I$6="Flat %",G961*(1+Dashboard!$L$6),H961)</x:f>
        <x:v>30.72</x:v>
      </x:c>
      <x:c r="X961" s="9" t="n">
        <x:f>IF(V961=1,R961*(W961-G961),"n.a.")</x:f>
        <x:v>284.93399260780274</x:v>
      </x:c>
      <x:c r="Y961" s="9" t="n">
        <x:f>IF(V961=1,R961*W961,"n.a.")</x:f>
        <x:v>1709.6039556468172</x:v>
      </x:c>
      <x:c r="Z961" s="1" t="n">
        <x:f>IF(ISNUMBER(T961),R961-T961,"n.a.")</x:f>
        <x:v>0</x:v>
      </x:c>
      <x:c r="AA961" s="1" t="str">
        <x:f>'Inventory inputs'!R961</x:f>
        <x:v>Classified</x:v>
      </x:c>
      <x:c r="AB961" s="1" t="n">
        <x:f>IF(L961=1,SUMIFS('Incoming POs'!$P$2:$P$305,'Incoming POs'!$A$2:$A$305,A961,'Incoming POs'!$B$2:$B$305,B961,'Incoming POs'!$C$2:$C$305,C961,'Incoming POs'!$G$2:$G$305,"&gt;="&amp;D961,'Incoming POs'!$G$2:$G$305,"&lt;"&amp;Dashboard!$I$5,'Incoming POs'!$Q$2:$Q$305,"&lt;="&amp;('Inventory inputs'!P961/'Inventory inputs'!J961*1.01)),"n.a.")</x:f>
        <x:v>0</x:v>
      </x:c>
      <x:c r="AC961" s="9" t="n">
        <x:f>I961*G961</x:f>
        <x:v>1536</x:v>
      </x:c>
      <x:c r="AD961" s="9" t="n">
        <x:f>J961*G961</x:f>
        <x:v>0</x:v>
      </x:c>
      <x:c r="AE961" s="9" t="n">
        <x:f>K961*G961</x:f>
        <x:v>0</x:v>
      </x:c>
      <x:c r="AF961" s="9" t="n">
        <x:f>R961*G961</x:f>
        <x:v>1424.6699630390144</x:v>
      </x:c>
    </x:row>
    <x:row r="962" ht="21" customHeight="1">
      <x:c r="A962" s="1" t="str">
        <x:f>'Inventory inputs'!A962</x:f>
        <x:v>FILM</x:v>
      </x:c>
      <x:c r="B962" s="1" t="str">
        <x:f>'Inventory inputs'!B962</x:f>
        <x:v>30</x:v>
      </x:c>
      <x:c r="C962" s="1" t="str">
        <x:f>'Inventory inputs'!C962</x:f>
        <x:v>402005C2</x:v>
      </x:c>
      <x:c r="D962" s="7" t="n">
        <x:f>'Inventory inputs'!E962</x:f>
        <x:v>46304</x:v>
      </x:c>
      <x:c r="E962" s="1" t="n">
        <x:f>'Inventory inputs'!F962</x:f>
        <x:v>57</x:v>
      </x:c>
      <x:c r="F962" s="1" t="n">
        <x:f>'Inventory inputs'!G962</x:f>
        <x:v>3.33</x:v>
      </x:c>
      <x:c r="G962" s="1" t="n">
        <x:f>'Inventory inputs'!H962/'Inventory inputs'!J962</x:f>
        <x:v>33.89</x:v>
      </x:c>
      <x:c r="H962" s="1" t="n">
        <x:f>IF('Inventory inputs'!I962&gt;0,'Inventory inputs'!I962*'Inventory inputs'!K962/'Inventory inputs'!J962,"n.a.")</x:f>
        <x:v>40.7</x:v>
      </x:c>
      <x:c r="I962" s="1" t="n">
        <x:f>'Inventory inputs'!L962</x:f>
        <x:v>57</x:v>
      </x:c>
      <x:c r="J962" s="1" t="n">
        <x:f>'Inventory inputs'!M962</x:f>
        <x:v>0</x:v>
      </x:c>
      <x:c r="K962" s="1" t="n">
        <x:f>'Inventory inputs'!N962</x:f>
        <x:v>0</x:v>
      </x:c>
      <x:c r="L962" s="1" t="n">
        <x:f>'Inventory inputs'!O962</x:f>
        <x:v>1</x:v>
      </x:c>
      <x:c r="M962" s="9" t="n">
        <x:f>E962*G962</x:f>
        <x:v>1931.73</x:v>
      </x:c>
      <x:c r="N962" s="9" t="n">
        <x:f>'Inventory inputs'!Q962</x:f>
        <x:v>1931.73</x:v>
      </x:c>
      <x:c r="O962" s="9" t="n">
        <x:f>N962-M962</x:f>
        <x:v>0</x:v>
      </x:c>
      <x:c r="P962" s="1" t="n">
        <x:f>SUMIFS('Incoming POs'!$P$2:$P$305,'Incoming POs'!$A$2:$A$305,A962,'Incoming POs'!$B$2:$B$305,B962,'Incoming POs'!$C$2:$C$305,C962,'Incoming POs'!$G$2:$G$305,"&gt;="&amp;D962,'Incoming POs'!$G$2:$G$305,"&lt;"&amp;Dashboard!$I$5)</x:f>
        <x:v>0</x:v>
      </x:c>
      <x:c r="Q962" s="1" t="n">
        <x:f>F962*Dashboard!$L$5*MAX(0,Dashboard!$I$5-D962)/30.4375</x:f>
        <x:v>4.348829568788501</x:v>
      </x:c>
      <x:c r="R962" s="1" t="n">
        <x:f>MAX(0,E962+P962-Q962)</x:f>
        <x:v>52.6511704312115</x:v>
      </x:c>
      <x:c r="S962" s="1" t="n">
        <x:f>MAX(0,Q962-E962-P962)</x:f>
        <x:v>0</x:v>
      </x:c>
      <x:c r="T962" s="1" t="n">
        <x:f>IF(L962=1,MAX(0,I962+AB962-MIN(Q962,E962+P962)),"n.a.")</x:f>
        <x:v>52.6511704312115</x:v>
      </x:c>
      <x:c r="U962" s="9" t="n">
        <x:f>IF(ISNUMBER(T962),T962*G962,"n.a.")</x:f>
        <x:v>1784.3481659137576</x:v>
      </x:c>
      <x:c r="V962" s="25" t="n">
        <x:f>IF(Dashboard!$I$6="Flat %",1,IF(ISNUMBER(H962),1,0))</x:f>
        <x:v>1</x:v>
      </x:c>
      <x:c r="W962" s="9" t="n">
        <x:f>IF(Dashboard!$I$6="Flat %",G962*(1+Dashboard!$L$6),H962)</x:f>
        <x:v>40.7</x:v>
      </x:c>
      <x:c r="X962" s="9" t="n">
        <x:f>IF(V962=1,R962*(W962-G962),"n.a.")</x:f>
        <x:v>358.55447063655043</x:v>
      </x:c>
      <x:c r="Y962" s="9" t="n">
        <x:f>IF(V962=1,R962*W962,"n.a.")</x:f>
        <x:v>2142.902636550308</x:v>
      </x:c>
      <x:c r="Z962" s="1" t="n">
        <x:f>IF(ISNUMBER(T962),R962-T962,"n.a.")</x:f>
        <x:v>0</x:v>
      </x:c>
      <x:c r="AA962" s="1" t="str">
        <x:f>'Inventory inputs'!R962</x:f>
        <x:v>Classified</x:v>
      </x:c>
      <x:c r="AB962" s="1" t="n">
        <x:f>IF(L962=1,SUMIFS('Incoming POs'!$P$2:$P$305,'Incoming POs'!$A$2:$A$305,A962,'Incoming POs'!$B$2:$B$305,B962,'Incoming POs'!$C$2:$C$305,C962,'Incoming POs'!$G$2:$G$305,"&gt;="&amp;D962,'Incoming POs'!$G$2:$G$305,"&lt;"&amp;Dashboard!$I$5,'Incoming POs'!$Q$2:$Q$305,"&lt;="&amp;('Inventory inputs'!P962/'Inventory inputs'!J962*1.01)),"n.a.")</x:f>
        <x:v>0</x:v>
      </x:c>
      <x:c r="AC962" s="9" t="n">
        <x:f>I962*G962</x:f>
        <x:v>1931.73</x:v>
      </x:c>
      <x:c r="AD962" s="9" t="n">
        <x:f>J962*G962</x:f>
        <x:v>0</x:v>
      </x:c>
      <x:c r="AE962" s="9" t="n">
        <x:f>K962*G962</x:f>
        <x:v>0</x:v>
      </x:c>
      <x:c r="AF962" s="9" t="n">
        <x:f>R962*G962</x:f>
        <x:v>1784.3481659137576</x:v>
      </x:c>
    </x:row>
    <x:row r="963" ht="21" customHeight="1">
      <x:c r="A963" s="1" t="str">
        <x:f>'Inventory inputs'!A963</x:f>
        <x:v>FILM</x:v>
      </x:c>
      <x:c r="B963" s="1" t="str">
        <x:f>'Inventory inputs'!B963</x:f>
        <x:v>30</x:v>
      </x:c>
      <x:c r="C963" s="1" t="str">
        <x:f>'Inventory inputs'!C963</x:f>
        <x:v>432005C3</x:v>
      </x:c>
      <x:c r="D963" s="7" t="n">
        <x:f>'Inventory inputs'!E963</x:f>
        <x:v>46304</x:v>
      </x:c>
      <x:c r="E963" s="1" t="n">
        <x:f>'Inventory inputs'!F963</x:f>
        <x:v>12</x:v>
      </x:c>
      <x:c r="F963" s="1" t="n">
        <x:f>'Inventory inputs'!G963</x:f>
        <x:v>3.17</x:v>
      </x:c>
      <x:c r="G963" s="1" t="n">
        <x:f>'Inventory inputs'!H963/'Inventory inputs'!J963</x:f>
        <x:v>36.43</x:v>
      </x:c>
      <x:c r="H963" s="1" t="n">
        <x:f>IF('Inventory inputs'!I963&gt;0,'Inventory inputs'!I963*'Inventory inputs'!K963/'Inventory inputs'!J963,"n.a.")</x:f>
        <x:v>43.76</x:v>
      </x:c>
      <x:c r="I963" s="1" t="n">
        <x:f>'Inventory inputs'!L963</x:f>
        <x:v>12</x:v>
      </x:c>
      <x:c r="J963" s="1" t="n">
        <x:f>'Inventory inputs'!M963</x:f>
        <x:v>0</x:v>
      </x:c>
      <x:c r="K963" s="1" t="n">
        <x:f>'Inventory inputs'!N963</x:f>
        <x:v>0</x:v>
      </x:c>
      <x:c r="L963" s="1" t="n">
        <x:f>'Inventory inputs'!O963</x:f>
        <x:v>1</x:v>
      </x:c>
      <x:c r="M963" s="9" t="n">
        <x:f>E963*G963</x:f>
        <x:v>437.15999999999997</x:v>
      </x:c>
      <x:c r="N963" s="9" t="n">
        <x:f>'Inventory inputs'!Q963</x:f>
        <x:v>546.45</x:v>
      </x:c>
      <x:c r="O963" s="9" t="n">
        <x:f>N963-M963</x:f>
        <x:v>109.29000000000008</x:v>
      </x:c>
      <x:c r="P963" s="1" t="n">
        <x:f>SUMIFS('Incoming POs'!$P$2:$P$305,'Incoming POs'!$A$2:$A$305,A963,'Incoming POs'!$B$2:$B$305,B963,'Incoming POs'!$C$2:$C$305,C963,'Incoming POs'!$G$2:$G$305,"&gt;="&amp;D963,'Incoming POs'!$G$2:$G$305,"&lt;"&amp;Dashboard!$I$5)</x:f>
        <x:v>0</x:v>
      </x:c>
      <x:c r="Q963" s="1" t="n">
        <x:f>F963*Dashboard!$L$5*MAX(0,Dashboard!$I$5-D963)/30.4375</x:f>
        <x:v>4.139876796714579</x:v>
      </x:c>
      <x:c r="R963" s="1" t="n">
        <x:f>MAX(0,E963+P963-Q963)</x:f>
        <x:v>7.860123203285421</x:v>
      </x:c>
      <x:c r="S963" s="1" t="n">
        <x:f>MAX(0,Q963-E963-P963)</x:f>
        <x:v>0</x:v>
      </x:c>
      <x:c r="T963" s="1" t="n">
        <x:f>IF(L963=1,MAX(0,I963+AB963-MIN(Q963,E963+P963)),"n.a.")</x:f>
        <x:v>7.860123203285421</x:v>
      </x:c>
      <x:c r="U963" s="9" t="n">
        <x:f>IF(ISNUMBER(T963),T963*G963,"n.a.")</x:f>
        <x:v>286.3442882956879</x:v>
      </x:c>
      <x:c r="V963" s="25" t="n">
        <x:f>IF(Dashboard!$I$6="Flat %",1,IF(ISNUMBER(H963),1,0))</x:f>
        <x:v>1</x:v>
      </x:c>
      <x:c r="W963" s="9" t="n">
        <x:f>IF(Dashboard!$I$6="Flat %",G963*(1+Dashboard!$L$6),H963)</x:f>
        <x:v>43.76</x:v>
      </x:c>
      <x:c r="X963" s="9" t="n">
        <x:f>IF(V963=1,R963*(W963-G963),"n.a.")</x:f>
        <x:v>57.61470308008212</x:v>
      </x:c>
      <x:c r="Y963" s="9" t="n">
        <x:f>IF(V963=1,R963*W963,"n.a.")</x:f>
        <x:v>343.95899137577004</x:v>
      </x:c>
      <x:c r="Z963" s="1" t="n">
        <x:f>IF(ISNUMBER(T963),R963-T963,"n.a.")</x:f>
        <x:v>0</x:v>
      </x:c>
      <x:c r="AA963" s="1" t="str">
        <x:f>'Inventory inputs'!R963</x:f>
        <x:v>Classified</x:v>
      </x:c>
      <x:c r="AB963" s="1" t="n">
        <x:f>IF(L963=1,SUMIFS('Incoming POs'!$P$2:$P$305,'Incoming POs'!$A$2:$A$305,A963,'Incoming POs'!$B$2:$B$305,B963,'Incoming POs'!$C$2:$C$305,C963,'Incoming POs'!$G$2:$G$305,"&gt;="&amp;D963,'Incoming POs'!$G$2:$G$305,"&lt;"&amp;Dashboard!$I$5,'Incoming POs'!$Q$2:$Q$305,"&lt;="&amp;('Inventory inputs'!P963/'Inventory inputs'!J963*1.01)),"n.a.")</x:f>
        <x:v>0</x:v>
      </x:c>
      <x:c r="AC963" s="9" t="n">
        <x:f>I963*G963</x:f>
        <x:v>437.15999999999997</x:v>
      </x:c>
      <x:c r="AD963" s="9" t="n">
        <x:f>J963*G963</x:f>
        <x:v>0</x:v>
      </x:c>
      <x:c r="AE963" s="9" t="n">
        <x:f>K963*G963</x:f>
        <x:v>0</x:v>
      </x:c>
      <x:c r="AF963" s="9" t="n">
        <x:f>R963*G963</x:f>
        <x:v>286.3442882956879</x:v>
      </x:c>
    </x:row>
    <x:row r="964" ht="21" customHeight="1">
      <x:c r="A964" s="1" t="str">
        <x:f>'Inventory inputs'!A964</x:f>
        <x:v>FILM</x:v>
      </x:c>
      <x:c r="B964" s="1" t="str">
        <x:f>'Inventory inputs'!B964</x:f>
        <x:v>10</x:v>
      </x:c>
      <x:c r="C964" s="1" t="str">
        <x:f>'Inventory inputs'!C964</x:f>
        <x:v>PR382503C3</x:v>
      </x:c>
      <x:c r="D964" s="7" t="n">
        <x:f>'Inventory inputs'!E964</x:f>
        <x:v>46304</x:v>
      </x:c>
      <x:c r="E964" s="1" t="n">
        <x:f>'Inventory inputs'!F964</x:f>
        <x:v>118</x:v>
      </x:c>
      <x:c r="F964" s="1" t="n">
        <x:f>'Inventory inputs'!G964</x:f>
        <x:v>3</x:v>
      </x:c>
      <x:c r="G964" s="1" t="n">
        <x:f>'Inventory inputs'!H964/'Inventory inputs'!J964</x:f>
        <x:v>25.65</x:v>
      </x:c>
      <x:c r="H964" s="1" t="n">
        <x:f>IF('Inventory inputs'!I964&gt;0,'Inventory inputs'!I964*'Inventory inputs'!K964/'Inventory inputs'!J964,"n.a.")</x:f>
        <x:v>30.78</x:v>
      </x:c>
      <x:c r="I964" s="1" t="n">
        <x:f>'Inventory inputs'!L964</x:f>
        <x:v>82</x:v>
      </x:c>
      <x:c r="J964" s="1" t="n">
        <x:f>'Inventory inputs'!M964</x:f>
        <x:v>36</x:v>
      </x:c>
      <x:c r="K964" s="1" t="n">
        <x:f>'Inventory inputs'!N964</x:f>
        <x:v>0</x:v>
      </x:c>
      <x:c r="L964" s="1" t="n">
        <x:f>'Inventory inputs'!O964</x:f>
        <x:v>1</x:v>
      </x:c>
      <x:c r="M964" s="9" t="n">
        <x:f>E964*G964</x:f>
        <x:v>3026.7</x:v>
      </x:c>
      <x:c r="N964" s="9" t="n">
        <x:f>'Inventory inputs'!Q964</x:f>
        <x:v>3026.7</x:v>
      </x:c>
      <x:c r="O964" s="9" t="n">
        <x:f>N964-M964</x:f>
        <x:v>0</x:v>
      </x:c>
      <x:c r="P964" s="1" t="n">
        <x:f>SUMIFS('Incoming POs'!$P$2:$P$305,'Incoming POs'!$A$2:$A$305,A964,'Incoming POs'!$B$2:$B$305,B964,'Incoming POs'!$C$2:$C$305,C964,'Incoming POs'!$G$2:$G$305,"&gt;="&amp;D964,'Incoming POs'!$G$2:$G$305,"&lt;"&amp;Dashboard!$I$5)</x:f>
        <x:v>0</x:v>
      </x:c>
      <x:c r="Q964" s="1" t="n">
        <x:f>F964*Dashboard!$L$5*MAX(0,Dashboard!$I$5-D964)/30.4375</x:f>
        <x:v>3.917864476386037</x:v>
      </x:c>
      <x:c r="R964" s="1" t="n">
        <x:f>MAX(0,E964+P964-Q964)</x:f>
        <x:v>114.08213552361396</x:v>
      </x:c>
      <x:c r="S964" s="1" t="n">
        <x:f>MAX(0,Q964-E964-P964)</x:f>
        <x:v>0</x:v>
      </x:c>
      <x:c r="T964" s="1" t="n">
        <x:f>IF(L964=1,MAX(0,I964+AB964-MIN(Q964,E964+P964)),"n.a.")</x:f>
        <x:v>78.08213552361396</x:v>
      </x:c>
      <x:c r="U964" s="9" t="n">
        <x:f>IF(ISNUMBER(T964),T964*G964,"n.a.")</x:f>
        <x:v>2002.8067761806979</x:v>
      </x:c>
      <x:c r="V964" s="25" t="n">
        <x:f>IF(Dashboard!$I$6="Flat %",1,IF(ISNUMBER(H964),1,0))</x:f>
        <x:v>1</x:v>
      </x:c>
      <x:c r="W964" s="9" t="n">
        <x:f>IF(Dashboard!$I$6="Flat %",G964*(1+Dashboard!$L$6),H964)</x:f>
        <x:v>30.78</x:v>
      </x:c>
      <x:c r="X964" s="9" t="n">
        <x:f>IF(V964=1,R964*(W964-G964),"n.a.")</x:f>
        <x:v>585.2413552361398</x:v>
      </x:c>
      <x:c r="Y964" s="9" t="n">
        <x:f>IF(V964=1,R964*W964,"n.a.")</x:f>
        <x:v>3511.448131416838</x:v>
      </x:c>
      <x:c r="Z964" s="1" t="n">
        <x:f>IF(ISNUMBER(T964),R964-T964,"n.a.")</x:f>
        <x:v>36</x:v>
      </x:c>
      <x:c r="AA964" s="1" t="str">
        <x:f>'Inventory inputs'!R964</x:f>
        <x:v>Classified</x:v>
      </x:c>
      <x:c r="AB964" s="1" t="n">
        <x:f>IF(L964=1,SUMIFS('Incoming POs'!$P$2:$P$305,'Incoming POs'!$A$2:$A$305,A964,'Incoming POs'!$B$2:$B$305,B964,'Incoming POs'!$C$2:$C$305,C964,'Incoming POs'!$G$2:$G$305,"&gt;="&amp;D964,'Incoming POs'!$G$2:$G$305,"&lt;"&amp;Dashboard!$I$5,'Incoming POs'!$Q$2:$Q$305,"&lt;="&amp;('Inventory inputs'!P964/'Inventory inputs'!J964*1.01)),"n.a.")</x:f>
        <x:v>0</x:v>
      </x:c>
      <x:c r="AC964" s="9" t="n">
        <x:f>I964*G964</x:f>
        <x:v>2103.2999999999997</x:v>
      </x:c>
      <x:c r="AD964" s="9" t="n">
        <x:f>J964*G964</x:f>
        <x:v>923.4</x:v>
      </x:c>
      <x:c r="AE964" s="9" t="n">
        <x:f>K964*G964</x:f>
        <x:v>0</x:v>
      </x:c>
      <x:c r="AF964" s="9" t="n">
        <x:f>R964*G964</x:f>
        <x:v>2926.206776180698</x:v>
      </x:c>
    </x:row>
    <x:row r="965" ht="21" customHeight="1">
      <x:c r="A965" s="1" t="str">
        <x:f>'Inventory inputs'!A965</x:f>
        <x:v>FILM</x:v>
      </x:c>
      <x:c r="B965" s="1" t="str">
        <x:f>'Inventory inputs'!B965</x:f>
        <x:v>60</x:v>
      </x:c>
      <x:c r="C965" s="1" t="str">
        <x:f>'Inventory inputs'!C965</x:f>
        <x:v>ST252005M1</x:v>
      </x:c>
      <x:c r="D965" s="7" t="n">
        <x:f>'Inventory inputs'!E965</x:f>
        <x:v>46304</x:v>
      </x:c>
      <x:c r="E965" s="1" t="n">
        <x:f>'Inventory inputs'!F965</x:f>
        <x:v>22</x:v>
      </x:c>
      <x:c r="F965" s="1" t="n">
        <x:f>'Inventory inputs'!G965</x:f>
        <x:v>3</x:v>
      </x:c>
      <x:c r="G965" s="1" t="n">
        <x:f>'Inventory inputs'!H965/'Inventory inputs'!J965</x:f>
        <x:v>50.34</x:v>
      </x:c>
      <x:c r="H965" s="1" t="n">
        <x:f>IF('Inventory inputs'!I965&gt;0,'Inventory inputs'!I965*'Inventory inputs'!K965/'Inventory inputs'!J965,"n.a.")</x:f>
        <x:v>60.6</x:v>
      </x:c>
      <x:c r="I965" s="1" t="n">
        <x:f>'Inventory inputs'!L965</x:f>
        <x:v>22</x:v>
      </x:c>
      <x:c r="J965" s="1" t="n">
        <x:f>'Inventory inputs'!M965</x:f>
        <x:v>0</x:v>
      </x:c>
      <x:c r="K965" s="1" t="n">
        <x:f>'Inventory inputs'!N965</x:f>
        <x:v>0</x:v>
      </x:c>
      <x:c r="L965" s="1" t="n">
        <x:f>'Inventory inputs'!O965</x:f>
        <x:v>1</x:v>
      </x:c>
      <x:c r="M965" s="9" t="n">
        <x:f>E965*G965</x:f>
        <x:v>1107.48</x:v>
      </x:c>
      <x:c r="N965" s="9" t="n">
        <x:f>'Inventory inputs'!Q965</x:f>
        <x:v>1107.48</x:v>
      </x:c>
      <x:c r="O965" s="9" t="n">
        <x:f>N965-M965</x:f>
        <x:v>0</x:v>
      </x:c>
      <x:c r="P965" s="1" t="n">
        <x:f>SUMIFS('Incoming POs'!$P$2:$P$305,'Incoming POs'!$A$2:$A$305,A965,'Incoming POs'!$B$2:$B$305,B965,'Incoming POs'!$C$2:$C$305,C965,'Incoming POs'!$G$2:$G$305,"&gt;="&amp;D965,'Incoming POs'!$G$2:$G$305,"&lt;"&amp;Dashboard!$I$5)</x:f>
        <x:v>0</x:v>
      </x:c>
      <x:c r="Q965" s="1" t="n">
        <x:f>F965*Dashboard!$L$5*MAX(0,Dashboard!$I$5-D965)/30.4375</x:f>
        <x:v>3.917864476386037</x:v>
      </x:c>
      <x:c r="R965" s="1" t="n">
        <x:f>MAX(0,E965+P965-Q965)</x:f>
        <x:v>18.082135523613964</x:v>
      </x:c>
      <x:c r="S965" s="1" t="n">
        <x:f>MAX(0,Q965-E965-P965)</x:f>
        <x:v>0</x:v>
      </x:c>
      <x:c r="T965" s="1" t="n">
        <x:f>IF(L965=1,MAX(0,I965+AB965-MIN(Q965,E965+P965)),"n.a.")</x:f>
        <x:v>18.082135523613964</x:v>
      </x:c>
      <x:c r="U965" s="9" t="n">
        <x:f>IF(ISNUMBER(T965),T965*G965,"n.a.")</x:f>
        <x:v>910.254702258727</x:v>
      </x:c>
      <x:c r="V965" s="25" t="n">
        <x:f>IF(Dashboard!$I$6="Flat %",1,IF(ISNUMBER(H965),1,0))</x:f>
        <x:v>1</x:v>
      </x:c>
      <x:c r="W965" s="9" t="n">
        <x:f>IF(Dashboard!$I$6="Flat %",G965*(1+Dashboard!$L$6),H965)</x:f>
        <x:v>60.6</x:v>
      </x:c>
      <x:c r="X965" s="9" t="n">
        <x:f>IF(V965=1,R965*(W965-G965),"n.a.")</x:f>
        <x:v>185.52271047227924</x:v>
      </x:c>
      <x:c r="Y965" s="9" t="n">
        <x:f>IF(V965=1,R965*W965,"n.a.")</x:f>
        <x:v>1095.7774127310063</x:v>
      </x:c>
      <x:c r="Z965" s="1" t="n">
        <x:f>IF(ISNUMBER(T965),R965-T965,"n.a.")</x:f>
        <x:v>0</x:v>
      </x:c>
      <x:c r="AA965" s="1" t="str">
        <x:f>'Inventory inputs'!R965</x:f>
        <x:v>Classified</x:v>
      </x:c>
      <x:c r="AB965" s="1" t="n">
        <x:f>IF(L965=1,SUMIFS('Incoming POs'!$P$2:$P$305,'Incoming POs'!$A$2:$A$305,A965,'Incoming POs'!$B$2:$B$305,B965,'Incoming POs'!$C$2:$C$305,C965,'Incoming POs'!$G$2:$G$305,"&gt;="&amp;D965,'Incoming POs'!$G$2:$G$305,"&lt;"&amp;Dashboard!$I$5,'Incoming POs'!$Q$2:$Q$305,"&lt;="&amp;('Inventory inputs'!P965/'Inventory inputs'!J965*1.01)),"n.a.")</x:f>
        <x:v>0</x:v>
      </x:c>
      <x:c r="AC965" s="9" t="n">
        <x:f>I965*G965</x:f>
        <x:v>1107.48</x:v>
      </x:c>
      <x:c r="AD965" s="9" t="n">
        <x:f>J965*G965</x:f>
        <x:v>0</x:v>
      </x:c>
      <x:c r="AE965" s="9" t="n">
        <x:f>K965*G965</x:f>
        <x:v>0</x:v>
      </x:c>
      <x:c r="AF965" s="9" t="n">
        <x:f>R965*G965</x:f>
        <x:v>910.254702258727</x:v>
      </x:c>
    </x:row>
    <x:row r="966" ht="21" customHeight="1">
      <x:c r="A966" s="1" t="str">
        <x:f>'Inventory inputs'!A966</x:f>
        <x:v>FILM</x:v>
      </x:c>
      <x:c r="B966" s="1" t="str">
        <x:f>'Inventory inputs'!B966</x:f>
        <x:v>60</x:v>
      </x:c>
      <x:c r="C966" s="1" t="str">
        <x:f>'Inventory inputs'!C966</x:f>
        <x:v>ST2550017M1</x:v>
      </x:c>
      <x:c r="D966" s="7" t="n">
        <x:f>'Inventory inputs'!E966</x:f>
        <x:v>46304</x:v>
      </x:c>
      <x:c r="E966" s="1" t="n">
        <x:f>'Inventory inputs'!F966</x:f>
        <x:v>20</x:v>
      </x:c>
      <x:c r="F966" s="1" t="n">
        <x:f>'Inventory inputs'!G966</x:f>
        <x:v>3</x:v>
      </x:c>
      <x:c r="G966" s="1" t="n">
        <x:f>'Inventory inputs'!H966/'Inventory inputs'!J966</x:f>
        <x:v>63</x:v>
      </x:c>
      <x:c r="H966" s="1" t="n">
        <x:f>IF('Inventory inputs'!I966&gt;0,'Inventory inputs'!I966*'Inventory inputs'!K966/'Inventory inputs'!J966,"n.a.")</x:f>
        <x:v>75.6</x:v>
      </x:c>
      <x:c r="I966" s="1" t="n">
        <x:f>'Inventory inputs'!L966</x:f>
        <x:v>20</x:v>
      </x:c>
      <x:c r="J966" s="1" t="n">
        <x:f>'Inventory inputs'!M966</x:f>
        <x:v>0</x:v>
      </x:c>
      <x:c r="K966" s="1" t="n">
        <x:f>'Inventory inputs'!N966</x:f>
        <x:v>0</x:v>
      </x:c>
      <x:c r="L966" s="1" t="n">
        <x:f>'Inventory inputs'!O966</x:f>
        <x:v>1</x:v>
      </x:c>
      <x:c r="M966" s="9" t="n">
        <x:f>E966*G966</x:f>
        <x:v>1260</x:v>
      </x:c>
      <x:c r="N966" s="9" t="n">
        <x:f>'Inventory inputs'!Q966</x:f>
        <x:v>1260</x:v>
      </x:c>
      <x:c r="O966" s="9" t="n">
        <x:f>N966-M966</x:f>
        <x:v>0</x:v>
      </x:c>
      <x:c r="P966" s="1" t="n">
        <x:f>SUMIFS('Incoming POs'!$P$2:$P$305,'Incoming POs'!$A$2:$A$305,A966,'Incoming POs'!$B$2:$B$305,B966,'Incoming POs'!$C$2:$C$305,C966,'Incoming POs'!$G$2:$G$305,"&gt;="&amp;D966,'Incoming POs'!$G$2:$G$305,"&lt;"&amp;Dashboard!$I$5)</x:f>
        <x:v>0</x:v>
      </x:c>
      <x:c r="Q966" s="1" t="n">
        <x:f>F966*Dashboard!$L$5*MAX(0,Dashboard!$I$5-D966)/30.4375</x:f>
        <x:v>3.917864476386037</x:v>
      </x:c>
      <x:c r="R966" s="1" t="n">
        <x:f>MAX(0,E966+P966-Q966)</x:f>
        <x:v>16.082135523613964</x:v>
      </x:c>
      <x:c r="S966" s="1" t="n">
        <x:f>MAX(0,Q966-E966-P966)</x:f>
        <x:v>0</x:v>
      </x:c>
      <x:c r="T966" s="1" t="n">
        <x:f>IF(L966=1,MAX(0,I966+AB966-MIN(Q966,E966+P966)),"n.a.")</x:f>
        <x:v>16.082135523613964</x:v>
      </x:c>
      <x:c r="U966" s="9" t="n">
        <x:f>IF(ISNUMBER(T966),T966*G966,"n.a.")</x:f>
        <x:v>1013.1745379876797</x:v>
      </x:c>
      <x:c r="V966" s="25" t="n">
        <x:f>IF(Dashboard!$I$6="Flat %",1,IF(ISNUMBER(H966),1,0))</x:f>
        <x:v>1</x:v>
      </x:c>
      <x:c r="W966" s="9" t="n">
        <x:f>IF(Dashboard!$I$6="Flat %",G966*(1+Dashboard!$L$6),H966)</x:f>
        <x:v>75.6</x:v>
      </x:c>
      <x:c r="X966" s="9" t="n">
        <x:f>IF(V966=1,R966*(W966-G966),"n.a.")</x:f>
        <x:v>202.63490759753586</x:v>
      </x:c>
      <x:c r="Y966" s="9" t="n">
        <x:f>IF(V966=1,R966*W966,"n.a.")</x:f>
        <x:v>1215.8094455852156</x:v>
      </x:c>
      <x:c r="Z966" s="1" t="n">
        <x:f>IF(ISNUMBER(T966),R966-T966,"n.a.")</x:f>
        <x:v>0</x:v>
      </x:c>
      <x:c r="AA966" s="1" t="str">
        <x:f>'Inventory inputs'!R966</x:f>
        <x:v>Classified</x:v>
      </x:c>
      <x:c r="AB966" s="1" t="n">
        <x:f>IF(L966=1,SUMIFS('Incoming POs'!$P$2:$P$305,'Incoming POs'!$A$2:$A$305,A966,'Incoming POs'!$B$2:$B$305,B966,'Incoming POs'!$C$2:$C$305,C966,'Incoming POs'!$G$2:$G$305,"&gt;="&amp;D966,'Incoming POs'!$G$2:$G$305,"&lt;"&amp;Dashboard!$I$5,'Incoming POs'!$Q$2:$Q$305,"&lt;="&amp;('Inventory inputs'!P966/'Inventory inputs'!J966*1.01)),"n.a.")</x:f>
        <x:v>0</x:v>
      </x:c>
      <x:c r="AC966" s="9" t="n">
        <x:f>I966*G966</x:f>
        <x:v>1260</x:v>
      </x:c>
      <x:c r="AD966" s="9" t="n">
        <x:f>J966*G966</x:f>
        <x:v>0</x:v>
      </x:c>
      <x:c r="AE966" s="9" t="n">
        <x:f>K966*G966</x:f>
        <x:v>0</x:v>
      </x:c>
      <x:c r="AF966" s="9" t="n">
        <x:f>R966*G966</x:f>
        <x:v>1013.1745379876797</x:v>
      </x:c>
    </x:row>
    <x:row r="967" ht="21" customHeight="1">
      <x:c r="A967" s="1" t="str">
        <x:f>'Inventory inputs'!A967</x:f>
        <x:v>FILM</x:v>
      </x:c>
      <x:c r="B967" s="1" t="str">
        <x:f>'Inventory inputs'!B967</x:f>
        <x:v>10</x:v>
      </x:c>
      <x:c r="C967" s="1" t="str">
        <x:f>'Inventory inputs'!C967</x:f>
        <x:v>3850017C3</x:v>
      </x:c>
      <x:c r="D967" s="7" t="n">
        <x:f>'Inventory inputs'!E967</x:f>
        <x:v>46304</x:v>
      </x:c>
      <x:c r="E967" s="1" t="n">
        <x:f>'Inventory inputs'!F967</x:f>
        <x:v>26</x:v>
      </x:c>
      <x:c r="F967" s="1" t="n">
        <x:f>'Inventory inputs'!G967</x:f>
        <x:v>2.83</x:v>
      </x:c>
      <x:c r="G967" s="1" t="n">
        <x:f>'Inventory inputs'!H967/'Inventory inputs'!J967</x:f>
        <x:v>29.41</x:v>
      </x:c>
      <x:c r="H967" s="1" t="n">
        <x:f>IF('Inventory inputs'!I967&gt;0,'Inventory inputs'!I967*'Inventory inputs'!K967/'Inventory inputs'!J967,"n.a.")</x:f>
        <x:v>35.34</x:v>
      </x:c>
      <x:c r="I967" s="1" t="n">
        <x:f>'Inventory inputs'!L967</x:f>
        <x:v>0</x:v>
      </x:c>
      <x:c r="J967" s="1" t="n">
        <x:f>'Inventory inputs'!M967</x:f>
        <x:v>26</x:v>
      </x:c>
      <x:c r="K967" s="1" t="n">
        <x:f>'Inventory inputs'!N967</x:f>
        <x:v>0</x:v>
      </x:c>
      <x:c r="L967" s="1" t="n">
        <x:f>'Inventory inputs'!O967</x:f>
        <x:v>1</x:v>
      </x:c>
      <x:c r="M967" s="9" t="n">
        <x:f>E967*G967</x:f>
        <x:v>764.66</x:v>
      </x:c>
      <x:c r="N967" s="9" t="n">
        <x:f>'Inventory inputs'!Q967</x:f>
        <x:v>764.66</x:v>
      </x:c>
      <x:c r="O967" s="9" t="n">
        <x:f>N967-M967</x:f>
        <x:v>0</x:v>
      </x:c>
      <x:c r="P967" s="1" t="n">
        <x:f>SUMIFS('Incoming POs'!$P$2:$P$305,'Incoming POs'!$A$2:$A$305,A967,'Incoming POs'!$B$2:$B$305,B967,'Incoming POs'!$C$2:$C$305,C967,'Incoming POs'!$G$2:$G$305,"&gt;="&amp;D967,'Incoming POs'!$G$2:$G$305,"&lt;"&amp;Dashboard!$I$5)</x:f>
        <x:v>0</x:v>
      </x:c>
      <x:c r="Q967" s="1" t="n">
        <x:f>F967*Dashboard!$L$5*MAX(0,Dashboard!$I$5-D967)/30.4375</x:f>
        <x:v>3.6958521560574953</x:v>
      </x:c>
      <x:c r="R967" s="1" t="n">
        <x:f>MAX(0,E967+P967-Q967)</x:f>
        <x:v>22.304147843942506</x:v>
      </x:c>
      <x:c r="S967" s="1" t="n">
        <x:f>MAX(0,Q967-E967-P967)</x:f>
        <x:v>0</x:v>
      </x:c>
      <x:c r="T967" s="1" t="n">
        <x:f>IF(L967=1,MAX(0,I967+AB967-MIN(Q967,E967+P967)),"n.a.")</x:f>
        <x:v>0</x:v>
      </x:c>
      <x:c r="U967" s="9" t="n">
        <x:f>IF(ISNUMBER(T967),T967*G967,"n.a.")</x:f>
        <x:v>0</x:v>
      </x:c>
      <x:c r="V967" s="25" t="n">
        <x:f>IF(Dashboard!$I$6="Flat %",1,IF(ISNUMBER(H967),1,0))</x:f>
        <x:v>1</x:v>
      </x:c>
      <x:c r="W967" s="9" t="n">
        <x:f>IF(Dashboard!$I$6="Flat %",G967*(1+Dashboard!$L$6),H967)</x:f>
        <x:v>35.34</x:v>
      </x:c>
      <x:c r="X967" s="9" t="n">
        <x:f>IF(V967=1,R967*(W967-G967),"n.a.")</x:f>
        <x:v>132.26359671457914</x:v>
      </x:c>
      <x:c r="Y967" s="9" t="n">
        <x:f>IF(V967=1,R967*W967,"n.a.")</x:f>
        <x:v>788.2285848049282</x:v>
      </x:c>
      <x:c r="Z967" s="1" t="n">
        <x:f>IF(ISNUMBER(T967),R967-T967,"n.a.")</x:f>
        <x:v>22.304147843942506</x:v>
      </x:c>
      <x:c r="AA967" s="1" t="str">
        <x:f>'Inventory inputs'!R967</x:f>
        <x:v>Classified</x:v>
      </x:c>
      <x:c r="AB967" s="1" t="n">
        <x:f>IF(L967=1,SUMIFS('Incoming POs'!$P$2:$P$305,'Incoming POs'!$A$2:$A$305,A967,'Incoming POs'!$B$2:$B$305,B967,'Incoming POs'!$C$2:$C$305,C967,'Incoming POs'!$G$2:$G$305,"&gt;="&amp;D967,'Incoming POs'!$G$2:$G$305,"&lt;"&amp;Dashboard!$I$5,'Incoming POs'!$Q$2:$Q$305,"&lt;="&amp;('Inventory inputs'!P967/'Inventory inputs'!J967*1.01)),"n.a.")</x:f>
        <x:v>0</x:v>
      </x:c>
      <x:c r="AC967" s="9" t="n">
        <x:f>I967*G967</x:f>
        <x:v>0</x:v>
      </x:c>
      <x:c r="AD967" s="9" t="n">
        <x:f>J967*G967</x:f>
        <x:v>764.66</x:v>
      </x:c>
      <x:c r="AE967" s="9" t="n">
        <x:f>K967*G967</x:f>
        <x:v>0</x:v>
      </x:c>
      <x:c r="AF967" s="9" t="n">
        <x:f>R967*G967</x:f>
        <x:v>655.964988090349</x:v>
      </x:c>
    </x:row>
    <x:row r="968" ht="21" customHeight="1">
      <x:c r="A968" s="1" t="str">
        <x:f>'Inventory inputs'!A968</x:f>
        <x:v>FILM</x:v>
      </x:c>
      <x:c r="B968" s="1" t="str">
        <x:f>'Inventory inputs'!B968</x:f>
        <x:v>30</x:v>
      </x:c>
      <x:c r="C968" s="1" t="str">
        <x:f>'Inventory inputs'!C968</x:f>
        <x:v>1850010C3</x:v>
      </x:c>
      <x:c r="D968" s="7" t="n">
        <x:f>'Inventory inputs'!E968</x:f>
        <x:v>46304</x:v>
      </x:c>
      <x:c r="E968" s="1" t="n">
        <x:f>'Inventory inputs'!F968</x:f>
        <x:v>18</x:v>
      </x:c>
      <x:c r="F968" s="1" t="n">
        <x:f>'Inventory inputs'!G968</x:f>
        <x:v>2.83</x:v>
      </x:c>
      <x:c r="G968" s="1" t="n">
        <x:f>'Inventory inputs'!H968/'Inventory inputs'!J968</x:f>
        <x:v>85.32</x:v>
      </x:c>
      <x:c r="H968" s="1" t="n">
        <x:f>IF('Inventory inputs'!I968&gt;0,'Inventory inputs'!I968*'Inventory inputs'!K968/'Inventory inputs'!J968,"n.a.")</x:f>
        <x:v>102.38</x:v>
      </x:c>
      <x:c r="I968" s="1" t="n">
        <x:f>'Inventory inputs'!L968</x:f>
        <x:v>18</x:v>
      </x:c>
      <x:c r="J968" s="1" t="n">
        <x:f>'Inventory inputs'!M968</x:f>
        <x:v>0</x:v>
      </x:c>
      <x:c r="K968" s="1" t="n">
        <x:f>'Inventory inputs'!N968</x:f>
        <x:v>0</x:v>
      </x:c>
      <x:c r="L968" s="1" t="n">
        <x:f>'Inventory inputs'!O968</x:f>
        <x:v>1</x:v>
      </x:c>
      <x:c r="M968" s="9" t="n">
        <x:f>E968*G968</x:f>
        <x:v>1535.7599999999998</x:v>
      </x:c>
      <x:c r="N968" s="9" t="n">
        <x:f>'Inventory inputs'!Q968</x:f>
        <x:v>1535.7599999999998</x:v>
      </x:c>
      <x:c r="O968" s="9" t="n">
        <x:f>N968-M968</x:f>
        <x:v>0</x:v>
      </x:c>
      <x:c r="P968" s="1" t="n">
        <x:f>SUMIFS('Incoming POs'!$P$2:$P$305,'Incoming POs'!$A$2:$A$305,A968,'Incoming POs'!$B$2:$B$305,B968,'Incoming POs'!$C$2:$C$305,C968,'Incoming POs'!$G$2:$G$305,"&gt;="&amp;D968,'Incoming POs'!$G$2:$G$305,"&lt;"&amp;Dashboard!$I$5)</x:f>
        <x:v>0</x:v>
      </x:c>
      <x:c r="Q968" s="1" t="n">
        <x:f>F968*Dashboard!$L$5*MAX(0,Dashboard!$I$5-D968)/30.4375</x:f>
        <x:v>3.6958521560574953</x:v>
      </x:c>
      <x:c r="R968" s="1" t="n">
        <x:f>MAX(0,E968+P968-Q968)</x:f>
        <x:v>14.304147843942506</x:v>
      </x:c>
      <x:c r="S968" s="1" t="n">
        <x:f>MAX(0,Q968-E968-P968)</x:f>
        <x:v>0</x:v>
      </x:c>
      <x:c r="T968" s="1" t="n">
        <x:f>IF(L968=1,MAX(0,I968+AB968-MIN(Q968,E968+P968)),"n.a.")</x:f>
        <x:v>14.304147843942506</x:v>
      </x:c>
      <x:c r="U968" s="9" t="n">
        <x:f>IF(ISNUMBER(T968),T968*G968,"n.a.")</x:f>
        <x:v>1220.4298940451745</x:v>
      </x:c>
      <x:c r="V968" s="25" t="n">
        <x:f>IF(Dashboard!$I$6="Flat %",1,IF(ISNUMBER(H968),1,0))</x:f>
        <x:v>1</x:v>
      </x:c>
      <x:c r="W968" s="9" t="n">
        <x:f>IF(Dashboard!$I$6="Flat %",G968*(1+Dashboard!$L$6),H968)</x:f>
        <x:v>102.38</x:v>
      </x:c>
      <x:c r="X968" s="9" t="n">
        <x:f>IF(V968=1,R968*(W968-G968),"n.a.")</x:f>
        <x:v>244.02876221765916</x:v>
      </x:c>
      <x:c r="Y968" s="9" t="n">
        <x:f>IF(V968=1,R968*W968,"n.a.")</x:f>
        <x:v>1464.4586562628338</x:v>
      </x:c>
      <x:c r="Z968" s="1" t="n">
        <x:f>IF(ISNUMBER(T968),R968-T968,"n.a.")</x:f>
        <x:v>0</x:v>
      </x:c>
      <x:c r="AA968" s="1" t="str">
        <x:f>'Inventory inputs'!R968</x:f>
        <x:v>Classified</x:v>
      </x:c>
      <x:c r="AB968" s="1" t="n">
        <x:f>IF(L968=1,SUMIFS('Incoming POs'!$P$2:$P$305,'Incoming POs'!$A$2:$A$305,A968,'Incoming POs'!$B$2:$B$305,B968,'Incoming POs'!$C$2:$C$305,C968,'Incoming POs'!$G$2:$G$305,"&gt;="&amp;D968,'Incoming POs'!$G$2:$G$305,"&lt;"&amp;Dashboard!$I$5,'Incoming POs'!$Q$2:$Q$305,"&lt;="&amp;('Inventory inputs'!P968/'Inventory inputs'!J968*1.01)),"n.a.")</x:f>
        <x:v>0</x:v>
      </x:c>
      <x:c r="AC968" s="9" t="n">
        <x:f>I968*G968</x:f>
        <x:v>1535.7599999999998</x:v>
      </x:c>
      <x:c r="AD968" s="9" t="n">
        <x:f>J968*G968</x:f>
        <x:v>0</x:v>
      </x:c>
      <x:c r="AE968" s="9" t="n">
        <x:f>K968*G968</x:f>
        <x:v>0</x:v>
      </x:c>
      <x:c r="AF968" s="9" t="n">
        <x:f>R968*G968</x:f>
        <x:v>1220.4298940451745</x:v>
      </x:c>
    </x:row>
    <x:row r="969" ht="21" customHeight="1">
      <x:c r="A969" s="1" t="str">
        <x:f>'Inventory inputs'!A969</x:f>
        <x:v>FILM</x:v>
      </x:c>
      <x:c r="B969" s="1" t="str">
        <x:f>'Inventory inputs'!B969</x:f>
        <x:v>30</x:v>
      </x:c>
      <x:c r="C969" s="1" t="str">
        <x:f>'Inventory inputs'!C969</x:f>
        <x:v>252503C2</x:v>
      </x:c>
      <x:c r="D969" s="7" t="n">
        <x:f>'Inventory inputs'!E969</x:f>
        <x:v>46304</x:v>
      </x:c>
      <x:c r="E969" s="1" t="n">
        <x:f>'Inventory inputs'!F969</x:f>
        <x:v>37</x:v>
      </x:c>
      <x:c r="F969" s="1" t="n">
        <x:f>'Inventory inputs'!G969</x:f>
        <x:v>2.83</x:v>
      </x:c>
      <x:c r="G969" s="1" t="n">
        <x:f>'Inventory inputs'!H969/'Inventory inputs'!J969</x:f>
        <x:v>14.63</x:v>
      </x:c>
      <x:c r="H969" s="1" t="n">
        <x:f>IF('Inventory inputs'!I969&gt;0,'Inventory inputs'!I969*'Inventory inputs'!K969/'Inventory inputs'!J969,"n.a.")</x:f>
        <x:v>17.55</x:v>
      </x:c>
      <x:c r="I969" s="1" t="n">
        <x:f>'Inventory inputs'!L969</x:f>
        <x:v>37</x:v>
      </x:c>
      <x:c r="J969" s="1" t="n">
        <x:f>'Inventory inputs'!M969</x:f>
        <x:v>0</x:v>
      </x:c>
      <x:c r="K969" s="1" t="n">
        <x:f>'Inventory inputs'!N969</x:f>
        <x:v>0</x:v>
      </x:c>
      <x:c r="L969" s="1" t="n">
        <x:f>'Inventory inputs'!O969</x:f>
        <x:v>1</x:v>
      </x:c>
      <x:c r="M969" s="9" t="n">
        <x:f>E969*G969</x:f>
        <x:v>541.3100000000001</x:v>
      </x:c>
      <x:c r="N969" s="9" t="n">
        <x:f>'Inventory inputs'!Q969</x:f>
        <x:v>599.83</x:v>
      </x:c>
      <x:c r="O969" s="9" t="n">
        <x:f>N969-M969</x:f>
        <x:v>58.51999999999998</x:v>
      </x:c>
      <x:c r="P969" s="1" t="n">
        <x:f>SUMIFS('Incoming POs'!$P$2:$P$305,'Incoming POs'!$A$2:$A$305,A969,'Incoming POs'!$B$2:$B$305,B969,'Incoming POs'!$C$2:$C$305,C969,'Incoming POs'!$G$2:$G$305,"&gt;="&amp;D969,'Incoming POs'!$G$2:$G$305,"&lt;"&amp;Dashboard!$I$5)</x:f>
        <x:v>0</x:v>
      </x:c>
      <x:c r="Q969" s="1" t="n">
        <x:f>F969*Dashboard!$L$5*MAX(0,Dashboard!$I$5-D969)/30.4375</x:f>
        <x:v>3.6958521560574953</x:v>
      </x:c>
      <x:c r="R969" s="1" t="n">
        <x:f>MAX(0,E969+P969-Q969)</x:f>
        <x:v>33.3041478439425</x:v>
      </x:c>
      <x:c r="S969" s="1" t="n">
        <x:f>MAX(0,Q969-E969-P969)</x:f>
        <x:v>0</x:v>
      </x:c>
      <x:c r="T969" s="1" t="n">
        <x:f>IF(L969=1,MAX(0,I969+AB969-MIN(Q969,E969+P969)),"n.a.")</x:f>
        <x:v>33.3041478439425</x:v>
      </x:c>
      <x:c r="U969" s="9" t="n">
        <x:f>IF(ISNUMBER(T969),T969*G969,"n.a.")</x:f>
        <x:v>487.2396829568788</x:v>
      </x:c>
      <x:c r="V969" s="25" t="n">
        <x:f>IF(Dashboard!$I$6="Flat %",1,IF(ISNUMBER(H969),1,0))</x:f>
        <x:v>1</x:v>
      </x:c>
      <x:c r="W969" s="9" t="n">
        <x:f>IF(Dashboard!$I$6="Flat %",G969*(1+Dashboard!$L$6),H969)</x:f>
        <x:v>17.55</x:v>
      </x:c>
      <x:c r="X969" s="9" t="n">
        <x:f>IF(V969=1,R969*(W969-G969),"n.a.")</x:f>
        <x:v>97.24811170431211</x:v>
      </x:c>
      <x:c r="Y969" s="9" t="n">
        <x:f>IF(V969=1,R969*W969,"n.a.")</x:f>
        <x:v>584.487794661191</x:v>
      </x:c>
      <x:c r="Z969" s="1" t="n">
        <x:f>IF(ISNUMBER(T969),R969-T969,"n.a.")</x:f>
        <x:v>0</x:v>
      </x:c>
      <x:c r="AA969" s="1" t="str">
        <x:f>'Inventory inputs'!R969</x:f>
        <x:v>Classified</x:v>
      </x:c>
      <x:c r="AB969" s="1" t="n">
        <x:f>IF(L969=1,SUMIFS('Incoming POs'!$P$2:$P$305,'Incoming POs'!$A$2:$A$305,A969,'Incoming POs'!$B$2:$B$305,B969,'Incoming POs'!$C$2:$C$305,C969,'Incoming POs'!$G$2:$G$305,"&gt;="&amp;D969,'Incoming POs'!$G$2:$G$305,"&lt;"&amp;Dashboard!$I$5,'Incoming POs'!$Q$2:$Q$305,"&lt;="&amp;('Inventory inputs'!P969/'Inventory inputs'!J969*1.01)),"n.a.")</x:f>
        <x:v>0</x:v>
      </x:c>
      <x:c r="AC969" s="9" t="n">
        <x:f>I969*G969</x:f>
        <x:v>541.3100000000001</x:v>
      </x:c>
      <x:c r="AD969" s="9" t="n">
        <x:f>J969*G969</x:f>
        <x:v>0</x:v>
      </x:c>
      <x:c r="AE969" s="9" t="n">
        <x:f>K969*G969</x:f>
        <x:v>0</x:v>
      </x:c>
      <x:c r="AF969" s="9" t="n">
        <x:f>R969*G969</x:f>
        <x:v>487.2396829568788</x:v>
      </x:c>
    </x:row>
    <x:row r="970" ht="21" customHeight="1">
      <x:c r="A970" s="1" t="str">
        <x:f>'Inventory inputs'!A970</x:f>
        <x:v>FILM</x:v>
      </x:c>
      <x:c r="B970" s="1" t="str">
        <x:f>'Inventory inputs'!B970</x:f>
        <x:v>60</x:v>
      </x:c>
      <x:c r="C970" s="1" t="str">
        <x:f>'Inventory inputs'!C970</x:f>
        <x:v>PR182503C1</x:v>
      </x:c>
      <x:c r="D970" s="7" t="n">
        <x:f>'Inventory inputs'!E970</x:f>
        <x:v>46304</x:v>
      </x:c>
      <x:c r="E970" s="1" t="n">
        <x:f>'Inventory inputs'!F970</x:f>
        <x:v>83</x:v>
      </x:c>
      <x:c r="F970" s="1" t="n">
        <x:f>'Inventory inputs'!G970</x:f>
        <x:v>2.83</x:v>
      </x:c>
      <x:c r="G970" s="1" t="n">
        <x:f>'Inventory inputs'!H970/'Inventory inputs'!J970</x:f>
        <x:v>12.15</x:v>
      </x:c>
      <x:c r="H970" s="1" t="n">
        <x:f>IF('Inventory inputs'!I970&gt;0,'Inventory inputs'!I970*'Inventory inputs'!K970/'Inventory inputs'!J970,"n.a.")</x:f>
        <x:v>14.58</x:v>
      </x:c>
      <x:c r="I970" s="1" t="n">
        <x:f>'Inventory inputs'!L970</x:f>
        <x:v>83</x:v>
      </x:c>
      <x:c r="J970" s="1" t="n">
        <x:f>'Inventory inputs'!M970</x:f>
        <x:v>0</x:v>
      </x:c>
      <x:c r="K970" s="1" t="n">
        <x:f>'Inventory inputs'!N970</x:f>
        <x:v>0</x:v>
      </x:c>
      <x:c r="L970" s="1" t="n">
        <x:f>'Inventory inputs'!O970</x:f>
        <x:v>1</x:v>
      </x:c>
      <x:c r="M970" s="9" t="n">
        <x:f>E970*G970</x:f>
        <x:v>1008.45</x:v>
      </x:c>
      <x:c r="N970" s="9" t="n">
        <x:f>'Inventory inputs'!Q970</x:f>
        <x:v>1008.45</x:v>
      </x:c>
      <x:c r="O970" s="9" t="n">
        <x:f>N970-M970</x:f>
        <x:v>0</x:v>
      </x:c>
      <x:c r="P970" s="1" t="n">
        <x:f>SUMIFS('Incoming POs'!$P$2:$P$305,'Incoming POs'!$A$2:$A$305,A970,'Incoming POs'!$B$2:$B$305,B970,'Incoming POs'!$C$2:$C$305,C970,'Incoming POs'!$G$2:$G$305,"&gt;="&amp;D970,'Incoming POs'!$G$2:$G$305,"&lt;"&amp;Dashboard!$I$5)</x:f>
        <x:v>0</x:v>
      </x:c>
      <x:c r="Q970" s="1" t="n">
        <x:f>F970*Dashboard!$L$5*MAX(0,Dashboard!$I$5-D970)/30.4375</x:f>
        <x:v>3.6958521560574953</x:v>
      </x:c>
      <x:c r="R970" s="1" t="n">
        <x:f>MAX(0,E970+P970-Q970)</x:f>
        <x:v>79.3041478439425</x:v>
      </x:c>
      <x:c r="S970" s="1" t="n">
        <x:f>MAX(0,Q970-E970-P970)</x:f>
        <x:v>0</x:v>
      </x:c>
      <x:c r="T970" s="1" t="n">
        <x:f>IF(L970=1,MAX(0,I970+AB970-MIN(Q970,E970+P970)),"n.a.")</x:f>
        <x:v>79.3041478439425</x:v>
      </x:c>
      <x:c r="U970" s="9" t="n">
        <x:f>IF(ISNUMBER(T970),T970*G970,"n.a.")</x:f>
        <x:v>963.5453963039014</x:v>
      </x:c>
      <x:c r="V970" s="25" t="n">
        <x:f>IF(Dashboard!$I$6="Flat %",1,IF(ISNUMBER(H970),1,0))</x:f>
        <x:v>1</x:v>
      </x:c>
      <x:c r="W970" s="9" t="n">
        <x:f>IF(Dashboard!$I$6="Flat %",G970*(1+Dashboard!$L$6),H970)</x:f>
        <x:v>14.58</x:v>
      </x:c>
      <x:c r="X970" s="9" t="n">
        <x:f>IF(V970=1,R970*(W970-G970),"n.a.")</x:f>
        <x:v>192.70907926078027</x:v>
      </x:c>
      <x:c r="Y970" s="9" t="n">
        <x:f>IF(V970=1,R970*W970,"n.a.")</x:f>
        <x:v>1156.2544755646818</x:v>
      </x:c>
      <x:c r="Z970" s="1" t="n">
        <x:f>IF(ISNUMBER(T970),R970-T970,"n.a.")</x:f>
        <x:v>0</x:v>
      </x:c>
      <x:c r="AA970" s="1" t="str">
        <x:f>'Inventory inputs'!R970</x:f>
        <x:v>Classified</x:v>
      </x:c>
      <x:c r="AB970" s="1" t="n">
        <x:f>IF(L970=1,SUMIFS('Incoming POs'!$P$2:$P$305,'Incoming POs'!$A$2:$A$305,A970,'Incoming POs'!$B$2:$B$305,B970,'Incoming POs'!$C$2:$C$305,C970,'Incoming POs'!$G$2:$G$305,"&gt;="&amp;D970,'Incoming POs'!$G$2:$G$305,"&lt;"&amp;Dashboard!$I$5,'Incoming POs'!$Q$2:$Q$305,"&lt;="&amp;('Inventory inputs'!P970/'Inventory inputs'!J970*1.01)),"n.a.")</x:f>
        <x:v>0</x:v>
      </x:c>
      <x:c r="AC970" s="9" t="n">
        <x:f>I970*G970</x:f>
        <x:v>1008.45</x:v>
      </x:c>
      <x:c r="AD970" s="9" t="n">
        <x:f>J970*G970</x:f>
        <x:v>0</x:v>
      </x:c>
      <x:c r="AE970" s="9" t="n">
        <x:f>K970*G970</x:f>
        <x:v>0</x:v>
      </x:c>
      <x:c r="AF970" s="9" t="n">
        <x:f>R970*G970</x:f>
        <x:v>963.5453963039014</x:v>
      </x:c>
    </x:row>
    <x:row r="971" ht="21" customHeight="1">
      <x:c r="A971" s="1" t="str">
        <x:f>'Inventory inputs'!A971</x:f>
        <x:v>FILM</x:v>
      </x:c>
      <x:c r="B971" s="1" t="str">
        <x:f>'Inventory inputs'!B971</x:f>
        <x:v>30</x:v>
      </x:c>
      <x:c r="C971" s="1" t="str">
        <x:f>'Inventory inputs'!C971</x:f>
        <x:v>92005C1</x:v>
      </x:c>
      <x:c r="D971" s="7" t="n">
        <x:f>'Inventory inputs'!E971</x:f>
        <x:v>46304</x:v>
      </x:c>
      <x:c r="E971" s="1" t="n">
        <x:f>'Inventory inputs'!F971</x:f>
        <x:v>0</x:v>
      </x:c>
      <x:c r="F971" s="1" t="n">
        <x:f>'Inventory inputs'!G971</x:f>
        <x:v>2.75</x:v>
      </x:c>
      <x:c r="G971" s="1" t="n">
        <x:f>'Inventory inputs'!H971/'Inventory inputs'!J971</x:f>
        <x:v>5.14</x:v>
      </x:c>
      <x:c r="H971" s="1" t="str">
        <x:f>IF('Inventory inputs'!I971&gt;0,'Inventory inputs'!I971*'Inventory inputs'!K971/'Inventory inputs'!J971,"n.a.")</x:f>
        <x:v>n.a.</x:v>
      </x:c>
      <x:c r="I971" s="1" t="n">
        <x:f>'Inventory inputs'!L971</x:f>
        <x:v>0</x:v>
      </x:c>
      <x:c r="J971" s="1" t="n">
        <x:f>'Inventory inputs'!M971</x:f>
        <x:v>0</x:v>
      </x:c>
      <x:c r="K971" s="1" t="n">
        <x:f>'Inventory inputs'!N971</x:f>
        <x:v>0</x:v>
      </x:c>
      <x:c r="L971" s="1" t="n">
        <x:f>'Inventory inputs'!O971</x:f>
        <x:v>0</x:v>
      </x:c>
      <x:c r="M971" s="9" t="n">
        <x:f>E971*G971</x:f>
        <x:v>0</x:v>
      </x:c>
      <x:c r="N971" s="9" t="n">
        <x:f>'Inventory inputs'!Q971</x:f>
        <x:v>0</x:v>
      </x:c>
      <x:c r="O971" s="9" t="n">
        <x:f>N971-M971</x:f>
        <x:v>0</x:v>
      </x:c>
      <x:c r="P971" s="1" t="n">
        <x:f>SUMIFS('Incoming POs'!$P$2:$P$305,'Incoming POs'!$A$2:$A$305,A971,'Incoming POs'!$B$2:$B$305,B971,'Incoming POs'!$C$2:$C$305,C971,'Incoming POs'!$G$2:$G$305,"&gt;="&amp;D971,'Incoming POs'!$G$2:$G$305,"&lt;"&amp;Dashboard!$I$5)</x:f>
        <x:v>0</x:v>
      </x:c>
      <x:c r="Q971" s="1" t="n">
        <x:f>F971*Dashboard!$L$5*MAX(0,Dashboard!$I$5-D971)/30.4375</x:f>
        <x:v>3.5913757700205338</x:v>
      </x:c>
      <x:c r="R971" s="1" t="n">
        <x:f>MAX(0,E971+P971-Q971)</x:f>
        <x:v>0</x:v>
      </x:c>
      <x:c r="S971" s="1" t="n">
        <x:f>MAX(0,Q971-E971-P971)</x:f>
        <x:v>3.5913757700205338</x:v>
      </x:c>
      <x:c r="T971" s="1" t="str">
        <x:f>IF(L971=1,MAX(0,I971+AB971-MIN(Q971,E971+P971)),"n.a.")</x:f>
        <x:v>n.a.</x:v>
      </x:c>
      <x:c r="U971" s="9" t="str">
        <x:f>IF(ISNUMBER(T971),T971*G971,"n.a.")</x:f>
        <x:v>n.a.</x:v>
      </x:c>
      <x:c r="V971" s="25" t="n">
        <x:f>IF(Dashboard!$I$6="Flat %",1,IF(ISNUMBER(H971),1,0))</x:f>
        <x:v>0</x:v>
      </x:c>
      <x:c r="W971" s="9" t="str">
        <x:f>IF(Dashboard!$I$6="Flat %",G971*(1+Dashboard!$L$6),H971)</x:f>
        <x:v>n.a.</x:v>
      </x:c>
      <x:c r="X971" s="9" t="str">
        <x:f>IF(V971=1,R971*(W971-G971),"n.a.")</x:f>
        <x:v>n.a.</x:v>
      </x:c>
      <x:c r="Y971" s="9" t="str">
        <x:f>IF(V971=1,R971*W971,"n.a.")</x:f>
        <x:v>n.a.</x:v>
      </x:c>
      <x:c r="Z971" s="1" t="str">
        <x:f>IF(ISNUMBER(T971),R971-T971,"n.a.")</x:f>
        <x:v>n.a.</x:v>
      </x:c>
      <x:c r="AA971" s="1" t="str">
        <x:f>'Inventory inputs'!R971</x:f>
        <x:v>Review receipt reconciliation or original PO baseline</x:v>
      </x:c>
      <x:c r="AB971" s="1" t="str">
        <x:f>IF(L971=1,SUMIFS('Incoming POs'!$P$2:$P$305,'Incoming POs'!$A$2:$A$305,A971,'Incoming POs'!$B$2:$B$305,B971,'Incoming POs'!$C$2:$C$305,C971,'Incoming POs'!$G$2:$G$305,"&gt;="&amp;D971,'Incoming POs'!$G$2:$G$305,"&lt;"&amp;Dashboard!$I$5,'Incoming POs'!$Q$2:$Q$305,"&lt;="&amp;('Inventory inputs'!P971/'Inventory inputs'!J971*1.01)),"n.a.")</x:f>
        <x:v>n.a.</x:v>
      </x:c>
      <x:c r="AC971" s="9" t="n">
        <x:f>I971*G971</x:f>
        <x:v>0</x:v>
      </x:c>
      <x:c r="AD971" s="9" t="n">
        <x:f>J971*G971</x:f>
        <x:v>0</x:v>
      </x:c>
      <x:c r="AE971" s="9" t="n">
        <x:f>K971*G971</x:f>
        <x:v>0</x:v>
      </x:c>
      <x:c r="AF971" s="9" t="n">
        <x:f>R971*G971</x:f>
        <x:v>0</x:v>
      </x:c>
    </x:row>
    <x:row r="972" ht="21" customHeight="1">
      <x:c r="A972" s="1" t="str">
        <x:f>'Inventory inputs'!A972</x:f>
        <x:v>FILM</x:v>
      </x:c>
      <x:c r="B972" s="1" t="str">
        <x:f>'Inventory inputs'!B972</x:f>
        <x:v>30</x:v>
      </x:c>
      <x:c r="C972" s="1" t="str">
        <x:f>'Inventory inputs'!C972</x:f>
        <x:v>1210010C1</x:v>
      </x:c>
      <x:c r="D972" s="7" t="n">
        <x:f>'Inventory inputs'!E972</x:f>
        <x:v>46304</x:v>
      </x:c>
      <x:c r="E972" s="1" t="n">
        <x:f>'Inventory inputs'!F972</x:f>
        <x:v>116</x:v>
      </x:c>
      <x:c r="F972" s="1" t="n">
        <x:f>'Inventory inputs'!G972</x:f>
        <x:v>2.67</x:v>
      </x:c>
      <x:c r="G972" s="1" t="n">
        <x:f>'Inventory inputs'!H972/'Inventory inputs'!J972</x:f>
        <x:v>11.38</x:v>
      </x:c>
      <x:c r="H972" s="1" t="n">
        <x:f>IF('Inventory inputs'!I972&gt;0,'Inventory inputs'!I972*'Inventory inputs'!K972/'Inventory inputs'!J972,"n.a.")</x:f>
        <x:v>13.66</x:v>
      </x:c>
      <x:c r="I972" s="1" t="n">
        <x:f>'Inventory inputs'!L972</x:f>
        <x:v>116</x:v>
      </x:c>
      <x:c r="J972" s="1" t="n">
        <x:f>'Inventory inputs'!M972</x:f>
        <x:v>0</x:v>
      </x:c>
      <x:c r="K972" s="1" t="n">
        <x:f>'Inventory inputs'!N972</x:f>
        <x:v>0</x:v>
      </x:c>
      <x:c r="L972" s="1" t="n">
        <x:f>'Inventory inputs'!O972</x:f>
        <x:v>1</x:v>
      </x:c>
      <x:c r="M972" s="9" t="n">
        <x:f>E972*G972</x:f>
        <x:v>1320.0800000000002</x:v>
      </x:c>
      <x:c r="N972" s="9" t="n">
        <x:f>'Inventory inputs'!Q972</x:f>
        <x:v>1320.0800000000002</x:v>
      </x:c>
      <x:c r="O972" s="9" t="n">
        <x:f>N972-M972</x:f>
        <x:v>0</x:v>
      </x:c>
      <x:c r="P972" s="1" t="n">
        <x:f>SUMIFS('Incoming POs'!$P$2:$P$305,'Incoming POs'!$A$2:$A$305,A972,'Incoming POs'!$B$2:$B$305,B972,'Incoming POs'!$C$2:$C$305,C972,'Incoming POs'!$G$2:$G$305,"&gt;="&amp;D972,'Incoming POs'!$G$2:$G$305,"&lt;"&amp;Dashboard!$I$5)</x:f>
        <x:v>0</x:v>
      </x:c>
      <x:c r="Q972" s="1" t="n">
        <x:f>F972*Dashboard!$L$5*MAX(0,Dashboard!$I$5-D972)/30.4375</x:f>
        <x:v>3.4868993839835727</x:v>
      </x:c>
      <x:c r="R972" s="1" t="n">
        <x:f>MAX(0,E972+P972-Q972)</x:f>
        <x:v>112.51310061601643</x:v>
      </x:c>
      <x:c r="S972" s="1" t="n">
        <x:f>MAX(0,Q972-E972-P972)</x:f>
        <x:v>0</x:v>
      </x:c>
      <x:c r="T972" s="1" t="n">
        <x:f>IF(L972=1,MAX(0,I972+AB972-MIN(Q972,E972+P972)),"n.a.")</x:f>
        <x:v>112.51310061601643</x:v>
      </x:c>
      <x:c r="U972" s="9" t="n">
        <x:f>IF(ISNUMBER(T972),T972*G972,"n.a.")</x:f>
        <x:v>1280.399085010267</x:v>
      </x:c>
      <x:c r="V972" s="25" t="n">
        <x:f>IF(Dashboard!$I$6="Flat %",1,IF(ISNUMBER(H972),1,0))</x:f>
        <x:v>1</x:v>
      </x:c>
      <x:c r="W972" s="9" t="n">
        <x:f>IF(Dashboard!$I$6="Flat %",G972*(1+Dashboard!$L$6),H972)</x:f>
        <x:v>13.66</x:v>
      </x:c>
      <x:c r="X972" s="9" t="n">
        <x:f>IF(V972=1,R972*(W972-G972),"n.a.")</x:f>
        <x:v>256.5298694045174</x:v>
      </x:c>
      <x:c r="Y972" s="9" t="n">
        <x:f>IF(V972=1,R972*W972,"n.a.")</x:f>
        <x:v>1536.9289544147844</x:v>
      </x:c>
      <x:c r="Z972" s="1" t="n">
        <x:f>IF(ISNUMBER(T972),R972-T972,"n.a.")</x:f>
        <x:v>0</x:v>
      </x:c>
      <x:c r="AA972" s="1" t="str">
        <x:f>'Inventory inputs'!R972</x:f>
        <x:v>Classified</x:v>
      </x:c>
      <x:c r="AB972" s="1" t="n">
        <x:f>IF(L972=1,SUMIFS('Incoming POs'!$P$2:$P$305,'Incoming POs'!$A$2:$A$305,A972,'Incoming POs'!$B$2:$B$305,B972,'Incoming POs'!$C$2:$C$305,C972,'Incoming POs'!$G$2:$G$305,"&gt;="&amp;D972,'Incoming POs'!$G$2:$G$305,"&lt;"&amp;Dashboard!$I$5,'Incoming POs'!$Q$2:$Q$305,"&lt;="&amp;('Inventory inputs'!P972/'Inventory inputs'!J972*1.01)),"n.a.")</x:f>
        <x:v>0</x:v>
      </x:c>
      <x:c r="AC972" s="9" t="n">
        <x:f>I972*G972</x:f>
        <x:v>1320.0800000000002</x:v>
      </x:c>
      <x:c r="AD972" s="9" t="n">
        <x:f>J972*G972</x:f>
        <x:v>0</x:v>
      </x:c>
      <x:c r="AE972" s="9" t="n">
        <x:f>K972*G972</x:f>
        <x:v>0</x:v>
      </x:c>
      <x:c r="AF972" s="9" t="n">
        <x:f>R972*G972</x:f>
        <x:v>1280.399085010267</x:v>
      </x:c>
    </x:row>
    <x:row r="973" ht="21" customHeight="1">
      <x:c r="A973" s="1" t="str">
        <x:f>'Inventory inputs'!A973</x:f>
        <x:v>FILM</x:v>
      </x:c>
      <x:c r="B973" s="1" t="str">
        <x:f>'Inventory inputs'!B973</x:f>
        <x:v>30</x:v>
      </x:c>
      <x:c r="C973" s="1" t="str">
        <x:f>'Inventory inputs'!C973</x:f>
        <x:v>PR382503C3</x:v>
      </x:c>
      <x:c r="D973" s="7" t="n">
        <x:f>'Inventory inputs'!E973</x:f>
        <x:v>46304</x:v>
      </x:c>
      <x:c r="E973" s="1" t="n">
        <x:f>'Inventory inputs'!F973</x:f>
        <x:v>20</x:v>
      </x:c>
      <x:c r="F973" s="1" t="n">
        <x:f>'Inventory inputs'!G973</x:f>
        <x:v>2.67</x:v>
      </x:c>
      <x:c r="G973" s="1" t="n">
        <x:f>'Inventory inputs'!H973/'Inventory inputs'!J973</x:f>
        <x:v>25.65</x:v>
      </x:c>
      <x:c r="H973" s="1" t="n">
        <x:f>IF('Inventory inputs'!I973&gt;0,'Inventory inputs'!I973*'Inventory inputs'!K973/'Inventory inputs'!J973,"n.a.")</x:f>
        <x:v>30.78</x:v>
      </x:c>
      <x:c r="I973" s="1" t="n">
        <x:f>'Inventory inputs'!L973</x:f>
        <x:v>20</x:v>
      </x:c>
      <x:c r="J973" s="1" t="n">
        <x:f>'Inventory inputs'!M973</x:f>
        <x:v>0</x:v>
      </x:c>
      <x:c r="K973" s="1" t="n">
        <x:f>'Inventory inputs'!N973</x:f>
        <x:v>0</x:v>
      </x:c>
      <x:c r="L973" s="1" t="n">
        <x:f>'Inventory inputs'!O973</x:f>
        <x:v>1</x:v>
      </x:c>
      <x:c r="M973" s="9" t="n">
        <x:f>E973*G973</x:f>
        <x:v>513</x:v>
      </x:c>
      <x:c r="N973" s="9" t="n">
        <x:f>'Inventory inputs'!Q973</x:f>
        <x:v>513</x:v>
      </x:c>
      <x:c r="O973" s="9" t="n">
        <x:f>N973-M973</x:f>
        <x:v>0</x:v>
      </x:c>
      <x:c r="P973" s="1" t="n">
        <x:f>SUMIFS('Incoming POs'!$P$2:$P$305,'Incoming POs'!$A$2:$A$305,A973,'Incoming POs'!$B$2:$B$305,B973,'Incoming POs'!$C$2:$C$305,C973,'Incoming POs'!$G$2:$G$305,"&gt;="&amp;D973,'Incoming POs'!$G$2:$G$305,"&lt;"&amp;Dashboard!$I$5)</x:f>
        <x:v>0</x:v>
      </x:c>
      <x:c r="Q973" s="1" t="n">
        <x:f>F973*Dashboard!$L$5*MAX(0,Dashboard!$I$5-D973)/30.4375</x:f>
        <x:v>3.4868993839835727</x:v>
      </x:c>
      <x:c r="R973" s="1" t="n">
        <x:f>MAX(0,E973+P973-Q973)</x:f>
        <x:v>16.513100616016427</x:v>
      </x:c>
      <x:c r="S973" s="1" t="n">
        <x:f>MAX(0,Q973-E973-P973)</x:f>
        <x:v>0</x:v>
      </x:c>
      <x:c r="T973" s="1" t="n">
        <x:f>IF(L973=1,MAX(0,I973+AB973-MIN(Q973,E973+P973)),"n.a.")</x:f>
        <x:v>16.513100616016427</x:v>
      </x:c>
      <x:c r="U973" s="9" t="n">
        <x:f>IF(ISNUMBER(T973),T973*G973,"n.a.")</x:f>
        <x:v>423.5610308008213</x:v>
      </x:c>
      <x:c r="V973" s="25" t="n">
        <x:f>IF(Dashboard!$I$6="Flat %",1,IF(ISNUMBER(H973),1,0))</x:f>
        <x:v>1</x:v>
      </x:c>
      <x:c r="W973" s="9" t="n">
        <x:f>IF(Dashboard!$I$6="Flat %",G973*(1+Dashboard!$L$6),H973)</x:f>
        <x:v>30.78</x:v>
      </x:c>
      <x:c r="X973" s="9" t="n">
        <x:f>IF(V973=1,R973*(W973-G973),"n.a.")</x:f>
        <x:v>84.71220616016431</x:v>
      </x:c>
      <x:c r="Y973" s="9" t="n">
        <x:f>IF(V973=1,R973*W973,"n.a.")</x:f>
        <x:v>508.2732369609856</x:v>
      </x:c>
      <x:c r="Z973" s="1" t="n">
        <x:f>IF(ISNUMBER(T973),R973-T973,"n.a.")</x:f>
        <x:v>0</x:v>
      </x:c>
      <x:c r="AA973" s="1" t="str">
        <x:f>'Inventory inputs'!R973</x:f>
        <x:v>Classified</x:v>
      </x:c>
      <x:c r="AB973" s="1" t="n">
        <x:f>IF(L973=1,SUMIFS('Incoming POs'!$P$2:$P$305,'Incoming POs'!$A$2:$A$305,A973,'Incoming POs'!$B$2:$B$305,B973,'Incoming POs'!$C$2:$C$305,C973,'Incoming POs'!$G$2:$G$305,"&gt;="&amp;D973,'Incoming POs'!$G$2:$G$305,"&lt;"&amp;Dashboard!$I$5,'Incoming POs'!$Q$2:$Q$305,"&lt;="&amp;('Inventory inputs'!P973/'Inventory inputs'!J973*1.01)),"n.a.")</x:f>
        <x:v>0</x:v>
      </x:c>
      <x:c r="AC973" s="9" t="n">
        <x:f>I973*G973</x:f>
        <x:v>513</x:v>
      </x:c>
      <x:c r="AD973" s="9" t="n">
        <x:f>J973*G973</x:f>
        <x:v>0</x:v>
      </x:c>
      <x:c r="AE973" s="9" t="n">
        <x:f>K973*G973</x:f>
        <x:v>0</x:v>
      </x:c>
      <x:c r="AF973" s="9" t="n">
        <x:f>R973*G973</x:f>
        <x:v>423.5610308008213</x:v>
      </x:c>
    </x:row>
    <x:row r="974" ht="21" customHeight="1">
      <x:c r="A974" s="1" t="str">
        <x:f>'Inventory inputs'!A974</x:f>
        <x:v>FILM</x:v>
      </x:c>
      <x:c r="B974" s="1" t="str">
        <x:f>'Inventory inputs'!B974</x:f>
        <x:v>30</x:v>
      </x:c>
      <x:c r="C974" s="1" t="str">
        <x:f>'Inventory inputs'!C974</x:f>
        <x:v>PR272503C1</x:v>
      </x:c>
      <x:c r="D974" s="7" t="n">
        <x:f>'Inventory inputs'!E974</x:f>
        <x:v>46304</x:v>
      </x:c>
      <x:c r="E974" s="1" t="n">
        <x:f>'Inventory inputs'!F974</x:f>
        <x:v>450</x:v>
      </x:c>
      <x:c r="F974" s="1" t="n">
        <x:f>'Inventory inputs'!G974</x:f>
        <x:v>2.42</x:v>
      </x:c>
      <x:c r="G974" s="1" t="n">
        <x:f>'Inventory inputs'!H974/'Inventory inputs'!J974</x:f>
        <x:v>18.23</x:v>
      </x:c>
      <x:c r="H974" s="1" t="n">
        <x:f>IF('Inventory inputs'!I974&gt;0,'Inventory inputs'!I974*'Inventory inputs'!K974/'Inventory inputs'!J974,"n.a.")</x:f>
        <x:v>21.87</x:v>
      </x:c>
      <x:c r="I974" s="1" t="n">
        <x:f>'Inventory inputs'!L974</x:f>
        <x:v>450</x:v>
      </x:c>
      <x:c r="J974" s="1" t="n">
        <x:f>'Inventory inputs'!M974</x:f>
        <x:v>0</x:v>
      </x:c>
      <x:c r="K974" s="1" t="n">
        <x:f>'Inventory inputs'!N974</x:f>
        <x:v>0</x:v>
      </x:c>
      <x:c r="L974" s="1" t="n">
        <x:f>'Inventory inputs'!O974</x:f>
        <x:v>1</x:v>
      </x:c>
      <x:c r="M974" s="9" t="n">
        <x:f>E974*G974</x:f>
        <x:v>8203.5</x:v>
      </x:c>
      <x:c r="N974" s="9" t="n">
        <x:f>'Inventory inputs'!Q974</x:f>
        <x:v>8203.5</x:v>
      </x:c>
      <x:c r="O974" s="9" t="n">
        <x:f>N974-M974</x:f>
        <x:v>0</x:v>
      </x:c>
      <x:c r="P974" s="1" t="n">
        <x:f>SUMIFS('Incoming POs'!$P$2:$P$305,'Incoming POs'!$A$2:$A$305,A974,'Incoming POs'!$B$2:$B$305,B974,'Incoming POs'!$C$2:$C$305,C974,'Incoming POs'!$G$2:$G$305,"&gt;="&amp;D974,'Incoming POs'!$G$2:$G$305,"&lt;"&amp;Dashboard!$I$5)</x:f>
        <x:v>0</x:v>
      </x:c>
      <x:c r="Q974" s="1" t="n">
        <x:f>F974*Dashboard!$L$5*MAX(0,Dashboard!$I$5-D974)/30.4375</x:f>
        <x:v>3.1604106776180694</x:v>
      </x:c>
      <x:c r="R974" s="1" t="n">
        <x:f>MAX(0,E974+P974-Q974)</x:f>
        <x:v>446.8395893223819</x:v>
      </x:c>
      <x:c r="S974" s="1" t="n">
        <x:f>MAX(0,Q974-E974-P974)</x:f>
        <x:v>0</x:v>
      </x:c>
      <x:c r="T974" s="1" t="n">
        <x:f>IF(L974=1,MAX(0,I974+AB974-MIN(Q974,E974+P974)),"n.a.")</x:f>
        <x:v>446.8395893223819</x:v>
      </x:c>
      <x:c r="U974" s="9" t="n">
        <x:f>IF(ISNUMBER(T974),T974*G974,"n.a.")</x:f>
        <x:v>8145.885713347023</x:v>
      </x:c>
      <x:c r="V974" s="25" t="n">
        <x:f>IF(Dashboard!$I$6="Flat %",1,IF(ISNUMBER(H974),1,0))</x:f>
        <x:v>1</x:v>
      </x:c>
      <x:c r="W974" s="9" t="n">
        <x:f>IF(Dashboard!$I$6="Flat %",G974*(1+Dashboard!$L$6),H974)</x:f>
        <x:v>21.87</x:v>
      </x:c>
      <x:c r="X974" s="9" t="n">
        <x:f>IF(V974=1,R974*(W974-G974),"n.a.")</x:f>
        <x:v>1626.4961051334706</x:v>
      </x:c>
      <x:c r="Y974" s="9" t="n">
        <x:f>IF(V974=1,R974*W974,"n.a.")</x:f>
        <x:v>9772.381818480493</x:v>
      </x:c>
      <x:c r="Z974" s="1" t="n">
        <x:f>IF(ISNUMBER(T974),R974-T974,"n.a.")</x:f>
        <x:v>0</x:v>
      </x:c>
      <x:c r="AA974" s="1" t="str">
        <x:f>'Inventory inputs'!R974</x:f>
        <x:v>Classified</x:v>
      </x:c>
      <x:c r="AB974" s="1" t="n">
        <x:f>IF(L974=1,SUMIFS('Incoming POs'!$P$2:$P$305,'Incoming POs'!$A$2:$A$305,A974,'Incoming POs'!$B$2:$B$305,B974,'Incoming POs'!$C$2:$C$305,C974,'Incoming POs'!$G$2:$G$305,"&gt;="&amp;D974,'Incoming POs'!$G$2:$G$305,"&lt;"&amp;Dashboard!$I$5,'Incoming POs'!$Q$2:$Q$305,"&lt;="&amp;('Inventory inputs'!P974/'Inventory inputs'!J974*1.01)),"n.a.")</x:f>
        <x:v>0</x:v>
      </x:c>
      <x:c r="AC974" s="9" t="n">
        <x:f>I974*G974</x:f>
        <x:v>8203.5</x:v>
      </x:c>
      <x:c r="AD974" s="9" t="n">
        <x:f>J974*G974</x:f>
        <x:v>0</x:v>
      </x:c>
      <x:c r="AE974" s="9" t="n">
        <x:f>K974*G974</x:f>
        <x:v>0</x:v>
      </x:c>
      <x:c r="AF974" s="9" t="n">
        <x:f>R974*G974</x:f>
        <x:v>8145.885713347023</x:v>
      </x:c>
    </x:row>
    <x:row r="975" ht="21" customHeight="1">
      <x:c r="A975" s="1" t="str">
        <x:f>'Inventory inputs'!A975</x:f>
        <x:v>FILM</x:v>
      </x:c>
      <x:c r="B975" s="1" t="str">
        <x:f>'Inventory inputs'!B975</x:f>
        <x:v>10</x:v>
      </x:c>
      <x:c r="C975" s="1" t="str">
        <x:f>'Inventory inputs'!C975</x:f>
        <x:v>402005C2</x:v>
      </x:c>
      <x:c r="D975" s="7" t="n">
        <x:f>'Inventory inputs'!E975</x:f>
        <x:v>46304</x:v>
      </x:c>
      <x:c r="E975" s="1" t="n">
        <x:f>'Inventory inputs'!F975</x:f>
        <x:v>58</x:v>
      </x:c>
      <x:c r="F975" s="1" t="n">
        <x:f>'Inventory inputs'!G975</x:f>
        <x:v>2.33</x:v>
      </x:c>
      <x:c r="G975" s="1" t="n">
        <x:f>'Inventory inputs'!H975/'Inventory inputs'!J975</x:f>
        <x:v>33.89</x:v>
      </x:c>
      <x:c r="H975" s="1" t="n">
        <x:f>IF('Inventory inputs'!I975&gt;0,'Inventory inputs'!I975*'Inventory inputs'!K975/'Inventory inputs'!J975,"n.a.")</x:f>
        <x:v>40.7</x:v>
      </x:c>
      <x:c r="I975" s="1" t="n">
        <x:f>'Inventory inputs'!L975</x:f>
        <x:v>58</x:v>
      </x:c>
      <x:c r="J975" s="1" t="n">
        <x:f>'Inventory inputs'!M975</x:f>
        <x:v>0</x:v>
      </x:c>
      <x:c r="K975" s="1" t="n">
        <x:f>'Inventory inputs'!N975</x:f>
        <x:v>0</x:v>
      </x:c>
      <x:c r="L975" s="1" t="n">
        <x:f>'Inventory inputs'!O975</x:f>
        <x:v>1</x:v>
      </x:c>
      <x:c r="M975" s="9" t="n">
        <x:f>E975*G975</x:f>
        <x:v>1965.6200000000001</x:v>
      </x:c>
      <x:c r="N975" s="9" t="n">
        <x:f>'Inventory inputs'!Q975</x:f>
        <x:v>1965.6200000000001</x:v>
      </x:c>
      <x:c r="O975" s="9" t="n">
        <x:f>N975-M975</x:f>
        <x:v>0</x:v>
      </x:c>
      <x:c r="P975" s="1" t="n">
        <x:f>SUMIFS('Incoming POs'!$P$2:$P$305,'Incoming POs'!$A$2:$A$305,A975,'Incoming POs'!$B$2:$B$305,B975,'Incoming POs'!$C$2:$C$305,C975,'Incoming POs'!$G$2:$G$305,"&gt;="&amp;D975,'Incoming POs'!$G$2:$G$305,"&lt;"&amp;Dashboard!$I$5)</x:f>
        <x:v>0</x:v>
      </x:c>
      <x:c r="Q975" s="1" t="n">
        <x:f>F975*Dashboard!$L$5*MAX(0,Dashboard!$I$5-D975)/30.4375</x:f>
        <x:v>3.042874743326489</x:v>
      </x:c>
      <x:c r="R975" s="1" t="n">
        <x:f>MAX(0,E975+P975-Q975)</x:f>
        <x:v>54.957125256673514</x:v>
      </x:c>
      <x:c r="S975" s="1" t="n">
        <x:f>MAX(0,Q975-E975-P975)</x:f>
        <x:v>0</x:v>
      </x:c>
      <x:c r="T975" s="1" t="n">
        <x:f>IF(L975=1,MAX(0,I975+AB975-MIN(Q975,E975+P975)),"n.a.")</x:f>
        <x:v>54.957125256673514</x:v>
      </x:c>
      <x:c r="U975" s="9" t="n">
        <x:f>IF(ISNUMBER(T975),T975*G975,"n.a.")</x:f>
        <x:v>1862.4969749486654</x:v>
      </x:c>
      <x:c r="V975" s="25" t="n">
        <x:f>IF(Dashboard!$I$6="Flat %",1,IF(ISNUMBER(H975),1,0))</x:f>
        <x:v>1</x:v>
      </x:c>
      <x:c r="W975" s="9" t="n">
        <x:f>IF(Dashboard!$I$6="Flat %",G975*(1+Dashboard!$L$6),H975)</x:f>
        <x:v>40.7</x:v>
      </x:c>
      <x:c r="X975" s="9" t="n">
        <x:f>IF(V975=1,R975*(W975-G975),"n.a.")</x:f>
        <x:v>374.25802299794674</x:v>
      </x:c>
      <x:c r="Y975" s="9" t="n">
        <x:f>IF(V975=1,R975*W975,"n.a.")</x:f>
        <x:v>2236.754997946612</x:v>
      </x:c>
      <x:c r="Z975" s="1" t="n">
        <x:f>IF(ISNUMBER(T975),R975-T975,"n.a.")</x:f>
        <x:v>0</x:v>
      </x:c>
      <x:c r="AA975" s="1" t="str">
        <x:f>'Inventory inputs'!R975</x:f>
        <x:v>Classified</x:v>
      </x:c>
      <x:c r="AB975" s="1" t="n">
        <x:f>IF(L975=1,SUMIFS('Incoming POs'!$P$2:$P$305,'Incoming POs'!$A$2:$A$305,A975,'Incoming POs'!$B$2:$B$305,B975,'Incoming POs'!$C$2:$C$305,C975,'Incoming POs'!$G$2:$G$305,"&gt;="&amp;D975,'Incoming POs'!$G$2:$G$305,"&lt;"&amp;Dashboard!$I$5,'Incoming POs'!$Q$2:$Q$305,"&lt;="&amp;('Inventory inputs'!P975/'Inventory inputs'!J975*1.01)),"n.a.")</x:f>
        <x:v>0</x:v>
      </x:c>
      <x:c r="AC975" s="9" t="n">
        <x:f>I975*G975</x:f>
        <x:v>1965.6200000000001</x:v>
      </x:c>
      <x:c r="AD975" s="9" t="n">
        <x:f>J975*G975</x:f>
        <x:v>0</x:v>
      </x:c>
      <x:c r="AE975" s="9" t="n">
        <x:f>K975*G975</x:f>
        <x:v>0</x:v>
      </x:c>
      <x:c r="AF975" s="9" t="n">
        <x:f>R975*G975</x:f>
        <x:v>1862.4969749486654</x:v>
      </x:c>
    </x:row>
    <x:row r="976" ht="21" customHeight="1">
      <x:c r="A976" s="1" t="str">
        <x:f>'Inventory inputs'!A976</x:f>
        <x:v>FILM</x:v>
      </x:c>
      <x:c r="B976" s="1" t="str">
        <x:f>'Inventory inputs'!B976</x:f>
        <x:v>10</x:v>
      </x:c>
      <x:c r="C976" s="1" t="str">
        <x:f>'Inventory inputs'!C976</x:f>
        <x:v>ST252005M1</x:v>
      </x:c>
      <x:c r="D976" s="7" t="n">
        <x:f>'Inventory inputs'!E976</x:f>
        <x:v>46304</x:v>
      </x:c>
      <x:c r="E976" s="1" t="n">
        <x:f>'Inventory inputs'!F976</x:f>
        <x:v>68</x:v>
      </x:c>
      <x:c r="F976" s="1" t="n">
        <x:f>'Inventory inputs'!G976</x:f>
        <x:v>2.33</x:v>
      </x:c>
      <x:c r="G976" s="1" t="n">
        <x:f>'Inventory inputs'!H976/'Inventory inputs'!J976</x:f>
        <x:v>50.34</x:v>
      </x:c>
      <x:c r="H976" s="1" t="n">
        <x:f>IF('Inventory inputs'!I976&gt;0,'Inventory inputs'!I976*'Inventory inputs'!K976/'Inventory inputs'!J976,"n.a.")</x:f>
        <x:v>60.6</x:v>
      </x:c>
      <x:c r="I976" s="1" t="n">
        <x:f>'Inventory inputs'!L976</x:f>
        <x:v>68</x:v>
      </x:c>
      <x:c r="J976" s="1" t="n">
        <x:f>'Inventory inputs'!M976</x:f>
        <x:v>0</x:v>
      </x:c>
      <x:c r="K976" s="1" t="n">
        <x:f>'Inventory inputs'!N976</x:f>
        <x:v>0</x:v>
      </x:c>
      <x:c r="L976" s="1" t="n">
        <x:f>'Inventory inputs'!O976</x:f>
        <x:v>1</x:v>
      </x:c>
      <x:c r="M976" s="9" t="n">
        <x:f>E976*G976</x:f>
        <x:v>3423.1200000000003</x:v>
      </x:c>
      <x:c r="N976" s="9" t="n">
        <x:f>'Inventory inputs'!Q976</x:f>
        <x:v>3423.1200000000003</x:v>
      </x:c>
      <x:c r="O976" s="9" t="n">
        <x:f>N976-M976</x:f>
        <x:v>0</x:v>
      </x:c>
      <x:c r="P976" s="1" t="n">
        <x:f>SUMIFS('Incoming POs'!$P$2:$P$305,'Incoming POs'!$A$2:$A$305,A976,'Incoming POs'!$B$2:$B$305,B976,'Incoming POs'!$C$2:$C$305,C976,'Incoming POs'!$G$2:$G$305,"&gt;="&amp;D976,'Incoming POs'!$G$2:$G$305,"&lt;"&amp;Dashboard!$I$5)</x:f>
        <x:v>0</x:v>
      </x:c>
      <x:c r="Q976" s="1" t="n">
        <x:f>F976*Dashboard!$L$5*MAX(0,Dashboard!$I$5-D976)/30.4375</x:f>
        <x:v>3.042874743326489</x:v>
      </x:c>
      <x:c r="R976" s="1" t="n">
        <x:f>MAX(0,E976+P976-Q976)</x:f>
        <x:v>64.9571252566735</x:v>
      </x:c>
      <x:c r="S976" s="1" t="n">
        <x:f>MAX(0,Q976-E976-P976)</x:f>
        <x:v>0</x:v>
      </x:c>
      <x:c r="T976" s="1" t="n">
        <x:f>IF(L976=1,MAX(0,I976+AB976-MIN(Q976,E976+P976)),"n.a.")</x:f>
        <x:v>64.9571252566735</x:v>
      </x:c>
      <x:c r="U976" s="9" t="n">
        <x:f>IF(ISNUMBER(T976),T976*G976,"n.a.")</x:f>
        <x:v>3269.9416854209444</x:v>
      </x:c>
      <x:c r="V976" s="25" t="n">
        <x:f>IF(Dashboard!$I$6="Flat %",1,IF(ISNUMBER(H976),1,0))</x:f>
        <x:v>1</x:v>
      </x:c>
      <x:c r="W976" s="9" t="n">
        <x:f>IF(Dashboard!$I$6="Flat %",G976*(1+Dashboard!$L$6),H976)</x:f>
        <x:v>60.6</x:v>
      </x:c>
      <x:c r="X976" s="9" t="n">
        <x:f>IF(V976=1,R976*(W976-G976),"n.a.")</x:f>
        <x:v>666.46010513347</x:v>
      </x:c>
      <x:c r="Y976" s="9" t="n">
        <x:f>IF(V976=1,R976*W976,"n.a.")</x:f>
        <x:v>3936.4017905544147</x:v>
      </x:c>
      <x:c r="Z976" s="1" t="n">
        <x:f>IF(ISNUMBER(T976),R976-T976,"n.a.")</x:f>
        <x:v>0</x:v>
      </x:c>
      <x:c r="AA976" s="1" t="str">
        <x:f>'Inventory inputs'!R976</x:f>
        <x:v>Classified</x:v>
      </x:c>
      <x:c r="AB976" s="1" t="n">
        <x:f>IF(L976=1,SUMIFS('Incoming POs'!$P$2:$P$305,'Incoming POs'!$A$2:$A$305,A976,'Incoming POs'!$B$2:$B$305,B976,'Incoming POs'!$C$2:$C$305,C976,'Incoming POs'!$G$2:$G$305,"&gt;="&amp;D976,'Incoming POs'!$G$2:$G$305,"&lt;"&amp;Dashboard!$I$5,'Incoming POs'!$Q$2:$Q$305,"&lt;="&amp;('Inventory inputs'!P976/'Inventory inputs'!J976*1.01)),"n.a.")</x:f>
        <x:v>0</x:v>
      </x:c>
      <x:c r="AC976" s="9" t="n">
        <x:f>I976*G976</x:f>
        <x:v>3423.1200000000003</x:v>
      </x:c>
      <x:c r="AD976" s="9" t="n">
        <x:f>J976*G976</x:f>
        <x:v>0</x:v>
      </x:c>
      <x:c r="AE976" s="9" t="n">
        <x:f>K976*G976</x:f>
        <x:v>0</x:v>
      </x:c>
      <x:c r="AF976" s="9" t="n">
        <x:f>R976*G976</x:f>
        <x:v>3269.9416854209444</x:v>
      </x:c>
    </x:row>
    <x:row r="977" ht="21" customHeight="1">
      <x:c r="A977" s="1" t="str">
        <x:f>'Inventory inputs'!A977</x:f>
        <x:v>FILM</x:v>
      </x:c>
      <x:c r="B977" s="1" t="str">
        <x:f>'Inventory inputs'!B977</x:f>
        <x:v>60</x:v>
      </x:c>
      <x:c r="C977" s="1" t="str">
        <x:f>'Inventory inputs'!C977</x:f>
        <x:v>255005C2</x:v>
      </x:c>
      <x:c r="D977" s="7" t="n">
        <x:f>'Inventory inputs'!E977</x:f>
        <x:v>46304</x:v>
      </x:c>
      <x:c r="E977" s="1" t="n">
        <x:f>'Inventory inputs'!F977</x:f>
        <x:v>48</x:v>
      </x:c>
      <x:c r="F977" s="1" t="n">
        <x:f>'Inventory inputs'!G977</x:f>
        <x:v>2.33</x:v>
      </x:c>
      <x:c r="G977" s="1" t="n">
        <x:f>'Inventory inputs'!H977/'Inventory inputs'!J977</x:f>
        <x:v>52.95</x:v>
      </x:c>
      <x:c r="H977" s="1" t="n">
        <x:f>IF('Inventory inputs'!I977&gt;0,'Inventory inputs'!I977*'Inventory inputs'!K977/'Inventory inputs'!J977,"n.a.")</x:f>
        <x:v>63.6</x:v>
      </x:c>
      <x:c r="I977" s="1" t="n">
        <x:f>'Inventory inputs'!L977</x:f>
        <x:v>28</x:v>
      </x:c>
      <x:c r="J977" s="1" t="n">
        <x:f>'Inventory inputs'!M977</x:f>
        <x:v>20</x:v>
      </x:c>
      <x:c r="K977" s="1" t="n">
        <x:f>'Inventory inputs'!N977</x:f>
        <x:v>0</x:v>
      </x:c>
      <x:c r="L977" s="1" t="n">
        <x:f>'Inventory inputs'!O977</x:f>
        <x:v>1</x:v>
      </x:c>
      <x:c r="M977" s="9" t="n">
        <x:f>E977*G977</x:f>
        <x:v>2541.6000000000004</x:v>
      </x:c>
      <x:c r="N977" s="9" t="n">
        <x:f>'Inventory inputs'!Q977</x:f>
        <x:v>2541.6000000000004</x:v>
      </x:c>
      <x:c r="O977" s="9" t="n">
        <x:f>N977-M977</x:f>
        <x:v>0</x:v>
      </x:c>
      <x:c r="P977" s="1" t="n">
        <x:f>SUMIFS('Incoming POs'!$P$2:$P$305,'Incoming POs'!$A$2:$A$305,A977,'Incoming POs'!$B$2:$B$305,B977,'Incoming POs'!$C$2:$C$305,C977,'Incoming POs'!$G$2:$G$305,"&gt;="&amp;D977,'Incoming POs'!$G$2:$G$305,"&lt;"&amp;Dashboard!$I$5)</x:f>
        <x:v>0</x:v>
      </x:c>
      <x:c r="Q977" s="1" t="n">
        <x:f>F977*Dashboard!$L$5*MAX(0,Dashboard!$I$5-D977)/30.4375</x:f>
        <x:v>3.042874743326489</x:v>
      </x:c>
      <x:c r="R977" s="1" t="n">
        <x:f>MAX(0,E977+P977-Q977)</x:f>
        <x:v>44.957125256673514</x:v>
      </x:c>
      <x:c r="S977" s="1" t="n">
        <x:f>MAX(0,Q977-E977-P977)</x:f>
        <x:v>0</x:v>
      </x:c>
      <x:c r="T977" s="1" t="n">
        <x:f>IF(L977=1,MAX(0,I977+AB977-MIN(Q977,E977+P977)),"n.a.")</x:f>
        <x:v>24.95712525667351</x:v>
      </x:c>
      <x:c r="U977" s="9" t="n">
        <x:f>IF(ISNUMBER(T977),T977*G977,"n.a.")</x:f>
        <x:v>1321.4797823408624</x:v>
      </x:c>
      <x:c r="V977" s="25" t="n">
        <x:f>IF(Dashboard!$I$6="Flat %",1,IF(ISNUMBER(H977),1,0))</x:f>
        <x:v>1</x:v>
      </x:c>
      <x:c r="W977" s="9" t="n">
        <x:f>IF(Dashboard!$I$6="Flat %",G977*(1+Dashboard!$L$6),H977)</x:f>
        <x:v>63.6</x:v>
      </x:c>
      <x:c r="X977" s="9" t="n">
        <x:f>IF(V977=1,R977*(W977-G977),"n.a.")</x:f>
        <x:v>478.7933839835729</x:v>
      </x:c>
      <x:c r="Y977" s="9" t="n">
        <x:f>IF(V977=1,R977*W977,"n.a.")</x:f>
        <x:v>2859.2731663244354</x:v>
      </x:c>
      <x:c r="Z977" s="1" t="n">
        <x:f>IF(ISNUMBER(T977),R977-T977,"n.a.")</x:f>
        <x:v>20.000000000000004</x:v>
      </x:c>
      <x:c r="AA977" s="1" t="str">
        <x:f>'Inventory inputs'!R977</x:f>
        <x:v>Classified</x:v>
      </x:c>
      <x:c r="AB977" s="1" t="n">
        <x:f>IF(L977=1,SUMIFS('Incoming POs'!$P$2:$P$305,'Incoming POs'!$A$2:$A$305,A977,'Incoming POs'!$B$2:$B$305,B977,'Incoming POs'!$C$2:$C$305,C977,'Incoming POs'!$G$2:$G$305,"&gt;="&amp;D977,'Incoming POs'!$G$2:$G$305,"&lt;"&amp;Dashboard!$I$5,'Incoming POs'!$Q$2:$Q$305,"&lt;="&amp;('Inventory inputs'!P977/'Inventory inputs'!J977*1.01)),"n.a.")</x:f>
        <x:v>0</x:v>
      </x:c>
      <x:c r="AC977" s="9" t="n">
        <x:f>I977*G977</x:f>
        <x:v>1482.6000000000001</x:v>
      </x:c>
      <x:c r="AD977" s="9" t="n">
        <x:f>J977*G977</x:f>
        <x:v>1059</x:v>
      </x:c>
      <x:c r="AE977" s="9" t="n">
        <x:f>K977*G977</x:f>
        <x:v>0</x:v>
      </x:c>
      <x:c r="AF977" s="9" t="n">
        <x:f>R977*G977</x:f>
        <x:v>2380.4797823408626</x:v>
      </x:c>
    </x:row>
    <x:row r="978" ht="21" customHeight="1">
      <x:c r="A978" s="1" t="str">
        <x:f>'Inventory inputs'!A978</x:f>
        <x:v>FILM</x:v>
      </x:c>
      <x:c r="B978" s="1" t="str">
        <x:f>'Inventory inputs'!B978</x:f>
        <x:v>60</x:v>
      </x:c>
      <x:c r="C978" s="1" t="str">
        <x:f>'Inventory inputs'!C978</x:f>
        <x:v>252503C2</x:v>
      </x:c>
      <x:c r="D978" s="7" t="n">
        <x:f>'Inventory inputs'!E978</x:f>
        <x:v>46304</x:v>
      </x:c>
      <x:c r="E978" s="1" t="n">
        <x:f>'Inventory inputs'!F978</x:f>
        <x:v>74</x:v>
      </x:c>
      <x:c r="F978" s="1" t="n">
        <x:f>'Inventory inputs'!G978</x:f>
        <x:v>2.25</x:v>
      </x:c>
      <x:c r="G978" s="1" t="n">
        <x:f>'Inventory inputs'!H978/'Inventory inputs'!J978</x:f>
        <x:v>14.63</x:v>
      </x:c>
      <x:c r="H978" s="1" t="n">
        <x:f>IF('Inventory inputs'!I978&gt;0,'Inventory inputs'!I978*'Inventory inputs'!K978/'Inventory inputs'!J978,"n.a.")</x:f>
        <x:v>17.55</x:v>
      </x:c>
      <x:c r="I978" s="1" t="n">
        <x:f>'Inventory inputs'!L978</x:f>
        <x:v>0</x:v>
      </x:c>
      <x:c r="J978" s="1" t="n">
        <x:f>'Inventory inputs'!M978</x:f>
        <x:v>0</x:v>
      </x:c>
      <x:c r="K978" s="1" t="n">
        <x:f>'Inventory inputs'!N978</x:f>
        <x:v>74</x:v>
      </x:c>
      <x:c r="L978" s="1" t="n">
        <x:f>'Inventory inputs'!O978</x:f>
        <x:v>0</x:v>
      </x:c>
      <x:c r="M978" s="9" t="n">
        <x:f>E978*G978</x:f>
        <x:v>1082.6200000000001</x:v>
      </x:c>
      <x:c r="N978" s="9" t="n">
        <x:f>'Inventory inputs'!Q978</x:f>
        <x:v>1082.6200000000001</x:v>
      </x:c>
      <x:c r="O978" s="9" t="n">
        <x:f>N978-M978</x:f>
        <x:v>0</x:v>
      </x:c>
      <x:c r="P978" s="1" t="n">
        <x:f>SUMIFS('Incoming POs'!$P$2:$P$305,'Incoming POs'!$A$2:$A$305,A978,'Incoming POs'!$B$2:$B$305,B978,'Incoming POs'!$C$2:$C$305,C978,'Incoming POs'!$G$2:$G$305,"&gt;="&amp;D978,'Incoming POs'!$G$2:$G$305,"&lt;"&amp;Dashboard!$I$5)</x:f>
        <x:v>0</x:v>
      </x:c>
      <x:c r="Q978" s="1" t="n">
        <x:f>F978*Dashboard!$L$5*MAX(0,Dashboard!$I$5-D978)/30.4375</x:f>
        <x:v>2.9383983572895276</x:v>
      </x:c>
      <x:c r="R978" s="1" t="n">
        <x:f>MAX(0,E978+P978-Q978)</x:f>
        <x:v>71.06160164271047</x:v>
      </x:c>
      <x:c r="S978" s="1" t="n">
        <x:f>MAX(0,Q978-E978-P978)</x:f>
        <x:v>0</x:v>
      </x:c>
      <x:c r="T978" s="1" t="str">
        <x:f>IF(L978=1,MAX(0,I978+AB978-MIN(Q978,E978+P978)),"n.a.")</x:f>
        <x:v>n.a.</x:v>
      </x:c>
      <x:c r="U978" s="9" t="str">
        <x:f>IF(ISNUMBER(T978),T978*G978,"n.a.")</x:f>
        <x:v>n.a.</x:v>
      </x:c>
      <x:c r="V978" s="25" t="n">
        <x:f>IF(Dashboard!$I$6="Flat %",1,IF(ISNUMBER(H978),1,0))</x:f>
        <x:v>1</x:v>
      </x:c>
      <x:c r="W978" s="9" t="n">
        <x:f>IF(Dashboard!$I$6="Flat %",G978*(1+Dashboard!$L$6),H978)</x:f>
        <x:v>17.55</x:v>
      </x:c>
      <x:c r="X978" s="9" t="n">
        <x:f>IF(V978=1,R978*(W978-G978),"n.a.")</x:f>
        <x:v>207.49987679671457</x:v>
      </x:c>
      <x:c r="Y978" s="9" t="n">
        <x:f>IF(V978=1,R978*W978,"n.a.")</x:f>
        <x:v>1247.1311088295688</x:v>
      </x:c>
      <x:c r="Z978" s="1" t="str">
        <x:f>IF(ISNUMBER(T978),R978-T978,"n.a.")</x:f>
        <x:v>n.a.</x:v>
      </x:c>
      <x:c r="AA978" s="1" t="str">
        <x:f>'Inventory inputs'!R978</x:f>
        <x:v>Review receipt reconciliation or original PO baseline</x:v>
      </x:c>
      <x:c r="AB978" s="1" t="str">
        <x:f>IF(L978=1,SUMIFS('Incoming POs'!$P$2:$P$305,'Incoming POs'!$A$2:$A$305,A978,'Incoming POs'!$B$2:$B$305,B978,'Incoming POs'!$C$2:$C$305,C978,'Incoming POs'!$G$2:$G$305,"&gt;="&amp;D978,'Incoming POs'!$G$2:$G$305,"&lt;"&amp;Dashboard!$I$5,'Incoming POs'!$Q$2:$Q$305,"&lt;="&amp;('Inventory inputs'!P978/'Inventory inputs'!J978*1.01)),"n.a.")</x:f>
        <x:v>n.a.</x:v>
      </x:c>
      <x:c r="AC978" s="9" t="n">
        <x:f>I978*G978</x:f>
        <x:v>0</x:v>
      </x:c>
      <x:c r="AD978" s="9" t="n">
        <x:f>J978*G978</x:f>
        <x:v>0</x:v>
      </x:c>
      <x:c r="AE978" s="9" t="n">
        <x:f>K978*G978</x:f>
        <x:v>1082.6200000000001</x:v>
      </x:c>
      <x:c r="AF978" s="9" t="n">
        <x:f>R978*G978</x:f>
        <x:v>1039.6312320328543</x:v>
      </x:c>
    </x:row>
    <x:row r="979" ht="21" customHeight="1">
      <x:c r="A979" s="1" t="str">
        <x:f>'Inventory inputs'!A979</x:f>
        <x:v>FILM</x:v>
      </x:c>
      <x:c r="B979" s="1" t="str">
        <x:f>'Inventory inputs'!B979</x:f>
        <x:v>30</x:v>
      </x:c>
      <x:c r="C979" s="1" t="str">
        <x:f>'Inventory inputs'!C979</x:f>
        <x:v>2510010C1</x:v>
      </x:c>
      <x:c r="D979" s="7" t="n">
        <x:f>'Inventory inputs'!E979</x:f>
        <x:v>46304</x:v>
      </x:c>
      <x:c r="E979" s="1" t="n">
        <x:f>'Inventory inputs'!F979</x:f>
        <x:v>12</x:v>
      </x:c>
      <x:c r="F979" s="1" t="n">
        <x:f>'Inventory inputs'!G979</x:f>
        <x:v>2.17</x:v>
      </x:c>
      <x:c r="G979" s="1" t="n">
        <x:f>'Inventory inputs'!H979/'Inventory inputs'!J979</x:f>
        <x:v>23.7</x:v>
      </x:c>
      <x:c r="H979" s="1" t="n">
        <x:f>IF('Inventory inputs'!I979&gt;0,'Inventory inputs'!I979*'Inventory inputs'!K979/'Inventory inputs'!J979,"n.a.")</x:f>
        <x:v>28.44</x:v>
      </x:c>
      <x:c r="I979" s="1" t="n">
        <x:f>'Inventory inputs'!L979</x:f>
        <x:v>0</x:v>
      </x:c>
      <x:c r="J979" s="1" t="n">
        <x:f>'Inventory inputs'!M979</x:f>
        <x:v>0</x:v>
      </x:c>
      <x:c r="K979" s="1" t="n">
        <x:f>'Inventory inputs'!N979</x:f>
        <x:v>12</x:v>
      </x:c>
      <x:c r="L979" s="1" t="n">
        <x:f>'Inventory inputs'!O979</x:f>
        <x:v>0</x:v>
      </x:c>
      <x:c r="M979" s="9" t="n">
        <x:f>E979*G979</x:f>
        <x:v>284.4</x:v>
      </x:c>
      <x:c r="N979" s="9" t="n">
        <x:f>'Inventory inputs'!Q979</x:f>
        <x:v>284.4</x:v>
      </x:c>
      <x:c r="O979" s="9" t="n">
        <x:f>N979-M979</x:f>
        <x:v>0</x:v>
      </x:c>
      <x:c r="P979" s="1" t="n">
        <x:f>SUMIFS('Incoming POs'!$P$2:$P$305,'Incoming POs'!$A$2:$A$305,A979,'Incoming POs'!$B$2:$B$305,B979,'Incoming POs'!$C$2:$C$305,C979,'Incoming POs'!$G$2:$G$305,"&gt;="&amp;D979,'Incoming POs'!$G$2:$G$305,"&lt;"&amp;Dashboard!$I$5)</x:f>
        <x:v>72</x:v>
      </x:c>
      <x:c r="Q979" s="1" t="n">
        <x:f>F979*Dashboard!$L$5*MAX(0,Dashboard!$I$5-D979)/30.4375</x:f>
        <x:v>2.8339219712525665</x:v>
      </x:c>
      <x:c r="R979" s="1" t="n">
        <x:f>MAX(0,E979+P979-Q979)</x:f>
        <x:v>81.16607802874744</x:v>
      </x:c>
      <x:c r="S979" s="1" t="n">
        <x:f>MAX(0,Q979-E979-P979)</x:f>
        <x:v>0</x:v>
      </x:c>
      <x:c r="T979" s="1" t="str">
        <x:f>IF(L979=1,MAX(0,I979+AB979-MIN(Q979,E979+P979)),"n.a.")</x:f>
        <x:v>n.a.</x:v>
      </x:c>
      <x:c r="U979" s="9" t="str">
        <x:f>IF(ISNUMBER(T979),T979*G979,"n.a.")</x:f>
        <x:v>n.a.</x:v>
      </x:c>
      <x:c r="V979" s="25" t="n">
        <x:f>IF(Dashboard!$I$6="Flat %",1,IF(ISNUMBER(H979),1,0))</x:f>
        <x:v>1</x:v>
      </x:c>
      <x:c r="W979" s="9" t="n">
        <x:f>IF(Dashboard!$I$6="Flat %",G979*(1+Dashboard!$L$6),H979)</x:f>
        <x:v>28.44</x:v>
      </x:c>
      <x:c r="X979" s="9" t="n">
        <x:f>IF(V979=1,R979*(W979-G979),"n.a.")</x:f>
        <x:v>384.727209856263</x:v>
      </x:c>
      <x:c r="Y979" s="9" t="n">
        <x:f>IF(V979=1,R979*W979,"n.a.")</x:f>
        <x:v>2308.363259137577</x:v>
      </x:c>
      <x:c r="Z979" s="1" t="str">
        <x:f>IF(ISNUMBER(T979),R979-T979,"n.a.")</x:f>
        <x:v>n.a.</x:v>
      </x:c>
      <x:c r="AA979" s="1" t="str">
        <x:f>'Inventory inputs'!R979</x:f>
        <x:v>Review receipt reconciliation or original PO baseline</x:v>
      </x:c>
      <x:c r="AB979" s="1" t="str">
        <x:f>IF(L979=1,SUMIFS('Incoming POs'!$P$2:$P$305,'Incoming POs'!$A$2:$A$305,A979,'Incoming POs'!$B$2:$B$305,B979,'Incoming POs'!$C$2:$C$305,C979,'Incoming POs'!$G$2:$G$305,"&gt;="&amp;D979,'Incoming POs'!$G$2:$G$305,"&lt;"&amp;Dashboard!$I$5,'Incoming POs'!$Q$2:$Q$305,"&lt;="&amp;('Inventory inputs'!P979/'Inventory inputs'!J979*1.01)),"n.a.")</x:f>
        <x:v>n.a.</x:v>
      </x:c>
      <x:c r="AC979" s="9" t="n">
        <x:f>I979*G979</x:f>
        <x:v>0</x:v>
      </x:c>
      <x:c r="AD979" s="9" t="n">
        <x:f>J979*G979</x:f>
        <x:v>0</x:v>
      </x:c>
      <x:c r="AE979" s="9" t="n">
        <x:f>K979*G979</x:f>
        <x:v>284.4</x:v>
      </x:c>
      <x:c r="AF979" s="9" t="n">
        <x:f>R979*G979</x:f>
        <x:v>1923.6360492813142</x:v>
      </x:c>
    </x:row>
    <x:row r="980" ht="21" customHeight="1">
      <x:c r="A980" s="1" t="str">
        <x:f>'Inventory inputs'!A980</x:f>
        <x:v>FILM</x:v>
      </x:c>
      <x:c r="B980" s="1" t="str">
        <x:f>'Inventory inputs'!B980</x:f>
        <x:v>10</x:v>
      </x:c>
      <x:c r="C980" s="1" t="str">
        <x:f>'Inventory inputs'!C980</x:f>
        <x:v>125005C2</x:v>
      </x:c>
      <x:c r="D980" s="7" t="n">
        <x:f>'Inventory inputs'!E980</x:f>
        <x:v>46304</x:v>
      </x:c>
      <x:c r="E980" s="1" t="n">
        <x:f>'Inventory inputs'!F980</x:f>
        <x:v>10</x:v>
      </x:c>
      <x:c r="F980" s="1" t="n">
        <x:f>'Inventory inputs'!G980</x:f>
        <x:v>2</x:v>
      </x:c>
      <x:c r="G980" s="1" t="n">
        <x:f>'Inventory inputs'!H980/'Inventory inputs'!J980</x:f>
        <x:v>25.42</x:v>
      </x:c>
      <x:c r="H980" s="1" t="n">
        <x:f>IF('Inventory inputs'!I980&gt;0,'Inventory inputs'!I980*'Inventory inputs'!K980/'Inventory inputs'!J980,"n.a.")</x:f>
        <x:v>30.53</x:v>
      </x:c>
      <x:c r="I980" s="1" t="n">
        <x:f>'Inventory inputs'!L980</x:f>
        <x:v>10</x:v>
      </x:c>
      <x:c r="J980" s="1" t="n">
        <x:f>'Inventory inputs'!M980</x:f>
        <x:v>0</x:v>
      </x:c>
      <x:c r="K980" s="1" t="n">
        <x:f>'Inventory inputs'!N980</x:f>
        <x:v>0</x:v>
      </x:c>
      <x:c r="L980" s="1" t="n">
        <x:f>'Inventory inputs'!O980</x:f>
        <x:v>1</x:v>
      </x:c>
      <x:c r="M980" s="9" t="n">
        <x:f>E980*G980</x:f>
        <x:v>254.20000000000002</x:v>
      </x:c>
      <x:c r="N980" s="9" t="n">
        <x:f>'Inventory inputs'!Q980</x:f>
        <x:v>254.20000000000002</x:v>
      </x:c>
      <x:c r="O980" s="9" t="n">
        <x:f>N980-M980</x:f>
        <x:v>0</x:v>
      </x:c>
      <x:c r="P980" s="1" t="n">
        <x:f>SUMIFS('Incoming POs'!$P$2:$P$305,'Incoming POs'!$A$2:$A$305,A980,'Incoming POs'!$B$2:$B$305,B980,'Incoming POs'!$C$2:$C$305,C980,'Incoming POs'!$G$2:$G$305,"&gt;="&amp;D980,'Incoming POs'!$G$2:$G$305,"&lt;"&amp;Dashboard!$I$5)</x:f>
        <x:v>20</x:v>
      </x:c>
      <x:c r="Q980" s="1" t="n">
        <x:f>F980*Dashboard!$L$5*MAX(0,Dashboard!$I$5-D980)/30.4375</x:f>
        <x:v>2.6119096509240247</x:v>
      </x:c>
      <x:c r="R980" s="1" t="n">
        <x:f>MAX(0,E980+P980-Q980)</x:f>
        <x:v>27.388090349075974</x:v>
      </x:c>
      <x:c r="S980" s="1" t="n">
        <x:f>MAX(0,Q980-E980-P980)</x:f>
        <x:v>0</x:v>
      </x:c>
      <x:c r="T980" s="1" t="n">
        <x:f>IF(L980=1,MAX(0,I980+AB980-MIN(Q980,E980+P980)),"n.a.")</x:f>
        <x:v>7.388090349075975</x:v>
      </x:c>
      <x:c r="U980" s="9" t="n">
        <x:f>IF(ISNUMBER(T980),T980*G980,"n.a.")</x:f>
        <x:v>187.8052566735113</x:v>
      </x:c>
      <x:c r="V980" s="25" t="n">
        <x:f>IF(Dashboard!$I$6="Flat %",1,IF(ISNUMBER(H980),1,0))</x:f>
        <x:v>1</x:v>
      </x:c>
      <x:c r="W980" s="9" t="n">
        <x:f>IF(Dashboard!$I$6="Flat %",G980*(1+Dashboard!$L$6),H980)</x:f>
        <x:v>30.53</x:v>
      </x:c>
      <x:c r="X980" s="9" t="n">
        <x:f>IF(V980=1,R980*(W980-G980),"n.a.")</x:f>
        <x:v>139.9531416837782</x:v>
      </x:c>
      <x:c r="Y980" s="9" t="n">
        <x:f>IF(V980=1,R980*W980,"n.a.")</x:f>
        <x:v>836.1583983572895</x:v>
      </x:c>
      <x:c r="Z980" s="1" t="n">
        <x:f>IF(ISNUMBER(T980),R980-T980,"n.a.")</x:f>
        <x:v>20</x:v>
      </x:c>
      <x:c r="AA980" s="1" t="str">
        <x:f>'Inventory inputs'!R980</x:f>
        <x:v>Classified</x:v>
      </x:c>
      <x:c r="AB980" s="1" t="n">
        <x:f>IF(L980=1,SUMIFS('Incoming POs'!$P$2:$P$305,'Incoming POs'!$A$2:$A$305,A980,'Incoming POs'!$B$2:$B$305,B980,'Incoming POs'!$C$2:$C$305,C980,'Incoming POs'!$G$2:$G$305,"&gt;="&amp;D980,'Incoming POs'!$G$2:$G$305,"&lt;"&amp;Dashboard!$I$5,'Incoming POs'!$Q$2:$Q$305,"&lt;="&amp;('Inventory inputs'!P980/'Inventory inputs'!J980*1.01)),"n.a.")</x:f>
        <x:v>0</x:v>
      </x:c>
      <x:c r="AC980" s="9" t="n">
        <x:f>I980*G980</x:f>
        <x:v>254.20000000000002</x:v>
      </x:c>
      <x:c r="AD980" s="9" t="n">
        <x:f>J980*G980</x:f>
        <x:v>0</x:v>
      </x:c>
      <x:c r="AE980" s="9" t="n">
        <x:f>K980*G980</x:f>
        <x:v>0</x:v>
      </x:c>
      <x:c r="AF980" s="9" t="n">
        <x:f>R980*G980</x:f>
        <x:v>696.2052566735113</x:v>
      </x:c>
    </x:row>
    <x:row r="981" ht="21" customHeight="1">
      <x:c r="A981" s="1" t="str">
        <x:f>'Inventory inputs'!A981</x:f>
        <x:v>FILM</x:v>
      </x:c>
      <x:c r="B981" s="1" t="str">
        <x:f>'Inventory inputs'!B981</x:f>
        <x:v>30</x:v>
      </x:c>
      <x:c r="C981" s="1" t="str">
        <x:f>'Inventory inputs'!C981</x:f>
        <x:v>1250010C3</x:v>
      </x:c>
      <x:c r="D981" s="7" t="n">
        <x:f>'Inventory inputs'!E981</x:f>
        <x:v>46304</x:v>
      </x:c>
      <x:c r="E981" s="1" t="n">
        <x:f>'Inventory inputs'!F981</x:f>
        <x:v>14</x:v>
      </x:c>
      <x:c r="F981" s="1" t="n">
        <x:f>'Inventory inputs'!G981</x:f>
        <x:v>1.83</x:v>
      </x:c>
      <x:c r="G981" s="1" t="n">
        <x:f>'Inventory inputs'!H981/'Inventory inputs'!J981</x:f>
        <x:v>56.88</x:v>
      </x:c>
      <x:c r="H981" s="1" t="n">
        <x:f>IF('Inventory inputs'!I981&gt;0,'Inventory inputs'!I981*'Inventory inputs'!K981/'Inventory inputs'!J981,"n.a.")</x:f>
        <x:v>68.26</x:v>
      </x:c>
      <x:c r="I981" s="1" t="n">
        <x:f>'Inventory inputs'!L981</x:f>
        <x:v>14</x:v>
      </x:c>
      <x:c r="J981" s="1" t="n">
        <x:f>'Inventory inputs'!M981</x:f>
        <x:v>0</x:v>
      </x:c>
      <x:c r="K981" s="1" t="n">
        <x:f>'Inventory inputs'!N981</x:f>
        <x:v>0</x:v>
      </x:c>
      <x:c r="L981" s="1" t="n">
        <x:f>'Inventory inputs'!O981</x:f>
        <x:v>1</x:v>
      </x:c>
      <x:c r="M981" s="9" t="n">
        <x:f>E981*G981</x:f>
        <x:v>796.32</x:v>
      </x:c>
      <x:c r="N981" s="9" t="n">
        <x:f>'Inventory inputs'!Q981</x:f>
        <x:v>796.32</x:v>
      </x:c>
      <x:c r="O981" s="9" t="n">
        <x:f>N981-M981</x:f>
        <x:v>0</x:v>
      </x:c>
      <x:c r="P981" s="1" t="n">
        <x:f>SUMIFS('Incoming POs'!$P$2:$P$305,'Incoming POs'!$A$2:$A$305,A981,'Incoming POs'!$B$2:$B$305,B981,'Incoming POs'!$C$2:$C$305,C981,'Incoming POs'!$G$2:$G$305,"&gt;="&amp;D981,'Incoming POs'!$G$2:$G$305,"&lt;"&amp;Dashboard!$I$5)</x:f>
        <x:v>32</x:v>
      </x:c>
      <x:c r="Q981" s="1" t="n">
        <x:f>F981*Dashboard!$L$5*MAX(0,Dashboard!$I$5-D981)/30.4375</x:f>
        <x:v>2.389897330595483</x:v>
      </x:c>
      <x:c r="R981" s="1" t="n">
        <x:f>MAX(0,E981+P981-Q981)</x:f>
        <x:v>43.61010266940452</x:v>
      </x:c>
      <x:c r="S981" s="1" t="n">
        <x:f>MAX(0,Q981-E981-P981)</x:f>
        <x:v>0</x:v>
      </x:c>
      <x:c r="T981" s="1" t="n">
        <x:f>IF(L981=1,MAX(0,I981+AB981-MIN(Q981,E981+P981)),"n.a.")</x:f>
        <x:v>11.610102669404517</x:v>
      </x:c>
      <x:c r="U981" s="9" t="n">
        <x:f>IF(ISNUMBER(T981),T981*G981,"n.a.")</x:f>
        <x:v>660.3826398357289</x:v>
      </x:c>
      <x:c r="V981" s="25" t="n">
        <x:f>IF(Dashboard!$I$6="Flat %",1,IF(ISNUMBER(H981),1,0))</x:f>
        <x:v>1</x:v>
      </x:c>
      <x:c r="W981" s="9" t="n">
        <x:f>IF(Dashboard!$I$6="Flat %",G981*(1+Dashboard!$L$6),H981)</x:f>
        <x:v>68.26</x:v>
      </x:c>
      <x:c r="X981" s="9" t="n">
        <x:f>IF(V981=1,R981*(W981-G981),"n.a.")</x:f>
        <x:v>496.2829683778235</x:v>
      </x:c>
      <x:c r="Y981" s="9" t="n">
        <x:f>IF(V981=1,R981*W981,"n.a.")</x:f>
        <x:v>2976.8256082135526</x:v>
      </x:c>
      <x:c r="Z981" s="1" t="n">
        <x:f>IF(ISNUMBER(T981),R981-T981,"n.a.")</x:f>
        <x:v>32</x:v>
      </x:c>
      <x:c r="AA981" s="1" t="str">
        <x:f>'Inventory inputs'!R981</x:f>
        <x:v>Classified</x:v>
      </x:c>
      <x:c r="AB981" s="1" t="n">
        <x:f>IF(L981=1,SUMIFS('Incoming POs'!$P$2:$P$305,'Incoming POs'!$A$2:$A$305,A981,'Incoming POs'!$B$2:$B$305,B981,'Incoming POs'!$C$2:$C$305,C981,'Incoming POs'!$G$2:$G$305,"&gt;="&amp;D981,'Incoming POs'!$G$2:$G$305,"&lt;"&amp;Dashboard!$I$5,'Incoming POs'!$Q$2:$Q$305,"&lt;="&amp;('Inventory inputs'!P981/'Inventory inputs'!J981*1.01)),"n.a.")</x:f>
        <x:v>0</x:v>
      </x:c>
      <x:c r="AC981" s="9" t="n">
        <x:f>I981*G981</x:f>
        <x:v>796.32</x:v>
      </x:c>
      <x:c r="AD981" s="9" t="n">
        <x:f>J981*G981</x:f>
        <x:v>0</x:v>
      </x:c>
      <x:c r="AE981" s="9" t="n">
        <x:f>K981*G981</x:f>
        <x:v>0</x:v>
      </x:c>
      <x:c r="AF981" s="9" t="n">
        <x:f>R981*G981</x:f>
        <x:v>2480.542639835729</x:v>
      </x:c>
    </x:row>
    <x:row r="982" ht="21" customHeight="1">
      <x:c r="A982" s="1" t="str">
        <x:f>'Inventory inputs'!A982</x:f>
        <x:v>FILM</x:v>
      </x:c>
      <x:c r="B982" s="1" t="str">
        <x:f>'Inventory inputs'!B982</x:f>
        <x:v>60</x:v>
      </x:c>
      <x:c r="C982" s="1" t="str">
        <x:f>'Inventory inputs'!C982</x:f>
        <x:v>1250015C1</x:v>
      </x:c>
      <x:c r="D982" s="7" t="n">
        <x:f>'Inventory inputs'!E982</x:f>
        <x:v>46304</x:v>
      </x:c>
      <x:c r="E982" s="1" t="n">
        <x:f>'Inventory inputs'!F982</x:f>
        <x:v>11</x:v>
      </x:c>
      <x:c r="F982" s="1" t="n">
        <x:f>'Inventory inputs'!G982</x:f>
        <x:v>1.83</x:v>
      </x:c>
      <x:c r="G982" s="1" t="n">
        <x:f>'Inventory inputs'!H982/'Inventory inputs'!J982</x:f>
        <x:v>6.48</x:v>
      </x:c>
      <x:c r="H982" s="1" t="n">
        <x:f>IF('Inventory inputs'!I982&gt;0,'Inventory inputs'!I982*'Inventory inputs'!K982/'Inventory inputs'!J982,"n.a.")</x:f>
        <x:v>7.78</x:v>
      </x:c>
      <x:c r="I982" s="1" t="n">
        <x:f>'Inventory inputs'!L982</x:f>
        <x:v>0</x:v>
      </x:c>
      <x:c r="J982" s="1" t="n">
        <x:f>'Inventory inputs'!M982</x:f>
        <x:v>0</x:v>
      </x:c>
      <x:c r="K982" s="1" t="n">
        <x:f>'Inventory inputs'!N982</x:f>
        <x:v>11</x:v>
      </x:c>
      <x:c r="L982" s="1" t="n">
        <x:f>'Inventory inputs'!O982</x:f>
        <x:v>0</x:v>
      </x:c>
      <x:c r="M982" s="9" t="n">
        <x:f>E982*G982</x:f>
        <x:v>71.28</x:v>
      </x:c>
      <x:c r="N982" s="9" t="n">
        <x:f>'Inventory inputs'!Q982</x:f>
        <x:v>71.28</x:v>
      </x:c>
      <x:c r="O982" s="9" t="n">
        <x:f>N982-M982</x:f>
        <x:v>0</x:v>
      </x:c>
      <x:c r="P982" s="1" t="n">
        <x:f>SUMIFS('Incoming POs'!$P$2:$P$305,'Incoming POs'!$A$2:$A$305,A982,'Incoming POs'!$B$2:$B$305,B982,'Incoming POs'!$C$2:$C$305,C982,'Incoming POs'!$G$2:$G$305,"&gt;="&amp;D982,'Incoming POs'!$G$2:$G$305,"&lt;"&amp;Dashboard!$I$5)</x:f>
        <x:v>0</x:v>
      </x:c>
      <x:c r="Q982" s="1" t="n">
        <x:f>F982*Dashboard!$L$5*MAX(0,Dashboard!$I$5-D982)/30.4375</x:f>
        <x:v>2.389897330595483</x:v>
      </x:c>
      <x:c r="R982" s="1" t="n">
        <x:f>MAX(0,E982+P982-Q982)</x:f>
        <x:v>8.610102669404517</x:v>
      </x:c>
      <x:c r="S982" s="1" t="n">
        <x:f>MAX(0,Q982-E982-P982)</x:f>
        <x:v>0</x:v>
      </x:c>
      <x:c r="T982" s="1" t="str">
        <x:f>IF(L982=1,MAX(0,I982+AB982-MIN(Q982,E982+P982)),"n.a.")</x:f>
        <x:v>n.a.</x:v>
      </x:c>
      <x:c r="U982" s="9" t="str">
        <x:f>IF(ISNUMBER(T982),T982*G982,"n.a.")</x:f>
        <x:v>n.a.</x:v>
      </x:c>
      <x:c r="V982" s="25" t="n">
        <x:f>IF(Dashboard!$I$6="Flat %",1,IF(ISNUMBER(H982),1,0))</x:f>
        <x:v>1</x:v>
      </x:c>
      <x:c r="W982" s="9" t="n">
        <x:f>IF(Dashboard!$I$6="Flat %",G982*(1+Dashboard!$L$6),H982)</x:f>
        <x:v>7.78</x:v>
      </x:c>
      <x:c r="X982" s="9" t="n">
        <x:f>IF(V982=1,R982*(W982-G982),"n.a.")</x:f>
        <x:v>11.19313347022587</x:v>
      </x:c>
      <x:c r="Y982" s="9" t="n">
        <x:f>IF(V982=1,R982*W982,"n.a.")</x:f>
        <x:v>66.98659876796715</x:v>
      </x:c>
      <x:c r="Z982" s="1" t="str">
        <x:f>IF(ISNUMBER(T982),R982-T982,"n.a.")</x:f>
        <x:v>n.a.</x:v>
      </x:c>
      <x:c r="AA982" s="1" t="str">
        <x:f>'Inventory inputs'!R982</x:f>
        <x:v>Review receipt reconciliation or original PO baseline</x:v>
      </x:c>
      <x:c r="AB982" s="1" t="str">
        <x:f>IF(L982=1,SUMIFS('Incoming POs'!$P$2:$P$305,'Incoming POs'!$A$2:$A$305,A982,'Incoming POs'!$B$2:$B$305,B982,'Incoming POs'!$C$2:$C$305,C982,'Incoming POs'!$G$2:$G$305,"&gt;="&amp;D982,'Incoming POs'!$G$2:$G$305,"&lt;"&amp;Dashboard!$I$5,'Incoming POs'!$Q$2:$Q$305,"&lt;="&amp;('Inventory inputs'!P982/'Inventory inputs'!J982*1.01)),"n.a.")</x:f>
        <x:v>n.a.</x:v>
      </x:c>
      <x:c r="AC982" s="9" t="n">
        <x:f>I982*G982</x:f>
        <x:v>0</x:v>
      </x:c>
      <x:c r="AD982" s="9" t="n">
        <x:f>J982*G982</x:f>
        <x:v>0</x:v>
      </x:c>
      <x:c r="AE982" s="9" t="n">
        <x:f>K982*G982</x:f>
        <x:v>71.28</x:v>
      </x:c>
      <x:c r="AF982" s="9" t="n">
        <x:f>R982*G982</x:f>
        <x:v>55.79346529774127</x:v>
      </x:c>
    </x:row>
    <x:row r="983" ht="21" customHeight="1">
      <x:c r="A983" s="1" t="str">
        <x:f>'Inventory inputs'!A983</x:f>
        <x:v>FILM</x:v>
      </x:c>
      <x:c r="B983" s="1" t="str">
        <x:f>'Inventory inputs'!B983</x:f>
        <x:v>60</x:v>
      </x:c>
      <x:c r="C983" s="1" t="str">
        <x:f>'Inventory inputs'!C983</x:f>
        <x:v>PR122503C1</x:v>
      </x:c>
      <x:c r="D983" s="7" t="n">
        <x:f>'Inventory inputs'!E983</x:f>
        <x:v>46304</x:v>
      </x:c>
      <x:c r="E983" s="1" t="n">
        <x:f>'Inventory inputs'!F983</x:f>
        <x:v>222</x:v>
      </x:c>
      <x:c r="F983" s="1" t="n">
        <x:f>'Inventory inputs'!G983</x:f>
        <x:v>1.83</x:v>
      </x:c>
      <x:c r="G983" s="1" t="n">
        <x:f>'Inventory inputs'!H983/'Inventory inputs'!J983</x:f>
        <x:v>8.1</x:v>
      </x:c>
      <x:c r="H983" s="1" t="n">
        <x:f>IF('Inventory inputs'!I983&gt;0,'Inventory inputs'!I983*'Inventory inputs'!K983/'Inventory inputs'!J983,"n.a.")</x:f>
        <x:v>9.72</x:v>
      </x:c>
      <x:c r="I983" s="1" t="n">
        <x:f>'Inventory inputs'!L983</x:f>
        <x:v>222</x:v>
      </x:c>
      <x:c r="J983" s="1" t="n">
        <x:f>'Inventory inputs'!M983</x:f>
        <x:v>0</x:v>
      </x:c>
      <x:c r="K983" s="1" t="n">
        <x:f>'Inventory inputs'!N983</x:f>
        <x:v>0</x:v>
      </x:c>
      <x:c r="L983" s="1" t="n">
        <x:f>'Inventory inputs'!O983</x:f>
        <x:v>1</x:v>
      </x:c>
      <x:c r="M983" s="9" t="n">
        <x:f>E983*G983</x:f>
        <x:v>1798.1999999999998</x:v>
      </x:c>
      <x:c r="N983" s="9" t="n">
        <x:f>'Inventory inputs'!Q983</x:f>
        <x:v>1798.1999999999998</x:v>
      </x:c>
      <x:c r="O983" s="9" t="n">
        <x:f>N983-M983</x:f>
        <x:v>0</x:v>
      </x:c>
      <x:c r="P983" s="1" t="n">
        <x:f>SUMIFS('Incoming POs'!$P$2:$P$305,'Incoming POs'!$A$2:$A$305,A983,'Incoming POs'!$B$2:$B$305,B983,'Incoming POs'!$C$2:$C$305,C983,'Incoming POs'!$G$2:$G$305,"&gt;="&amp;D983,'Incoming POs'!$G$2:$G$305,"&lt;"&amp;Dashboard!$I$5)</x:f>
        <x:v>0</x:v>
      </x:c>
      <x:c r="Q983" s="1" t="n">
        <x:f>F983*Dashboard!$L$5*MAX(0,Dashboard!$I$5-D983)/30.4375</x:f>
        <x:v>2.389897330595483</x:v>
      </x:c>
      <x:c r="R983" s="1" t="n">
        <x:f>MAX(0,E983+P983-Q983)</x:f>
        <x:v>219.6101026694045</x:v>
      </x:c>
      <x:c r="S983" s="1" t="n">
        <x:f>MAX(0,Q983-E983-P983)</x:f>
        <x:v>0</x:v>
      </x:c>
      <x:c r="T983" s="1" t="n">
        <x:f>IF(L983=1,MAX(0,I983+AB983-MIN(Q983,E983+P983)),"n.a.")</x:f>
        <x:v>219.6101026694045</x:v>
      </x:c>
      <x:c r="U983" s="9" t="n">
        <x:f>IF(ISNUMBER(T983),T983*G983,"n.a.")</x:f>
        <x:v>1778.8418316221764</x:v>
      </x:c>
      <x:c r="V983" s="25" t="n">
        <x:f>IF(Dashboard!$I$6="Flat %",1,IF(ISNUMBER(H983),1,0))</x:f>
        <x:v>1</x:v>
      </x:c>
      <x:c r="W983" s="9" t="n">
        <x:f>IF(Dashboard!$I$6="Flat %",G983*(1+Dashboard!$L$6),H983)</x:f>
        <x:v>9.72</x:v>
      </x:c>
      <x:c r="X983" s="9" t="n">
        <x:f>IF(V983=1,R983*(W983-G983),"n.a.")</x:f>
        <x:v>355.76836632443553</x:v>
      </x:c>
      <x:c r="Y983" s="9" t="n">
        <x:f>IF(V983=1,R983*W983,"n.a.")</x:f>
        <x:v>2134.610197946612</x:v>
      </x:c>
      <x:c r="Z983" s="1" t="n">
        <x:f>IF(ISNUMBER(T983),R983-T983,"n.a.")</x:f>
        <x:v>0</x:v>
      </x:c>
      <x:c r="AA983" s="1" t="str">
        <x:f>'Inventory inputs'!R983</x:f>
        <x:v>Classified</x:v>
      </x:c>
      <x:c r="AB983" s="1" t="n">
        <x:f>IF(L983=1,SUMIFS('Incoming POs'!$P$2:$P$305,'Incoming POs'!$A$2:$A$305,A983,'Incoming POs'!$B$2:$B$305,B983,'Incoming POs'!$C$2:$C$305,C983,'Incoming POs'!$G$2:$G$305,"&gt;="&amp;D983,'Incoming POs'!$G$2:$G$305,"&lt;"&amp;Dashboard!$I$5,'Incoming POs'!$Q$2:$Q$305,"&lt;="&amp;('Inventory inputs'!P983/'Inventory inputs'!J983*1.01)),"n.a.")</x:f>
        <x:v>0</x:v>
      </x:c>
      <x:c r="AC983" s="9" t="n">
        <x:f>I983*G983</x:f>
        <x:v>1798.1999999999998</x:v>
      </x:c>
      <x:c r="AD983" s="9" t="n">
        <x:f>J983*G983</x:f>
        <x:v>0</x:v>
      </x:c>
      <x:c r="AE983" s="9" t="n">
        <x:f>K983*G983</x:f>
        <x:v>0</x:v>
      </x:c>
      <x:c r="AF983" s="9" t="n">
        <x:f>R983*G983</x:f>
        <x:v>1778.8418316221764</x:v>
      </x:c>
    </x:row>
    <x:row r="984" ht="21" customHeight="1">
      <x:c r="A984" s="1" t="str">
        <x:f>'Inventory inputs'!A984</x:f>
        <x:v>FILM</x:v>
      </x:c>
      <x:c r="B984" s="1" t="str">
        <x:f>'Inventory inputs'!B984</x:f>
        <x:v>10</x:v>
      </x:c>
      <x:c r="C984" s="1" t="str">
        <x:f>'Inventory inputs'!C984</x:f>
        <x:v>1850015C2</x:v>
      </x:c>
      <x:c r="D984" s="7" t="n">
        <x:f>'Inventory inputs'!E984</x:f>
        <x:v>46304</x:v>
      </x:c>
      <x:c r="E984" s="1" t="n">
        <x:f>'Inventory inputs'!F984</x:f>
        <x:v>88</x:v>
      </x:c>
      <x:c r="F984" s="1" t="n">
        <x:f>'Inventory inputs'!G984</x:f>
        <x:v>1.67</x:v>
      </x:c>
      <x:c r="G984" s="1" t="n">
        <x:f>'Inventory inputs'!H984/'Inventory inputs'!J984</x:f>
        <x:v>9.72</x:v>
      </x:c>
      <x:c r="H984" s="1" t="n">
        <x:f>IF('Inventory inputs'!I984&gt;0,'Inventory inputs'!I984*'Inventory inputs'!K984/'Inventory inputs'!J984,"n.a.")</x:f>
        <x:v>11.66</x:v>
      </x:c>
      <x:c r="I984" s="1" t="n">
        <x:f>'Inventory inputs'!L984</x:f>
        <x:v>24</x:v>
      </x:c>
      <x:c r="J984" s="1" t="n">
        <x:f>'Inventory inputs'!M984</x:f>
        <x:v>64</x:v>
      </x:c>
      <x:c r="K984" s="1" t="n">
        <x:f>'Inventory inputs'!N984</x:f>
        <x:v>0</x:v>
      </x:c>
      <x:c r="L984" s="1" t="n">
        <x:f>'Inventory inputs'!O984</x:f>
        <x:v>1</x:v>
      </x:c>
      <x:c r="M984" s="9" t="n">
        <x:f>E984*G984</x:f>
        <x:v>855.36</x:v>
      </x:c>
      <x:c r="N984" s="9" t="n">
        <x:f>'Inventory inputs'!Q984</x:f>
        <x:v>855.36</x:v>
      </x:c>
      <x:c r="O984" s="9" t="n">
        <x:f>N984-M984</x:f>
        <x:v>0</x:v>
      </x:c>
      <x:c r="P984" s="1" t="n">
        <x:f>SUMIFS('Incoming POs'!$P$2:$P$305,'Incoming POs'!$A$2:$A$305,A984,'Incoming POs'!$B$2:$B$305,B984,'Incoming POs'!$C$2:$C$305,C984,'Incoming POs'!$G$2:$G$305,"&gt;="&amp;D984,'Incoming POs'!$G$2:$G$305,"&lt;"&amp;Dashboard!$I$5)</x:f>
        <x:v>0</x:v>
      </x:c>
      <x:c r="Q984" s="1" t="n">
        <x:f>F984*Dashboard!$L$5*MAX(0,Dashboard!$I$5-D984)/30.4375</x:f>
        <x:v>2.1809445585215603</x:v>
      </x:c>
      <x:c r="R984" s="1" t="n">
        <x:f>MAX(0,E984+P984-Q984)</x:f>
        <x:v>85.81905544147844</x:v>
      </x:c>
      <x:c r="S984" s="1" t="n">
        <x:f>MAX(0,Q984-E984-P984)</x:f>
        <x:v>0</x:v>
      </x:c>
      <x:c r="T984" s="1" t="n">
        <x:f>IF(L984=1,MAX(0,I984+AB984-MIN(Q984,E984+P984)),"n.a.")</x:f>
        <x:v>21.81905544147844</x:v>
      </x:c>
      <x:c r="U984" s="9" t="n">
        <x:f>IF(ISNUMBER(T984),T984*G984,"n.a.")</x:f>
        <x:v>212.08121889117047</x:v>
      </x:c>
      <x:c r="V984" s="25" t="n">
        <x:f>IF(Dashboard!$I$6="Flat %",1,IF(ISNUMBER(H984),1,0))</x:f>
        <x:v>1</x:v>
      </x:c>
      <x:c r="W984" s="9" t="n">
        <x:f>IF(Dashboard!$I$6="Flat %",G984*(1+Dashboard!$L$6),H984)</x:f>
        <x:v>11.66</x:v>
      </x:c>
      <x:c r="X984" s="9" t="n">
        <x:f>IF(V984=1,R984*(W984-G984),"n.a.")</x:f>
        <x:v>166.48896755646814</x:v>
      </x:c>
      <x:c r="Y984" s="9" t="n">
        <x:f>IF(V984=1,R984*W984,"n.a.")</x:f>
        <x:v>1000.6501864476386</x:v>
      </x:c>
      <x:c r="Z984" s="1" t="n">
        <x:f>IF(ISNUMBER(T984),R984-T984,"n.a.")</x:f>
        <x:v>64</x:v>
      </x:c>
      <x:c r="AA984" s="1" t="str">
        <x:f>'Inventory inputs'!R984</x:f>
        <x:v>Classified</x:v>
      </x:c>
      <x:c r="AB984" s="1" t="n">
        <x:f>IF(L984=1,SUMIFS('Incoming POs'!$P$2:$P$305,'Incoming POs'!$A$2:$A$305,A984,'Incoming POs'!$B$2:$B$305,B984,'Incoming POs'!$C$2:$C$305,C984,'Incoming POs'!$G$2:$G$305,"&gt;="&amp;D984,'Incoming POs'!$G$2:$G$305,"&lt;"&amp;Dashboard!$I$5,'Incoming POs'!$Q$2:$Q$305,"&lt;="&amp;('Inventory inputs'!P984/'Inventory inputs'!J984*1.01)),"n.a.")</x:f>
        <x:v>0</x:v>
      </x:c>
      <x:c r="AC984" s="9" t="n">
        <x:f>I984*G984</x:f>
        <x:v>233.28000000000003</x:v>
      </x:c>
      <x:c r="AD984" s="9" t="n">
        <x:f>J984*G984</x:f>
        <x:v>622.08</x:v>
      </x:c>
      <x:c r="AE984" s="9" t="n">
        <x:f>K984*G984</x:f>
        <x:v>0</x:v>
      </x:c>
      <x:c r="AF984" s="9" t="n">
        <x:f>R984*G984</x:f>
        <x:v>834.1612188911705</x:v>
      </x:c>
    </x:row>
    <x:row r="985" ht="21" customHeight="1">
      <x:c r="A985" s="1" t="str">
        <x:f>'Inventory inputs'!A985</x:f>
        <x:v>FILM</x:v>
      </x:c>
      <x:c r="B985" s="1" t="str">
        <x:f>'Inventory inputs'!B985</x:f>
        <x:v>30</x:v>
      </x:c>
      <x:c r="C985" s="1" t="str">
        <x:f>'Inventory inputs'!C985</x:f>
        <x:v>1810005C3</x:v>
      </x:c>
      <x:c r="D985" s="7" t="n">
        <x:f>'Inventory inputs'!E985</x:f>
        <x:v>46304</x:v>
      </x:c>
      <x:c r="E985" s="1" t="n">
        <x:f>'Inventory inputs'!F985</x:f>
        <x:v>12</x:v>
      </x:c>
      <x:c r="F985" s="1" t="n">
        <x:f>'Inventory inputs'!G985</x:f>
        <x:v>1.67</x:v>
      </x:c>
      <x:c r="G985" s="1" t="n">
        <x:f>'Inventory inputs'!H985/'Inventory inputs'!J985</x:f>
        <x:v>76.25</x:v>
      </x:c>
      <x:c r="H985" s="1" t="n">
        <x:f>IF('Inventory inputs'!I985&gt;0,'Inventory inputs'!I985*'Inventory inputs'!K985/'Inventory inputs'!J985,"n.a.")</x:f>
        <x:v>91.58</x:v>
      </x:c>
      <x:c r="I985" s="1" t="n">
        <x:f>'Inventory inputs'!L985</x:f>
        <x:v>12</x:v>
      </x:c>
      <x:c r="J985" s="1" t="n">
        <x:f>'Inventory inputs'!M985</x:f>
        <x:v>0</x:v>
      </x:c>
      <x:c r="K985" s="1" t="n">
        <x:f>'Inventory inputs'!N985</x:f>
        <x:v>0</x:v>
      </x:c>
      <x:c r="L985" s="1" t="n">
        <x:f>'Inventory inputs'!O985</x:f>
        <x:v>1</x:v>
      </x:c>
      <x:c r="M985" s="9" t="n">
        <x:f>E985*G985</x:f>
        <x:v>915</x:v>
      </x:c>
      <x:c r="N985" s="9" t="n">
        <x:f>'Inventory inputs'!Q985</x:f>
        <x:v>915</x:v>
      </x:c>
      <x:c r="O985" s="9" t="n">
        <x:f>N985-M985</x:f>
        <x:v>0</x:v>
      </x:c>
      <x:c r="P985" s="1" t="n">
        <x:f>SUMIFS('Incoming POs'!$P$2:$P$305,'Incoming POs'!$A$2:$A$305,A985,'Incoming POs'!$B$2:$B$305,B985,'Incoming POs'!$C$2:$C$305,C985,'Incoming POs'!$G$2:$G$305,"&gt;="&amp;D985,'Incoming POs'!$G$2:$G$305,"&lt;"&amp;Dashboard!$I$5)</x:f>
        <x:v>16</x:v>
      </x:c>
      <x:c r="Q985" s="1" t="n">
        <x:f>F985*Dashboard!$L$5*MAX(0,Dashboard!$I$5-D985)/30.4375</x:f>
        <x:v>2.1809445585215603</x:v>
      </x:c>
      <x:c r="R985" s="1" t="n">
        <x:f>MAX(0,E985+P985-Q985)</x:f>
        <x:v>25.81905544147844</x:v>
      </x:c>
      <x:c r="S985" s="1" t="n">
        <x:f>MAX(0,Q985-E985-P985)</x:f>
        <x:v>0</x:v>
      </x:c>
      <x:c r="T985" s="1" t="n">
        <x:f>IF(L985=1,MAX(0,I985+AB985-MIN(Q985,E985+P985)),"n.a.")</x:f>
        <x:v>9.81905544147844</x:v>
      </x:c>
      <x:c r="U985" s="9" t="n">
        <x:f>IF(ISNUMBER(T985),T985*G985,"n.a.")</x:f>
        <x:v>748.7029774127311</x:v>
      </x:c>
      <x:c r="V985" s="25" t="n">
        <x:f>IF(Dashboard!$I$6="Flat %",1,IF(ISNUMBER(H985),1,0))</x:f>
        <x:v>1</x:v>
      </x:c>
      <x:c r="W985" s="9" t="n">
        <x:f>IF(Dashboard!$I$6="Flat %",G985*(1+Dashboard!$L$6),H985)</x:f>
        <x:v>91.58</x:v>
      </x:c>
      <x:c r="X985" s="9" t="n">
        <x:f>IF(V985=1,R985*(W985-G985),"n.a.")</x:f>
        <x:v>395.80611991786446</x:v>
      </x:c>
      <x:c r="Y985" s="9" t="n">
        <x:f>IF(V985=1,R985*W985,"n.a.")</x:f>
        <x:v>2364.5090973305955</x:v>
      </x:c>
      <x:c r="Z985" s="1" t="n">
        <x:f>IF(ISNUMBER(T985),R985-T985,"n.a.")</x:f>
        <x:v>16</x:v>
      </x:c>
      <x:c r="AA985" s="1" t="str">
        <x:f>'Inventory inputs'!R985</x:f>
        <x:v>Classified</x:v>
      </x:c>
      <x:c r="AB985" s="1" t="n">
        <x:f>IF(L985=1,SUMIFS('Incoming POs'!$P$2:$P$305,'Incoming POs'!$A$2:$A$305,A985,'Incoming POs'!$B$2:$B$305,B985,'Incoming POs'!$C$2:$C$305,C985,'Incoming POs'!$G$2:$G$305,"&gt;="&amp;D985,'Incoming POs'!$G$2:$G$305,"&lt;"&amp;Dashboard!$I$5,'Incoming POs'!$Q$2:$Q$305,"&lt;="&amp;('Inventory inputs'!P985/'Inventory inputs'!J985*1.01)),"n.a.")</x:f>
        <x:v>0</x:v>
      </x:c>
      <x:c r="AC985" s="9" t="n">
        <x:f>I985*G985</x:f>
        <x:v>915</x:v>
      </x:c>
      <x:c r="AD985" s="9" t="n">
        <x:f>J985*G985</x:f>
        <x:v>0</x:v>
      </x:c>
      <x:c r="AE985" s="9" t="n">
        <x:f>K985*G985</x:f>
        <x:v>0</x:v>
      </x:c>
      <x:c r="AF985" s="9" t="n">
        <x:f>R985*G985</x:f>
        <x:v>1968.7029774127311</x:v>
      </x:c>
    </x:row>
    <x:row r="986" ht="21" customHeight="1">
      <x:c r="A986" s="1" t="str">
        <x:f>'Inventory inputs'!A986</x:f>
        <x:v>FILM</x:v>
      </x:c>
      <x:c r="B986" s="1" t="str">
        <x:f>'Inventory inputs'!B986</x:f>
        <x:v>60</x:v>
      </x:c>
      <x:c r="C986" s="1" t="str">
        <x:f>'Inventory inputs'!C986</x:f>
        <x:v>2710010C1</x:v>
      </x:c>
      <x:c r="D986" s="7" t="n">
        <x:f>'Inventory inputs'!E986</x:f>
        <x:v>46304</x:v>
      </x:c>
      <x:c r="E986" s="1" t="n">
        <x:f>'Inventory inputs'!F986</x:f>
        <x:v>30</x:v>
      </x:c>
      <x:c r="F986" s="1" t="n">
        <x:f>'Inventory inputs'!G986</x:f>
        <x:v>1.67</x:v>
      </x:c>
      <x:c r="G986" s="1" t="n">
        <x:f>'Inventory inputs'!H986/'Inventory inputs'!J986</x:f>
        <x:v>25.6</x:v>
      </x:c>
      <x:c r="H986" s="1" t="n">
        <x:f>IF('Inventory inputs'!I986&gt;0,'Inventory inputs'!I986*'Inventory inputs'!K986/'Inventory inputs'!J986,"n.a.")</x:f>
        <x:v>30.72</x:v>
      </x:c>
      <x:c r="I986" s="1" t="n">
        <x:f>'Inventory inputs'!L986</x:f>
        <x:v>30</x:v>
      </x:c>
      <x:c r="J986" s="1" t="n">
        <x:f>'Inventory inputs'!M986</x:f>
        <x:v>0</x:v>
      </x:c>
      <x:c r="K986" s="1" t="n">
        <x:f>'Inventory inputs'!N986</x:f>
        <x:v>0</x:v>
      </x:c>
      <x:c r="L986" s="1" t="n">
        <x:f>'Inventory inputs'!O986</x:f>
        <x:v>1</x:v>
      </x:c>
      <x:c r="M986" s="9" t="n">
        <x:f>E986*G986</x:f>
        <x:v>768</x:v>
      </x:c>
      <x:c r="N986" s="9" t="n">
        <x:f>'Inventory inputs'!Q986</x:f>
        <x:v>768</x:v>
      </x:c>
      <x:c r="O986" s="9" t="n">
        <x:f>N986-M986</x:f>
        <x:v>0</x:v>
      </x:c>
      <x:c r="P986" s="1" t="n">
        <x:f>SUMIFS('Incoming POs'!$P$2:$P$305,'Incoming POs'!$A$2:$A$305,A986,'Incoming POs'!$B$2:$B$305,B986,'Incoming POs'!$C$2:$C$305,C986,'Incoming POs'!$G$2:$G$305,"&gt;="&amp;D986,'Incoming POs'!$G$2:$G$305,"&lt;"&amp;Dashboard!$I$5)</x:f>
        <x:v>0</x:v>
      </x:c>
      <x:c r="Q986" s="1" t="n">
        <x:f>F986*Dashboard!$L$5*MAX(0,Dashboard!$I$5-D986)/30.4375</x:f>
        <x:v>2.1809445585215603</x:v>
      </x:c>
      <x:c r="R986" s="1" t="n">
        <x:f>MAX(0,E986+P986-Q986)</x:f>
        <x:v>27.81905544147844</x:v>
      </x:c>
      <x:c r="S986" s="1" t="n">
        <x:f>MAX(0,Q986-E986-P986)</x:f>
        <x:v>0</x:v>
      </x:c>
      <x:c r="T986" s="1" t="n">
        <x:f>IF(L986=1,MAX(0,I986+AB986-MIN(Q986,E986+P986)),"n.a.")</x:f>
        <x:v>27.81905544147844</x:v>
      </x:c>
      <x:c r="U986" s="9" t="n">
        <x:f>IF(ISNUMBER(T986),T986*G986,"n.a.")</x:f>
        <x:v>712.1678193018481</x:v>
      </x:c>
      <x:c r="V986" s="25" t="n">
        <x:f>IF(Dashboard!$I$6="Flat %",1,IF(ISNUMBER(H986),1,0))</x:f>
        <x:v>1</x:v>
      </x:c>
      <x:c r="W986" s="9" t="n">
        <x:f>IF(Dashboard!$I$6="Flat %",G986*(1+Dashboard!$L$6),H986)</x:f>
        <x:v>30.72</x:v>
      </x:c>
      <x:c r="X986" s="9" t="n">
        <x:f>IF(V986=1,R986*(W986-G986),"n.a.")</x:f>
        <x:v>142.43356386036953</x:v>
      </x:c>
      <x:c r="Y986" s="9" t="n">
        <x:f>IF(V986=1,R986*W986,"n.a.")</x:f>
        <x:v>854.6013831622176</x:v>
      </x:c>
      <x:c r="Z986" s="1" t="n">
        <x:f>IF(ISNUMBER(T986),R986-T986,"n.a.")</x:f>
        <x:v>0</x:v>
      </x:c>
      <x:c r="AA986" s="1" t="str">
        <x:f>'Inventory inputs'!R986</x:f>
        <x:v>Classified</x:v>
      </x:c>
      <x:c r="AB986" s="1" t="n">
        <x:f>IF(L986=1,SUMIFS('Incoming POs'!$P$2:$P$305,'Incoming POs'!$A$2:$A$305,A986,'Incoming POs'!$B$2:$B$305,B986,'Incoming POs'!$C$2:$C$305,C986,'Incoming POs'!$G$2:$G$305,"&gt;="&amp;D986,'Incoming POs'!$G$2:$G$305,"&lt;"&amp;Dashboard!$I$5,'Incoming POs'!$Q$2:$Q$305,"&lt;="&amp;('Inventory inputs'!P986/'Inventory inputs'!J986*1.01)),"n.a.")</x:f>
        <x:v>0</x:v>
      </x:c>
      <x:c r="AC986" s="9" t="n">
        <x:f>I986*G986</x:f>
        <x:v>768</x:v>
      </x:c>
      <x:c r="AD986" s="9" t="n">
        <x:f>J986*G986</x:f>
        <x:v>0</x:v>
      </x:c>
      <x:c r="AE986" s="9" t="n">
        <x:f>K986*G986</x:f>
        <x:v>0</x:v>
      </x:c>
      <x:c r="AF986" s="9" t="n">
        <x:f>R986*G986</x:f>
        <x:v>712.1678193018481</x:v>
      </x:c>
    </x:row>
    <x:row r="987" ht="21" customHeight="1">
      <x:c r="A987" s="1" t="str">
        <x:f>'Inventory inputs'!A987</x:f>
        <x:v>FILM</x:v>
      </x:c>
      <x:c r="B987" s="1" t="str">
        <x:f>'Inventory inputs'!B987</x:f>
        <x:v>10</x:v>
      </x:c>
      <x:c r="C987" s="1" t="str">
        <x:f>'Inventory inputs'!C987</x:f>
        <x:v>92503C1</x:v>
      </x:c>
      <x:c r="D987" s="7" t="n">
        <x:f>'Inventory inputs'!E987</x:f>
        <x:v>46304</x:v>
      </x:c>
      <x:c r="E987" s="1" t="n">
        <x:f>'Inventory inputs'!F987</x:f>
        <x:v>30</x:v>
      </x:c>
      <x:c r="F987" s="1" t="n">
        <x:f>'Inventory inputs'!G987</x:f>
        <x:v>1.5</x:v>
      </x:c>
      <x:c r="G987" s="1" t="n">
        <x:f>'Inventory inputs'!H987/'Inventory inputs'!J987</x:f>
        <x:v>3.75</x:v>
      </x:c>
      <x:c r="H987" s="1" t="str">
        <x:f>IF('Inventory inputs'!I987&gt;0,'Inventory inputs'!I987*'Inventory inputs'!K987/'Inventory inputs'!J987,"n.a.")</x:f>
        <x:v>n.a.</x:v>
      </x:c>
      <x:c r="I987" s="1" t="n">
        <x:f>'Inventory inputs'!L987</x:f>
        <x:v>0</x:v>
      </x:c>
      <x:c r="J987" s="1" t="n">
        <x:f>'Inventory inputs'!M987</x:f>
        <x:v>0</x:v>
      </x:c>
      <x:c r="K987" s="1" t="n">
        <x:f>'Inventory inputs'!N987</x:f>
        <x:v>30</x:v>
      </x:c>
      <x:c r="L987" s="1" t="n">
        <x:f>'Inventory inputs'!O987</x:f>
        <x:v>0</x:v>
      </x:c>
      <x:c r="M987" s="9" t="n">
        <x:f>E987*G987</x:f>
        <x:v>112.5</x:v>
      </x:c>
      <x:c r="N987" s="9" t="n">
        <x:f>'Inventory inputs'!Q987</x:f>
        <x:v>112.5</x:v>
      </x:c>
      <x:c r="O987" s="9" t="n">
        <x:f>N987-M987</x:f>
        <x:v>0</x:v>
      </x:c>
      <x:c r="P987" s="1" t="n">
        <x:f>SUMIFS('Incoming POs'!$P$2:$P$305,'Incoming POs'!$A$2:$A$305,A987,'Incoming POs'!$B$2:$B$305,B987,'Incoming POs'!$C$2:$C$305,C987,'Incoming POs'!$G$2:$G$305,"&gt;="&amp;D987,'Incoming POs'!$G$2:$G$305,"&lt;"&amp;Dashboard!$I$5)</x:f>
        <x:v>0</x:v>
      </x:c>
      <x:c r="Q987" s="1" t="n">
        <x:f>F987*Dashboard!$L$5*MAX(0,Dashboard!$I$5-D987)/30.4375</x:f>
        <x:v>1.9589322381930185</x:v>
      </x:c>
      <x:c r="R987" s="1" t="n">
        <x:f>MAX(0,E987+P987-Q987)</x:f>
        <x:v>28.041067761806982</x:v>
      </x:c>
      <x:c r="S987" s="1" t="n">
        <x:f>MAX(0,Q987-E987-P987)</x:f>
        <x:v>0</x:v>
      </x:c>
      <x:c r="T987" s="1" t="str">
        <x:f>IF(L987=1,MAX(0,I987+AB987-MIN(Q987,E987+P987)),"n.a.")</x:f>
        <x:v>n.a.</x:v>
      </x:c>
      <x:c r="U987" s="9" t="str">
        <x:f>IF(ISNUMBER(T987),T987*G987,"n.a.")</x:f>
        <x:v>n.a.</x:v>
      </x:c>
      <x:c r="V987" s="25" t="n">
        <x:f>IF(Dashboard!$I$6="Flat %",1,IF(ISNUMBER(H987),1,0))</x:f>
        <x:v>0</x:v>
      </x:c>
      <x:c r="W987" s="9" t="str">
        <x:f>IF(Dashboard!$I$6="Flat %",G987*(1+Dashboard!$L$6),H987)</x:f>
        <x:v>n.a.</x:v>
      </x:c>
      <x:c r="X987" s="9" t="str">
        <x:f>IF(V987=1,R987*(W987-G987),"n.a.")</x:f>
        <x:v>n.a.</x:v>
      </x:c>
      <x:c r="Y987" s="9" t="str">
        <x:f>IF(V987=1,R987*W987,"n.a.")</x:f>
        <x:v>n.a.</x:v>
      </x:c>
      <x:c r="Z987" s="1" t="str">
        <x:f>IF(ISNUMBER(T987),R987-T987,"n.a.")</x:f>
        <x:v>n.a.</x:v>
      </x:c>
      <x:c r="AA987" s="1" t="str">
        <x:f>'Inventory inputs'!R987</x:f>
        <x:v>Review receipt reconciliation or original PO baseline</x:v>
      </x:c>
      <x:c r="AB987" s="1" t="str">
        <x:f>IF(L987=1,SUMIFS('Incoming POs'!$P$2:$P$305,'Incoming POs'!$A$2:$A$305,A987,'Incoming POs'!$B$2:$B$305,B987,'Incoming POs'!$C$2:$C$305,C987,'Incoming POs'!$G$2:$G$305,"&gt;="&amp;D987,'Incoming POs'!$G$2:$G$305,"&lt;"&amp;Dashboard!$I$5,'Incoming POs'!$Q$2:$Q$305,"&lt;="&amp;('Inventory inputs'!P987/'Inventory inputs'!J987*1.01)),"n.a.")</x:f>
        <x:v>n.a.</x:v>
      </x:c>
      <x:c r="AC987" s="9" t="n">
        <x:f>I987*G987</x:f>
        <x:v>0</x:v>
      </x:c>
      <x:c r="AD987" s="9" t="n">
        <x:f>J987*G987</x:f>
        <x:v>0</x:v>
      </x:c>
      <x:c r="AE987" s="9" t="n">
        <x:f>K987*G987</x:f>
        <x:v>112.5</x:v>
      </x:c>
      <x:c r="AF987" s="9" t="n">
        <x:f>R987*G987</x:f>
        <x:v>105.15400410677618</x:v>
      </x:c>
    </x:row>
    <x:row r="988" ht="21" customHeight="1">
      <x:c r="A988" s="1" t="str">
        <x:f>'Inventory inputs'!A988</x:f>
        <x:v>FILM</x:v>
      </x:c>
      <x:c r="B988" s="1" t="str">
        <x:f>'Inventory inputs'!B988</x:f>
        <x:v>60</x:v>
      </x:c>
      <x:c r="C988" s="1" t="str">
        <x:f>'Inventory inputs'!C988</x:f>
        <x:v>122005C2</x:v>
      </x:c>
      <x:c r="D988" s="7" t="n">
        <x:f>'Inventory inputs'!E988</x:f>
        <x:v>46304</x:v>
      </x:c>
      <x:c r="E988" s="1" t="n">
        <x:f>'Inventory inputs'!F988</x:f>
        <x:v>14</x:v>
      </x:c>
      <x:c r="F988" s="1" t="n">
        <x:f>'Inventory inputs'!G988</x:f>
        <x:v>1.5</x:v>
      </x:c>
      <x:c r="G988" s="1" t="n">
        <x:f>'Inventory inputs'!H988/'Inventory inputs'!J988</x:f>
        <x:v>7.74</x:v>
      </x:c>
      <x:c r="H988" s="1" t="str">
        <x:f>IF('Inventory inputs'!I988&gt;0,'Inventory inputs'!I988*'Inventory inputs'!K988/'Inventory inputs'!J988,"n.a.")</x:f>
        <x:v>n.a.</x:v>
      </x:c>
      <x:c r="I988" s="1" t="n">
        <x:f>'Inventory inputs'!L988</x:f>
        <x:v>0</x:v>
      </x:c>
      <x:c r="J988" s="1" t="n">
        <x:f>'Inventory inputs'!M988</x:f>
        <x:v>0</x:v>
      </x:c>
      <x:c r="K988" s="1" t="n">
        <x:f>'Inventory inputs'!N988</x:f>
        <x:v>14</x:v>
      </x:c>
      <x:c r="L988" s="1" t="n">
        <x:f>'Inventory inputs'!O988</x:f>
        <x:v>0</x:v>
      </x:c>
      <x:c r="M988" s="9" t="n">
        <x:f>E988*G988</x:f>
        <x:v>108.36</x:v>
      </x:c>
      <x:c r="N988" s="9" t="n">
        <x:f>'Inventory inputs'!Q988</x:f>
        <x:v>108.36</x:v>
      </x:c>
      <x:c r="O988" s="9" t="n">
        <x:f>N988-M988</x:f>
        <x:v>0</x:v>
      </x:c>
      <x:c r="P988" s="1" t="n">
        <x:f>SUMIFS('Incoming POs'!$P$2:$P$305,'Incoming POs'!$A$2:$A$305,A988,'Incoming POs'!$B$2:$B$305,B988,'Incoming POs'!$C$2:$C$305,C988,'Incoming POs'!$G$2:$G$305,"&gt;="&amp;D988,'Incoming POs'!$G$2:$G$305,"&lt;"&amp;Dashboard!$I$5)</x:f>
        <x:v>0</x:v>
      </x:c>
      <x:c r="Q988" s="1" t="n">
        <x:f>F988*Dashboard!$L$5*MAX(0,Dashboard!$I$5-D988)/30.4375</x:f>
        <x:v>1.9589322381930185</x:v>
      </x:c>
      <x:c r="R988" s="1" t="n">
        <x:f>MAX(0,E988+P988-Q988)</x:f>
        <x:v>12.041067761806982</x:v>
      </x:c>
      <x:c r="S988" s="1" t="n">
        <x:f>MAX(0,Q988-E988-P988)</x:f>
        <x:v>0</x:v>
      </x:c>
      <x:c r="T988" s="1" t="str">
        <x:f>IF(L988=1,MAX(0,I988+AB988-MIN(Q988,E988+P988)),"n.a.")</x:f>
        <x:v>n.a.</x:v>
      </x:c>
      <x:c r="U988" s="9" t="str">
        <x:f>IF(ISNUMBER(T988),T988*G988,"n.a.")</x:f>
        <x:v>n.a.</x:v>
      </x:c>
      <x:c r="V988" s="25" t="n">
        <x:f>IF(Dashboard!$I$6="Flat %",1,IF(ISNUMBER(H988),1,0))</x:f>
        <x:v>0</x:v>
      </x:c>
      <x:c r="W988" s="9" t="str">
        <x:f>IF(Dashboard!$I$6="Flat %",G988*(1+Dashboard!$L$6),H988)</x:f>
        <x:v>n.a.</x:v>
      </x:c>
      <x:c r="X988" s="9" t="str">
        <x:f>IF(V988=1,R988*(W988-G988),"n.a.")</x:f>
        <x:v>n.a.</x:v>
      </x:c>
      <x:c r="Y988" s="9" t="str">
        <x:f>IF(V988=1,R988*W988,"n.a.")</x:f>
        <x:v>n.a.</x:v>
      </x:c>
      <x:c r="Z988" s="1" t="str">
        <x:f>IF(ISNUMBER(T988),R988-T988,"n.a.")</x:f>
        <x:v>n.a.</x:v>
      </x:c>
      <x:c r="AA988" s="1" t="str">
        <x:f>'Inventory inputs'!R988</x:f>
        <x:v>Review receipt reconciliation or original PO baseline</x:v>
      </x:c>
      <x:c r="AB988" s="1" t="str">
        <x:f>IF(L988=1,SUMIFS('Incoming POs'!$P$2:$P$305,'Incoming POs'!$A$2:$A$305,A988,'Incoming POs'!$B$2:$B$305,B988,'Incoming POs'!$C$2:$C$305,C988,'Incoming POs'!$G$2:$G$305,"&gt;="&amp;D988,'Incoming POs'!$G$2:$G$305,"&lt;"&amp;Dashboard!$I$5,'Incoming POs'!$Q$2:$Q$305,"&lt;="&amp;('Inventory inputs'!P988/'Inventory inputs'!J988*1.01)),"n.a.")</x:f>
        <x:v>n.a.</x:v>
      </x:c>
      <x:c r="AC988" s="9" t="n">
        <x:f>I988*G988</x:f>
        <x:v>0</x:v>
      </x:c>
      <x:c r="AD988" s="9" t="n">
        <x:f>J988*G988</x:f>
        <x:v>0</x:v>
      </x:c>
      <x:c r="AE988" s="9" t="n">
        <x:f>K988*G988</x:f>
        <x:v>108.36</x:v>
      </x:c>
      <x:c r="AF988" s="9" t="n">
        <x:f>R988*G988</x:f>
        <x:v>93.19786447638604</x:v>
      </x:c>
    </x:row>
    <x:row r="989" ht="21" customHeight="1">
      <x:c r="A989" s="1" t="str">
        <x:f>'Inventory inputs'!A989</x:f>
        <x:v>FILM</x:v>
      </x:c>
      <x:c r="B989" s="1" t="str">
        <x:f>'Inventory inputs'!B989</x:f>
        <x:v>60</x:v>
      </x:c>
      <x:c r="C989" s="1" t="str">
        <x:f>'Inventory inputs'!C989</x:f>
        <x:v>185005C2</x:v>
      </x:c>
      <x:c r="D989" s="7" t="n">
        <x:f>'Inventory inputs'!E989</x:f>
        <x:v>46304</x:v>
      </x:c>
      <x:c r="E989" s="1" t="n">
        <x:f>'Inventory inputs'!F989</x:f>
        <x:v>10</x:v>
      </x:c>
      <x:c r="F989" s="1" t="n">
        <x:f>'Inventory inputs'!G989</x:f>
        <x:v>1.5</x:v>
      </x:c>
      <x:c r="G989" s="1" t="n">
        <x:f>'Inventory inputs'!H989/'Inventory inputs'!J989</x:f>
        <x:v>38.12</x:v>
      </x:c>
      <x:c r="H989" s="1" t="n">
        <x:f>IF('Inventory inputs'!I989&gt;0,'Inventory inputs'!I989*'Inventory inputs'!K989/'Inventory inputs'!J989,"n.a.")</x:f>
        <x:v>45.79</x:v>
      </x:c>
      <x:c r="I989" s="1" t="n">
        <x:f>'Inventory inputs'!L989</x:f>
        <x:v>10</x:v>
      </x:c>
      <x:c r="J989" s="1" t="n">
        <x:f>'Inventory inputs'!M989</x:f>
        <x:v>0</x:v>
      </x:c>
      <x:c r="K989" s="1" t="n">
        <x:f>'Inventory inputs'!N989</x:f>
        <x:v>0</x:v>
      </x:c>
      <x:c r="L989" s="1" t="n">
        <x:f>'Inventory inputs'!O989</x:f>
        <x:v>1</x:v>
      </x:c>
      <x:c r="M989" s="9" t="n">
        <x:f>E989*G989</x:f>
        <x:v>381.2</x:v>
      </x:c>
      <x:c r="N989" s="9" t="n">
        <x:f>'Inventory inputs'!Q989</x:f>
        <x:v>381.2</x:v>
      </x:c>
      <x:c r="O989" s="9" t="n">
        <x:f>N989-M989</x:f>
        <x:v>0</x:v>
      </x:c>
      <x:c r="P989" s="1" t="n">
        <x:f>SUMIFS('Incoming POs'!$P$2:$P$305,'Incoming POs'!$A$2:$A$305,A989,'Incoming POs'!$B$2:$B$305,B989,'Incoming POs'!$C$2:$C$305,C989,'Incoming POs'!$G$2:$G$305,"&gt;="&amp;D989,'Incoming POs'!$G$2:$G$305,"&lt;"&amp;Dashboard!$I$5)</x:f>
        <x:v>0</x:v>
      </x:c>
      <x:c r="Q989" s="1" t="n">
        <x:f>F989*Dashboard!$L$5*MAX(0,Dashboard!$I$5-D989)/30.4375</x:f>
        <x:v>1.9589322381930185</x:v>
      </x:c>
      <x:c r="R989" s="1" t="n">
        <x:f>MAX(0,E989+P989-Q989)</x:f>
        <x:v>8.041067761806982</x:v>
      </x:c>
      <x:c r="S989" s="1" t="n">
        <x:f>MAX(0,Q989-E989-P989)</x:f>
        <x:v>0</x:v>
      </x:c>
      <x:c r="T989" s="1" t="n">
        <x:f>IF(L989=1,MAX(0,I989+AB989-MIN(Q989,E989+P989)),"n.a.")</x:f>
        <x:v>8.041067761806982</x:v>
      </x:c>
      <x:c r="U989" s="9" t="n">
        <x:f>IF(ISNUMBER(T989),T989*G989,"n.a.")</x:f>
        <x:v>306.5255030800821</x:v>
      </x:c>
      <x:c r="V989" s="25" t="n">
        <x:f>IF(Dashboard!$I$6="Flat %",1,IF(ISNUMBER(H989),1,0))</x:f>
        <x:v>1</x:v>
      </x:c>
      <x:c r="W989" s="9" t="n">
        <x:f>IF(Dashboard!$I$6="Flat %",G989*(1+Dashboard!$L$6),H989)</x:f>
        <x:v>45.79</x:v>
      </x:c>
      <x:c r="X989" s="9" t="n">
        <x:f>IF(V989=1,R989*(W989-G989),"n.a.")</x:f>
        <x:v>61.67498973305956</x:v>
      </x:c>
      <x:c r="Y989" s="9" t="n">
        <x:f>IF(V989=1,R989*W989,"n.a.")</x:f>
        <x:v>368.2004928131417</x:v>
      </x:c>
      <x:c r="Z989" s="1" t="n">
        <x:f>IF(ISNUMBER(T989),R989-T989,"n.a.")</x:f>
        <x:v>0</x:v>
      </x:c>
      <x:c r="AA989" s="1" t="str">
        <x:f>'Inventory inputs'!R989</x:f>
        <x:v>Classified</x:v>
      </x:c>
      <x:c r="AB989" s="1" t="n">
        <x:f>IF(L989=1,SUMIFS('Incoming POs'!$P$2:$P$305,'Incoming POs'!$A$2:$A$305,A989,'Incoming POs'!$B$2:$B$305,B989,'Incoming POs'!$C$2:$C$305,C989,'Incoming POs'!$G$2:$G$305,"&gt;="&amp;D989,'Incoming POs'!$G$2:$G$305,"&lt;"&amp;Dashboard!$I$5,'Incoming POs'!$Q$2:$Q$305,"&lt;="&amp;('Inventory inputs'!P989/'Inventory inputs'!J989*1.01)),"n.a.")</x:f>
        <x:v>0</x:v>
      </x:c>
      <x:c r="AC989" s="9" t="n">
        <x:f>I989*G989</x:f>
        <x:v>381.2</x:v>
      </x:c>
      <x:c r="AD989" s="9" t="n">
        <x:f>J989*G989</x:f>
        <x:v>0</x:v>
      </x:c>
      <x:c r="AE989" s="9" t="n">
        <x:f>K989*G989</x:f>
        <x:v>0</x:v>
      </x:c>
      <x:c r="AF989" s="9" t="n">
        <x:f>R989*G989</x:f>
        <x:v>306.5255030800821</x:v>
      </x:c>
    </x:row>
    <x:row r="990" ht="21" customHeight="1">
      <x:c r="A990" s="1" t="str">
        <x:f>'Inventory inputs'!A990</x:f>
        <x:v>FILM</x:v>
      </x:c>
      <x:c r="B990" s="1" t="str">
        <x:f>'Inventory inputs'!B990</x:f>
        <x:v>10</x:v>
      </x:c>
      <x:c r="C990" s="1" t="str">
        <x:f>'Inventory inputs'!C990</x:f>
        <x:v>1210005C3</x:v>
      </x:c>
      <x:c r="D990" s="7" t="n">
        <x:f>'Inventory inputs'!E990</x:f>
        <x:v>46304</x:v>
      </x:c>
      <x:c r="E990" s="1" t="n">
        <x:f>'Inventory inputs'!F990</x:f>
        <x:v>25</x:v>
      </x:c>
      <x:c r="F990" s="1" t="n">
        <x:f>'Inventory inputs'!G990</x:f>
        <x:v>1.33</x:v>
      </x:c>
      <x:c r="G990" s="1" t="n">
        <x:f>'Inventory inputs'!H990/'Inventory inputs'!J990</x:f>
        <x:v>50.83</x:v>
      </x:c>
      <x:c r="H990" s="1" t="n">
        <x:f>IF('Inventory inputs'!I990&gt;0,'Inventory inputs'!I990*'Inventory inputs'!K990/'Inventory inputs'!J990,"n.a.")</x:f>
        <x:v>61.06</x:v>
      </x:c>
      <x:c r="I990" s="1" t="n">
        <x:f>'Inventory inputs'!L990</x:f>
        <x:v>25</x:v>
      </x:c>
      <x:c r="J990" s="1" t="n">
        <x:f>'Inventory inputs'!M990</x:f>
        <x:v>0</x:v>
      </x:c>
      <x:c r="K990" s="1" t="n">
        <x:f>'Inventory inputs'!N990</x:f>
        <x:v>0</x:v>
      </x:c>
      <x:c r="L990" s="1" t="n">
        <x:f>'Inventory inputs'!O990</x:f>
        <x:v>1</x:v>
      </x:c>
      <x:c r="M990" s="9" t="n">
        <x:f>E990*G990</x:f>
        <x:v>1270.75</x:v>
      </x:c>
      <x:c r="N990" s="9" t="n">
        <x:f>'Inventory inputs'!Q990</x:f>
        <x:v>1270.75</x:v>
      </x:c>
      <x:c r="O990" s="9" t="n">
        <x:f>N990-M990</x:f>
        <x:v>0</x:v>
      </x:c>
      <x:c r="P990" s="1" t="n">
        <x:f>SUMIFS('Incoming POs'!$P$2:$P$305,'Incoming POs'!$A$2:$A$305,A990,'Incoming POs'!$B$2:$B$305,B990,'Incoming POs'!$C$2:$C$305,C990,'Incoming POs'!$G$2:$G$305,"&gt;="&amp;D990,'Incoming POs'!$G$2:$G$305,"&lt;"&amp;Dashboard!$I$5)</x:f>
        <x:v>0</x:v>
      </x:c>
      <x:c r="Q990" s="1" t="n">
        <x:f>F990*Dashboard!$L$5*MAX(0,Dashboard!$I$5-D990)/30.4375</x:f>
        <x:v>1.7369199178644763</x:v>
      </x:c>
      <x:c r="R990" s="1" t="n">
        <x:f>MAX(0,E990+P990-Q990)</x:f>
        <x:v>23.263080082135524</x:v>
      </x:c>
      <x:c r="S990" s="1" t="n">
        <x:f>MAX(0,Q990-E990-P990)</x:f>
        <x:v>0</x:v>
      </x:c>
      <x:c r="T990" s="1" t="n">
        <x:f>IF(L990=1,MAX(0,I990+AB990-MIN(Q990,E990+P990)),"n.a.")</x:f>
        <x:v>23.263080082135524</x:v>
      </x:c>
      <x:c r="U990" s="9" t="n">
        <x:f>IF(ISNUMBER(T990),T990*G990,"n.a.")</x:f>
        <x:v>1182.4623605749487</x:v>
      </x:c>
      <x:c r="V990" s="25" t="n">
        <x:f>IF(Dashboard!$I$6="Flat %",1,IF(ISNUMBER(H990),1,0))</x:f>
        <x:v>1</x:v>
      </x:c>
      <x:c r="W990" s="9" t="n">
        <x:f>IF(Dashboard!$I$6="Flat %",G990*(1+Dashboard!$L$6),H990)</x:f>
        <x:v>61.06</x:v>
      </x:c>
      <x:c r="X990" s="9" t="n">
        <x:f>IF(V990=1,R990*(W990-G990),"n.a.")</x:f>
        <x:v>237.9813092402465</x:v>
      </x:c>
      <x:c r="Y990" s="9" t="n">
        <x:f>IF(V990=1,R990*W990,"n.a.")</x:f>
        <x:v>1420.443669815195</x:v>
      </x:c>
      <x:c r="Z990" s="1" t="n">
        <x:f>IF(ISNUMBER(T990),R990-T990,"n.a.")</x:f>
        <x:v>0</x:v>
      </x:c>
      <x:c r="AA990" s="1" t="str">
        <x:f>'Inventory inputs'!R990</x:f>
        <x:v>Classified</x:v>
      </x:c>
      <x:c r="AB990" s="1" t="n">
        <x:f>IF(L990=1,SUMIFS('Incoming POs'!$P$2:$P$305,'Incoming POs'!$A$2:$A$305,A990,'Incoming POs'!$B$2:$B$305,B990,'Incoming POs'!$C$2:$C$305,C990,'Incoming POs'!$G$2:$G$305,"&gt;="&amp;D990,'Incoming POs'!$G$2:$G$305,"&lt;"&amp;Dashboard!$I$5,'Incoming POs'!$Q$2:$Q$305,"&lt;="&amp;('Inventory inputs'!P990/'Inventory inputs'!J990*1.01)),"n.a.")</x:f>
        <x:v>0</x:v>
      </x:c>
      <x:c r="AC990" s="9" t="n">
        <x:f>I990*G990</x:f>
        <x:v>1270.75</x:v>
      </x:c>
      <x:c r="AD990" s="9" t="n">
        <x:f>J990*G990</x:f>
        <x:v>0</x:v>
      </x:c>
      <x:c r="AE990" s="9" t="n">
        <x:f>K990*G990</x:f>
        <x:v>0</x:v>
      </x:c>
      <x:c r="AF990" s="9" t="n">
        <x:f>R990*G990</x:f>
        <x:v>1182.4623605749487</x:v>
      </x:c>
    </x:row>
    <x:row r="991" ht="21" customHeight="1">
      <x:c r="A991" s="1" t="str">
        <x:f>'Inventory inputs'!A991</x:f>
        <x:v>FILM</x:v>
      </x:c>
      <x:c r="B991" s="1" t="str">
        <x:f>'Inventory inputs'!B991</x:f>
        <x:v>10</x:v>
      </x:c>
      <x:c r="C991" s="1" t="str">
        <x:f>'Inventory inputs'!C991</x:f>
        <x:v>432005C3</x:v>
      </x:c>
      <x:c r="D991" s="7" t="n">
        <x:f>'Inventory inputs'!E991</x:f>
        <x:v>46304</x:v>
      </x:c>
      <x:c r="E991" s="1" t="n">
        <x:f>'Inventory inputs'!F991</x:f>
        <x:v>28</x:v>
      </x:c>
      <x:c r="F991" s="1" t="n">
        <x:f>'Inventory inputs'!G991</x:f>
        <x:v>1.33</x:v>
      </x:c>
      <x:c r="G991" s="1" t="n">
        <x:f>'Inventory inputs'!H991/'Inventory inputs'!J991</x:f>
        <x:v>36.43</x:v>
      </x:c>
      <x:c r="H991" s="1" t="n">
        <x:f>IF('Inventory inputs'!I991&gt;0,'Inventory inputs'!I991*'Inventory inputs'!K991/'Inventory inputs'!J991,"n.a.")</x:f>
        <x:v>43.76</x:v>
      </x:c>
      <x:c r="I991" s="1" t="n">
        <x:f>'Inventory inputs'!L991</x:f>
        <x:v>3</x:v>
      </x:c>
      <x:c r="J991" s="1" t="n">
        <x:f>'Inventory inputs'!M991</x:f>
        <x:v>25</x:v>
      </x:c>
      <x:c r="K991" s="1" t="n">
        <x:f>'Inventory inputs'!N991</x:f>
        <x:v>0</x:v>
      </x:c>
      <x:c r="L991" s="1" t="n">
        <x:f>'Inventory inputs'!O991</x:f>
        <x:v>1</x:v>
      </x:c>
      <x:c r="M991" s="9" t="n">
        <x:f>E991*G991</x:f>
        <x:v>1020.04</x:v>
      </x:c>
      <x:c r="N991" s="9" t="n">
        <x:f>'Inventory inputs'!Q991</x:f>
        <x:v>1165.76</x:v>
      </x:c>
      <x:c r="O991" s="9" t="n">
        <x:f>N991-M991</x:f>
        <x:v>145.72000000000003</x:v>
      </x:c>
      <x:c r="P991" s="1" t="n">
        <x:f>SUMIFS('Incoming POs'!$P$2:$P$305,'Incoming POs'!$A$2:$A$305,A991,'Incoming POs'!$B$2:$B$305,B991,'Incoming POs'!$C$2:$C$305,C991,'Incoming POs'!$G$2:$G$305,"&gt;="&amp;D991,'Incoming POs'!$G$2:$G$305,"&lt;"&amp;Dashboard!$I$5)</x:f>
        <x:v>0</x:v>
      </x:c>
      <x:c r="Q991" s="1" t="n">
        <x:f>F991*Dashboard!$L$5*MAX(0,Dashboard!$I$5-D991)/30.4375</x:f>
        <x:v>1.7369199178644763</x:v>
      </x:c>
      <x:c r="R991" s="1" t="n">
        <x:f>MAX(0,E991+P991-Q991)</x:f>
        <x:v>26.263080082135524</x:v>
      </x:c>
      <x:c r="S991" s="1" t="n">
        <x:f>MAX(0,Q991-E991-P991)</x:f>
        <x:v>0</x:v>
      </x:c>
      <x:c r="T991" s="1" t="n">
        <x:f>IF(L991=1,MAX(0,I991+AB991-MIN(Q991,E991+P991)),"n.a.")</x:f>
        <x:v>1.2630800821355237</x:v>
      </x:c>
      <x:c r="U991" s="9" t="n">
        <x:f>IF(ISNUMBER(T991),T991*G991,"n.a.")</x:f>
        <x:v>46.01400739219713</x:v>
      </x:c>
      <x:c r="V991" s="25" t="n">
        <x:f>IF(Dashboard!$I$6="Flat %",1,IF(ISNUMBER(H991),1,0))</x:f>
        <x:v>1</x:v>
      </x:c>
      <x:c r="W991" s="9" t="n">
        <x:f>IF(Dashboard!$I$6="Flat %",G991*(1+Dashboard!$L$6),H991)</x:f>
        <x:v>43.76</x:v>
      </x:c>
      <x:c r="X991" s="9" t="n">
        <x:f>IF(V991=1,R991*(W991-G991),"n.a.")</x:f>
        <x:v>192.50837700205335</x:v>
      </x:c>
      <x:c r="Y991" s="9" t="n">
        <x:f>IF(V991=1,R991*W991,"n.a.")</x:f>
        <x:v>1149.2723843942504</x:v>
      </x:c>
      <x:c r="Z991" s="1" t="n">
        <x:f>IF(ISNUMBER(T991),R991-T991,"n.a.")</x:f>
        <x:v>25</x:v>
      </x:c>
      <x:c r="AA991" s="1" t="str">
        <x:f>'Inventory inputs'!R991</x:f>
        <x:v>Classified</x:v>
      </x:c>
      <x:c r="AB991" s="1" t="n">
        <x:f>IF(L991=1,SUMIFS('Incoming POs'!$P$2:$P$305,'Incoming POs'!$A$2:$A$305,A991,'Incoming POs'!$B$2:$B$305,B991,'Incoming POs'!$C$2:$C$305,C991,'Incoming POs'!$G$2:$G$305,"&gt;="&amp;D991,'Incoming POs'!$G$2:$G$305,"&lt;"&amp;Dashboard!$I$5,'Incoming POs'!$Q$2:$Q$305,"&lt;="&amp;('Inventory inputs'!P991/'Inventory inputs'!J991*1.01)),"n.a.")</x:f>
        <x:v>0</x:v>
      </x:c>
      <x:c r="AC991" s="9" t="n">
        <x:f>I991*G991</x:f>
        <x:v>109.28999999999999</x:v>
      </x:c>
      <x:c r="AD991" s="9" t="n">
        <x:f>J991*G991</x:f>
        <x:v>910.75</x:v>
      </x:c>
      <x:c r="AE991" s="9" t="n">
        <x:f>K991*G991</x:f>
        <x:v>0</x:v>
      </x:c>
      <x:c r="AF991" s="9" t="n">
        <x:f>R991*G991</x:f>
        <x:v>956.7640073921971</x:v>
      </x:c>
    </x:row>
    <x:row r="992" ht="21" customHeight="1">
      <x:c r="A992" s="1" t="str">
        <x:f>'Inventory inputs'!A992</x:f>
        <x:v>FILM</x:v>
      </x:c>
      <x:c r="B992" s="1" t="str">
        <x:f>'Inventory inputs'!B992</x:f>
        <x:v>10</x:v>
      </x:c>
      <x:c r="C992" s="1" t="str">
        <x:f>'Inventory inputs'!C992</x:f>
        <x:v>ST382005M3</x:v>
      </x:c>
      <x:c r="D992" s="7" t="n">
        <x:f>'Inventory inputs'!E992</x:f>
        <x:v>46304</x:v>
      </x:c>
      <x:c r="E992" s="1" t="n">
        <x:f>'Inventory inputs'!F992</x:f>
        <x:v>3</x:v>
      </x:c>
      <x:c r="F992" s="1" t="n">
        <x:f>'Inventory inputs'!G992</x:f>
        <x:v>1.33</x:v>
      </x:c>
      <x:c r="G992" s="1" t="n">
        <x:f>'Inventory inputs'!H992/'Inventory inputs'!J992</x:f>
        <x:v>76.52</x:v>
      </x:c>
      <x:c r="H992" s="1" t="n">
        <x:f>IF('Inventory inputs'!I992&gt;0,'Inventory inputs'!I992*'Inventory inputs'!K992/'Inventory inputs'!J992,"n.a.")</x:f>
        <x:v>92.11</x:v>
      </x:c>
      <x:c r="I992" s="1" t="n">
        <x:f>'Inventory inputs'!L992</x:f>
        <x:v>0</x:v>
      </x:c>
      <x:c r="J992" s="1" t="n">
        <x:f>'Inventory inputs'!M992</x:f>
        <x:v>0</x:v>
      </x:c>
      <x:c r="K992" s="1" t="n">
        <x:f>'Inventory inputs'!N992</x:f>
        <x:v>3</x:v>
      </x:c>
      <x:c r="L992" s="1" t="n">
        <x:f>'Inventory inputs'!O992</x:f>
        <x:v>0</x:v>
      </x:c>
      <x:c r="M992" s="9" t="n">
        <x:f>E992*G992</x:f>
        <x:v>229.56</x:v>
      </x:c>
      <x:c r="N992" s="9" t="n">
        <x:f>'Inventory inputs'!Q992</x:f>
        <x:v>229.56</x:v>
      </x:c>
      <x:c r="O992" s="9" t="n">
        <x:f>N992-M992</x:f>
        <x:v>0</x:v>
      </x:c>
      <x:c r="P992" s="1" t="n">
        <x:f>SUMIFS('Incoming POs'!$P$2:$P$305,'Incoming POs'!$A$2:$A$305,A992,'Incoming POs'!$B$2:$B$305,B992,'Incoming POs'!$C$2:$C$305,C992,'Incoming POs'!$G$2:$G$305,"&gt;="&amp;D992,'Incoming POs'!$G$2:$G$305,"&lt;"&amp;Dashboard!$I$5)</x:f>
        <x:v>0</x:v>
      </x:c>
      <x:c r="Q992" s="1" t="n">
        <x:f>F992*Dashboard!$L$5*MAX(0,Dashboard!$I$5-D992)/30.4375</x:f>
        <x:v>1.7369199178644763</x:v>
      </x:c>
      <x:c r="R992" s="1" t="n">
        <x:f>MAX(0,E992+P992-Q992)</x:f>
        <x:v>1.2630800821355237</x:v>
      </x:c>
      <x:c r="S992" s="1" t="n">
        <x:f>MAX(0,Q992-E992-P992)</x:f>
        <x:v>0</x:v>
      </x:c>
      <x:c r="T992" s="1" t="str">
        <x:f>IF(L992=1,MAX(0,I992+AB992-MIN(Q992,E992+P992)),"n.a.")</x:f>
        <x:v>n.a.</x:v>
      </x:c>
      <x:c r="U992" s="9" t="str">
        <x:f>IF(ISNUMBER(T992),T992*G992,"n.a.")</x:f>
        <x:v>n.a.</x:v>
      </x:c>
      <x:c r="V992" s="25" t="n">
        <x:f>IF(Dashboard!$I$6="Flat %",1,IF(ISNUMBER(H992),1,0))</x:f>
        <x:v>1</x:v>
      </x:c>
      <x:c r="W992" s="9" t="n">
        <x:f>IF(Dashboard!$I$6="Flat %",G992*(1+Dashboard!$L$6),H992)</x:f>
        <x:v>92.11</x:v>
      </x:c>
      <x:c r="X992" s="9" t="n">
        <x:f>IF(V992=1,R992*(W992-G992),"n.a.")</x:f>
        <x:v>19.691418480492818</x:v>
      </x:c>
      <x:c r="Y992" s="9" t="n">
        <x:f>IF(V992=1,R992*W992,"n.a.")</x:f>
        <x:v>116.34230636550309</x:v>
      </x:c>
      <x:c r="Z992" s="1" t="str">
        <x:f>IF(ISNUMBER(T992),R992-T992,"n.a.")</x:f>
        <x:v>n.a.</x:v>
      </x:c>
      <x:c r="AA992" s="1" t="str">
        <x:f>'Inventory inputs'!R992</x:f>
        <x:v>Review receipt reconciliation or original PO baseline</x:v>
      </x:c>
      <x:c r="AB992" s="1" t="str">
        <x:f>IF(L992=1,SUMIFS('Incoming POs'!$P$2:$P$305,'Incoming POs'!$A$2:$A$305,A992,'Incoming POs'!$B$2:$B$305,B992,'Incoming POs'!$C$2:$C$305,C992,'Incoming POs'!$G$2:$G$305,"&gt;="&amp;D992,'Incoming POs'!$G$2:$G$305,"&lt;"&amp;Dashboard!$I$5,'Incoming POs'!$Q$2:$Q$305,"&lt;="&amp;('Inventory inputs'!P992/'Inventory inputs'!J992*1.01)),"n.a.")</x:f>
        <x:v>n.a.</x:v>
      </x:c>
      <x:c r="AC992" s="9" t="n">
        <x:f>I992*G992</x:f>
        <x:v>0</x:v>
      </x:c>
      <x:c r="AD992" s="9" t="n">
        <x:f>J992*G992</x:f>
        <x:v>0</x:v>
      </x:c>
      <x:c r="AE992" s="9" t="n">
        <x:f>K992*G992</x:f>
        <x:v>229.56</x:v>
      </x:c>
      <x:c r="AF992" s="9" t="n">
        <x:f>R992*G992</x:f>
        <x:v>96.65088788501026</x:v>
      </x:c>
    </x:row>
    <x:row r="993" ht="21" customHeight="1">
      <x:c r="A993" s="1" t="str">
        <x:f>'Inventory inputs'!A993</x:f>
        <x:v>FILM</x:v>
      </x:c>
      <x:c r="B993" s="1" t="str">
        <x:f>'Inventory inputs'!B993</x:f>
        <x:v>30</x:v>
      </x:c>
      <x:c r="C993" s="1" t="str">
        <x:f>'Inventory inputs'!C993</x:f>
        <x:v>122005C2</x:v>
      </x:c>
      <x:c r="D993" s="7" t="n">
        <x:f>'Inventory inputs'!E993</x:f>
        <x:v>46304</x:v>
      </x:c>
      <x:c r="E993" s="1" t="n">
        <x:f>'Inventory inputs'!F993</x:f>
        <x:v>0</x:v>
      </x:c>
      <x:c r="F993" s="1" t="n">
        <x:f>'Inventory inputs'!G993</x:f>
        <x:v>1.33</x:v>
      </x:c>
      <x:c r="G993" s="1" t="n">
        <x:f>'Inventory inputs'!H993/'Inventory inputs'!J993</x:f>
        <x:v>7.74</x:v>
      </x:c>
      <x:c r="H993" s="1" t="str">
        <x:f>IF('Inventory inputs'!I993&gt;0,'Inventory inputs'!I993*'Inventory inputs'!K993/'Inventory inputs'!J993,"n.a.")</x:f>
        <x:v>n.a.</x:v>
      </x:c>
      <x:c r="I993" s="1" t="n">
        <x:f>'Inventory inputs'!L993</x:f>
        <x:v>0</x:v>
      </x:c>
      <x:c r="J993" s="1" t="n">
        <x:f>'Inventory inputs'!M993</x:f>
        <x:v>0</x:v>
      </x:c>
      <x:c r="K993" s="1" t="n">
        <x:f>'Inventory inputs'!N993</x:f>
        <x:v>0</x:v>
      </x:c>
      <x:c r="L993" s="1" t="n">
        <x:f>'Inventory inputs'!O993</x:f>
        <x:v>0</x:v>
      </x:c>
      <x:c r="M993" s="9" t="n">
        <x:f>E993*G993</x:f>
        <x:v>0</x:v>
      </x:c>
      <x:c r="N993" s="9" t="n">
        <x:f>'Inventory inputs'!Q993</x:f>
        <x:v>0</x:v>
      </x:c>
      <x:c r="O993" s="9" t="n">
        <x:f>N993-M993</x:f>
        <x:v>0</x:v>
      </x:c>
      <x:c r="P993" s="1" t="n">
        <x:f>SUMIFS('Incoming POs'!$P$2:$P$305,'Incoming POs'!$A$2:$A$305,A993,'Incoming POs'!$B$2:$B$305,B993,'Incoming POs'!$C$2:$C$305,C993,'Incoming POs'!$G$2:$G$305,"&gt;="&amp;D993,'Incoming POs'!$G$2:$G$305,"&lt;"&amp;Dashboard!$I$5)</x:f>
        <x:v>0</x:v>
      </x:c>
      <x:c r="Q993" s="1" t="n">
        <x:f>F993*Dashboard!$L$5*MAX(0,Dashboard!$I$5-D993)/30.4375</x:f>
        <x:v>1.7369199178644763</x:v>
      </x:c>
      <x:c r="R993" s="1" t="n">
        <x:f>MAX(0,E993+P993-Q993)</x:f>
        <x:v>0</x:v>
      </x:c>
      <x:c r="S993" s="1" t="n">
        <x:f>MAX(0,Q993-E993-P993)</x:f>
        <x:v>1.7369199178644763</x:v>
      </x:c>
      <x:c r="T993" s="1" t="str">
        <x:f>IF(L993=1,MAX(0,I993+AB993-MIN(Q993,E993+P993)),"n.a.")</x:f>
        <x:v>n.a.</x:v>
      </x:c>
      <x:c r="U993" s="9" t="str">
        <x:f>IF(ISNUMBER(T993),T993*G993,"n.a.")</x:f>
        <x:v>n.a.</x:v>
      </x:c>
      <x:c r="V993" s="25" t="n">
        <x:f>IF(Dashboard!$I$6="Flat %",1,IF(ISNUMBER(H993),1,0))</x:f>
        <x:v>0</x:v>
      </x:c>
      <x:c r="W993" s="9" t="str">
        <x:f>IF(Dashboard!$I$6="Flat %",G993*(1+Dashboard!$L$6),H993)</x:f>
        <x:v>n.a.</x:v>
      </x:c>
      <x:c r="X993" s="9" t="str">
        <x:f>IF(V993=1,R993*(W993-G993),"n.a.")</x:f>
        <x:v>n.a.</x:v>
      </x:c>
      <x:c r="Y993" s="9" t="str">
        <x:f>IF(V993=1,R993*W993,"n.a.")</x:f>
        <x:v>n.a.</x:v>
      </x:c>
      <x:c r="Z993" s="1" t="str">
        <x:f>IF(ISNUMBER(T993),R993-T993,"n.a.")</x:f>
        <x:v>n.a.</x:v>
      </x:c>
      <x:c r="AA993" s="1" t="str">
        <x:f>'Inventory inputs'!R993</x:f>
        <x:v>Review receipt reconciliation or original PO baseline</x:v>
      </x:c>
      <x:c r="AB993" s="1" t="str">
        <x:f>IF(L993=1,SUMIFS('Incoming POs'!$P$2:$P$305,'Incoming POs'!$A$2:$A$305,A993,'Incoming POs'!$B$2:$B$305,B993,'Incoming POs'!$C$2:$C$305,C993,'Incoming POs'!$G$2:$G$305,"&gt;="&amp;D993,'Incoming POs'!$G$2:$G$305,"&lt;"&amp;Dashboard!$I$5,'Incoming POs'!$Q$2:$Q$305,"&lt;="&amp;('Inventory inputs'!P993/'Inventory inputs'!J993*1.01)),"n.a.")</x:f>
        <x:v>n.a.</x:v>
      </x:c>
      <x:c r="AC993" s="9" t="n">
        <x:f>I993*G993</x:f>
        <x:v>0</x:v>
      </x:c>
      <x:c r="AD993" s="9" t="n">
        <x:f>J993*G993</x:f>
        <x:v>0</x:v>
      </x:c>
      <x:c r="AE993" s="9" t="n">
        <x:f>K993*G993</x:f>
        <x:v>0</x:v>
      </x:c>
      <x:c r="AF993" s="9" t="n">
        <x:f>R993*G993</x:f>
        <x:v>0</x:v>
      </x:c>
    </x:row>
    <x:row r="994" ht="21" customHeight="1">
      <x:c r="A994" s="1" t="str">
        <x:f>'Inventory inputs'!A994</x:f>
        <x:v>FILM</x:v>
      </x:c>
      <x:c r="B994" s="1" t="str">
        <x:f>'Inventory inputs'!B994</x:f>
        <x:v>30</x:v>
      </x:c>
      <x:c r="C994" s="1" t="str">
        <x:f>'Inventory inputs'!C994</x:f>
        <x:v>252005C2</x:v>
      </x:c>
      <x:c r="D994" s="7" t="n">
        <x:f>'Inventory inputs'!E994</x:f>
        <x:v>46304</x:v>
      </x:c>
      <x:c r="E994" s="1" t="n">
        <x:f>'Inventory inputs'!F994</x:f>
        <x:v>50</x:v>
      </x:c>
      <x:c r="F994" s="1" t="n">
        <x:f>'Inventory inputs'!G994</x:f>
        <x:v>1.33</x:v>
      </x:c>
      <x:c r="G994" s="1" t="n">
        <x:f>'Inventory inputs'!H994/'Inventory inputs'!J994</x:f>
        <x:v>21.18</x:v>
      </x:c>
      <x:c r="H994" s="1" t="n">
        <x:f>IF('Inventory inputs'!I994&gt;0,'Inventory inputs'!I994*'Inventory inputs'!K994/'Inventory inputs'!J994,"n.a.")</x:f>
        <x:v>25.44</x:v>
      </x:c>
      <x:c r="I994" s="1" t="n">
        <x:f>'Inventory inputs'!L994</x:f>
        <x:v>50</x:v>
      </x:c>
      <x:c r="J994" s="1" t="n">
        <x:f>'Inventory inputs'!M994</x:f>
        <x:v>0</x:v>
      </x:c>
      <x:c r="K994" s="1" t="n">
        <x:f>'Inventory inputs'!N994</x:f>
        <x:v>0</x:v>
      </x:c>
      <x:c r="L994" s="1" t="n">
        <x:f>'Inventory inputs'!O994</x:f>
        <x:v>1</x:v>
      </x:c>
      <x:c r="M994" s="9" t="n">
        <x:f>E994*G994</x:f>
        <x:v>1059</x:v>
      </x:c>
      <x:c r="N994" s="9" t="n">
        <x:f>'Inventory inputs'!Q994</x:f>
        <x:v>1059</x:v>
      </x:c>
      <x:c r="O994" s="9" t="n">
        <x:f>N994-M994</x:f>
        <x:v>0</x:v>
      </x:c>
      <x:c r="P994" s="1" t="n">
        <x:f>SUMIFS('Incoming POs'!$P$2:$P$305,'Incoming POs'!$A$2:$A$305,A994,'Incoming POs'!$B$2:$B$305,B994,'Incoming POs'!$C$2:$C$305,C994,'Incoming POs'!$G$2:$G$305,"&gt;="&amp;D994,'Incoming POs'!$G$2:$G$305,"&lt;"&amp;Dashboard!$I$5)</x:f>
        <x:v>0</x:v>
      </x:c>
      <x:c r="Q994" s="1" t="n">
        <x:f>F994*Dashboard!$L$5*MAX(0,Dashboard!$I$5-D994)/30.4375</x:f>
        <x:v>1.7369199178644763</x:v>
      </x:c>
      <x:c r="R994" s="1" t="n">
        <x:f>MAX(0,E994+P994-Q994)</x:f>
        <x:v>48.263080082135524</x:v>
      </x:c>
      <x:c r="S994" s="1" t="n">
        <x:f>MAX(0,Q994-E994-P994)</x:f>
        <x:v>0</x:v>
      </x:c>
      <x:c r="T994" s="1" t="n">
        <x:f>IF(L994=1,MAX(0,I994+AB994-MIN(Q994,E994+P994)),"n.a.")</x:f>
        <x:v>48.263080082135524</x:v>
      </x:c>
      <x:c r="U994" s="9" t="n">
        <x:f>IF(ISNUMBER(T994),T994*G994,"n.a.")</x:f>
        <x:v>1022.2120361396304</x:v>
      </x:c>
      <x:c r="V994" s="25" t="n">
        <x:f>IF(Dashboard!$I$6="Flat %",1,IF(ISNUMBER(H994),1,0))</x:f>
        <x:v>1</x:v>
      </x:c>
      <x:c r="W994" s="9" t="n">
        <x:f>IF(Dashboard!$I$6="Flat %",G994*(1+Dashboard!$L$6),H994)</x:f>
        <x:v>25.44</x:v>
      </x:c>
      <x:c r="X994" s="9" t="n">
        <x:f>IF(V994=1,R994*(W994-G994),"n.a.")</x:f>
        <x:v>205.6007211498974</x:v>
      </x:c>
      <x:c r="Y994" s="9" t="n">
        <x:f>IF(V994=1,R994*W994,"n.a.")</x:f>
        <x:v>1227.8127572895278</x:v>
      </x:c>
      <x:c r="Z994" s="1" t="n">
        <x:f>IF(ISNUMBER(T994),R994-T994,"n.a.")</x:f>
        <x:v>0</x:v>
      </x:c>
      <x:c r="AA994" s="1" t="str">
        <x:f>'Inventory inputs'!R994</x:f>
        <x:v>Classified</x:v>
      </x:c>
      <x:c r="AB994" s="1" t="n">
        <x:f>IF(L994=1,SUMIFS('Incoming POs'!$P$2:$P$305,'Incoming POs'!$A$2:$A$305,A994,'Incoming POs'!$B$2:$B$305,B994,'Incoming POs'!$C$2:$C$305,C994,'Incoming POs'!$G$2:$G$305,"&gt;="&amp;D994,'Incoming POs'!$G$2:$G$305,"&lt;"&amp;Dashboard!$I$5,'Incoming POs'!$Q$2:$Q$305,"&lt;="&amp;('Inventory inputs'!P994/'Inventory inputs'!J994*1.01)),"n.a.")</x:f>
        <x:v>0</x:v>
      </x:c>
      <x:c r="AC994" s="9" t="n">
        <x:f>I994*G994</x:f>
        <x:v>1059</x:v>
      </x:c>
      <x:c r="AD994" s="9" t="n">
        <x:f>J994*G994</x:f>
        <x:v>0</x:v>
      </x:c>
      <x:c r="AE994" s="9" t="n">
        <x:f>K994*G994</x:f>
        <x:v>0</x:v>
      </x:c>
      <x:c r="AF994" s="9" t="n">
        <x:f>R994*G994</x:f>
        <x:v>1022.2120361396304</x:v>
      </x:c>
    </x:row>
    <x:row r="995" ht="21" customHeight="1">
      <x:c r="A995" s="1" t="str">
        <x:f>'Inventory inputs'!A995</x:f>
        <x:v>FILM</x:v>
      </x:c>
      <x:c r="B995" s="1" t="str">
        <x:f>'Inventory inputs'!B995</x:f>
        <x:v>30</x:v>
      </x:c>
      <x:c r="C995" s="1" t="str">
        <x:f>'Inventory inputs'!C995</x:f>
        <x:v>ST252005M1</x:v>
      </x:c>
      <x:c r="D995" s="7" t="n">
        <x:f>'Inventory inputs'!E995</x:f>
        <x:v>46304</x:v>
      </x:c>
      <x:c r="E995" s="1" t="n">
        <x:f>'Inventory inputs'!F995</x:f>
        <x:v>42</x:v>
      </x:c>
      <x:c r="F995" s="1" t="n">
        <x:f>'Inventory inputs'!G995</x:f>
        <x:v>1.33</x:v>
      </x:c>
      <x:c r="G995" s="1" t="n">
        <x:f>'Inventory inputs'!H995/'Inventory inputs'!J995</x:f>
        <x:v>50.34</x:v>
      </x:c>
      <x:c r="H995" s="1" t="n">
        <x:f>IF('Inventory inputs'!I995&gt;0,'Inventory inputs'!I995*'Inventory inputs'!K995/'Inventory inputs'!J995,"n.a.")</x:f>
        <x:v>60.6</x:v>
      </x:c>
      <x:c r="I995" s="1" t="n">
        <x:f>'Inventory inputs'!L995</x:f>
        <x:v>0</x:v>
      </x:c>
      <x:c r="J995" s="1" t="n">
        <x:f>'Inventory inputs'!M995</x:f>
        <x:v>0</x:v>
      </x:c>
      <x:c r="K995" s="1" t="n">
        <x:f>'Inventory inputs'!N995</x:f>
        <x:v>42</x:v>
      </x:c>
      <x:c r="L995" s="1" t="n">
        <x:f>'Inventory inputs'!O995</x:f>
        <x:v>0</x:v>
      </x:c>
      <x:c r="M995" s="9" t="n">
        <x:f>E995*G995</x:f>
        <x:v>2114.28</x:v>
      </x:c>
      <x:c r="N995" s="9" t="n">
        <x:f>'Inventory inputs'!Q995</x:f>
        <x:v>2214.96</x:v>
      </x:c>
      <x:c r="O995" s="9" t="n">
        <x:f>N995-M995</x:f>
        <x:v>100.67999999999984</x:v>
      </x:c>
      <x:c r="P995" s="1" t="n">
        <x:f>SUMIFS('Incoming POs'!$P$2:$P$305,'Incoming POs'!$A$2:$A$305,A995,'Incoming POs'!$B$2:$B$305,B995,'Incoming POs'!$C$2:$C$305,C995,'Incoming POs'!$G$2:$G$305,"&gt;="&amp;D995,'Incoming POs'!$G$2:$G$305,"&lt;"&amp;Dashboard!$I$5)</x:f>
        <x:v>0</x:v>
      </x:c>
      <x:c r="Q995" s="1" t="n">
        <x:f>F995*Dashboard!$L$5*MAX(0,Dashboard!$I$5-D995)/30.4375</x:f>
        <x:v>1.7369199178644763</x:v>
      </x:c>
      <x:c r="R995" s="1" t="n">
        <x:f>MAX(0,E995+P995-Q995)</x:f>
        <x:v>40.263080082135524</x:v>
      </x:c>
      <x:c r="S995" s="1" t="n">
        <x:f>MAX(0,Q995-E995-P995)</x:f>
        <x:v>0</x:v>
      </x:c>
      <x:c r="T995" s="1" t="str">
        <x:f>IF(L995=1,MAX(0,I995+AB995-MIN(Q995,E995+P995)),"n.a.")</x:f>
        <x:v>n.a.</x:v>
      </x:c>
      <x:c r="U995" s="9" t="str">
        <x:f>IF(ISNUMBER(T995),T995*G995,"n.a.")</x:f>
        <x:v>n.a.</x:v>
      </x:c>
      <x:c r="V995" s="25" t="n">
        <x:f>IF(Dashboard!$I$6="Flat %",1,IF(ISNUMBER(H995),1,0))</x:f>
        <x:v>1</x:v>
      </x:c>
      <x:c r="W995" s="9" t="n">
        <x:f>IF(Dashboard!$I$6="Flat %",G995*(1+Dashboard!$L$6),H995)</x:f>
        <x:v>60.6</x:v>
      </x:c>
      <x:c r="X995" s="9" t="n">
        <x:f>IF(V995=1,R995*(W995-G995),"n.a.")</x:f>
        <x:v>413.0992016427104</x:v>
      </x:c>
      <x:c r="Y995" s="9" t="n">
        <x:f>IF(V995=1,R995*W995,"n.a.")</x:f>
        <x:v>2439.9426529774128</x:v>
      </x:c>
      <x:c r="Z995" s="1" t="str">
        <x:f>IF(ISNUMBER(T995),R995-T995,"n.a.")</x:f>
        <x:v>n.a.</x:v>
      </x:c>
      <x:c r="AA995" s="1" t="str">
        <x:f>'Inventory inputs'!R995</x:f>
        <x:v>Review receipt reconciliation or original PO baseline</x:v>
      </x:c>
      <x:c r="AB995" s="1" t="str">
        <x:f>IF(L995=1,SUMIFS('Incoming POs'!$P$2:$P$305,'Incoming POs'!$A$2:$A$305,A995,'Incoming POs'!$B$2:$B$305,B995,'Incoming POs'!$C$2:$C$305,C995,'Incoming POs'!$G$2:$G$305,"&gt;="&amp;D995,'Incoming POs'!$G$2:$G$305,"&lt;"&amp;Dashboard!$I$5,'Incoming POs'!$Q$2:$Q$305,"&lt;="&amp;('Inventory inputs'!P995/'Inventory inputs'!J995*1.01)),"n.a.")</x:f>
        <x:v>n.a.</x:v>
      </x:c>
      <x:c r="AC995" s="9" t="n">
        <x:f>I995*G995</x:f>
        <x:v>0</x:v>
      </x:c>
      <x:c r="AD995" s="9" t="n">
        <x:f>J995*G995</x:f>
        <x:v>0</x:v>
      </x:c>
      <x:c r="AE995" s="9" t="n">
        <x:f>K995*G995</x:f>
        <x:v>2114.28</x:v>
      </x:c>
      <x:c r="AF995" s="9" t="n">
        <x:f>R995*G995</x:f>
        <x:v>2026.8434513347024</x:v>
      </x:c>
    </x:row>
    <x:row r="996" ht="21" customHeight="1">
      <x:c r="A996" s="1" t="str">
        <x:f>'Inventory inputs'!A996</x:f>
        <x:v>FILM</x:v>
      </x:c>
      <x:c r="B996" s="1" t="str">
        <x:f>'Inventory inputs'!B996</x:f>
        <x:v>60</x:v>
      </x:c>
      <x:c r="C996" s="1" t="str">
        <x:f>'Inventory inputs'!C996</x:f>
        <x:v>432005C3</x:v>
      </x:c>
      <x:c r="D996" s="7" t="n">
        <x:f>'Inventory inputs'!E996</x:f>
        <x:v>46304</x:v>
      </x:c>
      <x:c r="E996" s="1" t="n">
        <x:f>'Inventory inputs'!F996</x:f>
        <x:v>6</x:v>
      </x:c>
      <x:c r="F996" s="1" t="n">
        <x:f>'Inventory inputs'!G996</x:f>
        <x:v>1.33</x:v>
      </x:c>
      <x:c r="G996" s="1" t="n">
        <x:f>'Inventory inputs'!H996/'Inventory inputs'!J996</x:f>
        <x:v>36.43</x:v>
      </x:c>
      <x:c r="H996" s="1" t="n">
        <x:f>IF('Inventory inputs'!I996&gt;0,'Inventory inputs'!I996*'Inventory inputs'!K996/'Inventory inputs'!J996,"n.a.")</x:f>
        <x:v>43.76</x:v>
      </x:c>
      <x:c r="I996" s="1" t="n">
        <x:f>'Inventory inputs'!L996</x:f>
        <x:v>6</x:v>
      </x:c>
      <x:c r="J996" s="1" t="n">
        <x:f>'Inventory inputs'!M996</x:f>
        <x:v>0</x:v>
      </x:c>
      <x:c r="K996" s="1" t="n">
        <x:f>'Inventory inputs'!N996</x:f>
        <x:v>0</x:v>
      </x:c>
      <x:c r="L996" s="1" t="n">
        <x:f>'Inventory inputs'!O996</x:f>
        <x:v>1</x:v>
      </x:c>
      <x:c r="M996" s="9" t="n">
        <x:f>E996*G996</x:f>
        <x:v>218.57999999999998</x:v>
      </x:c>
      <x:c r="N996" s="9" t="n">
        <x:f>'Inventory inputs'!Q996</x:f>
        <x:v>218.57999999999998</x:v>
      </x:c>
      <x:c r="O996" s="9" t="n">
        <x:f>N996-M996</x:f>
        <x:v>0</x:v>
      </x:c>
      <x:c r="P996" s="1" t="n">
        <x:f>SUMIFS('Incoming POs'!$P$2:$P$305,'Incoming POs'!$A$2:$A$305,A996,'Incoming POs'!$B$2:$B$305,B996,'Incoming POs'!$C$2:$C$305,C996,'Incoming POs'!$G$2:$G$305,"&gt;="&amp;D996,'Incoming POs'!$G$2:$G$305,"&lt;"&amp;Dashboard!$I$5)</x:f>
        <x:v>0</x:v>
      </x:c>
      <x:c r="Q996" s="1" t="n">
        <x:f>F996*Dashboard!$L$5*MAX(0,Dashboard!$I$5-D996)/30.4375</x:f>
        <x:v>1.7369199178644763</x:v>
      </x:c>
      <x:c r="R996" s="1" t="n">
        <x:f>MAX(0,E996+P996-Q996)</x:f>
        <x:v>4.263080082135524</x:v>
      </x:c>
      <x:c r="S996" s="1" t="n">
        <x:f>MAX(0,Q996-E996-P996)</x:f>
        <x:v>0</x:v>
      </x:c>
      <x:c r="T996" s="1" t="n">
        <x:f>IF(L996=1,MAX(0,I996+AB996-MIN(Q996,E996+P996)),"n.a.")</x:f>
        <x:v>4.263080082135524</x:v>
      </x:c>
      <x:c r="U996" s="9" t="n">
        <x:f>IF(ISNUMBER(T996),T996*G996,"n.a.")</x:f>
        <x:v>155.30400739219712</x:v>
      </x:c>
      <x:c r="V996" s="25" t="n">
        <x:f>IF(Dashboard!$I$6="Flat %",1,IF(ISNUMBER(H996),1,0))</x:f>
        <x:v>1</x:v>
      </x:c>
      <x:c r="W996" s="9" t="n">
        <x:f>IF(Dashboard!$I$6="Flat %",G996*(1+Dashboard!$L$6),H996)</x:f>
        <x:v>43.76</x:v>
      </x:c>
      <x:c r="X996" s="9" t="n">
        <x:f>IF(V996=1,R996*(W996-G996),"n.a.")</x:f>
        <x:v>31.24837700205338</x:v>
      </x:c>
      <x:c r="Y996" s="9" t="n">
        <x:f>IF(V996=1,R996*W996,"n.a.")</x:f>
        <x:v>186.5523843942505</x:v>
      </x:c>
      <x:c r="Z996" s="1" t="n">
        <x:f>IF(ISNUMBER(T996),R996-T996,"n.a.")</x:f>
        <x:v>0</x:v>
      </x:c>
      <x:c r="AA996" s="1" t="str">
        <x:f>'Inventory inputs'!R996</x:f>
        <x:v>Classified</x:v>
      </x:c>
      <x:c r="AB996" s="1" t="n">
        <x:f>IF(L996=1,SUMIFS('Incoming POs'!$P$2:$P$305,'Incoming POs'!$A$2:$A$305,A996,'Incoming POs'!$B$2:$B$305,B996,'Incoming POs'!$C$2:$C$305,C996,'Incoming POs'!$G$2:$G$305,"&gt;="&amp;D996,'Incoming POs'!$G$2:$G$305,"&lt;"&amp;Dashboard!$I$5,'Incoming POs'!$Q$2:$Q$305,"&lt;="&amp;('Inventory inputs'!P996/'Inventory inputs'!J996*1.01)),"n.a.")</x:f>
        <x:v>0</x:v>
      </x:c>
      <x:c r="AC996" s="9" t="n">
        <x:f>I996*G996</x:f>
        <x:v>218.57999999999998</x:v>
      </x:c>
      <x:c r="AD996" s="9" t="n">
        <x:f>J996*G996</x:f>
        <x:v>0</x:v>
      </x:c>
      <x:c r="AE996" s="9" t="n">
        <x:f>K996*G996</x:f>
        <x:v>0</x:v>
      </x:c>
      <x:c r="AF996" s="9" t="n">
        <x:f>R996*G996</x:f>
        <x:v>155.30400739219712</x:v>
      </x:c>
    </x:row>
    <x:row r="997" ht="21" customHeight="1">
      <x:c r="A997" s="1" t="str">
        <x:f>'Inventory inputs'!A997</x:f>
        <x:v>FILM</x:v>
      </x:c>
      <x:c r="B997" s="1" t="str">
        <x:f>'Inventory inputs'!B997</x:f>
        <x:v>10</x:v>
      </x:c>
      <x:c r="C997" s="1" t="str">
        <x:f>'Inventory inputs'!C997</x:f>
        <x:v>SG25200C1</x:v>
      </x:c>
      <x:c r="D997" s="7" t="n">
        <x:f>'Inventory inputs'!E997</x:f>
        <x:v>46304</x:v>
      </x:c>
      <x:c r="E997" s="1" t="n">
        <x:f>'Inventory inputs'!F997</x:f>
        <x:v>220</x:v>
      </x:c>
      <x:c r="F997" s="1" t="n">
        <x:f>'Inventory inputs'!G997</x:f>
        <x:v>1</x:v>
      </x:c>
      <x:c r="G997" s="1" t="n">
        <x:f>'Inventory inputs'!H997/'Inventory inputs'!J997</x:f>
        <x:v>4.14</x:v>
      </x:c>
      <x:c r="H997" s="1" t="str">
        <x:f>IF('Inventory inputs'!I997&gt;0,'Inventory inputs'!I997*'Inventory inputs'!K997/'Inventory inputs'!J997,"n.a.")</x:f>
        <x:v>n.a.</x:v>
      </x:c>
      <x:c r="I997" s="1" t="n">
        <x:f>'Inventory inputs'!L997</x:f>
        <x:v>0</x:v>
      </x:c>
      <x:c r="J997" s="1" t="n">
        <x:f>'Inventory inputs'!M997</x:f>
        <x:v>0</x:v>
      </x:c>
      <x:c r="K997" s="1" t="n">
        <x:f>'Inventory inputs'!N997</x:f>
        <x:v>220</x:v>
      </x:c>
      <x:c r="L997" s="1" t="n">
        <x:f>'Inventory inputs'!O997</x:f>
        <x:v>0</x:v>
      </x:c>
      <x:c r="M997" s="9" t="n">
        <x:f>E997*G997</x:f>
        <x:v>910.8</x:v>
      </x:c>
      <x:c r="N997" s="9" t="n">
        <x:f>'Inventory inputs'!Q997</x:f>
        <x:v>910.8</x:v>
      </x:c>
      <x:c r="O997" s="9" t="n">
        <x:f>N997-M997</x:f>
        <x:v>0</x:v>
      </x:c>
      <x:c r="P997" s="1" t="n">
        <x:f>SUMIFS('Incoming POs'!$P$2:$P$305,'Incoming POs'!$A$2:$A$305,A997,'Incoming POs'!$B$2:$B$305,B997,'Incoming POs'!$C$2:$C$305,C997,'Incoming POs'!$G$2:$G$305,"&gt;="&amp;D997,'Incoming POs'!$G$2:$G$305,"&lt;"&amp;Dashboard!$I$5)</x:f>
        <x:v>0</x:v>
      </x:c>
      <x:c r="Q997" s="1" t="n">
        <x:f>F997*Dashboard!$L$5*MAX(0,Dashboard!$I$5-D997)/30.4375</x:f>
        <x:v>1.3059548254620124</x:v>
      </x:c>
      <x:c r="R997" s="1" t="n">
        <x:f>MAX(0,E997+P997-Q997)</x:f>
        <x:v>218.694045174538</x:v>
      </x:c>
      <x:c r="S997" s="1" t="n">
        <x:f>MAX(0,Q997-E997-P997)</x:f>
        <x:v>0</x:v>
      </x:c>
      <x:c r="T997" s="1" t="str">
        <x:f>IF(L997=1,MAX(0,I997+AB997-MIN(Q997,E997+P997)),"n.a.")</x:f>
        <x:v>n.a.</x:v>
      </x:c>
      <x:c r="U997" s="9" t="str">
        <x:f>IF(ISNUMBER(T997),T997*G997,"n.a.")</x:f>
        <x:v>n.a.</x:v>
      </x:c>
      <x:c r="V997" s="25" t="n">
        <x:f>IF(Dashboard!$I$6="Flat %",1,IF(ISNUMBER(H997),1,0))</x:f>
        <x:v>0</x:v>
      </x:c>
      <x:c r="W997" s="9" t="str">
        <x:f>IF(Dashboard!$I$6="Flat %",G997*(1+Dashboard!$L$6),H997)</x:f>
        <x:v>n.a.</x:v>
      </x:c>
      <x:c r="X997" s="9" t="str">
        <x:f>IF(V997=1,R997*(W997-G997),"n.a.")</x:f>
        <x:v>n.a.</x:v>
      </x:c>
      <x:c r="Y997" s="9" t="str">
        <x:f>IF(V997=1,R997*W997,"n.a.")</x:f>
        <x:v>n.a.</x:v>
      </x:c>
      <x:c r="Z997" s="1" t="str">
        <x:f>IF(ISNUMBER(T997),R997-T997,"n.a.")</x:f>
        <x:v>n.a.</x:v>
      </x:c>
      <x:c r="AA997" s="1" t="str">
        <x:f>'Inventory inputs'!R997</x:f>
        <x:v>Review receipt reconciliation or original PO baseline</x:v>
      </x:c>
      <x:c r="AB997" s="1" t="str">
        <x:f>IF(L997=1,SUMIFS('Incoming POs'!$P$2:$P$305,'Incoming POs'!$A$2:$A$305,A997,'Incoming POs'!$B$2:$B$305,B997,'Incoming POs'!$C$2:$C$305,C997,'Incoming POs'!$G$2:$G$305,"&gt;="&amp;D997,'Incoming POs'!$G$2:$G$305,"&lt;"&amp;Dashboard!$I$5,'Incoming POs'!$Q$2:$Q$305,"&lt;="&amp;('Inventory inputs'!P997/'Inventory inputs'!J997*1.01)),"n.a.")</x:f>
        <x:v>n.a.</x:v>
      </x:c>
      <x:c r="AC997" s="9" t="n">
        <x:f>I997*G997</x:f>
        <x:v>0</x:v>
      </x:c>
      <x:c r="AD997" s="9" t="n">
        <x:f>J997*G997</x:f>
        <x:v>0</x:v>
      </x:c>
      <x:c r="AE997" s="9" t="n">
        <x:f>K997*G997</x:f>
        <x:v>910.8</x:v>
      </x:c>
      <x:c r="AF997" s="9" t="n">
        <x:f>R997*G997</x:f>
        <x:v>905.3933470225872</x:v>
      </x:c>
    </x:row>
    <x:row r="998" ht="21" customHeight="1">
      <x:c r="A998" s="1" t="str">
        <x:f>'Inventory inputs'!A998</x:f>
        <x:v>FILM</x:v>
      </x:c>
      <x:c r="B998" s="1" t="str">
        <x:f>'Inventory inputs'!B998</x:f>
        <x:v>30</x:v>
      </x:c>
      <x:c r="C998" s="1" t="str">
        <x:f>'Inventory inputs'!C998</x:f>
        <x:v>185005C2</x:v>
      </x:c>
      <x:c r="D998" s="7" t="n">
        <x:f>'Inventory inputs'!E998</x:f>
        <x:v>46304</x:v>
      </x:c>
      <x:c r="E998" s="1" t="n">
        <x:f>'Inventory inputs'!F998</x:f>
        <x:v>12</x:v>
      </x:c>
      <x:c r="F998" s="1" t="n">
        <x:f>'Inventory inputs'!G998</x:f>
        <x:v>1</x:v>
      </x:c>
      <x:c r="G998" s="1" t="n">
        <x:f>'Inventory inputs'!H998/'Inventory inputs'!J998</x:f>
        <x:v>38.12</x:v>
      </x:c>
      <x:c r="H998" s="1" t="n">
        <x:f>IF('Inventory inputs'!I998&gt;0,'Inventory inputs'!I998*'Inventory inputs'!K998/'Inventory inputs'!J998,"n.a.")</x:f>
        <x:v>45.79</x:v>
      </x:c>
      <x:c r="I998" s="1" t="n">
        <x:f>'Inventory inputs'!L998</x:f>
        <x:v>12</x:v>
      </x:c>
      <x:c r="J998" s="1" t="n">
        <x:f>'Inventory inputs'!M998</x:f>
        <x:v>0</x:v>
      </x:c>
      <x:c r="K998" s="1" t="n">
        <x:f>'Inventory inputs'!N998</x:f>
        <x:v>0</x:v>
      </x:c>
      <x:c r="L998" s="1" t="n">
        <x:f>'Inventory inputs'!O998</x:f>
        <x:v>1</x:v>
      </x:c>
      <x:c r="M998" s="9" t="n">
        <x:f>E998*G998</x:f>
        <x:v>457.43999999999994</x:v>
      </x:c>
      <x:c r="N998" s="9" t="n">
        <x:f>'Inventory inputs'!Q998</x:f>
        <x:v>457.43999999999994</x:v>
      </x:c>
      <x:c r="O998" s="9" t="n">
        <x:f>N998-M998</x:f>
        <x:v>0</x:v>
      </x:c>
      <x:c r="P998" s="1" t="n">
        <x:f>SUMIFS('Incoming POs'!$P$2:$P$305,'Incoming POs'!$A$2:$A$305,A998,'Incoming POs'!$B$2:$B$305,B998,'Incoming POs'!$C$2:$C$305,C998,'Incoming POs'!$G$2:$G$305,"&gt;="&amp;D998,'Incoming POs'!$G$2:$G$305,"&lt;"&amp;Dashboard!$I$5)</x:f>
        <x:v>0</x:v>
      </x:c>
      <x:c r="Q998" s="1" t="n">
        <x:f>F998*Dashboard!$L$5*MAX(0,Dashboard!$I$5-D998)/30.4375</x:f>
        <x:v>1.3059548254620124</x:v>
      </x:c>
      <x:c r="R998" s="1" t="n">
        <x:f>MAX(0,E998+P998-Q998)</x:f>
        <x:v>10.694045174537987</x:v>
      </x:c>
      <x:c r="S998" s="1" t="n">
        <x:f>MAX(0,Q998-E998-P998)</x:f>
        <x:v>0</x:v>
      </x:c>
      <x:c r="T998" s="1" t="n">
        <x:f>IF(L998=1,MAX(0,I998+AB998-MIN(Q998,E998+P998)),"n.a.")</x:f>
        <x:v>10.694045174537987</x:v>
      </x:c>
      <x:c r="U998" s="9" t="n">
        <x:f>IF(ISNUMBER(T998),T998*G998,"n.a.")</x:f>
        <x:v>407.65700205338806</x:v>
      </x:c>
      <x:c r="V998" s="25" t="n">
        <x:f>IF(Dashboard!$I$6="Flat %",1,IF(ISNUMBER(H998),1,0))</x:f>
        <x:v>1</x:v>
      </x:c>
      <x:c r="W998" s="9" t="n">
        <x:f>IF(Dashboard!$I$6="Flat %",G998*(1+Dashboard!$L$6),H998)</x:f>
        <x:v>45.79</x:v>
      </x:c>
      <x:c r="X998" s="9" t="n">
        <x:f>IF(V998=1,R998*(W998-G998),"n.a.")</x:f>
        <x:v>82.02332648870637</x:v>
      </x:c>
      <x:c r="Y998" s="9" t="n">
        <x:f>IF(V998=1,R998*W998,"n.a.")</x:f>
        <x:v>489.6803285420944</x:v>
      </x:c>
      <x:c r="Z998" s="1" t="n">
        <x:f>IF(ISNUMBER(T998),R998-T998,"n.a.")</x:f>
        <x:v>0</x:v>
      </x:c>
      <x:c r="AA998" s="1" t="str">
        <x:f>'Inventory inputs'!R998</x:f>
        <x:v>Classified</x:v>
      </x:c>
      <x:c r="AB998" s="1" t="n">
        <x:f>IF(L998=1,SUMIFS('Incoming POs'!$P$2:$P$305,'Incoming POs'!$A$2:$A$305,A998,'Incoming POs'!$B$2:$B$305,B998,'Incoming POs'!$C$2:$C$305,C998,'Incoming POs'!$G$2:$G$305,"&gt;="&amp;D998,'Incoming POs'!$G$2:$G$305,"&lt;"&amp;Dashboard!$I$5,'Incoming POs'!$Q$2:$Q$305,"&lt;="&amp;('Inventory inputs'!P998/'Inventory inputs'!J998*1.01)),"n.a.")</x:f>
        <x:v>0</x:v>
      </x:c>
      <x:c r="AC998" s="9" t="n">
        <x:f>I998*G998</x:f>
        <x:v>457.43999999999994</x:v>
      </x:c>
      <x:c r="AD998" s="9" t="n">
        <x:f>J998*G998</x:f>
        <x:v>0</x:v>
      </x:c>
      <x:c r="AE998" s="9" t="n">
        <x:f>K998*G998</x:f>
        <x:v>0</x:v>
      </x:c>
      <x:c r="AF998" s="9" t="n">
        <x:f>R998*G998</x:f>
        <x:v>407.65700205338806</x:v>
      </x:c>
    </x:row>
    <x:row r="999" ht="21" customHeight="1">
      <x:c r="A999" s="1" t="str">
        <x:f>'Inventory inputs'!A999</x:f>
        <x:v>FILM</x:v>
      </x:c>
      <x:c r="B999" s="1" t="str">
        <x:f>'Inventory inputs'!B999</x:f>
        <x:v>60</x:v>
      </x:c>
      <x:c r="C999" s="1" t="str">
        <x:f>'Inventory inputs'!C999</x:f>
        <x:v>382005C2</x:v>
      </x:c>
      <x:c r="D999" s="7" t="n">
        <x:f>'Inventory inputs'!E999</x:f>
        <x:v>46304</x:v>
      </x:c>
      <x:c r="E999" s="1" t="n">
        <x:f>'Inventory inputs'!F999</x:f>
        <x:v>52</x:v>
      </x:c>
      <x:c r="F999" s="1" t="n">
        <x:f>'Inventory inputs'!G999</x:f>
        <x:v>1</x:v>
      </x:c>
      <x:c r="G999" s="1" t="n">
        <x:f>'Inventory inputs'!H999/'Inventory inputs'!J999</x:f>
        <x:v>32.19</x:v>
      </x:c>
      <x:c r="H999" s="1" t="n">
        <x:f>IF('Inventory inputs'!I999&gt;0,'Inventory inputs'!I999*'Inventory inputs'!K999/'Inventory inputs'!J999,"n.a.")</x:f>
        <x:v>38.67</x:v>
      </x:c>
      <x:c r="I999" s="1" t="n">
        <x:f>'Inventory inputs'!L999</x:f>
        <x:v>52</x:v>
      </x:c>
      <x:c r="J999" s="1" t="n">
        <x:f>'Inventory inputs'!M999</x:f>
        <x:v>0</x:v>
      </x:c>
      <x:c r="K999" s="1" t="n">
        <x:f>'Inventory inputs'!N999</x:f>
        <x:v>0</x:v>
      </x:c>
      <x:c r="L999" s="1" t="n">
        <x:f>'Inventory inputs'!O999</x:f>
        <x:v>1</x:v>
      </x:c>
      <x:c r="M999" s="9" t="n">
        <x:f>E999*G999</x:f>
        <x:v>1673.8799999999999</x:v>
      </x:c>
      <x:c r="N999" s="9" t="n">
        <x:f>'Inventory inputs'!Q999</x:f>
        <x:v>1673.8799999999999</x:v>
      </x:c>
      <x:c r="O999" s="9" t="n">
        <x:f>N999-M999</x:f>
        <x:v>0</x:v>
      </x:c>
      <x:c r="P999" s="1" t="n">
        <x:f>SUMIFS('Incoming POs'!$P$2:$P$305,'Incoming POs'!$A$2:$A$305,A999,'Incoming POs'!$B$2:$B$305,B999,'Incoming POs'!$C$2:$C$305,C999,'Incoming POs'!$G$2:$G$305,"&gt;="&amp;D999,'Incoming POs'!$G$2:$G$305,"&lt;"&amp;Dashboard!$I$5)</x:f>
        <x:v>0</x:v>
      </x:c>
      <x:c r="Q999" s="1" t="n">
        <x:f>F999*Dashboard!$L$5*MAX(0,Dashboard!$I$5-D999)/30.4375</x:f>
        <x:v>1.3059548254620124</x:v>
      </x:c>
      <x:c r="R999" s="1" t="n">
        <x:f>MAX(0,E999+P999-Q999)</x:f>
        <x:v>50.69404517453799</x:v>
      </x:c>
      <x:c r="S999" s="1" t="n">
        <x:f>MAX(0,Q999-E999-P999)</x:f>
        <x:v>0</x:v>
      </x:c>
      <x:c r="T999" s="1" t="n">
        <x:f>IF(L999=1,MAX(0,I999+AB999-MIN(Q999,E999+P999)),"n.a.")</x:f>
        <x:v>50.69404517453799</x:v>
      </x:c>
      <x:c r="U999" s="9" t="n">
        <x:f>IF(ISNUMBER(T999),T999*G999,"n.a.")</x:f>
        <x:v>1631.8413141683777</x:v>
      </x:c>
      <x:c r="V999" s="25" t="n">
        <x:f>IF(Dashboard!$I$6="Flat %",1,IF(ISNUMBER(H999),1,0))</x:f>
        <x:v>1</x:v>
      </x:c>
      <x:c r="W999" s="9" t="n">
        <x:f>IF(Dashboard!$I$6="Flat %",G999*(1+Dashboard!$L$6),H999)</x:f>
        <x:v>38.67</x:v>
      </x:c>
      <x:c r="X999" s="9" t="n">
        <x:f>IF(V999=1,R999*(W999-G999),"n.a.")</x:f>
        <x:v>328.49741273100636</x:v>
      </x:c>
      <x:c r="Y999" s="9" t="n">
        <x:f>IF(V999=1,R999*W999,"n.a.")</x:f>
        <x:v>1960.3387268993843</x:v>
      </x:c>
      <x:c r="Z999" s="1" t="n">
        <x:f>IF(ISNUMBER(T999),R999-T999,"n.a.")</x:f>
        <x:v>0</x:v>
      </x:c>
      <x:c r="AA999" s="1" t="str">
        <x:f>'Inventory inputs'!R999</x:f>
        <x:v>Classified</x:v>
      </x:c>
      <x:c r="AB999" s="1" t="n">
        <x:f>IF(L999=1,SUMIFS('Incoming POs'!$P$2:$P$305,'Incoming POs'!$A$2:$A$305,A999,'Incoming POs'!$B$2:$B$305,B999,'Incoming POs'!$C$2:$C$305,C999,'Incoming POs'!$G$2:$G$305,"&gt;="&amp;D999,'Incoming POs'!$G$2:$G$305,"&lt;"&amp;Dashboard!$I$5,'Incoming POs'!$Q$2:$Q$305,"&lt;="&amp;('Inventory inputs'!P999/'Inventory inputs'!J999*1.01)),"n.a.")</x:f>
        <x:v>0</x:v>
      </x:c>
      <x:c r="AC999" s="9" t="n">
        <x:f>I999*G999</x:f>
        <x:v>1673.8799999999999</x:v>
      </x:c>
      <x:c r="AD999" s="9" t="n">
        <x:f>J999*G999</x:f>
        <x:v>0</x:v>
      </x:c>
      <x:c r="AE999" s="9" t="n">
        <x:f>K999*G999</x:f>
        <x:v>0</x:v>
      </x:c>
      <x:c r="AF999" s="9" t="n">
        <x:f>R999*G999</x:f>
        <x:v>1631.8413141683777</x:v>
      </x:c>
    </x:row>
    <x:row r="1000" ht="21" customHeight="1">
      <x:c r="A1000" s="1" t="str">
        <x:f>'Inventory inputs'!A1000</x:f>
        <x:v>FILM</x:v>
      </x:c>
      <x:c r="B1000" s="1" t="str">
        <x:f>'Inventory inputs'!B1000</x:f>
        <x:v>10</x:v>
      </x:c>
      <x:c r="C1000" s="1" t="str">
        <x:f>'Inventory inputs'!C1000</x:f>
        <x:v>255005C2</x:v>
      </x:c>
      <x:c r="D1000" s="7" t="n">
        <x:f>'Inventory inputs'!E1000</x:f>
        <x:v>46304</x:v>
      </x:c>
      <x:c r="E1000" s="1" t="n">
        <x:f>'Inventory inputs'!F1000</x:f>
        <x:v>17</x:v>
      </x:c>
      <x:c r="F1000" s="1" t="n">
        <x:f>'Inventory inputs'!G1000</x:f>
        <x:v>0.83</x:v>
      </x:c>
      <x:c r="G1000" s="1" t="n">
        <x:f>'Inventory inputs'!H1000/'Inventory inputs'!J1000</x:f>
        <x:v>52.95</x:v>
      </x:c>
      <x:c r="H1000" s="1" t="n">
        <x:f>IF('Inventory inputs'!I1000&gt;0,'Inventory inputs'!I1000*'Inventory inputs'!K1000/'Inventory inputs'!J1000,"n.a.")</x:f>
        <x:v>63.6</x:v>
      </x:c>
      <x:c r="I1000" s="1" t="n">
        <x:f>'Inventory inputs'!L1000</x:f>
        <x:v>17</x:v>
      </x:c>
      <x:c r="J1000" s="1" t="n">
        <x:f>'Inventory inputs'!M1000</x:f>
        <x:v>0</x:v>
      </x:c>
      <x:c r="K1000" s="1" t="n">
        <x:f>'Inventory inputs'!N1000</x:f>
        <x:v>0</x:v>
      </x:c>
      <x:c r="L1000" s="1" t="n">
        <x:f>'Inventory inputs'!O1000</x:f>
        <x:v>1</x:v>
      </x:c>
      <x:c r="M1000" s="9" t="n">
        <x:f>E1000*G1000</x:f>
        <x:v>900.1500000000001</x:v>
      </x:c>
      <x:c r="N1000" s="9" t="n">
        <x:f>'Inventory inputs'!Q1000</x:f>
        <x:v>900.1500000000001</x:v>
      </x:c>
      <x:c r="O1000" s="9" t="n">
        <x:f>N1000-M1000</x:f>
        <x:v>0</x:v>
      </x:c>
      <x:c r="P1000" s="1" t="n">
        <x:f>SUMIFS('Incoming POs'!$P$2:$P$305,'Incoming POs'!$A$2:$A$305,A1000,'Incoming POs'!$B$2:$B$305,B1000,'Incoming POs'!$C$2:$C$305,C1000,'Incoming POs'!$G$2:$G$305,"&gt;="&amp;D1000,'Incoming POs'!$G$2:$G$305,"&lt;"&amp;Dashboard!$I$5)</x:f>
        <x:v>0</x:v>
      </x:c>
      <x:c r="Q1000" s="1" t="n">
        <x:f>F1000*Dashboard!$L$5*MAX(0,Dashboard!$I$5-D1000)/30.4375</x:f>
        <x:v>1.0839425051334701</x:v>
      </x:c>
      <x:c r="R1000" s="1" t="n">
        <x:f>MAX(0,E1000+P1000-Q1000)</x:f>
        <x:v>15.91605749486653</x:v>
      </x:c>
      <x:c r="S1000" s="1" t="n">
        <x:f>MAX(0,Q1000-E1000-P1000)</x:f>
        <x:v>0</x:v>
      </x:c>
      <x:c r="T1000" s="1" t="n">
        <x:f>IF(L1000=1,MAX(0,I1000+AB1000-MIN(Q1000,E1000+P1000)),"n.a.")</x:f>
        <x:v>15.91605749486653</x:v>
      </x:c>
      <x:c r="U1000" s="9" t="n">
        <x:f>IF(ISNUMBER(T1000),T1000*G1000,"n.a.")</x:f>
        <x:v>842.7552443531828</x:v>
      </x:c>
      <x:c r="V1000" s="25" t="n">
        <x:f>IF(Dashboard!$I$6="Flat %",1,IF(ISNUMBER(H1000),1,0))</x:f>
        <x:v>1</x:v>
      </x:c>
      <x:c r="W1000" s="9" t="n">
        <x:f>IF(Dashboard!$I$6="Flat %",G1000*(1+Dashboard!$L$6),H1000)</x:f>
        <x:v>63.6</x:v>
      </x:c>
      <x:c r="X1000" s="9" t="n">
        <x:f>IF(V1000=1,R1000*(W1000-G1000),"n.a.")</x:f>
        <x:v>169.50601232032852</x:v>
      </x:c>
      <x:c r="Y1000" s="9" t="n">
        <x:f>IF(V1000=1,R1000*W1000,"n.a.")</x:f>
        <x:v>1012.2612566735113</x:v>
      </x:c>
      <x:c r="Z1000" s="1" t="n">
        <x:f>IF(ISNUMBER(T1000),R1000-T1000,"n.a.")</x:f>
        <x:v>0</x:v>
      </x:c>
      <x:c r="AA1000" s="1" t="str">
        <x:f>'Inventory inputs'!R1000</x:f>
        <x:v>Classified</x:v>
      </x:c>
      <x:c r="AB1000" s="1" t="n">
        <x:f>IF(L1000=1,SUMIFS('Incoming POs'!$P$2:$P$305,'Incoming POs'!$A$2:$A$305,A1000,'Incoming POs'!$B$2:$B$305,B1000,'Incoming POs'!$C$2:$C$305,C1000,'Incoming POs'!$G$2:$G$305,"&gt;="&amp;D1000,'Incoming POs'!$G$2:$G$305,"&lt;"&amp;Dashboard!$I$5,'Incoming POs'!$Q$2:$Q$305,"&lt;="&amp;('Inventory inputs'!P1000/'Inventory inputs'!J1000*1.01)),"n.a.")</x:f>
        <x:v>0</x:v>
      </x:c>
      <x:c r="AC1000" s="9" t="n">
        <x:f>I1000*G1000</x:f>
        <x:v>900.1500000000001</x:v>
      </x:c>
      <x:c r="AD1000" s="9" t="n">
        <x:f>J1000*G1000</x:f>
        <x:v>0</x:v>
      </x:c>
      <x:c r="AE1000" s="9" t="n">
        <x:f>K1000*G1000</x:f>
        <x:v>0</x:v>
      </x:c>
      <x:c r="AF1000" s="9" t="n">
        <x:f>R1000*G1000</x:f>
        <x:v>842.7552443531828</x:v>
      </x:c>
    </x:row>
    <x:row r="1001" ht="21" customHeight="1">
      <x:c r="A1001" s="1" t="str">
        <x:f>'Inventory inputs'!A1001</x:f>
        <x:v>FILM</x:v>
      </x:c>
      <x:c r="B1001" s="1" t="str">
        <x:f>'Inventory inputs'!B1001</x:f>
        <x:v>30</x:v>
      </x:c>
      <x:c r="C1001" s="1" t="str">
        <x:f>'Inventory inputs'!C1001</x:f>
        <x:v>182503C2</x:v>
      </x:c>
      <x:c r="D1001" s="7" t="n">
        <x:f>'Inventory inputs'!E1001</x:f>
        <x:v>46304</x:v>
      </x:c>
      <x:c r="E1001" s="1" t="n">
        <x:f>'Inventory inputs'!F1001</x:f>
        <x:v>64</x:v>
      </x:c>
      <x:c r="F1001" s="1" t="n">
        <x:f>'Inventory inputs'!G1001</x:f>
        <x:v>0.83</x:v>
      </x:c>
      <x:c r="G1001" s="1" t="n">
        <x:f>'Inventory inputs'!H1001/'Inventory inputs'!J1001</x:f>
        <x:v>10.53</x:v>
      </x:c>
      <x:c r="H1001" s="1" t="n">
        <x:f>IF('Inventory inputs'!I1001&gt;0,'Inventory inputs'!I1001*'Inventory inputs'!K1001/'Inventory inputs'!J1001,"n.a.")</x:f>
        <x:v>12.64</x:v>
      </x:c>
      <x:c r="I1001" s="1" t="n">
        <x:f>'Inventory inputs'!L1001</x:f>
        <x:v>64</x:v>
      </x:c>
      <x:c r="J1001" s="1" t="n">
        <x:f>'Inventory inputs'!M1001</x:f>
        <x:v>0</x:v>
      </x:c>
      <x:c r="K1001" s="1" t="n">
        <x:f>'Inventory inputs'!N1001</x:f>
        <x:v>0</x:v>
      </x:c>
      <x:c r="L1001" s="1" t="n">
        <x:f>'Inventory inputs'!O1001</x:f>
        <x:v>1</x:v>
      </x:c>
      <x:c r="M1001" s="9" t="n">
        <x:f>E1001*G1001</x:f>
        <x:v>673.92</x:v>
      </x:c>
      <x:c r="N1001" s="9" t="n">
        <x:f>'Inventory inputs'!Q1001</x:f>
        <x:v>673.92</x:v>
      </x:c>
      <x:c r="O1001" s="9" t="n">
        <x:f>N1001-M1001</x:f>
        <x:v>0</x:v>
      </x:c>
      <x:c r="P1001" s="1" t="n">
        <x:f>SUMIFS('Incoming POs'!$P$2:$P$305,'Incoming POs'!$A$2:$A$305,A1001,'Incoming POs'!$B$2:$B$305,B1001,'Incoming POs'!$C$2:$C$305,C1001,'Incoming POs'!$G$2:$G$305,"&gt;="&amp;D1001,'Incoming POs'!$G$2:$G$305,"&lt;"&amp;Dashboard!$I$5)</x:f>
        <x:v>0</x:v>
      </x:c>
      <x:c r="Q1001" s="1" t="n">
        <x:f>F1001*Dashboard!$L$5*MAX(0,Dashboard!$I$5-D1001)/30.4375</x:f>
        <x:v>1.0839425051334701</x:v>
      </x:c>
      <x:c r="R1001" s="1" t="n">
        <x:f>MAX(0,E1001+P1001-Q1001)</x:f>
        <x:v>62.91605749486653</x:v>
      </x:c>
      <x:c r="S1001" s="1" t="n">
        <x:f>MAX(0,Q1001-E1001-P1001)</x:f>
        <x:v>0</x:v>
      </x:c>
      <x:c r="T1001" s="1" t="n">
        <x:f>IF(L1001=1,MAX(0,I1001+AB1001-MIN(Q1001,E1001+P1001)),"n.a.")</x:f>
        <x:v>62.91605749486653</x:v>
      </x:c>
      <x:c r="U1001" s="9" t="n">
        <x:f>IF(ISNUMBER(T1001),T1001*G1001,"n.a.")</x:f>
        <x:v>662.5060854209445</x:v>
      </x:c>
      <x:c r="V1001" s="25" t="n">
        <x:f>IF(Dashboard!$I$6="Flat %",1,IF(ISNUMBER(H1001),1,0))</x:f>
        <x:v>1</x:v>
      </x:c>
      <x:c r="W1001" s="9" t="n">
        <x:f>IF(Dashboard!$I$6="Flat %",G1001*(1+Dashboard!$L$6),H1001)</x:f>
        <x:v>12.64</x:v>
      </x:c>
      <x:c r="X1001" s="9" t="n">
        <x:f>IF(V1001=1,R1001*(W1001-G1001),"n.a.")</x:f>
        <x:v>132.75288131416846</x:v>
      </x:c>
      <x:c r="Y1001" s="9" t="n">
        <x:f>IF(V1001=1,R1001*W1001,"n.a.")</x:f>
        <x:v>795.258966735113</x:v>
      </x:c>
      <x:c r="Z1001" s="1" t="n">
        <x:f>IF(ISNUMBER(T1001),R1001-T1001,"n.a.")</x:f>
        <x:v>0</x:v>
      </x:c>
      <x:c r="AA1001" s="1" t="str">
        <x:f>'Inventory inputs'!R1001</x:f>
        <x:v>Classified</x:v>
      </x:c>
      <x:c r="AB1001" s="1" t="n">
        <x:f>IF(L1001=1,SUMIFS('Incoming POs'!$P$2:$P$305,'Incoming POs'!$A$2:$A$305,A1001,'Incoming POs'!$B$2:$B$305,B1001,'Incoming POs'!$C$2:$C$305,C1001,'Incoming POs'!$G$2:$G$305,"&gt;="&amp;D1001,'Incoming POs'!$G$2:$G$305,"&lt;"&amp;Dashboard!$I$5,'Incoming POs'!$Q$2:$Q$305,"&lt;="&amp;('Inventory inputs'!P1001/'Inventory inputs'!J1001*1.01)),"n.a.")</x:f>
        <x:v>0</x:v>
      </x:c>
      <x:c r="AC1001" s="9" t="n">
        <x:f>I1001*G1001</x:f>
        <x:v>673.92</x:v>
      </x:c>
      <x:c r="AD1001" s="9" t="n">
        <x:f>J1001*G1001</x:f>
        <x:v>0</x:v>
      </x:c>
      <x:c r="AE1001" s="9" t="n">
        <x:f>K1001*G1001</x:f>
        <x:v>0</x:v>
      </x:c>
      <x:c r="AF1001" s="9" t="n">
        <x:f>R1001*G1001</x:f>
        <x:v>662.5060854209445</x:v>
      </x:c>
    </x:row>
    <x:row r="1002" ht="21" customHeight="1">
      <x:c r="A1002" s="1" t="str">
        <x:f>'Inventory inputs'!A1002</x:f>
        <x:v>FILM</x:v>
      </x:c>
      <x:c r="B1002" s="1" t="str">
        <x:f>'Inventory inputs'!B1002</x:f>
        <x:v>60</x:v>
      </x:c>
      <x:c r="C1002" s="1" t="str">
        <x:f>'Inventory inputs'!C1002</x:f>
        <x:v>1250015C2</x:v>
      </x:c>
      <x:c r="D1002" s="7" t="n">
        <x:f>'Inventory inputs'!E1002</x:f>
        <x:v>46304</x:v>
      </x:c>
      <x:c r="E1002" s="1" t="n">
        <x:f>'Inventory inputs'!F1002</x:f>
        <x:v>138</x:v>
      </x:c>
      <x:c r="F1002" s="1" t="n">
        <x:f>'Inventory inputs'!G1002</x:f>
        <x:v>0.83</x:v>
      </x:c>
      <x:c r="G1002" s="1" t="n">
        <x:f>'Inventory inputs'!H1002/'Inventory inputs'!J1002</x:f>
        <x:v>6.48</x:v>
      </x:c>
      <x:c r="H1002" s="1" t="n">
        <x:f>IF('Inventory inputs'!I1002&gt;0,'Inventory inputs'!I1002*'Inventory inputs'!K1002/'Inventory inputs'!J1002,"n.a.")</x:f>
        <x:v>7.78</x:v>
      </x:c>
      <x:c r="I1002" s="1" t="n">
        <x:f>'Inventory inputs'!L1002</x:f>
        <x:v>0</x:v>
      </x:c>
      <x:c r="J1002" s="1" t="n">
        <x:f>'Inventory inputs'!M1002</x:f>
        <x:v>0</x:v>
      </x:c>
      <x:c r="K1002" s="1" t="n">
        <x:f>'Inventory inputs'!N1002</x:f>
        <x:v>138</x:v>
      </x:c>
      <x:c r="L1002" s="1" t="n">
        <x:f>'Inventory inputs'!O1002</x:f>
        <x:v>0</x:v>
      </x:c>
      <x:c r="M1002" s="9" t="n">
        <x:f>E1002*G1002</x:f>
        <x:v>894.24</x:v>
      </x:c>
      <x:c r="N1002" s="9" t="n">
        <x:f>'Inventory inputs'!Q1002</x:f>
        <x:v>894.24</x:v>
      </x:c>
      <x:c r="O1002" s="9" t="n">
        <x:f>N1002-M1002</x:f>
        <x:v>0</x:v>
      </x:c>
      <x:c r="P1002" s="1" t="n">
        <x:f>SUMIFS('Incoming POs'!$P$2:$P$305,'Incoming POs'!$A$2:$A$305,A1002,'Incoming POs'!$B$2:$B$305,B1002,'Incoming POs'!$C$2:$C$305,C1002,'Incoming POs'!$G$2:$G$305,"&gt;="&amp;D1002,'Incoming POs'!$G$2:$G$305,"&lt;"&amp;Dashboard!$I$5)</x:f>
        <x:v>0</x:v>
      </x:c>
      <x:c r="Q1002" s="1" t="n">
        <x:f>F1002*Dashboard!$L$5*MAX(0,Dashboard!$I$5-D1002)/30.4375</x:f>
        <x:v>1.0839425051334701</x:v>
      </x:c>
      <x:c r="R1002" s="1" t="n">
        <x:f>MAX(0,E1002+P1002-Q1002)</x:f>
        <x:v>136.91605749486652</x:v>
      </x:c>
      <x:c r="S1002" s="1" t="n">
        <x:f>MAX(0,Q1002-E1002-P1002)</x:f>
        <x:v>0</x:v>
      </x:c>
      <x:c r="T1002" s="1" t="str">
        <x:f>IF(L1002=1,MAX(0,I1002+AB1002-MIN(Q1002,E1002+P1002)),"n.a.")</x:f>
        <x:v>n.a.</x:v>
      </x:c>
      <x:c r="U1002" s="9" t="str">
        <x:f>IF(ISNUMBER(T1002),T1002*G1002,"n.a.")</x:f>
        <x:v>n.a.</x:v>
      </x:c>
      <x:c r="V1002" s="25" t="n">
        <x:f>IF(Dashboard!$I$6="Flat %",1,IF(ISNUMBER(H1002),1,0))</x:f>
        <x:v>1</x:v>
      </x:c>
      <x:c r="W1002" s="9" t="n">
        <x:f>IF(Dashboard!$I$6="Flat %",G1002*(1+Dashboard!$L$6),H1002)</x:f>
        <x:v>7.78</x:v>
      </x:c>
      <x:c r="X1002" s="9" t="n">
        <x:f>IF(V1002=1,R1002*(W1002-G1002),"n.a.")</x:f>
        <x:v>177.99087474332646</x:v>
      </x:c>
      <x:c r="Y1002" s="9" t="n">
        <x:f>IF(V1002=1,R1002*W1002,"n.a.")</x:f>
        <x:v>1065.2069273100615</x:v>
      </x:c>
      <x:c r="Z1002" s="1" t="str">
        <x:f>IF(ISNUMBER(T1002),R1002-T1002,"n.a.")</x:f>
        <x:v>n.a.</x:v>
      </x:c>
      <x:c r="AA1002" s="1" t="str">
        <x:f>'Inventory inputs'!R1002</x:f>
        <x:v>Review receipt reconciliation or original PO baseline</x:v>
      </x:c>
      <x:c r="AB1002" s="1" t="str">
        <x:f>IF(L1002=1,SUMIFS('Incoming POs'!$P$2:$P$305,'Incoming POs'!$A$2:$A$305,A1002,'Incoming POs'!$B$2:$B$305,B1002,'Incoming POs'!$C$2:$C$305,C1002,'Incoming POs'!$G$2:$G$305,"&gt;="&amp;D1002,'Incoming POs'!$G$2:$G$305,"&lt;"&amp;Dashboard!$I$5,'Incoming POs'!$Q$2:$Q$305,"&lt;="&amp;('Inventory inputs'!P1002/'Inventory inputs'!J1002*1.01)),"n.a.")</x:f>
        <x:v>n.a.</x:v>
      </x:c>
      <x:c r="AC1002" s="9" t="n">
        <x:f>I1002*G1002</x:f>
        <x:v>0</x:v>
      </x:c>
      <x:c r="AD1002" s="9" t="n">
        <x:f>J1002*G1002</x:f>
        <x:v>0</x:v>
      </x:c>
      <x:c r="AE1002" s="9" t="n">
        <x:f>K1002*G1002</x:f>
        <x:v>894.24</x:v>
      </x:c>
      <x:c r="AF1002" s="9" t="n">
        <x:f>R1002*G1002</x:f>
        <x:v>887.2160525667351</x:v>
      </x:c>
    </x:row>
    <x:row r="1003" ht="21" customHeight="1">
      <x:c r="A1003" s="1" t="str">
        <x:f>'Inventory inputs'!A1003</x:f>
        <x:v>FILM</x:v>
      </x:c>
      <x:c r="B1003" s="1" t="str">
        <x:f>'Inventory inputs'!B1003</x:f>
        <x:v>10</x:v>
      </x:c>
      <x:c r="C1003" s="1" t="str">
        <x:f>'Inventory inputs'!C1003</x:f>
        <x:v>ST382503M3</x:v>
      </x:c>
      <x:c r="D1003" s="7" t="n">
        <x:f>'Inventory inputs'!E1003</x:f>
        <x:v>46304</x:v>
      </x:c>
      <x:c r="E1003" s="1" t="n">
        <x:f>'Inventory inputs'!F1003</x:f>
        <x:v>24</x:v>
      </x:c>
      <x:c r="F1003" s="1" t="n">
        <x:f>'Inventory inputs'!G1003</x:f>
        <x:v>0.67</x:v>
      </x:c>
      <x:c r="G1003" s="1" t="n">
        <x:f>'Inventory inputs'!H1003/'Inventory inputs'!J1003</x:f>
        <x:v>62.13</x:v>
      </x:c>
      <x:c r="H1003" s="1" t="n">
        <x:f>IF('Inventory inputs'!I1003&gt;0,'Inventory inputs'!I1003*'Inventory inputs'!K1003/'Inventory inputs'!J1003,"n.a.")</x:f>
        <x:v>74.56</x:v>
      </x:c>
      <x:c r="I1003" s="1" t="n">
        <x:f>'Inventory inputs'!L1003</x:f>
        <x:v>0</x:v>
      </x:c>
      <x:c r="J1003" s="1" t="n">
        <x:f>'Inventory inputs'!M1003</x:f>
        <x:v>0</x:v>
      </x:c>
      <x:c r="K1003" s="1" t="n">
        <x:f>'Inventory inputs'!N1003</x:f>
        <x:v>24</x:v>
      </x:c>
      <x:c r="L1003" s="1" t="n">
        <x:f>'Inventory inputs'!O1003</x:f>
        <x:v>0</x:v>
      </x:c>
      <x:c r="M1003" s="9" t="n">
        <x:f>E1003*G1003</x:f>
        <x:v>1491.1200000000001</x:v>
      </x:c>
      <x:c r="N1003" s="9" t="n">
        <x:f>'Inventory inputs'!Q1003</x:f>
        <x:v>1491.1200000000001</x:v>
      </x:c>
      <x:c r="O1003" s="9" t="n">
        <x:f>N1003-M1003</x:f>
        <x:v>0</x:v>
      </x:c>
      <x:c r="P1003" s="1" t="n">
        <x:f>SUMIFS('Incoming POs'!$P$2:$P$305,'Incoming POs'!$A$2:$A$305,A1003,'Incoming POs'!$B$2:$B$305,B1003,'Incoming POs'!$C$2:$C$305,C1003,'Incoming POs'!$G$2:$G$305,"&gt;="&amp;D1003,'Incoming POs'!$G$2:$G$305,"&lt;"&amp;Dashboard!$I$5)</x:f>
        <x:v>0</x:v>
      </x:c>
      <x:c r="Q1003" s="1" t="n">
        <x:f>F1003*Dashboard!$L$5*MAX(0,Dashboard!$I$5-D1003)/30.4375</x:f>
        <x:v>0.8749897330595484</x:v>
      </x:c>
      <x:c r="R1003" s="1" t="n">
        <x:f>MAX(0,E1003+P1003-Q1003)</x:f>
        <x:v>23.12501026694045</x:v>
      </x:c>
      <x:c r="S1003" s="1" t="n">
        <x:f>MAX(0,Q1003-E1003-P1003)</x:f>
        <x:v>0</x:v>
      </x:c>
      <x:c r="T1003" s="1" t="str">
        <x:f>IF(L1003=1,MAX(0,I1003+AB1003-MIN(Q1003,E1003+P1003)),"n.a.")</x:f>
        <x:v>n.a.</x:v>
      </x:c>
      <x:c r="U1003" s="9" t="str">
        <x:f>IF(ISNUMBER(T1003),T1003*G1003,"n.a.")</x:f>
        <x:v>n.a.</x:v>
      </x:c>
      <x:c r="V1003" s="25" t="n">
        <x:f>IF(Dashboard!$I$6="Flat %",1,IF(ISNUMBER(H1003),1,0))</x:f>
        <x:v>1</x:v>
      </x:c>
      <x:c r="W1003" s="9" t="n">
        <x:f>IF(Dashboard!$I$6="Flat %",G1003*(1+Dashboard!$L$6),H1003)</x:f>
        <x:v>74.56</x:v>
      </x:c>
      <x:c r="X1003" s="9" t="n">
        <x:f>IF(V1003=1,R1003*(W1003-G1003),"n.a.")</x:f>
        <x:v>287.4438776180698</x:v>
      </x:c>
      <x:c r="Y1003" s="9" t="n">
        <x:f>IF(V1003=1,R1003*W1003,"n.a.")</x:f>
        <x:v>1724.20076550308</x:v>
      </x:c>
      <x:c r="Z1003" s="1" t="str">
        <x:f>IF(ISNUMBER(T1003),R1003-T1003,"n.a.")</x:f>
        <x:v>n.a.</x:v>
      </x:c>
      <x:c r="AA1003" s="1" t="str">
        <x:f>'Inventory inputs'!R1003</x:f>
        <x:v>Review receipt reconciliation or original PO baseline</x:v>
      </x:c>
      <x:c r="AB1003" s="1" t="str">
        <x:f>IF(L1003=1,SUMIFS('Incoming POs'!$P$2:$P$305,'Incoming POs'!$A$2:$A$305,A1003,'Incoming POs'!$B$2:$B$305,B1003,'Incoming POs'!$C$2:$C$305,C1003,'Incoming POs'!$G$2:$G$305,"&gt;="&amp;D1003,'Incoming POs'!$G$2:$G$305,"&lt;"&amp;Dashboard!$I$5,'Incoming POs'!$Q$2:$Q$305,"&lt;="&amp;('Inventory inputs'!P1003/'Inventory inputs'!J1003*1.01)),"n.a.")</x:f>
        <x:v>n.a.</x:v>
      </x:c>
      <x:c r="AC1003" s="9" t="n">
        <x:f>I1003*G1003</x:f>
        <x:v>0</x:v>
      </x:c>
      <x:c r="AD1003" s="9" t="n">
        <x:f>J1003*G1003</x:f>
        <x:v>0</x:v>
      </x:c>
      <x:c r="AE1003" s="9" t="n">
        <x:f>K1003*G1003</x:f>
        <x:v>1491.1200000000001</x:v>
      </x:c>
      <x:c r="AF1003" s="9" t="n">
        <x:f>R1003*G1003</x:f>
        <x:v>1436.7568878850102</x:v>
      </x:c>
    </x:row>
    <x:row r="1004" ht="21" customHeight="1">
      <x:c r="A1004" s="1" t="str">
        <x:f>'Inventory inputs'!A1004</x:f>
        <x:v>FILM</x:v>
      </x:c>
      <x:c r="B1004" s="1" t="str">
        <x:f>'Inventory inputs'!B1004</x:f>
        <x:v>10</x:v>
      </x:c>
      <x:c r="C1004" s="1" t="str">
        <x:f>'Inventory inputs'!C1004</x:f>
        <x:v>ST432503M3</x:v>
      </x:c>
      <x:c r="D1004" s="7" t="n">
        <x:f>'Inventory inputs'!E1004</x:f>
        <x:v>46304</x:v>
      </x:c>
      <x:c r="E1004" s="1" t="n">
        <x:f>'Inventory inputs'!F1004</x:f>
        <x:v>19</x:v>
      </x:c>
      <x:c r="F1004" s="1" t="n">
        <x:f>'Inventory inputs'!G1004</x:f>
        <x:v>0.67</x:v>
      </x:c>
      <x:c r="G1004" s="1" t="n">
        <x:f>'Inventory inputs'!H1004/'Inventory inputs'!J1004</x:f>
        <x:v>70.31</x:v>
      </x:c>
      <x:c r="H1004" s="1" t="n">
        <x:f>IF('Inventory inputs'!I1004&gt;0,'Inventory inputs'!I1004*'Inventory inputs'!K1004/'Inventory inputs'!J1004,"n.a.")</x:f>
        <x:v>84.37</x:v>
      </x:c>
      <x:c r="I1004" s="1" t="n">
        <x:f>'Inventory inputs'!L1004</x:f>
        <x:v>0</x:v>
      </x:c>
      <x:c r="J1004" s="1" t="n">
        <x:f>'Inventory inputs'!M1004</x:f>
        <x:v>0</x:v>
      </x:c>
      <x:c r="K1004" s="1" t="n">
        <x:f>'Inventory inputs'!N1004</x:f>
        <x:v>19</x:v>
      </x:c>
      <x:c r="L1004" s="1" t="n">
        <x:f>'Inventory inputs'!O1004</x:f>
        <x:v>0</x:v>
      </x:c>
      <x:c r="M1004" s="9" t="n">
        <x:f>E1004*G1004</x:f>
        <x:v>1335.89</x:v>
      </x:c>
      <x:c r="N1004" s="9" t="n">
        <x:f>'Inventory inputs'!Q1004</x:f>
        <x:v>1335.89</x:v>
      </x:c>
      <x:c r="O1004" s="9" t="n">
        <x:f>N1004-M1004</x:f>
        <x:v>0</x:v>
      </x:c>
      <x:c r="P1004" s="1" t="n">
        <x:f>SUMIFS('Incoming POs'!$P$2:$P$305,'Incoming POs'!$A$2:$A$305,A1004,'Incoming POs'!$B$2:$B$305,B1004,'Incoming POs'!$C$2:$C$305,C1004,'Incoming POs'!$G$2:$G$305,"&gt;="&amp;D1004,'Incoming POs'!$G$2:$G$305,"&lt;"&amp;Dashboard!$I$5)</x:f>
        <x:v>0</x:v>
      </x:c>
      <x:c r="Q1004" s="1" t="n">
        <x:f>F1004*Dashboard!$L$5*MAX(0,Dashboard!$I$5-D1004)/30.4375</x:f>
        <x:v>0.8749897330595484</x:v>
      </x:c>
      <x:c r="R1004" s="1" t="n">
        <x:f>MAX(0,E1004+P1004-Q1004)</x:f>
        <x:v>18.12501026694045</x:v>
      </x:c>
      <x:c r="S1004" s="1" t="n">
        <x:f>MAX(0,Q1004-E1004-P1004)</x:f>
        <x:v>0</x:v>
      </x:c>
      <x:c r="T1004" s="1" t="str">
        <x:f>IF(L1004=1,MAX(0,I1004+AB1004-MIN(Q1004,E1004+P1004)),"n.a.")</x:f>
        <x:v>n.a.</x:v>
      </x:c>
      <x:c r="U1004" s="9" t="str">
        <x:f>IF(ISNUMBER(T1004),T1004*G1004,"n.a.")</x:f>
        <x:v>n.a.</x:v>
      </x:c>
      <x:c r="V1004" s="25" t="n">
        <x:f>IF(Dashboard!$I$6="Flat %",1,IF(ISNUMBER(H1004),1,0))</x:f>
        <x:v>1</x:v>
      </x:c>
      <x:c r="W1004" s="9" t="n">
        <x:f>IF(Dashboard!$I$6="Flat %",G1004*(1+Dashboard!$L$6),H1004)</x:f>
        <x:v>84.37</x:v>
      </x:c>
      <x:c r="X1004" s="9" t="n">
        <x:f>IF(V1004=1,R1004*(W1004-G1004),"n.a.")</x:f>
        <x:v>254.83764435318275</x:v>
      </x:c>
      <x:c r="Y1004" s="9" t="n">
        <x:f>IF(V1004=1,R1004*W1004,"n.a.")</x:f>
        <x:v>1529.2071162217658</x:v>
      </x:c>
      <x:c r="Z1004" s="1" t="str">
        <x:f>IF(ISNUMBER(T1004),R1004-T1004,"n.a.")</x:f>
        <x:v>n.a.</x:v>
      </x:c>
      <x:c r="AA1004" s="1" t="str">
        <x:f>'Inventory inputs'!R1004</x:f>
        <x:v>Review receipt reconciliation or original PO baseline</x:v>
      </x:c>
      <x:c r="AB1004" s="1" t="str">
        <x:f>IF(L1004=1,SUMIFS('Incoming POs'!$P$2:$P$305,'Incoming POs'!$A$2:$A$305,A1004,'Incoming POs'!$B$2:$B$305,B1004,'Incoming POs'!$C$2:$C$305,C1004,'Incoming POs'!$G$2:$G$305,"&gt;="&amp;D1004,'Incoming POs'!$G$2:$G$305,"&lt;"&amp;Dashboard!$I$5,'Incoming POs'!$Q$2:$Q$305,"&lt;="&amp;('Inventory inputs'!P1004/'Inventory inputs'!J1004*1.01)),"n.a.")</x:f>
        <x:v>n.a.</x:v>
      </x:c>
      <x:c r="AC1004" s="9" t="n">
        <x:f>I1004*G1004</x:f>
        <x:v>0</x:v>
      </x:c>
      <x:c r="AD1004" s="9" t="n">
        <x:f>J1004*G1004</x:f>
        <x:v>0</x:v>
      </x:c>
      <x:c r="AE1004" s="9" t="n">
        <x:f>K1004*G1004</x:f>
        <x:v>1335.89</x:v>
      </x:c>
      <x:c r="AF1004" s="9" t="n">
        <x:f>R1004*G1004</x:f>
        <x:v>1274.369471868583</x:v>
      </x:c>
    </x:row>
    <x:row r="1005" ht="21" customHeight="1">
      <x:c r="A1005" s="1" t="str">
        <x:f>'Inventory inputs'!A1005</x:f>
        <x:v>FILM</x:v>
      </x:c>
      <x:c r="B1005" s="1" t="str">
        <x:f>'Inventory inputs'!B1005</x:f>
        <x:v>30</x:v>
      </x:c>
      <x:c r="C1005" s="1" t="str">
        <x:f>'Inventory inputs'!C1005</x:f>
        <x:v>255003C1</x:v>
      </x:c>
      <x:c r="D1005" s="7" t="n">
        <x:f>'Inventory inputs'!E1005</x:f>
        <x:v>46304</x:v>
      </x:c>
      <x:c r="E1005" s="1" t="n">
        <x:f>'Inventory inputs'!F1005</x:f>
        <x:v>58</x:v>
      </x:c>
      <x:c r="F1005" s="1" t="n">
        <x:f>'Inventory inputs'!G1005</x:f>
        <x:v>0.67</x:v>
      </x:c>
      <x:c r="G1005" s="1" t="n">
        <x:f>'Inventory inputs'!H1005/'Inventory inputs'!J1005</x:f>
        <x:v>29.25</x:v>
      </x:c>
      <x:c r="H1005" s="1" t="n">
        <x:f>IF('Inventory inputs'!I1005&gt;0,'Inventory inputs'!I1005*'Inventory inputs'!K1005/'Inventory inputs'!J1005,"n.a.")</x:f>
        <x:v>35.1</x:v>
      </x:c>
      <x:c r="I1005" s="1" t="n">
        <x:f>'Inventory inputs'!L1005</x:f>
        <x:v>58</x:v>
      </x:c>
      <x:c r="J1005" s="1" t="n">
        <x:f>'Inventory inputs'!M1005</x:f>
        <x:v>0</x:v>
      </x:c>
      <x:c r="K1005" s="1" t="n">
        <x:f>'Inventory inputs'!N1005</x:f>
        <x:v>0</x:v>
      </x:c>
      <x:c r="L1005" s="1" t="n">
        <x:f>'Inventory inputs'!O1005</x:f>
        <x:v>1</x:v>
      </x:c>
      <x:c r="M1005" s="9" t="n">
        <x:f>E1005*G1005</x:f>
        <x:v>1696.5</x:v>
      </x:c>
      <x:c r="N1005" s="9" t="n">
        <x:f>'Inventory inputs'!Q1005</x:f>
        <x:v>1696.5</x:v>
      </x:c>
      <x:c r="O1005" s="9" t="n">
        <x:f>N1005-M1005</x:f>
        <x:v>0</x:v>
      </x:c>
      <x:c r="P1005" s="1" t="n">
        <x:f>SUMIFS('Incoming POs'!$P$2:$P$305,'Incoming POs'!$A$2:$A$305,A1005,'Incoming POs'!$B$2:$B$305,B1005,'Incoming POs'!$C$2:$C$305,C1005,'Incoming POs'!$G$2:$G$305,"&gt;="&amp;D1005,'Incoming POs'!$G$2:$G$305,"&lt;"&amp;Dashboard!$I$5)</x:f>
        <x:v>0</x:v>
      </x:c>
      <x:c r="Q1005" s="1" t="n">
        <x:f>F1005*Dashboard!$L$5*MAX(0,Dashboard!$I$5-D1005)/30.4375</x:f>
        <x:v>0.8749897330595484</x:v>
      </x:c>
      <x:c r="R1005" s="1" t="n">
        <x:f>MAX(0,E1005+P1005-Q1005)</x:f>
        <x:v>57.12501026694045</x:v>
      </x:c>
      <x:c r="S1005" s="1" t="n">
        <x:f>MAX(0,Q1005-E1005-P1005)</x:f>
        <x:v>0</x:v>
      </x:c>
      <x:c r="T1005" s="1" t="n">
        <x:f>IF(L1005=1,MAX(0,I1005+AB1005-MIN(Q1005,E1005+P1005)),"n.a.")</x:f>
        <x:v>57.12501026694045</x:v>
      </x:c>
      <x:c r="U1005" s="9" t="n">
        <x:f>IF(ISNUMBER(T1005),T1005*G1005,"n.a.")</x:f>
        <x:v>1670.9065503080083</x:v>
      </x:c>
      <x:c r="V1005" s="25" t="n">
        <x:f>IF(Dashboard!$I$6="Flat %",1,IF(ISNUMBER(H1005),1,0))</x:f>
        <x:v>1</x:v>
      </x:c>
      <x:c r="W1005" s="9" t="n">
        <x:f>IF(Dashboard!$I$6="Flat %",G1005*(1+Dashboard!$L$6),H1005)</x:f>
        <x:v>35.1</x:v>
      </x:c>
      <x:c r="X1005" s="9" t="n">
        <x:f>IF(V1005=1,R1005*(W1005-G1005),"n.a.")</x:f>
        <x:v>334.1813100616017</x:v>
      </x:c>
      <x:c r="Y1005" s="9" t="n">
        <x:f>IF(V1005=1,R1005*W1005,"n.a.")</x:f>
        <x:v>2005.0878603696099</x:v>
      </x:c>
      <x:c r="Z1005" s="1" t="n">
        <x:f>IF(ISNUMBER(T1005),R1005-T1005,"n.a.")</x:f>
        <x:v>0</x:v>
      </x:c>
      <x:c r="AA1005" s="1" t="str">
        <x:f>'Inventory inputs'!R1005</x:f>
        <x:v>Classified</x:v>
      </x:c>
      <x:c r="AB1005" s="1" t="n">
        <x:f>IF(L1005=1,SUMIFS('Incoming POs'!$P$2:$P$305,'Incoming POs'!$A$2:$A$305,A1005,'Incoming POs'!$B$2:$B$305,B1005,'Incoming POs'!$C$2:$C$305,C1005,'Incoming POs'!$G$2:$G$305,"&gt;="&amp;D1005,'Incoming POs'!$G$2:$G$305,"&lt;"&amp;Dashboard!$I$5,'Incoming POs'!$Q$2:$Q$305,"&lt;="&amp;('Inventory inputs'!P1005/'Inventory inputs'!J1005*1.01)),"n.a.")</x:f>
        <x:v>0</x:v>
      </x:c>
      <x:c r="AC1005" s="9" t="n">
        <x:f>I1005*G1005</x:f>
        <x:v>1696.5</x:v>
      </x:c>
      <x:c r="AD1005" s="9" t="n">
        <x:f>J1005*G1005</x:f>
        <x:v>0</x:v>
      </x:c>
      <x:c r="AE1005" s="9" t="n">
        <x:f>K1005*G1005</x:f>
        <x:v>0</x:v>
      </x:c>
      <x:c r="AF1005" s="9" t="n">
        <x:f>R1005*G1005</x:f>
        <x:v>1670.9065503080083</x:v>
      </x:c>
    </x:row>
    <x:row r="1006" ht="21" customHeight="1">
      <x:c r="A1006" s="1" t="str">
        <x:f>'Inventory inputs'!A1006</x:f>
        <x:v>FILM</x:v>
      </x:c>
      <x:c r="B1006" s="1" t="str">
        <x:f>'Inventory inputs'!B1006</x:f>
        <x:v>30</x:v>
      </x:c>
      <x:c r="C1006" s="1" t="str">
        <x:f>'Inventory inputs'!C1006</x:f>
        <x:v>PR402503C2</x:v>
      </x:c>
      <x:c r="D1006" s="7" t="n">
        <x:f>'Inventory inputs'!E1006</x:f>
        <x:v>46304</x:v>
      </x:c>
      <x:c r="E1006" s="1" t="n">
        <x:f>'Inventory inputs'!F1006</x:f>
        <x:v>96</x:v>
      </x:c>
      <x:c r="F1006" s="1" t="n">
        <x:f>'Inventory inputs'!G1006</x:f>
        <x:v>0.67</x:v>
      </x:c>
      <x:c r="G1006" s="1" t="n">
        <x:f>'Inventory inputs'!H1006/'Inventory inputs'!J1006</x:f>
        <x:v>27</x:v>
      </x:c>
      <x:c r="H1006" s="1" t="n">
        <x:f>IF('Inventory inputs'!I1006&gt;0,'Inventory inputs'!I1006*'Inventory inputs'!K1006/'Inventory inputs'!J1006,"n.a.")</x:f>
        <x:v>32.4</x:v>
      </x:c>
      <x:c r="I1006" s="1" t="n">
        <x:f>'Inventory inputs'!L1006</x:f>
        <x:v>96</x:v>
      </x:c>
      <x:c r="J1006" s="1" t="n">
        <x:f>'Inventory inputs'!M1006</x:f>
        <x:v>0</x:v>
      </x:c>
      <x:c r="K1006" s="1" t="n">
        <x:f>'Inventory inputs'!N1006</x:f>
        <x:v>0</x:v>
      </x:c>
      <x:c r="L1006" s="1" t="n">
        <x:f>'Inventory inputs'!O1006</x:f>
        <x:v>1</x:v>
      </x:c>
      <x:c r="M1006" s="9" t="n">
        <x:f>E1006*G1006</x:f>
        <x:v>2592</x:v>
      </x:c>
      <x:c r="N1006" s="9" t="n">
        <x:f>'Inventory inputs'!Q1006</x:f>
        <x:v>2592</x:v>
      </x:c>
      <x:c r="O1006" s="9" t="n">
        <x:f>N1006-M1006</x:f>
        <x:v>0</x:v>
      </x:c>
      <x:c r="P1006" s="1" t="n">
        <x:f>SUMIFS('Incoming POs'!$P$2:$P$305,'Incoming POs'!$A$2:$A$305,A1006,'Incoming POs'!$B$2:$B$305,B1006,'Incoming POs'!$C$2:$C$305,C1006,'Incoming POs'!$G$2:$G$305,"&gt;="&amp;D1006,'Incoming POs'!$G$2:$G$305,"&lt;"&amp;Dashboard!$I$5)</x:f>
        <x:v>0</x:v>
      </x:c>
      <x:c r="Q1006" s="1" t="n">
        <x:f>F1006*Dashboard!$L$5*MAX(0,Dashboard!$I$5-D1006)/30.4375</x:f>
        <x:v>0.8749897330595484</x:v>
      </x:c>
      <x:c r="R1006" s="1" t="n">
        <x:f>MAX(0,E1006+P1006-Q1006)</x:f>
        <x:v>95.12501026694045</x:v>
      </x:c>
      <x:c r="S1006" s="1" t="n">
        <x:f>MAX(0,Q1006-E1006-P1006)</x:f>
        <x:v>0</x:v>
      </x:c>
      <x:c r="T1006" s="1" t="n">
        <x:f>IF(L1006=1,MAX(0,I1006+AB1006-MIN(Q1006,E1006+P1006)),"n.a.")</x:f>
        <x:v>95.12501026694045</x:v>
      </x:c>
      <x:c r="U1006" s="9" t="n">
        <x:f>IF(ISNUMBER(T1006),T1006*G1006,"n.a.")</x:f>
        <x:v>2568.375277207392</x:v>
      </x:c>
      <x:c r="V1006" s="25" t="n">
        <x:f>IF(Dashboard!$I$6="Flat %",1,IF(ISNUMBER(H1006),1,0))</x:f>
        <x:v>1</x:v>
      </x:c>
      <x:c r="W1006" s="9" t="n">
        <x:f>IF(Dashboard!$I$6="Flat %",G1006*(1+Dashboard!$L$6),H1006)</x:f>
        <x:v>32.4</x:v>
      </x:c>
      <x:c r="X1006" s="9" t="n">
        <x:f>IF(V1006=1,R1006*(W1006-G1006),"n.a.")</x:f>
        <x:v>513.6750554414783</x:v>
      </x:c>
      <x:c r="Y1006" s="9" t="n">
        <x:f>IF(V1006=1,R1006*W1006,"n.a.")</x:f>
        <x:v>3082.0503326488706</x:v>
      </x:c>
      <x:c r="Z1006" s="1" t="n">
        <x:f>IF(ISNUMBER(T1006),R1006-T1006,"n.a.")</x:f>
        <x:v>0</x:v>
      </x:c>
      <x:c r="AA1006" s="1" t="str">
        <x:f>'Inventory inputs'!R1006</x:f>
        <x:v>Classified</x:v>
      </x:c>
      <x:c r="AB1006" s="1" t="n">
        <x:f>IF(L1006=1,SUMIFS('Incoming POs'!$P$2:$P$305,'Incoming POs'!$A$2:$A$305,A1006,'Incoming POs'!$B$2:$B$305,B1006,'Incoming POs'!$C$2:$C$305,C1006,'Incoming POs'!$G$2:$G$305,"&gt;="&amp;D1006,'Incoming POs'!$G$2:$G$305,"&lt;"&amp;Dashboard!$I$5,'Incoming POs'!$Q$2:$Q$305,"&lt;="&amp;('Inventory inputs'!P1006/'Inventory inputs'!J1006*1.01)),"n.a.")</x:f>
        <x:v>0</x:v>
      </x:c>
      <x:c r="AC1006" s="9" t="n">
        <x:f>I1006*G1006</x:f>
        <x:v>2592</x:v>
      </x:c>
      <x:c r="AD1006" s="9" t="n">
        <x:f>J1006*G1006</x:f>
        <x:v>0</x:v>
      </x:c>
      <x:c r="AE1006" s="9" t="n">
        <x:f>K1006*G1006</x:f>
        <x:v>0</x:v>
      </x:c>
      <x:c r="AF1006" s="9" t="n">
        <x:f>R1006*G1006</x:f>
        <x:v>2568.375277207392</x:v>
      </x:c>
    </x:row>
    <x:row r="1007" ht="21" customHeight="1">
      <x:c r="A1007" s="1" t="str">
        <x:f>'Inventory inputs'!A1007</x:f>
        <x:v>FILM</x:v>
      </x:c>
      <x:c r="B1007" s="1" t="str">
        <x:f>'Inventory inputs'!B1007</x:f>
        <x:v>10</x:v>
      </x:c>
      <x:c r="C1007" s="1" t="str">
        <x:f>'Inventory inputs'!C1007</x:f>
        <x:v>122005C2</x:v>
      </x:c>
      <x:c r="D1007" s="7" t="n">
        <x:f>'Inventory inputs'!E1007</x:f>
        <x:v>46304</x:v>
      </x:c>
      <x:c r="E1007" s="1" t="n">
        <x:f>'Inventory inputs'!F1007</x:f>
        <x:v>4</x:v>
      </x:c>
      <x:c r="F1007" s="1" t="n">
        <x:f>'Inventory inputs'!G1007</x:f>
        <x:v>0.5</x:v>
      </x:c>
      <x:c r="G1007" s="1" t="n">
        <x:f>'Inventory inputs'!H1007/'Inventory inputs'!J1007</x:f>
        <x:v>7.74</x:v>
      </x:c>
      <x:c r="H1007" s="1" t="str">
        <x:f>IF('Inventory inputs'!I1007&gt;0,'Inventory inputs'!I1007*'Inventory inputs'!K1007/'Inventory inputs'!J1007,"n.a.")</x:f>
        <x:v>n.a.</x:v>
      </x:c>
      <x:c r="I1007" s="1" t="n">
        <x:f>'Inventory inputs'!L1007</x:f>
        <x:v>0</x:v>
      </x:c>
      <x:c r="J1007" s="1" t="n">
        <x:f>'Inventory inputs'!M1007</x:f>
        <x:v>0</x:v>
      </x:c>
      <x:c r="K1007" s="1" t="n">
        <x:f>'Inventory inputs'!N1007</x:f>
        <x:v>4</x:v>
      </x:c>
      <x:c r="L1007" s="1" t="n">
        <x:f>'Inventory inputs'!O1007</x:f>
        <x:v>0</x:v>
      </x:c>
      <x:c r="M1007" s="9" t="n">
        <x:f>E1007*G1007</x:f>
        <x:v>30.96</x:v>
      </x:c>
      <x:c r="N1007" s="9" t="n">
        <x:f>'Inventory inputs'!Q1007</x:f>
        <x:v>30.96</x:v>
      </x:c>
      <x:c r="O1007" s="9" t="n">
        <x:f>N1007-M1007</x:f>
        <x:v>0</x:v>
      </x:c>
      <x:c r="P1007" s="1" t="n">
        <x:f>SUMIFS('Incoming POs'!$P$2:$P$305,'Incoming POs'!$A$2:$A$305,A1007,'Incoming POs'!$B$2:$B$305,B1007,'Incoming POs'!$C$2:$C$305,C1007,'Incoming POs'!$G$2:$G$305,"&gt;="&amp;D1007,'Incoming POs'!$G$2:$G$305,"&lt;"&amp;Dashboard!$I$5)</x:f>
        <x:v>0</x:v>
      </x:c>
      <x:c r="Q1007" s="1" t="n">
        <x:f>F1007*Dashboard!$L$5*MAX(0,Dashboard!$I$5-D1007)/30.4375</x:f>
        <x:v>0.6529774127310062</x:v>
      </x:c>
      <x:c r="R1007" s="1" t="n">
        <x:f>MAX(0,E1007+P1007-Q1007)</x:f>
        <x:v>3.347022587268994</x:v>
      </x:c>
      <x:c r="S1007" s="1" t="n">
        <x:f>MAX(0,Q1007-E1007-P1007)</x:f>
        <x:v>0</x:v>
      </x:c>
      <x:c r="T1007" s="1" t="str">
        <x:f>IF(L1007=1,MAX(0,I1007+AB1007-MIN(Q1007,E1007+P1007)),"n.a.")</x:f>
        <x:v>n.a.</x:v>
      </x:c>
      <x:c r="U1007" s="9" t="str">
        <x:f>IF(ISNUMBER(T1007),T1007*G1007,"n.a.")</x:f>
        <x:v>n.a.</x:v>
      </x:c>
      <x:c r="V1007" s="25" t="n">
        <x:f>IF(Dashboard!$I$6="Flat %",1,IF(ISNUMBER(H1007),1,0))</x:f>
        <x:v>0</x:v>
      </x:c>
      <x:c r="W1007" s="9" t="str">
        <x:f>IF(Dashboard!$I$6="Flat %",G1007*(1+Dashboard!$L$6),H1007)</x:f>
        <x:v>n.a.</x:v>
      </x:c>
      <x:c r="X1007" s="9" t="str">
        <x:f>IF(V1007=1,R1007*(W1007-G1007),"n.a.")</x:f>
        <x:v>n.a.</x:v>
      </x:c>
      <x:c r="Y1007" s="9" t="str">
        <x:f>IF(V1007=1,R1007*W1007,"n.a.")</x:f>
        <x:v>n.a.</x:v>
      </x:c>
      <x:c r="Z1007" s="1" t="str">
        <x:f>IF(ISNUMBER(T1007),R1007-T1007,"n.a.")</x:f>
        <x:v>n.a.</x:v>
      </x:c>
      <x:c r="AA1007" s="1" t="str">
        <x:f>'Inventory inputs'!R1007</x:f>
        <x:v>Review receipt reconciliation or original PO baseline</x:v>
      </x:c>
      <x:c r="AB1007" s="1" t="str">
        <x:f>IF(L1007=1,SUMIFS('Incoming POs'!$P$2:$P$305,'Incoming POs'!$A$2:$A$305,A1007,'Incoming POs'!$B$2:$B$305,B1007,'Incoming POs'!$C$2:$C$305,C1007,'Incoming POs'!$G$2:$G$305,"&gt;="&amp;D1007,'Incoming POs'!$G$2:$G$305,"&lt;"&amp;Dashboard!$I$5,'Incoming POs'!$Q$2:$Q$305,"&lt;="&amp;('Inventory inputs'!P1007/'Inventory inputs'!J1007*1.01)),"n.a.")</x:f>
        <x:v>n.a.</x:v>
      </x:c>
      <x:c r="AC1007" s="9" t="n">
        <x:f>I1007*G1007</x:f>
        <x:v>0</x:v>
      </x:c>
      <x:c r="AD1007" s="9" t="n">
        <x:f>J1007*G1007</x:f>
        <x:v>0</x:v>
      </x:c>
      <x:c r="AE1007" s="9" t="n">
        <x:f>K1007*G1007</x:f>
        <x:v>30.96</x:v>
      </x:c>
      <x:c r="AF1007" s="9" t="n">
        <x:f>R1007*G1007</x:f>
        <x:v>25.90595482546201</x:v>
      </x:c>
    </x:row>
    <x:row r="1008" ht="21" customHeight="1">
      <x:c r="A1008" s="1" t="str">
        <x:f>'Inventory inputs'!A1008</x:f>
        <x:v>FILM</x:v>
      </x:c>
      <x:c r="B1008" s="1" t="str">
        <x:f>'Inventory inputs'!B1008</x:f>
        <x:v>10</x:v>
      </x:c>
      <x:c r="C1008" s="1" t="str">
        <x:f>'Inventory inputs'!C1008</x:f>
        <x:v>92005C1</x:v>
      </x:c>
      <x:c r="D1008" s="7" t="n">
        <x:f>'Inventory inputs'!E1008</x:f>
        <x:v>46304</x:v>
      </x:c>
      <x:c r="E1008" s="1" t="n">
        <x:f>'Inventory inputs'!F1008</x:f>
        <x:v>0</x:v>
      </x:c>
      <x:c r="F1008" s="1" t="n">
        <x:f>'Inventory inputs'!G1008</x:f>
        <x:v>0.5</x:v>
      </x:c>
      <x:c r="G1008" s="1" t="n">
        <x:f>'Inventory inputs'!H1008/'Inventory inputs'!J1008</x:f>
        <x:v>5.14</x:v>
      </x:c>
      <x:c r="H1008" s="1" t="str">
        <x:f>IF('Inventory inputs'!I1008&gt;0,'Inventory inputs'!I1008*'Inventory inputs'!K1008/'Inventory inputs'!J1008,"n.a.")</x:f>
        <x:v>n.a.</x:v>
      </x:c>
      <x:c r="I1008" s="1" t="n">
        <x:f>'Inventory inputs'!L1008</x:f>
        <x:v>0</x:v>
      </x:c>
      <x:c r="J1008" s="1" t="n">
        <x:f>'Inventory inputs'!M1008</x:f>
        <x:v>0</x:v>
      </x:c>
      <x:c r="K1008" s="1" t="n">
        <x:f>'Inventory inputs'!N1008</x:f>
        <x:v>0</x:v>
      </x:c>
      <x:c r="L1008" s="1" t="n">
        <x:f>'Inventory inputs'!O1008</x:f>
        <x:v>0</x:v>
      </x:c>
      <x:c r="M1008" s="9" t="n">
        <x:f>E1008*G1008</x:f>
        <x:v>0</x:v>
      </x:c>
      <x:c r="N1008" s="9" t="n">
        <x:f>'Inventory inputs'!Q1008</x:f>
        <x:v>0</x:v>
      </x:c>
      <x:c r="O1008" s="9" t="n">
        <x:f>N1008-M1008</x:f>
        <x:v>0</x:v>
      </x:c>
      <x:c r="P1008" s="1" t="n">
        <x:f>SUMIFS('Incoming POs'!$P$2:$P$305,'Incoming POs'!$A$2:$A$305,A1008,'Incoming POs'!$B$2:$B$305,B1008,'Incoming POs'!$C$2:$C$305,C1008,'Incoming POs'!$G$2:$G$305,"&gt;="&amp;D1008,'Incoming POs'!$G$2:$G$305,"&lt;"&amp;Dashboard!$I$5)</x:f>
        <x:v>0</x:v>
      </x:c>
      <x:c r="Q1008" s="1" t="n">
        <x:f>F1008*Dashboard!$L$5*MAX(0,Dashboard!$I$5-D1008)/30.4375</x:f>
        <x:v>0.6529774127310062</x:v>
      </x:c>
      <x:c r="R1008" s="1" t="n">
        <x:f>MAX(0,E1008+P1008-Q1008)</x:f>
        <x:v>0</x:v>
      </x:c>
      <x:c r="S1008" s="1" t="n">
        <x:f>MAX(0,Q1008-E1008-P1008)</x:f>
        <x:v>0.6529774127310062</x:v>
      </x:c>
      <x:c r="T1008" s="1" t="str">
        <x:f>IF(L1008=1,MAX(0,I1008+AB1008-MIN(Q1008,E1008+P1008)),"n.a.")</x:f>
        <x:v>n.a.</x:v>
      </x:c>
      <x:c r="U1008" s="9" t="str">
        <x:f>IF(ISNUMBER(T1008),T1008*G1008,"n.a.")</x:f>
        <x:v>n.a.</x:v>
      </x:c>
      <x:c r="V1008" s="25" t="n">
        <x:f>IF(Dashboard!$I$6="Flat %",1,IF(ISNUMBER(H1008),1,0))</x:f>
        <x:v>0</x:v>
      </x:c>
      <x:c r="W1008" s="9" t="str">
        <x:f>IF(Dashboard!$I$6="Flat %",G1008*(1+Dashboard!$L$6),H1008)</x:f>
        <x:v>n.a.</x:v>
      </x:c>
      <x:c r="X1008" s="9" t="str">
        <x:f>IF(V1008=1,R1008*(W1008-G1008),"n.a.")</x:f>
        <x:v>n.a.</x:v>
      </x:c>
      <x:c r="Y1008" s="9" t="str">
        <x:f>IF(V1008=1,R1008*W1008,"n.a.")</x:f>
        <x:v>n.a.</x:v>
      </x:c>
      <x:c r="Z1008" s="1" t="str">
        <x:f>IF(ISNUMBER(T1008),R1008-T1008,"n.a.")</x:f>
        <x:v>n.a.</x:v>
      </x:c>
      <x:c r="AA1008" s="1" t="str">
        <x:f>'Inventory inputs'!R1008</x:f>
        <x:v>Review receipt reconciliation or original PO baseline</x:v>
      </x:c>
      <x:c r="AB1008" s="1" t="str">
        <x:f>IF(L1008=1,SUMIFS('Incoming POs'!$P$2:$P$305,'Incoming POs'!$A$2:$A$305,A1008,'Incoming POs'!$B$2:$B$305,B1008,'Incoming POs'!$C$2:$C$305,C1008,'Incoming POs'!$G$2:$G$305,"&gt;="&amp;D1008,'Incoming POs'!$G$2:$G$305,"&lt;"&amp;Dashboard!$I$5,'Incoming POs'!$Q$2:$Q$305,"&lt;="&amp;('Inventory inputs'!P1008/'Inventory inputs'!J1008*1.01)),"n.a.")</x:f>
        <x:v>n.a.</x:v>
      </x:c>
      <x:c r="AC1008" s="9" t="n">
        <x:f>I1008*G1008</x:f>
        <x:v>0</x:v>
      </x:c>
      <x:c r="AD1008" s="9" t="n">
        <x:f>J1008*G1008</x:f>
        <x:v>0</x:v>
      </x:c>
      <x:c r="AE1008" s="9" t="n">
        <x:f>K1008*G1008</x:f>
        <x:v>0</x:v>
      </x:c>
      <x:c r="AF1008" s="9" t="n">
        <x:f>R1008*G1008</x:f>
        <x:v>0</x:v>
      </x:c>
    </x:row>
    <x:row r="1009" ht="21" customHeight="1">
      <x:c r="A1009" s="1" t="str">
        <x:f>'Inventory inputs'!A1009</x:f>
        <x:v>FILM</x:v>
      </x:c>
      <x:c r="B1009" s="1" t="str">
        <x:f>'Inventory inputs'!B1009</x:f>
        <x:v>30</x:v>
      </x:c>
      <x:c r="C1009" s="1" t="str">
        <x:f>'Inventory inputs'!C1009</x:f>
        <x:v>122503C1</x:v>
      </x:c>
      <x:c r="D1009" s="7" t="n">
        <x:f>'Inventory inputs'!E1009</x:f>
        <x:v>46304</x:v>
      </x:c>
      <x:c r="E1009" s="1" t="n">
        <x:f>'Inventory inputs'!F1009</x:f>
        <x:v>65</x:v>
      </x:c>
      <x:c r="F1009" s="1" t="n">
        <x:f>'Inventory inputs'!G1009</x:f>
        <x:v>0.5</x:v>
      </x:c>
      <x:c r="G1009" s="1" t="n">
        <x:f>'Inventory inputs'!H1009/'Inventory inputs'!J1009</x:f>
        <x:v>7.02</x:v>
      </x:c>
      <x:c r="H1009" s="1" t="n">
        <x:f>IF('Inventory inputs'!I1009&gt;0,'Inventory inputs'!I1009*'Inventory inputs'!K1009/'Inventory inputs'!J1009,"n.a.")</x:f>
        <x:v>8.42</x:v>
      </x:c>
      <x:c r="I1009" s="1" t="n">
        <x:f>'Inventory inputs'!L1009</x:f>
        <x:v>0</x:v>
      </x:c>
      <x:c r="J1009" s="1" t="n">
        <x:f>'Inventory inputs'!M1009</x:f>
        <x:v>0</x:v>
      </x:c>
      <x:c r="K1009" s="1" t="n">
        <x:f>'Inventory inputs'!N1009</x:f>
        <x:v>65</x:v>
      </x:c>
      <x:c r="L1009" s="1" t="n">
        <x:f>'Inventory inputs'!O1009</x:f>
        <x:v>0</x:v>
      </x:c>
      <x:c r="M1009" s="9" t="n">
        <x:f>E1009*G1009</x:f>
        <x:v>456.29999999999995</x:v>
      </x:c>
      <x:c r="N1009" s="9" t="n">
        <x:f>'Inventory inputs'!Q1009</x:f>
        <x:v>456.29999999999995</x:v>
      </x:c>
      <x:c r="O1009" s="9" t="n">
        <x:f>N1009-M1009</x:f>
        <x:v>0</x:v>
      </x:c>
      <x:c r="P1009" s="1" t="n">
        <x:f>SUMIFS('Incoming POs'!$P$2:$P$305,'Incoming POs'!$A$2:$A$305,A1009,'Incoming POs'!$B$2:$B$305,B1009,'Incoming POs'!$C$2:$C$305,C1009,'Incoming POs'!$G$2:$G$305,"&gt;="&amp;D1009,'Incoming POs'!$G$2:$G$305,"&lt;"&amp;Dashboard!$I$5)</x:f>
        <x:v>0</x:v>
      </x:c>
      <x:c r="Q1009" s="1" t="n">
        <x:f>F1009*Dashboard!$L$5*MAX(0,Dashboard!$I$5-D1009)/30.4375</x:f>
        <x:v>0.6529774127310062</x:v>
      </x:c>
      <x:c r="R1009" s="1" t="n">
        <x:f>MAX(0,E1009+P1009-Q1009)</x:f>
        <x:v>64.347022587269</x:v>
      </x:c>
      <x:c r="S1009" s="1" t="n">
        <x:f>MAX(0,Q1009-E1009-P1009)</x:f>
        <x:v>0</x:v>
      </x:c>
      <x:c r="T1009" s="1" t="str">
        <x:f>IF(L1009=1,MAX(0,I1009+AB1009-MIN(Q1009,E1009+P1009)),"n.a.")</x:f>
        <x:v>n.a.</x:v>
      </x:c>
      <x:c r="U1009" s="9" t="str">
        <x:f>IF(ISNUMBER(T1009),T1009*G1009,"n.a.")</x:f>
        <x:v>n.a.</x:v>
      </x:c>
      <x:c r="V1009" s="25" t="n">
        <x:f>IF(Dashboard!$I$6="Flat %",1,IF(ISNUMBER(H1009),1,0))</x:f>
        <x:v>1</x:v>
      </x:c>
      <x:c r="W1009" s="9" t="n">
        <x:f>IF(Dashboard!$I$6="Flat %",G1009*(1+Dashboard!$L$6),H1009)</x:f>
        <x:v>8.42</x:v>
      </x:c>
      <x:c r="X1009" s="9" t="n">
        <x:f>IF(V1009=1,R1009*(W1009-G1009),"n.a.")</x:f>
        <x:v>90.08583162217661</x:v>
      </x:c>
      <x:c r="Y1009" s="9" t="n">
        <x:f>IF(V1009=1,R1009*W1009,"n.a.")</x:f>
        <x:v>541.801930184805</x:v>
      </x:c>
      <x:c r="Z1009" s="1" t="str">
        <x:f>IF(ISNUMBER(T1009),R1009-T1009,"n.a.")</x:f>
        <x:v>n.a.</x:v>
      </x:c>
      <x:c r="AA1009" s="1" t="str">
        <x:f>'Inventory inputs'!R1009</x:f>
        <x:v>Review receipt reconciliation or original PO baseline</x:v>
      </x:c>
      <x:c r="AB1009" s="1" t="str">
        <x:f>IF(L1009=1,SUMIFS('Incoming POs'!$P$2:$P$305,'Incoming POs'!$A$2:$A$305,A1009,'Incoming POs'!$B$2:$B$305,B1009,'Incoming POs'!$C$2:$C$305,C1009,'Incoming POs'!$G$2:$G$305,"&gt;="&amp;D1009,'Incoming POs'!$G$2:$G$305,"&lt;"&amp;Dashboard!$I$5,'Incoming POs'!$Q$2:$Q$305,"&lt;="&amp;('Inventory inputs'!P1009/'Inventory inputs'!J1009*1.01)),"n.a.")</x:f>
        <x:v>n.a.</x:v>
      </x:c>
      <x:c r="AC1009" s="9" t="n">
        <x:f>I1009*G1009</x:f>
        <x:v>0</x:v>
      </x:c>
      <x:c r="AD1009" s="9" t="n">
        <x:f>J1009*G1009</x:f>
        <x:v>0</x:v>
      </x:c>
      <x:c r="AE1009" s="9" t="n">
        <x:f>K1009*G1009</x:f>
        <x:v>456.29999999999995</x:v>
      </x:c>
      <x:c r="AF1009" s="9" t="n">
        <x:f>R1009*G1009</x:f>
        <x:v>451.7160985626283</x:v>
      </x:c>
    </x:row>
    <x:row r="1010" ht="21" customHeight="1">
      <x:c r="A1010" s="1" t="str">
        <x:f>'Inventory inputs'!A1010</x:f>
        <x:v>FILM</x:v>
      </x:c>
      <x:c r="B1010" s="1" t="str">
        <x:f>'Inventory inputs'!B1010</x:f>
        <x:v>30</x:v>
      </x:c>
      <x:c r="C1010" s="1" t="str">
        <x:f>'Inventory inputs'!C1010</x:f>
        <x:v>2510005C3</x:v>
      </x:c>
      <x:c r="D1010" s="7" t="n">
        <x:f>'Inventory inputs'!E1010</x:f>
        <x:v>46304</x:v>
      </x:c>
      <x:c r="E1010" s="1" t="n">
        <x:f>'Inventory inputs'!F1010</x:f>
        <x:v>14</x:v>
      </x:c>
      <x:c r="F1010" s="1" t="n">
        <x:f>'Inventory inputs'!G1010</x:f>
        <x:v>0.5</x:v>
      </x:c>
      <x:c r="G1010" s="1" t="n">
        <x:f>'Inventory inputs'!H1010/'Inventory inputs'!J1010</x:f>
        <x:v>105.9</x:v>
      </x:c>
      <x:c r="H1010" s="1" t="n">
        <x:f>IF('Inventory inputs'!I1010&gt;0,'Inventory inputs'!I1010*'Inventory inputs'!K1010/'Inventory inputs'!J1010,"n.a.")</x:f>
        <x:v>127.2</x:v>
      </x:c>
      <x:c r="I1010" s="1" t="n">
        <x:f>'Inventory inputs'!L1010</x:f>
        <x:v>14</x:v>
      </x:c>
      <x:c r="J1010" s="1" t="n">
        <x:f>'Inventory inputs'!M1010</x:f>
        <x:v>0</x:v>
      </x:c>
      <x:c r="K1010" s="1" t="n">
        <x:f>'Inventory inputs'!N1010</x:f>
        <x:v>0</x:v>
      </x:c>
      <x:c r="L1010" s="1" t="n">
        <x:f>'Inventory inputs'!O1010</x:f>
        <x:v>1</x:v>
      </x:c>
      <x:c r="M1010" s="9" t="n">
        <x:f>E1010*G1010</x:f>
        <x:v>1482.6000000000001</x:v>
      </x:c>
      <x:c r="N1010" s="9" t="n">
        <x:f>'Inventory inputs'!Q1010</x:f>
        <x:v>1482.6000000000001</x:v>
      </x:c>
      <x:c r="O1010" s="9" t="n">
        <x:f>N1010-M1010</x:f>
        <x:v>0</x:v>
      </x:c>
      <x:c r="P1010" s="1" t="n">
        <x:f>SUMIFS('Incoming POs'!$P$2:$P$305,'Incoming POs'!$A$2:$A$305,A1010,'Incoming POs'!$B$2:$B$305,B1010,'Incoming POs'!$C$2:$C$305,C1010,'Incoming POs'!$G$2:$G$305,"&gt;="&amp;D1010,'Incoming POs'!$G$2:$G$305,"&lt;"&amp;Dashboard!$I$5)</x:f>
        <x:v>0</x:v>
      </x:c>
      <x:c r="Q1010" s="1" t="n">
        <x:f>F1010*Dashboard!$L$5*MAX(0,Dashboard!$I$5-D1010)/30.4375</x:f>
        <x:v>0.6529774127310062</x:v>
      </x:c>
      <x:c r="R1010" s="1" t="n">
        <x:f>MAX(0,E1010+P1010-Q1010)</x:f>
        <x:v>13.347022587268993</x:v>
      </x:c>
      <x:c r="S1010" s="1" t="n">
        <x:f>MAX(0,Q1010-E1010-P1010)</x:f>
        <x:v>0</x:v>
      </x:c>
      <x:c r="T1010" s="1" t="n">
        <x:f>IF(L1010=1,MAX(0,I1010+AB1010-MIN(Q1010,E1010+P1010)),"n.a.")</x:f>
        <x:v>13.347022587268993</x:v>
      </x:c>
      <x:c r="U1010" s="9" t="n">
        <x:f>IF(ISNUMBER(T1010),T1010*G1010,"n.a.")</x:f>
        <x:v>1413.4496919917865</x:v>
      </x:c>
      <x:c r="V1010" s="25" t="n">
        <x:f>IF(Dashboard!$I$6="Flat %",1,IF(ISNUMBER(H1010),1,0))</x:f>
        <x:v>1</x:v>
      </x:c>
      <x:c r="W1010" s="9" t="n">
        <x:f>IF(Dashboard!$I$6="Flat %",G1010*(1+Dashboard!$L$6),H1010)</x:f>
        <x:v>127.2</x:v>
      </x:c>
      <x:c r="X1010" s="9" t="n">
        <x:f>IF(V1010=1,R1010*(W1010-G1010),"n.a.")</x:f>
        <x:v>284.2915811088295</x:v>
      </x:c>
      <x:c r="Y1010" s="9" t="n">
        <x:f>IF(V1010=1,R1010*W1010,"n.a.")</x:f>
        <x:v>1697.741273100616</x:v>
      </x:c>
      <x:c r="Z1010" s="1" t="n">
        <x:f>IF(ISNUMBER(T1010),R1010-T1010,"n.a.")</x:f>
        <x:v>0</x:v>
      </x:c>
      <x:c r="AA1010" s="1" t="str">
        <x:f>'Inventory inputs'!R1010</x:f>
        <x:v>Classified</x:v>
      </x:c>
      <x:c r="AB1010" s="1" t="n">
        <x:f>IF(L1010=1,SUMIFS('Incoming POs'!$P$2:$P$305,'Incoming POs'!$A$2:$A$305,A1010,'Incoming POs'!$B$2:$B$305,B1010,'Incoming POs'!$C$2:$C$305,C1010,'Incoming POs'!$G$2:$G$305,"&gt;="&amp;D1010,'Incoming POs'!$G$2:$G$305,"&lt;"&amp;Dashboard!$I$5,'Incoming POs'!$Q$2:$Q$305,"&lt;="&amp;('Inventory inputs'!P1010/'Inventory inputs'!J1010*1.01)),"n.a.")</x:f>
        <x:v>0</x:v>
      </x:c>
      <x:c r="AC1010" s="9" t="n">
        <x:f>I1010*G1010</x:f>
        <x:v>1482.6000000000001</x:v>
      </x:c>
      <x:c r="AD1010" s="9" t="n">
        <x:f>J1010*G1010</x:f>
        <x:v>0</x:v>
      </x:c>
      <x:c r="AE1010" s="9" t="n">
        <x:f>K1010*G1010</x:f>
        <x:v>0</x:v>
      </x:c>
      <x:c r="AF1010" s="9" t="n">
        <x:f>R1010*G1010</x:f>
        <x:v>1413.4496919917865</x:v>
      </x:c>
    </x:row>
    <x:row r="1011" ht="21" customHeight="1">
      <x:c r="A1011" s="1" t="str">
        <x:f>'Inventory inputs'!A1011</x:f>
        <x:v>FILM</x:v>
      </x:c>
      <x:c r="B1011" s="1" t="str">
        <x:f>'Inventory inputs'!B1011</x:f>
        <x:v>10</x:v>
      </x:c>
      <x:c r="C1011" s="1" t="str">
        <x:f>'Inventory inputs'!C1011</x:f>
        <x:v>1250015C2</x:v>
      </x:c>
      <x:c r="D1011" s="7" t="n">
        <x:f>'Inventory inputs'!E1011</x:f>
        <x:v>46304</x:v>
      </x:c>
      <x:c r="E1011" s="1" t="n">
        <x:f>'Inventory inputs'!F1011</x:f>
        <x:v>12</x:v>
      </x:c>
      <x:c r="F1011" s="1" t="n">
        <x:f>'Inventory inputs'!G1011</x:f>
        <x:v>0.33</x:v>
      </x:c>
      <x:c r="G1011" s="1" t="n">
        <x:f>'Inventory inputs'!H1011/'Inventory inputs'!J1011</x:f>
        <x:v>6.48</x:v>
      </x:c>
      <x:c r="H1011" s="1" t="n">
        <x:f>IF('Inventory inputs'!I1011&gt;0,'Inventory inputs'!I1011*'Inventory inputs'!K1011/'Inventory inputs'!J1011,"n.a.")</x:f>
        <x:v>7.78</x:v>
      </x:c>
      <x:c r="I1011" s="1" t="n">
        <x:f>'Inventory inputs'!L1011</x:f>
        <x:v>0</x:v>
      </x:c>
      <x:c r="J1011" s="1" t="n">
        <x:f>'Inventory inputs'!M1011</x:f>
        <x:v>0</x:v>
      </x:c>
      <x:c r="K1011" s="1" t="n">
        <x:f>'Inventory inputs'!N1011</x:f>
        <x:v>12</x:v>
      </x:c>
      <x:c r="L1011" s="1" t="n">
        <x:f>'Inventory inputs'!O1011</x:f>
        <x:v>0</x:v>
      </x:c>
      <x:c r="M1011" s="9" t="n">
        <x:f>E1011*G1011</x:f>
        <x:v>77.76</x:v>
      </x:c>
      <x:c r="N1011" s="9" t="n">
        <x:f>'Inventory inputs'!Q1011</x:f>
        <x:v>77.76</x:v>
      </x:c>
      <x:c r="O1011" s="9" t="n">
        <x:f>N1011-M1011</x:f>
        <x:v>0</x:v>
      </x:c>
      <x:c r="P1011" s="1" t="n">
        <x:f>SUMIFS('Incoming POs'!$P$2:$P$305,'Incoming POs'!$A$2:$A$305,A1011,'Incoming POs'!$B$2:$B$305,B1011,'Incoming POs'!$C$2:$C$305,C1011,'Incoming POs'!$G$2:$G$305,"&gt;="&amp;D1011,'Incoming POs'!$G$2:$G$305,"&lt;"&amp;Dashboard!$I$5)</x:f>
        <x:v>0</x:v>
      </x:c>
      <x:c r="Q1011" s="1" t="n">
        <x:f>F1011*Dashboard!$L$5*MAX(0,Dashboard!$I$5-D1011)/30.4375</x:f>
        <x:v>0.43096509240246406</x:v>
      </x:c>
      <x:c r="R1011" s="1" t="n">
        <x:f>MAX(0,E1011+P1011-Q1011)</x:f>
        <x:v>11.569034907597535</x:v>
      </x:c>
      <x:c r="S1011" s="1" t="n">
        <x:f>MAX(0,Q1011-E1011-P1011)</x:f>
        <x:v>0</x:v>
      </x:c>
      <x:c r="T1011" s="1" t="str">
        <x:f>IF(L1011=1,MAX(0,I1011+AB1011-MIN(Q1011,E1011+P1011)),"n.a.")</x:f>
        <x:v>n.a.</x:v>
      </x:c>
      <x:c r="U1011" s="9" t="str">
        <x:f>IF(ISNUMBER(T1011),T1011*G1011,"n.a.")</x:f>
        <x:v>n.a.</x:v>
      </x:c>
      <x:c r="V1011" s="25" t="n">
        <x:f>IF(Dashboard!$I$6="Flat %",1,IF(ISNUMBER(H1011),1,0))</x:f>
        <x:v>1</x:v>
      </x:c>
      <x:c r="W1011" s="9" t="n">
        <x:f>IF(Dashboard!$I$6="Flat %",G1011*(1+Dashboard!$L$6),H1011)</x:f>
        <x:v>7.78</x:v>
      </x:c>
      <x:c r="X1011" s="9" t="n">
        <x:f>IF(V1011=1,R1011*(W1011-G1011),"n.a.")</x:f>
        <x:v>15.039745379876793</x:v>
      </x:c>
      <x:c r="Y1011" s="9" t="n">
        <x:f>IF(V1011=1,R1011*W1011,"n.a.")</x:f>
        <x:v>90.00709158110882</x:v>
      </x:c>
      <x:c r="Z1011" s="1" t="str">
        <x:f>IF(ISNUMBER(T1011),R1011-T1011,"n.a.")</x:f>
        <x:v>n.a.</x:v>
      </x:c>
      <x:c r="AA1011" s="1" t="str">
        <x:f>'Inventory inputs'!R1011</x:f>
        <x:v>Review receipt reconciliation or original PO baseline</x:v>
      </x:c>
      <x:c r="AB1011" s="1" t="str">
        <x:f>IF(L1011=1,SUMIFS('Incoming POs'!$P$2:$P$305,'Incoming POs'!$A$2:$A$305,A1011,'Incoming POs'!$B$2:$B$305,B1011,'Incoming POs'!$C$2:$C$305,C1011,'Incoming POs'!$G$2:$G$305,"&gt;="&amp;D1011,'Incoming POs'!$G$2:$G$305,"&lt;"&amp;Dashboard!$I$5,'Incoming POs'!$Q$2:$Q$305,"&lt;="&amp;('Inventory inputs'!P1011/'Inventory inputs'!J1011*1.01)),"n.a.")</x:f>
        <x:v>n.a.</x:v>
      </x:c>
      <x:c r="AC1011" s="9" t="n">
        <x:f>I1011*G1011</x:f>
        <x:v>0</x:v>
      </x:c>
      <x:c r="AD1011" s="9" t="n">
        <x:f>J1011*G1011</x:f>
        <x:v>0</x:v>
      </x:c>
      <x:c r="AE1011" s="9" t="n">
        <x:f>K1011*G1011</x:f>
        <x:v>77.76</x:v>
      </x:c>
      <x:c r="AF1011" s="9" t="n">
        <x:f>R1011*G1011</x:f>
        <x:v>74.96734620123203</x:v>
      </x:c>
    </x:row>
    <x:row r="1012" ht="21" customHeight="1">
      <x:c r="A1012" s="1" t="str">
        <x:f>'Inventory inputs'!A1012</x:f>
        <x:v>FILM</x:v>
      </x:c>
      <x:c r="B1012" s="1" t="str">
        <x:f>'Inventory inputs'!B1012</x:f>
        <x:v>10</x:v>
      </x:c>
      <x:c r="C1012" s="1" t="str">
        <x:f>'Inventory inputs'!C1012</x:f>
        <x:v>1810005C3</x:v>
      </x:c>
      <x:c r="D1012" s="7" t="n">
        <x:f>'Inventory inputs'!E1012</x:f>
        <x:v>46304</x:v>
      </x:c>
      <x:c r="E1012" s="1" t="n">
        <x:f>'Inventory inputs'!F1012</x:f>
        <x:v>27</x:v>
      </x:c>
      <x:c r="F1012" s="1" t="n">
        <x:f>'Inventory inputs'!G1012</x:f>
        <x:v>0.33</x:v>
      </x:c>
      <x:c r="G1012" s="1" t="n">
        <x:f>'Inventory inputs'!H1012/'Inventory inputs'!J1012</x:f>
        <x:v>76.25</x:v>
      </x:c>
      <x:c r="H1012" s="1" t="n">
        <x:f>IF('Inventory inputs'!I1012&gt;0,'Inventory inputs'!I1012*'Inventory inputs'!K1012/'Inventory inputs'!J1012,"n.a.")</x:f>
        <x:v>91.58</x:v>
      </x:c>
      <x:c r="I1012" s="1" t="n">
        <x:f>'Inventory inputs'!L1012</x:f>
        <x:v>27</x:v>
      </x:c>
      <x:c r="J1012" s="1" t="n">
        <x:f>'Inventory inputs'!M1012</x:f>
        <x:v>0</x:v>
      </x:c>
      <x:c r="K1012" s="1" t="n">
        <x:f>'Inventory inputs'!N1012</x:f>
        <x:v>0</x:v>
      </x:c>
      <x:c r="L1012" s="1" t="n">
        <x:f>'Inventory inputs'!O1012</x:f>
        <x:v>1</x:v>
      </x:c>
      <x:c r="M1012" s="9" t="n">
        <x:f>E1012*G1012</x:f>
        <x:v>2058.75</x:v>
      </x:c>
      <x:c r="N1012" s="9" t="n">
        <x:f>'Inventory inputs'!Q1012</x:f>
        <x:v>2058.75</x:v>
      </x:c>
      <x:c r="O1012" s="9" t="n">
        <x:f>N1012-M1012</x:f>
        <x:v>0</x:v>
      </x:c>
      <x:c r="P1012" s="1" t="n">
        <x:f>SUMIFS('Incoming POs'!$P$2:$P$305,'Incoming POs'!$A$2:$A$305,A1012,'Incoming POs'!$B$2:$B$305,B1012,'Incoming POs'!$C$2:$C$305,C1012,'Incoming POs'!$G$2:$G$305,"&gt;="&amp;D1012,'Incoming POs'!$G$2:$G$305,"&lt;"&amp;Dashboard!$I$5)</x:f>
        <x:v>0</x:v>
      </x:c>
      <x:c r="Q1012" s="1" t="n">
        <x:f>F1012*Dashboard!$L$5*MAX(0,Dashboard!$I$5-D1012)/30.4375</x:f>
        <x:v>0.43096509240246406</x:v>
      </x:c>
      <x:c r="R1012" s="1" t="n">
        <x:f>MAX(0,E1012+P1012-Q1012)</x:f>
        <x:v>26.569034907597537</x:v>
      </x:c>
      <x:c r="S1012" s="1" t="n">
        <x:f>MAX(0,Q1012-E1012-P1012)</x:f>
        <x:v>0</x:v>
      </x:c>
      <x:c r="T1012" s="1" t="n">
        <x:f>IF(L1012=1,MAX(0,I1012+AB1012-MIN(Q1012,E1012+P1012)),"n.a.")</x:f>
        <x:v>26.569034907597537</x:v>
      </x:c>
      <x:c r="U1012" s="9" t="n">
        <x:f>IF(ISNUMBER(T1012),T1012*G1012,"n.a.")</x:f>
        <x:v>2025.8889117043122</x:v>
      </x:c>
      <x:c r="V1012" s="25" t="n">
        <x:f>IF(Dashboard!$I$6="Flat %",1,IF(ISNUMBER(H1012),1,0))</x:f>
        <x:v>1</x:v>
      </x:c>
      <x:c r="W1012" s="9" t="n">
        <x:f>IF(Dashboard!$I$6="Flat %",G1012*(1+Dashboard!$L$6),H1012)</x:f>
        <x:v>91.58</x:v>
      </x:c>
      <x:c r="X1012" s="9" t="n">
        <x:f>IF(V1012=1,R1012*(W1012-G1012),"n.a.")</x:f>
        <x:v>407.3033051334702</x:v>
      </x:c>
      <x:c r="Y1012" s="9" t="n">
        <x:f>IF(V1012=1,R1012*W1012,"n.a.")</x:f>
        <x:v>2433.1922168377823</x:v>
      </x:c>
      <x:c r="Z1012" s="1" t="n">
        <x:f>IF(ISNUMBER(T1012),R1012-T1012,"n.a.")</x:f>
        <x:v>0</x:v>
      </x:c>
      <x:c r="AA1012" s="1" t="str">
        <x:f>'Inventory inputs'!R1012</x:f>
        <x:v>Classified</x:v>
      </x:c>
      <x:c r="AB1012" s="1" t="n">
        <x:f>IF(L1012=1,SUMIFS('Incoming POs'!$P$2:$P$305,'Incoming POs'!$A$2:$A$305,A1012,'Incoming POs'!$B$2:$B$305,B1012,'Incoming POs'!$C$2:$C$305,C1012,'Incoming POs'!$G$2:$G$305,"&gt;="&amp;D1012,'Incoming POs'!$G$2:$G$305,"&lt;"&amp;Dashboard!$I$5,'Incoming POs'!$Q$2:$Q$305,"&lt;="&amp;('Inventory inputs'!P1012/'Inventory inputs'!J1012*1.01)),"n.a.")</x:f>
        <x:v>0</x:v>
      </x:c>
      <x:c r="AC1012" s="9" t="n">
        <x:f>I1012*G1012</x:f>
        <x:v>2058.75</x:v>
      </x:c>
      <x:c r="AD1012" s="9" t="n">
        <x:f>J1012*G1012</x:f>
        <x:v>0</x:v>
      </x:c>
      <x:c r="AE1012" s="9" t="n">
        <x:f>K1012*G1012</x:f>
        <x:v>0</x:v>
      </x:c>
      <x:c r="AF1012" s="9" t="n">
        <x:f>R1012*G1012</x:f>
        <x:v>2025.8889117043122</x:v>
      </x:c>
    </x:row>
    <x:row r="1013" ht="21" customHeight="1">
      <x:c r="A1013" s="1" t="str">
        <x:f>'Inventory inputs'!A1013</x:f>
        <x:v>FILM</x:v>
      </x:c>
      <x:c r="B1013" s="1" t="str">
        <x:f>'Inventory inputs'!B1013</x:f>
        <x:v>30</x:v>
      </x:c>
      <x:c r="C1013" s="1" t="str">
        <x:f>'Inventory inputs'!C1013</x:f>
        <x:v>125003C1</x:v>
      </x:c>
      <x:c r="D1013" s="7" t="n">
        <x:f>'Inventory inputs'!E1013</x:f>
        <x:v>46304</x:v>
      </x:c>
      <x:c r="E1013" s="1" t="n">
        <x:f>'Inventory inputs'!F1013</x:f>
        <x:v>44</x:v>
      </x:c>
      <x:c r="F1013" s="1" t="n">
        <x:f>'Inventory inputs'!G1013</x:f>
        <x:v>0.33</x:v>
      </x:c>
      <x:c r="G1013" s="1" t="n">
        <x:f>'Inventory inputs'!H1013/'Inventory inputs'!J1013</x:f>
        <x:v>10.73</x:v>
      </x:c>
      <x:c r="H1013" s="1" t="str">
        <x:f>IF('Inventory inputs'!I1013&gt;0,'Inventory inputs'!I1013*'Inventory inputs'!K1013/'Inventory inputs'!J1013,"n.a.")</x:f>
        <x:v>n.a.</x:v>
      </x:c>
      <x:c r="I1013" s="1" t="n">
        <x:f>'Inventory inputs'!L1013</x:f>
        <x:v>0</x:v>
      </x:c>
      <x:c r="J1013" s="1" t="n">
        <x:f>'Inventory inputs'!M1013</x:f>
        <x:v>0</x:v>
      </x:c>
      <x:c r="K1013" s="1" t="n">
        <x:f>'Inventory inputs'!N1013</x:f>
        <x:v>44</x:v>
      </x:c>
      <x:c r="L1013" s="1" t="n">
        <x:f>'Inventory inputs'!O1013</x:f>
        <x:v>0</x:v>
      </x:c>
      <x:c r="M1013" s="9" t="n">
        <x:f>E1013*G1013</x:f>
        <x:v>472.12</x:v>
      </x:c>
      <x:c r="N1013" s="9" t="n">
        <x:f>'Inventory inputs'!Q1013</x:f>
        <x:v>472.12</x:v>
      </x:c>
      <x:c r="O1013" s="9" t="n">
        <x:f>N1013-M1013</x:f>
        <x:v>0</x:v>
      </x:c>
      <x:c r="P1013" s="1" t="n">
        <x:f>SUMIFS('Incoming POs'!$P$2:$P$305,'Incoming POs'!$A$2:$A$305,A1013,'Incoming POs'!$B$2:$B$305,B1013,'Incoming POs'!$C$2:$C$305,C1013,'Incoming POs'!$G$2:$G$305,"&gt;="&amp;D1013,'Incoming POs'!$G$2:$G$305,"&lt;"&amp;Dashboard!$I$5)</x:f>
        <x:v>0</x:v>
      </x:c>
      <x:c r="Q1013" s="1" t="n">
        <x:f>F1013*Dashboard!$L$5*MAX(0,Dashboard!$I$5-D1013)/30.4375</x:f>
        <x:v>0.43096509240246406</x:v>
      </x:c>
      <x:c r="R1013" s="1" t="n">
        <x:f>MAX(0,E1013+P1013-Q1013)</x:f>
        <x:v>43.56903490759753</x:v>
      </x:c>
      <x:c r="S1013" s="1" t="n">
        <x:f>MAX(0,Q1013-E1013-P1013)</x:f>
        <x:v>0</x:v>
      </x:c>
      <x:c r="T1013" s="1" t="str">
        <x:f>IF(L1013=1,MAX(0,I1013+AB1013-MIN(Q1013,E1013+P1013)),"n.a.")</x:f>
        <x:v>n.a.</x:v>
      </x:c>
      <x:c r="U1013" s="9" t="str">
        <x:f>IF(ISNUMBER(T1013),T1013*G1013,"n.a.")</x:f>
        <x:v>n.a.</x:v>
      </x:c>
      <x:c r="V1013" s="25" t="n">
        <x:f>IF(Dashboard!$I$6="Flat %",1,IF(ISNUMBER(H1013),1,0))</x:f>
        <x:v>0</x:v>
      </x:c>
      <x:c r="W1013" s="9" t="str">
        <x:f>IF(Dashboard!$I$6="Flat %",G1013*(1+Dashboard!$L$6),H1013)</x:f>
        <x:v>n.a.</x:v>
      </x:c>
      <x:c r="X1013" s="9" t="str">
        <x:f>IF(V1013=1,R1013*(W1013-G1013),"n.a.")</x:f>
        <x:v>n.a.</x:v>
      </x:c>
      <x:c r="Y1013" s="9" t="str">
        <x:f>IF(V1013=1,R1013*W1013,"n.a.")</x:f>
        <x:v>n.a.</x:v>
      </x:c>
      <x:c r="Z1013" s="1" t="str">
        <x:f>IF(ISNUMBER(T1013),R1013-T1013,"n.a.")</x:f>
        <x:v>n.a.</x:v>
      </x:c>
      <x:c r="AA1013" s="1" t="str">
        <x:f>'Inventory inputs'!R1013</x:f>
        <x:v>Review receipt reconciliation or original PO baseline</x:v>
      </x:c>
      <x:c r="AB1013" s="1" t="str">
        <x:f>IF(L1013=1,SUMIFS('Incoming POs'!$P$2:$P$305,'Incoming POs'!$A$2:$A$305,A1013,'Incoming POs'!$B$2:$B$305,B1013,'Incoming POs'!$C$2:$C$305,C1013,'Incoming POs'!$G$2:$G$305,"&gt;="&amp;D1013,'Incoming POs'!$G$2:$G$305,"&lt;"&amp;Dashboard!$I$5,'Incoming POs'!$Q$2:$Q$305,"&lt;="&amp;('Inventory inputs'!P1013/'Inventory inputs'!J1013*1.01)),"n.a.")</x:f>
        <x:v>n.a.</x:v>
      </x:c>
      <x:c r="AC1013" s="9" t="n">
        <x:f>I1013*G1013</x:f>
        <x:v>0</x:v>
      </x:c>
      <x:c r="AD1013" s="9" t="n">
        <x:f>J1013*G1013</x:f>
        <x:v>0</x:v>
      </x:c>
      <x:c r="AE1013" s="9" t="n">
        <x:f>K1013*G1013</x:f>
        <x:v>472.12</x:v>
      </x:c>
      <x:c r="AF1013" s="9" t="n">
        <x:f>R1013*G1013</x:f>
        <x:v>467.49574455852155</x:v>
      </x:c>
    </x:row>
    <x:row r="1014" ht="21" customHeight="1">
      <x:c r="A1014" s="1" t="str">
        <x:f>'Inventory inputs'!A1014</x:f>
        <x:v>FILM</x:v>
      </x:c>
      <x:c r="B1014" s="1" t="str">
        <x:f>'Inventory inputs'!B1014</x:f>
        <x:v>30</x:v>
      </x:c>
      <x:c r="C1014" s="1" t="str">
        <x:f>'Inventory inputs'!C1014</x:f>
        <x:v>182503C1</x:v>
      </x:c>
      <x:c r="D1014" s="7" t="n">
        <x:f>'Inventory inputs'!E1014</x:f>
        <x:v>46304</x:v>
      </x:c>
      <x:c r="E1014" s="1" t="n">
        <x:f>'Inventory inputs'!F1014</x:f>
        <x:v>81</x:v>
      </x:c>
      <x:c r="F1014" s="1" t="n">
        <x:f>'Inventory inputs'!G1014</x:f>
        <x:v>0.33</x:v>
      </x:c>
      <x:c r="G1014" s="1" t="n">
        <x:f>'Inventory inputs'!H1014/'Inventory inputs'!J1014</x:f>
        <x:v>10.53</x:v>
      </x:c>
      <x:c r="H1014" s="1" t="n">
        <x:f>IF('Inventory inputs'!I1014&gt;0,'Inventory inputs'!I1014*'Inventory inputs'!K1014/'Inventory inputs'!J1014,"n.a.")</x:f>
        <x:v>12.64</x:v>
      </x:c>
      <x:c r="I1014" s="1" t="n">
        <x:f>'Inventory inputs'!L1014</x:f>
        <x:v>81</x:v>
      </x:c>
      <x:c r="J1014" s="1" t="n">
        <x:f>'Inventory inputs'!M1014</x:f>
        <x:v>0</x:v>
      </x:c>
      <x:c r="K1014" s="1" t="n">
        <x:f>'Inventory inputs'!N1014</x:f>
        <x:v>0</x:v>
      </x:c>
      <x:c r="L1014" s="1" t="n">
        <x:f>'Inventory inputs'!O1014</x:f>
        <x:v>1</x:v>
      </x:c>
      <x:c r="M1014" s="9" t="n">
        <x:f>E1014*G1014</x:f>
        <x:v>852.93</x:v>
      </x:c>
      <x:c r="N1014" s="9" t="n">
        <x:f>'Inventory inputs'!Q1014</x:f>
        <x:v>852.93</x:v>
      </x:c>
      <x:c r="O1014" s="9" t="n">
        <x:f>N1014-M1014</x:f>
        <x:v>0</x:v>
      </x:c>
      <x:c r="P1014" s="1" t="n">
        <x:f>SUMIFS('Incoming POs'!$P$2:$P$305,'Incoming POs'!$A$2:$A$305,A1014,'Incoming POs'!$B$2:$B$305,B1014,'Incoming POs'!$C$2:$C$305,C1014,'Incoming POs'!$G$2:$G$305,"&gt;="&amp;D1014,'Incoming POs'!$G$2:$G$305,"&lt;"&amp;Dashboard!$I$5)</x:f>
        <x:v>0</x:v>
      </x:c>
      <x:c r="Q1014" s="1" t="n">
        <x:f>F1014*Dashboard!$L$5*MAX(0,Dashboard!$I$5-D1014)/30.4375</x:f>
        <x:v>0.43096509240246406</x:v>
      </x:c>
      <x:c r="R1014" s="1" t="n">
        <x:f>MAX(0,E1014+P1014-Q1014)</x:f>
        <x:v>80.56903490759754</x:v>
      </x:c>
      <x:c r="S1014" s="1" t="n">
        <x:f>MAX(0,Q1014-E1014-P1014)</x:f>
        <x:v>0</x:v>
      </x:c>
      <x:c r="T1014" s="1" t="n">
        <x:f>IF(L1014=1,MAX(0,I1014+AB1014-MIN(Q1014,E1014+P1014)),"n.a.")</x:f>
        <x:v>80.56903490759754</x:v>
      </x:c>
      <x:c r="U1014" s="9" t="n">
        <x:f>IF(ISNUMBER(T1014),T1014*G1014,"n.a.")</x:f>
        <x:v>848.3919375770021</x:v>
      </x:c>
      <x:c r="V1014" s="25" t="n">
        <x:f>IF(Dashboard!$I$6="Flat %",1,IF(ISNUMBER(H1014),1,0))</x:f>
        <x:v>1</x:v>
      </x:c>
      <x:c r="W1014" s="9" t="n">
        <x:f>IF(Dashboard!$I$6="Flat %",G1014*(1+Dashboard!$L$6),H1014)</x:f>
        <x:v>12.64</x:v>
      </x:c>
      <x:c r="X1014" s="9" t="n">
        <x:f>IF(V1014=1,R1014*(W1014-G1014),"n.a.")</x:f>
        <x:v>170.0006636550309</x:v>
      </x:c>
      <x:c r="Y1014" s="9" t="n">
        <x:f>IF(V1014=1,R1014*W1014,"n.a.")</x:f>
        <x:v>1018.3926012320329</x:v>
      </x:c>
      <x:c r="Z1014" s="1" t="n">
        <x:f>IF(ISNUMBER(T1014),R1014-T1014,"n.a.")</x:f>
        <x:v>0</x:v>
      </x:c>
      <x:c r="AA1014" s="1" t="str">
        <x:f>'Inventory inputs'!R1014</x:f>
        <x:v>Classified</x:v>
      </x:c>
      <x:c r="AB1014" s="1" t="n">
        <x:f>IF(L1014=1,SUMIFS('Incoming POs'!$P$2:$P$305,'Incoming POs'!$A$2:$A$305,A1014,'Incoming POs'!$B$2:$B$305,B1014,'Incoming POs'!$C$2:$C$305,C1014,'Incoming POs'!$G$2:$G$305,"&gt;="&amp;D1014,'Incoming POs'!$G$2:$G$305,"&lt;"&amp;Dashboard!$I$5,'Incoming POs'!$Q$2:$Q$305,"&lt;="&amp;('Inventory inputs'!P1014/'Inventory inputs'!J1014*1.01)),"n.a.")</x:f>
        <x:v>0</x:v>
      </x:c>
      <x:c r="AC1014" s="9" t="n">
        <x:f>I1014*G1014</x:f>
        <x:v>852.93</x:v>
      </x:c>
      <x:c r="AD1014" s="9" t="n">
        <x:f>J1014*G1014</x:f>
        <x:v>0</x:v>
      </x:c>
      <x:c r="AE1014" s="9" t="n">
        <x:f>K1014*G1014</x:f>
        <x:v>0</x:v>
      </x:c>
      <x:c r="AF1014" s="9" t="n">
        <x:f>R1014*G1014</x:f>
        <x:v>848.3919375770021</x:v>
      </x:c>
    </x:row>
    <x:row r="1015" ht="21" customHeight="1">
      <x:c r="A1015" s="1" t="str">
        <x:f>'Inventory inputs'!A1015</x:f>
        <x:v>FILM</x:v>
      </x:c>
      <x:c r="B1015" s="1" t="str">
        <x:f>'Inventory inputs'!B1015</x:f>
        <x:v>60</x:v>
      </x:c>
      <x:c r="C1015" s="1" t="str">
        <x:f>'Inventory inputs'!C1015</x:f>
        <x:v>125003C1</x:v>
      </x:c>
      <x:c r="D1015" s="7" t="n">
        <x:f>'Inventory inputs'!E1015</x:f>
        <x:v>46304</x:v>
      </x:c>
      <x:c r="E1015" s="1" t="n">
        <x:f>'Inventory inputs'!F1015</x:f>
        <x:v>0</x:v>
      </x:c>
      <x:c r="F1015" s="1" t="n">
        <x:f>'Inventory inputs'!G1015</x:f>
        <x:v>0.33</x:v>
      </x:c>
      <x:c r="G1015" s="1" t="n">
        <x:f>'Inventory inputs'!H1015/'Inventory inputs'!J1015</x:f>
        <x:v>10.73</x:v>
      </x:c>
      <x:c r="H1015" s="1" t="str">
        <x:f>IF('Inventory inputs'!I1015&gt;0,'Inventory inputs'!I1015*'Inventory inputs'!K1015/'Inventory inputs'!J1015,"n.a.")</x:f>
        <x:v>n.a.</x:v>
      </x:c>
      <x:c r="I1015" s="1" t="n">
        <x:f>'Inventory inputs'!L1015</x:f>
        <x:v>0</x:v>
      </x:c>
      <x:c r="J1015" s="1" t="n">
        <x:f>'Inventory inputs'!M1015</x:f>
        <x:v>0</x:v>
      </x:c>
      <x:c r="K1015" s="1" t="n">
        <x:f>'Inventory inputs'!N1015</x:f>
        <x:v>0</x:v>
      </x:c>
      <x:c r="L1015" s="1" t="n">
        <x:f>'Inventory inputs'!O1015</x:f>
        <x:v>0</x:v>
      </x:c>
      <x:c r="M1015" s="9" t="n">
        <x:f>E1015*G1015</x:f>
        <x:v>0</x:v>
      </x:c>
      <x:c r="N1015" s="9" t="n">
        <x:f>'Inventory inputs'!Q1015</x:f>
        <x:v>0</x:v>
      </x:c>
      <x:c r="O1015" s="9" t="n">
        <x:f>N1015-M1015</x:f>
        <x:v>0</x:v>
      </x:c>
      <x:c r="P1015" s="1" t="n">
        <x:f>SUMIFS('Incoming POs'!$P$2:$P$305,'Incoming POs'!$A$2:$A$305,A1015,'Incoming POs'!$B$2:$B$305,B1015,'Incoming POs'!$C$2:$C$305,C1015,'Incoming POs'!$G$2:$G$305,"&gt;="&amp;D1015,'Incoming POs'!$G$2:$G$305,"&lt;"&amp;Dashboard!$I$5)</x:f>
        <x:v>0</x:v>
      </x:c>
      <x:c r="Q1015" s="1" t="n">
        <x:f>F1015*Dashboard!$L$5*MAX(0,Dashboard!$I$5-D1015)/30.4375</x:f>
        <x:v>0.43096509240246406</x:v>
      </x:c>
      <x:c r="R1015" s="1" t="n">
        <x:f>MAX(0,E1015+P1015-Q1015)</x:f>
        <x:v>0</x:v>
      </x:c>
      <x:c r="S1015" s="1" t="n">
        <x:f>MAX(0,Q1015-E1015-P1015)</x:f>
        <x:v>0.43096509240246406</x:v>
      </x:c>
      <x:c r="T1015" s="1" t="str">
        <x:f>IF(L1015=1,MAX(0,I1015+AB1015-MIN(Q1015,E1015+P1015)),"n.a.")</x:f>
        <x:v>n.a.</x:v>
      </x:c>
      <x:c r="U1015" s="9" t="str">
        <x:f>IF(ISNUMBER(T1015),T1015*G1015,"n.a.")</x:f>
        <x:v>n.a.</x:v>
      </x:c>
      <x:c r="V1015" s="25" t="n">
        <x:f>IF(Dashboard!$I$6="Flat %",1,IF(ISNUMBER(H1015),1,0))</x:f>
        <x:v>0</x:v>
      </x:c>
      <x:c r="W1015" s="9" t="str">
        <x:f>IF(Dashboard!$I$6="Flat %",G1015*(1+Dashboard!$L$6),H1015)</x:f>
        <x:v>n.a.</x:v>
      </x:c>
      <x:c r="X1015" s="9" t="str">
        <x:f>IF(V1015=1,R1015*(W1015-G1015),"n.a.")</x:f>
        <x:v>n.a.</x:v>
      </x:c>
      <x:c r="Y1015" s="9" t="str">
        <x:f>IF(V1015=1,R1015*W1015,"n.a.")</x:f>
        <x:v>n.a.</x:v>
      </x:c>
      <x:c r="Z1015" s="1" t="str">
        <x:f>IF(ISNUMBER(T1015),R1015-T1015,"n.a.")</x:f>
        <x:v>n.a.</x:v>
      </x:c>
      <x:c r="AA1015" s="1" t="str">
        <x:f>'Inventory inputs'!R1015</x:f>
        <x:v>Review receipt reconciliation or original PO baseline</x:v>
      </x:c>
      <x:c r="AB1015" s="1" t="str">
        <x:f>IF(L1015=1,SUMIFS('Incoming POs'!$P$2:$P$305,'Incoming POs'!$A$2:$A$305,A1015,'Incoming POs'!$B$2:$B$305,B1015,'Incoming POs'!$C$2:$C$305,C1015,'Incoming POs'!$G$2:$G$305,"&gt;="&amp;D1015,'Incoming POs'!$G$2:$G$305,"&lt;"&amp;Dashboard!$I$5,'Incoming POs'!$Q$2:$Q$305,"&lt;="&amp;('Inventory inputs'!P1015/'Inventory inputs'!J1015*1.01)),"n.a.")</x:f>
        <x:v>n.a.</x:v>
      </x:c>
      <x:c r="AC1015" s="9" t="n">
        <x:f>I1015*G1015</x:f>
        <x:v>0</x:v>
      </x:c>
      <x:c r="AD1015" s="9" t="n">
        <x:f>J1015*G1015</x:f>
        <x:v>0</x:v>
      </x:c>
      <x:c r="AE1015" s="9" t="n">
        <x:f>K1015*G1015</x:f>
        <x:v>0</x:v>
      </x:c>
      <x:c r="AF1015" s="9" t="n">
        <x:f>R1015*G1015</x:f>
        <x:v>0</x:v>
      </x:c>
    </x:row>
    <x:row r="1016" ht="21" customHeight="1">
      <x:c r="A1016" s="1" t="str">
        <x:f>'Inventory inputs'!A1016</x:f>
        <x:v>FILM</x:v>
      </x:c>
      <x:c r="B1016" s="1" t="str">
        <x:f>'Inventory inputs'!B1016</x:f>
        <x:v>60</x:v>
      </x:c>
      <x:c r="C1016" s="1" t="str">
        <x:f>'Inventory inputs'!C1016</x:f>
        <x:v>92503C1</x:v>
      </x:c>
      <x:c r="D1016" s="7" t="n">
        <x:f>'Inventory inputs'!E1016</x:f>
        <x:v>46304</x:v>
      </x:c>
      <x:c r="E1016" s="1" t="n">
        <x:f>'Inventory inputs'!F1016</x:f>
        <x:v>11</x:v>
      </x:c>
      <x:c r="F1016" s="1" t="n">
        <x:f>'Inventory inputs'!G1016</x:f>
        <x:v>0.33</x:v>
      </x:c>
      <x:c r="G1016" s="1" t="n">
        <x:f>'Inventory inputs'!H1016/'Inventory inputs'!J1016</x:f>
        <x:v>3.75</x:v>
      </x:c>
      <x:c r="H1016" s="1" t="str">
        <x:f>IF('Inventory inputs'!I1016&gt;0,'Inventory inputs'!I1016*'Inventory inputs'!K1016/'Inventory inputs'!J1016,"n.a.")</x:f>
        <x:v>n.a.</x:v>
      </x:c>
      <x:c r="I1016" s="1" t="n">
        <x:f>'Inventory inputs'!L1016</x:f>
        <x:v>0</x:v>
      </x:c>
      <x:c r="J1016" s="1" t="n">
        <x:f>'Inventory inputs'!M1016</x:f>
        <x:v>0</x:v>
      </x:c>
      <x:c r="K1016" s="1" t="n">
        <x:f>'Inventory inputs'!N1016</x:f>
        <x:v>11</x:v>
      </x:c>
      <x:c r="L1016" s="1" t="n">
        <x:f>'Inventory inputs'!O1016</x:f>
        <x:v>0</x:v>
      </x:c>
      <x:c r="M1016" s="9" t="n">
        <x:f>E1016*G1016</x:f>
        <x:v>41.25</x:v>
      </x:c>
      <x:c r="N1016" s="9" t="n">
        <x:f>'Inventory inputs'!Q1016</x:f>
        <x:v>41.25</x:v>
      </x:c>
      <x:c r="O1016" s="9" t="n">
        <x:f>N1016-M1016</x:f>
        <x:v>0</x:v>
      </x:c>
      <x:c r="P1016" s="1" t="n">
        <x:f>SUMIFS('Incoming POs'!$P$2:$P$305,'Incoming POs'!$A$2:$A$305,A1016,'Incoming POs'!$B$2:$B$305,B1016,'Incoming POs'!$C$2:$C$305,C1016,'Incoming POs'!$G$2:$G$305,"&gt;="&amp;D1016,'Incoming POs'!$G$2:$G$305,"&lt;"&amp;Dashboard!$I$5)</x:f>
        <x:v>0</x:v>
      </x:c>
      <x:c r="Q1016" s="1" t="n">
        <x:f>F1016*Dashboard!$L$5*MAX(0,Dashboard!$I$5-D1016)/30.4375</x:f>
        <x:v>0.43096509240246406</x:v>
      </x:c>
      <x:c r="R1016" s="1" t="n">
        <x:f>MAX(0,E1016+P1016-Q1016)</x:f>
        <x:v>10.569034907597535</x:v>
      </x:c>
      <x:c r="S1016" s="1" t="n">
        <x:f>MAX(0,Q1016-E1016-P1016)</x:f>
        <x:v>0</x:v>
      </x:c>
      <x:c r="T1016" s="1" t="str">
        <x:f>IF(L1016=1,MAX(0,I1016+AB1016-MIN(Q1016,E1016+P1016)),"n.a.")</x:f>
        <x:v>n.a.</x:v>
      </x:c>
      <x:c r="U1016" s="9" t="str">
        <x:f>IF(ISNUMBER(T1016),T1016*G1016,"n.a.")</x:f>
        <x:v>n.a.</x:v>
      </x:c>
      <x:c r="V1016" s="25" t="n">
        <x:f>IF(Dashboard!$I$6="Flat %",1,IF(ISNUMBER(H1016),1,0))</x:f>
        <x:v>0</x:v>
      </x:c>
      <x:c r="W1016" s="9" t="str">
        <x:f>IF(Dashboard!$I$6="Flat %",G1016*(1+Dashboard!$L$6),H1016)</x:f>
        <x:v>n.a.</x:v>
      </x:c>
      <x:c r="X1016" s="9" t="str">
        <x:f>IF(V1016=1,R1016*(W1016-G1016),"n.a.")</x:f>
        <x:v>n.a.</x:v>
      </x:c>
      <x:c r="Y1016" s="9" t="str">
        <x:f>IF(V1016=1,R1016*W1016,"n.a.")</x:f>
        <x:v>n.a.</x:v>
      </x:c>
      <x:c r="Z1016" s="1" t="str">
        <x:f>IF(ISNUMBER(T1016),R1016-T1016,"n.a.")</x:f>
        <x:v>n.a.</x:v>
      </x:c>
      <x:c r="AA1016" s="1" t="str">
        <x:f>'Inventory inputs'!R1016</x:f>
        <x:v>Review receipt reconciliation or original PO baseline</x:v>
      </x:c>
      <x:c r="AB1016" s="1" t="str">
        <x:f>IF(L1016=1,SUMIFS('Incoming POs'!$P$2:$P$305,'Incoming POs'!$A$2:$A$305,A1016,'Incoming POs'!$B$2:$B$305,B1016,'Incoming POs'!$C$2:$C$305,C1016,'Incoming POs'!$G$2:$G$305,"&gt;="&amp;D1016,'Incoming POs'!$G$2:$G$305,"&lt;"&amp;Dashboard!$I$5,'Incoming POs'!$Q$2:$Q$305,"&lt;="&amp;('Inventory inputs'!P1016/'Inventory inputs'!J1016*1.01)),"n.a.")</x:f>
        <x:v>n.a.</x:v>
      </x:c>
      <x:c r="AC1016" s="9" t="n">
        <x:f>I1016*G1016</x:f>
        <x:v>0</x:v>
      </x:c>
      <x:c r="AD1016" s="9" t="n">
        <x:f>J1016*G1016</x:f>
        <x:v>0</x:v>
      </x:c>
      <x:c r="AE1016" s="9" t="n">
        <x:f>K1016*G1016</x:f>
        <x:v>41.25</x:v>
      </x:c>
      <x:c r="AF1016" s="9" t="n">
        <x:f>R1016*G1016</x:f>
        <x:v>39.633880903490756</x:v>
      </x:c>
    </x:row>
    <x:row r="1017" ht="21" customHeight="1">
      <x:c r="A1017" s="1" t="str">
        <x:f>'Inventory inputs'!A1017</x:f>
        <x:v>FILM</x:v>
      </x:c>
      <x:c r="B1017" s="1" t="str">
        <x:f>'Inventory inputs'!B1017</x:f>
        <x:v>10</x:v>
      </x:c>
      <x:c r="C1017" s="1" t="str">
        <x:f>'Inventory inputs'!C1017</x:f>
        <x:v>2510005C3</x:v>
      </x:c>
      <x:c r="D1017" s="7" t="n">
        <x:f>'Inventory inputs'!E1017</x:f>
        <x:v>46304</x:v>
      </x:c>
      <x:c r="E1017" s="1" t="n">
        <x:f>'Inventory inputs'!F1017</x:f>
        <x:v>17</x:v>
      </x:c>
      <x:c r="F1017" s="1" t="n">
        <x:f>'Inventory inputs'!G1017</x:f>
        <x:v>0.17</x:v>
      </x:c>
      <x:c r="G1017" s="1" t="n">
        <x:f>'Inventory inputs'!H1017/'Inventory inputs'!J1017</x:f>
        <x:v>105.9</x:v>
      </x:c>
      <x:c r="H1017" s="1" t="n">
        <x:f>IF('Inventory inputs'!I1017&gt;0,'Inventory inputs'!I1017*'Inventory inputs'!K1017/'Inventory inputs'!J1017,"n.a.")</x:f>
        <x:v>127.2</x:v>
      </x:c>
      <x:c r="I1017" s="1" t="n">
        <x:f>'Inventory inputs'!L1017</x:f>
        <x:v>0</x:v>
      </x:c>
      <x:c r="J1017" s="1" t="n">
        <x:f>'Inventory inputs'!M1017</x:f>
        <x:v>0</x:v>
      </x:c>
      <x:c r="K1017" s="1" t="n">
        <x:f>'Inventory inputs'!N1017</x:f>
        <x:v>17</x:v>
      </x:c>
      <x:c r="L1017" s="1" t="n">
        <x:f>'Inventory inputs'!O1017</x:f>
        <x:v>0</x:v>
      </x:c>
      <x:c r="M1017" s="9" t="n">
        <x:f>E1017*G1017</x:f>
        <x:v>1800.3000000000002</x:v>
      </x:c>
      <x:c r="N1017" s="9" t="n">
        <x:f>'Inventory inputs'!Q1017</x:f>
        <x:v>1800.3000000000002</x:v>
      </x:c>
      <x:c r="O1017" s="9" t="n">
        <x:f>N1017-M1017</x:f>
        <x:v>0</x:v>
      </x:c>
      <x:c r="P1017" s="1" t="n">
        <x:f>SUMIFS('Incoming POs'!$P$2:$P$305,'Incoming POs'!$A$2:$A$305,A1017,'Incoming POs'!$B$2:$B$305,B1017,'Incoming POs'!$C$2:$C$305,C1017,'Incoming POs'!$G$2:$G$305,"&gt;="&amp;D1017,'Incoming POs'!$G$2:$G$305,"&lt;"&amp;Dashboard!$I$5)</x:f>
        <x:v>0</x:v>
      </x:c>
      <x:c r="Q1017" s="1" t="n">
        <x:f>F1017*Dashboard!$L$5*MAX(0,Dashboard!$I$5-D1017)/30.4375</x:f>
        <x:v>0.2220123203285421</x:v>
      </x:c>
      <x:c r="R1017" s="1" t="n">
        <x:f>MAX(0,E1017+P1017-Q1017)</x:f>
        <x:v>16.777987679671458</x:v>
      </x:c>
      <x:c r="S1017" s="1" t="n">
        <x:f>MAX(0,Q1017-E1017-P1017)</x:f>
        <x:v>0</x:v>
      </x:c>
      <x:c r="T1017" s="1" t="str">
        <x:f>IF(L1017=1,MAX(0,I1017+AB1017-MIN(Q1017,E1017+P1017)),"n.a.")</x:f>
        <x:v>n.a.</x:v>
      </x:c>
      <x:c r="U1017" s="9" t="str">
        <x:f>IF(ISNUMBER(T1017),T1017*G1017,"n.a.")</x:f>
        <x:v>n.a.</x:v>
      </x:c>
      <x:c r="V1017" s="25" t="n">
        <x:f>IF(Dashboard!$I$6="Flat %",1,IF(ISNUMBER(H1017),1,0))</x:f>
        <x:v>1</x:v>
      </x:c>
      <x:c r="W1017" s="9" t="n">
        <x:f>IF(Dashboard!$I$6="Flat %",G1017*(1+Dashboard!$L$6),H1017)</x:f>
        <x:v>127.2</x:v>
      </x:c>
      <x:c r="X1017" s="9" t="n">
        <x:f>IF(V1017=1,R1017*(W1017-G1017),"n.a.")</x:f>
        <x:v>357.371137577002</x:v>
      </x:c>
      <x:c r="Y1017" s="9" t="n">
        <x:f>IF(V1017=1,R1017*W1017,"n.a.")</x:f>
        <x:v>2134.1600328542095</x:v>
      </x:c>
      <x:c r="Z1017" s="1" t="str">
        <x:f>IF(ISNUMBER(T1017),R1017-T1017,"n.a.")</x:f>
        <x:v>n.a.</x:v>
      </x:c>
      <x:c r="AA1017" s="1" t="str">
        <x:f>'Inventory inputs'!R1017</x:f>
        <x:v>Review receipt reconciliation or original PO baseline</x:v>
      </x:c>
      <x:c r="AB1017" s="1" t="str">
        <x:f>IF(L1017=1,SUMIFS('Incoming POs'!$P$2:$P$305,'Incoming POs'!$A$2:$A$305,A1017,'Incoming POs'!$B$2:$B$305,B1017,'Incoming POs'!$C$2:$C$305,C1017,'Incoming POs'!$G$2:$G$305,"&gt;="&amp;D1017,'Incoming POs'!$G$2:$G$305,"&lt;"&amp;Dashboard!$I$5,'Incoming POs'!$Q$2:$Q$305,"&lt;="&amp;('Inventory inputs'!P1017/'Inventory inputs'!J1017*1.01)),"n.a.")</x:f>
        <x:v>n.a.</x:v>
      </x:c>
      <x:c r="AC1017" s="9" t="n">
        <x:f>I1017*G1017</x:f>
        <x:v>0</x:v>
      </x:c>
      <x:c r="AD1017" s="9" t="n">
        <x:f>J1017*G1017</x:f>
        <x:v>0</x:v>
      </x:c>
      <x:c r="AE1017" s="9" t="n">
        <x:f>K1017*G1017</x:f>
        <x:v>1800.3000000000002</x:v>
      </x:c>
      <x:c r="AF1017" s="9" t="n">
        <x:f>R1017*G1017</x:f>
        <x:v>1776.7888952772075</x:v>
      </x:c>
    </x:row>
    <x:row r="1018" ht="21" customHeight="1">
      <x:c r="A1018" s="1" t="str">
        <x:f>'Inventory inputs'!A1018</x:f>
        <x:v>FILM</x:v>
      </x:c>
      <x:c r="B1018" s="1" t="str">
        <x:f>'Inventory inputs'!B1018</x:f>
        <x:v>30</x:v>
      </x:c>
      <x:c r="C1018" s="1" t="str">
        <x:f>'Inventory inputs'!C1018</x:f>
        <x:v>1210005C3</x:v>
      </x:c>
      <x:c r="D1018" s="7" t="n">
        <x:f>'Inventory inputs'!E1018</x:f>
        <x:v>46304</x:v>
      </x:c>
      <x:c r="E1018" s="1" t="n">
        <x:f>'Inventory inputs'!F1018</x:f>
        <x:v>68</x:v>
      </x:c>
      <x:c r="F1018" s="1" t="n">
        <x:f>'Inventory inputs'!G1018</x:f>
        <x:v>0.17</x:v>
      </x:c>
      <x:c r="G1018" s="1" t="n">
        <x:f>'Inventory inputs'!H1018/'Inventory inputs'!J1018</x:f>
        <x:v>50.83</x:v>
      </x:c>
      <x:c r="H1018" s="1" t="n">
        <x:f>IF('Inventory inputs'!I1018&gt;0,'Inventory inputs'!I1018*'Inventory inputs'!K1018/'Inventory inputs'!J1018,"n.a.")</x:f>
        <x:v>61.06</x:v>
      </x:c>
      <x:c r="I1018" s="1" t="n">
        <x:f>'Inventory inputs'!L1018</x:f>
        <x:v>0</x:v>
      </x:c>
      <x:c r="J1018" s="1" t="n">
        <x:f>'Inventory inputs'!M1018</x:f>
        <x:v>0</x:v>
      </x:c>
      <x:c r="K1018" s="1" t="n">
        <x:f>'Inventory inputs'!N1018</x:f>
        <x:v>68</x:v>
      </x:c>
      <x:c r="L1018" s="1" t="n">
        <x:f>'Inventory inputs'!O1018</x:f>
        <x:v>0</x:v>
      </x:c>
      <x:c r="M1018" s="9" t="n">
        <x:f>E1018*G1018</x:f>
        <x:v>3456.44</x:v>
      </x:c>
      <x:c r="N1018" s="9" t="n">
        <x:f>'Inventory inputs'!Q1018</x:f>
        <x:v>3456.44</x:v>
      </x:c>
      <x:c r="O1018" s="9" t="n">
        <x:f>N1018-M1018</x:f>
        <x:v>0</x:v>
      </x:c>
      <x:c r="P1018" s="1" t="n">
        <x:f>SUMIFS('Incoming POs'!$P$2:$P$305,'Incoming POs'!$A$2:$A$305,A1018,'Incoming POs'!$B$2:$B$305,B1018,'Incoming POs'!$C$2:$C$305,C1018,'Incoming POs'!$G$2:$G$305,"&gt;="&amp;D1018,'Incoming POs'!$G$2:$G$305,"&lt;"&amp;Dashboard!$I$5)</x:f>
        <x:v>0</x:v>
      </x:c>
      <x:c r="Q1018" s="1" t="n">
        <x:f>F1018*Dashboard!$L$5*MAX(0,Dashboard!$I$5-D1018)/30.4375</x:f>
        <x:v>0.2220123203285421</x:v>
      </x:c>
      <x:c r="R1018" s="1" t="n">
        <x:f>MAX(0,E1018+P1018-Q1018)</x:f>
        <x:v>67.77798767967145</x:v>
      </x:c>
      <x:c r="S1018" s="1" t="n">
        <x:f>MAX(0,Q1018-E1018-P1018)</x:f>
        <x:v>0</x:v>
      </x:c>
      <x:c r="T1018" s="1" t="str">
        <x:f>IF(L1018=1,MAX(0,I1018+AB1018-MIN(Q1018,E1018+P1018)),"n.a.")</x:f>
        <x:v>n.a.</x:v>
      </x:c>
      <x:c r="U1018" s="9" t="str">
        <x:f>IF(ISNUMBER(T1018),T1018*G1018,"n.a.")</x:f>
        <x:v>n.a.</x:v>
      </x:c>
      <x:c r="V1018" s="25" t="n">
        <x:f>IF(Dashboard!$I$6="Flat %",1,IF(ISNUMBER(H1018),1,0))</x:f>
        <x:v>1</x:v>
      </x:c>
      <x:c r="W1018" s="9" t="n">
        <x:f>IF(Dashboard!$I$6="Flat %",G1018*(1+Dashboard!$L$6),H1018)</x:f>
        <x:v>61.06</x:v>
      </x:c>
      <x:c r="X1018" s="9" t="n">
        <x:f>IF(V1018=1,R1018*(W1018-G1018),"n.a.")</x:f>
        <x:v>693.3688139630392</x:v>
      </x:c>
      <x:c r="Y1018" s="9" t="n">
        <x:f>IF(V1018=1,R1018*W1018,"n.a.")</x:f>
        <x:v>4138.523927720739</x:v>
      </x:c>
      <x:c r="Z1018" s="1" t="str">
        <x:f>IF(ISNUMBER(T1018),R1018-T1018,"n.a.")</x:f>
        <x:v>n.a.</x:v>
      </x:c>
      <x:c r="AA1018" s="1" t="str">
        <x:f>'Inventory inputs'!R1018</x:f>
        <x:v>Review receipt reconciliation or original PO baseline</x:v>
      </x:c>
      <x:c r="AB1018" s="1" t="str">
        <x:f>IF(L1018=1,SUMIFS('Incoming POs'!$P$2:$P$305,'Incoming POs'!$A$2:$A$305,A1018,'Incoming POs'!$B$2:$B$305,B1018,'Incoming POs'!$C$2:$C$305,C1018,'Incoming POs'!$G$2:$G$305,"&gt;="&amp;D1018,'Incoming POs'!$G$2:$G$305,"&lt;"&amp;Dashboard!$I$5,'Incoming POs'!$Q$2:$Q$305,"&lt;="&amp;('Inventory inputs'!P1018/'Inventory inputs'!J1018*1.01)),"n.a.")</x:f>
        <x:v>n.a.</x:v>
      </x:c>
      <x:c r="AC1018" s="9" t="n">
        <x:f>I1018*G1018</x:f>
        <x:v>0</x:v>
      </x:c>
      <x:c r="AD1018" s="9" t="n">
        <x:f>J1018*G1018</x:f>
        <x:v>0</x:v>
      </x:c>
      <x:c r="AE1018" s="9" t="n">
        <x:f>K1018*G1018</x:f>
        <x:v>3456.44</x:v>
      </x:c>
      <x:c r="AF1018" s="9" t="n">
        <x:f>R1018*G1018</x:f>
        <x:v>3445.1551137577</x:v>
      </x:c>
    </x:row>
    <x:row r="1019" ht="21" customHeight="1">
      <x:c r="A1019" s="1" t="str">
        <x:f>'Inventory inputs'!A1019</x:f>
        <x:v>FILM</x:v>
      </x:c>
      <x:c r="B1019" s="1" t="str">
        <x:f>'Inventory inputs'!B1019</x:f>
        <x:v>30</x:v>
      </x:c>
      <x:c r="C1019" s="1" t="str">
        <x:f>'Inventory inputs'!C1019</x:f>
        <x:v>PR182503C1</x:v>
      </x:c>
      <x:c r="D1019" s="7" t="n">
        <x:f>'Inventory inputs'!E1019</x:f>
        <x:v>46304</x:v>
      </x:c>
      <x:c r="E1019" s="1" t="n">
        <x:f>'Inventory inputs'!F1019</x:f>
        <x:v>38</x:v>
      </x:c>
      <x:c r="F1019" s="1" t="n">
        <x:f>'Inventory inputs'!G1019</x:f>
        <x:v>0.17</x:v>
      </x:c>
      <x:c r="G1019" s="1" t="n">
        <x:f>'Inventory inputs'!H1019/'Inventory inputs'!J1019</x:f>
        <x:v>12.15</x:v>
      </x:c>
      <x:c r="H1019" s="1" t="n">
        <x:f>IF('Inventory inputs'!I1019&gt;0,'Inventory inputs'!I1019*'Inventory inputs'!K1019/'Inventory inputs'!J1019,"n.a.")</x:f>
        <x:v>14.58</x:v>
      </x:c>
      <x:c r="I1019" s="1" t="n">
        <x:f>'Inventory inputs'!L1019</x:f>
        <x:v>0</x:v>
      </x:c>
      <x:c r="J1019" s="1" t="n">
        <x:f>'Inventory inputs'!M1019</x:f>
        <x:v>0</x:v>
      </x:c>
      <x:c r="K1019" s="1" t="n">
        <x:f>'Inventory inputs'!N1019</x:f>
        <x:v>38</x:v>
      </x:c>
      <x:c r="L1019" s="1" t="n">
        <x:f>'Inventory inputs'!O1019</x:f>
        <x:v>0</x:v>
      </x:c>
      <x:c r="M1019" s="9" t="n">
        <x:f>E1019*G1019</x:f>
        <x:v>461.7</x:v>
      </x:c>
      <x:c r="N1019" s="9" t="n">
        <x:f>'Inventory inputs'!Q1019</x:f>
        <x:v>461.7</x:v>
      </x:c>
      <x:c r="O1019" s="9" t="n">
        <x:f>N1019-M1019</x:f>
        <x:v>0</x:v>
      </x:c>
      <x:c r="P1019" s="1" t="n">
        <x:f>SUMIFS('Incoming POs'!$P$2:$P$305,'Incoming POs'!$A$2:$A$305,A1019,'Incoming POs'!$B$2:$B$305,B1019,'Incoming POs'!$C$2:$C$305,C1019,'Incoming POs'!$G$2:$G$305,"&gt;="&amp;D1019,'Incoming POs'!$G$2:$G$305,"&lt;"&amp;Dashboard!$I$5)</x:f>
        <x:v>0</x:v>
      </x:c>
      <x:c r="Q1019" s="1" t="n">
        <x:f>F1019*Dashboard!$L$5*MAX(0,Dashboard!$I$5-D1019)/30.4375</x:f>
        <x:v>0.2220123203285421</x:v>
      </x:c>
      <x:c r="R1019" s="1" t="n">
        <x:f>MAX(0,E1019+P1019-Q1019)</x:f>
        <x:v>37.777987679671455</x:v>
      </x:c>
      <x:c r="S1019" s="1" t="n">
        <x:f>MAX(0,Q1019-E1019-P1019)</x:f>
        <x:v>0</x:v>
      </x:c>
      <x:c r="T1019" s="1" t="str">
        <x:f>IF(L1019=1,MAX(0,I1019+AB1019-MIN(Q1019,E1019+P1019)),"n.a.")</x:f>
        <x:v>n.a.</x:v>
      </x:c>
      <x:c r="U1019" s="9" t="str">
        <x:f>IF(ISNUMBER(T1019),T1019*G1019,"n.a.")</x:f>
        <x:v>n.a.</x:v>
      </x:c>
      <x:c r="V1019" s="25" t="n">
        <x:f>IF(Dashboard!$I$6="Flat %",1,IF(ISNUMBER(H1019),1,0))</x:f>
        <x:v>1</x:v>
      </x:c>
      <x:c r="W1019" s="9" t="n">
        <x:f>IF(Dashboard!$I$6="Flat %",G1019*(1+Dashboard!$L$6),H1019)</x:f>
        <x:v>14.58</x:v>
      </x:c>
      <x:c r="X1019" s="9" t="n">
        <x:f>IF(V1019=1,R1019*(W1019-G1019),"n.a.")</x:f>
        <x:v>91.80051006160163</x:v>
      </x:c>
      <x:c r="Y1019" s="9" t="n">
        <x:f>IF(V1019=1,R1019*W1019,"n.a.")</x:f>
        <x:v>550.8030603696099</x:v>
      </x:c>
      <x:c r="Z1019" s="1" t="str">
        <x:f>IF(ISNUMBER(T1019),R1019-T1019,"n.a.")</x:f>
        <x:v>n.a.</x:v>
      </x:c>
      <x:c r="AA1019" s="1" t="str">
        <x:f>'Inventory inputs'!R1019</x:f>
        <x:v>Review receipt reconciliation or original PO baseline</x:v>
      </x:c>
      <x:c r="AB1019" s="1" t="str">
        <x:f>IF(L1019=1,SUMIFS('Incoming POs'!$P$2:$P$305,'Incoming POs'!$A$2:$A$305,A1019,'Incoming POs'!$B$2:$B$305,B1019,'Incoming POs'!$C$2:$C$305,C1019,'Incoming POs'!$G$2:$G$305,"&gt;="&amp;D1019,'Incoming POs'!$G$2:$G$305,"&lt;"&amp;Dashboard!$I$5,'Incoming POs'!$Q$2:$Q$305,"&lt;="&amp;('Inventory inputs'!P1019/'Inventory inputs'!J1019*1.01)),"n.a.")</x:f>
        <x:v>n.a.</x:v>
      </x:c>
      <x:c r="AC1019" s="9" t="n">
        <x:f>I1019*G1019</x:f>
        <x:v>0</x:v>
      </x:c>
      <x:c r="AD1019" s="9" t="n">
        <x:f>J1019*G1019</x:f>
        <x:v>0</x:v>
      </x:c>
      <x:c r="AE1019" s="9" t="n">
        <x:f>K1019*G1019</x:f>
        <x:v>461.7</x:v>
      </x:c>
      <x:c r="AF1019" s="9" t="n">
        <x:f>R1019*G1019</x:f>
        <x:v>459.0025503080082</x:v>
      </x:c>
    </x:row>
    <x:row r="1020" ht="21" customHeight="1">
      <x:c r="A1020" s="1" t="str">
        <x:f>'Inventory inputs'!A1020</x:f>
        <x:v>FILM</x:v>
      </x:c>
      <x:c r="B1020" s="1" t="str">
        <x:f>'Inventory inputs'!B1020</x:f>
        <x:v>60</x:v>
      </x:c>
      <x:c r="C1020" s="1" t="str">
        <x:f>'Inventory inputs'!C1020</x:f>
        <x:v>1210005C3</x:v>
      </x:c>
      <x:c r="D1020" s="7" t="n">
        <x:f>'Inventory inputs'!E1020</x:f>
        <x:v>46304</x:v>
      </x:c>
      <x:c r="E1020" s="1" t="n">
        <x:f>'Inventory inputs'!F1020</x:f>
        <x:v>51</x:v>
      </x:c>
      <x:c r="F1020" s="1" t="n">
        <x:f>'Inventory inputs'!G1020</x:f>
        <x:v>0.17</x:v>
      </x:c>
      <x:c r="G1020" s="1" t="n">
        <x:f>'Inventory inputs'!H1020/'Inventory inputs'!J1020</x:f>
        <x:v>50.83</x:v>
      </x:c>
      <x:c r="H1020" s="1" t="n">
        <x:f>IF('Inventory inputs'!I1020&gt;0,'Inventory inputs'!I1020*'Inventory inputs'!K1020/'Inventory inputs'!J1020,"n.a.")</x:f>
        <x:v>61.06</x:v>
      </x:c>
      <x:c r="I1020" s="1" t="n">
        <x:f>'Inventory inputs'!L1020</x:f>
        <x:v>0</x:v>
      </x:c>
      <x:c r="J1020" s="1" t="n">
        <x:f>'Inventory inputs'!M1020</x:f>
        <x:v>0</x:v>
      </x:c>
      <x:c r="K1020" s="1" t="n">
        <x:f>'Inventory inputs'!N1020</x:f>
        <x:v>51</x:v>
      </x:c>
      <x:c r="L1020" s="1" t="n">
        <x:f>'Inventory inputs'!O1020</x:f>
        <x:v>0</x:v>
      </x:c>
      <x:c r="M1020" s="9" t="n">
        <x:f>E1020*G1020</x:f>
        <x:v>2592.33</x:v>
      </x:c>
      <x:c r="N1020" s="9" t="n">
        <x:f>'Inventory inputs'!Q1020</x:f>
        <x:v>2592.33</x:v>
      </x:c>
      <x:c r="O1020" s="9" t="n">
        <x:f>N1020-M1020</x:f>
        <x:v>0</x:v>
      </x:c>
      <x:c r="P1020" s="1" t="n">
        <x:f>SUMIFS('Incoming POs'!$P$2:$P$305,'Incoming POs'!$A$2:$A$305,A1020,'Incoming POs'!$B$2:$B$305,B1020,'Incoming POs'!$C$2:$C$305,C1020,'Incoming POs'!$G$2:$G$305,"&gt;="&amp;D1020,'Incoming POs'!$G$2:$G$305,"&lt;"&amp;Dashboard!$I$5)</x:f>
        <x:v>0</x:v>
      </x:c>
      <x:c r="Q1020" s="1" t="n">
        <x:f>F1020*Dashboard!$L$5*MAX(0,Dashboard!$I$5-D1020)/30.4375</x:f>
        <x:v>0.2220123203285421</x:v>
      </x:c>
      <x:c r="R1020" s="1" t="n">
        <x:f>MAX(0,E1020+P1020-Q1020)</x:f>
        <x:v>50.777987679671455</x:v>
      </x:c>
      <x:c r="S1020" s="1" t="n">
        <x:f>MAX(0,Q1020-E1020-P1020)</x:f>
        <x:v>0</x:v>
      </x:c>
      <x:c r="T1020" s="1" t="str">
        <x:f>IF(L1020=1,MAX(0,I1020+AB1020-MIN(Q1020,E1020+P1020)),"n.a.")</x:f>
        <x:v>n.a.</x:v>
      </x:c>
      <x:c r="U1020" s="9" t="str">
        <x:f>IF(ISNUMBER(T1020),T1020*G1020,"n.a.")</x:f>
        <x:v>n.a.</x:v>
      </x:c>
      <x:c r="V1020" s="25" t="n">
        <x:f>IF(Dashboard!$I$6="Flat %",1,IF(ISNUMBER(H1020),1,0))</x:f>
        <x:v>1</x:v>
      </x:c>
      <x:c r="W1020" s="9" t="n">
        <x:f>IF(Dashboard!$I$6="Flat %",G1020*(1+Dashboard!$L$6),H1020)</x:f>
        <x:v>61.06</x:v>
      </x:c>
      <x:c r="X1020" s="9" t="n">
        <x:f>IF(V1020=1,R1020*(W1020-G1020),"n.a.")</x:f>
        <x:v>519.4588139630392</x:v>
      </x:c>
      <x:c r="Y1020" s="9" t="n">
        <x:f>IF(V1020=1,R1020*W1020,"n.a.")</x:f>
        <x:v>3100.5039277207393</x:v>
      </x:c>
      <x:c r="Z1020" s="1" t="str">
        <x:f>IF(ISNUMBER(T1020),R1020-T1020,"n.a.")</x:f>
        <x:v>n.a.</x:v>
      </x:c>
      <x:c r="AA1020" s="1" t="str">
        <x:f>'Inventory inputs'!R1020</x:f>
        <x:v>Review receipt reconciliation or original PO baseline</x:v>
      </x:c>
      <x:c r="AB1020" s="1" t="str">
        <x:f>IF(L1020=1,SUMIFS('Incoming POs'!$P$2:$P$305,'Incoming POs'!$A$2:$A$305,A1020,'Incoming POs'!$B$2:$B$305,B1020,'Incoming POs'!$C$2:$C$305,C1020,'Incoming POs'!$G$2:$G$305,"&gt;="&amp;D1020,'Incoming POs'!$G$2:$G$305,"&lt;"&amp;Dashboard!$I$5,'Incoming POs'!$Q$2:$Q$305,"&lt;="&amp;('Inventory inputs'!P1020/'Inventory inputs'!J1020*1.01)),"n.a.")</x:f>
        <x:v>n.a.</x:v>
      </x:c>
      <x:c r="AC1020" s="9" t="n">
        <x:f>I1020*G1020</x:f>
        <x:v>0</x:v>
      </x:c>
      <x:c r="AD1020" s="9" t="n">
        <x:f>J1020*G1020</x:f>
        <x:v>0</x:v>
      </x:c>
      <x:c r="AE1020" s="9" t="n">
        <x:f>K1020*G1020</x:f>
        <x:v>2592.33</x:v>
      </x:c>
      <x:c r="AF1020" s="9" t="n">
        <x:f>R1020*G1020</x:f>
        <x:v>2581.0451137577</x:v>
      </x:c>
    </x:row>
    <x:row r="1021" ht="21" customHeight="1">
      <x:c r="A1021" s="1" t="str">
        <x:f>'Inventory inputs'!A1021</x:f>
        <x:v>FILM</x:v>
      </x:c>
      <x:c r="B1021" s="1" t="str">
        <x:f>'Inventory inputs'!B1021</x:f>
        <x:v>60</x:v>
      </x:c>
      <x:c r="C1021" s="1" t="str">
        <x:f>'Inventory inputs'!C1021</x:f>
        <x:v>1250010C3</x:v>
      </x:c>
      <x:c r="D1021" s="7" t="n">
        <x:f>'Inventory inputs'!E1021</x:f>
        <x:v>46304</x:v>
      </x:c>
      <x:c r="E1021" s="1" t="n">
        <x:f>'Inventory inputs'!F1021</x:f>
        <x:v>0</x:v>
      </x:c>
      <x:c r="F1021" s="1" t="n">
        <x:f>'Inventory inputs'!G1021</x:f>
        <x:v>0.17</x:v>
      </x:c>
      <x:c r="G1021" s="1" t="n">
        <x:f>'Inventory inputs'!H1021/'Inventory inputs'!J1021</x:f>
        <x:v>56.88</x:v>
      </x:c>
      <x:c r="H1021" s="1" t="n">
        <x:f>IF('Inventory inputs'!I1021&gt;0,'Inventory inputs'!I1021*'Inventory inputs'!K1021/'Inventory inputs'!J1021,"n.a.")</x:f>
        <x:v>68.26</x:v>
      </x:c>
      <x:c r="I1021" s="1" t="n">
        <x:f>'Inventory inputs'!L1021</x:f>
        <x:v>0</x:v>
      </x:c>
      <x:c r="J1021" s="1" t="n">
        <x:f>'Inventory inputs'!M1021</x:f>
        <x:v>0</x:v>
      </x:c>
      <x:c r="K1021" s="1" t="n">
        <x:f>'Inventory inputs'!N1021</x:f>
        <x:v>0</x:v>
      </x:c>
      <x:c r="L1021" s="1" t="n">
        <x:f>'Inventory inputs'!O1021</x:f>
        <x:v>1</x:v>
      </x:c>
      <x:c r="M1021" s="9" t="n">
        <x:f>E1021*G1021</x:f>
        <x:v>0</x:v>
      </x:c>
      <x:c r="N1021" s="9" t="n">
        <x:f>'Inventory inputs'!Q1021</x:f>
        <x:v>0</x:v>
      </x:c>
      <x:c r="O1021" s="9" t="n">
        <x:f>N1021-M1021</x:f>
        <x:v>0</x:v>
      </x:c>
      <x:c r="P1021" s="1" t="n">
        <x:f>SUMIFS('Incoming POs'!$P$2:$P$305,'Incoming POs'!$A$2:$A$305,A1021,'Incoming POs'!$B$2:$B$305,B1021,'Incoming POs'!$C$2:$C$305,C1021,'Incoming POs'!$G$2:$G$305,"&gt;="&amp;D1021,'Incoming POs'!$G$2:$G$305,"&lt;"&amp;Dashboard!$I$5)</x:f>
        <x:v>0</x:v>
      </x:c>
      <x:c r="Q1021" s="1" t="n">
        <x:f>F1021*Dashboard!$L$5*MAX(0,Dashboard!$I$5-D1021)/30.4375</x:f>
        <x:v>0.2220123203285421</x:v>
      </x:c>
      <x:c r="R1021" s="1" t="n">
        <x:f>MAX(0,E1021+P1021-Q1021)</x:f>
        <x:v>0</x:v>
      </x:c>
      <x:c r="S1021" s="1" t="n">
        <x:f>MAX(0,Q1021-E1021-P1021)</x:f>
        <x:v>0.2220123203285421</x:v>
      </x:c>
      <x:c r="T1021" s="1" t="n">
        <x:f>IF(L1021=1,MAX(0,I1021+AB1021-MIN(Q1021,E1021+P1021)),"n.a.")</x:f>
        <x:v>0</x:v>
      </x:c>
      <x:c r="U1021" s="9" t="n">
        <x:f>IF(ISNUMBER(T1021),T1021*G1021,"n.a.")</x:f>
        <x:v>0</x:v>
      </x:c>
      <x:c r="V1021" s="25" t="n">
        <x:f>IF(Dashboard!$I$6="Flat %",1,IF(ISNUMBER(H1021),1,0))</x:f>
        <x:v>1</x:v>
      </x:c>
      <x:c r="W1021" s="9" t="n">
        <x:f>IF(Dashboard!$I$6="Flat %",G1021*(1+Dashboard!$L$6),H1021)</x:f>
        <x:v>68.26</x:v>
      </x:c>
      <x:c r="X1021" s="9" t="n">
        <x:f>IF(V1021=1,R1021*(W1021-G1021),"n.a.")</x:f>
        <x:v>0</x:v>
      </x:c>
      <x:c r="Y1021" s="9" t="n">
        <x:f>IF(V1021=1,R1021*W1021,"n.a.")</x:f>
        <x:v>0</x:v>
      </x:c>
      <x:c r="Z1021" s="1" t="n">
        <x:f>IF(ISNUMBER(T1021),R1021-T1021,"n.a.")</x:f>
        <x:v>0</x:v>
      </x:c>
      <x:c r="AA1021" s="1" t="str">
        <x:f>'Inventory inputs'!R1021</x:f>
        <x:v>Classified</x:v>
      </x:c>
      <x:c r="AB1021" s="1" t="n">
        <x:f>IF(L1021=1,SUMIFS('Incoming POs'!$P$2:$P$305,'Incoming POs'!$A$2:$A$305,A1021,'Incoming POs'!$B$2:$B$305,B1021,'Incoming POs'!$C$2:$C$305,C1021,'Incoming POs'!$G$2:$G$305,"&gt;="&amp;D1021,'Incoming POs'!$G$2:$G$305,"&lt;"&amp;Dashboard!$I$5,'Incoming POs'!$Q$2:$Q$305,"&lt;="&amp;('Inventory inputs'!P1021/'Inventory inputs'!J1021*1.01)),"n.a.")</x:f>
        <x:v>0</x:v>
      </x:c>
      <x:c r="AC1021" s="9" t="n">
        <x:f>I1021*G1021</x:f>
        <x:v>0</x:v>
      </x:c>
      <x:c r="AD1021" s="9" t="n">
        <x:f>J1021*G1021</x:f>
        <x:v>0</x:v>
      </x:c>
      <x:c r="AE1021" s="9" t="n">
        <x:f>K1021*G1021</x:f>
        <x:v>0</x:v>
      </x:c>
      <x:c r="AF1021" s="9" t="n">
        <x:f>R1021*G1021</x:f>
        <x:v>0</x:v>
      </x:c>
    </x:row>
    <x:row r="1022" ht="21" customHeight="1">
      <x:c r="A1022" s="1" t="str">
        <x:f>'Inventory inputs'!A1022</x:f>
        <x:v>FILM</x:v>
      </x:c>
      <x:c r="B1022" s="1" t="str">
        <x:f>'Inventory inputs'!B1022</x:f>
        <x:v>60</x:v>
      </x:c>
      <x:c r="C1022" s="1" t="str">
        <x:f>'Inventory inputs'!C1022</x:f>
        <x:v>2510005C3</x:v>
      </x:c>
      <x:c r="D1022" s="7" t="n">
        <x:f>'Inventory inputs'!E1022</x:f>
        <x:v>46304</x:v>
      </x:c>
      <x:c r="E1022" s="1" t="n">
        <x:f>'Inventory inputs'!F1022</x:f>
        <x:v>18</x:v>
      </x:c>
      <x:c r="F1022" s="1" t="n">
        <x:f>'Inventory inputs'!G1022</x:f>
        <x:v>0.17</x:v>
      </x:c>
      <x:c r="G1022" s="1" t="n">
        <x:f>'Inventory inputs'!H1022/'Inventory inputs'!J1022</x:f>
        <x:v>105.9</x:v>
      </x:c>
      <x:c r="H1022" s="1" t="n">
        <x:f>IF('Inventory inputs'!I1022&gt;0,'Inventory inputs'!I1022*'Inventory inputs'!K1022/'Inventory inputs'!J1022,"n.a.")</x:f>
        <x:v>127.2</x:v>
      </x:c>
      <x:c r="I1022" s="1" t="n">
        <x:f>'Inventory inputs'!L1022</x:f>
        <x:v>0</x:v>
      </x:c>
      <x:c r="J1022" s="1" t="n">
        <x:f>'Inventory inputs'!M1022</x:f>
        <x:v>0</x:v>
      </x:c>
      <x:c r="K1022" s="1" t="n">
        <x:f>'Inventory inputs'!N1022</x:f>
        <x:v>18</x:v>
      </x:c>
      <x:c r="L1022" s="1" t="n">
        <x:f>'Inventory inputs'!O1022</x:f>
        <x:v>0</x:v>
      </x:c>
      <x:c r="M1022" s="9" t="n">
        <x:f>E1022*G1022</x:f>
        <x:v>1906.2</x:v>
      </x:c>
      <x:c r="N1022" s="9" t="n">
        <x:f>'Inventory inputs'!Q1022</x:f>
        <x:v>1906.2</x:v>
      </x:c>
      <x:c r="O1022" s="9" t="n">
        <x:f>N1022-M1022</x:f>
        <x:v>0</x:v>
      </x:c>
      <x:c r="P1022" s="1" t="n">
        <x:f>SUMIFS('Incoming POs'!$P$2:$P$305,'Incoming POs'!$A$2:$A$305,A1022,'Incoming POs'!$B$2:$B$305,B1022,'Incoming POs'!$C$2:$C$305,C1022,'Incoming POs'!$G$2:$G$305,"&gt;="&amp;D1022,'Incoming POs'!$G$2:$G$305,"&lt;"&amp;Dashboard!$I$5)</x:f>
        <x:v>0</x:v>
      </x:c>
      <x:c r="Q1022" s="1" t="n">
        <x:f>F1022*Dashboard!$L$5*MAX(0,Dashboard!$I$5-D1022)/30.4375</x:f>
        <x:v>0.2220123203285421</x:v>
      </x:c>
      <x:c r="R1022" s="1" t="n">
        <x:f>MAX(0,E1022+P1022-Q1022)</x:f>
        <x:v>17.777987679671458</x:v>
      </x:c>
      <x:c r="S1022" s="1" t="n">
        <x:f>MAX(0,Q1022-E1022-P1022)</x:f>
        <x:v>0</x:v>
      </x:c>
      <x:c r="T1022" s="1" t="str">
        <x:f>IF(L1022=1,MAX(0,I1022+AB1022-MIN(Q1022,E1022+P1022)),"n.a.")</x:f>
        <x:v>n.a.</x:v>
      </x:c>
      <x:c r="U1022" s="9" t="str">
        <x:f>IF(ISNUMBER(T1022),T1022*G1022,"n.a.")</x:f>
        <x:v>n.a.</x:v>
      </x:c>
      <x:c r="V1022" s="25" t="n">
        <x:f>IF(Dashboard!$I$6="Flat %",1,IF(ISNUMBER(H1022),1,0))</x:f>
        <x:v>1</x:v>
      </x:c>
      <x:c r="W1022" s="9" t="n">
        <x:f>IF(Dashboard!$I$6="Flat %",G1022*(1+Dashboard!$L$6),H1022)</x:f>
        <x:v>127.2</x:v>
      </x:c>
      <x:c r="X1022" s="9" t="n">
        <x:f>IF(V1022=1,R1022*(W1022-G1022),"n.a.")</x:f>
        <x:v>378.671137577002</x:v>
      </x:c>
      <x:c r="Y1022" s="9" t="n">
        <x:f>IF(V1022=1,R1022*W1022,"n.a.")</x:f>
        <x:v>2261.3600328542097</x:v>
      </x:c>
      <x:c r="Z1022" s="1" t="str">
        <x:f>IF(ISNUMBER(T1022),R1022-T1022,"n.a.")</x:f>
        <x:v>n.a.</x:v>
      </x:c>
      <x:c r="AA1022" s="1" t="str">
        <x:f>'Inventory inputs'!R1022</x:f>
        <x:v>Review receipt reconciliation or original PO baseline</x:v>
      </x:c>
      <x:c r="AB1022" s="1" t="str">
        <x:f>IF(L1022=1,SUMIFS('Incoming POs'!$P$2:$P$305,'Incoming POs'!$A$2:$A$305,A1022,'Incoming POs'!$B$2:$B$305,B1022,'Incoming POs'!$C$2:$C$305,C1022,'Incoming POs'!$G$2:$G$305,"&gt;="&amp;D1022,'Incoming POs'!$G$2:$G$305,"&lt;"&amp;Dashboard!$I$5,'Incoming POs'!$Q$2:$Q$305,"&lt;="&amp;('Inventory inputs'!P1022/'Inventory inputs'!J1022*1.01)),"n.a.")</x:f>
        <x:v>n.a.</x:v>
      </x:c>
      <x:c r="AC1022" s="9" t="n">
        <x:f>I1022*G1022</x:f>
        <x:v>0</x:v>
      </x:c>
      <x:c r="AD1022" s="9" t="n">
        <x:f>J1022*G1022</x:f>
        <x:v>0</x:v>
      </x:c>
      <x:c r="AE1022" s="9" t="n">
        <x:f>K1022*G1022</x:f>
        <x:v>1906.2</x:v>
      </x:c>
      <x:c r="AF1022" s="9" t="n">
        <x:f>R1022*G1022</x:f>
        <x:v>1882.6888952772076</x:v>
      </x:c>
    </x:row>
    <x:row r="1023" ht="21" customHeight="1">
      <x:c r="A1023" s="1" t="str">
        <x:f>'Inventory inputs'!A1023</x:f>
        <x:v>FILM</x:v>
      </x:c>
      <x:c r="B1023" s="1" t="str">
        <x:f>'Inventory inputs'!B1023</x:f>
        <x:v>10</x:v>
      </x:c>
      <x:c r="C1023" s="1" t="str">
        <x:f>'Inventory inputs'!C1023</x:f>
        <x:v>142005C1</x:v>
      </x:c>
      <x:c r="D1023" s="7" t="n">
        <x:f>'Inventory inputs'!E1023</x:f>
        <x:v>46304</x:v>
      </x:c>
      <x:c r="E1023" s="1" t="n">
        <x:f>'Inventory inputs'!F1023</x:f>
        <x:v>0</x:v>
      </x:c>
      <x:c r="F1023" s="1" t="n">
        <x:f>'Inventory inputs'!G1023</x:f>
        <x:v>0</x:v>
      </x:c>
      <x:c r="G1023" s="1" t="n">
        <x:f>'Inventory inputs'!H1023/'Inventory inputs'!J1023</x:f>
        <x:v>8.2</x:v>
      </x:c>
      <x:c r="H1023" s="1" t="str">
        <x:f>IF('Inventory inputs'!I1023&gt;0,'Inventory inputs'!I1023*'Inventory inputs'!K1023/'Inventory inputs'!J1023,"n.a.")</x:f>
        <x:v>n.a.</x:v>
      </x:c>
      <x:c r="I1023" s="1" t="n">
        <x:f>'Inventory inputs'!L1023</x:f>
        <x:v>0</x:v>
      </x:c>
      <x:c r="J1023" s="1" t="n">
        <x:f>'Inventory inputs'!M1023</x:f>
        <x:v>0</x:v>
      </x:c>
      <x:c r="K1023" s="1" t="n">
        <x:f>'Inventory inputs'!N1023</x:f>
        <x:v>0</x:v>
      </x:c>
      <x:c r="L1023" s="1" t="n">
        <x:f>'Inventory inputs'!O1023</x:f>
        <x:v>0</x:v>
      </x:c>
      <x:c r="M1023" s="9" t="n">
        <x:f>E1023*G1023</x:f>
        <x:v>0</x:v>
      </x:c>
      <x:c r="N1023" s="9" t="n">
        <x:f>'Inventory inputs'!Q1023</x:f>
        <x:v>0</x:v>
      </x:c>
      <x:c r="O1023" s="9" t="n">
        <x:f>N1023-M1023</x:f>
        <x:v>0</x:v>
      </x:c>
      <x:c r="P1023" s="1" t="n">
        <x:f>SUMIFS('Incoming POs'!$P$2:$P$305,'Incoming POs'!$A$2:$A$305,A1023,'Incoming POs'!$B$2:$B$305,B1023,'Incoming POs'!$C$2:$C$305,C1023,'Incoming POs'!$G$2:$G$305,"&gt;="&amp;D1023,'Incoming POs'!$G$2:$G$305,"&lt;"&amp;Dashboard!$I$5)</x:f>
        <x:v>0</x:v>
      </x:c>
      <x:c r="Q1023" s="1" t="n">
        <x:f>F1023*Dashboard!$L$5*MAX(0,Dashboard!$I$5-D1023)/30.4375</x:f>
        <x:v>0</x:v>
      </x:c>
      <x:c r="R1023" s="1" t="n">
        <x:f>MAX(0,E1023+P1023-Q1023)</x:f>
        <x:v>0</x:v>
      </x:c>
      <x:c r="S1023" s="1" t="n">
        <x:f>MAX(0,Q1023-E1023-P1023)</x:f>
        <x:v>0</x:v>
      </x:c>
      <x:c r="T1023" s="1" t="str">
        <x:f>IF(L1023=1,MAX(0,I1023+AB1023-MIN(Q1023,E1023+P1023)),"n.a.")</x:f>
        <x:v>n.a.</x:v>
      </x:c>
      <x:c r="U1023" s="9" t="str">
        <x:f>IF(ISNUMBER(T1023),T1023*G1023,"n.a.")</x:f>
        <x:v>n.a.</x:v>
      </x:c>
      <x:c r="V1023" s="25" t="n">
        <x:f>IF(Dashboard!$I$6="Flat %",1,IF(ISNUMBER(H1023),1,0))</x:f>
        <x:v>0</x:v>
      </x:c>
      <x:c r="W1023" s="9" t="str">
        <x:f>IF(Dashboard!$I$6="Flat %",G1023*(1+Dashboard!$L$6),H1023)</x:f>
        <x:v>n.a.</x:v>
      </x:c>
      <x:c r="X1023" s="9" t="str">
        <x:f>IF(V1023=1,R1023*(W1023-G1023),"n.a.")</x:f>
        <x:v>n.a.</x:v>
      </x:c>
      <x:c r="Y1023" s="9" t="str">
        <x:f>IF(V1023=1,R1023*W1023,"n.a.")</x:f>
        <x:v>n.a.</x:v>
      </x:c>
      <x:c r="Z1023" s="1" t="str">
        <x:f>IF(ISNUMBER(T1023),R1023-T1023,"n.a.")</x:f>
        <x:v>n.a.</x:v>
      </x:c>
      <x:c r="AA1023" s="1" t="str">
        <x:f>'Inventory inputs'!R1023</x:f>
        <x:v>Review receipt reconciliation or original PO baseline</x:v>
      </x:c>
      <x:c r="AB1023" s="1" t="str">
        <x:f>IF(L1023=1,SUMIFS('Incoming POs'!$P$2:$P$305,'Incoming POs'!$A$2:$A$305,A1023,'Incoming POs'!$B$2:$B$305,B1023,'Incoming POs'!$C$2:$C$305,C1023,'Incoming POs'!$G$2:$G$305,"&gt;="&amp;D1023,'Incoming POs'!$G$2:$G$305,"&lt;"&amp;Dashboard!$I$5,'Incoming POs'!$Q$2:$Q$305,"&lt;="&amp;('Inventory inputs'!P1023/'Inventory inputs'!J1023*1.01)),"n.a.")</x:f>
        <x:v>n.a.</x:v>
      </x:c>
      <x:c r="AC1023" s="9" t="n">
        <x:f>I1023*G1023</x:f>
        <x:v>0</x:v>
      </x:c>
      <x:c r="AD1023" s="9" t="n">
        <x:f>J1023*G1023</x:f>
        <x:v>0</x:v>
      </x:c>
      <x:c r="AE1023" s="9" t="n">
        <x:f>K1023*G1023</x:f>
        <x:v>0</x:v>
      </x:c>
      <x:c r="AF1023" s="9" t="n">
        <x:f>R1023*G1023</x:f>
        <x:v>0</x:v>
      </x:c>
    </x:row>
    <x:row r="1024" ht="21" customHeight="1">
      <x:c r="A1024" s="1" t="str">
        <x:f>'Inventory inputs'!A1024</x:f>
        <x:v>FILM</x:v>
      </x:c>
      <x:c r="B1024" s="1" t="str">
        <x:f>'Inventory inputs'!B1024</x:f>
        <x:v>10</x:v>
      </x:c>
      <x:c r="C1024" s="1" t="str">
        <x:f>'Inventory inputs'!C1024</x:f>
        <x:v>25300017C3</x:v>
      </x:c>
      <x:c r="D1024" s="7" t="n">
        <x:f>'Inventory inputs'!E1024</x:f>
        <x:v>46304</x:v>
      </x:c>
      <x:c r="E1024" s="1" t="n">
        <x:f>'Inventory inputs'!F1024</x:f>
        <x:v>1</x:v>
      </x:c>
      <x:c r="F1024" s="1" t="n">
        <x:f>'Inventory inputs'!G1024</x:f>
        <x:v>0</x:v>
      </x:c>
      <x:c r="G1024" s="1" t="n">
        <x:f>'Inventory inputs'!H1024/'Inventory inputs'!J1024</x:f>
        <x:v>76.5</x:v>
      </x:c>
      <x:c r="H1024" s="1" t="str">
        <x:f>IF('Inventory inputs'!I1024&gt;0,'Inventory inputs'!I1024*'Inventory inputs'!K1024/'Inventory inputs'!J1024,"n.a.")</x:f>
        <x:v>n.a.</x:v>
      </x:c>
      <x:c r="I1024" s="1" t="n">
        <x:f>'Inventory inputs'!L1024</x:f>
        <x:v>0</x:v>
      </x:c>
      <x:c r="J1024" s="1" t="n">
        <x:f>'Inventory inputs'!M1024</x:f>
        <x:v>0</x:v>
      </x:c>
      <x:c r="K1024" s="1" t="n">
        <x:f>'Inventory inputs'!N1024</x:f>
        <x:v>1</x:v>
      </x:c>
      <x:c r="L1024" s="1" t="n">
        <x:f>'Inventory inputs'!O1024</x:f>
        <x:v>0</x:v>
      </x:c>
      <x:c r="M1024" s="9" t="n">
        <x:f>E1024*G1024</x:f>
        <x:v>76.5</x:v>
      </x:c>
      <x:c r="N1024" s="9" t="n">
        <x:f>'Inventory inputs'!Q1024</x:f>
        <x:v>76.5</x:v>
      </x:c>
      <x:c r="O1024" s="9" t="n">
        <x:f>N1024-M1024</x:f>
        <x:v>0</x:v>
      </x:c>
      <x:c r="P1024" s="1" t="n">
        <x:f>SUMIFS('Incoming POs'!$P$2:$P$305,'Incoming POs'!$A$2:$A$305,A1024,'Incoming POs'!$B$2:$B$305,B1024,'Incoming POs'!$C$2:$C$305,C1024,'Incoming POs'!$G$2:$G$305,"&gt;="&amp;D1024,'Incoming POs'!$G$2:$G$305,"&lt;"&amp;Dashboard!$I$5)</x:f>
        <x:v>0</x:v>
      </x:c>
      <x:c r="Q1024" s="1" t="n">
        <x:f>F1024*Dashboard!$L$5*MAX(0,Dashboard!$I$5-D1024)/30.4375</x:f>
        <x:v>0</x:v>
      </x:c>
      <x:c r="R1024" s="1" t="n">
        <x:f>MAX(0,E1024+P1024-Q1024)</x:f>
        <x:v>1</x:v>
      </x:c>
      <x:c r="S1024" s="1" t="n">
        <x:f>MAX(0,Q1024-E1024-P1024)</x:f>
        <x:v>0</x:v>
      </x:c>
      <x:c r="T1024" s="1" t="str">
        <x:f>IF(L1024=1,MAX(0,I1024+AB1024-MIN(Q1024,E1024+P1024)),"n.a.")</x:f>
        <x:v>n.a.</x:v>
      </x:c>
      <x:c r="U1024" s="9" t="str">
        <x:f>IF(ISNUMBER(T1024),T1024*G1024,"n.a.")</x:f>
        <x:v>n.a.</x:v>
      </x:c>
      <x:c r="V1024" s="25" t="n">
        <x:f>IF(Dashboard!$I$6="Flat %",1,IF(ISNUMBER(H1024),1,0))</x:f>
        <x:v>0</x:v>
      </x:c>
      <x:c r="W1024" s="9" t="str">
        <x:f>IF(Dashboard!$I$6="Flat %",G1024*(1+Dashboard!$L$6),H1024)</x:f>
        <x:v>n.a.</x:v>
      </x:c>
      <x:c r="X1024" s="9" t="str">
        <x:f>IF(V1024=1,R1024*(W1024-G1024),"n.a.")</x:f>
        <x:v>n.a.</x:v>
      </x:c>
      <x:c r="Y1024" s="9" t="str">
        <x:f>IF(V1024=1,R1024*W1024,"n.a.")</x:f>
        <x:v>n.a.</x:v>
      </x:c>
      <x:c r="Z1024" s="1" t="str">
        <x:f>IF(ISNUMBER(T1024),R1024-T1024,"n.a.")</x:f>
        <x:v>n.a.</x:v>
      </x:c>
      <x:c r="AA1024" s="1" t="str">
        <x:f>'Inventory inputs'!R1024</x:f>
        <x:v>Review receipt reconciliation or original PO baseline</x:v>
      </x:c>
      <x:c r="AB1024" s="1" t="str">
        <x:f>IF(L1024=1,SUMIFS('Incoming POs'!$P$2:$P$305,'Incoming POs'!$A$2:$A$305,A1024,'Incoming POs'!$B$2:$B$305,B1024,'Incoming POs'!$C$2:$C$305,C1024,'Incoming POs'!$G$2:$G$305,"&gt;="&amp;D1024,'Incoming POs'!$G$2:$G$305,"&lt;"&amp;Dashboard!$I$5,'Incoming POs'!$Q$2:$Q$305,"&lt;="&amp;('Inventory inputs'!P1024/'Inventory inputs'!J1024*1.01)),"n.a.")</x:f>
        <x:v>n.a.</x:v>
      </x:c>
      <x:c r="AC1024" s="9" t="n">
        <x:f>I1024*G1024</x:f>
        <x:v>0</x:v>
      </x:c>
      <x:c r="AD1024" s="9" t="n">
        <x:f>J1024*G1024</x:f>
        <x:v>0</x:v>
      </x:c>
      <x:c r="AE1024" s="9" t="n">
        <x:f>K1024*G1024</x:f>
        <x:v>76.5</x:v>
      </x:c>
      <x:c r="AF1024" s="9" t="n">
        <x:f>R1024*G1024</x:f>
        <x:v>76.5</x:v>
      </x:c>
    </x:row>
    <x:row r="1025" ht="21" customHeight="1">
      <x:c r="A1025" s="1" t="str">
        <x:f>'Inventory inputs'!A1025</x:f>
        <x:v>FILM</x:v>
      </x:c>
      <x:c r="B1025" s="1" t="str">
        <x:f>'Inventory inputs'!B1025</x:f>
        <x:v>10</x:v>
      </x:c>
      <x:c r="C1025" s="1" t="str">
        <x:f>'Inventory inputs'!C1025</x:f>
        <x:v>4350017C3</x:v>
      </x:c>
      <x:c r="D1025" s="7" t="n">
        <x:f>'Inventory inputs'!E1025</x:f>
        <x:v>46304</x:v>
      </x:c>
      <x:c r="E1025" s="1" t="n">
        <x:f>'Inventory inputs'!F1025</x:f>
        <x:v>34</x:v>
      </x:c>
      <x:c r="F1025" s="1" t="n">
        <x:f>'Inventory inputs'!G1025</x:f>
        <x:v>0</x:v>
      </x:c>
      <x:c r="G1025" s="1" t="n">
        <x:f>'Inventory inputs'!H1025/'Inventory inputs'!J1025</x:f>
        <x:v>33.28</x:v>
      </x:c>
      <x:c r="H1025" s="1" t="n">
        <x:f>IF('Inventory inputs'!I1025&gt;0,'Inventory inputs'!I1025*'Inventory inputs'!K1025/'Inventory inputs'!J1025,"n.a.")</x:f>
        <x:v>39.99</x:v>
      </x:c>
      <x:c r="I1025" s="1" t="n">
        <x:f>'Inventory inputs'!L1025</x:f>
        <x:v>0</x:v>
      </x:c>
      <x:c r="J1025" s="1" t="n">
        <x:f>'Inventory inputs'!M1025</x:f>
        <x:v>0</x:v>
      </x:c>
      <x:c r="K1025" s="1" t="n">
        <x:f>'Inventory inputs'!N1025</x:f>
        <x:v>34</x:v>
      </x:c>
      <x:c r="L1025" s="1" t="n">
        <x:f>'Inventory inputs'!O1025</x:f>
        <x:v>0</x:v>
      </x:c>
      <x:c r="M1025" s="9" t="n">
        <x:f>E1025*G1025</x:f>
        <x:v>1131.52</x:v>
      </x:c>
      <x:c r="N1025" s="9" t="n">
        <x:f>'Inventory inputs'!Q1025</x:f>
        <x:v>1131.52</x:v>
      </x:c>
      <x:c r="O1025" s="9" t="n">
        <x:f>N1025-M1025</x:f>
        <x:v>0</x:v>
      </x:c>
      <x:c r="P1025" s="1" t="n">
        <x:f>SUMIFS('Incoming POs'!$P$2:$P$305,'Incoming POs'!$A$2:$A$305,A1025,'Incoming POs'!$B$2:$B$305,B1025,'Incoming POs'!$C$2:$C$305,C1025,'Incoming POs'!$G$2:$G$305,"&gt;="&amp;D1025,'Incoming POs'!$G$2:$G$305,"&lt;"&amp;Dashboard!$I$5)</x:f>
        <x:v>0</x:v>
      </x:c>
      <x:c r="Q1025" s="1" t="n">
        <x:f>F1025*Dashboard!$L$5*MAX(0,Dashboard!$I$5-D1025)/30.4375</x:f>
        <x:v>0</x:v>
      </x:c>
      <x:c r="R1025" s="1" t="n">
        <x:f>MAX(0,E1025+P1025-Q1025)</x:f>
        <x:v>34</x:v>
      </x:c>
      <x:c r="S1025" s="1" t="n">
        <x:f>MAX(0,Q1025-E1025-P1025)</x:f>
        <x:v>0</x:v>
      </x:c>
      <x:c r="T1025" s="1" t="str">
        <x:f>IF(L1025=1,MAX(0,I1025+AB1025-MIN(Q1025,E1025+P1025)),"n.a.")</x:f>
        <x:v>n.a.</x:v>
      </x:c>
      <x:c r="U1025" s="9" t="str">
        <x:f>IF(ISNUMBER(T1025),T1025*G1025,"n.a.")</x:f>
        <x:v>n.a.</x:v>
      </x:c>
      <x:c r="V1025" s="25" t="n">
        <x:f>IF(Dashboard!$I$6="Flat %",1,IF(ISNUMBER(H1025),1,0))</x:f>
        <x:v>1</x:v>
      </x:c>
      <x:c r="W1025" s="9" t="n">
        <x:f>IF(Dashboard!$I$6="Flat %",G1025*(1+Dashboard!$L$6),H1025)</x:f>
        <x:v>39.99</x:v>
      </x:c>
      <x:c r="X1025" s="9" t="n">
        <x:f>IF(V1025=1,R1025*(W1025-G1025),"n.a.")</x:f>
        <x:v>228.14000000000004</x:v>
      </x:c>
      <x:c r="Y1025" s="9" t="n">
        <x:f>IF(V1025=1,R1025*W1025,"n.a.")</x:f>
        <x:v>1359.66</x:v>
      </x:c>
      <x:c r="Z1025" s="1" t="str">
        <x:f>IF(ISNUMBER(T1025),R1025-T1025,"n.a.")</x:f>
        <x:v>n.a.</x:v>
      </x:c>
      <x:c r="AA1025" s="1" t="str">
        <x:f>'Inventory inputs'!R1025</x:f>
        <x:v>Review receipt reconciliation or original PO baseline</x:v>
      </x:c>
      <x:c r="AB1025" s="1" t="str">
        <x:f>IF(L1025=1,SUMIFS('Incoming POs'!$P$2:$P$305,'Incoming POs'!$A$2:$A$305,A1025,'Incoming POs'!$B$2:$B$305,B1025,'Incoming POs'!$C$2:$C$305,C1025,'Incoming POs'!$G$2:$G$305,"&gt;="&amp;D1025,'Incoming POs'!$G$2:$G$305,"&lt;"&amp;Dashboard!$I$5,'Incoming POs'!$Q$2:$Q$305,"&lt;="&amp;('Inventory inputs'!P1025/'Inventory inputs'!J1025*1.01)),"n.a.")</x:f>
        <x:v>n.a.</x:v>
      </x:c>
      <x:c r="AC1025" s="9" t="n">
        <x:f>I1025*G1025</x:f>
        <x:v>0</x:v>
      </x:c>
      <x:c r="AD1025" s="9" t="n">
        <x:f>J1025*G1025</x:f>
        <x:v>0</x:v>
      </x:c>
      <x:c r="AE1025" s="9" t="n">
        <x:f>K1025*G1025</x:f>
        <x:v>1131.52</x:v>
      </x:c>
      <x:c r="AF1025" s="9" t="n">
        <x:f>R1025*G1025</x:f>
        <x:v>1131.52</x:v>
      </x:c>
    </x:row>
    <x:row r="1026" ht="21" customHeight="1">
      <x:c r="A1026" s="1" t="str">
        <x:f>'Inventory inputs'!A1026</x:f>
        <x:v>FILM</x:v>
      </x:c>
      <x:c r="B1026" s="1" t="str">
        <x:f>'Inventory inputs'!B1026</x:f>
        <x:v>10</x:v>
      </x:c>
      <x:c r="C1026" s="1" t="str">
        <x:f>'Inventory inputs'!C1026</x:f>
        <x:v>PPFS</x:v>
      </x:c>
      <x:c r="D1026" s="7" t="n">
        <x:f>'Inventory inputs'!E1026</x:f>
        <x:v>46304</x:v>
      </x:c>
      <x:c r="E1026" s="1" t="n">
        <x:f>'Inventory inputs'!F1026</x:f>
        <x:v>9</x:v>
      </x:c>
      <x:c r="F1026" s="1" t="n">
        <x:f>'Inventory inputs'!G1026</x:f>
        <x:v>0</x:v>
      </x:c>
      <x:c r="G1026" s="1" t="n">
        <x:f>'Inventory inputs'!H1026/'Inventory inputs'!J1026</x:f>
        <x:v>0</x:v>
      </x:c>
      <x:c r="H1026" s="1" t="str">
        <x:f>IF('Inventory inputs'!I1026&gt;0,'Inventory inputs'!I1026*'Inventory inputs'!K1026/'Inventory inputs'!J1026,"n.a.")</x:f>
        <x:v>n.a.</x:v>
      </x:c>
      <x:c r="I1026" s="1" t="n">
        <x:f>'Inventory inputs'!L1026</x:f>
        <x:v>0</x:v>
      </x:c>
      <x:c r="J1026" s="1" t="n">
        <x:f>'Inventory inputs'!M1026</x:f>
        <x:v>0</x:v>
      </x:c>
      <x:c r="K1026" s="1" t="n">
        <x:f>'Inventory inputs'!N1026</x:f>
        <x:v>9</x:v>
      </x:c>
      <x:c r="L1026" s="1" t="n">
        <x:f>'Inventory inputs'!O1026</x:f>
        <x:v>0</x:v>
      </x:c>
      <x:c r="M1026" s="9" t="n">
        <x:f>E1026*G1026</x:f>
        <x:v>0</x:v>
      </x:c>
      <x:c r="N1026" s="9" t="n">
        <x:f>'Inventory inputs'!Q1026</x:f>
        <x:v>0</x:v>
      </x:c>
      <x:c r="O1026" s="9" t="n">
        <x:f>N1026-M1026</x:f>
        <x:v>0</x:v>
      </x:c>
      <x:c r="P1026" s="1" t="n">
        <x:f>SUMIFS('Incoming POs'!$P$2:$P$305,'Incoming POs'!$A$2:$A$305,A1026,'Incoming POs'!$B$2:$B$305,B1026,'Incoming POs'!$C$2:$C$305,C1026,'Incoming POs'!$G$2:$G$305,"&gt;="&amp;D1026,'Incoming POs'!$G$2:$G$305,"&lt;"&amp;Dashboard!$I$5)</x:f>
        <x:v>0</x:v>
      </x:c>
      <x:c r="Q1026" s="1" t="n">
        <x:f>F1026*Dashboard!$L$5*MAX(0,Dashboard!$I$5-D1026)/30.4375</x:f>
        <x:v>0</x:v>
      </x:c>
      <x:c r="R1026" s="1" t="n">
        <x:f>MAX(0,E1026+P1026-Q1026)</x:f>
        <x:v>9</x:v>
      </x:c>
      <x:c r="S1026" s="1" t="n">
        <x:f>MAX(0,Q1026-E1026-P1026)</x:f>
        <x:v>0</x:v>
      </x:c>
      <x:c r="T1026" s="1" t="str">
        <x:f>IF(L1026=1,MAX(0,I1026+AB1026-MIN(Q1026,E1026+P1026)),"n.a.")</x:f>
        <x:v>n.a.</x:v>
      </x:c>
      <x:c r="U1026" s="9" t="str">
        <x:f>IF(ISNUMBER(T1026),T1026*G1026,"n.a.")</x:f>
        <x:v>n.a.</x:v>
      </x:c>
      <x:c r="V1026" s="25" t="n">
        <x:f>IF(Dashboard!$I$6="Flat %",1,IF(ISNUMBER(H1026),1,0))</x:f>
        <x:v>0</x:v>
      </x:c>
      <x:c r="W1026" s="9" t="str">
        <x:f>IF(Dashboard!$I$6="Flat %",G1026*(1+Dashboard!$L$6),H1026)</x:f>
        <x:v>n.a.</x:v>
      </x:c>
      <x:c r="X1026" s="9" t="str">
        <x:f>IF(V1026=1,R1026*(W1026-G1026),"n.a.")</x:f>
        <x:v>n.a.</x:v>
      </x:c>
      <x:c r="Y1026" s="9" t="str">
        <x:f>IF(V1026=1,R1026*W1026,"n.a.")</x:f>
        <x:v>n.a.</x:v>
      </x:c>
      <x:c r="Z1026" s="1" t="str">
        <x:f>IF(ISNUMBER(T1026),R1026-T1026,"n.a.")</x:f>
        <x:v>n.a.</x:v>
      </x:c>
      <x:c r="AA1026" s="1" t="str">
        <x:f>'Inventory inputs'!R1026</x:f>
        <x:v>Review receipt reconciliation or original PO baseline</x:v>
      </x:c>
      <x:c r="AB1026" s="1" t="str">
        <x:f>IF(L1026=1,SUMIFS('Incoming POs'!$P$2:$P$305,'Incoming POs'!$A$2:$A$305,A1026,'Incoming POs'!$B$2:$B$305,B1026,'Incoming POs'!$C$2:$C$305,C1026,'Incoming POs'!$G$2:$G$305,"&gt;="&amp;D1026,'Incoming POs'!$G$2:$G$305,"&lt;"&amp;Dashboard!$I$5,'Incoming POs'!$Q$2:$Q$305,"&lt;="&amp;('Inventory inputs'!P1026/'Inventory inputs'!J1026*1.01)),"n.a.")</x:f>
        <x:v>n.a.</x:v>
      </x:c>
      <x:c r="AC1026" s="9" t="n">
        <x:f>I1026*G1026</x:f>
        <x:v>0</x:v>
      </x:c>
      <x:c r="AD1026" s="9" t="n">
        <x:f>J1026*G1026</x:f>
        <x:v>0</x:v>
      </x:c>
      <x:c r="AE1026" s="9" t="n">
        <x:f>K1026*G1026</x:f>
        <x:v>0</x:v>
      </x:c>
      <x:c r="AF1026" s="9" t="n">
        <x:f>R1026*G1026</x:f>
        <x:v>0</x:v>
      </x:c>
    </x:row>
    <x:row r="1027" ht="21" customHeight="1">
      <x:c r="A1027" s="1" t="str">
        <x:f>'Inventory inputs'!A1027</x:f>
        <x:v>FILM</x:v>
      </x:c>
      <x:c r="B1027" s="1" t="str">
        <x:f>'Inventory inputs'!B1027</x:f>
        <x:v>10</x:v>
      </x:c>
      <x:c r="C1027" s="1" t="str">
        <x:f>'Inventory inputs'!C1027</x:f>
        <x:v>SG27500C1</x:v>
      </x:c>
      <x:c r="D1027" s="7" t="n">
        <x:f>'Inventory inputs'!E1027</x:f>
        <x:v>46304</x:v>
      </x:c>
      <x:c r="E1027" s="1" t="n">
        <x:f>'Inventory inputs'!F1027</x:f>
        <x:v>0</x:v>
      </x:c>
      <x:c r="F1027" s="1" t="n">
        <x:f>'Inventory inputs'!G1027</x:f>
        <x:v>0</x:v>
      </x:c>
      <x:c r="G1027" s="1" t="n">
        <x:f>'Inventory inputs'!H1027/'Inventory inputs'!J1027</x:f>
        <x:v>10.04</x:v>
      </x:c>
      <x:c r="H1027" s="1" t="str">
        <x:f>IF('Inventory inputs'!I1027&gt;0,'Inventory inputs'!I1027*'Inventory inputs'!K1027/'Inventory inputs'!J1027,"n.a.")</x:f>
        <x:v>n.a.</x:v>
      </x:c>
      <x:c r="I1027" s="1" t="n">
        <x:f>'Inventory inputs'!L1027</x:f>
        <x:v>0</x:v>
      </x:c>
      <x:c r="J1027" s="1" t="n">
        <x:f>'Inventory inputs'!M1027</x:f>
        <x:v>0</x:v>
      </x:c>
      <x:c r="K1027" s="1" t="n">
        <x:f>'Inventory inputs'!N1027</x:f>
        <x:v>0</x:v>
      </x:c>
      <x:c r="L1027" s="1" t="n">
        <x:f>'Inventory inputs'!O1027</x:f>
        <x:v>0</x:v>
      </x:c>
      <x:c r="M1027" s="9" t="n">
        <x:f>E1027*G1027</x:f>
        <x:v>0</x:v>
      </x:c>
      <x:c r="N1027" s="9" t="n">
        <x:f>'Inventory inputs'!Q1027</x:f>
        <x:v>0</x:v>
      </x:c>
      <x:c r="O1027" s="9" t="n">
        <x:f>N1027-M1027</x:f>
        <x:v>0</x:v>
      </x:c>
      <x:c r="P1027" s="1" t="n">
        <x:f>SUMIFS('Incoming POs'!$P$2:$P$305,'Incoming POs'!$A$2:$A$305,A1027,'Incoming POs'!$B$2:$B$305,B1027,'Incoming POs'!$C$2:$C$305,C1027,'Incoming POs'!$G$2:$G$305,"&gt;="&amp;D1027,'Incoming POs'!$G$2:$G$305,"&lt;"&amp;Dashboard!$I$5)</x:f>
        <x:v>0</x:v>
      </x:c>
      <x:c r="Q1027" s="1" t="n">
        <x:f>F1027*Dashboard!$L$5*MAX(0,Dashboard!$I$5-D1027)/30.4375</x:f>
        <x:v>0</x:v>
      </x:c>
      <x:c r="R1027" s="1" t="n">
        <x:f>MAX(0,E1027+P1027-Q1027)</x:f>
        <x:v>0</x:v>
      </x:c>
      <x:c r="S1027" s="1" t="n">
        <x:f>MAX(0,Q1027-E1027-P1027)</x:f>
        <x:v>0</x:v>
      </x:c>
      <x:c r="T1027" s="1" t="str">
        <x:f>IF(L1027=1,MAX(0,I1027+AB1027-MIN(Q1027,E1027+P1027)),"n.a.")</x:f>
        <x:v>n.a.</x:v>
      </x:c>
      <x:c r="U1027" s="9" t="str">
        <x:f>IF(ISNUMBER(T1027),T1027*G1027,"n.a.")</x:f>
        <x:v>n.a.</x:v>
      </x:c>
      <x:c r="V1027" s="25" t="n">
        <x:f>IF(Dashboard!$I$6="Flat %",1,IF(ISNUMBER(H1027),1,0))</x:f>
        <x:v>0</x:v>
      </x:c>
      <x:c r="W1027" s="9" t="str">
        <x:f>IF(Dashboard!$I$6="Flat %",G1027*(1+Dashboard!$L$6),H1027)</x:f>
        <x:v>n.a.</x:v>
      </x:c>
      <x:c r="X1027" s="9" t="str">
        <x:f>IF(V1027=1,R1027*(W1027-G1027),"n.a.")</x:f>
        <x:v>n.a.</x:v>
      </x:c>
      <x:c r="Y1027" s="9" t="str">
        <x:f>IF(V1027=1,R1027*W1027,"n.a.")</x:f>
        <x:v>n.a.</x:v>
      </x:c>
      <x:c r="Z1027" s="1" t="str">
        <x:f>IF(ISNUMBER(T1027),R1027-T1027,"n.a.")</x:f>
        <x:v>n.a.</x:v>
      </x:c>
      <x:c r="AA1027" s="1" t="str">
        <x:f>'Inventory inputs'!R1027</x:f>
        <x:v>Review receipt reconciliation or original PO baseline</x:v>
      </x:c>
      <x:c r="AB1027" s="1" t="str">
        <x:f>IF(L1027=1,SUMIFS('Incoming POs'!$P$2:$P$305,'Incoming POs'!$A$2:$A$305,A1027,'Incoming POs'!$B$2:$B$305,B1027,'Incoming POs'!$C$2:$C$305,C1027,'Incoming POs'!$G$2:$G$305,"&gt;="&amp;D1027,'Incoming POs'!$G$2:$G$305,"&lt;"&amp;Dashboard!$I$5,'Incoming POs'!$Q$2:$Q$305,"&lt;="&amp;('Inventory inputs'!P1027/'Inventory inputs'!J1027*1.01)),"n.a.")</x:f>
        <x:v>n.a.</x:v>
      </x:c>
      <x:c r="AC1027" s="9" t="n">
        <x:f>I1027*G1027</x:f>
        <x:v>0</x:v>
      </x:c>
      <x:c r="AD1027" s="9" t="n">
        <x:f>J1027*G1027</x:f>
        <x:v>0</x:v>
      </x:c>
      <x:c r="AE1027" s="9" t="n">
        <x:f>K1027*G1027</x:f>
        <x:v>0</x:v>
      </x:c>
      <x:c r="AF1027" s="9" t="n">
        <x:f>R1027*G1027</x:f>
        <x:v>0</x:v>
      </x:c>
    </x:row>
    <x:row r="1028" ht="21" customHeight="1">
      <x:c r="A1028" s="1" t="str">
        <x:f>'Inventory inputs'!A1028</x:f>
        <x:v>FILM</x:v>
      </x:c>
      <x:c r="B1028" s="1" t="str">
        <x:f>'Inventory inputs'!B1028</x:f>
        <x:v>10</x:v>
      </x:c>
      <x:c r="C1028" s="1" t="str">
        <x:f>'Inventory inputs'!C1028</x:f>
        <x:v>ST3850017M3</x:v>
      </x:c>
      <x:c r="D1028" s="7" t="n">
        <x:f>'Inventory inputs'!E1028</x:f>
        <x:v>46304</x:v>
      </x:c>
      <x:c r="E1028" s="1" t="n">
        <x:f>'Inventory inputs'!F1028</x:f>
        <x:v>35</x:v>
      </x:c>
      <x:c r="F1028" s="1" t="n">
        <x:f>'Inventory inputs'!G1028</x:f>
        <x:v>0</x:v>
      </x:c>
      <x:c r="G1028" s="1" t="n">
        <x:f>'Inventory inputs'!H1028/'Inventory inputs'!J1028</x:f>
        <x:v>95.76</x:v>
      </x:c>
      <x:c r="H1028" s="1" t="n">
        <x:f>IF('Inventory inputs'!I1028&gt;0,'Inventory inputs'!I1028*'Inventory inputs'!K1028/'Inventory inputs'!J1028,"n.a.")</x:f>
        <x:v>114.91</x:v>
      </x:c>
      <x:c r="I1028" s="1" t="n">
        <x:f>'Inventory inputs'!L1028</x:f>
        <x:v>0</x:v>
      </x:c>
      <x:c r="J1028" s="1" t="n">
        <x:f>'Inventory inputs'!M1028</x:f>
        <x:v>0</x:v>
      </x:c>
      <x:c r="K1028" s="1" t="n">
        <x:f>'Inventory inputs'!N1028</x:f>
        <x:v>35</x:v>
      </x:c>
      <x:c r="L1028" s="1" t="n">
        <x:f>'Inventory inputs'!O1028</x:f>
        <x:v>0</x:v>
      </x:c>
      <x:c r="M1028" s="9" t="n">
        <x:f>E1028*G1028</x:f>
        <x:v>3351.6000000000004</x:v>
      </x:c>
      <x:c r="N1028" s="9" t="n">
        <x:f>'Inventory inputs'!Q1028</x:f>
        <x:v>3351.6000000000004</x:v>
      </x:c>
      <x:c r="O1028" s="9" t="n">
        <x:f>N1028-M1028</x:f>
        <x:v>0</x:v>
      </x:c>
      <x:c r="P1028" s="1" t="n">
        <x:f>SUMIFS('Incoming POs'!$P$2:$P$305,'Incoming POs'!$A$2:$A$305,A1028,'Incoming POs'!$B$2:$B$305,B1028,'Incoming POs'!$C$2:$C$305,C1028,'Incoming POs'!$G$2:$G$305,"&gt;="&amp;D1028,'Incoming POs'!$G$2:$G$305,"&lt;"&amp;Dashboard!$I$5)</x:f>
        <x:v>0</x:v>
      </x:c>
      <x:c r="Q1028" s="1" t="n">
        <x:f>F1028*Dashboard!$L$5*MAX(0,Dashboard!$I$5-D1028)/30.4375</x:f>
        <x:v>0</x:v>
      </x:c>
      <x:c r="R1028" s="1" t="n">
        <x:f>MAX(0,E1028+P1028-Q1028)</x:f>
        <x:v>35</x:v>
      </x:c>
      <x:c r="S1028" s="1" t="n">
        <x:f>MAX(0,Q1028-E1028-P1028)</x:f>
        <x:v>0</x:v>
      </x:c>
      <x:c r="T1028" s="1" t="str">
        <x:f>IF(L1028=1,MAX(0,I1028+AB1028-MIN(Q1028,E1028+P1028)),"n.a.")</x:f>
        <x:v>n.a.</x:v>
      </x:c>
      <x:c r="U1028" s="9" t="str">
        <x:f>IF(ISNUMBER(T1028),T1028*G1028,"n.a.")</x:f>
        <x:v>n.a.</x:v>
      </x:c>
      <x:c r="V1028" s="25" t="n">
        <x:f>IF(Dashboard!$I$6="Flat %",1,IF(ISNUMBER(H1028),1,0))</x:f>
        <x:v>1</x:v>
      </x:c>
      <x:c r="W1028" s="9" t="n">
        <x:f>IF(Dashboard!$I$6="Flat %",G1028*(1+Dashboard!$L$6),H1028)</x:f>
        <x:v>114.91</x:v>
      </x:c>
      <x:c r="X1028" s="9" t="n">
        <x:f>IF(V1028=1,R1028*(W1028-G1028),"n.a.")</x:f>
        <x:v>670.2499999999997</x:v>
      </x:c>
      <x:c r="Y1028" s="9" t="n">
        <x:f>IF(V1028=1,R1028*W1028,"n.a.")</x:f>
        <x:v>4021.85</x:v>
      </x:c>
      <x:c r="Z1028" s="1" t="str">
        <x:f>IF(ISNUMBER(T1028),R1028-T1028,"n.a.")</x:f>
        <x:v>n.a.</x:v>
      </x:c>
      <x:c r="AA1028" s="1" t="str">
        <x:f>'Inventory inputs'!R1028</x:f>
        <x:v>Review receipt reconciliation or original PO baseline</x:v>
      </x:c>
      <x:c r="AB1028" s="1" t="str">
        <x:f>IF(L1028=1,SUMIFS('Incoming POs'!$P$2:$P$305,'Incoming POs'!$A$2:$A$305,A1028,'Incoming POs'!$B$2:$B$305,B1028,'Incoming POs'!$C$2:$C$305,C1028,'Incoming POs'!$G$2:$G$305,"&gt;="&amp;D1028,'Incoming POs'!$G$2:$G$305,"&lt;"&amp;Dashboard!$I$5,'Incoming POs'!$Q$2:$Q$305,"&lt;="&amp;('Inventory inputs'!P1028/'Inventory inputs'!J1028*1.01)),"n.a.")</x:f>
        <x:v>n.a.</x:v>
      </x:c>
      <x:c r="AC1028" s="9" t="n">
        <x:f>I1028*G1028</x:f>
        <x:v>0</x:v>
      </x:c>
      <x:c r="AD1028" s="9" t="n">
        <x:f>J1028*G1028</x:f>
        <x:v>0</x:v>
      </x:c>
      <x:c r="AE1028" s="9" t="n">
        <x:f>K1028*G1028</x:f>
        <x:v>3351.6000000000004</x:v>
      </x:c>
      <x:c r="AF1028" s="9" t="n">
        <x:f>R1028*G1028</x:f>
        <x:v>3351.6000000000004</x:v>
      </x:c>
    </x:row>
    <x:row r="1029" ht="21" customHeight="1">
      <x:c r="A1029" s="1" t="str">
        <x:f>'Inventory inputs'!A1029</x:f>
        <x:v>FILM</x:v>
      </x:c>
      <x:c r="B1029" s="1" t="str">
        <x:f>'Inventory inputs'!B1029</x:f>
        <x:v>10</x:v>
      </x:c>
      <x:c r="C1029" s="1" t="str">
        <x:f>'Inventory inputs'!C1029</x:f>
        <x:v>ST432005M3</x:v>
      </x:c>
      <x:c r="D1029" s="7" t="n">
        <x:f>'Inventory inputs'!E1029</x:f>
        <x:v>46304</x:v>
      </x:c>
      <x:c r="E1029" s="1" t="n">
        <x:f>'Inventory inputs'!F1029</x:f>
        <x:v>33</x:v>
      </x:c>
      <x:c r="F1029" s="1" t="n">
        <x:f>'Inventory inputs'!G1029</x:f>
        <x:v>0</x:v>
      </x:c>
      <x:c r="G1029" s="1" t="n">
        <x:f>'Inventory inputs'!H1029/'Inventory inputs'!J1029</x:f>
        <x:v>86.58</x:v>
      </x:c>
      <x:c r="H1029" s="1" t="n">
        <x:f>IF('Inventory inputs'!I1029&gt;0,'Inventory inputs'!I1029*'Inventory inputs'!K1029/'Inventory inputs'!J1029,"n.a.")</x:f>
        <x:v>104.23</x:v>
      </x:c>
      <x:c r="I1029" s="1" t="n">
        <x:f>'Inventory inputs'!L1029</x:f>
        <x:v>0</x:v>
      </x:c>
      <x:c r="J1029" s="1" t="n">
        <x:f>'Inventory inputs'!M1029</x:f>
        <x:v>0</x:v>
      </x:c>
      <x:c r="K1029" s="1" t="n">
        <x:f>'Inventory inputs'!N1029</x:f>
        <x:v>33</x:v>
      </x:c>
      <x:c r="L1029" s="1" t="n">
        <x:f>'Inventory inputs'!O1029</x:f>
        <x:v>0</x:v>
      </x:c>
      <x:c r="M1029" s="9" t="n">
        <x:f>E1029*G1029</x:f>
        <x:v>2857.14</x:v>
      </x:c>
      <x:c r="N1029" s="9" t="n">
        <x:f>'Inventory inputs'!Q1029</x:f>
        <x:v>2857.14</x:v>
      </x:c>
      <x:c r="O1029" s="9" t="n">
        <x:f>N1029-M1029</x:f>
        <x:v>0</x:v>
      </x:c>
      <x:c r="P1029" s="1" t="n">
        <x:f>SUMIFS('Incoming POs'!$P$2:$P$305,'Incoming POs'!$A$2:$A$305,A1029,'Incoming POs'!$B$2:$B$305,B1029,'Incoming POs'!$C$2:$C$305,C1029,'Incoming POs'!$G$2:$G$305,"&gt;="&amp;D1029,'Incoming POs'!$G$2:$G$305,"&lt;"&amp;Dashboard!$I$5)</x:f>
        <x:v>0</x:v>
      </x:c>
      <x:c r="Q1029" s="1" t="n">
        <x:f>F1029*Dashboard!$L$5*MAX(0,Dashboard!$I$5-D1029)/30.4375</x:f>
        <x:v>0</x:v>
      </x:c>
      <x:c r="R1029" s="1" t="n">
        <x:f>MAX(0,E1029+P1029-Q1029)</x:f>
        <x:v>33</x:v>
      </x:c>
      <x:c r="S1029" s="1" t="n">
        <x:f>MAX(0,Q1029-E1029-P1029)</x:f>
        <x:v>0</x:v>
      </x:c>
      <x:c r="T1029" s="1" t="str">
        <x:f>IF(L1029=1,MAX(0,I1029+AB1029-MIN(Q1029,E1029+P1029)),"n.a.")</x:f>
        <x:v>n.a.</x:v>
      </x:c>
      <x:c r="U1029" s="9" t="str">
        <x:f>IF(ISNUMBER(T1029),T1029*G1029,"n.a.")</x:f>
        <x:v>n.a.</x:v>
      </x:c>
      <x:c r="V1029" s="25" t="n">
        <x:f>IF(Dashboard!$I$6="Flat %",1,IF(ISNUMBER(H1029),1,0))</x:f>
        <x:v>1</x:v>
      </x:c>
      <x:c r="W1029" s="9" t="n">
        <x:f>IF(Dashboard!$I$6="Flat %",G1029*(1+Dashboard!$L$6),H1029)</x:f>
        <x:v>104.23</x:v>
      </x:c>
      <x:c r="X1029" s="9" t="n">
        <x:f>IF(V1029=1,R1029*(W1029-G1029),"n.a.")</x:f>
        <x:v>582.4500000000002</x:v>
      </x:c>
      <x:c r="Y1029" s="9" t="n">
        <x:f>IF(V1029=1,R1029*W1029,"n.a.")</x:f>
        <x:v>3439.59</x:v>
      </x:c>
      <x:c r="Z1029" s="1" t="str">
        <x:f>IF(ISNUMBER(T1029),R1029-T1029,"n.a.")</x:f>
        <x:v>n.a.</x:v>
      </x:c>
      <x:c r="AA1029" s="1" t="str">
        <x:f>'Inventory inputs'!R1029</x:f>
        <x:v>Review receipt reconciliation or original PO baseline</x:v>
      </x:c>
      <x:c r="AB1029" s="1" t="str">
        <x:f>IF(L1029=1,SUMIFS('Incoming POs'!$P$2:$P$305,'Incoming POs'!$A$2:$A$305,A1029,'Incoming POs'!$B$2:$B$305,B1029,'Incoming POs'!$C$2:$C$305,C1029,'Incoming POs'!$G$2:$G$305,"&gt;="&amp;D1029,'Incoming POs'!$G$2:$G$305,"&lt;"&amp;Dashboard!$I$5,'Incoming POs'!$Q$2:$Q$305,"&lt;="&amp;('Inventory inputs'!P1029/'Inventory inputs'!J1029*1.01)),"n.a.")</x:f>
        <x:v>n.a.</x:v>
      </x:c>
      <x:c r="AC1029" s="9" t="n">
        <x:f>I1029*G1029</x:f>
        <x:v>0</x:v>
      </x:c>
      <x:c r="AD1029" s="9" t="n">
        <x:f>J1029*G1029</x:f>
        <x:v>0</x:v>
      </x:c>
      <x:c r="AE1029" s="9" t="n">
        <x:f>K1029*G1029</x:f>
        <x:v>2857.14</x:v>
      </x:c>
      <x:c r="AF1029" s="9" t="n">
        <x:f>R1029*G1029</x:f>
        <x:v>2857.14</x:v>
      </x:c>
    </x:row>
    <x:row r="1030" ht="21" customHeight="1">
      <x:c r="A1030" s="1" t="str">
        <x:f>'Inventory inputs'!A1030</x:f>
        <x:v>FILM</x:v>
      </x:c>
      <x:c r="B1030" s="1" t="str">
        <x:f>'Inventory inputs'!B1030</x:f>
        <x:v>10</x:v>
      </x:c>
      <x:c r="C1030" s="1" t="str">
        <x:f>'Inventory inputs'!C1030</x:f>
        <x:v>ST4350017M3</x:v>
      </x:c>
      <x:c r="D1030" s="7" t="n">
        <x:f>'Inventory inputs'!E1030</x:f>
        <x:v>46304</x:v>
      </x:c>
      <x:c r="E1030" s="1" t="n">
        <x:f>'Inventory inputs'!F1030</x:f>
        <x:v>36</x:v>
      </x:c>
      <x:c r="F1030" s="1" t="n">
        <x:f>'Inventory inputs'!G1030</x:f>
        <x:v>0</x:v>
      </x:c>
      <x:c r="G1030" s="1" t="n">
        <x:f>'Inventory inputs'!H1030/'Inventory inputs'!J1030</x:f>
        <x:v>108.36</x:v>
      </x:c>
      <x:c r="H1030" s="1" t="n">
        <x:f>IF('Inventory inputs'!I1030&gt;0,'Inventory inputs'!I1030*'Inventory inputs'!K1030/'Inventory inputs'!J1030,"n.a.")</x:f>
        <x:v>130.03</x:v>
      </x:c>
      <x:c r="I1030" s="1" t="n">
        <x:f>'Inventory inputs'!L1030</x:f>
        <x:v>0</x:v>
      </x:c>
      <x:c r="J1030" s="1" t="n">
        <x:f>'Inventory inputs'!M1030</x:f>
        <x:v>0</x:v>
      </x:c>
      <x:c r="K1030" s="1" t="n">
        <x:f>'Inventory inputs'!N1030</x:f>
        <x:v>36</x:v>
      </x:c>
      <x:c r="L1030" s="1" t="n">
        <x:f>'Inventory inputs'!O1030</x:f>
        <x:v>0</x:v>
      </x:c>
      <x:c r="M1030" s="9" t="n">
        <x:f>E1030*G1030</x:f>
        <x:v>3900.96</x:v>
      </x:c>
      <x:c r="N1030" s="9" t="n">
        <x:f>'Inventory inputs'!Q1030</x:f>
        <x:v>3900.96</x:v>
      </x:c>
      <x:c r="O1030" s="9" t="n">
        <x:f>N1030-M1030</x:f>
        <x:v>0</x:v>
      </x:c>
      <x:c r="P1030" s="1" t="n">
        <x:f>SUMIFS('Incoming POs'!$P$2:$P$305,'Incoming POs'!$A$2:$A$305,A1030,'Incoming POs'!$B$2:$B$305,B1030,'Incoming POs'!$C$2:$C$305,C1030,'Incoming POs'!$G$2:$G$305,"&gt;="&amp;D1030,'Incoming POs'!$G$2:$G$305,"&lt;"&amp;Dashboard!$I$5)</x:f>
        <x:v>0</x:v>
      </x:c>
      <x:c r="Q1030" s="1" t="n">
        <x:f>F1030*Dashboard!$L$5*MAX(0,Dashboard!$I$5-D1030)/30.4375</x:f>
        <x:v>0</x:v>
      </x:c>
      <x:c r="R1030" s="1" t="n">
        <x:f>MAX(0,E1030+P1030-Q1030)</x:f>
        <x:v>36</x:v>
      </x:c>
      <x:c r="S1030" s="1" t="n">
        <x:f>MAX(0,Q1030-E1030-P1030)</x:f>
        <x:v>0</x:v>
      </x:c>
      <x:c r="T1030" s="1" t="str">
        <x:f>IF(L1030=1,MAX(0,I1030+AB1030-MIN(Q1030,E1030+P1030)),"n.a.")</x:f>
        <x:v>n.a.</x:v>
      </x:c>
      <x:c r="U1030" s="9" t="str">
        <x:f>IF(ISNUMBER(T1030),T1030*G1030,"n.a.")</x:f>
        <x:v>n.a.</x:v>
      </x:c>
      <x:c r="V1030" s="25" t="n">
        <x:f>IF(Dashboard!$I$6="Flat %",1,IF(ISNUMBER(H1030),1,0))</x:f>
        <x:v>1</x:v>
      </x:c>
      <x:c r="W1030" s="9" t="n">
        <x:f>IF(Dashboard!$I$6="Flat %",G1030*(1+Dashboard!$L$6),H1030)</x:f>
        <x:v>130.03</x:v>
      </x:c>
      <x:c r="X1030" s="9" t="n">
        <x:f>IF(V1030=1,R1030*(W1030-G1030),"n.a.")</x:f>
        <x:v>780.1200000000001</x:v>
      </x:c>
      <x:c r="Y1030" s="9" t="n">
        <x:f>IF(V1030=1,R1030*W1030,"n.a.")</x:f>
        <x:v>4681.08</x:v>
      </x:c>
      <x:c r="Z1030" s="1" t="str">
        <x:f>IF(ISNUMBER(T1030),R1030-T1030,"n.a.")</x:f>
        <x:v>n.a.</x:v>
      </x:c>
      <x:c r="AA1030" s="1" t="str">
        <x:f>'Inventory inputs'!R1030</x:f>
        <x:v>Review receipt reconciliation or original PO baseline</x:v>
      </x:c>
      <x:c r="AB1030" s="1" t="str">
        <x:f>IF(L1030=1,SUMIFS('Incoming POs'!$P$2:$P$305,'Incoming POs'!$A$2:$A$305,A1030,'Incoming POs'!$B$2:$B$305,B1030,'Incoming POs'!$C$2:$C$305,C1030,'Incoming POs'!$G$2:$G$305,"&gt;="&amp;D1030,'Incoming POs'!$G$2:$G$305,"&lt;"&amp;Dashboard!$I$5,'Incoming POs'!$Q$2:$Q$305,"&lt;="&amp;('Inventory inputs'!P1030/'Inventory inputs'!J1030*1.01)),"n.a.")</x:f>
        <x:v>n.a.</x:v>
      </x:c>
      <x:c r="AC1030" s="9" t="n">
        <x:f>I1030*G1030</x:f>
        <x:v>0</x:v>
      </x:c>
      <x:c r="AD1030" s="9" t="n">
        <x:f>J1030*G1030</x:f>
        <x:v>0</x:v>
      </x:c>
      <x:c r="AE1030" s="9" t="n">
        <x:f>K1030*G1030</x:f>
        <x:v>3900.96</x:v>
      </x:c>
      <x:c r="AF1030" s="9" t="n">
        <x:f>R1030*G1030</x:f>
        <x:v>3900.96</x:v>
      </x:c>
    </x:row>
    <x:row r="1031" ht="21" customHeight="1">
      <x:c r="A1031" s="1" t="str">
        <x:f>'Inventory inputs'!A1031</x:f>
        <x:v>FILM</x:v>
      </x:c>
      <x:c r="B1031" s="1" t="str">
        <x:f>'Inventory inputs'!B1031</x:f>
        <x:v>30</x:v>
      </x:c>
      <x:c r="C1031" s="1" t="str">
        <x:f>'Inventory inputs'!C1031</x:f>
        <x:v>125005C2</x:v>
      </x:c>
      <x:c r="D1031" s="7" t="n">
        <x:f>'Inventory inputs'!E1031</x:f>
        <x:v>46304</x:v>
      </x:c>
      <x:c r="E1031" s="1" t="n">
        <x:f>'Inventory inputs'!F1031</x:f>
        <x:v>20</x:v>
      </x:c>
      <x:c r="F1031" s="1" t="n">
        <x:f>'Inventory inputs'!G1031</x:f>
        <x:v>0</x:v>
      </x:c>
      <x:c r="G1031" s="1" t="n">
        <x:f>'Inventory inputs'!H1031/'Inventory inputs'!J1031</x:f>
        <x:v>25.42</x:v>
      </x:c>
      <x:c r="H1031" s="1" t="n">
        <x:f>IF('Inventory inputs'!I1031&gt;0,'Inventory inputs'!I1031*'Inventory inputs'!K1031/'Inventory inputs'!J1031,"n.a.")</x:f>
        <x:v>30.53</x:v>
      </x:c>
      <x:c r="I1031" s="1" t="n">
        <x:f>'Inventory inputs'!L1031</x:f>
        <x:v>0</x:v>
      </x:c>
      <x:c r="J1031" s="1" t="n">
        <x:f>'Inventory inputs'!M1031</x:f>
        <x:v>0</x:v>
      </x:c>
      <x:c r="K1031" s="1" t="n">
        <x:f>'Inventory inputs'!N1031</x:f>
        <x:v>20</x:v>
      </x:c>
      <x:c r="L1031" s="1" t="n">
        <x:f>'Inventory inputs'!O1031</x:f>
        <x:v>0</x:v>
      </x:c>
      <x:c r="M1031" s="9" t="n">
        <x:f>E1031*G1031</x:f>
        <x:v>508.40000000000003</x:v>
      </x:c>
      <x:c r="N1031" s="9" t="n">
        <x:f>'Inventory inputs'!Q1031</x:f>
        <x:v>508.40000000000003</x:v>
      </x:c>
      <x:c r="O1031" s="9" t="n">
        <x:f>N1031-M1031</x:f>
        <x:v>0</x:v>
      </x:c>
      <x:c r="P1031" s="1" t="n">
        <x:f>SUMIFS('Incoming POs'!$P$2:$P$305,'Incoming POs'!$A$2:$A$305,A1031,'Incoming POs'!$B$2:$B$305,B1031,'Incoming POs'!$C$2:$C$305,C1031,'Incoming POs'!$G$2:$G$305,"&gt;="&amp;D1031,'Incoming POs'!$G$2:$G$305,"&lt;"&amp;Dashboard!$I$5)</x:f>
        <x:v>0</x:v>
      </x:c>
      <x:c r="Q1031" s="1" t="n">
        <x:f>F1031*Dashboard!$L$5*MAX(0,Dashboard!$I$5-D1031)/30.4375</x:f>
        <x:v>0</x:v>
      </x:c>
      <x:c r="R1031" s="1" t="n">
        <x:f>MAX(0,E1031+P1031-Q1031)</x:f>
        <x:v>20</x:v>
      </x:c>
      <x:c r="S1031" s="1" t="n">
        <x:f>MAX(0,Q1031-E1031-P1031)</x:f>
        <x:v>0</x:v>
      </x:c>
      <x:c r="T1031" s="1" t="str">
        <x:f>IF(L1031=1,MAX(0,I1031+AB1031-MIN(Q1031,E1031+P1031)),"n.a.")</x:f>
        <x:v>n.a.</x:v>
      </x:c>
      <x:c r="U1031" s="9" t="str">
        <x:f>IF(ISNUMBER(T1031),T1031*G1031,"n.a.")</x:f>
        <x:v>n.a.</x:v>
      </x:c>
      <x:c r="V1031" s="25" t="n">
        <x:f>IF(Dashboard!$I$6="Flat %",1,IF(ISNUMBER(H1031),1,0))</x:f>
        <x:v>1</x:v>
      </x:c>
      <x:c r="W1031" s="9" t="n">
        <x:f>IF(Dashboard!$I$6="Flat %",G1031*(1+Dashboard!$L$6),H1031)</x:f>
        <x:v>30.53</x:v>
      </x:c>
      <x:c r="X1031" s="9" t="n">
        <x:f>IF(V1031=1,R1031*(W1031-G1031),"n.a.")</x:f>
        <x:v>102.19999999999999</x:v>
      </x:c>
      <x:c r="Y1031" s="9" t="n">
        <x:f>IF(V1031=1,R1031*W1031,"n.a.")</x:f>
        <x:v>610.6</x:v>
      </x:c>
      <x:c r="Z1031" s="1" t="str">
        <x:f>IF(ISNUMBER(T1031),R1031-T1031,"n.a.")</x:f>
        <x:v>n.a.</x:v>
      </x:c>
      <x:c r="AA1031" s="1" t="str">
        <x:f>'Inventory inputs'!R1031</x:f>
        <x:v>Review receipt reconciliation or original PO baseline</x:v>
      </x:c>
      <x:c r="AB1031" s="1" t="str">
        <x:f>IF(L1031=1,SUMIFS('Incoming POs'!$P$2:$P$305,'Incoming POs'!$A$2:$A$305,A1031,'Incoming POs'!$B$2:$B$305,B1031,'Incoming POs'!$C$2:$C$305,C1031,'Incoming POs'!$G$2:$G$305,"&gt;="&amp;D1031,'Incoming POs'!$G$2:$G$305,"&lt;"&amp;Dashboard!$I$5,'Incoming POs'!$Q$2:$Q$305,"&lt;="&amp;('Inventory inputs'!P1031/'Inventory inputs'!J1031*1.01)),"n.a.")</x:f>
        <x:v>n.a.</x:v>
      </x:c>
      <x:c r="AC1031" s="9" t="n">
        <x:f>I1031*G1031</x:f>
        <x:v>0</x:v>
      </x:c>
      <x:c r="AD1031" s="9" t="n">
        <x:f>J1031*G1031</x:f>
        <x:v>0</x:v>
      </x:c>
      <x:c r="AE1031" s="9" t="n">
        <x:f>K1031*G1031</x:f>
        <x:v>508.40000000000003</x:v>
      </x:c>
      <x:c r="AF1031" s="9" t="n">
        <x:f>R1031*G1031</x:f>
        <x:v>508.40000000000003</x:v>
      </x:c>
    </x:row>
    <x:row r="1032" ht="21" customHeight="1">
      <x:c r="A1032" s="1" t="str">
        <x:f>'Inventory inputs'!A1032</x:f>
        <x:v>FILM</x:v>
      </x:c>
      <x:c r="B1032" s="1" t="str">
        <x:f>'Inventory inputs'!B1032</x:f>
        <x:v>30</x:v>
      </x:c>
      <x:c r="C1032" s="1" t="str">
        <x:f>'Inventory inputs'!C1032</x:f>
        <x:v>1850015C2</x:v>
      </x:c>
      <x:c r="D1032" s="7" t="n">
        <x:f>'Inventory inputs'!E1032</x:f>
        <x:v>46304</x:v>
      </x:c>
      <x:c r="E1032" s="1" t="n">
        <x:f>'Inventory inputs'!F1032</x:f>
        <x:v>70</x:v>
      </x:c>
      <x:c r="F1032" s="1" t="n">
        <x:f>'Inventory inputs'!G1032</x:f>
        <x:v>0</x:v>
      </x:c>
      <x:c r="G1032" s="1" t="n">
        <x:f>'Inventory inputs'!H1032/'Inventory inputs'!J1032</x:f>
        <x:v>9.72</x:v>
      </x:c>
      <x:c r="H1032" s="1" t="n">
        <x:f>IF('Inventory inputs'!I1032&gt;0,'Inventory inputs'!I1032*'Inventory inputs'!K1032/'Inventory inputs'!J1032,"n.a.")</x:f>
        <x:v>11.66</x:v>
      </x:c>
      <x:c r="I1032" s="1" t="n">
        <x:f>'Inventory inputs'!L1032</x:f>
        <x:v>0</x:v>
      </x:c>
      <x:c r="J1032" s="1" t="n">
        <x:f>'Inventory inputs'!M1032</x:f>
        <x:v>0</x:v>
      </x:c>
      <x:c r="K1032" s="1" t="n">
        <x:f>'Inventory inputs'!N1032</x:f>
        <x:v>70</x:v>
      </x:c>
      <x:c r="L1032" s="1" t="n">
        <x:f>'Inventory inputs'!O1032</x:f>
        <x:v>0</x:v>
      </x:c>
      <x:c r="M1032" s="9" t="n">
        <x:f>E1032*G1032</x:f>
        <x:v>680.4000000000001</x:v>
      </x:c>
      <x:c r="N1032" s="9" t="n">
        <x:f>'Inventory inputs'!Q1032</x:f>
        <x:v>680.4000000000001</x:v>
      </x:c>
      <x:c r="O1032" s="9" t="n">
        <x:f>N1032-M1032</x:f>
        <x:v>0</x:v>
      </x:c>
      <x:c r="P1032" s="1" t="n">
        <x:f>SUMIFS('Incoming POs'!$P$2:$P$305,'Incoming POs'!$A$2:$A$305,A1032,'Incoming POs'!$B$2:$B$305,B1032,'Incoming POs'!$C$2:$C$305,C1032,'Incoming POs'!$G$2:$G$305,"&gt;="&amp;D1032,'Incoming POs'!$G$2:$G$305,"&lt;"&amp;Dashboard!$I$5)</x:f>
        <x:v>0</x:v>
      </x:c>
      <x:c r="Q1032" s="1" t="n">
        <x:f>F1032*Dashboard!$L$5*MAX(0,Dashboard!$I$5-D1032)/30.4375</x:f>
        <x:v>0</x:v>
      </x:c>
      <x:c r="R1032" s="1" t="n">
        <x:f>MAX(0,E1032+P1032-Q1032)</x:f>
        <x:v>70</x:v>
      </x:c>
      <x:c r="S1032" s="1" t="n">
        <x:f>MAX(0,Q1032-E1032-P1032)</x:f>
        <x:v>0</x:v>
      </x:c>
      <x:c r="T1032" s="1" t="str">
        <x:f>IF(L1032=1,MAX(0,I1032+AB1032-MIN(Q1032,E1032+P1032)),"n.a.")</x:f>
        <x:v>n.a.</x:v>
      </x:c>
      <x:c r="U1032" s="9" t="str">
        <x:f>IF(ISNUMBER(T1032),T1032*G1032,"n.a.")</x:f>
        <x:v>n.a.</x:v>
      </x:c>
      <x:c r="V1032" s="25" t="n">
        <x:f>IF(Dashboard!$I$6="Flat %",1,IF(ISNUMBER(H1032),1,0))</x:f>
        <x:v>1</x:v>
      </x:c>
      <x:c r="W1032" s="9" t="n">
        <x:f>IF(Dashboard!$I$6="Flat %",G1032*(1+Dashboard!$L$6),H1032)</x:f>
        <x:v>11.66</x:v>
      </x:c>
      <x:c r="X1032" s="9" t="n">
        <x:f>IF(V1032=1,R1032*(W1032-G1032),"n.a.")</x:f>
        <x:v>135.79999999999995</x:v>
      </x:c>
      <x:c r="Y1032" s="9" t="n">
        <x:f>IF(V1032=1,R1032*W1032,"n.a.")</x:f>
        <x:v>816.2</x:v>
      </x:c>
      <x:c r="Z1032" s="1" t="str">
        <x:f>IF(ISNUMBER(T1032),R1032-T1032,"n.a.")</x:f>
        <x:v>n.a.</x:v>
      </x:c>
      <x:c r="AA1032" s="1" t="str">
        <x:f>'Inventory inputs'!R1032</x:f>
        <x:v>Review receipt reconciliation or original PO baseline</x:v>
      </x:c>
      <x:c r="AB1032" s="1" t="str">
        <x:f>IF(L1032=1,SUMIFS('Incoming POs'!$P$2:$P$305,'Incoming POs'!$A$2:$A$305,A1032,'Incoming POs'!$B$2:$B$305,B1032,'Incoming POs'!$C$2:$C$305,C1032,'Incoming POs'!$G$2:$G$305,"&gt;="&amp;D1032,'Incoming POs'!$G$2:$G$305,"&lt;"&amp;Dashboard!$I$5,'Incoming POs'!$Q$2:$Q$305,"&lt;="&amp;('Inventory inputs'!P1032/'Inventory inputs'!J1032*1.01)),"n.a.")</x:f>
        <x:v>n.a.</x:v>
      </x:c>
      <x:c r="AC1032" s="9" t="n">
        <x:f>I1032*G1032</x:f>
        <x:v>0</x:v>
      </x:c>
      <x:c r="AD1032" s="9" t="n">
        <x:f>J1032*G1032</x:f>
        <x:v>0</x:v>
      </x:c>
      <x:c r="AE1032" s="9" t="n">
        <x:f>K1032*G1032</x:f>
        <x:v>680.4000000000001</x:v>
      </x:c>
      <x:c r="AF1032" s="9" t="n">
        <x:f>R1032*G1032</x:f>
        <x:v>680.4000000000001</x:v>
      </x:c>
    </x:row>
    <x:row r="1033" ht="21" customHeight="1">
      <x:c r="A1033" s="1" t="str">
        <x:f>'Inventory inputs'!A1033</x:f>
        <x:v>FILM</x:v>
      </x:c>
      <x:c r="B1033" s="1" t="str">
        <x:f>'Inventory inputs'!B1033</x:f>
        <x:v>30</x:v>
      </x:c>
      <x:c r="C1033" s="1" t="str">
        <x:f>'Inventory inputs'!C1033</x:f>
        <x:v>25300017C3</x:v>
      </x:c>
      <x:c r="D1033" s="7" t="n">
        <x:f>'Inventory inputs'!E1033</x:f>
        <x:v>46304</x:v>
      </x:c>
      <x:c r="E1033" s="1" t="n">
        <x:f>'Inventory inputs'!F1033</x:f>
        <x:v>0</x:v>
      </x:c>
      <x:c r="F1033" s="1" t="n">
        <x:f>'Inventory inputs'!G1033</x:f>
        <x:v>0</x:v>
      </x:c>
      <x:c r="G1033" s="1" t="n">
        <x:f>'Inventory inputs'!H1033/'Inventory inputs'!J1033</x:f>
        <x:v>76.5</x:v>
      </x:c>
      <x:c r="H1033" s="1" t="str">
        <x:f>IF('Inventory inputs'!I1033&gt;0,'Inventory inputs'!I1033*'Inventory inputs'!K1033/'Inventory inputs'!J1033,"n.a.")</x:f>
        <x:v>n.a.</x:v>
      </x:c>
      <x:c r="I1033" s="1" t="n">
        <x:f>'Inventory inputs'!L1033</x:f>
        <x:v>0</x:v>
      </x:c>
      <x:c r="J1033" s="1" t="n">
        <x:f>'Inventory inputs'!M1033</x:f>
        <x:v>0</x:v>
      </x:c>
      <x:c r="K1033" s="1" t="n">
        <x:f>'Inventory inputs'!N1033</x:f>
        <x:v>0</x:v>
      </x:c>
      <x:c r="L1033" s="1" t="n">
        <x:f>'Inventory inputs'!O1033</x:f>
        <x:v>0</x:v>
      </x:c>
      <x:c r="M1033" s="9" t="n">
        <x:f>E1033*G1033</x:f>
        <x:v>0</x:v>
      </x:c>
      <x:c r="N1033" s="9" t="n">
        <x:f>'Inventory inputs'!Q1033</x:f>
        <x:v>0</x:v>
      </x:c>
      <x:c r="O1033" s="9" t="n">
        <x:f>N1033-M1033</x:f>
        <x:v>0</x:v>
      </x:c>
      <x:c r="P1033" s="1" t="n">
        <x:f>SUMIFS('Incoming POs'!$P$2:$P$305,'Incoming POs'!$A$2:$A$305,A1033,'Incoming POs'!$B$2:$B$305,B1033,'Incoming POs'!$C$2:$C$305,C1033,'Incoming POs'!$G$2:$G$305,"&gt;="&amp;D1033,'Incoming POs'!$G$2:$G$305,"&lt;"&amp;Dashboard!$I$5)</x:f>
        <x:v>0</x:v>
      </x:c>
      <x:c r="Q1033" s="1" t="n">
        <x:f>F1033*Dashboard!$L$5*MAX(0,Dashboard!$I$5-D1033)/30.4375</x:f>
        <x:v>0</x:v>
      </x:c>
      <x:c r="R1033" s="1" t="n">
        <x:f>MAX(0,E1033+P1033-Q1033)</x:f>
        <x:v>0</x:v>
      </x:c>
      <x:c r="S1033" s="1" t="n">
        <x:f>MAX(0,Q1033-E1033-P1033)</x:f>
        <x:v>0</x:v>
      </x:c>
      <x:c r="T1033" s="1" t="str">
        <x:f>IF(L1033=1,MAX(0,I1033+AB1033-MIN(Q1033,E1033+P1033)),"n.a.")</x:f>
        <x:v>n.a.</x:v>
      </x:c>
      <x:c r="U1033" s="9" t="str">
        <x:f>IF(ISNUMBER(T1033),T1033*G1033,"n.a.")</x:f>
        <x:v>n.a.</x:v>
      </x:c>
      <x:c r="V1033" s="25" t="n">
        <x:f>IF(Dashboard!$I$6="Flat %",1,IF(ISNUMBER(H1033),1,0))</x:f>
        <x:v>0</x:v>
      </x:c>
      <x:c r="W1033" s="9" t="str">
        <x:f>IF(Dashboard!$I$6="Flat %",G1033*(1+Dashboard!$L$6),H1033)</x:f>
        <x:v>n.a.</x:v>
      </x:c>
      <x:c r="X1033" s="9" t="str">
        <x:f>IF(V1033=1,R1033*(W1033-G1033),"n.a.")</x:f>
        <x:v>n.a.</x:v>
      </x:c>
      <x:c r="Y1033" s="9" t="str">
        <x:f>IF(V1033=1,R1033*W1033,"n.a.")</x:f>
        <x:v>n.a.</x:v>
      </x:c>
      <x:c r="Z1033" s="1" t="str">
        <x:f>IF(ISNUMBER(T1033),R1033-T1033,"n.a.")</x:f>
        <x:v>n.a.</x:v>
      </x:c>
      <x:c r="AA1033" s="1" t="str">
        <x:f>'Inventory inputs'!R1033</x:f>
        <x:v>Review receipt reconciliation or original PO baseline</x:v>
      </x:c>
      <x:c r="AB1033" s="1" t="str">
        <x:f>IF(L1033=1,SUMIFS('Incoming POs'!$P$2:$P$305,'Incoming POs'!$A$2:$A$305,A1033,'Incoming POs'!$B$2:$B$305,B1033,'Incoming POs'!$C$2:$C$305,C1033,'Incoming POs'!$G$2:$G$305,"&gt;="&amp;D1033,'Incoming POs'!$G$2:$G$305,"&lt;"&amp;Dashboard!$I$5,'Incoming POs'!$Q$2:$Q$305,"&lt;="&amp;('Inventory inputs'!P1033/'Inventory inputs'!J1033*1.01)),"n.a.")</x:f>
        <x:v>n.a.</x:v>
      </x:c>
      <x:c r="AC1033" s="9" t="n">
        <x:f>I1033*G1033</x:f>
        <x:v>0</x:v>
      </x:c>
      <x:c r="AD1033" s="9" t="n">
        <x:f>J1033*G1033</x:f>
        <x:v>0</x:v>
      </x:c>
      <x:c r="AE1033" s="9" t="n">
        <x:f>K1033*G1033</x:f>
        <x:v>0</x:v>
      </x:c>
      <x:c r="AF1033" s="9" t="n">
        <x:f>R1033*G1033</x:f>
        <x:v>0</x:v>
      </x:c>
    </x:row>
    <x:row r="1034" ht="21" customHeight="1">
      <x:c r="A1034" s="1" t="str">
        <x:f>'Inventory inputs'!A1034</x:f>
        <x:v>FILM</x:v>
      </x:c>
      <x:c r="B1034" s="1" t="str">
        <x:f>'Inventory inputs'!B1034</x:f>
        <x:v>30</x:v>
      </x:c>
      <x:c r="C1034" s="1" t="str">
        <x:f>'Inventory inputs'!C1034</x:f>
        <x:v>255005C2</x:v>
      </x:c>
      <x:c r="D1034" s="7" t="n">
        <x:f>'Inventory inputs'!E1034</x:f>
        <x:v>46304</x:v>
      </x:c>
      <x:c r="E1034" s="1" t="n">
        <x:f>'Inventory inputs'!F1034</x:f>
        <x:v>6</x:v>
      </x:c>
      <x:c r="F1034" s="1" t="n">
        <x:f>'Inventory inputs'!G1034</x:f>
        <x:v>0</x:v>
      </x:c>
      <x:c r="G1034" s="1" t="n">
        <x:f>'Inventory inputs'!H1034/'Inventory inputs'!J1034</x:f>
        <x:v>52.95</x:v>
      </x:c>
      <x:c r="H1034" s="1" t="n">
        <x:f>IF('Inventory inputs'!I1034&gt;0,'Inventory inputs'!I1034*'Inventory inputs'!K1034/'Inventory inputs'!J1034,"n.a.")</x:f>
        <x:v>63.6</x:v>
      </x:c>
      <x:c r="I1034" s="1" t="n">
        <x:f>'Inventory inputs'!L1034</x:f>
        <x:v>0</x:v>
      </x:c>
      <x:c r="J1034" s="1" t="n">
        <x:f>'Inventory inputs'!M1034</x:f>
        <x:v>0</x:v>
      </x:c>
      <x:c r="K1034" s="1" t="n">
        <x:f>'Inventory inputs'!N1034</x:f>
        <x:v>6</x:v>
      </x:c>
      <x:c r="L1034" s="1" t="n">
        <x:f>'Inventory inputs'!O1034</x:f>
        <x:v>0</x:v>
      </x:c>
      <x:c r="M1034" s="9" t="n">
        <x:f>E1034*G1034</x:f>
        <x:v>317.70000000000005</x:v>
      </x:c>
      <x:c r="N1034" s="9" t="n">
        <x:f>'Inventory inputs'!Q1034</x:f>
        <x:v>317.70000000000005</x:v>
      </x:c>
      <x:c r="O1034" s="9" t="n">
        <x:f>N1034-M1034</x:f>
        <x:v>0</x:v>
      </x:c>
      <x:c r="P1034" s="1" t="n">
        <x:f>SUMIFS('Incoming POs'!$P$2:$P$305,'Incoming POs'!$A$2:$A$305,A1034,'Incoming POs'!$B$2:$B$305,B1034,'Incoming POs'!$C$2:$C$305,C1034,'Incoming POs'!$G$2:$G$305,"&gt;="&amp;D1034,'Incoming POs'!$G$2:$G$305,"&lt;"&amp;Dashboard!$I$5)</x:f>
        <x:v>0</x:v>
      </x:c>
      <x:c r="Q1034" s="1" t="n">
        <x:f>F1034*Dashboard!$L$5*MAX(0,Dashboard!$I$5-D1034)/30.4375</x:f>
        <x:v>0</x:v>
      </x:c>
      <x:c r="R1034" s="1" t="n">
        <x:f>MAX(0,E1034+P1034-Q1034)</x:f>
        <x:v>6</x:v>
      </x:c>
      <x:c r="S1034" s="1" t="n">
        <x:f>MAX(0,Q1034-E1034-P1034)</x:f>
        <x:v>0</x:v>
      </x:c>
      <x:c r="T1034" s="1" t="str">
        <x:f>IF(L1034=1,MAX(0,I1034+AB1034-MIN(Q1034,E1034+P1034)),"n.a.")</x:f>
        <x:v>n.a.</x:v>
      </x:c>
      <x:c r="U1034" s="9" t="str">
        <x:f>IF(ISNUMBER(T1034),T1034*G1034,"n.a.")</x:f>
        <x:v>n.a.</x:v>
      </x:c>
      <x:c r="V1034" s="25" t="n">
        <x:f>IF(Dashboard!$I$6="Flat %",1,IF(ISNUMBER(H1034),1,0))</x:f>
        <x:v>1</x:v>
      </x:c>
      <x:c r="W1034" s="9" t="n">
        <x:f>IF(Dashboard!$I$6="Flat %",G1034*(1+Dashboard!$L$6),H1034)</x:f>
        <x:v>63.6</x:v>
      </x:c>
      <x:c r="X1034" s="9" t="n">
        <x:f>IF(V1034=1,R1034*(W1034-G1034),"n.a.")</x:f>
        <x:v>63.89999999999999</x:v>
      </x:c>
      <x:c r="Y1034" s="9" t="n">
        <x:f>IF(V1034=1,R1034*W1034,"n.a.")</x:f>
        <x:v>381.6</x:v>
      </x:c>
      <x:c r="Z1034" s="1" t="str">
        <x:f>IF(ISNUMBER(T1034),R1034-T1034,"n.a.")</x:f>
        <x:v>n.a.</x:v>
      </x:c>
      <x:c r="AA1034" s="1" t="str">
        <x:f>'Inventory inputs'!R1034</x:f>
        <x:v>Review receipt reconciliation or original PO baseline</x:v>
      </x:c>
      <x:c r="AB1034" s="1" t="str">
        <x:f>IF(L1034=1,SUMIFS('Incoming POs'!$P$2:$P$305,'Incoming POs'!$A$2:$A$305,A1034,'Incoming POs'!$B$2:$B$305,B1034,'Incoming POs'!$C$2:$C$305,C1034,'Incoming POs'!$G$2:$G$305,"&gt;="&amp;D1034,'Incoming POs'!$G$2:$G$305,"&lt;"&amp;Dashboard!$I$5,'Incoming POs'!$Q$2:$Q$305,"&lt;="&amp;('Inventory inputs'!P1034/'Inventory inputs'!J1034*1.01)),"n.a.")</x:f>
        <x:v>n.a.</x:v>
      </x:c>
      <x:c r="AC1034" s="9" t="n">
        <x:f>I1034*G1034</x:f>
        <x:v>0</x:v>
      </x:c>
      <x:c r="AD1034" s="9" t="n">
        <x:f>J1034*G1034</x:f>
        <x:v>0</x:v>
      </x:c>
      <x:c r="AE1034" s="9" t="n">
        <x:f>K1034*G1034</x:f>
        <x:v>317.70000000000005</x:v>
      </x:c>
      <x:c r="AF1034" s="9" t="n">
        <x:f>R1034*G1034</x:f>
        <x:v>317.70000000000005</x:v>
      </x:c>
    </x:row>
    <x:row r="1035" ht="21" customHeight="1">
      <x:c r="A1035" s="1" t="str">
        <x:f>'Inventory inputs'!A1035</x:f>
        <x:v>FILM</x:v>
      </x:c>
      <x:c r="B1035" s="1" t="str">
        <x:f>'Inventory inputs'!B1035</x:f>
        <x:v>30</x:v>
      </x:c>
      <x:c r="C1035" s="1" t="str">
        <x:f>'Inventory inputs'!C1035</x:f>
        <x:v>3850017C3</x:v>
      </x:c>
      <x:c r="D1035" s="7" t="n">
        <x:f>'Inventory inputs'!E1035</x:f>
        <x:v>46304</x:v>
      </x:c>
      <x:c r="E1035" s="1" t="n">
        <x:f>'Inventory inputs'!F1035</x:f>
        <x:v>0</x:v>
      </x:c>
      <x:c r="F1035" s="1" t="n">
        <x:f>'Inventory inputs'!G1035</x:f>
        <x:v>0</x:v>
      </x:c>
      <x:c r="G1035" s="1" t="n">
        <x:f>'Inventory inputs'!H1035/'Inventory inputs'!J1035</x:f>
        <x:v>29.41</x:v>
      </x:c>
      <x:c r="H1035" s="1" t="n">
        <x:f>IF('Inventory inputs'!I1035&gt;0,'Inventory inputs'!I1035*'Inventory inputs'!K1035/'Inventory inputs'!J1035,"n.a.")</x:f>
        <x:v>35.34</x:v>
      </x:c>
      <x:c r="I1035" s="1" t="n">
        <x:f>'Inventory inputs'!L1035</x:f>
        <x:v>0</x:v>
      </x:c>
      <x:c r="J1035" s="1" t="n">
        <x:f>'Inventory inputs'!M1035</x:f>
        <x:v>0</x:v>
      </x:c>
      <x:c r="K1035" s="1" t="n">
        <x:f>'Inventory inputs'!N1035</x:f>
        <x:v>0</x:v>
      </x:c>
      <x:c r="L1035" s="1" t="n">
        <x:f>'Inventory inputs'!O1035</x:f>
        <x:v>1</x:v>
      </x:c>
      <x:c r="M1035" s="9" t="n">
        <x:f>E1035*G1035</x:f>
        <x:v>0</x:v>
      </x:c>
      <x:c r="N1035" s="9" t="n">
        <x:f>'Inventory inputs'!Q1035</x:f>
        <x:v>0</x:v>
      </x:c>
      <x:c r="O1035" s="9" t="n">
        <x:f>N1035-M1035</x:f>
        <x:v>0</x:v>
      </x:c>
      <x:c r="P1035" s="1" t="n">
        <x:f>SUMIFS('Incoming POs'!$P$2:$P$305,'Incoming POs'!$A$2:$A$305,A1035,'Incoming POs'!$B$2:$B$305,B1035,'Incoming POs'!$C$2:$C$305,C1035,'Incoming POs'!$G$2:$G$305,"&gt;="&amp;D1035,'Incoming POs'!$G$2:$G$305,"&lt;"&amp;Dashboard!$I$5)</x:f>
        <x:v>0</x:v>
      </x:c>
      <x:c r="Q1035" s="1" t="n">
        <x:f>F1035*Dashboard!$L$5*MAX(0,Dashboard!$I$5-D1035)/30.4375</x:f>
        <x:v>0</x:v>
      </x:c>
      <x:c r="R1035" s="1" t="n">
        <x:f>MAX(0,E1035+P1035-Q1035)</x:f>
        <x:v>0</x:v>
      </x:c>
      <x:c r="S1035" s="1" t="n">
        <x:f>MAX(0,Q1035-E1035-P1035)</x:f>
        <x:v>0</x:v>
      </x:c>
      <x:c r="T1035" s="1" t="n">
        <x:f>IF(L1035=1,MAX(0,I1035+AB1035-MIN(Q1035,E1035+P1035)),"n.a.")</x:f>
        <x:v>0</x:v>
      </x:c>
      <x:c r="U1035" s="9" t="n">
        <x:f>IF(ISNUMBER(T1035),T1035*G1035,"n.a.")</x:f>
        <x:v>0</x:v>
      </x:c>
      <x:c r="V1035" s="25" t="n">
        <x:f>IF(Dashboard!$I$6="Flat %",1,IF(ISNUMBER(H1035),1,0))</x:f>
        <x:v>1</x:v>
      </x:c>
      <x:c r="W1035" s="9" t="n">
        <x:f>IF(Dashboard!$I$6="Flat %",G1035*(1+Dashboard!$L$6),H1035)</x:f>
        <x:v>35.34</x:v>
      </x:c>
      <x:c r="X1035" s="9" t="n">
        <x:f>IF(V1035=1,R1035*(W1035-G1035),"n.a.")</x:f>
        <x:v>0</x:v>
      </x:c>
      <x:c r="Y1035" s="9" t="n">
        <x:f>IF(V1035=1,R1035*W1035,"n.a.")</x:f>
        <x:v>0</x:v>
      </x:c>
      <x:c r="Z1035" s="1" t="n">
        <x:f>IF(ISNUMBER(T1035),R1035-T1035,"n.a.")</x:f>
        <x:v>0</x:v>
      </x:c>
      <x:c r="AA1035" s="1" t="str">
        <x:f>'Inventory inputs'!R1035</x:f>
        <x:v>Classified</x:v>
      </x:c>
      <x:c r="AB1035" s="1" t="n">
        <x:f>IF(L1035=1,SUMIFS('Incoming POs'!$P$2:$P$305,'Incoming POs'!$A$2:$A$305,A1035,'Incoming POs'!$B$2:$B$305,B1035,'Incoming POs'!$C$2:$C$305,C1035,'Incoming POs'!$G$2:$G$305,"&gt;="&amp;D1035,'Incoming POs'!$G$2:$G$305,"&lt;"&amp;Dashboard!$I$5,'Incoming POs'!$Q$2:$Q$305,"&lt;="&amp;('Inventory inputs'!P1035/'Inventory inputs'!J1035*1.01)),"n.a.")</x:f>
        <x:v>0</x:v>
      </x:c>
      <x:c r="AC1035" s="9" t="n">
        <x:f>I1035*G1035</x:f>
        <x:v>0</x:v>
      </x:c>
      <x:c r="AD1035" s="9" t="n">
        <x:f>J1035*G1035</x:f>
        <x:v>0</x:v>
      </x:c>
      <x:c r="AE1035" s="9" t="n">
        <x:f>K1035*G1035</x:f>
        <x:v>0</x:v>
      </x:c>
      <x:c r="AF1035" s="9" t="n">
        <x:f>R1035*G1035</x:f>
        <x:v>0</x:v>
      </x:c>
    </x:row>
    <x:row r="1036" ht="21" customHeight="1">
      <x:c r="A1036" s="1" t="str">
        <x:f>'Inventory inputs'!A1036</x:f>
        <x:v>FILM</x:v>
      </x:c>
      <x:c r="B1036" s="1" t="str">
        <x:f>'Inventory inputs'!B1036</x:f>
        <x:v>30</x:v>
      </x:c>
      <x:c r="C1036" s="1" t="str">
        <x:f>'Inventory inputs'!C1036</x:f>
        <x:v>4350017C3</x:v>
      </x:c>
      <x:c r="D1036" s="7" t="n">
        <x:f>'Inventory inputs'!E1036</x:f>
        <x:v>46304</x:v>
      </x:c>
      <x:c r="E1036" s="1" t="n">
        <x:f>'Inventory inputs'!F1036</x:f>
        <x:v>0</x:v>
      </x:c>
      <x:c r="F1036" s="1" t="n">
        <x:f>'Inventory inputs'!G1036</x:f>
        <x:v>0</x:v>
      </x:c>
      <x:c r="G1036" s="1" t="n">
        <x:f>'Inventory inputs'!H1036/'Inventory inputs'!J1036</x:f>
        <x:v>33.28</x:v>
      </x:c>
      <x:c r="H1036" s="1" t="n">
        <x:f>IF('Inventory inputs'!I1036&gt;0,'Inventory inputs'!I1036*'Inventory inputs'!K1036/'Inventory inputs'!J1036,"n.a.")</x:f>
        <x:v>39.99</x:v>
      </x:c>
      <x:c r="I1036" s="1" t="n">
        <x:f>'Inventory inputs'!L1036</x:f>
        <x:v>0</x:v>
      </x:c>
      <x:c r="J1036" s="1" t="n">
        <x:f>'Inventory inputs'!M1036</x:f>
        <x:v>0</x:v>
      </x:c>
      <x:c r="K1036" s="1" t="n">
        <x:f>'Inventory inputs'!N1036</x:f>
        <x:v>0</x:v>
      </x:c>
      <x:c r="L1036" s="1" t="n">
        <x:f>'Inventory inputs'!O1036</x:f>
        <x:v>1</x:v>
      </x:c>
      <x:c r="M1036" s="9" t="n">
        <x:f>E1036*G1036</x:f>
        <x:v>0</x:v>
      </x:c>
      <x:c r="N1036" s="9" t="n">
        <x:f>'Inventory inputs'!Q1036</x:f>
        <x:v>0</x:v>
      </x:c>
      <x:c r="O1036" s="9" t="n">
        <x:f>N1036-M1036</x:f>
        <x:v>0</x:v>
      </x:c>
      <x:c r="P1036" s="1" t="n">
        <x:f>SUMIFS('Incoming POs'!$P$2:$P$305,'Incoming POs'!$A$2:$A$305,A1036,'Incoming POs'!$B$2:$B$305,B1036,'Incoming POs'!$C$2:$C$305,C1036,'Incoming POs'!$G$2:$G$305,"&gt;="&amp;D1036,'Incoming POs'!$G$2:$G$305,"&lt;"&amp;Dashboard!$I$5)</x:f>
        <x:v>0</x:v>
      </x:c>
      <x:c r="Q1036" s="1" t="n">
        <x:f>F1036*Dashboard!$L$5*MAX(0,Dashboard!$I$5-D1036)/30.4375</x:f>
        <x:v>0</x:v>
      </x:c>
      <x:c r="R1036" s="1" t="n">
        <x:f>MAX(0,E1036+P1036-Q1036)</x:f>
        <x:v>0</x:v>
      </x:c>
      <x:c r="S1036" s="1" t="n">
        <x:f>MAX(0,Q1036-E1036-P1036)</x:f>
        <x:v>0</x:v>
      </x:c>
      <x:c r="T1036" s="1" t="n">
        <x:f>IF(L1036=1,MAX(0,I1036+AB1036-MIN(Q1036,E1036+P1036)),"n.a.")</x:f>
        <x:v>0</x:v>
      </x:c>
      <x:c r="U1036" s="9" t="n">
        <x:f>IF(ISNUMBER(T1036),T1036*G1036,"n.a.")</x:f>
        <x:v>0</x:v>
      </x:c>
      <x:c r="V1036" s="25" t="n">
        <x:f>IF(Dashboard!$I$6="Flat %",1,IF(ISNUMBER(H1036),1,0))</x:f>
        <x:v>1</x:v>
      </x:c>
      <x:c r="W1036" s="9" t="n">
        <x:f>IF(Dashboard!$I$6="Flat %",G1036*(1+Dashboard!$L$6),H1036)</x:f>
        <x:v>39.99</x:v>
      </x:c>
      <x:c r="X1036" s="9" t="n">
        <x:f>IF(V1036=1,R1036*(W1036-G1036),"n.a.")</x:f>
        <x:v>0</x:v>
      </x:c>
      <x:c r="Y1036" s="9" t="n">
        <x:f>IF(V1036=1,R1036*W1036,"n.a.")</x:f>
        <x:v>0</x:v>
      </x:c>
      <x:c r="Z1036" s="1" t="n">
        <x:f>IF(ISNUMBER(T1036),R1036-T1036,"n.a.")</x:f>
        <x:v>0</x:v>
      </x:c>
      <x:c r="AA1036" s="1" t="str">
        <x:f>'Inventory inputs'!R1036</x:f>
        <x:v>Classified</x:v>
      </x:c>
      <x:c r="AB1036" s="1" t="n">
        <x:f>IF(L1036=1,SUMIFS('Incoming POs'!$P$2:$P$305,'Incoming POs'!$A$2:$A$305,A1036,'Incoming POs'!$B$2:$B$305,B1036,'Incoming POs'!$C$2:$C$305,C1036,'Incoming POs'!$G$2:$G$305,"&gt;="&amp;D1036,'Incoming POs'!$G$2:$G$305,"&lt;"&amp;Dashboard!$I$5,'Incoming POs'!$Q$2:$Q$305,"&lt;="&amp;('Inventory inputs'!P1036/'Inventory inputs'!J1036*1.01)),"n.a.")</x:f>
        <x:v>0</x:v>
      </x:c>
      <x:c r="AC1036" s="9" t="n">
        <x:f>I1036*G1036</x:f>
        <x:v>0</x:v>
      </x:c>
      <x:c r="AD1036" s="9" t="n">
        <x:f>J1036*G1036</x:f>
        <x:v>0</x:v>
      </x:c>
      <x:c r="AE1036" s="9" t="n">
        <x:f>K1036*G1036</x:f>
        <x:v>0</x:v>
      </x:c>
      <x:c r="AF1036" s="9" t="n">
        <x:f>R1036*G1036</x:f>
        <x:v>0</x:v>
      </x:c>
    </x:row>
    <x:row r="1037" ht="21" customHeight="1">
      <x:c r="A1037" s="1" t="str">
        <x:f>'Inventory inputs'!A1037</x:f>
        <x:v>FILM</x:v>
      </x:c>
      <x:c r="B1037" s="1" t="str">
        <x:f>'Inventory inputs'!B1037</x:f>
        <x:v>30</x:v>
      </x:c>
      <x:c r="C1037" s="1" t="str">
        <x:f>'Inventory inputs'!C1037</x:f>
        <x:v>PPFS</x:v>
      </x:c>
      <x:c r="D1037" s="7" t="n">
        <x:f>'Inventory inputs'!E1037</x:f>
        <x:v>46304</x:v>
      </x:c>
      <x:c r="E1037" s="1" t="n">
        <x:f>'Inventory inputs'!F1037</x:f>
        <x:v>0</x:v>
      </x:c>
      <x:c r="F1037" s="1" t="n">
        <x:f>'Inventory inputs'!G1037</x:f>
        <x:v>0</x:v>
      </x:c>
      <x:c r="G1037" s="1" t="n">
        <x:f>'Inventory inputs'!H1037/'Inventory inputs'!J1037</x:f>
        <x:v>0</x:v>
      </x:c>
      <x:c r="H1037" s="1" t="str">
        <x:f>IF('Inventory inputs'!I1037&gt;0,'Inventory inputs'!I1037*'Inventory inputs'!K1037/'Inventory inputs'!J1037,"n.a.")</x:f>
        <x:v>n.a.</x:v>
      </x:c>
      <x:c r="I1037" s="1" t="n">
        <x:f>'Inventory inputs'!L1037</x:f>
        <x:v>0</x:v>
      </x:c>
      <x:c r="J1037" s="1" t="n">
        <x:f>'Inventory inputs'!M1037</x:f>
        <x:v>0</x:v>
      </x:c>
      <x:c r="K1037" s="1" t="n">
        <x:f>'Inventory inputs'!N1037</x:f>
        <x:v>0</x:v>
      </x:c>
      <x:c r="L1037" s="1" t="n">
        <x:f>'Inventory inputs'!O1037</x:f>
        <x:v>0</x:v>
      </x:c>
      <x:c r="M1037" s="9" t="n">
        <x:f>E1037*G1037</x:f>
        <x:v>0</x:v>
      </x:c>
      <x:c r="N1037" s="9" t="n">
        <x:f>'Inventory inputs'!Q1037</x:f>
        <x:v>0</x:v>
      </x:c>
      <x:c r="O1037" s="9" t="n">
        <x:f>N1037-M1037</x:f>
        <x:v>0</x:v>
      </x:c>
      <x:c r="P1037" s="1" t="n">
        <x:f>SUMIFS('Incoming POs'!$P$2:$P$305,'Incoming POs'!$A$2:$A$305,A1037,'Incoming POs'!$B$2:$B$305,B1037,'Incoming POs'!$C$2:$C$305,C1037,'Incoming POs'!$G$2:$G$305,"&gt;="&amp;D1037,'Incoming POs'!$G$2:$G$305,"&lt;"&amp;Dashboard!$I$5)</x:f>
        <x:v>0</x:v>
      </x:c>
      <x:c r="Q1037" s="1" t="n">
        <x:f>F1037*Dashboard!$L$5*MAX(0,Dashboard!$I$5-D1037)/30.4375</x:f>
        <x:v>0</x:v>
      </x:c>
      <x:c r="R1037" s="1" t="n">
        <x:f>MAX(0,E1037+P1037-Q1037)</x:f>
        <x:v>0</x:v>
      </x:c>
      <x:c r="S1037" s="1" t="n">
        <x:f>MAX(0,Q1037-E1037-P1037)</x:f>
        <x:v>0</x:v>
      </x:c>
      <x:c r="T1037" s="1" t="str">
        <x:f>IF(L1037=1,MAX(0,I1037+AB1037-MIN(Q1037,E1037+P1037)),"n.a.")</x:f>
        <x:v>n.a.</x:v>
      </x:c>
      <x:c r="U1037" s="9" t="str">
        <x:f>IF(ISNUMBER(T1037),T1037*G1037,"n.a.")</x:f>
        <x:v>n.a.</x:v>
      </x:c>
      <x:c r="V1037" s="25" t="n">
        <x:f>IF(Dashboard!$I$6="Flat %",1,IF(ISNUMBER(H1037),1,0))</x:f>
        <x:v>0</x:v>
      </x:c>
      <x:c r="W1037" s="9" t="str">
        <x:f>IF(Dashboard!$I$6="Flat %",G1037*(1+Dashboard!$L$6),H1037)</x:f>
        <x:v>n.a.</x:v>
      </x:c>
      <x:c r="X1037" s="9" t="str">
        <x:f>IF(V1037=1,R1037*(W1037-G1037),"n.a.")</x:f>
        <x:v>n.a.</x:v>
      </x:c>
      <x:c r="Y1037" s="9" t="str">
        <x:f>IF(V1037=1,R1037*W1037,"n.a.")</x:f>
        <x:v>n.a.</x:v>
      </x:c>
      <x:c r="Z1037" s="1" t="str">
        <x:f>IF(ISNUMBER(T1037),R1037-T1037,"n.a.")</x:f>
        <x:v>n.a.</x:v>
      </x:c>
      <x:c r="AA1037" s="1" t="str">
        <x:f>'Inventory inputs'!R1037</x:f>
        <x:v>Review receipt reconciliation or original PO baseline</x:v>
      </x:c>
      <x:c r="AB1037" s="1" t="str">
        <x:f>IF(L1037=1,SUMIFS('Incoming POs'!$P$2:$P$305,'Incoming POs'!$A$2:$A$305,A1037,'Incoming POs'!$B$2:$B$305,B1037,'Incoming POs'!$C$2:$C$305,C1037,'Incoming POs'!$G$2:$G$305,"&gt;="&amp;D1037,'Incoming POs'!$G$2:$G$305,"&lt;"&amp;Dashboard!$I$5,'Incoming POs'!$Q$2:$Q$305,"&lt;="&amp;('Inventory inputs'!P1037/'Inventory inputs'!J1037*1.01)),"n.a.")</x:f>
        <x:v>n.a.</x:v>
      </x:c>
      <x:c r="AC1037" s="9" t="n">
        <x:f>I1037*G1037</x:f>
        <x:v>0</x:v>
      </x:c>
      <x:c r="AD1037" s="9" t="n">
        <x:f>J1037*G1037</x:f>
        <x:v>0</x:v>
      </x:c>
      <x:c r="AE1037" s="9" t="n">
        <x:f>K1037*G1037</x:f>
        <x:v>0</x:v>
      </x:c>
      <x:c r="AF1037" s="9" t="n">
        <x:f>R1037*G1037</x:f>
        <x:v>0</x:v>
      </x:c>
    </x:row>
    <x:row r="1038" ht="21" customHeight="1">
      <x:c r="A1038" s="1" t="str">
        <x:f>'Inventory inputs'!A1038</x:f>
        <x:v>FILM</x:v>
      </x:c>
      <x:c r="B1038" s="1" t="str">
        <x:f>'Inventory inputs'!B1038</x:f>
        <x:v>30</x:v>
      </x:c>
      <x:c r="C1038" s="1" t="str">
        <x:f>'Inventory inputs'!C1038</x:f>
        <x:v>PR122503C1</x:v>
      </x:c>
      <x:c r="D1038" s="7" t="n">
        <x:f>'Inventory inputs'!E1038</x:f>
        <x:v>46304</x:v>
      </x:c>
      <x:c r="E1038" s="1" t="n">
        <x:f>'Inventory inputs'!F1038</x:f>
        <x:v>122</x:v>
      </x:c>
      <x:c r="F1038" s="1" t="n">
        <x:f>'Inventory inputs'!G1038</x:f>
        <x:v>0</x:v>
      </x:c>
      <x:c r="G1038" s="1" t="n">
        <x:f>'Inventory inputs'!H1038/'Inventory inputs'!J1038</x:f>
        <x:v>8.1</x:v>
      </x:c>
      <x:c r="H1038" s="1" t="n">
        <x:f>IF('Inventory inputs'!I1038&gt;0,'Inventory inputs'!I1038*'Inventory inputs'!K1038/'Inventory inputs'!J1038,"n.a.")</x:f>
        <x:v>9.72</x:v>
      </x:c>
      <x:c r="I1038" s="1" t="n">
        <x:f>'Inventory inputs'!L1038</x:f>
        <x:v>0</x:v>
      </x:c>
      <x:c r="J1038" s="1" t="n">
        <x:f>'Inventory inputs'!M1038</x:f>
        <x:v>0</x:v>
      </x:c>
      <x:c r="K1038" s="1" t="n">
        <x:f>'Inventory inputs'!N1038</x:f>
        <x:v>122</x:v>
      </x:c>
      <x:c r="L1038" s="1" t="n">
        <x:f>'Inventory inputs'!O1038</x:f>
        <x:v>0</x:v>
      </x:c>
      <x:c r="M1038" s="9" t="n">
        <x:f>E1038*G1038</x:f>
        <x:v>988.1999999999999</x:v>
      </x:c>
      <x:c r="N1038" s="9" t="n">
        <x:f>'Inventory inputs'!Q1038</x:f>
        <x:v>988.1999999999999</x:v>
      </x:c>
      <x:c r="O1038" s="9" t="n">
        <x:f>N1038-M1038</x:f>
        <x:v>0</x:v>
      </x:c>
      <x:c r="P1038" s="1" t="n">
        <x:f>SUMIFS('Incoming POs'!$P$2:$P$305,'Incoming POs'!$A$2:$A$305,A1038,'Incoming POs'!$B$2:$B$305,B1038,'Incoming POs'!$C$2:$C$305,C1038,'Incoming POs'!$G$2:$G$305,"&gt;="&amp;D1038,'Incoming POs'!$G$2:$G$305,"&lt;"&amp;Dashboard!$I$5)</x:f>
        <x:v>0</x:v>
      </x:c>
      <x:c r="Q1038" s="1" t="n">
        <x:f>F1038*Dashboard!$L$5*MAX(0,Dashboard!$I$5-D1038)/30.4375</x:f>
        <x:v>0</x:v>
      </x:c>
      <x:c r="R1038" s="1" t="n">
        <x:f>MAX(0,E1038+P1038-Q1038)</x:f>
        <x:v>122</x:v>
      </x:c>
      <x:c r="S1038" s="1" t="n">
        <x:f>MAX(0,Q1038-E1038-P1038)</x:f>
        <x:v>0</x:v>
      </x:c>
      <x:c r="T1038" s="1" t="str">
        <x:f>IF(L1038=1,MAX(0,I1038+AB1038-MIN(Q1038,E1038+P1038)),"n.a.")</x:f>
        <x:v>n.a.</x:v>
      </x:c>
      <x:c r="U1038" s="9" t="str">
        <x:f>IF(ISNUMBER(T1038),T1038*G1038,"n.a.")</x:f>
        <x:v>n.a.</x:v>
      </x:c>
      <x:c r="V1038" s="25" t="n">
        <x:f>IF(Dashboard!$I$6="Flat %",1,IF(ISNUMBER(H1038),1,0))</x:f>
        <x:v>1</x:v>
      </x:c>
      <x:c r="W1038" s="9" t="n">
        <x:f>IF(Dashboard!$I$6="Flat %",G1038*(1+Dashboard!$L$6),H1038)</x:f>
        <x:v>9.72</x:v>
      </x:c>
      <x:c r="X1038" s="9" t="n">
        <x:f>IF(V1038=1,R1038*(W1038-G1038),"n.a.")</x:f>
        <x:v>197.64000000000013</x:v>
      </x:c>
      <x:c r="Y1038" s="9" t="n">
        <x:f>IF(V1038=1,R1038*W1038,"n.a.")</x:f>
        <x:v>1185.8400000000001</x:v>
      </x:c>
      <x:c r="Z1038" s="1" t="str">
        <x:f>IF(ISNUMBER(T1038),R1038-T1038,"n.a.")</x:f>
        <x:v>n.a.</x:v>
      </x:c>
      <x:c r="AA1038" s="1" t="str">
        <x:f>'Inventory inputs'!R1038</x:f>
        <x:v>Review receipt reconciliation or original PO baseline</x:v>
      </x:c>
      <x:c r="AB1038" s="1" t="str">
        <x:f>IF(L1038=1,SUMIFS('Incoming POs'!$P$2:$P$305,'Incoming POs'!$A$2:$A$305,A1038,'Incoming POs'!$B$2:$B$305,B1038,'Incoming POs'!$C$2:$C$305,C1038,'Incoming POs'!$G$2:$G$305,"&gt;="&amp;D1038,'Incoming POs'!$G$2:$G$305,"&lt;"&amp;Dashboard!$I$5,'Incoming POs'!$Q$2:$Q$305,"&lt;="&amp;('Inventory inputs'!P1038/'Inventory inputs'!J1038*1.01)),"n.a.")</x:f>
        <x:v>n.a.</x:v>
      </x:c>
      <x:c r="AC1038" s="9" t="n">
        <x:f>I1038*G1038</x:f>
        <x:v>0</x:v>
      </x:c>
      <x:c r="AD1038" s="9" t="n">
        <x:f>J1038*G1038</x:f>
        <x:v>0</x:v>
      </x:c>
      <x:c r="AE1038" s="9" t="n">
        <x:f>K1038*G1038</x:f>
        <x:v>988.1999999999999</x:v>
      </x:c>
      <x:c r="AF1038" s="9" t="n">
        <x:f>R1038*G1038</x:f>
        <x:v>988.1999999999999</x:v>
      </x:c>
    </x:row>
    <x:row r="1039" ht="21" customHeight="1">
      <x:c r="A1039" s="1" t="str">
        <x:f>'Inventory inputs'!A1039</x:f>
        <x:v>FILM</x:v>
      </x:c>
      <x:c r="B1039" s="1" t="str">
        <x:f>'Inventory inputs'!B1039</x:f>
        <x:v>30</x:v>
      </x:c>
      <x:c r="C1039" s="1" t="str">
        <x:f>'Inventory inputs'!C1039</x:f>
        <x:v>PR432503C3</x:v>
      </x:c>
      <x:c r="D1039" s="7" t="n">
        <x:f>'Inventory inputs'!E1039</x:f>
        <x:v>46304</x:v>
      </x:c>
      <x:c r="E1039" s="1" t="n">
        <x:f>'Inventory inputs'!F1039</x:f>
        <x:v>0</x:v>
      </x:c>
      <x:c r="F1039" s="1" t="n">
        <x:f>'Inventory inputs'!G1039</x:f>
        <x:v>0</x:v>
      </x:c>
      <x:c r="G1039" s="1" t="n">
        <x:f>'Inventory inputs'!H1039/'Inventory inputs'!J1039</x:f>
        <x:v>29.03</x:v>
      </x:c>
      <x:c r="H1039" s="1" t="n">
        <x:f>IF('Inventory inputs'!I1039&gt;0,'Inventory inputs'!I1039*'Inventory inputs'!K1039/'Inventory inputs'!J1039,"n.a.")</x:f>
        <x:v>34.83</x:v>
      </x:c>
      <x:c r="I1039" s="1" t="n">
        <x:f>'Inventory inputs'!L1039</x:f>
        <x:v>0</x:v>
      </x:c>
      <x:c r="J1039" s="1" t="n">
        <x:f>'Inventory inputs'!M1039</x:f>
        <x:v>0</x:v>
      </x:c>
      <x:c r="K1039" s="1" t="n">
        <x:f>'Inventory inputs'!N1039</x:f>
        <x:v>0</x:v>
      </x:c>
      <x:c r="L1039" s="1" t="n">
        <x:f>'Inventory inputs'!O1039</x:f>
        <x:v>1</x:v>
      </x:c>
      <x:c r="M1039" s="9" t="n">
        <x:f>E1039*G1039</x:f>
        <x:v>0</x:v>
      </x:c>
      <x:c r="N1039" s="9" t="n">
        <x:f>'Inventory inputs'!Q1039</x:f>
        <x:v>0</x:v>
      </x:c>
      <x:c r="O1039" s="9" t="n">
        <x:f>N1039-M1039</x:f>
        <x:v>0</x:v>
      </x:c>
      <x:c r="P1039" s="1" t="n">
        <x:f>SUMIFS('Incoming POs'!$P$2:$P$305,'Incoming POs'!$A$2:$A$305,A1039,'Incoming POs'!$B$2:$B$305,B1039,'Incoming POs'!$C$2:$C$305,C1039,'Incoming POs'!$G$2:$G$305,"&gt;="&amp;D1039,'Incoming POs'!$G$2:$G$305,"&lt;"&amp;Dashboard!$I$5)</x:f>
        <x:v>0</x:v>
      </x:c>
      <x:c r="Q1039" s="1" t="n">
        <x:f>F1039*Dashboard!$L$5*MAX(0,Dashboard!$I$5-D1039)/30.4375</x:f>
        <x:v>0</x:v>
      </x:c>
      <x:c r="R1039" s="1" t="n">
        <x:f>MAX(0,E1039+P1039-Q1039)</x:f>
        <x:v>0</x:v>
      </x:c>
      <x:c r="S1039" s="1" t="n">
        <x:f>MAX(0,Q1039-E1039-P1039)</x:f>
        <x:v>0</x:v>
      </x:c>
      <x:c r="T1039" s="1" t="n">
        <x:f>IF(L1039=1,MAX(0,I1039+AB1039-MIN(Q1039,E1039+P1039)),"n.a.")</x:f>
        <x:v>0</x:v>
      </x:c>
      <x:c r="U1039" s="9" t="n">
        <x:f>IF(ISNUMBER(T1039),T1039*G1039,"n.a.")</x:f>
        <x:v>0</x:v>
      </x:c>
      <x:c r="V1039" s="25" t="n">
        <x:f>IF(Dashboard!$I$6="Flat %",1,IF(ISNUMBER(H1039),1,0))</x:f>
        <x:v>1</x:v>
      </x:c>
      <x:c r="W1039" s="9" t="n">
        <x:f>IF(Dashboard!$I$6="Flat %",G1039*(1+Dashboard!$L$6),H1039)</x:f>
        <x:v>34.83</x:v>
      </x:c>
      <x:c r="X1039" s="9" t="n">
        <x:f>IF(V1039=1,R1039*(W1039-G1039),"n.a.")</x:f>
        <x:v>0</x:v>
      </x:c>
      <x:c r="Y1039" s="9" t="n">
        <x:f>IF(V1039=1,R1039*W1039,"n.a.")</x:f>
        <x:v>0</x:v>
      </x:c>
      <x:c r="Z1039" s="1" t="n">
        <x:f>IF(ISNUMBER(T1039),R1039-T1039,"n.a.")</x:f>
        <x:v>0</x:v>
      </x:c>
      <x:c r="AA1039" s="1" t="str">
        <x:f>'Inventory inputs'!R1039</x:f>
        <x:v>Classified</x:v>
      </x:c>
      <x:c r="AB1039" s="1" t="n">
        <x:f>IF(L1039=1,SUMIFS('Incoming POs'!$P$2:$P$305,'Incoming POs'!$A$2:$A$305,A1039,'Incoming POs'!$B$2:$B$305,B1039,'Incoming POs'!$C$2:$C$305,C1039,'Incoming POs'!$G$2:$G$305,"&gt;="&amp;D1039,'Incoming POs'!$G$2:$G$305,"&lt;"&amp;Dashboard!$I$5,'Incoming POs'!$Q$2:$Q$305,"&lt;="&amp;('Inventory inputs'!P1039/'Inventory inputs'!J1039*1.01)),"n.a.")</x:f>
        <x:v>0</x:v>
      </x:c>
      <x:c r="AC1039" s="9" t="n">
        <x:f>I1039*G1039</x:f>
        <x:v>0</x:v>
      </x:c>
      <x:c r="AD1039" s="9" t="n">
        <x:f>J1039*G1039</x:f>
        <x:v>0</x:v>
      </x:c>
      <x:c r="AE1039" s="9" t="n">
        <x:f>K1039*G1039</x:f>
        <x:v>0</x:v>
      </x:c>
      <x:c r="AF1039" s="9" t="n">
        <x:f>R1039*G1039</x:f>
        <x:v>0</x:v>
      </x:c>
    </x:row>
    <x:row r="1040" ht="21" customHeight="1">
      <x:c r="A1040" s="1" t="str">
        <x:f>'Inventory inputs'!A1040</x:f>
        <x:v>FILM</x:v>
      </x:c>
      <x:c r="B1040" s="1" t="str">
        <x:f>'Inventory inputs'!B1040</x:f>
        <x:v>30</x:v>
      </x:c>
      <x:c r="C1040" s="1" t="str">
        <x:f>'Inventory inputs'!C1040</x:f>
        <x:v>ST382005M3</x:v>
      </x:c>
      <x:c r="D1040" s="7" t="n">
        <x:f>'Inventory inputs'!E1040</x:f>
        <x:v>46304</x:v>
      </x:c>
      <x:c r="E1040" s="1" t="n">
        <x:f>'Inventory inputs'!F1040</x:f>
        <x:v>0</x:v>
      </x:c>
      <x:c r="F1040" s="1" t="n">
        <x:f>'Inventory inputs'!G1040</x:f>
        <x:v>0</x:v>
      </x:c>
      <x:c r="G1040" s="1" t="n">
        <x:f>'Inventory inputs'!H1040/'Inventory inputs'!J1040</x:f>
        <x:v>76.52</x:v>
      </x:c>
      <x:c r="H1040" s="1" t="n">
        <x:f>IF('Inventory inputs'!I1040&gt;0,'Inventory inputs'!I1040*'Inventory inputs'!K1040/'Inventory inputs'!J1040,"n.a.")</x:f>
        <x:v>92.11</x:v>
      </x:c>
      <x:c r="I1040" s="1" t="n">
        <x:f>'Inventory inputs'!L1040</x:f>
        <x:v>0</x:v>
      </x:c>
      <x:c r="J1040" s="1" t="n">
        <x:f>'Inventory inputs'!M1040</x:f>
        <x:v>0</x:v>
      </x:c>
      <x:c r="K1040" s="1" t="n">
        <x:f>'Inventory inputs'!N1040</x:f>
        <x:v>0</x:v>
      </x:c>
      <x:c r="L1040" s="1" t="n">
        <x:f>'Inventory inputs'!O1040</x:f>
        <x:v>1</x:v>
      </x:c>
      <x:c r="M1040" s="9" t="n">
        <x:f>E1040*G1040</x:f>
        <x:v>0</x:v>
      </x:c>
      <x:c r="N1040" s="9" t="n">
        <x:f>'Inventory inputs'!Q1040</x:f>
        <x:v>0</x:v>
      </x:c>
      <x:c r="O1040" s="9" t="n">
        <x:f>N1040-M1040</x:f>
        <x:v>0</x:v>
      </x:c>
      <x:c r="P1040" s="1" t="n">
        <x:f>SUMIFS('Incoming POs'!$P$2:$P$305,'Incoming POs'!$A$2:$A$305,A1040,'Incoming POs'!$B$2:$B$305,B1040,'Incoming POs'!$C$2:$C$305,C1040,'Incoming POs'!$G$2:$G$305,"&gt;="&amp;D1040,'Incoming POs'!$G$2:$G$305,"&lt;"&amp;Dashboard!$I$5)</x:f>
        <x:v>0</x:v>
      </x:c>
      <x:c r="Q1040" s="1" t="n">
        <x:f>F1040*Dashboard!$L$5*MAX(0,Dashboard!$I$5-D1040)/30.4375</x:f>
        <x:v>0</x:v>
      </x:c>
      <x:c r="R1040" s="1" t="n">
        <x:f>MAX(0,E1040+P1040-Q1040)</x:f>
        <x:v>0</x:v>
      </x:c>
      <x:c r="S1040" s="1" t="n">
        <x:f>MAX(0,Q1040-E1040-P1040)</x:f>
        <x:v>0</x:v>
      </x:c>
      <x:c r="T1040" s="1" t="n">
        <x:f>IF(L1040=1,MAX(0,I1040+AB1040-MIN(Q1040,E1040+P1040)),"n.a.")</x:f>
        <x:v>0</x:v>
      </x:c>
      <x:c r="U1040" s="9" t="n">
        <x:f>IF(ISNUMBER(T1040),T1040*G1040,"n.a.")</x:f>
        <x:v>0</x:v>
      </x:c>
      <x:c r="V1040" s="25" t="n">
        <x:f>IF(Dashboard!$I$6="Flat %",1,IF(ISNUMBER(H1040),1,0))</x:f>
        <x:v>1</x:v>
      </x:c>
      <x:c r="W1040" s="9" t="n">
        <x:f>IF(Dashboard!$I$6="Flat %",G1040*(1+Dashboard!$L$6),H1040)</x:f>
        <x:v>92.11</x:v>
      </x:c>
      <x:c r="X1040" s="9" t="n">
        <x:f>IF(V1040=1,R1040*(W1040-G1040),"n.a.")</x:f>
        <x:v>0</x:v>
      </x:c>
      <x:c r="Y1040" s="9" t="n">
        <x:f>IF(V1040=1,R1040*W1040,"n.a.")</x:f>
        <x:v>0</x:v>
      </x:c>
      <x:c r="Z1040" s="1" t="n">
        <x:f>IF(ISNUMBER(T1040),R1040-T1040,"n.a.")</x:f>
        <x:v>0</x:v>
      </x:c>
      <x:c r="AA1040" s="1" t="str">
        <x:f>'Inventory inputs'!R1040</x:f>
        <x:v>Classified</x:v>
      </x:c>
      <x:c r="AB1040" s="1" t="n">
        <x:f>IF(L1040=1,SUMIFS('Incoming POs'!$P$2:$P$305,'Incoming POs'!$A$2:$A$305,A1040,'Incoming POs'!$B$2:$B$305,B1040,'Incoming POs'!$C$2:$C$305,C1040,'Incoming POs'!$G$2:$G$305,"&gt;="&amp;D1040,'Incoming POs'!$G$2:$G$305,"&lt;"&amp;Dashboard!$I$5,'Incoming POs'!$Q$2:$Q$305,"&lt;="&amp;('Inventory inputs'!P1040/'Inventory inputs'!J1040*1.01)),"n.a.")</x:f>
        <x:v>0</x:v>
      </x:c>
      <x:c r="AC1040" s="9" t="n">
        <x:f>I1040*G1040</x:f>
        <x:v>0</x:v>
      </x:c>
      <x:c r="AD1040" s="9" t="n">
        <x:f>J1040*G1040</x:f>
        <x:v>0</x:v>
      </x:c>
      <x:c r="AE1040" s="9" t="n">
        <x:f>K1040*G1040</x:f>
        <x:v>0</x:v>
      </x:c>
      <x:c r="AF1040" s="9" t="n">
        <x:f>R1040*G1040</x:f>
        <x:v>0</x:v>
      </x:c>
    </x:row>
    <x:row r="1041" ht="21" customHeight="1">
      <x:c r="A1041" s="1" t="str">
        <x:f>'Inventory inputs'!A1041</x:f>
        <x:v>FILM</x:v>
      </x:c>
      <x:c r="B1041" s="1" t="str">
        <x:f>'Inventory inputs'!B1041</x:f>
        <x:v>30</x:v>
      </x:c>
      <x:c r="C1041" s="1" t="str">
        <x:f>'Inventory inputs'!C1041</x:f>
        <x:v>ST382503M3</x:v>
      </x:c>
      <x:c r="D1041" s="7" t="n">
        <x:f>'Inventory inputs'!E1041</x:f>
        <x:v>46304</x:v>
      </x:c>
      <x:c r="E1041" s="1" t="n">
        <x:f>'Inventory inputs'!F1041</x:f>
        <x:v>0</x:v>
      </x:c>
      <x:c r="F1041" s="1" t="n">
        <x:f>'Inventory inputs'!G1041</x:f>
        <x:v>0</x:v>
      </x:c>
      <x:c r="G1041" s="1" t="n">
        <x:f>'Inventory inputs'!H1041/'Inventory inputs'!J1041</x:f>
        <x:v>62.13</x:v>
      </x:c>
      <x:c r="H1041" s="1" t="n">
        <x:f>IF('Inventory inputs'!I1041&gt;0,'Inventory inputs'!I1041*'Inventory inputs'!K1041/'Inventory inputs'!J1041,"n.a.")</x:f>
        <x:v>74.56</x:v>
      </x:c>
      <x:c r="I1041" s="1" t="n">
        <x:f>'Inventory inputs'!L1041</x:f>
        <x:v>0</x:v>
      </x:c>
      <x:c r="J1041" s="1" t="n">
        <x:f>'Inventory inputs'!M1041</x:f>
        <x:v>0</x:v>
      </x:c>
      <x:c r="K1041" s="1" t="n">
        <x:f>'Inventory inputs'!N1041</x:f>
        <x:v>0</x:v>
      </x:c>
      <x:c r="L1041" s="1" t="n">
        <x:f>'Inventory inputs'!O1041</x:f>
        <x:v>1</x:v>
      </x:c>
      <x:c r="M1041" s="9" t="n">
        <x:f>E1041*G1041</x:f>
        <x:v>0</x:v>
      </x:c>
      <x:c r="N1041" s="9" t="n">
        <x:f>'Inventory inputs'!Q1041</x:f>
        <x:v>0</x:v>
      </x:c>
      <x:c r="O1041" s="9" t="n">
        <x:f>N1041-M1041</x:f>
        <x:v>0</x:v>
      </x:c>
      <x:c r="P1041" s="1" t="n">
        <x:f>SUMIFS('Incoming POs'!$P$2:$P$305,'Incoming POs'!$A$2:$A$305,A1041,'Incoming POs'!$B$2:$B$305,B1041,'Incoming POs'!$C$2:$C$305,C1041,'Incoming POs'!$G$2:$G$305,"&gt;="&amp;D1041,'Incoming POs'!$G$2:$G$305,"&lt;"&amp;Dashboard!$I$5)</x:f>
        <x:v>0</x:v>
      </x:c>
      <x:c r="Q1041" s="1" t="n">
        <x:f>F1041*Dashboard!$L$5*MAX(0,Dashboard!$I$5-D1041)/30.4375</x:f>
        <x:v>0</x:v>
      </x:c>
      <x:c r="R1041" s="1" t="n">
        <x:f>MAX(0,E1041+P1041-Q1041)</x:f>
        <x:v>0</x:v>
      </x:c>
      <x:c r="S1041" s="1" t="n">
        <x:f>MAX(0,Q1041-E1041-P1041)</x:f>
        <x:v>0</x:v>
      </x:c>
      <x:c r="T1041" s="1" t="n">
        <x:f>IF(L1041=1,MAX(0,I1041+AB1041-MIN(Q1041,E1041+P1041)),"n.a.")</x:f>
        <x:v>0</x:v>
      </x:c>
      <x:c r="U1041" s="9" t="n">
        <x:f>IF(ISNUMBER(T1041),T1041*G1041,"n.a.")</x:f>
        <x:v>0</x:v>
      </x:c>
      <x:c r="V1041" s="25" t="n">
        <x:f>IF(Dashboard!$I$6="Flat %",1,IF(ISNUMBER(H1041),1,0))</x:f>
        <x:v>1</x:v>
      </x:c>
      <x:c r="W1041" s="9" t="n">
        <x:f>IF(Dashboard!$I$6="Flat %",G1041*(1+Dashboard!$L$6),H1041)</x:f>
        <x:v>74.56</x:v>
      </x:c>
      <x:c r="X1041" s="9" t="n">
        <x:f>IF(V1041=1,R1041*(W1041-G1041),"n.a.")</x:f>
        <x:v>0</x:v>
      </x:c>
      <x:c r="Y1041" s="9" t="n">
        <x:f>IF(V1041=1,R1041*W1041,"n.a.")</x:f>
        <x:v>0</x:v>
      </x:c>
      <x:c r="Z1041" s="1" t="n">
        <x:f>IF(ISNUMBER(T1041),R1041-T1041,"n.a.")</x:f>
        <x:v>0</x:v>
      </x:c>
      <x:c r="AA1041" s="1" t="str">
        <x:f>'Inventory inputs'!R1041</x:f>
        <x:v>Classified</x:v>
      </x:c>
      <x:c r="AB1041" s="1" t="n">
        <x:f>IF(L1041=1,SUMIFS('Incoming POs'!$P$2:$P$305,'Incoming POs'!$A$2:$A$305,A1041,'Incoming POs'!$B$2:$B$305,B1041,'Incoming POs'!$C$2:$C$305,C1041,'Incoming POs'!$G$2:$G$305,"&gt;="&amp;D1041,'Incoming POs'!$G$2:$G$305,"&lt;"&amp;Dashboard!$I$5,'Incoming POs'!$Q$2:$Q$305,"&lt;="&amp;('Inventory inputs'!P1041/'Inventory inputs'!J1041*1.01)),"n.a.")</x:f>
        <x:v>0</x:v>
      </x:c>
      <x:c r="AC1041" s="9" t="n">
        <x:f>I1041*G1041</x:f>
        <x:v>0</x:v>
      </x:c>
      <x:c r="AD1041" s="9" t="n">
        <x:f>J1041*G1041</x:f>
        <x:v>0</x:v>
      </x:c>
      <x:c r="AE1041" s="9" t="n">
        <x:f>K1041*G1041</x:f>
        <x:v>0</x:v>
      </x:c>
      <x:c r="AF1041" s="9" t="n">
        <x:f>R1041*G1041</x:f>
        <x:v>0</x:v>
      </x:c>
    </x:row>
    <x:row r="1042" ht="21" customHeight="1">
      <x:c r="A1042" s="1" t="str">
        <x:f>'Inventory inputs'!A1042</x:f>
        <x:v>FILM</x:v>
      </x:c>
      <x:c r="B1042" s="1" t="str">
        <x:f>'Inventory inputs'!B1042</x:f>
        <x:v>30</x:v>
      </x:c>
      <x:c r="C1042" s="1" t="str">
        <x:f>'Inventory inputs'!C1042</x:f>
        <x:v>ST3850017M3</x:v>
      </x:c>
      <x:c r="D1042" s="7" t="n">
        <x:f>'Inventory inputs'!E1042</x:f>
        <x:v>46304</x:v>
      </x:c>
      <x:c r="E1042" s="1" t="n">
        <x:f>'Inventory inputs'!F1042</x:f>
        <x:v>36</x:v>
      </x:c>
      <x:c r="F1042" s="1" t="n">
        <x:f>'Inventory inputs'!G1042</x:f>
        <x:v>0</x:v>
      </x:c>
      <x:c r="G1042" s="1" t="n">
        <x:f>'Inventory inputs'!H1042/'Inventory inputs'!J1042</x:f>
        <x:v>95.76</x:v>
      </x:c>
      <x:c r="H1042" s="1" t="n">
        <x:f>IF('Inventory inputs'!I1042&gt;0,'Inventory inputs'!I1042*'Inventory inputs'!K1042/'Inventory inputs'!J1042,"n.a.")</x:f>
        <x:v>114.91</x:v>
      </x:c>
      <x:c r="I1042" s="1" t="n">
        <x:f>'Inventory inputs'!L1042</x:f>
        <x:v>36</x:v>
      </x:c>
      <x:c r="J1042" s="1" t="n">
        <x:f>'Inventory inputs'!M1042</x:f>
        <x:v>0</x:v>
      </x:c>
      <x:c r="K1042" s="1" t="n">
        <x:f>'Inventory inputs'!N1042</x:f>
        <x:v>0</x:v>
      </x:c>
      <x:c r="L1042" s="1" t="n">
        <x:f>'Inventory inputs'!O1042</x:f>
        <x:v>1</x:v>
      </x:c>
      <x:c r="M1042" s="9" t="n">
        <x:f>E1042*G1042</x:f>
        <x:v>3447.36</x:v>
      </x:c>
      <x:c r="N1042" s="9" t="n">
        <x:f>'Inventory inputs'!Q1042</x:f>
        <x:v>3447.36</x:v>
      </x:c>
      <x:c r="O1042" s="9" t="n">
        <x:f>N1042-M1042</x:f>
        <x:v>0</x:v>
      </x:c>
      <x:c r="P1042" s="1" t="n">
        <x:f>SUMIFS('Incoming POs'!$P$2:$P$305,'Incoming POs'!$A$2:$A$305,A1042,'Incoming POs'!$B$2:$B$305,B1042,'Incoming POs'!$C$2:$C$305,C1042,'Incoming POs'!$G$2:$G$305,"&gt;="&amp;D1042,'Incoming POs'!$G$2:$G$305,"&lt;"&amp;Dashboard!$I$5)</x:f>
        <x:v>0</x:v>
      </x:c>
      <x:c r="Q1042" s="1" t="n">
        <x:f>F1042*Dashboard!$L$5*MAX(0,Dashboard!$I$5-D1042)/30.4375</x:f>
        <x:v>0</x:v>
      </x:c>
      <x:c r="R1042" s="1" t="n">
        <x:f>MAX(0,E1042+P1042-Q1042)</x:f>
        <x:v>36</x:v>
      </x:c>
      <x:c r="S1042" s="1" t="n">
        <x:f>MAX(0,Q1042-E1042-P1042)</x:f>
        <x:v>0</x:v>
      </x:c>
      <x:c r="T1042" s="1" t="n">
        <x:f>IF(L1042=1,MAX(0,I1042+AB1042-MIN(Q1042,E1042+P1042)),"n.a.")</x:f>
        <x:v>36</x:v>
      </x:c>
      <x:c r="U1042" s="9" t="n">
        <x:f>IF(ISNUMBER(T1042),T1042*G1042,"n.a.")</x:f>
        <x:v>3447.36</x:v>
      </x:c>
      <x:c r="V1042" s="25" t="n">
        <x:f>IF(Dashboard!$I$6="Flat %",1,IF(ISNUMBER(H1042),1,0))</x:f>
        <x:v>1</x:v>
      </x:c>
      <x:c r="W1042" s="9" t="n">
        <x:f>IF(Dashboard!$I$6="Flat %",G1042*(1+Dashboard!$L$6),H1042)</x:f>
        <x:v>114.91</x:v>
      </x:c>
      <x:c r="X1042" s="9" t="n">
        <x:f>IF(V1042=1,R1042*(W1042-G1042),"n.a.")</x:f>
        <x:v>689.3999999999996</x:v>
      </x:c>
      <x:c r="Y1042" s="9" t="n">
        <x:f>IF(V1042=1,R1042*W1042,"n.a.")</x:f>
        <x:v>4136.76</x:v>
      </x:c>
      <x:c r="Z1042" s="1" t="n">
        <x:f>IF(ISNUMBER(T1042),R1042-T1042,"n.a.")</x:f>
        <x:v>0</x:v>
      </x:c>
      <x:c r="AA1042" s="1" t="str">
        <x:f>'Inventory inputs'!R1042</x:f>
        <x:v>Classified</x:v>
      </x:c>
      <x:c r="AB1042" s="1" t="n">
        <x:f>IF(L1042=1,SUMIFS('Incoming POs'!$P$2:$P$305,'Incoming POs'!$A$2:$A$305,A1042,'Incoming POs'!$B$2:$B$305,B1042,'Incoming POs'!$C$2:$C$305,C1042,'Incoming POs'!$G$2:$G$305,"&gt;="&amp;D1042,'Incoming POs'!$G$2:$G$305,"&lt;"&amp;Dashboard!$I$5,'Incoming POs'!$Q$2:$Q$305,"&lt;="&amp;('Inventory inputs'!P1042/'Inventory inputs'!J1042*1.01)),"n.a.")</x:f>
        <x:v>0</x:v>
      </x:c>
      <x:c r="AC1042" s="9" t="n">
        <x:f>I1042*G1042</x:f>
        <x:v>3447.36</x:v>
      </x:c>
      <x:c r="AD1042" s="9" t="n">
        <x:f>J1042*G1042</x:f>
        <x:v>0</x:v>
      </x:c>
      <x:c r="AE1042" s="9" t="n">
        <x:f>K1042*G1042</x:f>
        <x:v>0</x:v>
      </x:c>
      <x:c r="AF1042" s="9" t="n">
        <x:f>R1042*G1042</x:f>
        <x:v>3447.36</x:v>
      </x:c>
    </x:row>
    <x:row r="1043" ht="21" customHeight="1">
      <x:c r="A1043" s="1" t="str">
        <x:f>'Inventory inputs'!A1043</x:f>
        <x:v>FILM</x:v>
      </x:c>
      <x:c r="B1043" s="1" t="str">
        <x:f>'Inventory inputs'!B1043</x:f>
        <x:v>30</x:v>
      </x:c>
      <x:c r="C1043" s="1" t="str">
        <x:f>'Inventory inputs'!C1043</x:f>
        <x:v>ST432005M3</x:v>
      </x:c>
      <x:c r="D1043" s="7" t="n">
        <x:f>'Inventory inputs'!E1043</x:f>
        <x:v>46304</x:v>
      </x:c>
      <x:c r="E1043" s="1" t="n">
        <x:f>'Inventory inputs'!F1043</x:f>
        <x:v>0</x:v>
      </x:c>
      <x:c r="F1043" s="1" t="n">
        <x:f>'Inventory inputs'!G1043</x:f>
        <x:v>0</x:v>
      </x:c>
      <x:c r="G1043" s="1" t="n">
        <x:f>'Inventory inputs'!H1043/'Inventory inputs'!J1043</x:f>
        <x:v>86.58</x:v>
      </x:c>
      <x:c r="H1043" s="1" t="n">
        <x:f>IF('Inventory inputs'!I1043&gt;0,'Inventory inputs'!I1043*'Inventory inputs'!K1043/'Inventory inputs'!J1043,"n.a.")</x:f>
        <x:v>104.23</x:v>
      </x:c>
      <x:c r="I1043" s="1" t="n">
        <x:f>'Inventory inputs'!L1043</x:f>
        <x:v>0</x:v>
      </x:c>
      <x:c r="J1043" s="1" t="n">
        <x:f>'Inventory inputs'!M1043</x:f>
        <x:v>0</x:v>
      </x:c>
      <x:c r="K1043" s="1" t="n">
        <x:f>'Inventory inputs'!N1043</x:f>
        <x:v>0</x:v>
      </x:c>
      <x:c r="L1043" s="1" t="n">
        <x:f>'Inventory inputs'!O1043</x:f>
        <x:v>1</x:v>
      </x:c>
      <x:c r="M1043" s="9" t="n">
        <x:f>E1043*G1043</x:f>
        <x:v>0</x:v>
      </x:c>
      <x:c r="N1043" s="9" t="n">
        <x:f>'Inventory inputs'!Q1043</x:f>
        <x:v>0</x:v>
      </x:c>
      <x:c r="O1043" s="9" t="n">
        <x:f>N1043-M1043</x:f>
        <x:v>0</x:v>
      </x:c>
      <x:c r="P1043" s="1" t="n">
        <x:f>SUMIFS('Incoming POs'!$P$2:$P$305,'Incoming POs'!$A$2:$A$305,A1043,'Incoming POs'!$B$2:$B$305,B1043,'Incoming POs'!$C$2:$C$305,C1043,'Incoming POs'!$G$2:$G$305,"&gt;="&amp;D1043,'Incoming POs'!$G$2:$G$305,"&lt;"&amp;Dashboard!$I$5)</x:f>
        <x:v>0</x:v>
      </x:c>
      <x:c r="Q1043" s="1" t="n">
        <x:f>F1043*Dashboard!$L$5*MAX(0,Dashboard!$I$5-D1043)/30.4375</x:f>
        <x:v>0</x:v>
      </x:c>
      <x:c r="R1043" s="1" t="n">
        <x:f>MAX(0,E1043+P1043-Q1043)</x:f>
        <x:v>0</x:v>
      </x:c>
      <x:c r="S1043" s="1" t="n">
        <x:f>MAX(0,Q1043-E1043-P1043)</x:f>
        <x:v>0</x:v>
      </x:c>
      <x:c r="T1043" s="1" t="n">
        <x:f>IF(L1043=1,MAX(0,I1043+AB1043-MIN(Q1043,E1043+P1043)),"n.a.")</x:f>
        <x:v>0</x:v>
      </x:c>
      <x:c r="U1043" s="9" t="n">
        <x:f>IF(ISNUMBER(T1043),T1043*G1043,"n.a.")</x:f>
        <x:v>0</x:v>
      </x:c>
      <x:c r="V1043" s="25" t="n">
        <x:f>IF(Dashboard!$I$6="Flat %",1,IF(ISNUMBER(H1043),1,0))</x:f>
        <x:v>1</x:v>
      </x:c>
      <x:c r="W1043" s="9" t="n">
        <x:f>IF(Dashboard!$I$6="Flat %",G1043*(1+Dashboard!$L$6),H1043)</x:f>
        <x:v>104.23</x:v>
      </x:c>
      <x:c r="X1043" s="9" t="n">
        <x:f>IF(V1043=1,R1043*(W1043-G1043),"n.a.")</x:f>
        <x:v>0</x:v>
      </x:c>
      <x:c r="Y1043" s="9" t="n">
        <x:f>IF(V1043=1,R1043*W1043,"n.a.")</x:f>
        <x:v>0</x:v>
      </x:c>
      <x:c r="Z1043" s="1" t="n">
        <x:f>IF(ISNUMBER(T1043),R1043-T1043,"n.a.")</x:f>
        <x:v>0</x:v>
      </x:c>
      <x:c r="AA1043" s="1" t="str">
        <x:f>'Inventory inputs'!R1043</x:f>
        <x:v>Classified</x:v>
      </x:c>
      <x:c r="AB1043" s="1" t="n">
        <x:f>IF(L1043=1,SUMIFS('Incoming POs'!$P$2:$P$305,'Incoming POs'!$A$2:$A$305,A1043,'Incoming POs'!$B$2:$B$305,B1043,'Incoming POs'!$C$2:$C$305,C1043,'Incoming POs'!$G$2:$G$305,"&gt;="&amp;D1043,'Incoming POs'!$G$2:$G$305,"&lt;"&amp;Dashboard!$I$5,'Incoming POs'!$Q$2:$Q$305,"&lt;="&amp;('Inventory inputs'!P1043/'Inventory inputs'!J1043*1.01)),"n.a.")</x:f>
        <x:v>0</x:v>
      </x:c>
      <x:c r="AC1043" s="9" t="n">
        <x:f>I1043*G1043</x:f>
        <x:v>0</x:v>
      </x:c>
      <x:c r="AD1043" s="9" t="n">
        <x:f>J1043*G1043</x:f>
        <x:v>0</x:v>
      </x:c>
      <x:c r="AE1043" s="9" t="n">
        <x:f>K1043*G1043</x:f>
        <x:v>0</x:v>
      </x:c>
      <x:c r="AF1043" s="9" t="n">
        <x:f>R1043*G1043</x:f>
        <x:v>0</x:v>
      </x:c>
    </x:row>
    <x:row r="1044" ht="21" customHeight="1">
      <x:c r="A1044" s="1" t="str">
        <x:f>'Inventory inputs'!A1044</x:f>
        <x:v>FILM</x:v>
      </x:c>
      <x:c r="B1044" s="1" t="str">
        <x:f>'Inventory inputs'!B1044</x:f>
        <x:v>30</x:v>
      </x:c>
      <x:c r="C1044" s="1" t="str">
        <x:f>'Inventory inputs'!C1044</x:f>
        <x:v>ST432503M3</x:v>
      </x:c>
      <x:c r="D1044" s="7" t="n">
        <x:f>'Inventory inputs'!E1044</x:f>
        <x:v>46304</x:v>
      </x:c>
      <x:c r="E1044" s="1" t="n">
        <x:f>'Inventory inputs'!F1044</x:f>
        <x:v>0</x:v>
      </x:c>
      <x:c r="F1044" s="1" t="n">
        <x:f>'Inventory inputs'!G1044</x:f>
        <x:v>0</x:v>
      </x:c>
      <x:c r="G1044" s="1" t="n">
        <x:f>'Inventory inputs'!H1044/'Inventory inputs'!J1044</x:f>
        <x:v>70.31</x:v>
      </x:c>
      <x:c r="H1044" s="1" t="n">
        <x:f>IF('Inventory inputs'!I1044&gt;0,'Inventory inputs'!I1044*'Inventory inputs'!K1044/'Inventory inputs'!J1044,"n.a.")</x:f>
        <x:v>84.37</x:v>
      </x:c>
      <x:c r="I1044" s="1" t="n">
        <x:f>'Inventory inputs'!L1044</x:f>
        <x:v>0</x:v>
      </x:c>
      <x:c r="J1044" s="1" t="n">
        <x:f>'Inventory inputs'!M1044</x:f>
        <x:v>0</x:v>
      </x:c>
      <x:c r="K1044" s="1" t="n">
        <x:f>'Inventory inputs'!N1044</x:f>
        <x:v>0</x:v>
      </x:c>
      <x:c r="L1044" s="1" t="n">
        <x:f>'Inventory inputs'!O1044</x:f>
        <x:v>1</x:v>
      </x:c>
      <x:c r="M1044" s="9" t="n">
        <x:f>E1044*G1044</x:f>
        <x:v>0</x:v>
      </x:c>
      <x:c r="N1044" s="9" t="n">
        <x:f>'Inventory inputs'!Q1044</x:f>
        <x:v>0</x:v>
      </x:c>
      <x:c r="O1044" s="9" t="n">
        <x:f>N1044-M1044</x:f>
        <x:v>0</x:v>
      </x:c>
      <x:c r="P1044" s="1" t="n">
        <x:f>SUMIFS('Incoming POs'!$P$2:$P$305,'Incoming POs'!$A$2:$A$305,A1044,'Incoming POs'!$B$2:$B$305,B1044,'Incoming POs'!$C$2:$C$305,C1044,'Incoming POs'!$G$2:$G$305,"&gt;="&amp;D1044,'Incoming POs'!$G$2:$G$305,"&lt;"&amp;Dashboard!$I$5)</x:f>
        <x:v>0</x:v>
      </x:c>
      <x:c r="Q1044" s="1" t="n">
        <x:f>F1044*Dashboard!$L$5*MAX(0,Dashboard!$I$5-D1044)/30.4375</x:f>
        <x:v>0</x:v>
      </x:c>
      <x:c r="R1044" s="1" t="n">
        <x:f>MAX(0,E1044+P1044-Q1044)</x:f>
        <x:v>0</x:v>
      </x:c>
      <x:c r="S1044" s="1" t="n">
        <x:f>MAX(0,Q1044-E1044-P1044)</x:f>
        <x:v>0</x:v>
      </x:c>
      <x:c r="T1044" s="1" t="n">
        <x:f>IF(L1044=1,MAX(0,I1044+AB1044-MIN(Q1044,E1044+P1044)),"n.a.")</x:f>
        <x:v>0</x:v>
      </x:c>
      <x:c r="U1044" s="9" t="n">
        <x:f>IF(ISNUMBER(T1044),T1044*G1044,"n.a.")</x:f>
        <x:v>0</x:v>
      </x:c>
      <x:c r="V1044" s="25" t="n">
        <x:f>IF(Dashboard!$I$6="Flat %",1,IF(ISNUMBER(H1044),1,0))</x:f>
        <x:v>1</x:v>
      </x:c>
      <x:c r="W1044" s="9" t="n">
        <x:f>IF(Dashboard!$I$6="Flat %",G1044*(1+Dashboard!$L$6),H1044)</x:f>
        <x:v>84.37</x:v>
      </x:c>
      <x:c r="X1044" s="9" t="n">
        <x:f>IF(V1044=1,R1044*(W1044-G1044),"n.a.")</x:f>
        <x:v>0</x:v>
      </x:c>
      <x:c r="Y1044" s="9" t="n">
        <x:f>IF(V1044=1,R1044*W1044,"n.a.")</x:f>
        <x:v>0</x:v>
      </x:c>
      <x:c r="Z1044" s="1" t="n">
        <x:f>IF(ISNUMBER(T1044),R1044-T1044,"n.a.")</x:f>
        <x:v>0</x:v>
      </x:c>
      <x:c r="AA1044" s="1" t="str">
        <x:f>'Inventory inputs'!R1044</x:f>
        <x:v>Classified</x:v>
      </x:c>
      <x:c r="AB1044" s="1" t="n">
        <x:f>IF(L1044=1,SUMIFS('Incoming POs'!$P$2:$P$305,'Incoming POs'!$A$2:$A$305,A1044,'Incoming POs'!$B$2:$B$305,B1044,'Incoming POs'!$C$2:$C$305,C1044,'Incoming POs'!$G$2:$G$305,"&gt;="&amp;D1044,'Incoming POs'!$G$2:$G$305,"&lt;"&amp;Dashboard!$I$5,'Incoming POs'!$Q$2:$Q$305,"&lt;="&amp;('Inventory inputs'!P1044/'Inventory inputs'!J1044*1.01)),"n.a.")</x:f>
        <x:v>0</x:v>
      </x:c>
      <x:c r="AC1044" s="9" t="n">
        <x:f>I1044*G1044</x:f>
        <x:v>0</x:v>
      </x:c>
      <x:c r="AD1044" s="9" t="n">
        <x:f>J1044*G1044</x:f>
        <x:v>0</x:v>
      </x:c>
      <x:c r="AE1044" s="9" t="n">
        <x:f>K1044*G1044</x:f>
        <x:v>0</x:v>
      </x:c>
      <x:c r="AF1044" s="9" t="n">
        <x:f>R1044*G1044</x:f>
        <x:v>0</x:v>
      </x:c>
    </x:row>
    <x:row r="1045" ht="21" customHeight="1">
      <x:c r="A1045" s="1" t="str">
        <x:f>'Inventory inputs'!A1045</x:f>
        <x:v>FILM</x:v>
      </x:c>
      <x:c r="B1045" s="1" t="str">
        <x:f>'Inventory inputs'!B1045</x:f>
        <x:v>30</x:v>
      </x:c>
      <x:c r="C1045" s="1" t="str">
        <x:f>'Inventory inputs'!C1045</x:f>
        <x:v>ST4350017M3</x:v>
      </x:c>
      <x:c r="D1045" s="7" t="n">
        <x:f>'Inventory inputs'!E1045</x:f>
        <x:v>46304</x:v>
      </x:c>
      <x:c r="E1045" s="1" t="n">
        <x:f>'Inventory inputs'!F1045</x:f>
        <x:v>0</x:v>
      </x:c>
      <x:c r="F1045" s="1" t="n">
        <x:f>'Inventory inputs'!G1045</x:f>
        <x:v>0</x:v>
      </x:c>
      <x:c r="G1045" s="1" t="n">
        <x:f>'Inventory inputs'!H1045/'Inventory inputs'!J1045</x:f>
        <x:v>108.36</x:v>
      </x:c>
      <x:c r="H1045" s="1" t="n">
        <x:f>IF('Inventory inputs'!I1045&gt;0,'Inventory inputs'!I1045*'Inventory inputs'!K1045/'Inventory inputs'!J1045,"n.a.")</x:f>
        <x:v>130.03</x:v>
      </x:c>
      <x:c r="I1045" s="1" t="n">
        <x:f>'Inventory inputs'!L1045</x:f>
        <x:v>0</x:v>
      </x:c>
      <x:c r="J1045" s="1" t="n">
        <x:f>'Inventory inputs'!M1045</x:f>
        <x:v>0</x:v>
      </x:c>
      <x:c r="K1045" s="1" t="n">
        <x:f>'Inventory inputs'!N1045</x:f>
        <x:v>0</x:v>
      </x:c>
      <x:c r="L1045" s="1" t="n">
        <x:f>'Inventory inputs'!O1045</x:f>
        <x:v>1</x:v>
      </x:c>
      <x:c r="M1045" s="9" t="n">
        <x:f>E1045*G1045</x:f>
        <x:v>0</x:v>
      </x:c>
      <x:c r="N1045" s="9" t="n">
        <x:f>'Inventory inputs'!Q1045</x:f>
        <x:v>0</x:v>
      </x:c>
      <x:c r="O1045" s="9" t="n">
        <x:f>N1045-M1045</x:f>
        <x:v>0</x:v>
      </x:c>
      <x:c r="P1045" s="1" t="n">
        <x:f>SUMIFS('Incoming POs'!$P$2:$P$305,'Incoming POs'!$A$2:$A$305,A1045,'Incoming POs'!$B$2:$B$305,B1045,'Incoming POs'!$C$2:$C$305,C1045,'Incoming POs'!$G$2:$G$305,"&gt;="&amp;D1045,'Incoming POs'!$G$2:$G$305,"&lt;"&amp;Dashboard!$I$5)</x:f>
        <x:v>0</x:v>
      </x:c>
      <x:c r="Q1045" s="1" t="n">
        <x:f>F1045*Dashboard!$L$5*MAX(0,Dashboard!$I$5-D1045)/30.4375</x:f>
        <x:v>0</x:v>
      </x:c>
      <x:c r="R1045" s="1" t="n">
        <x:f>MAX(0,E1045+P1045-Q1045)</x:f>
        <x:v>0</x:v>
      </x:c>
      <x:c r="S1045" s="1" t="n">
        <x:f>MAX(0,Q1045-E1045-P1045)</x:f>
        <x:v>0</x:v>
      </x:c>
      <x:c r="T1045" s="1" t="n">
        <x:f>IF(L1045=1,MAX(0,I1045+AB1045-MIN(Q1045,E1045+P1045)),"n.a.")</x:f>
        <x:v>0</x:v>
      </x:c>
      <x:c r="U1045" s="9" t="n">
        <x:f>IF(ISNUMBER(T1045),T1045*G1045,"n.a.")</x:f>
        <x:v>0</x:v>
      </x:c>
      <x:c r="V1045" s="25" t="n">
        <x:f>IF(Dashboard!$I$6="Flat %",1,IF(ISNUMBER(H1045),1,0))</x:f>
        <x:v>1</x:v>
      </x:c>
      <x:c r="W1045" s="9" t="n">
        <x:f>IF(Dashboard!$I$6="Flat %",G1045*(1+Dashboard!$L$6),H1045)</x:f>
        <x:v>130.03</x:v>
      </x:c>
      <x:c r="X1045" s="9" t="n">
        <x:f>IF(V1045=1,R1045*(W1045-G1045),"n.a.")</x:f>
        <x:v>0</x:v>
      </x:c>
      <x:c r="Y1045" s="9" t="n">
        <x:f>IF(V1045=1,R1045*W1045,"n.a.")</x:f>
        <x:v>0</x:v>
      </x:c>
      <x:c r="Z1045" s="1" t="n">
        <x:f>IF(ISNUMBER(T1045),R1045-T1045,"n.a.")</x:f>
        <x:v>0</x:v>
      </x:c>
      <x:c r="AA1045" s="1" t="str">
        <x:f>'Inventory inputs'!R1045</x:f>
        <x:v>Classified</x:v>
      </x:c>
      <x:c r="AB1045" s="1" t="n">
        <x:f>IF(L1045=1,SUMIFS('Incoming POs'!$P$2:$P$305,'Incoming POs'!$A$2:$A$305,A1045,'Incoming POs'!$B$2:$B$305,B1045,'Incoming POs'!$C$2:$C$305,C1045,'Incoming POs'!$G$2:$G$305,"&gt;="&amp;D1045,'Incoming POs'!$G$2:$G$305,"&lt;"&amp;Dashboard!$I$5,'Incoming POs'!$Q$2:$Q$305,"&lt;="&amp;('Inventory inputs'!P1045/'Inventory inputs'!J1045*1.01)),"n.a.")</x:f>
        <x:v>0</x:v>
      </x:c>
      <x:c r="AC1045" s="9" t="n">
        <x:f>I1045*G1045</x:f>
        <x:v>0</x:v>
      </x:c>
      <x:c r="AD1045" s="9" t="n">
        <x:f>J1045*G1045</x:f>
        <x:v>0</x:v>
      </x:c>
      <x:c r="AE1045" s="9" t="n">
        <x:f>K1045*G1045</x:f>
        <x:v>0</x:v>
      </x:c>
      <x:c r="AF1045" s="9" t="n">
        <x:f>R1045*G1045</x:f>
        <x:v>0</x:v>
      </x:c>
    </x:row>
    <x:row r="1046" ht="21" customHeight="1">
      <x:c r="A1046" s="1" t="str">
        <x:f>'Inventory inputs'!A1046</x:f>
        <x:v>FILM</x:v>
      </x:c>
      <x:c r="B1046" s="1" t="str">
        <x:f>'Inventory inputs'!B1046</x:f>
        <x:v>60</x:v>
      </x:c>
      <x:c r="C1046" s="1" t="str">
        <x:f>'Inventory inputs'!C1046</x:f>
        <x:v>125005C2</x:v>
      </x:c>
      <x:c r="D1046" s="7" t="n">
        <x:f>'Inventory inputs'!E1046</x:f>
        <x:v>46304</x:v>
      </x:c>
      <x:c r="E1046" s="1" t="n">
        <x:f>'Inventory inputs'!F1046</x:f>
        <x:v>37</x:v>
      </x:c>
      <x:c r="F1046" s="1" t="n">
        <x:f>'Inventory inputs'!G1046</x:f>
        <x:v>0</x:v>
      </x:c>
      <x:c r="G1046" s="1" t="n">
        <x:f>'Inventory inputs'!H1046/'Inventory inputs'!J1046</x:f>
        <x:v>25.42</x:v>
      </x:c>
      <x:c r="H1046" s="1" t="n">
        <x:f>IF('Inventory inputs'!I1046&gt;0,'Inventory inputs'!I1046*'Inventory inputs'!K1046/'Inventory inputs'!J1046,"n.a.")</x:f>
        <x:v>30.53</x:v>
      </x:c>
      <x:c r="I1046" s="1" t="n">
        <x:f>'Inventory inputs'!L1046</x:f>
        <x:v>0</x:v>
      </x:c>
      <x:c r="J1046" s="1" t="n">
        <x:f>'Inventory inputs'!M1046</x:f>
        <x:v>0</x:v>
      </x:c>
      <x:c r="K1046" s="1" t="n">
        <x:f>'Inventory inputs'!N1046</x:f>
        <x:v>37</x:v>
      </x:c>
      <x:c r="L1046" s="1" t="n">
        <x:f>'Inventory inputs'!O1046</x:f>
        <x:v>0</x:v>
      </x:c>
      <x:c r="M1046" s="9" t="n">
        <x:f>E1046*G1046</x:f>
        <x:v>940.5400000000001</x:v>
      </x:c>
      <x:c r="N1046" s="9" t="n">
        <x:f>'Inventory inputs'!Q1046</x:f>
        <x:v>940.5400000000001</x:v>
      </x:c>
      <x:c r="O1046" s="9" t="n">
        <x:f>N1046-M1046</x:f>
        <x:v>0</x:v>
      </x:c>
      <x:c r="P1046" s="1" t="n">
        <x:f>SUMIFS('Incoming POs'!$P$2:$P$305,'Incoming POs'!$A$2:$A$305,A1046,'Incoming POs'!$B$2:$B$305,B1046,'Incoming POs'!$C$2:$C$305,C1046,'Incoming POs'!$G$2:$G$305,"&gt;="&amp;D1046,'Incoming POs'!$G$2:$G$305,"&lt;"&amp;Dashboard!$I$5)</x:f>
        <x:v>0</x:v>
      </x:c>
      <x:c r="Q1046" s="1" t="n">
        <x:f>F1046*Dashboard!$L$5*MAX(0,Dashboard!$I$5-D1046)/30.4375</x:f>
        <x:v>0</x:v>
      </x:c>
      <x:c r="R1046" s="1" t="n">
        <x:f>MAX(0,E1046+P1046-Q1046)</x:f>
        <x:v>37</x:v>
      </x:c>
      <x:c r="S1046" s="1" t="n">
        <x:f>MAX(0,Q1046-E1046-P1046)</x:f>
        <x:v>0</x:v>
      </x:c>
      <x:c r="T1046" s="1" t="str">
        <x:f>IF(L1046=1,MAX(0,I1046+AB1046-MIN(Q1046,E1046+P1046)),"n.a.")</x:f>
        <x:v>n.a.</x:v>
      </x:c>
      <x:c r="U1046" s="9" t="str">
        <x:f>IF(ISNUMBER(T1046),T1046*G1046,"n.a.")</x:f>
        <x:v>n.a.</x:v>
      </x:c>
      <x:c r="V1046" s="25" t="n">
        <x:f>IF(Dashboard!$I$6="Flat %",1,IF(ISNUMBER(H1046),1,0))</x:f>
        <x:v>1</x:v>
      </x:c>
      <x:c r="W1046" s="9" t="n">
        <x:f>IF(Dashboard!$I$6="Flat %",G1046*(1+Dashboard!$L$6),H1046)</x:f>
        <x:v>30.53</x:v>
      </x:c>
      <x:c r="X1046" s="9" t="n">
        <x:f>IF(V1046=1,R1046*(W1046-G1046),"n.a.")</x:f>
        <x:v>189.07</x:v>
      </x:c>
      <x:c r="Y1046" s="9" t="n">
        <x:f>IF(V1046=1,R1046*W1046,"n.a.")</x:f>
        <x:v>1129.6100000000001</x:v>
      </x:c>
      <x:c r="Z1046" s="1" t="str">
        <x:f>IF(ISNUMBER(T1046),R1046-T1046,"n.a.")</x:f>
        <x:v>n.a.</x:v>
      </x:c>
      <x:c r="AA1046" s="1" t="str">
        <x:f>'Inventory inputs'!R1046</x:f>
        <x:v>Review receipt reconciliation or original PO baseline</x:v>
      </x:c>
      <x:c r="AB1046" s="1" t="str">
        <x:f>IF(L1046=1,SUMIFS('Incoming POs'!$P$2:$P$305,'Incoming POs'!$A$2:$A$305,A1046,'Incoming POs'!$B$2:$B$305,B1046,'Incoming POs'!$C$2:$C$305,C1046,'Incoming POs'!$G$2:$G$305,"&gt;="&amp;D1046,'Incoming POs'!$G$2:$G$305,"&lt;"&amp;Dashboard!$I$5,'Incoming POs'!$Q$2:$Q$305,"&lt;="&amp;('Inventory inputs'!P1046/'Inventory inputs'!J1046*1.01)),"n.a.")</x:f>
        <x:v>n.a.</x:v>
      </x:c>
      <x:c r="AC1046" s="9" t="n">
        <x:f>I1046*G1046</x:f>
        <x:v>0</x:v>
      </x:c>
      <x:c r="AD1046" s="9" t="n">
        <x:f>J1046*G1046</x:f>
        <x:v>0</x:v>
      </x:c>
      <x:c r="AE1046" s="9" t="n">
        <x:f>K1046*G1046</x:f>
        <x:v>940.5400000000001</x:v>
      </x:c>
      <x:c r="AF1046" s="9" t="n">
        <x:f>R1046*G1046</x:f>
        <x:v>940.5400000000001</x:v>
      </x:c>
    </x:row>
    <x:row r="1047" ht="21" customHeight="1">
      <x:c r="A1047" s="1" t="str">
        <x:f>'Inventory inputs'!A1047</x:f>
        <x:v>FILM</x:v>
      </x:c>
      <x:c r="B1047" s="1" t="str">
        <x:f>'Inventory inputs'!B1047</x:f>
        <x:v>60</x:v>
      </x:c>
      <x:c r="C1047" s="1" t="str">
        <x:f>'Inventory inputs'!C1047</x:f>
        <x:v>1810005C3</x:v>
      </x:c>
      <x:c r="D1047" s="7" t="n">
        <x:f>'Inventory inputs'!E1047</x:f>
        <x:v>46304</x:v>
      </x:c>
      <x:c r="E1047" s="1" t="n">
        <x:f>'Inventory inputs'!F1047</x:f>
        <x:v>32</x:v>
      </x:c>
      <x:c r="F1047" s="1" t="n">
        <x:f>'Inventory inputs'!G1047</x:f>
        <x:v>0</x:v>
      </x:c>
      <x:c r="G1047" s="1" t="n">
        <x:f>'Inventory inputs'!H1047/'Inventory inputs'!J1047</x:f>
        <x:v>76.25</x:v>
      </x:c>
      <x:c r="H1047" s="1" t="n">
        <x:f>IF('Inventory inputs'!I1047&gt;0,'Inventory inputs'!I1047*'Inventory inputs'!K1047/'Inventory inputs'!J1047,"n.a.")</x:f>
        <x:v>91.58</x:v>
      </x:c>
      <x:c r="I1047" s="1" t="n">
        <x:f>'Inventory inputs'!L1047</x:f>
        <x:v>32</x:v>
      </x:c>
      <x:c r="J1047" s="1" t="n">
        <x:f>'Inventory inputs'!M1047</x:f>
        <x:v>0</x:v>
      </x:c>
      <x:c r="K1047" s="1" t="n">
        <x:f>'Inventory inputs'!N1047</x:f>
        <x:v>0</x:v>
      </x:c>
      <x:c r="L1047" s="1" t="n">
        <x:f>'Inventory inputs'!O1047</x:f>
        <x:v>1</x:v>
      </x:c>
      <x:c r="M1047" s="9" t="n">
        <x:f>E1047*G1047</x:f>
        <x:v>2440</x:v>
      </x:c>
      <x:c r="N1047" s="9" t="n">
        <x:f>'Inventory inputs'!Q1047</x:f>
        <x:v>2440</x:v>
      </x:c>
      <x:c r="O1047" s="9" t="n">
        <x:f>N1047-M1047</x:f>
        <x:v>0</x:v>
      </x:c>
      <x:c r="P1047" s="1" t="n">
        <x:f>SUMIFS('Incoming POs'!$P$2:$P$305,'Incoming POs'!$A$2:$A$305,A1047,'Incoming POs'!$B$2:$B$305,B1047,'Incoming POs'!$C$2:$C$305,C1047,'Incoming POs'!$G$2:$G$305,"&gt;="&amp;D1047,'Incoming POs'!$G$2:$G$305,"&lt;"&amp;Dashboard!$I$5)</x:f>
        <x:v>0</x:v>
      </x:c>
      <x:c r="Q1047" s="1" t="n">
        <x:f>F1047*Dashboard!$L$5*MAX(0,Dashboard!$I$5-D1047)/30.4375</x:f>
        <x:v>0</x:v>
      </x:c>
      <x:c r="R1047" s="1" t="n">
        <x:f>MAX(0,E1047+P1047-Q1047)</x:f>
        <x:v>32</x:v>
      </x:c>
      <x:c r="S1047" s="1" t="n">
        <x:f>MAX(0,Q1047-E1047-P1047)</x:f>
        <x:v>0</x:v>
      </x:c>
      <x:c r="T1047" s="1" t="n">
        <x:f>IF(L1047=1,MAX(0,I1047+AB1047-MIN(Q1047,E1047+P1047)),"n.a.")</x:f>
        <x:v>32</x:v>
      </x:c>
      <x:c r="U1047" s="9" t="n">
        <x:f>IF(ISNUMBER(T1047),T1047*G1047,"n.a.")</x:f>
        <x:v>2440</x:v>
      </x:c>
      <x:c r="V1047" s="25" t="n">
        <x:f>IF(Dashboard!$I$6="Flat %",1,IF(ISNUMBER(H1047),1,0))</x:f>
        <x:v>1</x:v>
      </x:c>
      <x:c r="W1047" s="9" t="n">
        <x:f>IF(Dashboard!$I$6="Flat %",G1047*(1+Dashboard!$L$6),H1047)</x:f>
        <x:v>91.58</x:v>
      </x:c>
      <x:c r="X1047" s="9" t="n">
        <x:f>IF(V1047=1,R1047*(W1047-G1047),"n.a.")</x:f>
        <x:v>490.55999999999995</x:v>
      </x:c>
      <x:c r="Y1047" s="9" t="n">
        <x:f>IF(V1047=1,R1047*W1047,"n.a.")</x:f>
        <x:v>2930.56</x:v>
      </x:c>
      <x:c r="Z1047" s="1" t="n">
        <x:f>IF(ISNUMBER(T1047),R1047-T1047,"n.a.")</x:f>
        <x:v>0</x:v>
      </x:c>
      <x:c r="AA1047" s="1" t="str">
        <x:f>'Inventory inputs'!R1047</x:f>
        <x:v>Classified</x:v>
      </x:c>
      <x:c r="AB1047" s="1" t="n">
        <x:f>IF(L1047=1,SUMIFS('Incoming POs'!$P$2:$P$305,'Incoming POs'!$A$2:$A$305,A1047,'Incoming POs'!$B$2:$B$305,B1047,'Incoming POs'!$C$2:$C$305,C1047,'Incoming POs'!$G$2:$G$305,"&gt;="&amp;D1047,'Incoming POs'!$G$2:$G$305,"&lt;"&amp;Dashboard!$I$5,'Incoming POs'!$Q$2:$Q$305,"&lt;="&amp;('Inventory inputs'!P1047/'Inventory inputs'!J1047*1.01)),"n.a.")</x:f>
        <x:v>0</x:v>
      </x:c>
      <x:c r="AC1047" s="9" t="n">
        <x:f>I1047*G1047</x:f>
        <x:v>2440</x:v>
      </x:c>
      <x:c r="AD1047" s="9" t="n">
        <x:f>J1047*G1047</x:f>
        <x:v>0</x:v>
      </x:c>
      <x:c r="AE1047" s="9" t="n">
        <x:f>K1047*G1047</x:f>
        <x:v>0</x:v>
      </x:c>
      <x:c r="AF1047" s="9" t="n">
        <x:f>R1047*G1047</x:f>
        <x:v>2440</x:v>
      </x:c>
    </x:row>
    <x:row r="1048" ht="21" customHeight="1">
      <x:c r="A1048" s="1" t="str">
        <x:f>'Inventory inputs'!A1048</x:f>
        <x:v>FILM</x:v>
      </x:c>
      <x:c r="B1048" s="1" t="str">
        <x:f>'Inventory inputs'!B1048</x:f>
        <x:v>60</x:v>
      </x:c>
      <x:c r="C1048" s="1" t="str">
        <x:f>'Inventory inputs'!C1048</x:f>
        <x:v>1850010C3</x:v>
      </x:c>
      <x:c r="D1048" s="7" t="n">
        <x:f>'Inventory inputs'!E1048</x:f>
        <x:v>46304</x:v>
      </x:c>
      <x:c r="E1048" s="1" t="n">
        <x:f>'Inventory inputs'!F1048</x:f>
        <x:v>0</x:v>
      </x:c>
      <x:c r="F1048" s="1" t="n">
        <x:f>'Inventory inputs'!G1048</x:f>
        <x:v>0</x:v>
      </x:c>
      <x:c r="G1048" s="1" t="n">
        <x:f>'Inventory inputs'!H1048/'Inventory inputs'!J1048</x:f>
        <x:v>85.32</x:v>
      </x:c>
      <x:c r="H1048" s="1" t="n">
        <x:f>IF('Inventory inputs'!I1048&gt;0,'Inventory inputs'!I1048*'Inventory inputs'!K1048/'Inventory inputs'!J1048,"n.a.")</x:f>
        <x:v>102.38</x:v>
      </x:c>
      <x:c r="I1048" s="1" t="n">
        <x:f>'Inventory inputs'!L1048</x:f>
        <x:v>0</x:v>
      </x:c>
      <x:c r="J1048" s="1" t="n">
        <x:f>'Inventory inputs'!M1048</x:f>
        <x:v>0</x:v>
      </x:c>
      <x:c r="K1048" s="1" t="n">
        <x:f>'Inventory inputs'!N1048</x:f>
        <x:v>0</x:v>
      </x:c>
      <x:c r="L1048" s="1" t="n">
        <x:f>'Inventory inputs'!O1048</x:f>
        <x:v>1</x:v>
      </x:c>
      <x:c r="M1048" s="9" t="n">
        <x:f>E1048*G1048</x:f>
        <x:v>0</x:v>
      </x:c>
      <x:c r="N1048" s="9" t="n">
        <x:f>'Inventory inputs'!Q1048</x:f>
        <x:v>0</x:v>
      </x:c>
      <x:c r="O1048" s="9" t="n">
        <x:f>N1048-M1048</x:f>
        <x:v>0</x:v>
      </x:c>
      <x:c r="P1048" s="1" t="n">
        <x:f>SUMIFS('Incoming POs'!$P$2:$P$305,'Incoming POs'!$A$2:$A$305,A1048,'Incoming POs'!$B$2:$B$305,B1048,'Incoming POs'!$C$2:$C$305,C1048,'Incoming POs'!$G$2:$G$305,"&gt;="&amp;D1048,'Incoming POs'!$G$2:$G$305,"&lt;"&amp;Dashboard!$I$5)</x:f>
        <x:v>0</x:v>
      </x:c>
      <x:c r="Q1048" s="1" t="n">
        <x:f>F1048*Dashboard!$L$5*MAX(0,Dashboard!$I$5-D1048)/30.4375</x:f>
        <x:v>0</x:v>
      </x:c>
      <x:c r="R1048" s="1" t="n">
        <x:f>MAX(0,E1048+P1048-Q1048)</x:f>
        <x:v>0</x:v>
      </x:c>
      <x:c r="S1048" s="1" t="n">
        <x:f>MAX(0,Q1048-E1048-P1048)</x:f>
        <x:v>0</x:v>
      </x:c>
      <x:c r="T1048" s="1" t="n">
        <x:f>IF(L1048=1,MAX(0,I1048+AB1048-MIN(Q1048,E1048+P1048)),"n.a.")</x:f>
        <x:v>0</x:v>
      </x:c>
      <x:c r="U1048" s="9" t="n">
        <x:f>IF(ISNUMBER(T1048),T1048*G1048,"n.a.")</x:f>
        <x:v>0</x:v>
      </x:c>
      <x:c r="V1048" s="25" t="n">
        <x:f>IF(Dashboard!$I$6="Flat %",1,IF(ISNUMBER(H1048),1,0))</x:f>
        <x:v>1</x:v>
      </x:c>
      <x:c r="W1048" s="9" t="n">
        <x:f>IF(Dashboard!$I$6="Flat %",G1048*(1+Dashboard!$L$6),H1048)</x:f>
        <x:v>102.38</x:v>
      </x:c>
      <x:c r="X1048" s="9" t="n">
        <x:f>IF(V1048=1,R1048*(W1048-G1048),"n.a.")</x:f>
        <x:v>0</x:v>
      </x:c>
      <x:c r="Y1048" s="9" t="n">
        <x:f>IF(V1048=1,R1048*W1048,"n.a.")</x:f>
        <x:v>0</x:v>
      </x:c>
      <x:c r="Z1048" s="1" t="n">
        <x:f>IF(ISNUMBER(T1048),R1048-T1048,"n.a.")</x:f>
        <x:v>0</x:v>
      </x:c>
      <x:c r="AA1048" s="1" t="str">
        <x:f>'Inventory inputs'!R1048</x:f>
        <x:v>Classified</x:v>
      </x:c>
      <x:c r="AB1048" s="1" t="n">
        <x:f>IF(L1048=1,SUMIFS('Incoming POs'!$P$2:$P$305,'Incoming POs'!$A$2:$A$305,A1048,'Incoming POs'!$B$2:$B$305,B1048,'Incoming POs'!$C$2:$C$305,C1048,'Incoming POs'!$G$2:$G$305,"&gt;="&amp;D1048,'Incoming POs'!$G$2:$G$305,"&lt;"&amp;Dashboard!$I$5,'Incoming POs'!$Q$2:$Q$305,"&lt;="&amp;('Inventory inputs'!P1048/'Inventory inputs'!J1048*1.01)),"n.a.")</x:f>
        <x:v>0</x:v>
      </x:c>
      <x:c r="AC1048" s="9" t="n">
        <x:f>I1048*G1048</x:f>
        <x:v>0</x:v>
      </x:c>
      <x:c r="AD1048" s="9" t="n">
        <x:f>J1048*G1048</x:f>
        <x:v>0</x:v>
      </x:c>
      <x:c r="AE1048" s="9" t="n">
        <x:f>K1048*G1048</x:f>
        <x:v>0</x:v>
      </x:c>
      <x:c r="AF1048" s="9" t="n">
        <x:f>R1048*G1048</x:f>
        <x:v>0</x:v>
      </x:c>
    </x:row>
    <x:row r="1049" ht="21" customHeight="1">
      <x:c r="A1049" s="1" t="str">
        <x:f>'Inventory inputs'!A1049</x:f>
        <x:v>FILM</x:v>
      </x:c>
      <x:c r="B1049" s="1" t="str">
        <x:f>'Inventory inputs'!B1049</x:f>
        <x:v>60</x:v>
      </x:c>
      <x:c r="C1049" s="1" t="str">
        <x:f>'Inventory inputs'!C1049</x:f>
        <x:v>1850015C1</x:v>
      </x:c>
      <x:c r="D1049" s="7" t="n">
        <x:f>'Inventory inputs'!E1049</x:f>
        <x:v>46304</x:v>
      </x:c>
      <x:c r="E1049" s="1" t="n">
        <x:f>'Inventory inputs'!F1049</x:f>
        <x:v>219</x:v>
      </x:c>
      <x:c r="F1049" s="1" t="n">
        <x:f>'Inventory inputs'!G1049</x:f>
        <x:v>0</x:v>
      </x:c>
      <x:c r="G1049" s="1" t="n">
        <x:f>'Inventory inputs'!H1049/'Inventory inputs'!J1049</x:f>
        <x:v>9.72</x:v>
      </x:c>
      <x:c r="H1049" s="1" t="n">
        <x:f>IF('Inventory inputs'!I1049&gt;0,'Inventory inputs'!I1049*'Inventory inputs'!K1049/'Inventory inputs'!J1049,"n.a.")</x:f>
        <x:v>11.66</x:v>
      </x:c>
      <x:c r="I1049" s="1" t="n">
        <x:f>'Inventory inputs'!L1049</x:f>
        <x:v>219</x:v>
      </x:c>
      <x:c r="J1049" s="1" t="n">
        <x:f>'Inventory inputs'!M1049</x:f>
        <x:v>0</x:v>
      </x:c>
      <x:c r="K1049" s="1" t="n">
        <x:f>'Inventory inputs'!N1049</x:f>
        <x:v>0</x:v>
      </x:c>
      <x:c r="L1049" s="1" t="n">
        <x:f>'Inventory inputs'!O1049</x:f>
        <x:v>1</x:v>
      </x:c>
      <x:c r="M1049" s="9" t="n">
        <x:f>E1049*G1049</x:f>
        <x:v>2128.6800000000003</x:v>
      </x:c>
      <x:c r="N1049" s="9" t="n">
        <x:f>'Inventory inputs'!Q1049</x:f>
        <x:v>2148.1200000000003</x:v>
      </x:c>
      <x:c r="O1049" s="9" t="n">
        <x:f>N1049-M1049</x:f>
        <x:v>19.440000000000055</x:v>
      </x:c>
      <x:c r="P1049" s="1" t="n">
        <x:f>SUMIFS('Incoming POs'!$P$2:$P$305,'Incoming POs'!$A$2:$A$305,A1049,'Incoming POs'!$B$2:$B$305,B1049,'Incoming POs'!$C$2:$C$305,C1049,'Incoming POs'!$G$2:$G$305,"&gt;="&amp;D1049,'Incoming POs'!$G$2:$G$305,"&lt;"&amp;Dashboard!$I$5)</x:f>
        <x:v>0</x:v>
      </x:c>
      <x:c r="Q1049" s="1" t="n">
        <x:f>F1049*Dashboard!$L$5*MAX(0,Dashboard!$I$5-D1049)/30.4375</x:f>
        <x:v>0</x:v>
      </x:c>
      <x:c r="R1049" s="1" t="n">
        <x:f>MAX(0,E1049+P1049-Q1049)</x:f>
        <x:v>219</x:v>
      </x:c>
      <x:c r="S1049" s="1" t="n">
        <x:f>MAX(0,Q1049-E1049-P1049)</x:f>
        <x:v>0</x:v>
      </x:c>
      <x:c r="T1049" s="1" t="n">
        <x:f>IF(L1049=1,MAX(0,I1049+AB1049-MIN(Q1049,E1049+P1049)),"n.a.")</x:f>
        <x:v>219</x:v>
      </x:c>
      <x:c r="U1049" s="9" t="n">
        <x:f>IF(ISNUMBER(T1049),T1049*G1049,"n.a.")</x:f>
        <x:v>2128.6800000000003</x:v>
      </x:c>
      <x:c r="V1049" s="25" t="n">
        <x:f>IF(Dashboard!$I$6="Flat %",1,IF(ISNUMBER(H1049),1,0))</x:f>
        <x:v>1</x:v>
      </x:c>
      <x:c r="W1049" s="9" t="n">
        <x:f>IF(Dashboard!$I$6="Flat %",G1049*(1+Dashboard!$L$6),H1049)</x:f>
        <x:v>11.66</x:v>
      </x:c>
      <x:c r="X1049" s="9" t="n">
        <x:f>IF(V1049=1,R1049*(W1049-G1049),"n.a.")</x:f>
        <x:v>424.8599999999999</x:v>
      </x:c>
      <x:c r="Y1049" s="9" t="n">
        <x:f>IF(V1049=1,R1049*W1049,"n.a.")</x:f>
        <x:v>2553.54</x:v>
      </x:c>
      <x:c r="Z1049" s="1" t="n">
        <x:f>IF(ISNUMBER(T1049),R1049-T1049,"n.a.")</x:f>
        <x:v>0</x:v>
      </x:c>
      <x:c r="AA1049" s="1" t="str">
        <x:f>'Inventory inputs'!R1049</x:f>
        <x:v>Classified</x:v>
      </x:c>
      <x:c r="AB1049" s="1" t="n">
        <x:f>IF(L1049=1,SUMIFS('Incoming POs'!$P$2:$P$305,'Incoming POs'!$A$2:$A$305,A1049,'Incoming POs'!$B$2:$B$305,B1049,'Incoming POs'!$C$2:$C$305,C1049,'Incoming POs'!$G$2:$G$305,"&gt;="&amp;D1049,'Incoming POs'!$G$2:$G$305,"&lt;"&amp;Dashboard!$I$5,'Incoming POs'!$Q$2:$Q$305,"&lt;="&amp;('Inventory inputs'!P1049/'Inventory inputs'!J1049*1.01)),"n.a.")</x:f>
        <x:v>0</x:v>
      </x:c>
      <x:c r="AC1049" s="9" t="n">
        <x:f>I1049*G1049</x:f>
        <x:v>2128.6800000000003</x:v>
      </x:c>
      <x:c r="AD1049" s="9" t="n">
        <x:f>J1049*G1049</x:f>
        <x:v>0</x:v>
      </x:c>
      <x:c r="AE1049" s="9" t="n">
        <x:f>K1049*G1049</x:f>
        <x:v>0</x:v>
      </x:c>
      <x:c r="AF1049" s="9" t="n">
        <x:f>R1049*G1049</x:f>
        <x:v>2128.6800000000003</x:v>
      </x:c>
    </x:row>
    <x:row r="1050" ht="21" customHeight="1">
      <x:c r="A1050" s="1" t="str">
        <x:f>'Inventory inputs'!A1050</x:f>
        <x:v>FILM</x:v>
      </x:c>
      <x:c r="B1050" s="1" t="str">
        <x:f>'Inventory inputs'!B1050</x:f>
        <x:v>60</x:v>
      </x:c>
      <x:c r="C1050" s="1" t="str">
        <x:f>'Inventory inputs'!C1050</x:f>
        <x:v>1850015C2</x:v>
      </x:c>
      <x:c r="D1050" s="7" t="n">
        <x:f>'Inventory inputs'!E1050</x:f>
        <x:v>46304</x:v>
      </x:c>
      <x:c r="E1050" s="1" t="n">
        <x:f>'Inventory inputs'!F1050</x:f>
        <x:v>74</x:v>
      </x:c>
      <x:c r="F1050" s="1" t="n">
        <x:f>'Inventory inputs'!G1050</x:f>
        <x:v>0</x:v>
      </x:c>
      <x:c r="G1050" s="1" t="n">
        <x:f>'Inventory inputs'!H1050/'Inventory inputs'!J1050</x:f>
        <x:v>9.72</x:v>
      </x:c>
      <x:c r="H1050" s="1" t="n">
        <x:f>IF('Inventory inputs'!I1050&gt;0,'Inventory inputs'!I1050*'Inventory inputs'!K1050/'Inventory inputs'!J1050,"n.a.")</x:f>
        <x:v>11.66</x:v>
      </x:c>
      <x:c r="I1050" s="1" t="n">
        <x:f>'Inventory inputs'!L1050</x:f>
        <x:v>0</x:v>
      </x:c>
      <x:c r="J1050" s="1" t="n">
        <x:f>'Inventory inputs'!M1050</x:f>
        <x:v>0</x:v>
      </x:c>
      <x:c r="K1050" s="1" t="n">
        <x:f>'Inventory inputs'!N1050</x:f>
        <x:v>74</x:v>
      </x:c>
      <x:c r="L1050" s="1" t="n">
        <x:f>'Inventory inputs'!O1050</x:f>
        <x:v>0</x:v>
      </x:c>
      <x:c r="M1050" s="9" t="n">
        <x:f>E1050*G1050</x:f>
        <x:v>719.2800000000001</x:v>
      </x:c>
      <x:c r="N1050" s="9" t="n">
        <x:f>'Inventory inputs'!Q1050</x:f>
        <x:v>719.2800000000001</x:v>
      </x:c>
      <x:c r="O1050" s="9" t="n">
        <x:f>N1050-M1050</x:f>
        <x:v>0</x:v>
      </x:c>
      <x:c r="P1050" s="1" t="n">
        <x:f>SUMIFS('Incoming POs'!$P$2:$P$305,'Incoming POs'!$A$2:$A$305,A1050,'Incoming POs'!$B$2:$B$305,B1050,'Incoming POs'!$C$2:$C$305,C1050,'Incoming POs'!$G$2:$G$305,"&gt;="&amp;D1050,'Incoming POs'!$G$2:$G$305,"&lt;"&amp;Dashboard!$I$5)</x:f>
        <x:v>0</x:v>
      </x:c>
      <x:c r="Q1050" s="1" t="n">
        <x:f>F1050*Dashboard!$L$5*MAX(0,Dashboard!$I$5-D1050)/30.4375</x:f>
        <x:v>0</x:v>
      </x:c>
      <x:c r="R1050" s="1" t="n">
        <x:f>MAX(0,E1050+P1050-Q1050)</x:f>
        <x:v>74</x:v>
      </x:c>
      <x:c r="S1050" s="1" t="n">
        <x:f>MAX(0,Q1050-E1050-P1050)</x:f>
        <x:v>0</x:v>
      </x:c>
      <x:c r="T1050" s="1" t="str">
        <x:f>IF(L1050=1,MAX(0,I1050+AB1050-MIN(Q1050,E1050+P1050)),"n.a.")</x:f>
        <x:v>n.a.</x:v>
      </x:c>
      <x:c r="U1050" s="9" t="str">
        <x:f>IF(ISNUMBER(T1050),T1050*G1050,"n.a.")</x:f>
        <x:v>n.a.</x:v>
      </x:c>
      <x:c r="V1050" s="25" t="n">
        <x:f>IF(Dashboard!$I$6="Flat %",1,IF(ISNUMBER(H1050),1,0))</x:f>
        <x:v>1</x:v>
      </x:c>
      <x:c r="W1050" s="9" t="n">
        <x:f>IF(Dashboard!$I$6="Flat %",G1050*(1+Dashboard!$L$6),H1050)</x:f>
        <x:v>11.66</x:v>
      </x:c>
      <x:c r="X1050" s="9" t="n">
        <x:f>IF(V1050=1,R1050*(W1050-G1050),"n.a.")</x:f>
        <x:v>143.55999999999997</x:v>
      </x:c>
      <x:c r="Y1050" s="9" t="n">
        <x:f>IF(V1050=1,R1050*W1050,"n.a.")</x:f>
        <x:v>862.84</x:v>
      </x:c>
      <x:c r="Z1050" s="1" t="str">
        <x:f>IF(ISNUMBER(T1050),R1050-T1050,"n.a.")</x:f>
        <x:v>n.a.</x:v>
      </x:c>
      <x:c r="AA1050" s="1" t="str">
        <x:f>'Inventory inputs'!R1050</x:f>
        <x:v>Review receipt reconciliation or original PO baseline</x:v>
      </x:c>
      <x:c r="AB1050" s="1" t="str">
        <x:f>IF(L1050=1,SUMIFS('Incoming POs'!$P$2:$P$305,'Incoming POs'!$A$2:$A$305,A1050,'Incoming POs'!$B$2:$B$305,B1050,'Incoming POs'!$C$2:$C$305,C1050,'Incoming POs'!$G$2:$G$305,"&gt;="&amp;D1050,'Incoming POs'!$G$2:$G$305,"&lt;"&amp;Dashboard!$I$5,'Incoming POs'!$Q$2:$Q$305,"&lt;="&amp;('Inventory inputs'!P1050/'Inventory inputs'!J1050*1.01)),"n.a.")</x:f>
        <x:v>n.a.</x:v>
      </x:c>
      <x:c r="AC1050" s="9" t="n">
        <x:f>I1050*G1050</x:f>
        <x:v>0</x:v>
      </x:c>
      <x:c r="AD1050" s="9" t="n">
        <x:f>J1050*G1050</x:f>
        <x:v>0</x:v>
      </x:c>
      <x:c r="AE1050" s="9" t="n">
        <x:f>K1050*G1050</x:f>
        <x:v>719.2800000000001</x:v>
      </x:c>
      <x:c r="AF1050" s="9" t="n">
        <x:f>R1050*G1050</x:f>
        <x:v>719.2800000000001</x:v>
      </x:c>
    </x:row>
    <x:row r="1051" ht="21" customHeight="1">
      <x:c r="A1051" s="1" t="str">
        <x:f>'Inventory inputs'!A1051</x:f>
        <x:v>FILM</x:v>
      </x:c>
      <x:c r="B1051" s="1" t="str">
        <x:f>'Inventory inputs'!B1051</x:f>
        <x:v>60</x:v>
      </x:c>
      <x:c r="C1051" s="1" t="str">
        <x:f>'Inventory inputs'!C1051</x:f>
        <x:v>25300017C3</x:v>
      </x:c>
      <x:c r="D1051" s="7" t="n">
        <x:f>'Inventory inputs'!E1051</x:f>
        <x:v>46304</x:v>
      </x:c>
      <x:c r="E1051" s="1" t="n">
        <x:f>'Inventory inputs'!F1051</x:f>
        <x:v>5</x:v>
      </x:c>
      <x:c r="F1051" s="1" t="n">
        <x:f>'Inventory inputs'!G1051</x:f>
        <x:v>0</x:v>
      </x:c>
      <x:c r="G1051" s="1" t="n">
        <x:f>'Inventory inputs'!H1051/'Inventory inputs'!J1051</x:f>
        <x:v>76.5</x:v>
      </x:c>
      <x:c r="H1051" s="1" t="str">
        <x:f>IF('Inventory inputs'!I1051&gt;0,'Inventory inputs'!I1051*'Inventory inputs'!K1051/'Inventory inputs'!J1051,"n.a.")</x:f>
        <x:v>n.a.</x:v>
      </x:c>
      <x:c r="I1051" s="1" t="n">
        <x:f>'Inventory inputs'!L1051</x:f>
        <x:v>0</x:v>
      </x:c>
      <x:c r="J1051" s="1" t="n">
        <x:f>'Inventory inputs'!M1051</x:f>
        <x:v>0</x:v>
      </x:c>
      <x:c r="K1051" s="1" t="n">
        <x:f>'Inventory inputs'!N1051</x:f>
        <x:v>5</x:v>
      </x:c>
      <x:c r="L1051" s="1" t="n">
        <x:f>'Inventory inputs'!O1051</x:f>
        <x:v>0</x:v>
      </x:c>
      <x:c r="M1051" s="9" t="n">
        <x:f>E1051*G1051</x:f>
        <x:v>382.5</x:v>
      </x:c>
      <x:c r="N1051" s="9" t="n">
        <x:f>'Inventory inputs'!Q1051</x:f>
        <x:v>382.5</x:v>
      </x:c>
      <x:c r="O1051" s="9" t="n">
        <x:f>N1051-M1051</x:f>
        <x:v>0</x:v>
      </x:c>
      <x:c r="P1051" s="1" t="n">
        <x:f>SUMIFS('Incoming POs'!$P$2:$P$305,'Incoming POs'!$A$2:$A$305,A1051,'Incoming POs'!$B$2:$B$305,B1051,'Incoming POs'!$C$2:$C$305,C1051,'Incoming POs'!$G$2:$G$305,"&gt;="&amp;D1051,'Incoming POs'!$G$2:$G$305,"&lt;"&amp;Dashboard!$I$5)</x:f>
        <x:v>0</x:v>
      </x:c>
      <x:c r="Q1051" s="1" t="n">
        <x:f>F1051*Dashboard!$L$5*MAX(0,Dashboard!$I$5-D1051)/30.4375</x:f>
        <x:v>0</x:v>
      </x:c>
      <x:c r="R1051" s="1" t="n">
        <x:f>MAX(0,E1051+P1051-Q1051)</x:f>
        <x:v>5</x:v>
      </x:c>
      <x:c r="S1051" s="1" t="n">
        <x:f>MAX(0,Q1051-E1051-P1051)</x:f>
        <x:v>0</x:v>
      </x:c>
      <x:c r="T1051" s="1" t="str">
        <x:f>IF(L1051=1,MAX(0,I1051+AB1051-MIN(Q1051,E1051+P1051)),"n.a.")</x:f>
        <x:v>n.a.</x:v>
      </x:c>
      <x:c r="U1051" s="9" t="str">
        <x:f>IF(ISNUMBER(T1051),T1051*G1051,"n.a.")</x:f>
        <x:v>n.a.</x:v>
      </x:c>
      <x:c r="V1051" s="25" t="n">
        <x:f>IF(Dashboard!$I$6="Flat %",1,IF(ISNUMBER(H1051),1,0))</x:f>
        <x:v>0</x:v>
      </x:c>
      <x:c r="W1051" s="9" t="str">
        <x:f>IF(Dashboard!$I$6="Flat %",G1051*(1+Dashboard!$L$6),H1051)</x:f>
        <x:v>n.a.</x:v>
      </x:c>
      <x:c r="X1051" s="9" t="str">
        <x:f>IF(V1051=1,R1051*(W1051-G1051),"n.a.")</x:f>
        <x:v>n.a.</x:v>
      </x:c>
      <x:c r="Y1051" s="9" t="str">
        <x:f>IF(V1051=1,R1051*W1051,"n.a.")</x:f>
        <x:v>n.a.</x:v>
      </x:c>
      <x:c r="Z1051" s="1" t="str">
        <x:f>IF(ISNUMBER(T1051),R1051-T1051,"n.a.")</x:f>
        <x:v>n.a.</x:v>
      </x:c>
      <x:c r="AA1051" s="1" t="str">
        <x:f>'Inventory inputs'!R1051</x:f>
        <x:v>Review receipt reconciliation or original PO baseline</x:v>
      </x:c>
      <x:c r="AB1051" s="1" t="str">
        <x:f>IF(L1051=1,SUMIFS('Incoming POs'!$P$2:$P$305,'Incoming POs'!$A$2:$A$305,A1051,'Incoming POs'!$B$2:$B$305,B1051,'Incoming POs'!$C$2:$C$305,C1051,'Incoming POs'!$G$2:$G$305,"&gt;="&amp;D1051,'Incoming POs'!$G$2:$G$305,"&lt;"&amp;Dashboard!$I$5,'Incoming POs'!$Q$2:$Q$305,"&lt;="&amp;('Inventory inputs'!P1051/'Inventory inputs'!J1051*1.01)),"n.a.")</x:f>
        <x:v>n.a.</x:v>
      </x:c>
      <x:c r="AC1051" s="9" t="n">
        <x:f>I1051*G1051</x:f>
        <x:v>0</x:v>
      </x:c>
      <x:c r="AD1051" s="9" t="n">
        <x:f>J1051*G1051</x:f>
        <x:v>0</x:v>
      </x:c>
      <x:c r="AE1051" s="9" t="n">
        <x:f>K1051*G1051</x:f>
        <x:v>382.5</x:v>
      </x:c>
      <x:c r="AF1051" s="9" t="n">
        <x:f>R1051*G1051</x:f>
        <x:v>382.5</x:v>
      </x:c>
    </x:row>
    <x:row r="1052" ht="21" customHeight="1">
      <x:c r="A1052" s="1" t="str">
        <x:f>'Inventory inputs'!A1052</x:f>
        <x:v>FILM</x:v>
      </x:c>
      <x:c r="B1052" s="1" t="str">
        <x:f>'Inventory inputs'!B1052</x:f>
        <x:v>60</x:v>
      </x:c>
      <x:c r="C1052" s="1" t="str">
        <x:f>'Inventory inputs'!C1052</x:f>
        <x:v>3850017C3</x:v>
      </x:c>
      <x:c r="D1052" s="7" t="n">
        <x:f>'Inventory inputs'!E1052</x:f>
        <x:v>46304</x:v>
      </x:c>
      <x:c r="E1052" s="1" t="n">
        <x:f>'Inventory inputs'!F1052</x:f>
        <x:v>0</x:v>
      </x:c>
      <x:c r="F1052" s="1" t="n">
        <x:f>'Inventory inputs'!G1052</x:f>
        <x:v>0</x:v>
      </x:c>
      <x:c r="G1052" s="1" t="n">
        <x:f>'Inventory inputs'!H1052/'Inventory inputs'!J1052</x:f>
        <x:v>29.41</x:v>
      </x:c>
      <x:c r="H1052" s="1" t="n">
        <x:f>IF('Inventory inputs'!I1052&gt;0,'Inventory inputs'!I1052*'Inventory inputs'!K1052/'Inventory inputs'!J1052,"n.a.")</x:f>
        <x:v>35.34</x:v>
      </x:c>
      <x:c r="I1052" s="1" t="n">
        <x:f>'Inventory inputs'!L1052</x:f>
        <x:v>0</x:v>
      </x:c>
      <x:c r="J1052" s="1" t="n">
        <x:f>'Inventory inputs'!M1052</x:f>
        <x:v>0</x:v>
      </x:c>
      <x:c r="K1052" s="1" t="n">
        <x:f>'Inventory inputs'!N1052</x:f>
        <x:v>0</x:v>
      </x:c>
      <x:c r="L1052" s="1" t="n">
        <x:f>'Inventory inputs'!O1052</x:f>
        <x:v>1</x:v>
      </x:c>
      <x:c r="M1052" s="9" t="n">
        <x:f>E1052*G1052</x:f>
        <x:v>0</x:v>
      </x:c>
      <x:c r="N1052" s="9" t="n">
        <x:f>'Inventory inputs'!Q1052</x:f>
        <x:v>0</x:v>
      </x:c>
      <x:c r="O1052" s="9" t="n">
        <x:f>N1052-M1052</x:f>
        <x:v>0</x:v>
      </x:c>
      <x:c r="P1052" s="1" t="n">
        <x:f>SUMIFS('Incoming POs'!$P$2:$P$305,'Incoming POs'!$A$2:$A$305,A1052,'Incoming POs'!$B$2:$B$305,B1052,'Incoming POs'!$C$2:$C$305,C1052,'Incoming POs'!$G$2:$G$305,"&gt;="&amp;D1052,'Incoming POs'!$G$2:$G$305,"&lt;"&amp;Dashboard!$I$5)</x:f>
        <x:v>0</x:v>
      </x:c>
      <x:c r="Q1052" s="1" t="n">
        <x:f>F1052*Dashboard!$L$5*MAX(0,Dashboard!$I$5-D1052)/30.4375</x:f>
        <x:v>0</x:v>
      </x:c>
      <x:c r="R1052" s="1" t="n">
        <x:f>MAX(0,E1052+P1052-Q1052)</x:f>
        <x:v>0</x:v>
      </x:c>
      <x:c r="S1052" s="1" t="n">
        <x:f>MAX(0,Q1052-E1052-P1052)</x:f>
        <x:v>0</x:v>
      </x:c>
      <x:c r="T1052" s="1" t="n">
        <x:f>IF(L1052=1,MAX(0,I1052+AB1052-MIN(Q1052,E1052+P1052)),"n.a.")</x:f>
        <x:v>0</x:v>
      </x:c>
      <x:c r="U1052" s="9" t="n">
        <x:f>IF(ISNUMBER(T1052),T1052*G1052,"n.a.")</x:f>
        <x:v>0</x:v>
      </x:c>
      <x:c r="V1052" s="25" t="n">
        <x:f>IF(Dashboard!$I$6="Flat %",1,IF(ISNUMBER(H1052),1,0))</x:f>
        <x:v>1</x:v>
      </x:c>
      <x:c r="W1052" s="9" t="n">
        <x:f>IF(Dashboard!$I$6="Flat %",G1052*(1+Dashboard!$L$6),H1052)</x:f>
        <x:v>35.34</x:v>
      </x:c>
      <x:c r="X1052" s="9" t="n">
        <x:f>IF(V1052=1,R1052*(W1052-G1052),"n.a.")</x:f>
        <x:v>0</x:v>
      </x:c>
      <x:c r="Y1052" s="9" t="n">
        <x:f>IF(V1052=1,R1052*W1052,"n.a.")</x:f>
        <x:v>0</x:v>
      </x:c>
      <x:c r="Z1052" s="1" t="n">
        <x:f>IF(ISNUMBER(T1052),R1052-T1052,"n.a.")</x:f>
        <x:v>0</x:v>
      </x:c>
      <x:c r="AA1052" s="1" t="str">
        <x:f>'Inventory inputs'!R1052</x:f>
        <x:v>Classified</x:v>
      </x:c>
      <x:c r="AB1052" s="1" t="n">
        <x:f>IF(L1052=1,SUMIFS('Incoming POs'!$P$2:$P$305,'Incoming POs'!$A$2:$A$305,A1052,'Incoming POs'!$B$2:$B$305,B1052,'Incoming POs'!$C$2:$C$305,C1052,'Incoming POs'!$G$2:$G$305,"&gt;="&amp;D1052,'Incoming POs'!$G$2:$G$305,"&lt;"&amp;Dashboard!$I$5,'Incoming POs'!$Q$2:$Q$305,"&lt;="&amp;('Inventory inputs'!P1052/'Inventory inputs'!J1052*1.01)),"n.a.")</x:f>
        <x:v>0</x:v>
      </x:c>
      <x:c r="AC1052" s="9" t="n">
        <x:f>I1052*G1052</x:f>
        <x:v>0</x:v>
      </x:c>
      <x:c r="AD1052" s="9" t="n">
        <x:f>J1052*G1052</x:f>
        <x:v>0</x:v>
      </x:c>
      <x:c r="AE1052" s="9" t="n">
        <x:f>K1052*G1052</x:f>
        <x:v>0</x:v>
      </x:c>
      <x:c r="AF1052" s="9" t="n">
        <x:f>R1052*G1052</x:f>
        <x:v>0</x:v>
      </x:c>
    </x:row>
    <x:row r="1053" ht="21" customHeight="1">
      <x:c r="A1053" s="1" t="str">
        <x:f>'Inventory inputs'!A1053</x:f>
        <x:v>FILM</x:v>
      </x:c>
      <x:c r="B1053" s="1" t="str">
        <x:f>'Inventory inputs'!B1053</x:f>
        <x:v>60</x:v>
      </x:c>
      <x:c r="C1053" s="1" t="str">
        <x:f>'Inventory inputs'!C1053</x:f>
        <x:v>4350017C3</x:v>
      </x:c>
      <x:c r="D1053" s="7" t="n">
        <x:f>'Inventory inputs'!E1053</x:f>
        <x:v>46304</x:v>
      </x:c>
      <x:c r="E1053" s="1" t="n">
        <x:f>'Inventory inputs'!F1053</x:f>
        <x:v>0</x:v>
      </x:c>
      <x:c r="F1053" s="1" t="n">
        <x:f>'Inventory inputs'!G1053</x:f>
        <x:v>0</x:v>
      </x:c>
      <x:c r="G1053" s="1" t="n">
        <x:f>'Inventory inputs'!H1053/'Inventory inputs'!J1053</x:f>
        <x:v>33.28</x:v>
      </x:c>
      <x:c r="H1053" s="1" t="n">
        <x:f>IF('Inventory inputs'!I1053&gt;0,'Inventory inputs'!I1053*'Inventory inputs'!K1053/'Inventory inputs'!J1053,"n.a.")</x:f>
        <x:v>39.99</x:v>
      </x:c>
      <x:c r="I1053" s="1" t="n">
        <x:f>'Inventory inputs'!L1053</x:f>
        <x:v>0</x:v>
      </x:c>
      <x:c r="J1053" s="1" t="n">
        <x:f>'Inventory inputs'!M1053</x:f>
        <x:v>0</x:v>
      </x:c>
      <x:c r="K1053" s="1" t="n">
        <x:f>'Inventory inputs'!N1053</x:f>
        <x:v>0</x:v>
      </x:c>
      <x:c r="L1053" s="1" t="n">
        <x:f>'Inventory inputs'!O1053</x:f>
        <x:v>1</x:v>
      </x:c>
      <x:c r="M1053" s="9" t="n">
        <x:f>E1053*G1053</x:f>
        <x:v>0</x:v>
      </x:c>
      <x:c r="N1053" s="9" t="n">
        <x:f>'Inventory inputs'!Q1053</x:f>
        <x:v>0</x:v>
      </x:c>
      <x:c r="O1053" s="9" t="n">
        <x:f>N1053-M1053</x:f>
        <x:v>0</x:v>
      </x:c>
      <x:c r="P1053" s="1" t="n">
        <x:f>SUMIFS('Incoming POs'!$P$2:$P$305,'Incoming POs'!$A$2:$A$305,A1053,'Incoming POs'!$B$2:$B$305,B1053,'Incoming POs'!$C$2:$C$305,C1053,'Incoming POs'!$G$2:$G$305,"&gt;="&amp;D1053,'Incoming POs'!$G$2:$G$305,"&lt;"&amp;Dashboard!$I$5)</x:f>
        <x:v>0</x:v>
      </x:c>
      <x:c r="Q1053" s="1" t="n">
        <x:f>F1053*Dashboard!$L$5*MAX(0,Dashboard!$I$5-D1053)/30.4375</x:f>
        <x:v>0</x:v>
      </x:c>
      <x:c r="R1053" s="1" t="n">
        <x:f>MAX(0,E1053+P1053-Q1053)</x:f>
        <x:v>0</x:v>
      </x:c>
      <x:c r="S1053" s="1" t="n">
        <x:f>MAX(0,Q1053-E1053-P1053)</x:f>
        <x:v>0</x:v>
      </x:c>
      <x:c r="T1053" s="1" t="n">
        <x:f>IF(L1053=1,MAX(0,I1053+AB1053-MIN(Q1053,E1053+P1053)),"n.a.")</x:f>
        <x:v>0</x:v>
      </x:c>
      <x:c r="U1053" s="9" t="n">
        <x:f>IF(ISNUMBER(T1053),T1053*G1053,"n.a.")</x:f>
        <x:v>0</x:v>
      </x:c>
      <x:c r="V1053" s="25" t="n">
        <x:f>IF(Dashboard!$I$6="Flat %",1,IF(ISNUMBER(H1053),1,0))</x:f>
        <x:v>1</x:v>
      </x:c>
      <x:c r="W1053" s="9" t="n">
        <x:f>IF(Dashboard!$I$6="Flat %",G1053*(1+Dashboard!$L$6),H1053)</x:f>
        <x:v>39.99</x:v>
      </x:c>
      <x:c r="X1053" s="9" t="n">
        <x:f>IF(V1053=1,R1053*(W1053-G1053),"n.a.")</x:f>
        <x:v>0</x:v>
      </x:c>
      <x:c r="Y1053" s="9" t="n">
        <x:f>IF(V1053=1,R1053*W1053,"n.a.")</x:f>
        <x:v>0</x:v>
      </x:c>
      <x:c r="Z1053" s="1" t="n">
        <x:f>IF(ISNUMBER(T1053),R1053-T1053,"n.a.")</x:f>
        <x:v>0</x:v>
      </x:c>
      <x:c r="AA1053" s="1" t="str">
        <x:f>'Inventory inputs'!R1053</x:f>
        <x:v>Classified</x:v>
      </x:c>
      <x:c r="AB1053" s="1" t="n">
        <x:f>IF(L1053=1,SUMIFS('Incoming POs'!$P$2:$P$305,'Incoming POs'!$A$2:$A$305,A1053,'Incoming POs'!$B$2:$B$305,B1053,'Incoming POs'!$C$2:$C$305,C1053,'Incoming POs'!$G$2:$G$305,"&gt;="&amp;D1053,'Incoming POs'!$G$2:$G$305,"&lt;"&amp;Dashboard!$I$5,'Incoming POs'!$Q$2:$Q$305,"&lt;="&amp;('Inventory inputs'!P1053/'Inventory inputs'!J1053*1.01)),"n.a.")</x:f>
        <x:v>0</x:v>
      </x:c>
      <x:c r="AC1053" s="9" t="n">
        <x:f>I1053*G1053</x:f>
        <x:v>0</x:v>
      </x:c>
      <x:c r="AD1053" s="9" t="n">
        <x:f>J1053*G1053</x:f>
        <x:v>0</x:v>
      </x:c>
      <x:c r="AE1053" s="9" t="n">
        <x:f>K1053*G1053</x:f>
        <x:v>0</x:v>
      </x:c>
      <x:c r="AF1053" s="9" t="n">
        <x:f>R1053*G1053</x:f>
        <x:v>0</x:v>
      </x:c>
    </x:row>
    <x:row r="1054" ht="21" customHeight="1">
      <x:c r="A1054" s="1" t="str">
        <x:f>'Inventory inputs'!A1054</x:f>
        <x:v>FILM</x:v>
      </x:c>
      <x:c r="B1054" s="1" t="str">
        <x:f>'Inventory inputs'!B1054</x:f>
        <x:v>60</x:v>
      </x:c>
      <x:c r="C1054" s="1" t="str">
        <x:f>'Inventory inputs'!C1054</x:f>
        <x:v>92005C1</x:v>
      </x:c>
      <x:c r="D1054" s="7" t="n">
        <x:f>'Inventory inputs'!E1054</x:f>
        <x:v>46304</x:v>
      </x:c>
      <x:c r="E1054" s="1" t="n">
        <x:f>'Inventory inputs'!F1054</x:f>
        <x:v>0</x:v>
      </x:c>
      <x:c r="F1054" s="1" t="n">
        <x:f>'Inventory inputs'!G1054</x:f>
        <x:v>0</x:v>
      </x:c>
      <x:c r="G1054" s="1" t="n">
        <x:f>'Inventory inputs'!H1054/'Inventory inputs'!J1054</x:f>
        <x:v>5.14</x:v>
      </x:c>
      <x:c r="H1054" s="1" t="str">
        <x:f>IF('Inventory inputs'!I1054&gt;0,'Inventory inputs'!I1054*'Inventory inputs'!K1054/'Inventory inputs'!J1054,"n.a.")</x:f>
        <x:v>n.a.</x:v>
      </x:c>
      <x:c r="I1054" s="1" t="n">
        <x:f>'Inventory inputs'!L1054</x:f>
        <x:v>0</x:v>
      </x:c>
      <x:c r="J1054" s="1" t="n">
        <x:f>'Inventory inputs'!M1054</x:f>
        <x:v>0</x:v>
      </x:c>
      <x:c r="K1054" s="1" t="n">
        <x:f>'Inventory inputs'!N1054</x:f>
        <x:v>0</x:v>
      </x:c>
      <x:c r="L1054" s="1" t="n">
        <x:f>'Inventory inputs'!O1054</x:f>
        <x:v>0</x:v>
      </x:c>
      <x:c r="M1054" s="9" t="n">
        <x:f>E1054*G1054</x:f>
        <x:v>0</x:v>
      </x:c>
      <x:c r="N1054" s="9" t="n">
        <x:f>'Inventory inputs'!Q1054</x:f>
        <x:v>0</x:v>
      </x:c>
      <x:c r="O1054" s="9" t="n">
        <x:f>N1054-M1054</x:f>
        <x:v>0</x:v>
      </x:c>
      <x:c r="P1054" s="1" t="n">
        <x:f>SUMIFS('Incoming POs'!$P$2:$P$305,'Incoming POs'!$A$2:$A$305,A1054,'Incoming POs'!$B$2:$B$305,B1054,'Incoming POs'!$C$2:$C$305,C1054,'Incoming POs'!$G$2:$G$305,"&gt;="&amp;D1054,'Incoming POs'!$G$2:$G$305,"&lt;"&amp;Dashboard!$I$5)</x:f>
        <x:v>0</x:v>
      </x:c>
      <x:c r="Q1054" s="1" t="n">
        <x:f>F1054*Dashboard!$L$5*MAX(0,Dashboard!$I$5-D1054)/30.4375</x:f>
        <x:v>0</x:v>
      </x:c>
      <x:c r="R1054" s="1" t="n">
        <x:f>MAX(0,E1054+P1054-Q1054)</x:f>
        <x:v>0</x:v>
      </x:c>
      <x:c r="S1054" s="1" t="n">
        <x:f>MAX(0,Q1054-E1054-P1054)</x:f>
        <x:v>0</x:v>
      </x:c>
      <x:c r="T1054" s="1" t="str">
        <x:f>IF(L1054=1,MAX(0,I1054+AB1054-MIN(Q1054,E1054+P1054)),"n.a.")</x:f>
        <x:v>n.a.</x:v>
      </x:c>
      <x:c r="U1054" s="9" t="str">
        <x:f>IF(ISNUMBER(T1054),T1054*G1054,"n.a.")</x:f>
        <x:v>n.a.</x:v>
      </x:c>
      <x:c r="V1054" s="25" t="n">
        <x:f>IF(Dashboard!$I$6="Flat %",1,IF(ISNUMBER(H1054),1,0))</x:f>
        <x:v>0</x:v>
      </x:c>
      <x:c r="W1054" s="9" t="str">
        <x:f>IF(Dashboard!$I$6="Flat %",G1054*(1+Dashboard!$L$6),H1054)</x:f>
        <x:v>n.a.</x:v>
      </x:c>
      <x:c r="X1054" s="9" t="str">
        <x:f>IF(V1054=1,R1054*(W1054-G1054),"n.a.")</x:f>
        <x:v>n.a.</x:v>
      </x:c>
      <x:c r="Y1054" s="9" t="str">
        <x:f>IF(V1054=1,R1054*W1054,"n.a.")</x:f>
        <x:v>n.a.</x:v>
      </x:c>
      <x:c r="Z1054" s="1" t="str">
        <x:f>IF(ISNUMBER(T1054),R1054-T1054,"n.a.")</x:f>
        <x:v>n.a.</x:v>
      </x:c>
      <x:c r="AA1054" s="1" t="str">
        <x:f>'Inventory inputs'!R1054</x:f>
        <x:v>Review receipt reconciliation or original PO baseline</x:v>
      </x:c>
      <x:c r="AB1054" s="1" t="str">
        <x:f>IF(L1054=1,SUMIFS('Incoming POs'!$P$2:$P$305,'Incoming POs'!$A$2:$A$305,A1054,'Incoming POs'!$B$2:$B$305,B1054,'Incoming POs'!$C$2:$C$305,C1054,'Incoming POs'!$G$2:$G$305,"&gt;="&amp;D1054,'Incoming POs'!$G$2:$G$305,"&lt;"&amp;Dashboard!$I$5,'Incoming POs'!$Q$2:$Q$305,"&lt;="&amp;('Inventory inputs'!P1054/'Inventory inputs'!J1054*1.01)),"n.a.")</x:f>
        <x:v>n.a.</x:v>
      </x:c>
      <x:c r="AC1054" s="9" t="n">
        <x:f>I1054*G1054</x:f>
        <x:v>0</x:v>
      </x:c>
      <x:c r="AD1054" s="9" t="n">
        <x:f>J1054*G1054</x:f>
        <x:v>0</x:v>
      </x:c>
      <x:c r="AE1054" s="9" t="n">
        <x:f>K1054*G1054</x:f>
        <x:v>0</x:v>
      </x:c>
      <x:c r="AF1054" s="9" t="n">
        <x:f>R1054*G1054</x:f>
        <x:v>0</x:v>
      </x:c>
    </x:row>
    <x:row r="1055" ht="21" customHeight="1">
      <x:c r="A1055" s="1" t="str">
        <x:f>'Inventory inputs'!A1055</x:f>
        <x:v>FILM</x:v>
      </x:c>
      <x:c r="B1055" s="1" t="str">
        <x:f>'Inventory inputs'!B1055</x:f>
        <x:v>60</x:v>
      </x:c>
      <x:c r="C1055" s="1" t="str">
        <x:f>'Inventory inputs'!C1055</x:f>
        <x:v>PPFS</x:v>
      </x:c>
      <x:c r="D1055" s="7" t="n">
        <x:f>'Inventory inputs'!E1055</x:f>
        <x:v>46304</x:v>
      </x:c>
      <x:c r="E1055" s="1" t="n">
        <x:f>'Inventory inputs'!F1055</x:f>
        <x:v>4</x:v>
      </x:c>
      <x:c r="F1055" s="1" t="n">
        <x:f>'Inventory inputs'!G1055</x:f>
        <x:v>0</x:v>
      </x:c>
      <x:c r="G1055" s="1" t="n">
        <x:f>'Inventory inputs'!H1055/'Inventory inputs'!J1055</x:f>
        <x:v>0</x:v>
      </x:c>
      <x:c r="H1055" s="1" t="str">
        <x:f>IF('Inventory inputs'!I1055&gt;0,'Inventory inputs'!I1055*'Inventory inputs'!K1055/'Inventory inputs'!J1055,"n.a.")</x:f>
        <x:v>n.a.</x:v>
      </x:c>
      <x:c r="I1055" s="1" t="n">
        <x:f>'Inventory inputs'!L1055</x:f>
        <x:v>0</x:v>
      </x:c>
      <x:c r="J1055" s="1" t="n">
        <x:f>'Inventory inputs'!M1055</x:f>
        <x:v>0</x:v>
      </x:c>
      <x:c r="K1055" s="1" t="n">
        <x:f>'Inventory inputs'!N1055</x:f>
        <x:v>4</x:v>
      </x:c>
      <x:c r="L1055" s="1" t="n">
        <x:f>'Inventory inputs'!O1055</x:f>
        <x:v>0</x:v>
      </x:c>
      <x:c r="M1055" s="9" t="n">
        <x:f>E1055*G1055</x:f>
        <x:v>0</x:v>
      </x:c>
      <x:c r="N1055" s="9" t="n">
        <x:f>'Inventory inputs'!Q1055</x:f>
        <x:v>0</x:v>
      </x:c>
      <x:c r="O1055" s="9" t="n">
        <x:f>N1055-M1055</x:f>
        <x:v>0</x:v>
      </x:c>
      <x:c r="P1055" s="1" t="n">
        <x:f>SUMIFS('Incoming POs'!$P$2:$P$305,'Incoming POs'!$A$2:$A$305,A1055,'Incoming POs'!$B$2:$B$305,B1055,'Incoming POs'!$C$2:$C$305,C1055,'Incoming POs'!$G$2:$G$305,"&gt;="&amp;D1055,'Incoming POs'!$G$2:$G$305,"&lt;"&amp;Dashboard!$I$5)</x:f>
        <x:v>0</x:v>
      </x:c>
      <x:c r="Q1055" s="1" t="n">
        <x:f>F1055*Dashboard!$L$5*MAX(0,Dashboard!$I$5-D1055)/30.4375</x:f>
        <x:v>0</x:v>
      </x:c>
      <x:c r="R1055" s="1" t="n">
        <x:f>MAX(0,E1055+P1055-Q1055)</x:f>
        <x:v>4</x:v>
      </x:c>
      <x:c r="S1055" s="1" t="n">
        <x:f>MAX(0,Q1055-E1055-P1055)</x:f>
        <x:v>0</x:v>
      </x:c>
      <x:c r="T1055" s="1" t="str">
        <x:f>IF(L1055=1,MAX(0,I1055+AB1055-MIN(Q1055,E1055+P1055)),"n.a.")</x:f>
        <x:v>n.a.</x:v>
      </x:c>
      <x:c r="U1055" s="9" t="str">
        <x:f>IF(ISNUMBER(T1055),T1055*G1055,"n.a.")</x:f>
        <x:v>n.a.</x:v>
      </x:c>
      <x:c r="V1055" s="25" t="n">
        <x:f>IF(Dashboard!$I$6="Flat %",1,IF(ISNUMBER(H1055),1,0))</x:f>
        <x:v>0</x:v>
      </x:c>
      <x:c r="W1055" s="9" t="str">
        <x:f>IF(Dashboard!$I$6="Flat %",G1055*(1+Dashboard!$L$6),H1055)</x:f>
        <x:v>n.a.</x:v>
      </x:c>
      <x:c r="X1055" s="9" t="str">
        <x:f>IF(V1055=1,R1055*(W1055-G1055),"n.a.")</x:f>
        <x:v>n.a.</x:v>
      </x:c>
      <x:c r="Y1055" s="9" t="str">
        <x:f>IF(V1055=1,R1055*W1055,"n.a.")</x:f>
        <x:v>n.a.</x:v>
      </x:c>
      <x:c r="Z1055" s="1" t="str">
        <x:f>IF(ISNUMBER(T1055),R1055-T1055,"n.a.")</x:f>
        <x:v>n.a.</x:v>
      </x:c>
      <x:c r="AA1055" s="1" t="str">
        <x:f>'Inventory inputs'!R1055</x:f>
        <x:v>Review receipt reconciliation or original PO baseline</x:v>
      </x:c>
      <x:c r="AB1055" s="1" t="str">
        <x:f>IF(L1055=1,SUMIFS('Incoming POs'!$P$2:$P$305,'Incoming POs'!$A$2:$A$305,A1055,'Incoming POs'!$B$2:$B$305,B1055,'Incoming POs'!$C$2:$C$305,C1055,'Incoming POs'!$G$2:$G$305,"&gt;="&amp;D1055,'Incoming POs'!$G$2:$G$305,"&lt;"&amp;Dashboard!$I$5,'Incoming POs'!$Q$2:$Q$305,"&lt;="&amp;('Inventory inputs'!P1055/'Inventory inputs'!J1055*1.01)),"n.a.")</x:f>
        <x:v>n.a.</x:v>
      </x:c>
      <x:c r="AC1055" s="9" t="n">
        <x:f>I1055*G1055</x:f>
        <x:v>0</x:v>
      </x:c>
      <x:c r="AD1055" s="9" t="n">
        <x:f>J1055*G1055</x:f>
        <x:v>0</x:v>
      </x:c>
      <x:c r="AE1055" s="9" t="n">
        <x:f>K1055*G1055</x:f>
        <x:v>0</x:v>
      </x:c>
      <x:c r="AF1055" s="9" t="n">
        <x:f>R1055*G1055</x:f>
        <x:v>0</x:v>
      </x:c>
    </x:row>
    <x:row r="1056" ht="21" customHeight="1">
      <x:c r="A1056" s="1" t="str">
        <x:f>'Inventory inputs'!A1056</x:f>
        <x:v>FILM</x:v>
      </x:c>
      <x:c r="B1056" s="1" t="str">
        <x:f>'Inventory inputs'!B1056</x:f>
        <x:v>60</x:v>
      </x:c>
      <x:c r="C1056" s="1" t="str">
        <x:f>'Inventory inputs'!C1056</x:f>
        <x:v>PR382503C3</x:v>
      </x:c>
      <x:c r="D1056" s="7" t="n">
        <x:f>'Inventory inputs'!E1056</x:f>
        <x:v>46304</x:v>
      </x:c>
      <x:c r="E1056" s="1" t="n">
        <x:f>'Inventory inputs'!F1056</x:f>
        <x:v>0</x:v>
      </x:c>
      <x:c r="F1056" s="1" t="n">
        <x:f>'Inventory inputs'!G1056</x:f>
        <x:v>0</x:v>
      </x:c>
      <x:c r="G1056" s="1" t="n">
        <x:f>'Inventory inputs'!H1056/'Inventory inputs'!J1056</x:f>
        <x:v>25.65</x:v>
      </x:c>
      <x:c r="H1056" s="1" t="n">
        <x:f>IF('Inventory inputs'!I1056&gt;0,'Inventory inputs'!I1056*'Inventory inputs'!K1056/'Inventory inputs'!J1056,"n.a.")</x:f>
        <x:v>30.78</x:v>
      </x:c>
      <x:c r="I1056" s="1" t="n">
        <x:f>'Inventory inputs'!L1056</x:f>
        <x:v>0</x:v>
      </x:c>
      <x:c r="J1056" s="1" t="n">
        <x:f>'Inventory inputs'!M1056</x:f>
        <x:v>0</x:v>
      </x:c>
      <x:c r="K1056" s="1" t="n">
        <x:f>'Inventory inputs'!N1056</x:f>
        <x:v>0</x:v>
      </x:c>
      <x:c r="L1056" s="1" t="n">
        <x:f>'Inventory inputs'!O1056</x:f>
        <x:v>1</x:v>
      </x:c>
      <x:c r="M1056" s="9" t="n">
        <x:f>E1056*G1056</x:f>
        <x:v>0</x:v>
      </x:c>
      <x:c r="N1056" s="9" t="n">
        <x:f>'Inventory inputs'!Q1056</x:f>
        <x:v>0</x:v>
      </x:c>
      <x:c r="O1056" s="9" t="n">
        <x:f>N1056-M1056</x:f>
        <x:v>0</x:v>
      </x:c>
      <x:c r="P1056" s="1" t="n">
        <x:f>SUMIFS('Incoming POs'!$P$2:$P$305,'Incoming POs'!$A$2:$A$305,A1056,'Incoming POs'!$B$2:$B$305,B1056,'Incoming POs'!$C$2:$C$305,C1056,'Incoming POs'!$G$2:$G$305,"&gt;="&amp;D1056,'Incoming POs'!$G$2:$G$305,"&lt;"&amp;Dashboard!$I$5)</x:f>
        <x:v>0</x:v>
      </x:c>
      <x:c r="Q1056" s="1" t="n">
        <x:f>F1056*Dashboard!$L$5*MAX(0,Dashboard!$I$5-D1056)/30.4375</x:f>
        <x:v>0</x:v>
      </x:c>
      <x:c r="R1056" s="1" t="n">
        <x:f>MAX(0,E1056+P1056-Q1056)</x:f>
        <x:v>0</x:v>
      </x:c>
      <x:c r="S1056" s="1" t="n">
        <x:f>MAX(0,Q1056-E1056-P1056)</x:f>
        <x:v>0</x:v>
      </x:c>
      <x:c r="T1056" s="1" t="n">
        <x:f>IF(L1056=1,MAX(0,I1056+AB1056-MIN(Q1056,E1056+P1056)),"n.a.")</x:f>
        <x:v>0</x:v>
      </x:c>
      <x:c r="U1056" s="9" t="n">
        <x:f>IF(ISNUMBER(T1056),T1056*G1056,"n.a.")</x:f>
        <x:v>0</x:v>
      </x:c>
      <x:c r="V1056" s="25" t="n">
        <x:f>IF(Dashboard!$I$6="Flat %",1,IF(ISNUMBER(H1056),1,0))</x:f>
        <x:v>1</x:v>
      </x:c>
      <x:c r="W1056" s="9" t="n">
        <x:f>IF(Dashboard!$I$6="Flat %",G1056*(1+Dashboard!$L$6),H1056)</x:f>
        <x:v>30.78</x:v>
      </x:c>
      <x:c r="X1056" s="9" t="n">
        <x:f>IF(V1056=1,R1056*(W1056-G1056),"n.a.")</x:f>
        <x:v>0</x:v>
      </x:c>
      <x:c r="Y1056" s="9" t="n">
        <x:f>IF(V1056=1,R1056*W1056,"n.a.")</x:f>
        <x:v>0</x:v>
      </x:c>
      <x:c r="Z1056" s="1" t="n">
        <x:f>IF(ISNUMBER(T1056),R1056-T1056,"n.a.")</x:f>
        <x:v>0</x:v>
      </x:c>
      <x:c r="AA1056" s="1" t="str">
        <x:f>'Inventory inputs'!R1056</x:f>
        <x:v>Classified</x:v>
      </x:c>
      <x:c r="AB1056" s="1" t="n">
        <x:f>IF(L1056=1,SUMIFS('Incoming POs'!$P$2:$P$305,'Incoming POs'!$A$2:$A$305,A1056,'Incoming POs'!$B$2:$B$305,B1056,'Incoming POs'!$C$2:$C$305,C1056,'Incoming POs'!$G$2:$G$305,"&gt;="&amp;D1056,'Incoming POs'!$G$2:$G$305,"&lt;"&amp;Dashboard!$I$5,'Incoming POs'!$Q$2:$Q$305,"&lt;="&amp;('Inventory inputs'!P1056/'Inventory inputs'!J1056*1.01)),"n.a.")</x:f>
        <x:v>0</x:v>
      </x:c>
      <x:c r="AC1056" s="9" t="n">
        <x:f>I1056*G1056</x:f>
        <x:v>0</x:v>
      </x:c>
      <x:c r="AD1056" s="9" t="n">
        <x:f>J1056*G1056</x:f>
        <x:v>0</x:v>
      </x:c>
      <x:c r="AE1056" s="9" t="n">
        <x:f>K1056*G1056</x:f>
        <x:v>0</x:v>
      </x:c>
      <x:c r="AF1056" s="9" t="n">
        <x:f>R1056*G1056</x:f>
        <x:v>0</x:v>
      </x:c>
    </x:row>
    <x:row r="1057" ht="21" customHeight="1">
      <x:c r="A1057" s="1" t="str">
        <x:f>'Inventory inputs'!A1057</x:f>
        <x:v>FILM</x:v>
      </x:c>
      <x:c r="B1057" s="1" t="str">
        <x:f>'Inventory inputs'!B1057</x:f>
        <x:v>60</x:v>
      </x:c>
      <x:c r="C1057" s="1" t="str">
        <x:f>'Inventory inputs'!C1057</x:f>
        <x:v>PR432503C3</x:v>
      </x:c>
      <x:c r="D1057" s="7" t="n">
        <x:f>'Inventory inputs'!E1057</x:f>
        <x:v>46304</x:v>
      </x:c>
      <x:c r="E1057" s="1" t="n">
        <x:f>'Inventory inputs'!F1057</x:f>
        <x:v>0</x:v>
      </x:c>
      <x:c r="F1057" s="1" t="n">
        <x:f>'Inventory inputs'!G1057</x:f>
        <x:v>0</x:v>
      </x:c>
      <x:c r="G1057" s="1" t="n">
        <x:f>'Inventory inputs'!H1057/'Inventory inputs'!J1057</x:f>
        <x:v>29.03</x:v>
      </x:c>
      <x:c r="H1057" s="1" t="n">
        <x:f>IF('Inventory inputs'!I1057&gt;0,'Inventory inputs'!I1057*'Inventory inputs'!K1057/'Inventory inputs'!J1057,"n.a.")</x:f>
        <x:v>34.83</x:v>
      </x:c>
      <x:c r="I1057" s="1" t="n">
        <x:f>'Inventory inputs'!L1057</x:f>
        <x:v>0</x:v>
      </x:c>
      <x:c r="J1057" s="1" t="n">
        <x:f>'Inventory inputs'!M1057</x:f>
        <x:v>0</x:v>
      </x:c>
      <x:c r="K1057" s="1" t="n">
        <x:f>'Inventory inputs'!N1057</x:f>
        <x:v>0</x:v>
      </x:c>
      <x:c r="L1057" s="1" t="n">
        <x:f>'Inventory inputs'!O1057</x:f>
        <x:v>1</x:v>
      </x:c>
      <x:c r="M1057" s="9" t="n">
        <x:f>E1057*G1057</x:f>
        <x:v>0</x:v>
      </x:c>
      <x:c r="N1057" s="9" t="n">
        <x:f>'Inventory inputs'!Q1057</x:f>
        <x:v>0</x:v>
      </x:c>
      <x:c r="O1057" s="9" t="n">
        <x:f>N1057-M1057</x:f>
        <x:v>0</x:v>
      </x:c>
      <x:c r="P1057" s="1" t="n">
        <x:f>SUMIFS('Incoming POs'!$P$2:$P$305,'Incoming POs'!$A$2:$A$305,A1057,'Incoming POs'!$B$2:$B$305,B1057,'Incoming POs'!$C$2:$C$305,C1057,'Incoming POs'!$G$2:$G$305,"&gt;="&amp;D1057,'Incoming POs'!$G$2:$G$305,"&lt;"&amp;Dashboard!$I$5)</x:f>
        <x:v>0</x:v>
      </x:c>
      <x:c r="Q1057" s="1" t="n">
        <x:f>F1057*Dashboard!$L$5*MAX(0,Dashboard!$I$5-D1057)/30.4375</x:f>
        <x:v>0</x:v>
      </x:c>
      <x:c r="R1057" s="1" t="n">
        <x:f>MAX(0,E1057+P1057-Q1057)</x:f>
        <x:v>0</x:v>
      </x:c>
      <x:c r="S1057" s="1" t="n">
        <x:f>MAX(0,Q1057-E1057-P1057)</x:f>
        <x:v>0</x:v>
      </x:c>
      <x:c r="T1057" s="1" t="n">
        <x:f>IF(L1057=1,MAX(0,I1057+AB1057-MIN(Q1057,E1057+P1057)),"n.a.")</x:f>
        <x:v>0</x:v>
      </x:c>
      <x:c r="U1057" s="9" t="n">
        <x:f>IF(ISNUMBER(T1057),T1057*G1057,"n.a.")</x:f>
        <x:v>0</x:v>
      </x:c>
      <x:c r="V1057" s="25" t="n">
        <x:f>IF(Dashboard!$I$6="Flat %",1,IF(ISNUMBER(H1057),1,0))</x:f>
        <x:v>1</x:v>
      </x:c>
      <x:c r="W1057" s="9" t="n">
        <x:f>IF(Dashboard!$I$6="Flat %",G1057*(1+Dashboard!$L$6),H1057)</x:f>
        <x:v>34.83</x:v>
      </x:c>
      <x:c r="X1057" s="9" t="n">
        <x:f>IF(V1057=1,R1057*(W1057-G1057),"n.a.")</x:f>
        <x:v>0</x:v>
      </x:c>
      <x:c r="Y1057" s="9" t="n">
        <x:f>IF(V1057=1,R1057*W1057,"n.a.")</x:f>
        <x:v>0</x:v>
      </x:c>
      <x:c r="Z1057" s="1" t="n">
        <x:f>IF(ISNUMBER(T1057),R1057-T1057,"n.a.")</x:f>
        <x:v>0</x:v>
      </x:c>
      <x:c r="AA1057" s="1" t="str">
        <x:f>'Inventory inputs'!R1057</x:f>
        <x:v>Classified</x:v>
      </x:c>
      <x:c r="AB1057" s="1" t="n">
        <x:f>IF(L1057=1,SUMIFS('Incoming POs'!$P$2:$P$305,'Incoming POs'!$A$2:$A$305,A1057,'Incoming POs'!$B$2:$B$305,B1057,'Incoming POs'!$C$2:$C$305,C1057,'Incoming POs'!$G$2:$G$305,"&gt;="&amp;D1057,'Incoming POs'!$G$2:$G$305,"&lt;"&amp;Dashboard!$I$5,'Incoming POs'!$Q$2:$Q$305,"&lt;="&amp;('Inventory inputs'!P1057/'Inventory inputs'!J1057*1.01)),"n.a.")</x:f>
        <x:v>0</x:v>
      </x:c>
      <x:c r="AC1057" s="9" t="n">
        <x:f>I1057*G1057</x:f>
        <x:v>0</x:v>
      </x:c>
      <x:c r="AD1057" s="9" t="n">
        <x:f>J1057*G1057</x:f>
        <x:v>0</x:v>
      </x:c>
      <x:c r="AE1057" s="9" t="n">
        <x:f>K1057*G1057</x:f>
        <x:v>0</x:v>
      </x:c>
      <x:c r="AF1057" s="9" t="n">
        <x:f>R1057*G1057</x:f>
        <x:v>0</x:v>
      </x:c>
    </x:row>
    <x:row r="1058" ht="21" customHeight="1">
      <x:c r="A1058" s="1" t="str">
        <x:f>'Inventory inputs'!A1058</x:f>
        <x:v>FILM</x:v>
      </x:c>
      <x:c r="B1058" s="1" t="str">
        <x:f>'Inventory inputs'!B1058</x:f>
        <x:v>60</x:v>
      </x:c>
      <x:c r="C1058" s="1" t="str">
        <x:f>'Inventory inputs'!C1058</x:f>
        <x:v>SG27500C1</x:v>
      </x:c>
      <x:c r="D1058" s="7" t="n">
        <x:f>'Inventory inputs'!E1058</x:f>
        <x:v>46304</x:v>
      </x:c>
      <x:c r="E1058" s="1" t="n">
        <x:f>'Inventory inputs'!F1058</x:f>
        <x:v>0</x:v>
      </x:c>
      <x:c r="F1058" s="1" t="n">
        <x:f>'Inventory inputs'!G1058</x:f>
        <x:v>0</x:v>
      </x:c>
      <x:c r="G1058" s="1" t="n">
        <x:f>'Inventory inputs'!H1058/'Inventory inputs'!J1058</x:f>
        <x:v>10.04</x:v>
      </x:c>
      <x:c r="H1058" s="1" t="str">
        <x:f>IF('Inventory inputs'!I1058&gt;0,'Inventory inputs'!I1058*'Inventory inputs'!K1058/'Inventory inputs'!J1058,"n.a.")</x:f>
        <x:v>n.a.</x:v>
      </x:c>
      <x:c r="I1058" s="1" t="n">
        <x:f>'Inventory inputs'!L1058</x:f>
        <x:v>0</x:v>
      </x:c>
      <x:c r="J1058" s="1" t="n">
        <x:f>'Inventory inputs'!M1058</x:f>
        <x:v>0</x:v>
      </x:c>
      <x:c r="K1058" s="1" t="n">
        <x:f>'Inventory inputs'!N1058</x:f>
        <x:v>0</x:v>
      </x:c>
      <x:c r="L1058" s="1" t="n">
        <x:f>'Inventory inputs'!O1058</x:f>
        <x:v>0</x:v>
      </x:c>
      <x:c r="M1058" s="9" t="n">
        <x:f>E1058*G1058</x:f>
        <x:v>0</x:v>
      </x:c>
      <x:c r="N1058" s="9" t="n">
        <x:f>'Inventory inputs'!Q1058</x:f>
        <x:v>0</x:v>
      </x:c>
      <x:c r="O1058" s="9" t="n">
        <x:f>N1058-M1058</x:f>
        <x:v>0</x:v>
      </x:c>
      <x:c r="P1058" s="1" t="n">
        <x:f>SUMIFS('Incoming POs'!$P$2:$P$305,'Incoming POs'!$A$2:$A$305,A1058,'Incoming POs'!$B$2:$B$305,B1058,'Incoming POs'!$C$2:$C$305,C1058,'Incoming POs'!$G$2:$G$305,"&gt;="&amp;D1058,'Incoming POs'!$G$2:$G$305,"&lt;"&amp;Dashboard!$I$5)</x:f>
        <x:v>0</x:v>
      </x:c>
      <x:c r="Q1058" s="1" t="n">
        <x:f>F1058*Dashboard!$L$5*MAX(0,Dashboard!$I$5-D1058)/30.4375</x:f>
        <x:v>0</x:v>
      </x:c>
      <x:c r="R1058" s="1" t="n">
        <x:f>MAX(0,E1058+P1058-Q1058)</x:f>
        <x:v>0</x:v>
      </x:c>
      <x:c r="S1058" s="1" t="n">
        <x:f>MAX(0,Q1058-E1058-P1058)</x:f>
        <x:v>0</x:v>
      </x:c>
      <x:c r="T1058" s="1" t="str">
        <x:f>IF(L1058=1,MAX(0,I1058+AB1058-MIN(Q1058,E1058+P1058)),"n.a.")</x:f>
        <x:v>n.a.</x:v>
      </x:c>
      <x:c r="U1058" s="9" t="str">
        <x:f>IF(ISNUMBER(T1058),T1058*G1058,"n.a.")</x:f>
        <x:v>n.a.</x:v>
      </x:c>
      <x:c r="V1058" s="25" t="n">
        <x:f>IF(Dashboard!$I$6="Flat %",1,IF(ISNUMBER(H1058),1,0))</x:f>
        <x:v>0</x:v>
      </x:c>
      <x:c r="W1058" s="9" t="str">
        <x:f>IF(Dashboard!$I$6="Flat %",G1058*(1+Dashboard!$L$6),H1058)</x:f>
        <x:v>n.a.</x:v>
      </x:c>
      <x:c r="X1058" s="9" t="str">
        <x:f>IF(V1058=1,R1058*(W1058-G1058),"n.a.")</x:f>
        <x:v>n.a.</x:v>
      </x:c>
      <x:c r="Y1058" s="9" t="str">
        <x:f>IF(V1058=1,R1058*W1058,"n.a.")</x:f>
        <x:v>n.a.</x:v>
      </x:c>
      <x:c r="Z1058" s="1" t="str">
        <x:f>IF(ISNUMBER(T1058),R1058-T1058,"n.a.")</x:f>
        <x:v>n.a.</x:v>
      </x:c>
      <x:c r="AA1058" s="1" t="str">
        <x:f>'Inventory inputs'!R1058</x:f>
        <x:v>Review receipt reconciliation or original PO baseline</x:v>
      </x:c>
      <x:c r="AB1058" s="1" t="str">
        <x:f>IF(L1058=1,SUMIFS('Incoming POs'!$P$2:$P$305,'Incoming POs'!$A$2:$A$305,A1058,'Incoming POs'!$B$2:$B$305,B1058,'Incoming POs'!$C$2:$C$305,C1058,'Incoming POs'!$G$2:$G$305,"&gt;="&amp;D1058,'Incoming POs'!$G$2:$G$305,"&lt;"&amp;Dashboard!$I$5,'Incoming POs'!$Q$2:$Q$305,"&lt;="&amp;('Inventory inputs'!P1058/'Inventory inputs'!J1058*1.01)),"n.a.")</x:f>
        <x:v>n.a.</x:v>
      </x:c>
      <x:c r="AC1058" s="9" t="n">
        <x:f>I1058*G1058</x:f>
        <x:v>0</x:v>
      </x:c>
      <x:c r="AD1058" s="9" t="n">
        <x:f>J1058*G1058</x:f>
        <x:v>0</x:v>
      </x:c>
      <x:c r="AE1058" s="9" t="n">
        <x:f>K1058*G1058</x:f>
        <x:v>0</x:v>
      </x:c>
      <x:c r="AF1058" s="9" t="n">
        <x:f>R1058*G1058</x:f>
        <x:v>0</x:v>
      </x:c>
    </x:row>
    <x:row r="1059" ht="21" customHeight="1">
      <x:c r="A1059" s="1" t="str">
        <x:f>'Inventory inputs'!A1059</x:f>
        <x:v>FILM</x:v>
      </x:c>
      <x:c r="B1059" s="1" t="str">
        <x:f>'Inventory inputs'!B1059</x:f>
        <x:v>60</x:v>
      </x:c>
      <x:c r="C1059" s="1" t="str">
        <x:f>'Inventory inputs'!C1059</x:f>
        <x:v>ST382005M3</x:v>
      </x:c>
      <x:c r="D1059" s="7" t="n">
        <x:f>'Inventory inputs'!E1059</x:f>
        <x:v>46304</x:v>
      </x:c>
      <x:c r="E1059" s="1" t="n">
        <x:f>'Inventory inputs'!F1059</x:f>
        <x:v>0</x:v>
      </x:c>
      <x:c r="F1059" s="1" t="n">
        <x:f>'Inventory inputs'!G1059</x:f>
        <x:v>0</x:v>
      </x:c>
      <x:c r="G1059" s="1" t="n">
        <x:f>'Inventory inputs'!H1059/'Inventory inputs'!J1059</x:f>
        <x:v>76.52</x:v>
      </x:c>
      <x:c r="H1059" s="1" t="n">
        <x:f>IF('Inventory inputs'!I1059&gt;0,'Inventory inputs'!I1059*'Inventory inputs'!K1059/'Inventory inputs'!J1059,"n.a.")</x:f>
        <x:v>92.11</x:v>
      </x:c>
      <x:c r="I1059" s="1" t="n">
        <x:f>'Inventory inputs'!L1059</x:f>
        <x:v>0</x:v>
      </x:c>
      <x:c r="J1059" s="1" t="n">
        <x:f>'Inventory inputs'!M1059</x:f>
        <x:v>0</x:v>
      </x:c>
      <x:c r="K1059" s="1" t="n">
        <x:f>'Inventory inputs'!N1059</x:f>
        <x:v>0</x:v>
      </x:c>
      <x:c r="L1059" s="1" t="n">
        <x:f>'Inventory inputs'!O1059</x:f>
        <x:v>1</x:v>
      </x:c>
      <x:c r="M1059" s="9" t="n">
        <x:f>E1059*G1059</x:f>
        <x:v>0</x:v>
      </x:c>
      <x:c r="N1059" s="9" t="n">
        <x:f>'Inventory inputs'!Q1059</x:f>
        <x:v>0</x:v>
      </x:c>
      <x:c r="O1059" s="9" t="n">
        <x:f>N1059-M1059</x:f>
        <x:v>0</x:v>
      </x:c>
      <x:c r="P1059" s="1" t="n">
        <x:f>SUMIFS('Incoming POs'!$P$2:$P$305,'Incoming POs'!$A$2:$A$305,A1059,'Incoming POs'!$B$2:$B$305,B1059,'Incoming POs'!$C$2:$C$305,C1059,'Incoming POs'!$G$2:$G$305,"&gt;="&amp;D1059,'Incoming POs'!$G$2:$G$305,"&lt;"&amp;Dashboard!$I$5)</x:f>
        <x:v>0</x:v>
      </x:c>
      <x:c r="Q1059" s="1" t="n">
        <x:f>F1059*Dashboard!$L$5*MAX(0,Dashboard!$I$5-D1059)/30.4375</x:f>
        <x:v>0</x:v>
      </x:c>
      <x:c r="R1059" s="1" t="n">
        <x:f>MAX(0,E1059+P1059-Q1059)</x:f>
        <x:v>0</x:v>
      </x:c>
      <x:c r="S1059" s="1" t="n">
        <x:f>MAX(0,Q1059-E1059-P1059)</x:f>
        <x:v>0</x:v>
      </x:c>
      <x:c r="T1059" s="1" t="n">
        <x:f>IF(L1059=1,MAX(0,I1059+AB1059-MIN(Q1059,E1059+P1059)),"n.a.")</x:f>
        <x:v>0</x:v>
      </x:c>
      <x:c r="U1059" s="9" t="n">
        <x:f>IF(ISNUMBER(T1059),T1059*G1059,"n.a.")</x:f>
        <x:v>0</x:v>
      </x:c>
      <x:c r="V1059" s="25" t="n">
        <x:f>IF(Dashboard!$I$6="Flat %",1,IF(ISNUMBER(H1059),1,0))</x:f>
        <x:v>1</x:v>
      </x:c>
      <x:c r="W1059" s="9" t="n">
        <x:f>IF(Dashboard!$I$6="Flat %",G1059*(1+Dashboard!$L$6),H1059)</x:f>
        <x:v>92.11</x:v>
      </x:c>
      <x:c r="X1059" s="9" t="n">
        <x:f>IF(V1059=1,R1059*(W1059-G1059),"n.a.")</x:f>
        <x:v>0</x:v>
      </x:c>
      <x:c r="Y1059" s="9" t="n">
        <x:f>IF(V1059=1,R1059*W1059,"n.a.")</x:f>
        <x:v>0</x:v>
      </x:c>
      <x:c r="Z1059" s="1" t="n">
        <x:f>IF(ISNUMBER(T1059),R1059-T1059,"n.a.")</x:f>
        <x:v>0</x:v>
      </x:c>
      <x:c r="AA1059" s="1" t="str">
        <x:f>'Inventory inputs'!R1059</x:f>
        <x:v>Classified</x:v>
      </x:c>
      <x:c r="AB1059" s="1" t="n">
        <x:f>IF(L1059=1,SUMIFS('Incoming POs'!$P$2:$P$305,'Incoming POs'!$A$2:$A$305,A1059,'Incoming POs'!$B$2:$B$305,B1059,'Incoming POs'!$C$2:$C$305,C1059,'Incoming POs'!$G$2:$G$305,"&gt;="&amp;D1059,'Incoming POs'!$G$2:$G$305,"&lt;"&amp;Dashboard!$I$5,'Incoming POs'!$Q$2:$Q$305,"&lt;="&amp;('Inventory inputs'!P1059/'Inventory inputs'!J1059*1.01)),"n.a.")</x:f>
        <x:v>0</x:v>
      </x:c>
      <x:c r="AC1059" s="9" t="n">
        <x:f>I1059*G1059</x:f>
        <x:v>0</x:v>
      </x:c>
      <x:c r="AD1059" s="9" t="n">
        <x:f>J1059*G1059</x:f>
        <x:v>0</x:v>
      </x:c>
      <x:c r="AE1059" s="9" t="n">
        <x:f>K1059*G1059</x:f>
        <x:v>0</x:v>
      </x:c>
      <x:c r="AF1059" s="9" t="n">
        <x:f>R1059*G1059</x:f>
        <x:v>0</x:v>
      </x:c>
    </x:row>
    <x:row r="1060" ht="21" customHeight="1">
      <x:c r="A1060" s="1" t="str">
        <x:f>'Inventory inputs'!A1060</x:f>
        <x:v>FILM</x:v>
      </x:c>
      <x:c r="B1060" s="1" t="str">
        <x:f>'Inventory inputs'!B1060</x:f>
        <x:v>60</x:v>
      </x:c>
      <x:c r="C1060" s="1" t="str">
        <x:f>'Inventory inputs'!C1060</x:f>
        <x:v>ST382503M3</x:v>
      </x:c>
      <x:c r="D1060" s="7" t="n">
        <x:f>'Inventory inputs'!E1060</x:f>
        <x:v>46304</x:v>
      </x:c>
      <x:c r="E1060" s="1" t="n">
        <x:f>'Inventory inputs'!F1060</x:f>
        <x:v>0</x:v>
      </x:c>
      <x:c r="F1060" s="1" t="n">
        <x:f>'Inventory inputs'!G1060</x:f>
        <x:v>0</x:v>
      </x:c>
      <x:c r="G1060" s="1" t="n">
        <x:f>'Inventory inputs'!H1060/'Inventory inputs'!J1060</x:f>
        <x:v>62.13</x:v>
      </x:c>
      <x:c r="H1060" s="1" t="n">
        <x:f>IF('Inventory inputs'!I1060&gt;0,'Inventory inputs'!I1060*'Inventory inputs'!K1060/'Inventory inputs'!J1060,"n.a.")</x:f>
        <x:v>74.56</x:v>
      </x:c>
      <x:c r="I1060" s="1" t="n">
        <x:f>'Inventory inputs'!L1060</x:f>
        <x:v>0</x:v>
      </x:c>
      <x:c r="J1060" s="1" t="n">
        <x:f>'Inventory inputs'!M1060</x:f>
        <x:v>0</x:v>
      </x:c>
      <x:c r="K1060" s="1" t="n">
        <x:f>'Inventory inputs'!N1060</x:f>
        <x:v>0</x:v>
      </x:c>
      <x:c r="L1060" s="1" t="n">
        <x:f>'Inventory inputs'!O1060</x:f>
        <x:v>1</x:v>
      </x:c>
      <x:c r="M1060" s="9" t="n">
        <x:f>E1060*G1060</x:f>
        <x:v>0</x:v>
      </x:c>
      <x:c r="N1060" s="9" t="n">
        <x:f>'Inventory inputs'!Q1060</x:f>
        <x:v>0</x:v>
      </x:c>
      <x:c r="O1060" s="9" t="n">
        <x:f>N1060-M1060</x:f>
        <x:v>0</x:v>
      </x:c>
      <x:c r="P1060" s="1" t="n">
        <x:f>SUMIFS('Incoming POs'!$P$2:$P$305,'Incoming POs'!$A$2:$A$305,A1060,'Incoming POs'!$B$2:$B$305,B1060,'Incoming POs'!$C$2:$C$305,C1060,'Incoming POs'!$G$2:$G$305,"&gt;="&amp;D1060,'Incoming POs'!$G$2:$G$305,"&lt;"&amp;Dashboard!$I$5)</x:f>
        <x:v>0</x:v>
      </x:c>
      <x:c r="Q1060" s="1" t="n">
        <x:f>F1060*Dashboard!$L$5*MAX(0,Dashboard!$I$5-D1060)/30.4375</x:f>
        <x:v>0</x:v>
      </x:c>
      <x:c r="R1060" s="1" t="n">
        <x:f>MAX(0,E1060+P1060-Q1060)</x:f>
        <x:v>0</x:v>
      </x:c>
      <x:c r="S1060" s="1" t="n">
        <x:f>MAX(0,Q1060-E1060-P1060)</x:f>
        <x:v>0</x:v>
      </x:c>
      <x:c r="T1060" s="1" t="n">
        <x:f>IF(L1060=1,MAX(0,I1060+AB1060-MIN(Q1060,E1060+P1060)),"n.a.")</x:f>
        <x:v>0</x:v>
      </x:c>
      <x:c r="U1060" s="9" t="n">
        <x:f>IF(ISNUMBER(T1060),T1060*G1060,"n.a.")</x:f>
        <x:v>0</x:v>
      </x:c>
      <x:c r="V1060" s="25" t="n">
        <x:f>IF(Dashboard!$I$6="Flat %",1,IF(ISNUMBER(H1060),1,0))</x:f>
        <x:v>1</x:v>
      </x:c>
      <x:c r="W1060" s="9" t="n">
        <x:f>IF(Dashboard!$I$6="Flat %",G1060*(1+Dashboard!$L$6),H1060)</x:f>
        <x:v>74.56</x:v>
      </x:c>
      <x:c r="X1060" s="9" t="n">
        <x:f>IF(V1060=1,R1060*(W1060-G1060),"n.a.")</x:f>
        <x:v>0</x:v>
      </x:c>
      <x:c r="Y1060" s="9" t="n">
        <x:f>IF(V1060=1,R1060*W1060,"n.a.")</x:f>
        <x:v>0</x:v>
      </x:c>
      <x:c r="Z1060" s="1" t="n">
        <x:f>IF(ISNUMBER(T1060),R1060-T1060,"n.a.")</x:f>
        <x:v>0</x:v>
      </x:c>
      <x:c r="AA1060" s="1" t="str">
        <x:f>'Inventory inputs'!R1060</x:f>
        <x:v>Classified</x:v>
      </x:c>
      <x:c r="AB1060" s="1" t="n">
        <x:f>IF(L1060=1,SUMIFS('Incoming POs'!$P$2:$P$305,'Incoming POs'!$A$2:$A$305,A1060,'Incoming POs'!$B$2:$B$305,B1060,'Incoming POs'!$C$2:$C$305,C1060,'Incoming POs'!$G$2:$G$305,"&gt;="&amp;D1060,'Incoming POs'!$G$2:$G$305,"&lt;"&amp;Dashboard!$I$5,'Incoming POs'!$Q$2:$Q$305,"&lt;="&amp;('Inventory inputs'!P1060/'Inventory inputs'!J1060*1.01)),"n.a.")</x:f>
        <x:v>0</x:v>
      </x:c>
      <x:c r="AC1060" s="9" t="n">
        <x:f>I1060*G1060</x:f>
        <x:v>0</x:v>
      </x:c>
      <x:c r="AD1060" s="9" t="n">
        <x:f>J1060*G1060</x:f>
        <x:v>0</x:v>
      </x:c>
      <x:c r="AE1060" s="9" t="n">
        <x:f>K1060*G1060</x:f>
        <x:v>0</x:v>
      </x:c>
      <x:c r="AF1060" s="9" t="n">
        <x:f>R1060*G1060</x:f>
        <x:v>0</x:v>
      </x:c>
    </x:row>
    <x:row r="1061" ht="21" customHeight="1">
      <x:c r="A1061" s="1" t="str">
        <x:f>'Inventory inputs'!A1061</x:f>
        <x:v>FILM</x:v>
      </x:c>
      <x:c r="B1061" s="1" t="str">
        <x:f>'Inventory inputs'!B1061</x:f>
        <x:v>60</x:v>
      </x:c>
      <x:c r="C1061" s="1" t="str">
        <x:f>'Inventory inputs'!C1061</x:f>
        <x:v>ST3850017M3</x:v>
      </x:c>
      <x:c r="D1061" s="7" t="n">
        <x:f>'Inventory inputs'!E1061</x:f>
        <x:v>46304</x:v>
      </x:c>
      <x:c r="E1061" s="1" t="n">
        <x:f>'Inventory inputs'!F1061</x:f>
        <x:v>36</x:v>
      </x:c>
      <x:c r="F1061" s="1" t="n">
        <x:f>'Inventory inputs'!G1061</x:f>
        <x:v>0</x:v>
      </x:c>
      <x:c r="G1061" s="1" t="n">
        <x:f>'Inventory inputs'!H1061/'Inventory inputs'!J1061</x:f>
        <x:v>95.76</x:v>
      </x:c>
      <x:c r="H1061" s="1" t="n">
        <x:f>IF('Inventory inputs'!I1061&gt;0,'Inventory inputs'!I1061*'Inventory inputs'!K1061/'Inventory inputs'!J1061,"n.a.")</x:f>
        <x:v>114.91</x:v>
      </x:c>
      <x:c r="I1061" s="1" t="n">
        <x:f>'Inventory inputs'!L1061</x:f>
        <x:v>36</x:v>
      </x:c>
      <x:c r="J1061" s="1" t="n">
        <x:f>'Inventory inputs'!M1061</x:f>
        <x:v>0</x:v>
      </x:c>
      <x:c r="K1061" s="1" t="n">
        <x:f>'Inventory inputs'!N1061</x:f>
        <x:v>0</x:v>
      </x:c>
      <x:c r="L1061" s="1" t="n">
        <x:f>'Inventory inputs'!O1061</x:f>
        <x:v>1</x:v>
      </x:c>
      <x:c r="M1061" s="9" t="n">
        <x:f>E1061*G1061</x:f>
        <x:v>3447.36</x:v>
      </x:c>
      <x:c r="N1061" s="9" t="n">
        <x:f>'Inventory inputs'!Q1061</x:f>
        <x:v>3447.36</x:v>
      </x:c>
      <x:c r="O1061" s="9" t="n">
        <x:f>N1061-M1061</x:f>
        <x:v>0</x:v>
      </x:c>
      <x:c r="P1061" s="1" t="n">
        <x:f>SUMIFS('Incoming POs'!$P$2:$P$305,'Incoming POs'!$A$2:$A$305,A1061,'Incoming POs'!$B$2:$B$305,B1061,'Incoming POs'!$C$2:$C$305,C1061,'Incoming POs'!$G$2:$G$305,"&gt;="&amp;D1061,'Incoming POs'!$G$2:$G$305,"&lt;"&amp;Dashboard!$I$5)</x:f>
        <x:v>0</x:v>
      </x:c>
      <x:c r="Q1061" s="1" t="n">
        <x:f>F1061*Dashboard!$L$5*MAX(0,Dashboard!$I$5-D1061)/30.4375</x:f>
        <x:v>0</x:v>
      </x:c>
      <x:c r="R1061" s="1" t="n">
        <x:f>MAX(0,E1061+P1061-Q1061)</x:f>
        <x:v>36</x:v>
      </x:c>
      <x:c r="S1061" s="1" t="n">
        <x:f>MAX(0,Q1061-E1061-P1061)</x:f>
        <x:v>0</x:v>
      </x:c>
      <x:c r="T1061" s="1" t="n">
        <x:f>IF(L1061=1,MAX(0,I1061+AB1061-MIN(Q1061,E1061+P1061)),"n.a.")</x:f>
        <x:v>36</x:v>
      </x:c>
      <x:c r="U1061" s="9" t="n">
        <x:f>IF(ISNUMBER(T1061),T1061*G1061,"n.a.")</x:f>
        <x:v>3447.36</x:v>
      </x:c>
      <x:c r="V1061" s="25" t="n">
        <x:f>IF(Dashboard!$I$6="Flat %",1,IF(ISNUMBER(H1061),1,0))</x:f>
        <x:v>1</x:v>
      </x:c>
      <x:c r="W1061" s="9" t="n">
        <x:f>IF(Dashboard!$I$6="Flat %",G1061*(1+Dashboard!$L$6),H1061)</x:f>
        <x:v>114.91</x:v>
      </x:c>
      <x:c r="X1061" s="9" t="n">
        <x:f>IF(V1061=1,R1061*(W1061-G1061),"n.a.")</x:f>
        <x:v>689.3999999999996</x:v>
      </x:c>
      <x:c r="Y1061" s="9" t="n">
        <x:f>IF(V1061=1,R1061*W1061,"n.a.")</x:f>
        <x:v>4136.76</x:v>
      </x:c>
      <x:c r="Z1061" s="1" t="n">
        <x:f>IF(ISNUMBER(T1061),R1061-T1061,"n.a.")</x:f>
        <x:v>0</x:v>
      </x:c>
      <x:c r="AA1061" s="1" t="str">
        <x:f>'Inventory inputs'!R1061</x:f>
        <x:v>Classified</x:v>
      </x:c>
      <x:c r="AB1061" s="1" t="n">
        <x:f>IF(L1061=1,SUMIFS('Incoming POs'!$P$2:$P$305,'Incoming POs'!$A$2:$A$305,A1061,'Incoming POs'!$B$2:$B$305,B1061,'Incoming POs'!$C$2:$C$305,C1061,'Incoming POs'!$G$2:$G$305,"&gt;="&amp;D1061,'Incoming POs'!$G$2:$G$305,"&lt;"&amp;Dashboard!$I$5,'Incoming POs'!$Q$2:$Q$305,"&lt;="&amp;('Inventory inputs'!P1061/'Inventory inputs'!J1061*1.01)),"n.a.")</x:f>
        <x:v>0</x:v>
      </x:c>
      <x:c r="AC1061" s="9" t="n">
        <x:f>I1061*G1061</x:f>
        <x:v>3447.36</x:v>
      </x:c>
      <x:c r="AD1061" s="9" t="n">
        <x:f>J1061*G1061</x:f>
        <x:v>0</x:v>
      </x:c>
      <x:c r="AE1061" s="9" t="n">
        <x:f>K1061*G1061</x:f>
        <x:v>0</x:v>
      </x:c>
      <x:c r="AF1061" s="9" t="n">
        <x:f>R1061*G1061</x:f>
        <x:v>3447.36</x:v>
      </x:c>
    </x:row>
    <x:row r="1062" ht="21" customHeight="1">
      <x:c r="A1062" s="1" t="str">
        <x:f>'Inventory inputs'!A1062</x:f>
        <x:v>FILM</x:v>
      </x:c>
      <x:c r="B1062" s="1" t="str">
        <x:f>'Inventory inputs'!B1062</x:f>
        <x:v>60</x:v>
      </x:c>
      <x:c r="C1062" s="1" t="str">
        <x:f>'Inventory inputs'!C1062</x:f>
        <x:v>ST432005M3</x:v>
      </x:c>
      <x:c r="D1062" s="7" t="n">
        <x:f>'Inventory inputs'!E1062</x:f>
        <x:v>46304</x:v>
      </x:c>
      <x:c r="E1062" s="1" t="n">
        <x:f>'Inventory inputs'!F1062</x:f>
        <x:v>0</x:v>
      </x:c>
      <x:c r="F1062" s="1" t="n">
        <x:f>'Inventory inputs'!G1062</x:f>
        <x:v>0</x:v>
      </x:c>
      <x:c r="G1062" s="1" t="n">
        <x:f>'Inventory inputs'!H1062/'Inventory inputs'!J1062</x:f>
        <x:v>86.58</x:v>
      </x:c>
      <x:c r="H1062" s="1" t="n">
        <x:f>IF('Inventory inputs'!I1062&gt;0,'Inventory inputs'!I1062*'Inventory inputs'!K1062/'Inventory inputs'!J1062,"n.a.")</x:f>
        <x:v>104.23</x:v>
      </x:c>
      <x:c r="I1062" s="1" t="n">
        <x:f>'Inventory inputs'!L1062</x:f>
        <x:v>0</x:v>
      </x:c>
      <x:c r="J1062" s="1" t="n">
        <x:f>'Inventory inputs'!M1062</x:f>
        <x:v>0</x:v>
      </x:c>
      <x:c r="K1062" s="1" t="n">
        <x:f>'Inventory inputs'!N1062</x:f>
        <x:v>0</x:v>
      </x:c>
      <x:c r="L1062" s="1" t="n">
        <x:f>'Inventory inputs'!O1062</x:f>
        <x:v>1</x:v>
      </x:c>
      <x:c r="M1062" s="9" t="n">
        <x:f>E1062*G1062</x:f>
        <x:v>0</x:v>
      </x:c>
      <x:c r="N1062" s="9" t="n">
        <x:f>'Inventory inputs'!Q1062</x:f>
        <x:v>0</x:v>
      </x:c>
      <x:c r="O1062" s="9" t="n">
        <x:f>N1062-M1062</x:f>
        <x:v>0</x:v>
      </x:c>
      <x:c r="P1062" s="1" t="n">
        <x:f>SUMIFS('Incoming POs'!$P$2:$P$305,'Incoming POs'!$A$2:$A$305,A1062,'Incoming POs'!$B$2:$B$305,B1062,'Incoming POs'!$C$2:$C$305,C1062,'Incoming POs'!$G$2:$G$305,"&gt;="&amp;D1062,'Incoming POs'!$G$2:$G$305,"&lt;"&amp;Dashboard!$I$5)</x:f>
        <x:v>0</x:v>
      </x:c>
      <x:c r="Q1062" s="1" t="n">
        <x:f>F1062*Dashboard!$L$5*MAX(0,Dashboard!$I$5-D1062)/30.4375</x:f>
        <x:v>0</x:v>
      </x:c>
      <x:c r="R1062" s="1" t="n">
        <x:f>MAX(0,E1062+P1062-Q1062)</x:f>
        <x:v>0</x:v>
      </x:c>
      <x:c r="S1062" s="1" t="n">
        <x:f>MAX(0,Q1062-E1062-P1062)</x:f>
        <x:v>0</x:v>
      </x:c>
      <x:c r="T1062" s="1" t="n">
        <x:f>IF(L1062=1,MAX(0,I1062+AB1062-MIN(Q1062,E1062+P1062)),"n.a.")</x:f>
        <x:v>0</x:v>
      </x:c>
      <x:c r="U1062" s="9" t="n">
        <x:f>IF(ISNUMBER(T1062),T1062*G1062,"n.a.")</x:f>
        <x:v>0</x:v>
      </x:c>
      <x:c r="V1062" s="25" t="n">
        <x:f>IF(Dashboard!$I$6="Flat %",1,IF(ISNUMBER(H1062),1,0))</x:f>
        <x:v>1</x:v>
      </x:c>
      <x:c r="W1062" s="9" t="n">
        <x:f>IF(Dashboard!$I$6="Flat %",G1062*(1+Dashboard!$L$6),H1062)</x:f>
        <x:v>104.23</x:v>
      </x:c>
      <x:c r="X1062" s="9" t="n">
        <x:f>IF(V1062=1,R1062*(W1062-G1062),"n.a.")</x:f>
        <x:v>0</x:v>
      </x:c>
      <x:c r="Y1062" s="9" t="n">
        <x:f>IF(V1062=1,R1062*W1062,"n.a.")</x:f>
        <x:v>0</x:v>
      </x:c>
      <x:c r="Z1062" s="1" t="n">
        <x:f>IF(ISNUMBER(T1062),R1062-T1062,"n.a.")</x:f>
        <x:v>0</x:v>
      </x:c>
      <x:c r="AA1062" s="1" t="str">
        <x:f>'Inventory inputs'!R1062</x:f>
        <x:v>Classified</x:v>
      </x:c>
      <x:c r="AB1062" s="1" t="n">
        <x:f>IF(L1062=1,SUMIFS('Incoming POs'!$P$2:$P$305,'Incoming POs'!$A$2:$A$305,A1062,'Incoming POs'!$B$2:$B$305,B1062,'Incoming POs'!$C$2:$C$305,C1062,'Incoming POs'!$G$2:$G$305,"&gt;="&amp;D1062,'Incoming POs'!$G$2:$G$305,"&lt;"&amp;Dashboard!$I$5,'Incoming POs'!$Q$2:$Q$305,"&lt;="&amp;('Inventory inputs'!P1062/'Inventory inputs'!J1062*1.01)),"n.a.")</x:f>
        <x:v>0</x:v>
      </x:c>
      <x:c r="AC1062" s="9" t="n">
        <x:f>I1062*G1062</x:f>
        <x:v>0</x:v>
      </x:c>
      <x:c r="AD1062" s="9" t="n">
        <x:f>J1062*G1062</x:f>
        <x:v>0</x:v>
      </x:c>
      <x:c r="AE1062" s="9" t="n">
        <x:f>K1062*G1062</x:f>
        <x:v>0</x:v>
      </x:c>
      <x:c r="AF1062" s="9" t="n">
        <x:f>R1062*G1062</x:f>
        <x:v>0</x:v>
      </x:c>
    </x:row>
    <x:row r="1063" ht="21" customHeight="1">
      <x:c r="A1063" s="1" t="str">
        <x:f>'Inventory inputs'!A1063</x:f>
        <x:v>FILM</x:v>
      </x:c>
      <x:c r="B1063" s="1" t="str">
        <x:f>'Inventory inputs'!B1063</x:f>
        <x:v>60</x:v>
      </x:c>
      <x:c r="C1063" s="1" t="str">
        <x:f>'Inventory inputs'!C1063</x:f>
        <x:v>ST432503M3</x:v>
      </x:c>
      <x:c r="D1063" s="7" t="n">
        <x:f>'Inventory inputs'!E1063</x:f>
        <x:v>46304</x:v>
      </x:c>
      <x:c r="E1063" s="1" t="n">
        <x:f>'Inventory inputs'!F1063</x:f>
        <x:v>0</x:v>
      </x:c>
      <x:c r="F1063" s="1" t="n">
        <x:f>'Inventory inputs'!G1063</x:f>
        <x:v>0</x:v>
      </x:c>
      <x:c r="G1063" s="1" t="n">
        <x:f>'Inventory inputs'!H1063/'Inventory inputs'!J1063</x:f>
        <x:v>70.31</x:v>
      </x:c>
      <x:c r="H1063" s="1" t="n">
        <x:f>IF('Inventory inputs'!I1063&gt;0,'Inventory inputs'!I1063*'Inventory inputs'!K1063/'Inventory inputs'!J1063,"n.a.")</x:f>
        <x:v>84.37</x:v>
      </x:c>
      <x:c r="I1063" s="1" t="n">
        <x:f>'Inventory inputs'!L1063</x:f>
        <x:v>0</x:v>
      </x:c>
      <x:c r="J1063" s="1" t="n">
        <x:f>'Inventory inputs'!M1063</x:f>
        <x:v>0</x:v>
      </x:c>
      <x:c r="K1063" s="1" t="n">
        <x:f>'Inventory inputs'!N1063</x:f>
        <x:v>0</x:v>
      </x:c>
      <x:c r="L1063" s="1" t="n">
        <x:f>'Inventory inputs'!O1063</x:f>
        <x:v>1</x:v>
      </x:c>
      <x:c r="M1063" s="9" t="n">
        <x:f>E1063*G1063</x:f>
        <x:v>0</x:v>
      </x:c>
      <x:c r="N1063" s="9" t="n">
        <x:f>'Inventory inputs'!Q1063</x:f>
        <x:v>0</x:v>
      </x:c>
      <x:c r="O1063" s="9" t="n">
        <x:f>N1063-M1063</x:f>
        <x:v>0</x:v>
      </x:c>
      <x:c r="P1063" s="1" t="n">
        <x:f>SUMIFS('Incoming POs'!$P$2:$P$305,'Incoming POs'!$A$2:$A$305,A1063,'Incoming POs'!$B$2:$B$305,B1063,'Incoming POs'!$C$2:$C$305,C1063,'Incoming POs'!$G$2:$G$305,"&gt;="&amp;D1063,'Incoming POs'!$G$2:$G$305,"&lt;"&amp;Dashboard!$I$5)</x:f>
        <x:v>0</x:v>
      </x:c>
      <x:c r="Q1063" s="1" t="n">
        <x:f>F1063*Dashboard!$L$5*MAX(0,Dashboard!$I$5-D1063)/30.4375</x:f>
        <x:v>0</x:v>
      </x:c>
      <x:c r="R1063" s="1" t="n">
        <x:f>MAX(0,E1063+P1063-Q1063)</x:f>
        <x:v>0</x:v>
      </x:c>
      <x:c r="S1063" s="1" t="n">
        <x:f>MAX(0,Q1063-E1063-P1063)</x:f>
        <x:v>0</x:v>
      </x:c>
      <x:c r="T1063" s="1" t="n">
        <x:f>IF(L1063=1,MAX(0,I1063+AB1063-MIN(Q1063,E1063+P1063)),"n.a.")</x:f>
        <x:v>0</x:v>
      </x:c>
      <x:c r="U1063" s="9" t="n">
        <x:f>IF(ISNUMBER(T1063),T1063*G1063,"n.a.")</x:f>
        <x:v>0</x:v>
      </x:c>
      <x:c r="V1063" s="25" t="n">
        <x:f>IF(Dashboard!$I$6="Flat %",1,IF(ISNUMBER(H1063),1,0))</x:f>
        <x:v>1</x:v>
      </x:c>
      <x:c r="W1063" s="9" t="n">
        <x:f>IF(Dashboard!$I$6="Flat %",G1063*(1+Dashboard!$L$6),H1063)</x:f>
        <x:v>84.37</x:v>
      </x:c>
      <x:c r="X1063" s="9" t="n">
        <x:f>IF(V1063=1,R1063*(W1063-G1063),"n.a.")</x:f>
        <x:v>0</x:v>
      </x:c>
      <x:c r="Y1063" s="9" t="n">
        <x:f>IF(V1063=1,R1063*W1063,"n.a.")</x:f>
        <x:v>0</x:v>
      </x:c>
      <x:c r="Z1063" s="1" t="n">
        <x:f>IF(ISNUMBER(T1063),R1063-T1063,"n.a.")</x:f>
        <x:v>0</x:v>
      </x:c>
      <x:c r="AA1063" s="1" t="str">
        <x:f>'Inventory inputs'!R1063</x:f>
        <x:v>Classified</x:v>
      </x:c>
      <x:c r="AB1063" s="1" t="n">
        <x:f>IF(L1063=1,SUMIFS('Incoming POs'!$P$2:$P$305,'Incoming POs'!$A$2:$A$305,A1063,'Incoming POs'!$B$2:$B$305,B1063,'Incoming POs'!$C$2:$C$305,C1063,'Incoming POs'!$G$2:$G$305,"&gt;="&amp;D1063,'Incoming POs'!$G$2:$G$305,"&lt;"&amp;Dashboard!$I$5,'Incoming POs'!$Q$2:$Q$305,"&lt;="&amp;('Inventory inputs'!P1063/'Inventory inputs'!J1063*1.01)),"n.a.")</x:f>
        <x:v>0</x:v>
      </x:c>
      <x:c r="AC1063" s="9" t="n">
        <x:f>I1063*G1063</x:f>
        <x:v>0</x:v>
      </x:c>
      <x:c r="AD1063" s="9" t="n">
        <x:f>J1063*G1063</x:f>
        <x:v>0</x:v>
      </x:c>
      <x:c r="AE1063" s="9" t="n">
        <x:f>K1063*G1063</x:f>
        <x:v>0</x:v>
      </x:c>
      <x:c r="AF1063" s="9" t="n">
        <x:f>R1063*G1063</x:f>
        <x:v>0</x:v>
      </x:c>
    </x:row>
    <x:row r="1064" ht="21" customHeight="1">
      <x:c r="A1064" s="1" t="str">
        <x:f>'Inventory inputs'!A1064</x:f>
        <x:v>FILM</x:v>
      </x:c>
      <x:c r="B1064" s="1" t="str">
        <x:f>'Inventory inputs'!B1064</x:f>
        <x:v>60</x:v>
      </x:c>
      <x:c r="C1064" s="1" t="str">
        <x:f>'Inventory inputs'!C1064</x:f>
        <x:v>ST4350017M3</x:v>
      </x:c>
      <x:c r="D1064" s="7" t="n">
        <x:f>'Inventory inputs'!E1064</x:f>
        <x:v>46304</x:v>
      </x:c>
      <x:c r="E1064" s="1" t="n">
        <x:f>'Inventory inputs'!F1064</x:f>
        <x:v>0</x:v>
      </x:c>
      <x:c r="F1064" s="1" t="n">
        <x:f>'Inventory inputs'!G1064</x:f>
        <x:v>0</x:v>
      </x:c>
      <x:c r="G1064" s="1" t="n">
        <x:f>'Inventory inputs'!H1064/'Inventory inputs'!J1064</x:f>
        <x:v>108.36</x:v>
      </x:c>
      <x:c r="H1064" s="1" t="n">
        <x:f>IF('Inventory inputs'!I1064&gt;0,'Inventory inputs'!I1064*'Inventory inputs'!K1064/'Inventory inputs'!J1064,"n.a.")</x:f>
        <x:v>130.03</x:v>
      </x:c>
      <x:c r="I1064" s="1" t="n">
        <x:f>'Inventory inputs'!L1064</x:f>
        <x:v>0</x:v>
      </x:c>
      <x:c r="J1064" s="1" t="n">
        <x:f>'Inventory inputs'!M1064</x:f>
        <x:v>0</x:v>
      </x:c>
      <x:c r="K1064" s="1" t="n">
        <x:f>'Inventory inputs'!N1064</x:f>
        <x:v>0</x:v>
      </x:c>
      <x:c r="L1064" s="1" t="n">
        <x:f>'Inventory inputs'!O1064</x:f>
        <x:v>1</x:v>
      </x:c>
      <x:c r="M1064" s="9" t="n">
        <x:f>E1064*G1064</x:f>
        <x:v>0</x:v>
      </x:c>
      <x:c r="N1064" s="9" t="n">
        <x:f>'Inventory inputs'!Q1064</x:f>
        <x:v>0</x:v>
      </x:c>
      <x:c r="O1064" s="9" t="n">
        <x:f>N1064-M1064</x:f>
        <x:v>0</x:v>
      </x:c>
      <x:c r="P1064" s="1" t="n">
        <x:f>SUMIFS('Incoming POs'!$P$2:$P$305,'Incoming POs'!$A$2:$A$305,A1064,'Incoming POs'!$B$2:$B$305,B1064,'Incoming POs'!$C$2:$C$305,C1064,'Incoming POs'!$G$2:$G$305,"&gt;="&amp;D1064,'Incoming POs'!$G$2:$G$305,"&lt;"&amp;Dashboard!$I$5)</x:f>
        <x:v>0</x:v>
      </x:c>
      <x:c r="Q1064" s="1" t="n">
        <x:f>F1064*Dashboard!$L$5*MAX(0,Dashboard!$I$5-D1064)/30.4375</x:f>
        <x:v>0</x:v>
      </x:c>
      <x:c r="R1064" s="1" t="n">
        <x:f>MAX(0,E1064+P1064-Q1064)</x:f>
        <x:v>0</x:v>
      </x:c>
      <x:c r="S1064" s="1" t="n">
        <x:f>MAX(0,Q1064-E1064-P1064)</x:f>
        <x:v>0</x:v>
      </x:c>
      <x:c r="T1064" s="1" t="n">
        <x:f>IF(L1064=1,MAX(0,I1064+AB1064-MIN(Q1064,E1064+P1064)),"n.a.")</x:f>
        <x:v>0</x:v>
      </x:c>
      <x:c r="U1064" s="9" t="n">
        <x:f>IF(ISNUMBER(T1064),T1064*G1064,"n.a.")</x:f>
        <x:v>0</x:v>
      </x:c>
      <x:c r="V1064" s="25" t="n">
        <x:f>IF(Dashboard!$I$6="Flat %",1,IF(ISNUMBER(H1064),1,0))</x:f>
        <x:v>1</x:v>
      </x:c>
      <x:c r="W1064" s="9" t="n">
        <x:f>IF(Dashboard!$I$6="Flat %",G1064*(1+Dashboard!$L$6),H1064)</x:f>
        <x:v>130.03</x:v>
      </x:c>
      <x:c r="X1064" s="9" t="n">
        <x:f>IF(V1064=1,R1064*(W1064-G1064),"n.a.")</x:f>
        <x:v>0</x:v>
      </x:c>
      <x:c r="Y1064" s="9" t="n">
        <x:f>IF(V1064=1,R1064*W1064,"n.a.")</x:f>
        <x:v>0</x:v>
      </x:c>
      <x:c r="Z1064" s="1" t="n">
        <x:f>IF(ISNUMBER(T1064),R1064-T1064,"n.a.")</x:f>
        <x:v>0</x:v>
      </x:c>
      <x:c r="AA1064" s="1" t="str">
        <x:f>'Inventory inputs'!R1064</x:f>
        <x:v>Classified</x:v>
      </x:c>
      <x:c r="AB1064" s="1" t="n">
        <x:f>IF(L1064=1,SUMIFS('Incoming POs'!$P$2:$P$305,'Incoming POs'!$A$2:$A$305,A1064,'Incoming POs'!$B$2:$B$305,B1064,'Incoming POs'!$C$2:$C$305,C1064,'Incoming POs'!$G$2:$G$305,"&gt;="&amp;D1064,'Incoming POs'!$G$2:$G$305,"&lt;"&amp;Dashboard!$I$5,'Incoming POs'!$Q$2:$Q$305,"&lt;="&amp;('Inventory inputs'!P1064/'Inventory inputs'!J1064*1.01)),"n.a.")</x:f>
        <x:v>0</x:v>
      </x:c>
      <x:c r="AC1064" s="9" t="n">
        <x:f>I1064*G1064</x:f>
        <x:v>0</x:v>
      </x:c>
      <x:c r="AD1064" s="9" t="n">
        <x:f>J1064*G1064</x:f>
        <x:v>0</x:v>
      </x:c>
      <x:c r="AE1064" s="9" t="n">
        <x:f>K1064*G1064</x:f>
        <x:v>0</x:v>
      </x:c>
      <x:c r="AF1064" s="9" t="n">
        <x:f>R1064*G1064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35a36ebb134fd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48" hidden="0" customWidth="1"/>
    <x:col min="19" max="19" width="48" hidden="0" customWidth="1"/>
  </x:cols>
  <x:sheetData>
    <x:row r="1" ht="40" customHeight="1">
      <x:c r="A1" s="6" t="str">
        <x:v>Category</x:v>
      </x:c>
      <x:c r="B1" s="6" t="str">
        <x:v>Warehouse</x:v>
      </x:c>
      <x:c r="C1" s="6" t="str">
        <x:v>Product</x:v>
      </x:c>
      <x:c r="D1" s="6" t="str">
        <x:v>Vendor</x:v>
      </x:c>
      <x:c r="E1" s="6" t="str">
        <x:v>Snapshot date</x:v>
      </x:c>
      <x:c r="F1" s="6" t="str">
        <x:v>On hand units</x:v>
      </x:c>
      <x:c r="G1" s="6" t="str">
        <x:v>Monthly usage units</x:v>
      </x:c>
      <x:c r="H1" s="6" t="str">
        <x:v>Current standard source cost</x:v>
      </x:c>
      <x:c r="I1" s="6" t="str">
        <x:v>Replacement source cost</x:v>
      </x:c>
      <x:c r="J1" s="6" t="str">
        <x:v>Units per cost</x:v>
      </x:c>
      <x:c r="K1" s="6" t="str">
        <x:v>Proposed cost multiplier</x:v>
      </x:c>
      <x:c r="L1" s="6" t="str">
        <x:v>Old units</x:v>
      </x:c>
      <x:c r="M1" s="6" t="str">
        <x:v>Higher-cost units</x:v>
      </x:c>
      <x:c r="N1" s="6" t="str">
        <x:v>Unclassified units</x:v>
      </x:c>
      <x:c r="O1" s="6" t="str">
        <x:v>Classified flag</x:v>
      </x:c>
      <x:c r="P1" s="6" t="str">
        <x:v>Original PO source cost</x:v>
      </x:c>
      <x:c r="Q1" s="6" t="str">
        <x:v>Reported standard value</x:v>
      </x:c>
      <x:c r="R1" s="6" t="str">
        <x:v>Receipt-layer status</x:v>
      </x:c>
      <x:c r="S1" s="6" t="str">
        <x:v>Source file</x:v>
      </x:c>
    </x:row>
    <x:row r="2" ht="21" customHeight="1">
      <x:c r="A2" s="1" t="str">
        <x:v>C400</x:v>
      </x:c>
      <x:c r="B2" s="1" t="str">
        <x:v>10</x:v>
      </x:c>
      <x:c r="C2" s="1" t="str">
        <x:v>400HASC</x:v>
      </x:c>
      <x:c r="D2" s="1" t="str">
        <x:v>*PAY ACH* AKILES PRODUCTS, INC</x:v>
      </x:c>
      <x:c r="E2" s="7" t="n">
        <x:v>46303</x:v>
      </x:c>
      <x:c r="F2" s="8" t="n">
        <x:v>607300</x:v>
      </x:c>
      <x:c r="G2" s="8" t="n">
        <x:v>112816.67000000001</x:v>
      </x:c>
      <x:c r="H2" s="8" t="n">
        <x:v>5.55</x:v>
      </x:c>
      <x:c r="I2" s="8" t="n">
        <x:v>4.465</x:v>
      </x:c>
      <x:c r="J2" s="8" t="n">
        <x:v>100</x:v>
      </x:c>
      <x:c r="K2" s="8" t="n">
        <x:v>1.44</x:v>
      </x:c>
      <x:c r="L2" s="8" t="n">
        <x:v>472300</x:v>
      </x:c>
      <x:c r="M2" s="8" t="n">
        <x:v>135000</x:v>
      </x:c>
      <x:c r="N2" s="8" t="n">
        <x:v>0</x:v>
      </x:c>
      <x:c r="O2" s="8" t="n">
        <x:v>1</x:v>
      </x:c>
      <x:c r="P2" s="8" t="n">
        <x:v>3.751</x:v>
      </x:c>
      <x:c r="Q2" s="9" t="n">
        <x:v>33777.3</x:v>
      </x:c>
      <x:c r="R2" s="1" t="str">
        <x:v>Classified</x:v>
      </x:c>
      <x:c r="S2" s="1" t="str">
        <x:v>C400 Product WH With Listupdated.csv</x:v>
      </x:c>
    </x:row>
    <x:row r="3" ht="21" customHeight="1">
      <x:c r="A3" s="1" t="str">
        <x:v>C400</x:v>
      </x:c>
      <x:c r="B3" s="1" t="str">
        <x:v>10</x:v>
      </x:c>
      <x:c r="C3" s="1" t="str">
        <x:v>400MASC</x:v>
      </x:c>
      <x:c r="D3" s="1" t="str">
        <x:v>*PAY ACH* AKILES PRODUCTS, INC</x:v>
      </x:c>
      <x:c r="E3" s="7" t="n">
        <x:v>46303</x:v>
      </x:c>
      <x:c r="F3" s="8" t="n">
        <x:v>599700</x:v>
      </x:c>
      <x:c r="G3" s="8" t="n">
        <x:v>89333.32999999999</x:v>
      </x:c>
      <x:c r="H3" s="8" t="n">
        <x:v>3.89</x:v>
      </x:c>
      <x:c r="I3" s="8" t="n">
        <x:v>3.127</x:v>
      </x:c>
      <x:c r="J3" s="8" t="n">
        <x:v>100</x:v>
      </x:c>
      <x:c r="K3" s="8" t="n">
        <x:v>1.44</x:v>
      </x:c>
      <x:c r="L3" s="8" t="n">
        <x:v>409700</x:v>
      </x:c>
      <x:c r="M3" s="8" t="n">
        <x:v>190000</x:v>
      </x:c>
      <x:c r="N3" s="8" t="n">
        <x:v>0</x:v>
      </x:c>
      <x:c r="O3" s="8" t="n">
        <x:v>1</x:v>
      </x:c>
      <x:c r="P3" s="8" t="n">
        <x:v>2.627</x:v>
      </x:c>
      <x:c r="Q3" s="9" t="n">
        <x:v>23468.37</x:v>
      </x:c>
      <x:c r="R3" s="1" t="str">
        <x:v>Classified</x:v>
      </x:c>
      <x:c r="S3" s="1" t="str">
        <x:v>C400 Product WH With Listupdated.csv</x:v>
      </x:c>
    </x:row>
    <x:row r="4" ht="21" customHeight="1">
      <x:c r="A4" s="1" t="str">
        <x:v>C400</x:v>
      </x:c>
      <x:c r="B4" s="1" t="str">
        <x:v>60</x:v>
      </x:c>
      <x:c r="C4" s="1" t="str">
        <x:v>400HASC</x:v>
      </x:c>
      <x:c r="D4" s="1" t="str">
        <x:v>*PAY ACH* AKILES PRODUCTS, INC</x:v>
      </x:c>
      <x:c r="E4" s="7" t="n">
        <x:v>46303</x:v>
      </x:c>
      <x:c r="F4" s="8" t="n">
        <x:v>414900</x:v>
      </x:c>
      <x:c r="G4" s="8" t="n">
        <x:v>81425</x:v>
      </x:c>
      <x:c r="H4" s="8" t="n">
        <x:v>5.55</x:v>
      </x:c>
      <x:c r="I4" s="8" t="n">
        <x:v>4.465</x:v>
      </x:c>
      <x:c r="J4" s="8" t="n">
        <x:v>100</x:v>
      </x:c>
      <x:c r="K4" s="8" t="n">
        <x:v>1.44</x:v>
      </x:c>
      <x:c r="L4" s="8" t="n">
        <x:v>174900</x:v>
      </x:c>
      <x:c r="M4" s="8" t="n">
        <x:v>240000</x:v>
      </x:c>
      <x:c r="N4" s="8" t="n">
        <x:v>0</x:v>
      </x:c>
      <x:c r="O4" s="8" t="n">
        <x:v>1</x:v>
      </x:c>
      <x:c r="P4" s="8" t="n">
        <x:v>3.751</x:v>
      </x:c>
      <x:c r="Q4" s="9" t="n">
        <x:v>23115.75</x:v>
      </x:c>
      <x:c r="R4" s="1" t="str">
        <x:v>Classified</x:v>
      </x:c>
      <x:c r="S4" s="1" t="str">
        <x:v>C400 Product WH With Listupdated.csv</x:v>
      </x:c>
    </x:row>
    <x:row r="5" ht="21" customHeight="1">
      <x:c r="A5" s="1" t="str">
        <x:v>C400</x:v>
      </x:c>
      <x:c r="B5" s="1" t="str">
        <x:v>60</x:v>
      </x:c>
      <x:c r="C5" s="1" t="str">
        <x:v>400MASC</x:v>
      </x:c>
      <x:c r="D5" s="1" t="str">
        <x:v>*PAY ACH* AKILES PRODUCTS, INC</x:v>
      </x:c>
      <x:c r="E5" s="7" t="n">
        <x:v>46303</x:v>
      </x:c>
      <x:c r="F5" s="8" t="n">
        <x:v>376100</x:v>
      </x:c>
      <x:c r="G5" s="8" t="n">
        <x:v>67333.33</x:v>
      </x:c>
      <x:c r="H5" s="8" t="n">
        <x:v>3.89</x:v>
      </x:c>
      <x:c r="I5" s="8" t="n">
        <x:v>3.127</x:v>
      </x:c>
      <x:c r="J5" s="8" t="n">
        <x:v>100</x:v>
      </x:c>
      <x:c r="K5" s="8" t="n">
        <x:v>1.44</x:v>
      </x:c>
      <x:c r="L5" s="8" t="n">
        <x:v>231100</x:v>
      </x:c>
      <x:c r="M5" s="8" t="n">
        <x:v>145000</x:v>
      </x:c>
      <x:c r="N5" s="8" t="n">
        <x:v>0</x:v>
      </x:c>
      <x:c r="O5" s="8" t="n">
        <x:v>1</x:v>
      </x:c>
      <x:c r="P5" s="8" t="n">
        <x:v>2.627</x:v>
      </x:c>
      <x:c r="Q5" s="9" t="n">
        <x:v>14692.53</x:v>
      </x:c>
      <x:c r="R5" s="1" t="str">
        <x:v>Classified</x:v>
      </x:c>
      <x:c r="S5" s="1" t="str">
        <x:v>C400 Product WH With Listupdated.csv</x:v>
      </x:c>
    </x:row>
    <x:row r="6" ht="21" customHeight="1">
      <x:c r="A6" s="1" t="str">
        <x:v>C400</x:v>
      </x:c>
      <x:c r="B6" s="1" t="str">
        <x:v>30</x:v>
      </x:c>
      <x:c r="C6" s="1" t="str">
        <x:v>400HASC</x:v>
      </x:c>
      <x:c r="D6" s="1" t="str">
        <x:v>*PAY ACH* AKILES PRODUCTS, INC</x:v>
      </x:c>
      <x:c r="E6" s="7" t="n">
        <x:v>46303</x:v>
      </x:c>
      <x:c r="F6" s="8" t="n">
        <x:v>183400</x:v>
      </x:c>
      <x:c r="G6" s="8" t="n">
        <x:v>35225</x:v>
      </x:c>
      <x:c r="H6" s="8" t="n">
        <x:v>5.55</x:v>
      </x:c>
      <x:c r="I6" s="8" t="n">
        <x:v>4.465</x:v>
      </x:c>
      <x:c r="J6" s="8" t="n">
        <x:v>100</x:v>
      </x:c>
      <x:c r="K6" s="8" t="n">
        <x:v>1.44</x:v>
      </x:c>
      <x:c r="L6" s="8" t="n">
        <x:v>55400</x:v>
      </x:c>
      <x:c r="M6" s="8" t="n">
        <x:v>128000</x:v>
      </x:c>
      <x:c r="N6" s="8" t="n">
        <x:v>0</x:v>
      </x:c>
      <x:c r="O6" s="8" t="n">
        <x:v>1</x:v>
      </x:c>
      <x:c r="P6" s="8" t="n">
        <x:v>3.751</x:v>
      </x:c>
      <x:c r="Q6" s="9" t="n">
        <x:v>10178.7</x:v>
      </x:c>
      <x:c r="R6" s="1" t="str">
        <x:v>Classified</x:v>
      </x:c>
      <x:c r="S6" s="1" t="str">
        <x:v>C400 Product WH With Listupdated.csv</x:v>
      </x:c>
    </x:row>
    <x:row r="7" ht="21" customHeight="1">
      <x:c r="A7" s="1" t="str">
        <x:v>C400</x:v>
      </x:c>
      <x:c r="B7" s="1" t="str">
        <x:v>30</x:v>
      </x:c>
      <x:c r="C7" s="1" t="str">
        <x:v>400MASC</x:v>
      </x:c>
      <x:c r="D7" s="1" t="str">
        <x:v>*PAY ACH* AKILES PRODUCTS, INC</x:v>
      </x:c>
      <x:c r="E7" s="7" t="n">
        <x:v>46303</x:v>
      </x:c>
      <x:c r="F7" s="8" t="n">
        <x:v>191100</x:v>
      </x:c>
      <x:c r="G7" s="8" t="n">
        <x:v>27066.67</x:v>
      </x:c>
      <x:c r="H7" s="8" t="n">
        <x:v>3.89</x:v>
      </x:c>
      <x:c r="I7" s="8" t="n">
        <x:v>3.127</x:v>
      </x:c>
      <x:c r="J7" s="8" t="n">
        <x:v>100</x:v>
      </x:c>
      <x:c r="K7" s="8" t="n">
        <x:v>1.44</x:v>
      </x:c>
      <x:c r="L7" s="8" t="n">
        <x:v>21100</x:v>
      </x:c>
      <x:c r="M7" s="8" t="n">
        <x:v>170000</x:v>
      </x:c>
      <x:c r="N7" s="8" t="n">
        <x:v>0</x:v>
      </x:c>
      <x:c r="O7" s="8" t="n">
        <x:v>1</x:v>
      </x:c>
      <x:c r="P7" s="8" t="n">
        <x:v>2.627</x:v>
      </x:c>
      <x:c r="Q7" s="9" t="n">
        <x:v>7472.6900000000005</x:v>
      </x:c>
      <x:c r="R7" s="1" t="str">
        <x:v>Classified</x:v>
      </x:c>
      <x:c r="S7" s="1" t="str">
        <x:v>C400 Product WH With Listupdated.csv</x:v>
      </x:c>
    </x:row>
    <x:row r="8" ht="21" customHeight="1">
      <x:c r="A8" s="1" t="str">
        <x:v>C400</x:v>
      </x:c>
      <x:c r="B8" s="1" t="str">
        <x:v>10</x:v>
      </x:c>
      <x:c r="C8" s="1" t="str">
        <x:v>400LASC</x:v>
      </x:c>
      <x:c r="D8" s="1" t="str">
        <x:v>*PAY ACH* AKILES PRODUCTS, INC</x:v>
      </x:c>
      <x:c r="E8" s="7" t="n">
        <x:v>46303</x:v>
      </x:c>
      <x:c r="F8" s="8" t="n">
        <x:v>81000</x:v>
      </x:c>
      <x:c r="G8" s="8" t="n">
        <x:v>19533.33</x:v>
      </x:c>
      <x:c r="H8" s="8" t="n">
        <x:v>2.78</x:v>
      </x:c>
      <x:c r="I8" s="8" t="n">
        <x:v>2.233</x:v>
      </x:c>
      <x:c r="J8" s="8" t="n">
        <x:v>100</x:v>
      </x:c>
      <x:c r="K8" s="8" t="n">
        <x:v>1.44</x:v>
      </x:c>
      <x:c r="L8" s="8" t="n">
        <x:v>6000</x:v>
      </x:c>
      <x:c r="M8" s="8" t="n">
        <x:v>75000</x:v>
      </x:c>
      <x:c r="N8" s="8" t="n">
        <x:v>0</x:v>
      </x:c>
      <x:c r="O8" s="8" t="n">
        <x:v>1</x:v>
      </x:c>
      <x:c r="P8" s="8" t="n">
        <x:v>1.876</x:v>
      </x:c>
      <x:c r="Q8" s="9" t="n">
        <x:v>2251.7999999999997</x:v>
      </x:c>
      <x:c r="R8" s="1" t="str">
        <x:v>Classified</x:v>
      </x:c>
      <x:c r="S8" s="1" t="str">
        <x:v>C400 Product WH With Listupdated.csv</x:v>
      </x:c>
    </x:row>
    <x:row r="9" ht="21" customHeight="1">
      <x:c r="A9" s="1" t="str">
        <x:v>C400</x:v>
      </x:c>
      <x:c r="B9" s="1" t="str">
        <x:v>60</x:v>
      </x:c>
      <x:c r="C9" s="1" t="str">
        <x:v>400LASC</x:v>
      </x:c>
      <x:c r="D9" s="1" t="str">
        <x:v>*PAY ACH* AKILES PRODUCTS, INC</x:v>
      </x:c>
      <x:c r="E9" s="7" t="n">
        <x:v>46303</x:v>
      </x:c>
      <x:c r="F9" s="8" t="n">
        <x:v>42000</x:v>
      </x:c>
      <x:c r="G9" s="8" t="n">
        <x:v>12075</x:v>
      </x:c>
      <x:c r="H9" s="8" t="n">
        <x:v>2.78</x:v>
      </x:c>
      <x:c r="I9" s="8" t="n">
        <x:v>2.233</x:v>
      </x:c>
      <x:c r="J9" s="8" t="n">
        <x:v>100</x:v>
      </x:c>
      <x:c r="K9" s="8" t="n">
        <x:v>1.44</x:v>
      </x:c>
      <x:c r="L9" s="8" t="n">
        <x:v>0</x:v>
      </x:c>
      <x:c r="M9" s="8" t="n">
        <x:v>42000</x:v>
      </x:c>
      <x:c r="N9" s="8" t="n">
        <x:v>0</x:v>
      </x:c>
      <x:c r="O9" s="8" t="n">
        <x:v>1</x:v>
      </x:c>
      <x:c r="P9" s="8" t="n">
        <x:v>1.876</x:v>
      </x:c>
      <x:c r="Q9" s="9" t="n">
        <x:v>1181.4999999999998</x:v>
      </x:c>
      <x:c r="R9" s="1" t="str">
        <x:v>Classified</x:v>
      </x:c>
      <x:c r="S9" s="1" t="str">
        <x:v>C400 Product WH With Listupdated.csv</x:v>
      </x:c>
    </x:row>
    <x:row r="10" ht="21" customHeight="1">
      <x:c r="A10" s="1" t="str">
        <x:v>C400</x:v>
      </x:c>
      <x:c r="B10" s="1" t="str">
        <x:v>10</x:v>
      </x:c>
      <x:c r="C10" s="1" t="str">
        <x:v>400HMASC</x:v>
      </x:c>
      <x:c r="D10" s="1" t="str">
        <x:v>*PAY ACH* AKILES PRODUCTS, INC</x:v>
      </x:c>
      <x:c r="E10" s="7" t="n">
        <x:v>46303</x:v>
      </x:c>
      <x:c r="F10" s="8" t="n">
        <x:v>44800</x:v>
      </x:c>
      <x:c r="G10" s="8" t="n">
        <x:v>9675</x:v>
      </x:c>
      <x:c r="H10" s="8" t="n">
        <x:v>5.83</x:v>
      </x:c>
      <x:c r="I10" s="8" t="n">
        <x:v>4.688</x:v>
      </x:c>
      <x:c r="J10" s="8" t="n">
        <x:v>100</x:v>
      </x:c>
      <x:c r="K10" s="8" t="n">
        <x:v>1.44</x:v>
      </x:c>
      <x:c r="L10" s="8" t="n">
        <x:v>22800</x:v>
      </x:c>
      <x:c r="M10" s="8" t="n">
        <x:v>22000</x:v>
      </x:c>
      <x:c r="N10" s="8" t="n">
        <x:v>0</x:v>
      </x:c>
      <x:c r="O10" s="8" t="n">
        <x:v>1</x:v>
      </x:c>
      <x:c r="P10" s="8" t="n">
        <x:v>3.938</x:v>
      </x:c>
      <x:c r="Q10" s="9" t="n">
        <x:v>2611.84</x:v>
      </x:c>
      <x:c r="R10" s="1" t="str">
        <x:v>Classified</x:v>
      </x:c>
      <x:c r="S10" s="1" t="str">
        <x:v>C400 Product WH With Listupdated.csv</x:v>
      </x:c>
    </x:row>
    <x:row r="11" ht="21" customHeight="1">
      <x:c r="A11" s="1" t="str">
        <x:v>C400</x:v>
      </x:c>
      <x:c r="B11" s="1" t="str">
        <x:v>10</x:v>
      </x:c>
      <x:c r="C11" s="1" t="str">
        <x:v>400HISC</x:v>
      </x:c>
      <x:c r="D11" s="1" t="str">
        <x:v>*PAY ACH* AKILES PRODUCTS, INC</x:v>
      </x:c>
      <x:c r="E11" s="7" t="n">
        <x:v>46303</x:v>
      </x:c>
      <x:c r="F11" s="8" t="n">
        <x:v>67400</x:v>
      </x:c>
      <x:c r="G11" s="8" t="n">
        <x:v>9658.33</x:v>
      </x:c>
      <x:c r="H11" s="8" t="n">
        <x:v>5.88</x:v>
      </x:c>
      <x:c r="I11" s="8" t="n">
        <x:v>4.733</x:v>
      </x:c>
      <x:c r="J11" s="8" t="n">
        <x:v>100</x:v>
      </x:c>
      <x:c r="K11" s="8" t="n">
        <x:v>1.44</x:v>
      </x:c>
      <x:c r="L11" s="8" t="n">
        <x:v>15400</x:v>
      </x:c>
      <x:c r="M11" s="8" t="n">
        <x:v>52000</x:v>
      </x:c>
      <x:c r="N11" s="8" t="n">
        <x:v>0</x:v>
      </x:c>
      <x:c r="O11" s="8" t="n">
        <x:v>1</x:v>
      </x:c>
      <x:c r="P11" s="8" t="n">
        <x:v>3.976</x:v>
      </x:c>
      <x:c r="Q11" s="9" t="n">
        <x:v>3963.12</x:v>
      </x:c>
      <x:c r="R11" s="1" t="str">
        <x:v>Classified</x:v>
      </x:c>
      <x:c r="S11" s="1" t="str">
        <x:v>C400 Product WH With Listupdated.csv</x:v>
      </x:c>
    </x:row>
    <x:row r="12" ht="21" customHeight="1">
      <x:c r="A12" s="1" t="str">
        <x:v>C400</x:v>
      </x:c>
      <x:c r="B12" s="1" t="str">
        <x:v>60</x:v>
      </x:c>
      <x:c r="C12" s="1" t="str">
        <x:v>400HISC</x:v>
      </x:c>
      <x:c r="D12" s="1" t="str">
        <x:v>*PAY ACH* AKILES PRODUCTS, INC</x:v>
      </x:c>
      <x:c r="E12" s="7" t="n">
        <x:v>46303</x:v>
      </x:c>
      <x:c r="F12" s="8" t="n">
        <x:v>18200</x:v>
      </x:c>
      <x:c r="G12" s="8" t="n">
        <x:v>8766.67</x:v>
      </x:c>
      <x:c r="H12" s="8" t="n">
        <x:v>5.88</x:v>
      </x:c>
      <x:c r="I12" s="8" t="n">
        <x:v>4.733</x:v>
      </x:c>
      <x:c r="J12" s="8" t="n">
        <x:v>100</x:v>
      </x:c>
      <x:c r="K12" s="8" t="n">
        <x:v>1.44</x:v>
      </x:c>
      <x:c r="L12" s="8" t="n">
        <x:v>0</x:v>
      </x:c>
      <x:c r="M12" s="8" t="n">
        <x:v>18200</x:v>
      </x:c>
      <x:c r="N12" s="8" t="n">
        <x:v>0</x:v>
      </x:c>
      <x:c r="O12" s="8" t="n">
        <x:v>1</x:v>
      </x:c>
      <x:c r="P12" s="8" t="n">
        <x:v>3.976</x:v>
      </x:c>
      <x:c r="Q12" s="9" t="n">
        <x:v>1070.16</x:v>
      </x:c>
      <x:c r="R12" s="1" t="str">
        <x:v>Classified</x:v>
      </x:c>
      <x:c r="S12" s="1" t="str">
        <x:v>C400 Product WH With Listupdated.csv</x:v>
      </x:c>
    </x:row>
    <x:row r="13" ht="21" customHeight="1">
      <x:c r="A13" s="1" t="str">
        <x:v>C400</x:v>
      </x:c>
      <x:c r="B13" s="1" t="str">
        <x:v>10</x:v>
      </x:c>
      <x:c r="C13" s="1" t="str">
        <x:v>400MISC</x:v>
      </x:c>
      <x:c r="D13" s="1" t="str">
        <x:v>*PAY ACH* AKILES PRODUCTS, INC</x:v>
      </x:c>
      <x:c r="E13" s="7" t="n">
        <x:v>46303</x:v>
      </x:c>
      <x:c r="F13" s="8" t="n">
        <x:v>58600</x:v>
      </x:c>
      <x:c r="G13" s="8" t="n">
        <x:v>7666.67</x:v>
      </x:c>
      <x:c r="H13" s="8" t="n">
        <x:v>4.12</x:v>
      </x:c>
      <x:c r="I13" s="8" t="n">
        <x:v>3.315</x:v>
      </x:c>
      <x:c r="J13" s="8" t="n">
        <x:v>100</x:v>
      </x:c>
      <x:c r="K13" s="8" t="n">
        <x:v>1.44</x:v>
      </x:c>
      <x:c r="L13" s="8" t="n">
        <x:v>21600</x:v>
      </x:c>
      <x:c r="M13" s="8" t="n">
        <x:v>37000</x:v>
      </x:c>
      <x:c r="N13" s="8" t="n">
        <x:v>0</x:v>
      </x:c>
      <x:c r="O13" s="8" t="n">
        <x:v>1</x:v>
      </x:c>
      <x:c r="P13" s="8" t="n">
        <x:v>2.785</x:v>
      </x:c>
      <x:c r="Q13" s="9" t="n">
        <x:v>2414.32</x:v>
      </x:c>
      <x:c r="R13" s="1" t="str">
        <x:v>Classified</x:v>
      </x:c>
      <x:c r="S13" s="1" t="str">
        <x:v>C400 Product WH With Listupdated.csv</x:v>
      </x:c>
    </x:row>
    <x:row r="14" ht="21" customHeight="1">
      <x:c r="A14" s="1" t="str">
        <x:v>C400</x:v>
      </x:c>
      <x:c r="B14" s="1" t="str">
        <x:v>10</x:v>
      </x:c>
      <x:c r="C14" s="1" t="str">
        <x:v>400HDSC</x:v>
      </x:c>
      <x:c r="D14" s="1" t="str">
        <x:v>*PAY ACH* AKILES PRODUCTS, INC</x:v>
      </x:c>
      <x:c r="E14" s="7" t="n">
        <x:v>46303</x:v>
      </x:c>
      <x:c r="F14" s="8" t="n">
        <x:v>33100</x:v>
      </x:c>
      <x:c r="G14" s="8" t="n">
        <x:v>6341.67</x:v>
      </x:c>
      <x:c r="H14" s="8" t="n">
        <x:v>11.13</x:v>
      </x:c>
      <x:c r="I14" s="8" t="n">
        <x:v>8.952</x:v>
      </x:c>
      <x:c r="J14" s="8" t="n">
        <x:v>100</x:v>
      </x:c>
      <x:c r="K14" s="8" t="n">
        <x:v>1.44</x:v>
      </x:c>
      <x:c r="L14" s="8" t="n">
        <x:v>13100</x:v>
      </x:c>
      <x:c r="M14" s="8" t="n">
        <x:v>20000</x:v>
      </x:c>
      <x:c r="N14" s="8" t="n">
        <x:v>0</x:v>
      </x:c>
      <x:c r="O14" s="8" t="n">
        <x:v>1</x:v>
      </x:c>
      <x:c r="P14" s="8" t="n">
        <x:v>7.52</x:v>
      </x:c>
      <x:c r="Q14" s="9" t="n">
        <x:v>3761.94</x:v>
      </x:c>
      <x:c r="R14" s="1" t="str">
        <x:v>Classified</x:v>
      </x:c>
      <x:c r="S14" s="1" t="str">
        <x:v>C400 Product WH With Listupdated.csv</x:v>
      </x:c>
    </x:row>
    <x:row r="15" ht="21" customHeight="1">
      <x:c r="A15" s="1" t="str">
        <x:v>C400</x:v>
      </x:c>
      <x:c r="B15" s="1" t="str">
        <x:v>10</x:v>
      </x:c>
      <x:c r="C15" s="1" t="str">
        <x:v>400HASCT</x:v>
      </x:c>
      <x:c r="D15" s="1" t="str">
        <x:v>*PAY ACH* AKILES PRODUCTS, INC</x:v>
      </x:c>
      <x:c r="E15" s="7" t="n">
        <x:v>46303</x:v>
      </x:c>
      <x:c r="F15" s="8" t="n">
        <x:v>47500</x:v>
      </x:c>
      <x:c r="G15" s="8" t="n">
        <x:v>6275</x:v>
      </x:c>
      <x:c r="H15" s="8" t="n">
        <x:v>7.33</x:v>
      </x:c>
      <x:c r="I15" s="8" t="n">
        <x:v>5.895</x:v>
      </x:c>
      <x:c r="J15" s="8" t="n">
        <x:v>100</x:v>
      </x:c>
      <x:c r="K15" s="8" t="n">
        <x:v>1.44</x:v>
      </x:c>
      <x:c r="L15" s="8" t="n">
        <x:v>22500</x:v>
      </x:c>
      <x:c r="M15" s="8" t="n">
        <x:v>25000</x:v>
      </x:c>
      <x:c r="N15" s="8" t="n">
        <x:v>0</x:v>
      </x:c>
      <x:c r="O15" s="8" t="n">
        <x:v>1</x:v>
      </x:c>
      <x:c r="P15" s="8" t="n">
        <x:v>4.952</x:v>
      </x:c>
      <x:c r="Q15" s="9" t="n">
        <x:v>3665</x:v>
      </x:c>
      <x:c r="R15" s="1" t="str">
        <x:v>Classified</x:v>
      </x:c>
      <x:c r="S15" s="1" t="str">
        <x:v>C400 Product WH With Listupdated.csv</x:v>
      </x:c>
    </x:row>
    <x:row r="16" ht="21" customHeight="1">
      <x:c r="A16" s="1" t="str">
        <x:v>C400</x:v>
      </x:c>
      <x:c r="B16" s="1" t="str">
        <x:v>30</x:v>
      </x:c>
      <x:c r="C16" s="1" t="str">
        <x:v>400LASC</x:v>
      </x:c>
      <x:c r="D16" s="1" t="str">
        <x:v>*PAY ACH* AKILES PRODUCTS, INC</x:v>
      </x:c>
      <x:c r="E16" s="7" t="n">
        <x:v>46303</x:v>
      </x:c>
      <x:c r="F16" s="8" t="n">
        <x:v>38600</x:v>
      </x:c>
      <x:c r="G16" s="8" t="n">
        <x:v>4991.67</x:v>
      </x:c>
      <x:c r="H16" s="8" t="n">
        <x:v>2.78</x:v>
      </x:c>
      <x:c r="I16" s="8" t="n">
        <x:v>2.233</x:v>
      </x:c>
      <x:c r="J16" s="8" t="n">
        <x:v>100</x:v>
      </x:c>
      <x:c r="K16" s="8" t="n">
        <x:v>1.44</x:v>
      </x:c>
      <x:c r="L16" s="8" t="n">
        <x:v>8600</x:v>
      </x:c>
      <x:c r="M16" s="8" t="n">
        <x:v>30000</x:v>
      </x:c>
      <x:c r="N16" s="8" t="n">
        <x:v>0</x:v>
      </x:c>
      <x:c r="O16" s="8" t="n">
        <x:v>1</x:v>
      </x:c>
      <x:c r="P16" s="8" t="n">
        <x:v>1.876</x:v>
      </x:c>
      <x:c r="Q16" s="9" t="n">
        <x:v>1073.08</x:v>
      </x:c>
      <x:c r="R16" s="1" t="str">
        <x:v>Classified</x:v>
      </x:c>
      <x:c r="S16" s="1" t="str">
        <x:v>C400 Product WH With Listupdated.csv</x:v>
      </x:c>
    </x:row>
    <x:row r="17" ht="21" customHeight="1">
      <x:c r="A17" s="1" t="str">
        <x:v>C400</x:v>
      </x:c>
      <x:c r="B17" s="1" t="str">
        <x:v>60</x:v>
      </x:c>
      <x:c r="C17" s="1" t="str">
        <x:v>400HDSC</x:v>
      </x:c>
      <x:c r="D17" s="1" t="str">
        <x:v>*PAY ACH* AKILES PRODUCTS, INC</x:v>
      </x:c>
      <x:c r="E17" s="7" t="n">
        <x:v>46303</x:v>
      </x:c>
      <x:c r="F17" s="8" t="n">
        <x:v>31200</x:v>
      </x:c>
      <x:c r="G17" s="8" t="n">
        <x:v>4750</x:v>
      </x:c>
      <x:c r="H17" s="8" t="n">
        <x:v>11.13</x:v>
      </x:c>
      <x:c r="I17" s="8" t="n">
        <x:v>8.952</x:v>
      </x:c>
      <x:c r="J17" s="8" t="n">
        <x:v>100</x:v>
      </x:c>
      <x:c r="K17" s="8" t="n">
        <x:v>1.44</x:v>
      </x:c>
      <x:c r="L17" s="8" t="n">
        <x:v>17200</x:v>
      </x:c>
      <x:c r="M17" s="8" t="n">
        <x:v>14000</x:v>
      </x:c>
      <x:c r="N17" s="8" t="n">
        <x:v>0</x:v>
      </x:c>
      <x:c r="O17" s="8" t="n">
        <x:v>1</x:v>
      </x:c>
      <x:c r="P17" s="8" t="n">
        <x:v>7.52</x:v>
      </x:c>
      <x:c r="Q17" s="9" t="n">
        <x:v>3472.56</x:v>
      </x:c>
      <x:c r="R17" s="1" t="str">
        <x:v>Classified</x:v>
      </x:c>
      <x:c r="S17" s="1" t="str">
        <x:v>C400 Product WH With Listupdated.csv</x:v>
      </x:c>
    </x:row>
    <x:row r="18" ht="21" customHeight="1">
      <x:c r="A18" s="1" t="str">
        <x:v>C400</x:v>
      </x:c>
      <x:c r="B18" s="1" t="str">
        <x:v>60</x:v>
      </x:c>
      <x:c r="C18" s="1" t="str">
        <x:v>400MISC</x:v>
      </x:c>
      <x:c r="D18" s="1" t="str">
        <x:v>*PAY ACH* AKILES PRODUCTS, INC</x:v>
      </x:c>
      <x:c r="E18" s="7" t="n">
        <x:v>46303</x:v>
      </x:c>
      <x:c r="F18" s="8" t="n">
        <x:v>30900</x:v>
      </x:c>
      <x:c r="G18" s="8" t="n">
        <x:v>4516.67</x:v>
      </x:c>
      <x:c r="H18" s="8" t="n">
        <x:v>4.12</x:v>
      </x:c>
      <x:c r="I18" s="8" t="n">
        <x:v>3.315</x:v>
      </x:c>
      <x:c r="J18" s="8" t="n">
        <x:v>100</x:v>
      </x:c>
      <x:c r="K18" s="8" t="n">
        <x:v>1.44</x:v>
      </x:c>
      <x:c r="L18" s="8" t="n">
        <x:v>21900</x:v>
      </x:c>
      <x:c r="M18" s="8" t="n">
        <x:v>9000</x:v>
      </x:c>
      <x:c r="N18" s="8" t="n">
        <x:v>0</x:v>
      </x:c>
      <x:c r="O18" s="8" t="n">
        <x:v>1</x:v>
      </x:c>
      <x:c r="P18" s="8" t="n">
        <x:v>2.785</x:v>
      </x:c>
      <x:c r="Q18" s="9" t="n">
        <x:v>1273.08</x:v>
      </x:c>
      <x:c r="R18" s="1" t="str">
        <x:v>Classified</x:v>
      </x:c>
      <x:c r="S18" s="1" t="str">
        <x:v>C400 Product WH With Listupdated.csv</x:v>
      </x:c>
    </x:row>
    <x:row r="19" ht="21" customHeight="1">
      <x:c r="A19" s="1" t="str">
        <x:v>C400</x:v>
      </x:c>
      <x:c r="B19" s="1" t="str">
        <x:v>10</x:v>
      </x:c>
      <x:c r="C19" s="1" t="str">
        <x:v>400MDSC</x:v>
      </x:c>
      <x:c r="D19" s="1" t="str">
        <x:v>*PAY ACH* AKILES PRODUCTS, INC</x:v>
      </x:c>
      <x:c r="E19" s="7" t="n">
        <x:v>46303</x:v>
      </x:c>
      <x:c r="F19" s="8" t="n">
        <x:v>27600</x:v>
      </x:c>
      <x:c r="G19" s="8" t="n">
        <x:v>4250</x:v>
      </x:c>
      <x:c r="H19" s="8" t="n">
        <x:v>7.79</x:v>
      </x:c>
      <x:c r="I19" s="8" t="n">
        <x:v>6.268</x:v>
      </x:c>
      <x:c r="J19" s="8" t="n">
        <x:v>100</x:v>
      </x:c>
      <x:c r="K19" s="8" t="n">
        <x:v>1.44</x:v>
      </x:c>
      <x:c r="L19" s="8" t="n">
        <x:v>12600</x:v>
      </x:c>
      <x:c r="M19" s="8" t="n">
        <x:v>15000</x:v>
      </x:c>
      <x:c r="N19" s="8" t="n">
        <x:v>0</x:v>
      </x:c>
      <x:c r="O19" s="8" t="n">
        <x:v>1</x:v>
      </x:c>
      <x:c r="P19" s="8" t="n">
        <x:v>5.266</x:v>
      </x:c>
      <x:c r="Q19" s="9" t="n">
        <x:v>2196.78</x:v>
      </x:c>
      <x:c r="R19" s="1" t="str">
        <x:v>Classified</x:v>
      </x:c>
      <x:c r="S19" s="1" t="str">
        <x:v>C400 Product WH With Listupdated.csv</x:v>
      </x:c>
    </x:row>
    <x:row r="20" ht="21" customHeight="1">
      <x:c r="A20" s="1" t="str">
        <x:v>C400</x:v>
      </x:c>
      <x:c r="B20" s="1" t="str">
        <x:v>10</x:v>
      </x:c>
      <x:c r="C20" s="1" t="str">
        <x:v>400MCSC</x:v>
      </x:c>
      <x:c r="D20" s="1" t="str">
        <x:v>*PAY ACH* AKILES PRODUCTS, INC</x:v>
      </x:c>
      <x:c r="E20" s="7" t="n">
        <x:v>46303</x:v>
      </x:c>
      <x:c r="F20" s="8" t="n">
        <x:v>25900</x:v>
      </x:c>
      <x:c r="G20" s="8" t="n">
        <x:v>4233.33</x:v>
      </x:c>
      <x:c r="H20" s="8" t="n">
        <x:v>4.94</x:v>
      </x:c>
      <x:c r="I20" s="8" t="n">
        <x:v>3.973</x:v>
      </x:c>
      <x:c r="J20" s="8" t="n">
        <x:v>100</x:v>
      </x:c>
      <x:c r="K20" s="8" t="n">
        <x:v>1.44</x:v>
      </x:c>
      <x:c r="L20" s="8" t="n">
        <x:v>8900</x:v>
      </x:c>
      <x:c r="M20" s="8" t="n">
        <x:v>17000</x:v>
      </x:c>
      <x:c r="N20" s="8" t="n">
        <x:v>0</x:v>
      </x:c>
      <x:c r="O20" s="8" t="n">
        <x:v>1</x:v>
      </x:c>
      <x:c r="P20" s="8" t="n">
        <x:v>3.337</x:v>
      </x:c>
      <x:c r="Q20" s="9" t="n">
        <x:v>1279.4600000000003</x:v>
      </x:c>
      <x:c r="R20" s="1" t="str">
        <x:v>Classified</x:v>
      </x:c>
      <x:c r="S20" s="1" t="str">
        <x:v>C400 Product WH With Listupdated.csv</x:v>
      </x:c>
    </x:row>
    <x:row r="21" ht="21" customHeight="1">
      <x:c r="A21" s="1" t="str">
        <x:v>C400</x:v>
      </x:c>
      <x:c r="B21" s="1" t="str">
        <x:v>60</x:v>
      </x:c>
      <x:c r="C21" s="1" t="str">
        <x:v>400MDSC</x:v>
      </x:c>
      <x:c r="D21" s="1" t="str">
        <x:v>*PAY ACH* AKILES PRODUCTS, INC</x:v>
      </x:c>
      <x:c r="E21" s="7" t="n">
        <x:v>46303</x:v>
      </x:c>
      <x:c r="F21" s="8" t="n">
        <x:v>22500</x:v>
      </x:c>
      <x:c r="G21" s="8" t="n">
        <x:v>4041.67</x:v>
      </x:c>
      <x:c r="H21" s="8" t="n">
        <x:v>7.79</x:v>
      </x:c>
      <x:c r="I21" s="8" t="n">
        <x:v>6.268</x:v>
      </x:c>
      <x:c r="J21" s="8" t="n">
        <x:v>100</x:v>
      </x:c>
      <x:c r="K21" s="8" t="n">
        <x:v>1.44</x:v>
      </x:c>
      <x:c r="L21" s="8" t="n">
        <x:v>8500</x:v>
      </x:c>
      <x:c r="M21" s="8" t="n">
        <x:v>14000</x:v>
      </x:c>
      <x:c r="N21" s="8" t="n">
        <x:v>0</x:v>
      </x:c>
      <x:c r="O21" s="8" t="n">
        <x:v>1</x:v>
      </x:c>
      <x:c r="P21" s="8" t="n">
        <x:v>5.266</x:v>
      </x:c>
      <x:c r="Q21" s="9" t="n">
        <x:v>1752.75</x:v>
      </x:c>
      <x:c r="R21" s="1" t="str">
        <x:v>Classified</x:v>
      </x:c>
      <x:c r="S21" s="1" t="str">
        <x:v>C400 Product WH With Listupdated.csv</x:v>
      </x:c>
    </x:row>
    <x:row r="22" ht="21" customHeight="1">
      <x:c r="A22" s="1" t="str">
        <x:v>C400</x:v>
      </x:c>
      <x:c r="B22" s="1" t="str">
        <x:v>30</x:v>
      </x:c>
      <x:c r="C22" s="1" t="str">
        <x:v>400HMASC</x:v>
      </x:c>
      <x:c r="D22" s="1" t="str">
        <x:v>*PAY ACH* AKILES PRODUCTS, INC</x:v>
      </x:c>
      <x:c r="E22" s="7" t="n">
        <x:v>46303</x:v>
      </x:c>
      <x:c r="F22" s="8" t="n">
        <x:v>31700</x:v>
      </x:c>
      <x:c r="G22" s="8" t="n">
        <x:v>3733.33</x:v>
      </x:c>
      <x:c r="H22" s="8" t="n">
        <x:v>5.83</x:v>
      </x:c>
      <x:c r="I22" s="8" t="n">
        <x:v>4.688</x:v>
      </x:c>
      <x:c r="J22" s="8" t="n">
        <x:v>100</x:v>
      </x:c>
      <x:c r="K22" s="8" t="n">
        <x:v>1.44</x:v>
      </x:c>
      <x:c r="L22" s="8" t="n">
        <x:v>4700</x:v>
      </x:c>
      <x:c r="M22" s="8" t="n">
        <x:v>27000</x:v>
      </x:c>
      <x:c r="N22" s="8" t="n">
        <x:v>0</x:v>
      </x:c>
      <x:c r="O22" s="8" t="n">
        <x:v>1</x:v>
      </x:c>
      <x:c r="P22" s="8" t="n">
        <x:v>3.938</x:v>
      </x:c>
      <x:c r="Q22" s="9" t="n">
        <x:v>1848.1100000000001</x:v>
      </x:c>
      <x:c r="R22" s="1" t="str">
        <x:v>Classified</x:v>
      </x:c>
      <x:c r="S22" s="1" t="str">
        <x:v>C400 Product WH With Listupdated.csv</x:v>
      </x:c>
    </x:row>
    <x:row r="23" ht="21" customHeight="1">
      <x:c r="A23" s="1" t="str">
        <x:v>C400</x:v>
      </x:c>
      <x:c r="B23" s="1" t="str">
        <x:v>60</x:v>
      </x:c>
      <x:c r="C23" s="1" t="str">
        <x:v>400HCSC</x:v>
      </x:c>
      <x:c r="D23" s="1" t="str">
        <x:v>*PAY ACH* AKILES PRODUCTS, INC</x:v>
      </x:c>
      <x:c r="E23" s="7" t="n">
        <x:v>46303</x:v>
      </x:c>
      <x:c r="F23" s="8" t="n">
        <x:v>15500</x:v>
      </x:c>
      <x:c r="G23" s="8" t="n">
        <x:v>3100</x:v>
      </x:c>
      <x:c r="H23" s="8" t="n">
        <x:v>7.06</x:v>
      </x:c>
      <x:c r="I23" s="8" t="n">
        <x:v>5.676</x:v>
      </x:c>
      <x:c r="J23" s="8" t="n">
        <x:v>100</x:v>
      </x:c>
      <x:c r="K23" s="8" t="n">
        <x:v>1.44</x:v>
      </x:c>
      <x:c r="L23" s="8" t="n">
        <x:v>6500</x:v>
      </x:c>
      <x:c r="M23" s="8" t="n">
        <x:v>9000</x:v>
      </x:c>
      <x:c r="N23" s="8" t="n">
        <x:v>0</x:v>
      </x:c>
      <x:c r="O23" s="8" t="n">
        <x:v>1</x:v>
      </x:c>
      <x:c r="P23" s="8" t="n">
        <x:v>4.768</x:v>
      </x:c>
      <x:c r="Q23" s="9" t="n">
        <x:v>1094.3</x:v>
      </x:c>
      <x:c r="R23" s="1" t="str">
        <x:v>Classified</x:v>
      </x:c>
      <x:c r="S23" s="1" t="str">
        <x:v>C400 Product WH With Listupdated.csv</x:v>
      </x:c>
    </x:row>
    <x:row r="24" ht="21" customHeight="1">
      <x:c r="A24" s="1" t="str">
        <x:v>C400</x:v>
      </x:c>
      <x:c r="B24" s="1" t="str">
        <x:v>10</x:v>
      </x:c>
      <x:c r="C24" s="1" t="str">
        <x:v>400HCSC</x:v>
      </x:c>
      <x:c r="D24" s="1" t="str">
        <x:v>*PAY ACH* AKILES PRODUCTS, INC</x:v>
      </x:c>
      <x:c r="E24" s="7" t="n">
        <x:v>46303</x:v>
      </x:c>
      <x:c r="F24" s="8" t="n">
        <x:v>24500</x:v>
      </x:c>
      <x:c r="G24" s="8" t="n">
        <x:v>3091.67</x:v>
      </x:c>
      <x:c r="H24" s="8" t="n">
        <x:v>7.06</x:v>
      </x:c>
      <x:c r="I24" s="8" t="n">
        <x:v>5.676</x:v>
      </x:c>
      <x:c r="J24" s="8" t="n">
        <x:v>100</x:v>
      </x:c>
      <x:c r="K24" s="8" t="n">
        <x:v>1.44</x:v>
      </x:c>
      <x:c r="L24" s="8" t="n">
        <x:v>5500</x:v>
      </x:c>
      <x:c r="M24" s="8" t="n">
        <x:v>19000</x:v>
      </x:c>
      <x:c r="N24" s="8" t="n">
        <x:v>0</x:v>
      </x:c>
      <x:c r="O24" s="8" t="n">
        <x:v>1</x:v>
      </x:c>
      <x:c r="P24" s="8" t="n">
        <x:v>4.768</x:v>
      </x:c>
      <x:c r="Q24" s="9" t="n">
        <x:v>1729.7</x:v>
      </x:c>
      <x:c r="R24" s="1" t="str">
        <x:v>Classified</x:v>
      </x:c>
      <x:c r="S24" s="1" t="str">
        <x:v>C400 Product WH With Listupdated.csv</x:v>
      </x:c>
    </x:row>
    <x:row r="25" ht="21" customHeight="1">
      <x:c r="A25" s="1" t="str">
        <x:v>C400</x:v>
      </x:c>
      <x:c r="B25" s="1" t="str">
        <x:v>30</x:v>
      </x:c>
      <x:c r="C25" s="1" t="str">
        <x:v>400MDSC</x:v>
      </x:c>
      <x:c r="D25" s="1" t="str">
        <x:v>*PAY ACH* AKILES PRODUCTS, INC</x:v>
      </x:c>
      <x:c r="E25" s="7" t="n">
        <x:v>46303</x:v>
      </x:c>
      <x:c r="F25" s="8" t="n">
        <x:v>12400</x:v>
      </x:c>
      <x:c r="G25" s="8" t="n">
        <x:v>2725</x:v>
      </x:c>
      <x:c r="H25" s="8" t="n">
        <x:v>7.79</x:v>
      </x:c>
      <x:c r="I25" s="8" t="n">
        <x:v>6.268</x:v>
      </x:c>
      <x:c r="J25" s="8" t="n">
        <x:v>100</x:v>
      </x:c>
      <x:c r="K25" s="8" t="n">
        <x:v>1.44</x:v>
      </x:c>
      <x:c r="L25" s="8" t="n">
        <x:v>5400</x:v>
      </x:c>
      <x:c r="M25" s="8" t="n">
        <x:v>7000</x:v>
      </x:c>
      <x:c r="N25" s="8" t="n">
        <x:v>0</x:v>
      </x:c>
      <x:c r="O25" s="8" t="n">
        <x:v>1</x:v>
      </x:c>
      <x:c r="P25" s="8" t="n">
        <x:v>5.266</x:v>
      </x:c>
      <x:c r="Q25" s="9" t="n">
        <x:v>965.96</x:v>
      </x:c>
      <x:c r="R25" s="1" t="str">
        <x:v>Classified</x:v>
      </x:c>
      <x:c r="S25" s="1" t="str">
        <x:v>C400 Product WH With Listupdated.csv</x:v>
      </x:c>
    </x:row>
    <x:row r="26" ht="21" customHeight="1">
      <x:c r="A26" s="1" t="str">
        <x:v>C400</x:v>
      </x:c>
      <x:c r="B26" s="1" t="str">
        <x:v>30</x:v>
      </x:c>
      <x:c r="C26" s="1" t="str">
        <x:v>400HDSC</x:v>
      </x:c>
      <x:c r="D26" s="1" t="str">
        <x:v>*PAY ACH* AKILES PRODUCTS, INC</x:v>
      </x:c>
      <x:c r="E26" s="7" t="n">
        <x:v>46303</x:v>
      </x:c>
      <x:c r="F26" s="8" t="n">
        <x:v>14800</x:v>
      </x:c>
      <x:c r="G26" s="8" t="n">
        <x:v>2675</x:v>
      </x:c>
      <x:c r="H26" s="8" t="n">
        <x:v>11.13</x:v>
      </x:c>
      <x:c r="I26" s="8" t="n">
        <x:v>8.952</x:v>
      </x:c>
      <x:c r="J26" s="8" t="n">
        <x:v>100</x:v>
      </x:c>
      <x:c r="K26" s="8" t="n">
        <x:v>1.44</x:v>
      </x:c>
      <x:c r="L26" s="8" t="n">
        <x:v>4800</x:v>
      </x:c>
      <x:c r="M26" s="8" t="n">
        <x:v>10000</x:v>
      </x:c>
      <x:c r="N26" s="8" t="n">
        <x:v>0</x:v>
      </x:c>
      <x:c r="O26" s="8" t="n">
        <x:v>1</x:v>
      </x:c>
      <x:c r="P26" s="8" t="n">
        <x:v>7.52</x:v>
      </x:c>
      <x:c r="Q26" s="9" t="n">
        <x:v>1680.63</x:v>
      </x:c>
      <x:c r="R26" s="1" t="str">
        <x:v>Classified</x:v>
      </x:c>
      <x:c r="S26" s="1" t="str">
        <x:v>C400 Product WH With Listupdated.csv</x:v>
      </x:c>
    </x:row>
    <x:row r="27" ht="21" customHeight="1">
      <x:c r="A27" s="1" t="str">
        <x:v>C400</x:v>
      </x:c>
      <x:c r="B27" s="1" t="str">
        <x:v>60</x:v>
      </x:c>
      <x:c r="C27" s="1" t="str">
        <x:v>400MCSC</x:v>
      </x:c>
      <x:c r="D27" s="1" t="str">
        <x:v>*PAY ACH* AKILES PRODUCTS, INC</x:v>
      </x:c>
      <x:c r="E27" s="7" t="n">
        <x:v>46303</x:v>
      </x:c>
      <x:c r="F27" s="8" t="n">
        <x:v>14000</x:v>
      </x:c>
      <x:c r="G27" s="8" t="n">
        <x:v>2525</x:v>
      </x:c>
      <x:c r="H27" s="8" t="n">
        <x:v>4.94</x:v>
      </x:c>
      <x:c r="I27" s="8" t="n">
        <x:v>3.973</x:v>
      </x:c>
      <x:c r="J27" s="8" t="n">
        <x:v>100</x:v>
      </x:c>
      <x:c r="K27" s="8" t="n">
        <x:v>1.44</x:v>
      </x:c>
      <x:c r="L27" s="8" t="n">
        <x:v>1000</x:v>
      </x:c>
      <x:c r="M27" s="8" t="n">
        <x:v>13000</x:v>
      </x:c>
      <x:c r="N27" s="8" t="n">
        <x:v>0</x:v>
      </x:c>
      <x:c r="O27" s="8" t="n">
        <x:v>1</x:v>
      </x:c>
      <x:c r="P27" s="8" t="n">
        <x:v>3.337</x:v>
      </x:c>
      <x:c r="Q27" s="9" t="n">
        <x:v>691.6</x:v>
      </x:c>
      <x:c r="R27" s="1" t="str">
        <x:v>Classified</x:v>
      </x:c>
      <x:c r="S27" s="1" t="str">
        <x:v>C400 Product WH With Listupdated.csv</x:v>
      </x:c>
    </x:row>
    <x:row r="28" ht="21" customHeight="1">
      <x:c r="A28" s="1" t="str">
        <x:v>C400</x:v>
      </x:c>
      <x:c r="B28" s="1" t="str">
        <x:v>60</x:v>
      </x:c>
      <x:c r="C28" s="1" t="str">
        <x:v>400MASC19P</x:v>
      </x:c>
      <x:c r="D28" s="1" t="str">
        <x:v>*PAY ACH* AKILES PRODUCTS, INC</x:v>
      </x:c>
      <x:c r="E28" s="7" t="n">
        <x:v>46303</x:v>
      </x:c>
      <x:c r="F28" s="8" t="n">
        <x:v>29900</x:v>
      </x:c>
      <x:c r="G28" s="8" t="n">
        <x:v>2425</x:v>
      </x:c>
      <x:c r="H28" s="8" t="n">
        <x:v>4.41</x:v>
      </x:c>
      <x:c r="I28" s="8" t="n">
        <x:v>3.546</x:v>
      </x:c>
      <x:c r="J28" s="8" t="n">
        <x:v>100</x:v>
      </x:c>
      <x:c r="K28" s="8" t="n">
        <x:v>1.44</x:v>
      </x:c>
      <x:c r="L28" s="8" t="n">
        <x:v>29900</x:v>
      </x:c>
      <x:c r="M28" s="8" t="n">
        <x:v>0</x:v>
      </x:c>
      <x:c r="N28" s="8" t="n">
        <x:v>0</x:v>
      </x:c>
      <x:c r="O28" s="8" t="n">
        <x:v>1</x:v>
      </x:c>
      <x:c r="P28" s="8" t="n">
        <x:v>2.979</x:v>
      </x:c>
      <x:c r="Q28" s="9" t="n">
        <x:v>1318.59</x:v>
      </x:c>
      <x:c r="R28" s="1" t="str">
        <x:v>Classified</x:v>
      </x:c>
      <x:c r="S28" s="1" t="str">
        <x:v>C400 Product WH With Listupdated.csv</x:v>
      </x:c>
    </x:row>
    <x:row r="29" ht="21" customHeight="1">
      <x:c r="A29" s="1" t="str">
        <x:v>C400</x:v>
      </x:c>
      <x:c r="B29" s="1" t="str">
        <x:v>10</x:v>
      </x:c>
      <x:c r="C29" s="1" t="str">
        <x:v>400HBRC</x:v>
      </x:c>
      <x:c r="D29" s="1" t="str">
        <x:v>*PAY ACH* AKILES PRODUCTS, INC</x:v>
      </x:c>
      <x:c r="E29" s="7" t="n">
        <x:v>46303</x:v>
      </x:c>
      <x:c r="F29" s="8" t="n">
        <x:v>12500</x:v>
      </x:c>
      <x:c r="G29" s="8" t="n">
        <x:v>2283.33</x:v>
      </x:c>
      <x:c r="H29" s="8" t="n">
        <x:v>5.99</x:v>
      </x:c>
      <x:c r="I29" s="8" t="n">
        <x:v>4.819</x:v>
      </x:c>
      <x:c r="J29" s="8" t="n">
        <x:v>100</x:v>
      </x:c>
      <x:c r="K29" s="8" t="n">
        <x:v>1.44</x:v>
      </x:c>
      <x:c r="L29" s="8" t="n">
        <x:v>500</x:v>
      </x:c>
      <x:c r="M29" s="8" t="n">
        <x:v>12000</x:v>
      </x:c>
      <x:c r="N29" s="8" t="n">
        <x:v>0</x:v>
      </x:c>
      <x:c r="O29" s="8" t="n">
        <x:v>1</x:v>
      </x:c>
      <x:c r="P29" s="8" t="n">
        <x:v>4.048</x:v>
      </x:c>
      <x:c r="Q29" s="9" t="n">
        <x:v>808.65</x:v>
      </x:c>
      <x:c r="R29" s="1" t="str">
        <x:v>Classified</x:v>
      </x:c>
      <x:c r="S29" s="1" t="str">
        <x:v>C400 Product WH With Listupdated.csv</x:v>
      </x:c>
    </x:row>
    <x:row r="30" ht="21" customHeight="1">
      <x:c r="A30" s="1" t="str">
        <x:v>C400</x:v>
      </x:c>
      <x:c r="B30" s="1" t="str">
        <x:v>60</x:v>
      </x:c>
      <x:c r="C30" s="1" t="str">
        <x:v>400HMASC</x:v>
      </x:c>
      <x:c r="D30" s="1" t="str">
        <x:v>*PAY ACH* AKILES PRODUCTS, INC</x:v>
      </x:c>
      <x:c r="E30" s="7" t="n">
        <x:v>46303</x:v>
      </x:c>
      <x:c r="F30" s="8" t="n">
        <x:v>18400</x:v>
      </x:c>
      <x:c r="G30" s="8" t="n">
        <x:v>2033.33</x:v>
      </x:c>
      <x:c r="H30" s="8" t="n">
        <x:v>5.83</x:v>
      </x:c>
      <x:c r="I30" s="8" t="n">
        <x:v>4.688</x:v>
      </x:c>
      <x:c r="J30" s="8" t="n">
        <x:v>100</x:v>
      </x:c>
      <x:c r="K30" s="8" t="n">
        <x:v>1.44</x:v>
      </x:c>
      <x:c r="L30" s="8" t="n">
        <x:v>6400</x:v>
      </x:c>
      <x:c r="M30" s="8" t="n">
        <x:v>12000</x:v>
      </x:c>
      <x:c r="N30" s="8" t="n">
        <x:v>0</x:v>
      </x:c>
      <x:c r="O30" s="8" t="n">
        <x:v>1</x:v>
      </x:c>
      <x:c r="P30" s="8" t="n">
        <x:v>3.938</x:v>
      </x:c>
      <x:c r="Q30" s="9" t="n">
        <x:v>1101.8700000000001</x:v>
      </x:c>
      <x:c r="R30" s="1" t="str">
        <x:v>Classified</x:v>
      </x:c>
      <x:c r="S30" s="1" t="str">
        <x:v>C400 Product WH With Listupdated.csv</x:v>
      </x:c>
    </x:row>
    <x:row r="31" ht="21" customHeight="1">
      <x:c r="A31" s="1" t="str">
        <x:v>C400</x:v>
      </x:c>
      <x:c r="B31" s="1" t="str">
        <x:v>10</x:v>
      </x:c>
      <x:c r="C31" s="1" t="str">
        <x:v>HRP7ASC</x:v>
      </x:c>
      <x:c r="D31" s="1" t="str">
        <x:v>C.J. ONEIL &amp; ASSOCIATES INC</x:v>
      </x:c>
      <x:c r="E31" s="7" t="n">
        <x:v>46303</x:v>
      </x:c>
      <x:c r="F31" s="8" t="n">
        <x:v>17400</x:v>
      </x:c>
      <x:c r="G31" s="8" t="n">
        <x:v>1933.33</x:v>
      </x:c>
      <x:c r="H31" s="8" t="n">
        <x:v>9.84</x:v>
      </x:c>
      <x:c r="I31" s="8" t="n">
        <x:v>9.84</x:v>
      </x:c>
      <x:c r="J31" s="8" t="n">
        <x:v>100</x:v>
      </x:c>
      <x:c r="K31" s="8" t="n">
        <x:v>1.44</x:v>
      </x:c>
      <x:c r="L31" s="8" t="n">
        <x:v>0</x:v>
      </x:c>
      <x:c r="M31" s="8" t="n">
        <x:v>0</x:v>
      </x:c>
      <x:c r="N31" s="8" t="n">
        <x:v>17400</x:v>
      </x:c>
      <x:c r="O31" s="8" t="n">
        <x:v>0</x:v>
      </x:c>
      <x:c r="P31" s="8"/>
      <x:c r="Q31" s="9" t="n">
        <x:v>1712.16</x:v>
      </x:c>
      <x:c r="R31" s="1" t="str">
        <x:v>Review receipt reconciliation or original PO baseline</x:v>
      </x:c>
      <x:c r="S31" s="1" t="str">
        <x:v>C400 Product WH With Listupdated.csv</x:v>
      </x:c>
    </x:row>
    <x:row r="32" ht="21" customHeight="1">
      <x:c r="A32" s="1" t="str">
        <x:v>C400</x:v>
      </x:c>
      <x:c r="B32" s="1" t="str">
        <x:v>60</x:v>
      </x:c>
      <x:c r="C32" s="1" t="str">
        <x:v>400HBRC</x:v>
      </x:c>
      <x:c r="D32" s="1" t="str">
        <x:v>*PAY ACH* AKILES PRODUCTS, INC</x:v>
      </x:c>
      <x:c r="E32" s="7" t="n">
        <x:v>46303</x:v>
      </x:c>
      <x:c r="F32" s="8" t="n">
        <x:v>6400</x:v>
      </x:c>
      <x:c r="G32" s="8" t="n">
        <x:v>1783.33</x:v>
      </x:c>
      <x:c r="H32" s="8" t="n">
        <x:v>5.99</x:v>
      </x:c>
      <x:c r="I32" s="8" t="n">
        <x:v>4.819</x:v>
      </x:c>
      <x:c r="J32" s="8" t="n">
        <x:v>100</x:v>
      </x:c>
      <x:c r="K32" s="8" t="n">
        <x:v>1.44</x:v>
      </x:c>
      <x:c r="L32" s="8" t="n">
        <x:v>1400</x:v>
      </x:c>
      <x:c r="M32" s="8" t="n">
        <x:v>5000</x:v>
      </x:c>
      <x:c r="N32" s="8" t="n">
        <x:v>0</x:v>
      </x:c>
      <x:c r="O32" s="8" t="n">
        <x:v>1</x:v>
      </x:c>
      <x:c r="P32" s="8" t="n">
        <x:v>4.048</x:v>
      </x:c>
      <x:c r="Q32" s="9" t="n">
        <x:v>401.33</x:v>
      </x:c>
      <x:c r="R32" s="1" t="str">
        <x:v>Classified</x:v>
      </x:c>
      <x:c r="S32" s="1" t="str">
        <x:v>C400 Product WH With Listupdated.csv</x:v>
      </x:c>
    </x:row>
    <x:row r="33" ht="21" customHeight="1">
      <x:c r="A33" s="1" t="str">
        <x:v>C400</x:v>
      </x:c>
      <x:c r="B33" s="1" t="str">
        <x:v>10</x:v>
      </x:c>
      <x:c r="C33" s="1" t="str">
        <x:v>400HMISC</x:v>
      </x:c>
      <x:c r="D33" s="1" t="str">
        <x:v>*PAY ACH* AKILES PRODUCTS, INC</x:v>
      </x:c>
      <x:c r="E33" s="7" t="n">
        <x:v>46303</x:v>
      </x:c>
      <x:c r="F33" s="8" t="n">
        <x:v>16000</x:v>
      </x:c>
      <x:c r="G33" s="8" t="n">
        <x:v>1733.33</x:v>
      </x:c>
      <x:c r="H33" s="8" t="n">
        <x:v>6.18</x:v>
      </x:c>
      <x:c r="I33" s="8" t="n">
        <x:v>4.97</x:v>
      </x:c>
      <x:c r="J33" s="8" t="n">
        <x:v>100</x:v>
      </x:c>
      <x:c r="K33" s="8" t="n">
        <x:v>1.44</x:v>
      </x:c>
      <x:c r="L33" s="8" t="n">
        <x:v>16000</x:v>
      </x:c>
      <x:c r="M33" s="8" t="n">
        <x:v>0</x:v>
      </x:c>
      <x:c r="N33" s="8" t="n">
        <x:v>0</x:v>
      </x:c>
      <x:c r="O33" s="8" t="n">
        <x:v>1</x:v>
      </x:c>
      <x:c r="P33" s="8" t="n">
        <x:v>4.175</x:v>
      </x:c>
      <x:c r="Q33" s="9" t="n">
        <x:v>988.8000000000001</x:v>
      </x:c>
      <x:c r="R33" s="1" t="str">
        <x:v>Classified</x:v>
      </x:c>
      <x:c r="S33" s="1" t="str">
        <x:v>C400 Product WH With Listupdated.csv</x:v>
      </x:c>
    </x:row>
    <x:row r="34" ht="21" customHeight="1">
      <x:c r="A34" s="1" t="str">
        <x:v>C400</x:v>
      </x:c>
      <x:c r="B34" s="1" t="str">
        <x:v>60</x:v>
      </x:c>
      <x:c r="C34" s="1" t="str">
        <x:v>400HASCT</x:v>
      </x:c>
      <x:c r="D34" s="1" t="str">
        <x:v>*PAY ACH* AKILES PRODUCTS, INC</x:v>
      </x:c>
      <x:c r="E34" s="7" t="n">
        <x:v>46303</x:v>
      </x:c>
      <x:c r="F34" s="8" t="n">
        <x:v>7200</x:v>
      </x:c>
      <x:c r="G34" s="8" t="n">
        <x:v>1716.67</x:v>
      </x:c>
      <x:c r="H34" s="8" t="n">
        <x:v>7.33</x:v>
      </x:c>
      <x:c r="I34" s="8" t="n">
        <x:v>5.895</x:v>
      </x:c>
      <x:c r="J34" s="8" t="n">
        <x:v>100</x:v>
      </x:c>
      <x:c r="K34" s="8" t="n">
        <x:v>1.44</x:v>
      </x:c>
      <x:c r="L34" s="8" t="n">
        <x:v>0</x:v>
      </x:c>
      <x:c r="M34" s="8" t="n">
        <x:v>7200</x:v>
      </x:c>
      <x:c r="N34" s="8" t="n">
        <x:v>0</x:v>
      </x:c>
      <x:c r="O34" s="8" t="n">
        <x:v>1</x:v>
      </x:c>
      <x:c r="P34" s="8" t="n">
        <x:v>4.952</x:v>
      </x:c>
      <x:c r="Q34" s="9" t="n">
        <x:v>527.76</x:v>
      </x:c>
      <x:c r="R34" s="1" t="str">
        <x:v>Classified</x:v>
      </x:c>
      <x:c r="S34" s="1" t="str">
        <x:v>C400 Product WH With Listupdated.csv</x:v>
      </x:c>
    </x:row>
    <x:row r="35" ht="21" customHeight="1">
      <x:c r="A35" s="1" t="str">
        <x:v>C400</x:v>
      </x:c>
      <x:c r="B35" s="1" t="str">
        <x:v>30</x:v>
      </x:c>
      <x:c r="C35" s="1" t="str">
        <x:v>400HBRC</x:v>
      </x:c>
      <x:c r="D35" s="1" t="str">
        <x:v>*PAY ACH* AKILES PRODUCTS, INC</x:v>
      </x:c>
      <x:c r="E35" s="7" t="n">
        <x:v>46303</x:v>
      </x:c>
      <x:c r="F35" s="8" t="n">
        <x:v>5900</x:v>
      </x:c>
      <x:c r="G35" s="8" t="n">
        <x:v>1550</x:v>
      </x:c>
      <x:c r="H35" s="8" t="n">
        <x:v>5.99</x:v>
      </x:c>
      <x:c r="I35" s="8" t="n">
        <x:v>4.819</x:v>
      </x:c>
      <x:c r="J35" s="8" t="n">
        <x:v>100</x:v>
      </x:c>
      <x:c r="K35" s="8" t="n">
        <x:v>1.44</x:v>
      </x:c>
      <x:c r="L35" s="8" t="n">
        <x:v>0</x:v>
      </x:c>
      <x:c r="M35" s="8" t="n">
        <x:v>5900</x:v>
      </x:c>
      <x:c r="N35" s="8" t="n">
        <x:v>0</x:v>
      </x:c>
      <x:c r="O35" s="8" t="n">
        <x:v>1</x:v>
      </x:c>
      <x:c r="P35" s="8" t="n">
        <x:v>4.048</x:v>
      </x:c>
      <x:c r="Q35" s="9" t="n">
        <x:v>383.36</x:v>
      </x:c>
      <x:c r="R35" s="1" t="str">
        <x:v>Classified</x:v>
      </x:c>
      <x:c r="S35" s="1" t="str">
        <x:v>C400 Product WH With Listupdated.csv</x:v>
      </x:c>
    </x:row>
    <x:row r="36" ht="21" customHeight="1">
      <x:c r="A36" s="1" t="str">
        <x:v>C400</x:v>
      </x:c>
      <x:c r="B36" s="1" t="str">
        <x:v>60</x:v>
      </x:c>
      <x:c r="C36" s="1" t="str">
        <x:v>400HMISC</x:v>
      </x:c>
      <x:c r="D36" s="1" t="str">
        <x:v>*PAY ACH* AKILES PRODUCTS, INC</x:v>
      </x:c>
      <x:c r="E36" s="7" t="n">
        <x:v>46303</x:v>
      </x:c>
      <x:c r="F36" s="8" t="n">
        <x:v>9000</x:v>
      </x:c>
      <x:c r="G36" s="8" t="n">
        <x:v>1433.33</x:v>
      </x:c>
      <x:c r="H36" s="8" t="n">
        <x:v>6.18</x:v>
      </x:c>
      <x:c r="I36" s="8" t="n">
        <x:v>4.97</x:v>
      </x:c>
      <x:c r="J36" s="8" t="n">
        <x:v>100</x:v>
      </x:c>
      <x:c r="K36" s="8" t="n">
        <x:v>1.44</x:v>
      </x:c>
      <x:c r="L36" s="8" t="n">
        <x:v>6000</x:v>
      </x:c>
      <x:c r="M36" s="8" t="n">
        <x:v>3000</x:v>
      </x:c>
      <x:c r="N36" s="8" t="n">
        <x:v>0</x:v>
      </x:c>
      <x:c r="O36" s="8" t="n">
        <x:v>1</x:v>
      </x:c>
      <x:c r="P36" s="8" t="n">
        <x:v>4.175</x:v>
      </x:c>
      <x:c r="Q36" s="9" t="n">
        <x:v>556.2</x:v>
      </x:c>
      <x:c r="R36" s="1" t="str">
        <x:v>Classified</x:v>
      </x:c>
      <x:c r="S36" s="1" t="str">
        <x:v>C400 Product WH With Listupdated.csv</x:v>
      </x:c>
    </x:row>
    <x:row r="37" ht="21" customHeight="1">
      <x:c r="A37" s="1" t="str">
        <x:v>C400</x:v>
      </x:c>
      <x:c r="B37" s="1" t="str">
        <x:v>60</x:v>
      </x:c>
      <x:c r="C37" s="1" t="str">
        <x:v>400LDSC</x:v>
      </x:c>
      <x:c r="D37" s="1" t="str">
        <x:v>*PAY ACH* AKILES PRODUCTS, INC</x:v>
      </x:c>
      <x:c r="E37" s="7" t="n">
        <x:v>46303</x:v>
      </x:c>
      <x:c r="F37" s="8" t="n">
        <x:v>8700</x:v>
      </x:c>
      <x:c r="G37" s="8" t="n">
        <x:v>1333.33</x:v>
      </x:c>
      <x:c r="H37" s="8" t="n">
        <x:v>5.56</x:v>
      </x:c>
      <x:c r="I37" s="8" t="n">
        <x:v>4.476</x:v>
      </x:c>
      <x:c r="J37" s="8" t="n">
        <x:v>100</x:v>
      </x:c>
      <x:c r="K37" s="8" t="n">
        <x:v>1.44</x:v>
      </x:c>
      <x:c r="L37" s="8" t="n">
        <x:v>0</x:v>
      </x:c>
      <x:c r="M37" s="8" t="n">
        <x:v>8700</x:v>
      </x:c>
      <x:c r="N37" s="8" t="n">
        <x:v>0</x:v>
      </x:c>
      <x:c r="O37" s="8" t="n">
        <x:v>1</x:v>
      </x:c>
      <x:c r="P37" s="8" t="n">
        <x:v>3.76</x:v>
      </x:c>
      <x:c r="Q37" s="9" t="n">
        <x:v>483.72</x:v>
      </x:c>
      <x:c r="R37" s="1" t="str">
        <x:v>Classified</x:v>
      </x:c>
      <x:c r="S37" s="1" t="str">
        <x:v>C400 Product WH With Listupdated.csv</x:v>
      </x:c>
    </x:row>
    <x:row r="38" ht="21" customHeight="1">
      <x:c r="A38" s="1" t="str">
        <x:v>C400</x:v>
      </x:c>
      <x:c r="B38" s="1" t="str">
        <x:v>30</x:v>
      </x:c>
      <x:c r="C38" s="1" t="str">
        <x:v>400HISC</x:v>
      </x:c>
      <x:c r="D38" s="1" t="str">
        <x:v>*PAY ACH* AKILES PRODUCTS, INC</x:v>
      </x:c>
      <x:c r="E38" s="7" t="n">
        <x:v>46303</x:v>
      </x:c>
      <x:c r="F38" s="8" t="n">
        <x:v>9100</x:v>
      </x:c>
      <x:c r="G38" s="8" t="n">
        <x:v>1308.33</x:v>
      </x:c>
      <x:c r="H38" s="8" t="n">
        <x:v>5.88</x:v>
      </x:c>
      <x:c r="I38" s="8" t="n">
        <x:v>4.733</x:v>
      </x:c>
      <x:c r="J38" s="8" t="n">
        <x:v>100</x:v>
      </x:c>
      <x:c r="K38" s="8" t="n">
        <x:v>1.44</x:v>
      </x:c>
      <x:c r="L38" s="8" t="n">
        <x:v>9100</x:v>
      </x:c>
      <x:c r="M38" s="8" t="n">
        <x:v>0</x:v>
      </x:c>
      <x:c r="N38" s="8" t="n">
        <x:v>0</x:v>
      </x:c>
      <x:c r="O38" s="8" t="n">
        <x:v>1</x:v>
      </x:c>
      <x:c r="P38" s="8" t="n">
        <x:v>3.976</x:v>
      </x:c>
      <x:c r="Q38" s="9" t="n">
        <x:v>535.08</x:v>
      </x:c>
      <x:c r="R38" s="1" t="str">
        <x:v>Classified</x:v>
      </x:c>
      <x:c r="S38" s="1" t="str">
        <x:v>C400 Product WH With Listupdated.csv</x:v>
      </x:c>
    </x:row>
    <x:row r="39" ht="21" customHeight="1">
      <x:c r="A39" s="1" t="str">
        <x:v>C400</x:v>
      </x:c>
      <x:c r="B39" s="1" t="str">
        <x:v>10</x:v>
      </x:c>
      <x:c r="C39" s="1" t="str">
        <x:v>400LDSC</x:v>
      </x:c>
      <x:c r="D39" s="1" t="str">
        <x:v>*PAY ACH* AKILES PRODUCTS, INC</x:v>
      </x:c>
      <x:c r="E39" s="7" t="n">
        <x:v>46303</x:v>
      </x:c>
      <x:c r="F39" s="8" t="n">
        <x:v>12200</x:v>
      </x:c>
      <x:c r="G39" s="8" t="n">
        <x:v>1300</x:v>
      </x:c>
      <x:c r="H39" s="8" t="n">
        <x:v>5.56</x:v>
      </x:c>
      <x:c r="I39" s="8" t="n">
        <x:v>4.476</x:v>
      </x:c>
      <x:c r="J39" s="8" t="n">
        <x:v>100</x:v>
      </x:c>
      <x:c r="K39" s="8" t="n">
        <x:v>1.44</x:v>
      </x:c>
      <x:c r="L39" s="8" t="n">
        <x:v>200</x:v>
      </x:c>
      <x:c r="M39" s="8" t="n">
        <x:v>12000</x:v>
      </x:c>
      <x:c r="N39" s="8" t="n">
        <x:v>0</x:v>
      </x:c>
      <x:c r="O39" s="8" t="n">
        <x:v>1</x:v>
      </x:c>
      <x:c r="P39" s="8" t="n">
        <x:v>3.76</x:v>
      </x:c>
      <x:c r="Q39" s="9" t="n">
        <x:v>678.32</x:v>
      </x:c>
      <x:c r="R39" s="1" t="str">
        <x:v>Classified</x:v>
      </x:c>
      <x:c r="S39" s="1" t="str">
        <x:v>C400 Product WH With Listupdated.csv</x:v>
      </x:c>
    </x:row>
    <x:row r="40" ht="21" customHeight="1">
      <x:c r="A40" s="1" t="str">
        <x:v>C400</x:v>
      </x:c>
      <x:c r="B40" s="1" t="str">
        <x:v>10</x:v>
      </x:c>
      <x:c r="C40" s="1" t="str">
        <x:v>400HASC19P</x:v>
      </x:c>
      <x:c r="D40" s="1" t="str">
        <x:v>*PAY ACH* AKILES PRODUCTS, INC</x:v>
      </x:c>
      <x:c r="E40" s="7" t="n">
        <x:v>46303</x:v>
      </x:c>
      <x:c r="F40" s="8" t="n">
        <x:v>7200</x:v>
      </x:c>
      <x:c r="G40" s="8" t="n">
        <x:v>1083.33</x:v>
      </x:c>
      <x:c r="H40" s="8" t="n">
        <x:v>6.08</x:v>
      </x:c>
      <x:c r="I40" s="8" t="n">
        <x:v>4.888</x:v>
      </x:c>
      <x:c r="J40" s="8" t="n">
        <x:v>100</x:v>
      </x:c>
      <x:c r="K40" s="8" t="n">
        <x:v>1.44</x:v>
      </x:c>
      <x:c r="L40" s="8" t="n">
        <x:v>0</x:v>
      </x:c>
      <x:c r="M40" s="8" t="n">
        <x:v>7200</x:v>
      </x:c>
      <x:c r="N40" s="8" t="n">
        <x:v>0</x:v>
      </x:c>
      <x:c r="O40" s="8" t="n">
        <x:v>1</x:v>
      </x:c>
      <x:c r="P40" s="8" t="n">
        <x:v>4.106</x:v>
      </x:c>
      <x:c r="Q40" s="9" t="n">
        <x:v>437.76</x:v>
      </x:c>
      <x:c r="R40" s="1" t="str">
        <x:v>Classified</x:v>
      </x:c>
      <x:c r="S40" s="1" t="str">
        <x:v>C400 Product WH With Listupdated.csv</x:v>
      </x:c>
    </x:row>
    <x:row r="41" ht="21" customHeight="1">
      <x:c r="A41" s="1" t="str">
        <x:v>C400</x:v>
      </x:c>
      <x:c r="B41" s="1" t="str">
        <x:v>30</x:v>
      </x:c>
      <x:c r="C41" s="1" t="str">
        <x:v>400HCSC</x:v>
      </x:c>
      <x:c r="D41" s="1" t="str">
        <x:v>*PAY ACH* AKILES PRODUCTS, INC</x:v>
      </x:c>
      <x:c r="E41" s="7" t="n">
        <x:v>46303</x:v>
      </x:c>
      <x:c r="F41" s="8" t="n">
        <x:v>4700</x:v>
      </x:c>
      <x:c r="G41" s="8" t="n">
        <x:v>1058.33</x:v>
      </x:c>
      <x:c r="H41" s="8" t="n">
        <x:v>7.06</x:v>
      </x:c>
      <x:c r="I41" s="8" t="n">
        <x:v>5.676</x:v>
      </x:c>
      <x:c r="J41" s="8" t="n">
        <x:v>100</x:v>
      </x:c>
      <x:c r="K41" s="8" t="n">
        <x:v>1.44</x:v>
      </x:c>
      <x:c r="L41" s="8" t="n">
        <x:v>3700</x:v>
      </x:c>
      <x:c r="M41" s="8" t="n">
        <x:v>1000</x:v>
      </x:c>
      <x:c r="N41" s="8" t="n">
        <x:v>0</x:v>
      </x:c>
      <x:c r="O41" s="8" t="n">
        <x:v>1</x:v>
      </x:c>
      <x:c r="P41" s="8" t="n">
        <x:v>4.768</x:v>
      </x:c>
      <x:c r="Q41" s="9" t="n">
        <x:v>331.82</x:v>
      </x:c>
      <x:c r="R41" s="1" t="str">
        <x:v>Classified</x:v>
      </x:c>
      <x:c r="S41" s="1" t="str">
        <x:v>C400 Product WH With Listupdated.csv</x:v>
      </x:c>
    </x:row>
    <x:row r="42" ht="21" customHeight="1">
      <x:c r="A42" s="1" t="str">
        <x:v>C400</x:v>
      </x:c>
      <x:c r="B42" s="1" t="str">
        <x:v>60</x:v>
      </x:c>
      <x:c r="C42" s="1" t="str">
        <x:v>HRP7ASC</x:v>
      </x:c>
      <x:c r="D42" s="1" t="str">
        <x:v>C.J. ONEIL &amp; ASSOCIATES INC</x:v>
      </x:c>
      <x:c r="E42" s="7" t="n">
        <x:v>46303</x:v>
      </x:c>
      <x:c r="F42" s="8" t="n">
        <x:v>0</x:v>
      </x:c>
      <x:c r="G42" s="8" t="n">
        <x:v>983.33</x:v>
      </x:c>
      <x:c r="H42" s="8" t="n">
        <x:v>9.84</x:v>
      </x:c>
      <x:c r="I42" s="8" t="n">
        <x:v>0</x:v>
      </x:c>
      <x:c r="J42" s="8" t="n">
        <x:v>100</x:v>
      </x:c>
      <x:c r="K42" s="8" t="n">
        <x:v>1.44</x:v>
      </x:c>
      <x:c r="L42" s="8" t="n">
        <x:v>0</x:v>
      </x:c>
      <x:c r="M42" s="8" t="n">
        <x:v>0</x:v>
      </x:c>
      <x:c r="N42" s="8" t="n">
        <x:v>0</x:v>
      </x:c>
      <x:c r="O42" s="8" t="n">
        <x:v>0</x:v>
      </x:c>
      <x:c r="P42" s="8"/>
      <x:c r="Q42" s="9" t="n">
        <x:v>0</x:v>
      </x:c>
      <x:c r="R42" s="1" t="str">
        <x:v>Review receipt reconciliation or original PO baseline</x:v>
      </x:c>
      <x:c r="S42" s="1" t="str">
        <x:v>C400 Product WH With Listupdated.csv</x:v>
      </x:c>
    </x:row>
    <x:row r="43" ht="21" customHeight="1">
      <x:c r="A43" s="1" t="str">
        <x:v>C400</x:v>
      </x:c>
      <x:c r="B43" s="1" t="str">
        <x:v>10</x:v>
      </x:c>
      <x:c r="C43" s="1" t="str">
        <x:v>400MASC19P</x:v>
      </x:c>
      <x:c r="D43" s="1" t="str">
        <x:v>*PAY ACH* AKILES PRODUCTS, INC</x:v>
      </x:c>
      <x:c r="E43" s="7" t="n">
        <x:v>46303</x:v>
      </x:c>
      <x:c r="F43" s="8" t="n">
        <x:v>9300</x:v>
      </x:c>
      <x:c r="G43" s="8" t="n">
        <x:v>941.67</x:v>
      </x:c>
      <x:c r="H43" s="8" t="n">
        <x:v>4.41</x:v>
      </x:c>
      <x:c r="I43" s="8" t="n">
        <x:v>3.546</x:v>
      </x:c>
      <x:c r="J43" s="8" t="n">
        <x:v>100</x:v>
      </x:c>
      <x:c r="K43" s="8" t="n">
        <x:v>1.44</x:v>
      </x:c>
      <x:c r="L43" s="8" t="n">
        <x:v>9300</x:v>
      </x:c>
      <x:c r="M43" s="8" t="n">
        <x:v>0</x:v>
      </x:c>
      <x:c r="N43" s="8" t="n">
        <x:v>0</x:v>
      </x:c>
      <x:c r="O43" s="8" t="n">
        <x:v>1</x:v>
      </x:c>
      <x:c r="P43" s="8" t="n">
        <x:v>2.979</x:v>
      </x:c>
      <x:c r="Q43" s="9" t="n">
        <x:v>410.13</x:v>
      </x:c>
      <x:c r="R43" s="1" t="str">
        <x:v>Classified</x:v>
      </x:c>
      <x:c r="S43" s="1" t="str">
        <x:v>C400 Product WH With Listupdated.csv</x:v>
      </x:c>
    </x:row>
    <x:row r="44" ht="21" customHeight="1">
      <x:c r="A44" s="1" t="str">
        <x:v>C400</x:v>
      </x:c>
      <x:c r="B44" s="1" t="str">
        <x:v>10</x:v>
      </x:c>
      <x:c r="C44" s="1" t="str">
        <x:v>400HE</x:v>
      </x:c>
      <x:c r="D44" s="1" t="str">
        <x:v>*PAY ACH* AKILES PRODUCTS, INC</x:v>
      </x:c>
      <x:c r="E44" s="7" t="n">
        <x:v>46303</x:v>
      </x:c>
      <x:c r="F44" s="8" t="n">
        <x:v>2739</x:v>
      </x:c>
      <x:c r="G44" s="8" t="n">
        <x:v>864</x:v>
      </x:c>
      <x:c r="H44" s="8" t="n">
        <x:v>47.93</x:v>
      </x:c>
      <x:c r="I44" s="8" t="n">
        <x:v>38.547</x:v>
      </x:c>
      <x:c r="J44" s="8" t="n">
        <x:v>100</x:v>
      </x:c>
      <x:c r="K44" s="8" t="n">
        <x:v>1.44</x:v>
      </x:c>
      <x:c r="L44" s="8" t="n">
        <x:v>2739</x:v>
      </x:c>
      <x:c r="M44" s="8" t="n">
        <x:v>0</x:v>
      </x:c>
      <x:c r="N44" s="8" t="n">
        <x:v>0</x:v>
      </x:c>
      <x:c r="O44" s="8" t="n">
        <x:v>1</x:v>
      </x:c>
      <x:c r="P44" s="8" t="n">
        <x:v>32.382</x:v>
      </x:c>
      <x:c r="Q44" s="9" t="n">
        <x:v>1312.8027</x:v>
      </x:c>
      <x:c r="R44" s="1" t="str">
        <x:v>Classified</x:v>
      </x:c>
      <x:c r="S44" s="1" t="str">
        <x:v>C400 Product WH With Listupdated.csv</x:v>
      </x:c>
    </x:row>
    <x:row r="45" ht="21" customHeight="1">
      <x:c r="A45" s="1" t="str">
        <x:v>C400</x:v>
      </x:c>
      <x:c r="B45" s="1" t="str">
        <x:v>30</x:v>
      </x:c>
      <x:c r="C45" s="1" t="str">
        <x:v>400HASCT</x:v>
      </x:c>
      <x:c r="D45" s="1" t="str">
        <x:v>*PAY ACH* AKILES PRODUCTS, INC</x:v>
      </x:c>
      <x:c r="E45" s="7" t="n">
        <x:v>46303</x:v>
      </x:c>
      <x:c r="F45" s="8" t="n">
        <x:v>7000</x:v>
      </x:c>
      <x:c r="G45" s="8" t="n">
        <x:v>808.33</x:v>
      </x:c>
      <x:c r="H45" s="8" t="n">
        <x:v>7.33</x:v>
      </x:c>
      <x:c r="I45" s="8" t="n">
        <x:v>5.895</x:v>
      </x:c>
      <x:c r="J45" s="8" t="n">
        <x:v>100</x:v>
      </x:c>
      <x:c r="K45" s="8" t="n">
        <x:v>1.44</x:v>
      </x:c>
      <x:c r="L45" s="8" t="n">
        <x:v>4000</x:v>
      </x:c>
      <x:c r="M45" s="8" t="n">
        <x:v>3000</x:v>
      </x:c>
      <x:c r="N45" s="8" t="n">
        <x:v>0</x:v>
      </x:c>
      <x:c r="O45" s="8" t="n">
        <x:v>1</x:v>
      </x:c>
      <x:c r="P45" s="8" t="n">
        <x:v>4.952</x:v>
      </x:c>
      <x:c r="Q45" s="9" t="n">
        <x:v>513.1</x:v>
      </x:c>
      <x:c r="R45" s="1" t="str">
        <x:v>Classified</x:v>
      </x:c>
      <x:c r="S45" s="1" t="str">
        <x:v>C400 Product WH With Listupdated.csv</x:v>
      </x:c>
    </x:row>
    <x:row r="46" ht="21" customHeight="1">
      <x:c r="A46" s="1" t="str">
        <x:v>C400</x:v>
      </x:c>
      <x:c r="B46" s="1" t="str">
        <x:v>60</x:v>
      </x:c>
      <x:c r="C46" s="1" t="str">
        <x:v>400HE</x:v>
      </x:c>
      <x:c r="D46" s="1" t="str">
        <x:v>*PAY ACH* AKILES PRODUCTS, INC</x:v>
      </x:c>
      <x:c r="E46" s="7" t="n">
        <x:v>46303</x:v>
      </x:c>
      <x:c r="F46" s="8" t="n">
        <x:v>5340</x:v>
      </x:c>
      <x:c r="G46" s="8" t="n">
        <x:v>802.33</x:v>
      </x:c>
      <x:c r="H46" s="8" t="n">
        <x:v>47.93</x:v>
      </x:c>
      <x:c r="I46" s="8" t="n">
        <x:v>38.547</x:v>
      </x:c>
      <x:c r="J46" s="8" t="n">
        <x:v>100</x:v>
      </x:c>
      <x:c r="K46" s="8" t="n">
        <x:v>1.44</x:v>
      </x:c>
      <x:c r="L46" s="8" t="n">
        <x:v>340</x:v>
      </x:c>
      <x:c r="M46" s="8" t="n">
        <x:v>5000</x:v>
      </x:c>
      <x:c r="N46" s="8" t="n">
        <x:v>0</x:v>
      </x:c>
      <x:c r="O46" s="8" t="n">
        <x:v>1</x:v>
      </x:c>
      <x:c r="P46" s="8" t="n">
        <x:v>32.382</x:v>
      </x:c>
      <x:c r="Q46" s="9" t="n">
        <x:v>2559.462</x:v>
      </x:c>
      <x:c r="R46" s="1" t="str">
        <x:v>Classified</x:v>
      </x:c>
      <x:c r="S46" s="1" t="str">
        <x:v>C400 Product WH With Listupdated.csv</x:v>
      </x:c>
    </x:row>
    <x:row r="47" ht="21" customHeight="1">
      <x:c r="A47" s="1" t="str">
        <x:v>C400</x:v>
      </x:c>
      <x:c r="B47" s="1" t="str">
        <x:v>60</x:v>
      </x:c>
      <x:c r="C47" s="1" t="str">
        <x:v>400LISC</x:v>
      </x:c>
      <x:c r="D47" s="1" t="str">
        <x:v>*PAY ACH* AKILES PRODUCTS, INC</x:v>
      </x:c>
      <x:c r="E47" s="7" t="n">
        <x:v>46303</x:v>
      </x:c>
      <x:c r="F47" s="8" t="n">
        <x:v>6300</x:v>
      </x:c>
      <x:c r="G47" s="8" t="n">
        <x:v>766.67</x:v>
      </x:c>
      <x:c r="H47" s="8" t="n">
        <x:v>2.94</x:v>
      </x:c>
      <x:c r="I47" s="8" t="n">
        <x:v>2.367</x:v>
      </x:c>
      <x:c r="J47" s="8" t="n">
        <x:v>100</x:v>
      </x:c>
      <x:c r="K47" s="8" t="n">
        <x:v>1.44</x:v>
      </x:c>
      <x:c r="L47" s="8" t="n">
        <x:v>4300</x:v>
      </x:c>
      <x:c r="M47" s="8" t="n">
        <x:v>2000</x:v>
      </x:c>
      <x:c r="N47" s="8" t="n">
        <x:v>0</x:v>
      </x:c>
      <x:c r="O47" s="8" t="n">
        <x:v>1</x:v>
      </x:c>
      <x:c r="P47" s="8" t="n">
        <x:v>1.989</x:v>
      </x:c>
      <x:c r="Q47" s="9" t="n">
        <x:v>185.22</x:v>
      </x:c>
      <x:c r="R47" s="1" t="str">
        <x:v>Classified</x:v>
      </x:c>
      <x:c r="S47" s="1" t="str">
        <x:v>C400 Product WH With Listupdated.csv</x:v>
      </x:c>
    </x:row>
    <x:row r="48" ht="21" customHeight="1">
      <x:c r="A48" s="1" t="str">
        <x:v>C400</x:v>
      </x:c>
      <x:c r="B48" s="1" t="str">
        <x:v>30</x:v>
      </x:c>
      <x:c r="C48" s="1" t="str">
        <x:v>400MCSC</x:v>
      </x:c>
      <x:c r="D48" s="1" t="str">
        <x:v>*PAY ACH* AKILES PRODUCTS, INC</x:v>
      </x:c>
      <x:c r="E48" s="7" t="n">
        <x:v>46303</x:v>
      </x:c>
      <x:c r="F48" s="8" t="n">
        <x:v>7000</x:v>
      </x:c>
      <x:c r="G48" s="8" t="n">
        <x:v>716.67</x:v>
      </x:c>
      <x:c r="H48" s="8" t="n">
        <x:v>4.94</x:v>
      </x:c>
      <x:c r="I48" s="8" t="n">
        <x:v>3.973</x:v>
      </x:c>
      <x:c r="J48" s="8" t="n">
        <x:v>100</x:v>
      </x:c>
      <x:c r="K48" s="8" t="n">
        <x:v>1.44</x:v>
      </x:c>
      <x:c r="L48" s="8" t="n">
        <x:v>2000</x:v>
      </x:c>
      <x:c r="M48" s="8" t="n">
        <x:v>5000</x:v>
      </x:c>
      <x:c r="N48" s="8" t="n">
        <x:v>0</x:v>
      </x:c>
      <x:c r="O48" s="8" t="n">
        <x:v>1</x:v>
      </x:c>
      <x:c r="P48" s="8" t="n">
        <x:v>3.337</x:v>
      </x:c>
      <x:c r="Q48" s="9" t="n">
        <x:v>345.8</x:v>
      </x:c>
      <x:c r="R48" s="1" t="str">
        <x:v>Classified</x:v>
      </x:c>
      <x:c r="S48" s="1" t="str">
        <x:v>C400 Product WH With Listupdated.csv</x:v>
      </x:c>
    </x:row>
    <x:row r="49" ht="21" customHeight="1">
      <x:c r="A49" s="1" t="str">
        <x:v>C400</x:v>
      </x:c>
      <x:c r="B49" s="1" t="str">
        <x:v>10</x:v>
      </x:c>
      <x:c r="C49" s="1" t="str">
        <x:v>WOM</x:v>
      </x:c>
      <x:c r="D49" s="1" t="str">
        <x:v>SOUTHWEST CONVERSION</x:v>
      </x:c>
      <x:c r="E49" s="7" t="n">
        <x:v>46303</x:v>
      </x:c>
      <x:c r="F49" s="8" t="n">
        <x:v>1000</x:v>
      </x:c>
      <x:c r="G49" s="8" t="n">
        <x:v>666.67</x:v>
      </x:c>
      <x:c r="H49" s="8" t="n">
        <x:v>2.75</x:v>
      </x:c>
      <x:c r="I49" s="8" t="n">
        <x:v>0</x:v>
      </x:c>
      <x:c r="J49" s="8" t="n">
        <x:v>100</x:v>
      </x:c>
      <x:c r="K49" s="8" t="n">
        <x:v>1.44</x:v>
      </x:c>
      <x:c r="L49" s="8" t="n">
        <x:v>0</x:v>
      </x:c>
      <x:c r="M49" s="8" t="n">
        <x:v>0</x:v>
      </x:c>
      <x:c r="N49" s="8" t="n">
        <x:v>1000</x:v>
      </x:c>
      <x:c r="O49" s="8" t="n">
        <x:v>0</x:v>
      </x:c>
      <x:c r="P49" s="8"/>
      <x:c r="Q49" s="9" t="n">
        <x:v>27.5</x:v>
      </x:c>
      <x:c r="R49" s="1" t="str">
        <x:v>Review receipt reconciliation or original PO baseline</x:v>
      </x:c>
      <x:c r="S49" s="1" t="str">
        <x:v>C400 Product WH With Listupdated.csv</x:v>
      </x:c>
    </x:row>
    <x:row r="50" ht="21" customHeight="1">
      <x:c r="A50" s="1" t="str">
        <x:v>C400</x:v>
      </x:c>
      <x:c r="B50" s="1" t="str">
        <x:v>60</x:v>
      </x:c>
      <x:c r="C50" s="1" t="str">
        <x:v>400LCSC</x:v>
      </x:c>
      <x:c r="D50" s="1" t="str">
        <x:v>*PAY ACH* AKILES PRODUCTS, INC</x:v>
      </x:c>
      <x:c r="E50" s="7" t="n">
        <x:v>46303</x:v>
      </x:c>
      <x:c r="F50" s="8" t="n">
        <x:v>4000</x:v>
      </x:c>
      <x:c r="G50" s="8" t="n">
        <x:v>658.33</x:v>
      </x:c>
      <x:c r="H50" s="8" t="n">
        <x:v>3.53</x:v>
      </x:c>
      <x:c r="I50" s="8" t="n">
        <x:v>2.838</x:v>
      </x:c>
      <x:c r="J50" s="8" t="n">
        <x:v>100</x:v>
      </x:c>
      <x:c r="K50" s="8" t="n">
        <x:v>1.44</x:v>
      </x:c>
      <x:c r="L50" s="8" t="n">
        <x:v>4000</x:v>
      </x:c>
      <x:c r="M50" s="8" t="n">
        <x:v>0</x:v>
      </x:c>
      <x:c r="N50" s="8" t="n">
        <x:v>0</x:v>
      </x:c>
      <x:c r="O50" s="8" t="n">
        <x:v>1</x:v>
      </x:c>
      <x:c r="P50" s="8" t="n">
        <x:v>2.384</x:v>
      </x:c>
      <x:c r="Q50" s="9" t="n">
        <x:v>141.20000000000002</x:v>
      </x:c>
      <x:c r="R50" s="1" t="str">
        <x:v>Classified</x:v>
      </x:c>
      <x:c r="S50" s="1" t="str">
        <x:v>C400 Product WH With Listupdated.csv</x:v>
      </x:c>
    </x:row>
    <x:row r="51" ht="21" customHeight="1">
      <x:c r="A51" s="1" t="str">
        <x:v>C400</x:v>
      </x:c>
      <x:c r="B51" s="1" t="str">
        <x:v>10</x:v>
      </x:c>
      <x:c r="C51" s="1" t="str">
        <x:v>400LISC</x:v>
      </x:c>
      <x:c r="D51" s="1" t="str">
        <x:v>*PAY ACH* AKILES PRODUCTS, INC</x:v>
      </x:c>
      <x:c r="E51" s="7" t="n">
        <x:v>46303</x:v>
      </x:c>
      <x:c r="F51" s="8" t="n">
        <x:v>7300</x:v>
      </x:c>
      <x:c r="G51" s="8" t="n">
        <x:v>600</x:v>
      </x:c>
      <x:c r="H51" s="8" t="n">
        <x:v>2.94</x:v>
      </x:c>
      <x:c r="I51" s="8" t="n">
        <x:v>2.367</x:v>
      </x:c>
      <x:c r="J51" s="8" t="n">
        <x:v>100</x:v>
      </x:c>
      <x:c r="K51" s="8" t="n">
        <x:v>1.44</x:v>
      </x:c>
      <x:c r="L51" s="8" t="n">
        <x:v>3300</x:v>
      </x:c>
      <x:c r="M51" s="8" t="n">
        <x:v>4000</x:v>
      </x:c>
      <x:c r="N51" s="8" t="n">
        <x:v>0</x:v>
      </x:c>
      <x:c r="O51" s="8" t="n">
        <x:v>1</x:v>
      </x:c>
      <x:c r="P51" s="8" t="n">
        <x:v>1.989</x:v>
      </x:c>
      <x:c r="Q51" s="9" t="n">
        <x:v>214.62</x:v>
      </x:c>
      <x:c r="R51" s="1" t="str">
        <x:v>Classified</x:v>
      </x:c>
      <x:c r="S51" s="1" t="str">
        <x:v>C400 Product WH With Listupdated.csv</x:v>
      </x:c>
    </x:row>
    <x:row r="52" ht="21" customHeight="1">
      <x:c r="A52" s="1" t="str">
        <x:v>C400</x:v>
      </x:c>
      <x:c r="B52" s="1" t="str">
        <x:v>60</x:v>
      </x:c>
      <x:c r="C52" s="1" t="str">
        <x:v>400HASC19P</x:v>
      </x:c>
      <x:c r="D52" s="1" t="str">
        <x:v>*PAY ACH* AKILES PRODUCTS, INC</x:v>
      </x:c>
      <x:c r="E52" s="7" t="n">
        <x:v>46303</x:v>
      </x:c>
      <x:c r="F52" s="8" t="n">
        <x:v>11000</x:v>
      </x:c>
      <x:c r="G52" s="8" t="n">
        <x:v>566.67</x:v>
      </x:c>
      <x:c r="H52" s="8" t="n">
        <x:v>6.08</x:v>
      </x:c>
      <x:c r="I52" s="8" t="n">
        <x:v>4.888</x:v>
      </x:c>
      <x:c r="J52" s="8" t="n">
        <x:v>100</x:v>
      </x:c>
      <x:c r="K52" s="8" t="n">
        <x:v>1.44</x:v>
      </x:c>
      <x:c r="L52" s="8" t="n">
        <x:v>1000</x:v>
      </x:c>
      <x:c r="M52" s="8" t="n">
        <x:v>10000</x:v>
      </x:c>
      <x:c r="N52" s="8" t="n">
        <x:v>0</x:v>
      </x:c>
      <x:c r="O52" s="8" t="n">
        <x:v>1</x:v>
      </x:c>
      <x:c r="P52" s="8" t="n">
        <x:v>4.106</x:v>
      </x:c>
      <x:c r="Q52" s="9" t="n">
        <x:v>668.8000000000001</x:v>
      </x:c>
      <x:c r="R52" s="1" t="str">
        <x:v>Classified</x:v>
      </x:c>
      <x:c r="S52" s="1" t="str">
        <x:v>C400 Product WH With Listupdated.csv</x:v>
      </x:c>
    </x:row>
    <x:row r="53" ht="21" customHeight="1">
      <x:c r="A53" s="1" t="str">
        <x:v>C400</x:v>
      </x:c>
      <x:c r="B53" s="1" t="str">
        <x:v>10</x:v>
      </x:c>
      <x:c r="C53" s="1" t="str">
        <x:v>400MBRC</x:v>
      </x:c>
      <x:c r="D53" s="1" t="str">
        <x:v>*PAY ACH* AKILES PRODUCTS, INC</x:v>
      </x:c>
      <x:c r="E53" s="7" t="n">
        <x:v>46303</x:v>
      </x:c>
      <x:c r="F53" s="8" t="n">
        <x:v>7000</x:v>
      </x:c>
      <x:c r="G53" s="8" t="n">
        <x:v>533.33</x:v>
      </x:c>
      <x:c r="H53" s="8" t="n">
        <x:v>4.19</x:v>
      </x:c>
      <x:c r="I53" s="8" t="n">
        <x:v>3.372</x:v>
      </x:c>
      <x:c r="J53" s="8" t="n">
        <x:v>100</x:v>
      </x:c>
      <x:c r="K53" s="8" t="n">
        <x:v>1.44</x:v>
      </x:c>
      <x:c r="L53" s="8" t="n">
        <x:v>2000</x:v>
      </x:c>
      <x:c r="M53" s="8" t="n">
        <x:v>5000</x:v>
      </x:c>
      <x:c r="N53" s="8" t="n">
        <x:v>0</x:v>
      </x:c>
      <x:c r="O53" s="8" t="n">
        <x:v>1</x:v>
      </x:c>
      <x:c r="P53" s="8" t="n">
        <x:v>2.833</x:v>
      </x:c>
      <x:c r="Q53" s="9" t="n">
        <x:v>293.30000000000007</x:v>
      </x:c>
      <x:c r="R53" s="1" t="str">
        <x:v>Classified</x:v>
      </x:c>
      <x:c r="S53" s="1" t="str">
        <x:v>C400 Product WH With Listupdated.csv</x:v>
      </x:c>
    </x:row>
    <x:row r="54" ht="21" customHeight="1">
      <x:c r="A54" s="1" t="str">
        <x:v>C400</x:v>
      </x:c>
      <x:c r="B54" s="1" t="str">
        <x:v>10</x:v>
      </x:c>
      <x:c r="C54" s="1" t="str">
        <x:v>400HME</x:v>
      </x:c>
      <x:c r="D54" s="1" t="str">
        <x:v>*PAY ACH* AKILES PRODUCTS, INC</x:v>
      </x:c>
      <x:c r="E54" s="7" t="n">
        <x:v>46303</x:v>
      </x:c>
      <x:c r="F54" s="8" t="n">
        <x:v>4072</x:v>
      </x:c>
      <x:c r="G54" s="8" t="n">
        <x:v>500.25</x:v>
      </x:c>
      <x:c r="H54" s="8" t="n">
        <x:v>38.88</x:v>
      </x:c>
      <x:c r="I54" s="8" t="n">
        <x:v>31.272</x:v>
      </x:c>
      <x:c r="J54" s="8" t="n">
        <x:v>100</x:v>
      </x:c>
      <x:c r="K54" s="8" t="n">
        <x:v>1.44</x:v>
      </x:c>
      <x:c r="L54" s="8" t="n">
        <x:v>72</x:v>
      </x:c>
      <x:c r="M54" s="8" t="n">
        <x:v>4000</x:v>
      </x:c>
      <x:c r="N54" s="8" t="n">
        <x:v>0</x:v>
      </x:c>
      <x:c r="O54" s="8" t="n">
        <x:v>1</x:v>
      </x:c>
      <x:c r="P54" s="8" t="n">
        <x:v>26.27</x:v>
      </x:c>
      <x:c r="Q54" s="9" t="n">
        <x:v>1583.1936000000003</x:v>
      </x:c>
      <x:c r="R54" s="1" t="str">
        <x:v>Classified</x:v>
      </x:c>
      <x:c r="S54" s="1" t="str">
        <x:v>C400 Product WH With Listupdated.csv</x:v>
      </x:c>
    </x:row>
    <x:row r="55" ht="21" customHeight="1">
      <x:c r="A55" s="1" t="str">
        <x:v>C400</x:v>
      </x:c>
      <x:c r="B55" s="1" t="str">
        <x:v>10</x:v>
      </x:c>
      <x:c r="C55" s="1" t="str">
        <x:v>400HBRC19P</x:v>
      </x:c>
      <x:c r="D55" s="1" t="str">
        <x:v>*PAY ACH* AKILES PRODUCTS, INC</x:v>
      </x:c>
      <x:c r="E55" s="7" t="n">
        <x:v>46303</x:v>
      </x:c>
      <x:c r="F55" s="8" t="n">
        <x:v>9800</x:v>
      </x:c>
      <x:c r="G55" s="8" t="n">
        <x:v>500</x:v>
      </x:c>
      <x:c r="H55" s="8" t="n">
        <x:v>6.52</x:v>
      </x:c>
      <x:c r="I55" s="8" t="n">
        <x:v>5.241</x:v>
      </x:c>
      <x:c r="J55" s="8" t="n">
        <x:v>100</x:v>
      </x:c>
      <x:c r="K55" s="8" t="n">
        <x:v>1.44</x:v>
      </x:c>
      <x:c r="L55" s="8" t="n">
        <x:v>0</x:v>
      </x:c>
      <x:c r="M55" s="8" t="n">
        <x:v>9800</x:v>
      </x:c>
      <x:c r="N55" s="8" t="n">
        <x:v>0</x:v>
      </x:c>
      <x:c r="O55" s="8" t="n">
        <x:v>1</x:v>
      </x:c>
      <x:c r="P55" s="8" t="n">
        <x:v>4.403</x:v>
      </x:c>
      <x:c r="Q55" s="9" t="n">
        <x:v>638.9599999999999</x:v>
      </x:c>
      <x:c r="R55" s="1" t="str">
        <x:v>Classified</x:v>
      </x:c>
      <x:c r="S55" s="1" t="str">
        <x:v>C400 Product WH With Listupdated.csv</x:v>
      </x:c>
    </x:row>
    <x:row r="56" ht="21" customHeight="1">
      <x:c r="A56" s="1" t="str">
        <x:v>C400</x:v>
      </x:c>
      <x:c r="B56" s="1" t="str">
        <x:v>60</x:v>
      </x:c>
      <x:c r="C56" s="1" t="str">
        <x:v>400ME</x:v>
      </x:c>
      <x:c r="D56" s="1" t="str">
        <x:v>*PAY ACH* AKILES PRODUCTS, INC</x:v>
      </x:c>
      <x:c r="E56" s="7" t="n">
        <x:v>46303</x:v>
      </x:c>
      <x:c r="F56" s="8" t="n">
        <x:v>5145</x:v>
      </x:c>
      <x:c r="G56" s="8" t="n">
        <x:v>495.67</x:v>
      </x:c>
      <x:c r="H56" s="8" t="n">
        <x:v>33.55</x:v>
      </x:c>
      <x:c r="I56" s="8" t="n">
        <x:v>26.985</x:v>
      </x:c>
      <x:c r="J56" s="8" t="n">
        <x:v>100</x:v>
      </x:c>
      <x:c r="K56" s="8" t="n">
        <x:v>1.44</x:v>
      </x:c>
      <x:c r="L56" s="8" t="n">
        <x:v>3145</x:v>
      </x:c>
      <x:c r="M56" s="8" t="n">
        <x:v>2000</x:v>
      </x:c>
      <x:c r="N56" s="8" t="n">
        <x:v>0</x:v>
      </x:c>
      <x:c r="O56" s="8" t="n">
        <x:v>1</x:v>
      </x:c>
      <x:c r="P56" s="8" t="n">
        <x:v>22.669</x:v>
      </x:c>
      <x:c r="Q56" s="9" t="n">
        <x:v>1726.1474999999998</x:v>
      </x:c>
      <x:c r="R56" s="1" t="str">
        <x:v>Classified</x:v>
      </x:c>
      <x:c r="S56" s="1" t="str">
        <x:v>C400 Product WH With Listupdated.csv</x:v>
      </x:c>
    </x:row>
    <x:row r="57" ht="21" customHeight="1">
      <x:c r="A57" s="1" t="str">
        <x:v>C400</x:v>
      </x:c>
      <x:c r="B57" s="1" t="str">
        <x:v>30</x:v>
      </x:c>
      <x:c r="C57" s="1" t="str">
        <x:v>400MISC</x:v>
      </x:c>
      <x:c r="D57" s="1" t="str">
        <x:v>*PAY ACH* AKILES PRODUCTS, INC</x:v>
      </x:c>
      <x:c r="E57" s="7" t="n">
        <x:v>46303</x:v>
      </x:c>
      <x:c r="F57" s="8" t="n">
        <x:v>13100</x:v>
      </x:c>
      <x:c r="G57" s="8" t="n">
        <x:v>458.33</x:v>
      </x:c>
      <x:c r="H57" s="8" t="n">
        <x:v>4.12</x:v>
      </x:c>
      <x:c r="I57" s="8" t="n">
        <x:v>3.315</x:v>
      </x:c>
      <x:c r="J57" s="8" t="n">
        <x:v>100</x:v>
      </x:c>
      <x:c r="K57" s="8" t="n">
        <x:v>1.44</x:v>
      </x:c>
      <x:c r="L57" s="8" t="n">
        <x:v>13100</x:v>
      </x:c>
      <x:c r="M57" s="8" t="n">
        <x:v>0</x:v>
      </x:c>
      <x:c r="N57" s="8" t="n">
        <x:v>0</x:v>
      </x:c>
      <x:c r="O57" s="8" t="n">
        <x:v>1</x:v>
      </x:c>
      <x:c r="P57" s="8" t="n">
        <x:v>2.785</x:v>
      </x:c>
      <x:c r="Q57" s="9" t="n">
        <x:v>539.72</x:v>
      </x:c>
      <x:c r="R57" s="1" t="str">
        <x:v>Classified</x:v>
      </x:c>
      <x:c r="S57" s="1" t="str">
        <x:v>C400 Product WH With Listupdated.csv</x:v>
      </x:c>
    </x:row>
    <x:row r="58" ht="21" customHeight="1">
      <x:c r="A58" s="1" t="str">
        <x:v>C400</x:v>
      </x:c>
      <x:c r="B58" s="1" t="str">
        <x:v>60</x:v>
      </x:c>
      <x:c r="C58" s="1" t="str">
        <x:v>400MBRC</x:v>
      </x:c>
      <x:c r="D58" s="1" t="str">
        <x:v>*PAY ACH* AKILES PRODUCTS, INC</x:v>
      </x:c>
      <x:c r="E58" s="7" t="n">
        <x:v>46303</x:v>
      </x:c>
      <x:c r="F58" s="8" t="n">
        <x:v>3400</x:v>
      </x:c>
      <x:c r="G58" s="8" t="n">
        <x:v>450</x:v>
      </x:c>
      <x:c r="H58" s="8" t="n">
        <x:v>4.19</x:v>
      </x:c>
      <x:c r="I58" s="8" t="n">
        <x:v>3.372</x:v>
      </x:c>
      <x:c r="J58" s="8" t="n">
        <x:v>100</x:v>
      </x:c>
      <x:c r="K58" s="8" t="n">
        <x:v>1.44</x:v>
      </x:c>
      <x:c r="L58" s="8" t="n">
        <x:v>3400</x:v>
      </x:c>
      <x:c r="M58" s="8" t="n">
        <x:v>0</x:v>
      </x:c>
      <x:c r="N58" s="8" t="n">
        <x:v>0</x:v>
      </x:c>
      <x:c r="O58" s="8" t="n">
        <x:v>1</x:v>
      </x:c>
      <x:c r="P58" s="8" t="n">
        <x:v>2.833</x:v>
      </x:c>
      <x:c r="Q58" s="9" t="n">
        <x:v>142.46</x:v>
      </x:c>
      <x:c r="R58" s="1" t="str">
        <x:v>Classified</x:v>
      </x:c>
      <x:c r="S58" s="1" t="str">
        <x:v>C400 Product WH With Listupdated.csv</x:v>
      </x:c>
    </x:row>
    <x:row r="59" ht="21" customHeight="1">
      <x:c r="A59" s="1" t="str">
        <x:v>C400</x:v>
      </x:c>
      <x:c r="B59" s="1" t="str">
        <x:v>60</x:v>
      </x:c>
      <x:c r="C59" s="1" t="str">
        <x:v>400LASC19P</x:v>
      </x:c>
      <x:c r="D59" s="1" t="str">
        <x:v>*PAY ACH* AKILES PRODUCTS, INC</x:v>
      </x:c>
      <x:c r="E59" s="7" t="n">
        <x:v>46303</x:v>
      </x:c>
      <x:c r="F59" s="8" t="n">
        <x:v>6800</x:v>
      </x:c>
      <x:c r="G59" s="8" t="n">
        <x:v>425</x:v>
      </x:c>
      <x:c r="H59" s="8" t="n">
        <x:v>3.3</x:v>
      </x:c>
      <x:c r="I59" s="8" t="n">
        <x:v>2.656</x:v>
      </x:c>
      <x:c r="J59" s="8" t="n">
        <x:v>100</x:v>
      </x:c>
      <x:c r="K59" s="8" t="n">
        <x:v>1.44</x:v>
      </x:c>
      <x:c r="L59" s="8" t="n">
        <x:v>6800</x:v>
      </x:c>
      <x:c r="M59" s="8" t="n">
        <x:v>0</x:v>
      </x:c>
      <x:c r="N59" s="8" t="n">
        <x:v>0</x:v>
      </x:c>
      <x:c r="O59" s="8" t="n">
        <x:v>1</x:v>
      </x:c>
      <x:c r="P59" s="8" t="n">
        <x:v>2.231</x:v>
      </x:c>
      <x:c r="Q59" s="9" t="n">
        <x:v>224.4</x:v>
      </x:c>
      <x:c r="R59" s="1" t="str">
        <x:v>Classified</x:v>
      </x:c>
      <x:c r="S59" s="1" t="str">
        <x:v>C400 Product WH With Listupdated.csv</x:v>
      </x:c>
    </x:row>
    <x:row r="60" ht="21" customHeight="1">
      <x:c r="A60" s="1" t="str">
        <x:v>C400</x:v>
      </x:c>
      <x:c r="B60" s="1" t="str">
        <x:v>30</x:v>
      </x:c>
      <x:c r="C60" s="1" t="str">
        <x:v>HRP7ASC</x:v>
      </x:c>
      <x:c r="D60" s="1" t="str">
        <x:v>C.J. ONEIL &amp; ASSOCIATES INC</x:v>
      </x:c>
      <x:c r="E60" s="7" t="n">
        <x:v>46303</x:v>
      </x:c>
      <x:c r="F60" s="8" t="n">
        <x:v>2400</x:v>
      </x:c>
      <x:c r="G60" s="8" t="n">
        <x:v>316.67</x:v>
      </x:c>
      <x:c r="H60" s="8" t="n">
        <x:v>9.84</x:v>
      </x:c>
      <x:c r="I60" s="8" t="n">
        <x:v>0</x:v>
      </x:c>
      <x:c r="J60" s="8" t="n">
        <x:v>100</x:v>
      </x:c>
      <x:c r="K60" s="8" t="n">
        <x:v>1.44</x:v>
      </x:c>
      <x:c r="L60" s="8" t="n">
        <x:v>0</x:v>
      </x:c>
      <x:c r="M60" s="8" t="n">
        <x:v>0</x:v>
      </x:c>
      <x:c r="N60" s="8" t="n">
        <x:v>2400</x:v>
      </x:c>
      <x:c r="O60" s="8" t="n">
        <x:v>0</x:v>
      </x:c>
      <x:c r="P60" s="8"/>
      <x:c r="Q60" s="9" t="n">
        <x:v>236.16</x:v>
      </x:c>
      <x:c r="R60" s="1" t="str">
        <x:v>Review receipt reconciliation or original PO baseline</x:v>
      </x:c>
      <x:c r="S60" s="1" t="str">
        <x:v>C400 Product WH With Listupdated.csv</x:v>
      </x:c>
    </x:row>
    <x:row r="61" ht="21" customHeight="1">
      <x:c r="A61" s="1" t="str">
        <x:v>C400</x:v>
      </x:c>
      <x:c r="B61" s="1" t="str">
        <x:v>10</x:v>
      </x:c>
      <x:c r="C61" s="1" t="str">
        <x:v>400LASC19P</x:v>
      </x:c>
      <x:c r="D61" s="1" t="str">
        <x:v>*PAY ACH* AKILES PRODUCTS, INC</x:v>
      </x:c>
      <x:c r="E61" s="7" t="n">
        <x:v>46303</x:v>
      </x:c>
      <x:c r="F61" s="8" t="n">
        <x:v>4800</x:v>
      </x:c>
      <x:c r="G61" s="8" t="n">
        <x:v>283.33</x:v>
      </x:c>
      <x:c r="H61" s="8" t="n">
        <x:v>3.3</x:v>
      </x:c>
      <x:c r="I61" s="8" t="n">
        <x:v>2.656</x:v>
      </x:c>
      <x:c r="J61" s="8" t="n">
        <x:v>100</x:v>
      </x:c>
      <x:c r="K61" s="8" t="n">
        <x:v>1.44</x:v>
      </x:c>
      <x:c r="L61" s="8" t="n">
        <x:v>2800</x:v>
      </x:c>
      <x:c r="M61" s="8" t="n">
        <x:v>2000</x:v>
      </x:c>
      <x:c r="N61" s="8" t="n">
        <x:v>0</x:v>
      </x:c>
      <x:c r="O61" s="8" t="n">
        <x:v>1</x:v>
      </x:c>
      <x:c r="P61" s="8" t="n">
        <x:v>2.231</x:v>
      </x:c>
      <x:c r="Q61" s="9" t="n">
        <x:v>158.4</x:v>
      </x:c>
      <x:c r="R61" s="1" t="str">
        <x:v>Classified</x:v>
      </x:c>
      <x:c r="S61" s="1" t="str">
        <x:v>C400 Product WH With Listupdated.csv</x:v>
      </x:c>
    </x:row>
    <x:row r="62" ht="21" customHeight="1">
      <x:c r="A62" s="1" t="str">
        <x:v>C400</x:v>
      </x:c>
      <x:c r="B62" s="1" t="str">
        <x:v>60</x:v>
      </x:c>
      <x:c r="C62" s="1" t="str">
        <x:v>400HBRC19P</x:v>
      </x:c>
      <x:c r="D62" s="1" t="str">
        <x:v>*PAY ACH* AKILES PRODUCTS, INC</x:v>
      </x:c>
      <x:c r="E62" s="7" t="n">
        <x:v>46303</x:v>
      </x:c>
      <x:c r="F62" s="8" t="n">
        <x:v>1700</x:v>
      </x:c>
      <x:c r="G62" s="8" t="n">
        <x:v>283.33</x:v>
      </x:c>
      <x:c r="H62" s="8" t="n">
        <x:v>6.52</x:v>
      </x:c>
      <x:c r="I62" s="8" t="n">
        <x:v>5.241</x:v>
      </x:c>
      <x:c r="J62" s="8" t="n">
        <x:v>100</x:v>
      </x:c>
      <x:c r="K62" s="8" t="n">
        <x:v>1.44</x:v>
      </x:c>
      <x:c r="L62" s="8" t="n">
        <x:v>1700</x:v>
      </x:c>
      <x:c r="M62" s="8" t="n">
        <x:v>0</x:v>
      </x:c>
      <x:c r="N62" s="8" t="n">
        <x:v>0</x:v>
      </x:c>
      <x:c r="O62" s="8" t="n">
        <x:v>1</x:v>
      </x:c>
      <x:c r="P62" s="8" t="n">
        <x:v>4.403</x:v>
      </x:c>
      <x:c r="Q62" s="9" t="n">
        <x:v>143.44</x:v>
      </x:c>
      <x:c r="R62" s="1" t="str">
        <x:v>Classified</x:v>
      </x:c>
      <x:c r="S62" s="1" t="str">
        <x:v>C400 Product WH With Listupdated.csv</x:v>
      </x:c>
    </x:row>
    <x:row r="63" ht="21" customHeight="1">
      <x:c r="A63" s="1" t="str">
        <x:v>C400</x:v>
      </x:c>
      <x:c r="B63" s="1" t="str">
        <x:v>60</x:v>
      </x:c>
      <x:c r="C63" s="1" t="str">
        <x:v>400HME</x:v>
      </x:c>
      <x:c r="D63" s="1" t="str">
        <x:v>*PAY ACH* AKILES PRODUCTS, INC</x:v>
      </x:c>
      <x:c r="E63" s="7" t="n">
        <x:v>46303</x:v>
      </x:c>
      <x:c r="F63" s="8" t="n">
        <x:v>3326</x:v>
      </x:c>
      <x:c r="G63" s="8" t="n">
        <x:v>281.58</x:v>
      </x:c>
      <x:c r="H63" s="8" t="n">
        <x:v>38.88</x:v>
      </x:c>
      <x:c r="I63" s="8" t="n">
        <x:v>31.272</x:v>
      </x:c>
      <x:c r="J63" s="8" t="n">
        <x:v>100</x:v>
      </x:c>
      <x:c r="K63" s="8" t="n">
        <x:v>1.44</x:v>
      </x:c>
      <x:c r="L63" s="8" t="n">
        <x:v>1326</x:v>
      </x:c>
      <x:c r="M63" s="8" t="n">
        <x:v>2000</x:v>
      </x:c>
      <x:c r="N63" s="8" t="n">
        <x:v>0</x:v>
      </x:c>
      <x:c r="O63" s="8" t="n">
        <x:v>1</x:v>
      </x:c>
      <x:c r="P63" s="8" t="n">
        <x:v>26.27</x:v>
      </x:c>
      <x:c r="Q63" s="9" t="n">
        <x:v>1293.1488000000002</x:v>
      </x:c>
      <x:c r="R63" s="1" t="str">
        <x:v>Classified</x:v>
      </x:c>
      <x:c r="S63" s="1" t="str">
        <x:v>C400 Product WH With Listupdated.csv</x:v>
      </x:c>
    </x:row>
    <x:row r="64" ht="21" customHeight="1">
      <x:c r="A64" s="1" t="str">
        <x:v>C400</x:v>
      </x:c>
      <x:c r="B64" s="1" t="str">
        <x:v>30</x:v>
      </x:c>
      <x:c r="C64" s="1" t="str">
        <x:v>400HMISC</x:v>
      </x:c>
      <x:c r="D64" s="1" t="str">
        <x:v>*PAY ACH* AKILES PRODUCTS, INC</x:v>
      </x:c>
      <x:c r="E64" s="7" t="n">
        <x:v>46303</x:v>
      </x:c>
      <x:c r="F64" s="8" t="n">
        <x:v>5700</x:v>
      </x:c>
      <x:c r="G64" s="8" t="n">
        <x:v>275</x:v>
      </x:c>
      <x:c r="H64" s="8" t="n">
        <x:v>6.18</x:v>
      </x:c>
      <x:c r="I64" s="8" t="n">
        <x:v>4.97</x:v>
      </x:c>
      <x:c r="J64" s="8" t="n">
        <x:v>100</x:v>
      </x:c>
      <x:c r="K64" s="8" t="n">
        <x:v>1.44</x:v>
      </x:c>
      <x:c r="L64" s="8" t="n">
        <x:v>5700</x:v>
      </x:c>
      <x:c r="M64" s="8" t="n">
        <x:v>0</x:v>
      </x:c>
      <x:c r="N64" s="8" t="n">
        <x:v>0</x:v>
      </x:c>
      <x:c r="O64" s="8" t="n">
        <x:v>1</x:v>
      </x:c>
      <x:c r="P64" s="8" t="n">
        <x:v>4.175</x:v>
      </x:c>
      <x:c r="Q64" s="9" t="n">
        <x:v>352.26</x:v>
      </x:c>
      <x:c r="R64" s="1" t="str">
        <x:v>Classified</x:v>
      </x:c>
      <x:c r="S64" s="1" t="str">
        <x:v>C400 Product WH With Listupdated.csv</x:v>
      </x:c>
    </x:row>
    <x:row r="65" ht="21" customHeight="1">
      <x:c r="A65" s="1" t="str">
        <x:v>C400</x:v>
      </x:c>
      <x:c r="B65" s="1" t="str">
        <x:v>30</x:v>
      </x:c>
      <x:c r="C65" s="1" t="str">
        <x:v>400LDSC</x:v>
      </x:c>
      <x:c r="D65" s="1" t="str">
        <x:v>*PAY ACH* AKILES PRODUCTS, INC</x:v>
      </x:c>
      <x:c r="E65" s="7" t="n">
        <x:v>46303</x:v>
      </x:c>
      <x:c r="F65" s="8" t="n">
        <x:v>3400</x:v>
      </x:c>
      <x:c r="G65" s="8" t="n">
        <x:v>266.67</x:v>
      </x:c>
      <x:c r="H65" s="8" t="n">
        <x:v>5.56</x:v>
      </x:c>
      <x:c r="I65" s="8" t="n">
        <x:v>4.476</x:v>
      </x:c>
      <x:c r="J65" s="8" t="n">
        <x:v>100</x:v>
      </x:c>
      <x:c r="K65" s="8" t="n">
        <x:v>1.44</x:v>
      </x:c>
      <x:c r="L65" s="8" t="n">
        <x:v>1400</x:v>
      </x:c>
      <x:c r="M65" s="8" t="n">
        <x:v>2000</x:v>
      </x:c>
      <x:c r="N65" s="8" t="n">
        <x:v>0</x:v>
      </x:c>
      <x:c r="O65" s="8" t="n">
        <x:v>1</x:v>
      </x:c>
      <x:c r="P65" s="8" t="n">
        <x:v>3.76</x:v>
      </x:c>
      <x:c r="Q65" s="9" t="n">
        <x:v>189.04</x:v>
      </x:c>
      <x:c r="R65" s="1" t="str">
        <x:v>Classified</x:v>
      </x:c>
      <x:c r="S65" s="1" t="str">
        <x:v>C400 Product WH With Listupdated.csv</x:v>
      </x:c>
    </x:row>
    <x:row r="66" ht="21" customHeight="1">
      <x:c r="A66" s="1" t="str">
        <x:v>C400</x:v>
      </x:c>
      <x:c r="B66" s="1" t="str">
        <x:v>60</x:v>
      </x:c>
      <x:c r="C66" s="1" t="str">
        <x:v>400LE</x:v>
      </x:c>
      <x:c r="D66" s="1" t="str">
        <x:v>*PAY ACH* AKILES PRODUCTS, INC</x:v>
      </x:c>
      <x:c r="E66" s="7" t="n">
        <x:v>46303</x:v>
      </x:c>
      <x:c r="F66" s="8" t="n">
        <x:v>0</x:v>
      </x:c>
      <x:c r="G66" s="8" t="n">
        <x:v>248.17</x:v>
      </x:c>
      <x:c r="H66" s="8" t="n">
        <x:v>23.96</x:v>
      </x:c>
      <x:c r="I66" s="8" t="n">
        <x:v>19.273</x:v>
      </x:c>
      <x:c r="J66" s="8" t="n">
        <x:v>100</x:v>
      </x:c>
      <x:c r="K66" s="8" t="n">
        <x:v>1.44</x:v>
      </x:c>
      <x:c r="L66" s="8" t="n">
        <x:v>0</x:v>
      </x:c>
      <x:c r="M66" s="8" t="n">
        <x:v>0</x:v>
      </x:c>
      <x:c r="N66" s="8" t="n">
        <x:v>0</x:v>
      </x:c>
      <x:c r="O66" s="8" t="n">
        <x:v>1</x:v>
      </x:c>
      <x:c r="P66" s="8" t="n">
        <x:v>16.19</x:v>
      </x:c>
      <x:c r="Q66" s="9" t="n">
        <x:v>0</x:v>
      </x:c>
      <x:c r="R66" s="1" t="str">
        <x:v>Classified</x:v>
      </x:c>
      <x:c r="S66" s="1" t="str">
        <x:v>C400 Product WH With Listupdated.csv</x:v>
      </x:c>
    </x:row>
    <x:row r="67" ht="21" customHeight="1">
      <x:c r="A67" s="1" t="str">
        <x:v>C400</x:v>
      </x:c>
      <x:c r="B67" s="1" t="str">
        <x:v>10</x:v>
      </x:c>
      <x:c r="C67" s="1" t="str">
        <x:v>400ME</x:v>
      </x:c>
      <x:c r="D67" s="1" t="str">
        <x:v>*PAY ACH* AKILES PRODUCTS, INC</x:v>
      </x:c>
      <x:c r="E67" s="7" t="n">
        <x:v>46303</x:v>
      </x:c>
      <x:c r="F67" s="8" t="n">
        <x:v>7350</x:v>
      </x:c>
      <x:c r="G67" s="8" t="n">
        <x:v>202.92</x:v>
      </x:c>
      <x:c r="H67" s="8" t="n">
        <x:v>33.55</x:v>
      </x:c>
      <x:c r="I67" s="8" t="n">
        <x:v>26.985</x:v>
      </x:c>
      <x:c r="J67" s="8" t="n">
        <x:v>100</x:v>
      </x:c>
      <x:c r="K67" s="8" t="n">
        <x:v>1.44</x:v>
      </x:c>
      <x:c r="L67" s="8" t="n">
        <x:v>7350</x:v>
      </x:c>
      <x:c r="M67" s="8" t="n">
        <x:v>0</x:v>
      </x:c>
      <x:c r="N67" s="8" t="n">
        <x:v>0</x:v>
      </x:c>
      <x:c r="O67" s="8" t="n">
        <x:v>1</x:v>
      </x:c>
      <x:c r="P67" s="8" t="n">
        <x:v>22.669</x:v>
      </x:c>
      <x:c r="Q67" s="9" t="n">
        <x:v>2465.9249999999997</x:v>
      </x:c>
      <x:c r="R67" s="1" t="str">
        <x:v>Classified</x:v>
      </x:c>
      <x:c r="S67" s="1" t="str">
        <x:v>C400 Product WH With Listupdated.csv</x:v>
      </x:c>
    </x:row>
    <x:row r="68" ht="21" customHeight="1">
      <x:c r="A68" s="1" t="str">
        <x:v>C400</x:v>
      </x:c>
      <x:c r="B68" s="1" t="str">
        <x:v>10</x:v>
      </x:c>
      <x:c r="C68" s="1" t="str">
        <x:v>400LCSC</x:v>
      </x:c>
      <x:c r="D68" s="1" t="str">
        <x:v>*PAY ACH* AKILES PRODUCTS, INC</x:v>
      </x:c>
      <x:c r="E68" s="7" t="n">
        <x:v>46303</x:v>
      </x:c>
      <x:c r="F68" s="8" t="n">
        <x:v>13900</x:v>
      </x:c>
      <x:c r="G68" s="8" t="n">
        <x:v>191.67</x:v>
      </x:c>
      <x:c r="H68" s="8" t="n">
        <x:v>3.53</x:v>
      </x:c>
      <x:c r="I68" s="8" t="n">
        <x:v>2.838</x:v>
      </x:c>
      <x:c r="J68" s="8" t="n">
        <x:v>100</x:v>
      </x:c>
      <x:c r="K68" s="8" t="n">
        <x:v>1.44</x:v>
      </x:c>
      <x:c r="L68" s="8" t="n">
        <x:v>0</x:v>
      </x:c>
      <x:c r="M68" s="8" t="n">
        <x:v>0</x:v>
      </x:c>
      <x:c r="N68" s="8" t="n">
        <x:v>13900</x:v>
      </x:c>
      <x:c r="O68" s="8" t="n">
        <x:v>0</x:v>
      </x:c>
      <x:c r="P68" s="8" t="n">
        <x:v>2.384</x:v>
      </x:c>
      <x:c r="Q68" s="9" t="n">
        <x:v>490.67</x:v>
      </x:c>
      <x:c r="R68" s="1" t="str">
        <x:v>Review receipt reconciliation or original PO baseline</x:v>
      </x:c>
      <x:c r="S68" s="1" t="str">
        <x:v>C400 Product WH With Listupdated.csv</x:v>
      </x:c>
    </x:row>
    <x:row r="69" ht="21" customHeight="1">
      <x:c r="A69" s="1" t="str">
        <x:v>C400</x:v>
      </x:c>
      <x:c r="B69" s="1" t="str">
        <x:v>10</x:v>
      </x:c>
      <x:c r="C69" s="1" t="str">
        <x:v>400HMBRC</x:v>
      </x:c>
      <x:c r="D69" s="1" t="str">
        <x:v>*PAY ACH* AKILES PRODUCTS, INC</x:v>
      </x:c>
      <x:c r="E69" s="7" t="n">
        <x:v>46303</x:v>
      </x:c>
      <x:c r="F69" s="8" t="n">
        <x:v>2100</x:v>
      </x:c>
      <x:c r="G69" s="8" t="n">
        <x:v>166.67</x:v>
      </x:c>
      <x:c r="H69" s="8" t="n">
        <x:v>6.29</x:v>
      </x:c>
      <x:c r="I69" s="8" t="n">
        <x:v>5.06</x:v>
      </x:c>
      <x:c r="J69" s="8" t="n">
        <x:v>100</x:v>
      </x:c>
      <x:c r="K69" s="8" t="n">
        <x:v>1.44</x:v>
      </x:c>
      <x:c r="L69" s="8" t="n">
        <x:v>2100</x:v>
      </x:c>
      <x:c r="M69" s="8" t="n">
        <x:v>0</x:v>
      </x:c>
      <x:c r="N69" s="8" t="n">
        <x:v>0</x:v>
      </x:c>
      <x:c r="O69" s="8" t="n">
        <x:v>1</x:v>
      </x:c>
      <x:c r="P69" s="8" t="n">
        <x:v>4.251</x:v>
      </x:c>
      <x:c r="Q69" s="9" t="n">
        <x:v>132.09</x:v>
      </x:c>
      <x:c r="R69" s="1" t="str">
        <x:v>Classified</x:v>
      </x:c>
      <x:c r="S69" s="1" t="str">
        <x:v>C400 Product WH With Listupdated.csv</x:v>
      </x:c>
    </x:row>
    <x:row r="70" ht="21" customHeight="1">
      <x:c r="A70" s="1" t="str">
        <x:v>C400</x:v>
      </x:c>
      <x:c r="B70" s="1" t="str">
        <x:v>10</x:v>
      </x:c>
      <x:c r="C70" s="1" t="str">
        <x:v>400LE</x:v>
      </x:c>
      <x:c r="D70" s="1" t="str">
        <x:v>*PAY ACH* AKILES PRODUCTS, INC</x:v>
      </x:c>
      <x:c r="E70" s="7" t="n">
        <x:v>46303</x:v>
      </x:c>
      <x:c r="F70" s="8" t="n">
        <x:v>4689</x:v>
      </x:c>
      <x:c r="G70" s="8" t="n">
        <x:v>150.75</x:v>
      </x:c>
      <x:c r="H70" s="8" t="n">
        <x:v>23.96</x:v>
      </x:c>
      <x:c r="I70" s="8" t="n">
        <x:v>19.273</x:v>
      </x:c>
      <x:c r="J70" s="8" t="n">
        <x:v>100</x:v>
      </x:c>
      <x:c r="K70" s="8" t="n">
        <x:v>1.44</x:v>
      </x:c>
      <x:c r="L70" s="8" t="n">
        <x:v>2689</x:v>
      </x:c>
      <x:c r="M70" s="8" t="n">
        <x:v>2000</x:v>
      </x:c>
      <x:c r="N70" s="8" t="n">
        <x:v>0</x:v>
      </x:c>
      <x:c r="O70" s="8" t="n">
        <x:v>1</x:v>
      </x:c>
      <x:c r="P70" s="8" t="n">
        <x:v>16.19</x:v>
      </x:c>
      <x:c r="Q70" s="9" t="n">
        <x:v>1123.4844</x:v>
      </x:c>
      <x:c r="R70" s="1" t="str">
        <x:v>Classified</x:v>
      </x:c>
      <x:c r="S70" s="1" t="str">
        <x:v>C400 Product WH With Listupdated.csv</x:v>
      </x:c>
    </x:row>
    <x:row r="71" ht="21" customHeight="1">
      <x:c r="A71" s="1" t="str">
        <x:v>C400</x:v>
      </x:c>
      <x:c r="B71" s="1" t="str">
        <x:v>10</x:v>
      </x:c>
      <x:c r="C71" s="1" t="str">
        <x:v>400LBRC</x:v>
      </x:c>
      <x:c r="D71" s="1" t="str">
        <x:v>*PAY ACH* AKILES PRODUCTS, INC</x:v>
      </x:c>
      <x:c r="E71" s="7" t="n">
        <x:v>46303</x:v>
      </x:c>
      <x:c r="F71" s="8" t="n">
        <x:v>2400</x:v>
      </x:c>
      <x:c r="G71" s="8" t="n">
        <x:v>141.67</x:v>
      </x:c>
      <x:c r="H71" s="8" t="n">
        <x:v>2.99</x:v>
      </x:c>
      <x:c r="I71" s="8" t="n">
        <x:v>2.408</x:v>
      </x:c>
      <x:c r="J71" s="8" t="n">
        <x:v>100</x:v>
      </x:c>
      <x:c r="K71" s="8" t="n">
        <x:v>1.44</x:v>
      </x:c>
      <x:c r="L71" s="8" t="n">
        <x:v>1400</x:v>
      </x:c>
      <x:c r="M71" s="8" t="n">
        <x:v>1000</x:v>
      </x:c>
      <x:c r="N71" s="8" t="n">
        <x:v>0</x:v>
      </x:c>
      <x:c r="O71" s="8" t="n">
        <x:v>1</x:v>
      </x:c>
      <x:c r="P71" s="8" t="n">
        <x:v>2.022</x:v>
      </x:c>
      <x:c r="Q71" s="9" t="n">
        <x:v>71.76</x:v>
      </x:c>
      <x:c r="R71" s="1" t="str">
        <x:v>Classified</x:v>
      </x:c>
      <x:c r="S71" s="1" t="str">
        <x:v>C400 Product WH With Listupdated.csv</x:v>
      </x:c>
    </x:row>
    <x:row r="72" ht="21" customHeight="1">
      <x:c r="A72" s="1" t="str">
        <x:v>C400</x:v>
      </x:c>
      <x:c r="B72" s="1" t="str">
        <x:v>30</x:v>
      </x:c>
      <x:c r="C72" s="1" t="str">
        <x:v>400HASC19P</x:v>
      </x:c>
      <x:c r="D72" s="1" t="str">
        <x:v>*PAY ACH* AKILES PRODUCTS, INC</x:v>
      </x:c>
      <x:c r="E72" s="7" t="n">
        <x:v>46303</x:v>
      </x:c>
      <x:c r="F72" s="8" t="n">
        <x:v>3600</x:v>
      </x:c>
      <x:c r="G72" s="8" t="n">
        <x:v>125</x:v>
      </x:c>
      <x:c r="H72" s="8" t="n">
        <x:v>6.08</x:v>
      </x:c>
      <x:c r="I72" s="8" t="n">
        <x:v>4.888</x:v>
      </x:c>
      <x:c r="J72" s="8" t="n">
        <x:v>100</x:v>
      </x:c>
      <x:c r="K72" s="8" t="n">
        <x:v>1.44</x:v>
      </x:c>
      <x:c r="L72" s="8" t="n">
        <x:v>600</x:v>
      </x:c>
      <x:c r="M72" s="8" t="n">
        <x:v>3000</x:v>
      </x:c>
      <x:c r="N72" s="8" t="n">
        <x:v>0</x:v>
      </x:c>
      <x:c r="O72" s="8" t="n">
        <x:v>1</x:v>
      </x:c>
      <x:c r="P72" s="8" t="n">
        <x:v>4.106</x:v>
      </x:c>
      <x:c r="Q72" s="9" t="n">
        <x:v>218.88</x:v>
      </x:c>
      <x:c r="R72" s="1" t="str">
        <x:v>Classified</x:v>
      </x:c>
      <x:c r="S72" s="1" t="str">
        <x:v>C400 Product WH With Listupdated.csv</x:v>
      </x:c>
    </x:row>
    <x:row r="73" ht="21" customHeight="1">
      <x:c r="A73" s="1" t="str">
        <x:v>C400</x:v>
      </x:c>
      <x:c r="B73" s="1" t="str">
        <x:v>30</x:v>
      </x:c>
      <x:c r="C73" s="1" t="str">
        <x:v>400LISC</x:v>
      </x:c>
      <x:c r="D73" s="1" t="str">
        <x:v>*PAY ACH* AKILES PRODUCTS, INC</x:v>
      </x:c>
      <x:c r="E73" s="7" t="n">
        <x:v>46303</x:v>
      </x:c>
      <x:c r="F73" s="8" t="n">
        <x:v>1900</x:v>
      </x:c>
      <x:c r="G73" s="8" t="n">
        <x:v>108.33</x:v>
      </x:c>
      <x:c r="H73" s="8" t="n">
        <x:v>2.94</x:v>
      </x:c>
      <x:c r="I73" s="8" t="n">
        <x:v>2.367</x:v>
      </x:c>
      <x:c r="J73" s="8" t="n">
        <x:v>100</x:v>
      </x:c>
      <x:c r="K73" s="8" t="n">
        <x:v>1.44</x:v>
      </x:c>
      <x:c r="L73" s="8" t="n">
        <x:v>1900</x:v>
      </x:c>
      <x:c r="M73" s="8" t="n">
        <x:v>0</x:v>
      </x:c>
      <x:c r="N73" s="8" t="n">
        <x:v>0</x:v>
      </x:c>
      <x:c r="O73" s="8" t="n">
        <x:v>1</x:v>
      </x:c>
      <x:c r="P73" s="8" t="n">
        <x:v>1.989</x:v>
      </x:c>
      <x:c r="Q73" s="9" t="n">
        <x:v>55.86</x:v>
      </x:c>
      <x:c r="R73" s="1" t="str">
        <x:v>Classified</x:v>
      </x:c>
      <x:c r="S73" s="1" t="str">
        <x:v>C400 Product WH With Listupdated.csv</x:v>
      </x:c>
    </x:row>
    <x:row r="74" ht="21" customHeight="1">
      <x:c r="A74" s="1" t="str">
        <x:v>C400</x:v>
      </x:c>
      <x:c r="B74" s="1" t="str">
        <x:v>30</x:v>
      </x:c>
      <x:c r="C74" s="1" t="str">
        <x:v>400MBRC</x:v>
      </x:c>
      <x:c r="D74" s="1" t="str">
        <x:v>*PAY ACH* AKILES PRODUCTS, INC</x:v>
      </x:c>
      <x:c r="E74" s="7" t="n">
        <x:v>46303</x:v>
      </x:c>
      <x:c r="F74" s="8" t="n">
        <x:v>4000</x:v>
      </x:c>
      <x:c r="G74" s="8" t="n">
        <x:v>108.33</x:v>
      </x:c>
      <x:c r="H74" s="8" t="n">
        <x:v>4.19</x:v>
      </x:c>
      <x:c r="I74" s="8" t="n">
        <x:v>3.372</x:v>
      </x:c>
      <x:c r="J74" s="8" t="n">
        <x:v>100</x:v>
      </x:c>
      <x:c r="K74" s="8" t="n">
        <x:v>1.44</x:v>
      </x:c>
      <x:c r="L74" s="8" t="n">
        <x:v>4000</x:v>
      </x:c>
      <x:c r="M74" s="8" t="n">
        <x:v>0</x:v>
      </x:c>
      <x:c r="N74" s="8" t="n">
        <x:v>0</x:v>
      </x:c>
      <x:c r="O74" s="8" t="n">
        <x:v>1</x:v>
      </x:c>
      <x:c r="P74" s="8" t="n">
        <x:v>2.833</x:v>
      </x:c>
      <x:c r="Q74" s="9" t="n">
        <x:v>167.6</x:v>
      </x:c>
      <x:c r="R74" s="1" t="str">
        <x:v>Classified</x:v>
      </x:c>
      <x:c r="S74" s="1" t="str">
        <x:v>C400 Product WH With Listupdated.csv</x:v>
      </x:c>
    </x:row>
    <x:row r="75" ht="21" customHeight="1">
      <x:c r="A75" s="1" t="str">
        <x:v>C400</x:v>
      </x:c>
      <x:c r="B75" s="1" t="str">
        <x:v>60</x:v>
      </x:c>
      <x:c r="C75" s="1" t="str">
        <x:v>400LBRC</x:v>
      </x:c>
      <x:c r="D75" s="1" t="str">
        <x:v>*PAY ACH* AKILES PRODUCTS, INC</x:v>
      </x:c>
      <x:c r="E75" s="7" t="n">
        <x:v>46303</x:v>
      </x:c>
      <x:c r="F75" s="8" t="n">
        <x:v>5600</x:v>
      </x:c>
      <x:c r="G75" s="8" t="n">
        <x:v>108.33</x:v>
      </x:c>
      <x:c r="H75" s="8" t="n">
        <x:v>2.99</x:v>
      </x:c>
      <x:c r="I75" s="8" t="n">
        <x:v>2.408</x:v>
      </x:c>
      <x:c r="J75" s="8" t="n">
        <x:v>100</x:v>
      </x:c>
      <x:c r="K75" s="8" t="n">
        <x:v>1.44</x:v>
      </x:c>
      <x:c r="L75" s="8" t="n">
        <x:v>5600</x:v>
      </x:c>
      <x:c r="M75" s="8" t="n">
        <x:v>0</x:v>
      </x:c>
      <x:c r="N75" s="8" t="n">
        <x:v>0</x:v>
      </x:c>
      <x:c r="O75" s="8" t="n">
        <x:v>1</x:v>
      </x:c>
      <x:c r="P75" s="8" t="n">
        <x:v>2.022</x:v>
      </x:c>
      <x:c r="Q75" s="9" t="n">
        <x:v>167.44</x:v>
      </x:c>
      <x:c r="R75" s="1" t="str">
        <x:v>Classified</x:v>
      </x:c>
      <x:c r="S75" s="1" t="str">
        <x:v>C400 Product WH With Listupdated.csv</x:v>
      </x:c>
    </x:row>
    <x:row r="76" ht="21" customHeight="1">
      <x:c r="A76" s="1" t="str">
        <x:v>C400</x:v>
      </x:c>
      <x:c r="B76" s="1" t="str">
        <x:v>30</x:v>
      </x:c>
      <x:c r="C76" s="1" t="str">
        <x:v>400MASC19P</x:v>
      </x:c>
      <x:c r="D76" s="1" t="str">
        <x:v>*PAY ACH* AKILES PRODUCTS, INC</x:v>
      </x:c>
      <x:c r="E76" s="7" t="n">
        <x:v>46303</x:v>
      </x:c>
      <x:c r="F76" s="8" t="n">
        <x:v>4000</x:v>
      </x:c>
      <x:c r="G76" s="8" t="n">
        <x:v>41.67</x:v>
      </x:c>
      <x:c r="H76" s="8" t="n">
        <x:v>4.41</x:v>
      </x:c>
      <x:c r="I76" s="8" t="n">
        <x:v>3.546</x:v>
      </x:c>
      <x:c r="J76" s="8" t="n">
        <x:v>100</x:v>
      </x:c>
      <x:c r="K76" s="8" t="n">
        <x:v>1.44</x:v>
      </x:c>
      <x:c r="L76" s="8" t="n">
        <x:v>4000</x:v>
      </x:c>
      <x:c r="M76" s="8" t="n">
        <x:v>0</x:v>
      </x:c>
      <x:c r="N76" s="8" t="n">
        <x:v>0</x:v>
      </x:c>
      <x:c r="O76" s="8" t="n">
        <x:v>1</x:v>
      </x:c>
      <x:c r="P76" s="8" t="n">
        <x:v>2.979</x:v>
      </x:c>
      <x:c r="Q76" s="9" t="n">
        <x:v>176.4</x:v>
      </x:c>
      <x:c r="R76" s="1" t="str">
        <x:v>Classified</x:v>
      </x:c>
      <x:c r="S76" s="1" t="str">
        <x:v>C400 Product WH With Listupdated.csv</x:v>
      </x:c>
    </x:row>
    <x:row r="77" ht="21" customHeight="1">
      <x:c r="A77" s="1" t="str">
        <x:v>C400</x:v>
      </x:c>
      <x:c r="B77" s="1" t="str">
        <x:v>30</x:v>
      </x:c>
      <x:c r="C77" s="1" t="str">
        <x:v>400LCSC</x:v>
      </x:c>
      <x:c r="D77" s="1" t="str">
        <x:v>*PAY ACH* AKILES PRODUCTS, INC</x:v>
      </x:c>
      <x:c r="E77" s="7" t="n">
        <x:v>46303</x:v>
      </x:c>
      <x:c r="F77" s="8" t="n">
        <x:v>2200</x:v>
      </x:c>
      <x:c r="G77" s="8" t="n">
        <x:v>25</x:v>
      </x:c>
      <x:c r="H77" s="8" t="n">
        <x:v>3.53</x:v>
      </x:c>
      <x:c r="I77" s="8" t="n">
        <x:v>2.838</x:v>
      </x:c>
      <x:c r="J77" s="8" t="n">
        <x:v>100</x:v>
      </x:c>
      <x:c r="K77" s="8" t="n">
        <x:v>1.44</x:v>
      </x:c>
      <x:c r="L77" s="8" t="n">
        <x:v>0</x:v>
      </x:c>
      <x:c r="M77" s="8" t="n">
        <x:v>0</x:v>
      </x:c>
      <x:c r="N77" s="8" t="n">
        <x:v>2200</x:v>
      </x:c>
      <x:c r="O77" s="8" t="n">
        <x:v>0</x:v>
      </x:c>
      <x:c r="P77" s="8" t="n">
        <x:v>2.384</x:v>
      </x:c>
      <x:c r="Q77" s="9" t="n">
        <x:v>77.66</x:v>
      </x:c>
      <x:c r="R77" s="1" t="str">
        <x:v>Review receipt reconciliation or original PO baseline</x:v>
      </x:c>
      <x:c r="S77" s="1" t="str">
        <x:v>C400 Product WH With Listupdated.csv</x:v>
      </x:c>
    </x:row>
    <x:row r="78" ht="21" customHeight="1">
      <x:c r="A78" s="1" t="str">
        <x:v>C400</x:v>
      </x:c>
      <x:c r="B78" s="1" t="str">
        <x:v>30</x:v>
      </x:c>
      <x:c r="C78" s="1" t="str">
        <x:v>400HASC3</x:v>
      </x:c>
      <x:c r="D78" s="1" t="str">
        <x:v>SOUTHWEST CONVERSION</x:v>
      </x:c>
      <x:c r="E78" s="7" t="n">
        <x:v>46303</x:v>
      </x:c>
      <x:c r="F78" s="8" t="n">
        <x:v>600</x:v>
      </x:c>
      <x:c r="G78" s="8" t="n">
        <x:v>16.67</x:v>
      </x:c>
      <x:c r="H78" s="8" t="n">
        <x:v>6.66</x:v>
      </x:c>
      <x:c r="I78" s="8" t="n">
        <x:v>0</x:v>
      </x:c>
      <x:c r="J78" s="8" t="n">
        <x:v>100</x:v>
      </x:c>
      <x:c r="K78" s="8" t="n">
        <x:v>1.44</x:v>
      </x:c>
      <x:c r="L78" s="8" t="n">
        <x:v>0</x:v>
      </x:c>
      <x:c r="M78" s="8" t="n">
        <x:v>0</x:v>
      </x:c>
      <x:c r="N78" s="8" t="n">
        <x:v>600</x:v>
      </x:c>
      <x:c r="O78" s="8" t="n">
        <x:v>0</x:v>
      </x:c>
      <x:c r="P78" s="8"/>
      <x:c r="Q78" s="9" t="n">
        <x:v>39.96</x:v>
      </x:c>
      <x:c r="R78" s="1" t="str">
        <x:v>Review receipt reconciliation or original PO baseline</x:v>
      </x:c>
      <x:c r="S78" s="1" t="str">
        <x:v>C400 Product WH With Listupdated.csv</x:v>
      </x:c>
    </x:row>
    <x:row r="79" ht="21" customHeight="1">
      <x:c r="A79" s="1" t="str">
        <x:v>C400</x:v>
      </x:c>
      <x:c r="B79" s="1" t="str">
        <x:v>60</x:v>
      </x:c>
      <x:c r="C79" s="1" t="str">
        <x:v>400HMBRC</x:v>
      </x:c>
      <x:c r="D79" s="1" t="str">
        <x:v>*PAY ACH* AKILES PRODUCTS, INC</x:v>
      </x:c>
      <x:c r="E79" s="7" t="n">
        <x:v>46303</x:v>
      </x:c>
      <x:c r="F79" s="8" t="n">
        <x:v>2500</x:v>
      </x:c>
      <x:c r="G79" s="8" t="n">
        <x:v>16.67</x:v>
      </x:c>
      <x:c r="H79" s="8" t="n">
        <x:v>6.29</x:v>
      </x:c>
      <x:c r="I79" s="8" t="n">
        <x:v>5.06</x:v>
      </x:c>
      <x:c r="J79" s="8" t="n">
        <x:v>100</x:v>
      </x:c>
      <x:c r="K79" s="8" t="n">
        <x:v>1.44</x:v>
      </x:c>
      <x:c r="L79" s="8" t="n">
        <x:v>0</x:v>
      </x:c>
      <x:c r="M79" s="8" t="n">
        <x:v>0</x:v>
      </x:c>
      <x:c r="N79" s="8" t="n">
        <x:v>2500</x:v>
      </x:c>
      <x:c r="O79" s="8" t="n">
        <x:v>0</x:v>
      </x:c>
      <x:c r="P79" s="8" t="n">
        <x:v>4.251</x:v>
      </x:c>
      <x:c r="Q79" s="9" t="n">
        <x:v>157.25</x:v>
      </x:c>
      <x:c r="R79" s="1" t="str">
        <x:v>Review receipt reconciliation or original PO baseline</x:v>
      </x:c>
      <x:c r="S79" s="1" t="str">
        <x:v>C400 Product WH With Listupdated.csv</x:v>
      </x:c>
    </x:row>
    <x:row r="80" ht="21" customHeight="1">
      <x:c r="A80" s="1" t="str">
        <x:v>C400</x:v>
      </x:c>
      <x:c r="B80" s="1" t="str">
        <x:v>30</x:v>
      </x:c>
      <x:c r="C80" s="1" t="str">
        <x:v>400HBRC19P</x:v>
      </x:c>
      <x:c r="D80" s="1" t="str">
        <x:v>*PAY ACH* AKILES PRODUCTS, INC</x:v>
      </x:c>
      <x:c r="E80" s="7" t="n">
        <x:v>46303</x:v>
      </x:c>
      <x:c r="F80" s="8" t="n">
        <x:v>1600</x:v>
      </x:c>
      <x:c r="G80" s="8" t="n">
        <x:v>8.33</x:v>
      </x:c>
      <x:c r="H80" s="8" t="n">
        <x:v>6.52</x:v>
      </x:c>
      <x:c r="I80" s="8" t="n">
        <x:v>5.241</x:v>
      </x:c>
      <x:c r="J80" s="8" t="n">
        <x:v>100</x:v>
      </x:c>
      <x:c r="K80" s="8" t="n">
        <x:v>1.44</x:v>
      </x:c>
      <x:c r="L80" s="8" t="n">
        <x:v>0</x:v>
      </x:c>
      <x:c r="M80" s="8" t="n">
        <x:v>0</x:v>
      </x:c>
      <x:c r="N80" s="8" t="n">
        <x:v>1600</x:v>
      </x:c>
      <x:c r="O80" s="8" t="n">
        <x:v>0</x:v>
      </x:c>
      <x:c r="P80" s="8" t="n">
        <x:v>4.403</x:v>
      </x:c>
      <x:c r="Q80" s="9" t="n">
        <x:v>104.32000000000001</x:v>
      </x:c>
      <x:c r="R80" s="1" t="str">
        <x:v>Review receipt reconciliation or original PO baseline</x:v>
      </x:c>
      <x:c r="S80" s="1" t="str">
        <x:v>C400 Product WH With Listupdated.csv</x:v>
      </x:c>
    </x:row>
    <x:row r="81" ht="21" customHeight="1">
      <x:c r="A81" s="1" t="str">
        <x:v>C400</x:v>
      </x:c>
      <x:c r="B81" s="1" t="str">
        <x:v>30</x:v>
      </x:c>
      <x:c r="C81" s="1" t="str">
        <x:v>400LBRC</x:v>
      </x:c>
      <x:c r="D81" s="1" t="str">
        <x:v>*PAY ACH* AKILES PRODUCTS, INC</x:v>
      </x:c>
      <x:c r="E81" s="7" t="n">
        <x:v>46303</x:v>
      </x:c>
      <x:c r="F81" s="8" t="n">
        <x:v>2800</x:v>
      </x:c>
      <x:c r="G81" s="8" t="n">
        <x:v>8.33</x:v>
      </x:c>
      <x:c r="H81" s="8" t="n">
        <x:v>2.99</x:v>
      </x:c>
      <x:c r="I81" s="8" t="n">
        <x:v>2.408</x:v>
      </x:c>
      <x:c r="J81" s="8" t="n">
        <x:v>100</x:v>
      </x:c>
      <x:c r="K81" s="8" t="n">
        <x:v>1.44</x:v>
      </x:c>
      <x:c r="L81" s="8" t="n">
        <x:v>0</x:v>
      </x:c>
      <x:c r="M81" s="8" t="n">
        <x:v>0</x:v>
      </x:c>
      <x:c r="N81" s="8" t="n">
        <x:v>2800</x:v>
      </x:c>
      <x:c r="O81" s="8" t="n">
        <x:v>0</x:v>
      </x:c>
      <x:c r="P81" s="8" t="n">
        <x:v>2.022</x:v>
      </x:c>
      <x:c r="Q81" s="9" t="n">
        <x:v>83.72</x:v>
      </x:c>
      <x:c r="R81" s="1" t="str">
        <x:v>Review receipt reconciliation or original PO baseline</x:v>
      </x:c>
      <x:c r="S81" s="1" t="str">
        <x:v>C400 Product WH With Listupdated.csv</x:v>
      </x:c>
    </x:row>
    <x:row r="82" ht="21" customHeight="1">
      <x:c r="A82" s="1" t="str">
        <x:v>C400</x:v>
      </x:c>
      <x:c r="B82" s="1" t="str">
        <x:v>10</x:v>
      </x:c>
      <x:c r="C82" s="1" t="str">
        <x:v>WOR</x:v>
      </x:c>
      <x:c r="D82" s="1" t="str">
        <x:v>HOP INDUSTRIES CORP.</x:v>
      </x:c>
      <x:c r="E82" s="7" t="n">
        <x:v>46303</x:v>
      </x:c>
      <x:c r="F82" s="8" t="n">
        <x:v>159</x:v>
      </x:c>
      <x:c r="G82" s="8" t="n">
        <x:v>0</x:v>
      </x:c>
      <x:c r="H82" s="8" t="n">
        <x:v>3.2</x:v>
      </x:c>
      <x:c r="I82" s="8" t="n">
        <x:v>2.35</x:v>
      </x:c>
      <x:c r="J82" s="8" t="n">
        <x:v>100</x:v>
      </x:c>
      <x:c r="K82" s="8" t="n">
        <x:v>1.44</x:v>
      </x:c>
      <x:c r="L82" s="8" t="n">
        <x:v>0</x:v>
      </x:c>
      <x:c r="M82" s="8" t="n">
        <x:v>0</x:v>
      </x:c>
      <x:c r="N82" s="8" t="n">
        <x:v>159</x:v>
      </x:c>
      <x:c r="O82" s="8" t="n">
        <x:v>0</x:v>
      </x:c>
      <x:c r="P82" s="8"/>
      <x:c r="Q82" s="9" t="n">
        <x:v>508.8</x:v>
      </x:c>
      <x:c r="R82" s="1" t="str">
        <x:v>Review receipt reconciliation or original PO baseline</x:v>
      </x:c>
      <x:c r="S82" s="1" t="str">
        <x:v>C400 Product WH With Listupdated.csv</x:v>
      </x:c>
    </x:row>
    <x:row r="83" ht="21" customHeight="1">
      <x:c r="A83" s="1" t="str">
        <x:v>C400</x:v>
      </x:c>
      <x:c r="B83" s="1" t="str">
        <x:v>10</x:v>
      </x:c>
      <x:c r="C83" s="1" t="str">
        <x:v>PIOC400</x:v>
      </x:c>
      <x:c r="D83" s="1" t="str">
        <x:v>SOUTHWEST PLASTIC BINDING</x:v>
      </x:c>
      <x:c r="E83" s="7" t="n">
        <x:v>46303</x:v>
      </x:c>
      <x:c r="F83" s="8" t="n">
        <x:v>71.61</x:v>
      </x:c>
      <x:c r="G83" s="8" t="n">
        <x:v>0</x:v>
      </x:c>
      <x:c r="H83" s="8" t="n">
        <x:v>1</x:v>
      </x:c>
      <x:c r="I83" s="8" t="n">
        <x:v>0</x:v>
      </x:c>
      <x:c r="J83" s="8" t="n">
        <x:v>100</x:v>
      </x:c>
      <x:c r="K83" s="8" t="n">
        <x:v>1.44</x:v>
      </x:c>
      <x:c r="L83" s="8" t="n">
        <x:v>0</x:v>
      </x:c>
      <x:c r="M83" s="8" t="n">
        <x:v>0</x:v>
      </x:c>
      <x:c r="N83" s="8" t="n">
        <x:v>71.61</x:v>
      </x:c>
      <x:c r="O83" s="8" t="n">
        <x:v>0</x:v>
      </x:c>
      <x:c r="P83" s="8"/>
      <x:c r="Q83" s="9" t="n">
        <x:v>71.61</x:v>
      </x:c>
      <x:c r="R83" s="1" t="str">
        <x:v>Review receipt reconciliation or original PO baseline</x:v>
      </x:c>
      <x:c r="S83" s="1" t="str">
        <x:v>C400 Product WH With Listupdated.csv</x:v>
      </x:c>
    </x:row>
    <x:row r="84" ht="21" customHeight="1">
      <x:c r="A84" s="1" t="str">
        <x:v>C400</x:v>
      </x:c>
      <x:c r="B84" s="1" t="str">
        <x:v>30</x:v>
      </x:c>
      <x:c r="C84" s="1" t="str">
        <x:v>400HMBRC</x:v>
      </x:c>
      <x:c r="D84" s="1" t="str">
        <x:v>*PAY ACH* AKILES PRODUCTS, INC</x:v>
      </x:c>
      <x:c r="E84" s="7" t="n">
        <x:v>46303</x:v>
      </x:c>
      <x:c r="F84" s="8" t="n">
        <x:v>2100</x:v>
      </x:c>
      <x:c r="G84" s="8" t="n">
        <x:v>0</x:v>
      </x:c>
      <x:c r="H84" s="8" t="n">
        <x:v>6.29</x:v>
      </x:c>
      <x:c r="I84" s="8" t="n">
        <x:v>5.06</x:v>
      </x:c>
      <x:c r="J84" s="8" t="n">
        <x:v>100</x:v>
      </x:c>
      <x:c r="K84" s="8" t="n">
        <x:v>1.44</x:v>
      </x:c>
      <x:c r="L84" s="8" t="n">
        <x:v>0</x:v>
      </x:c>
      <x:c r="M84" s="8" t="n">
        <x:v>0</x:v>
      </x:c>
      <x:c r="N84" s="8" t="n">
        <x:v>2100</x:v>
      </x:c>
      <x:c r="O84" s="8" t="n">
        <x:v>0</x:v>
      </x:c>
      <x:c r="P84" s="8" t="n">
        <x:v>4.251</x:v>
      </x:c>
      <x:c r="Q84" s="9" t="n">
        <x:v>132.09</x:v>
      </x:c>
      <x:c r="R84" s="1" t="str">
        <x:v>Review receipt reconciliation or original PO baseline</x:v>
      </x:c>
      <x:c r="S84" s="1" t="str">
        <x:v>C400 Product WH With Listupdated.csv</x:v>
      </x:c>
    </x:row>
    <x:row r="85" ht="21" customHeight="1">
      <x:c r="A85" s="1" t="str">
        <x:v>C400</x:v>
      </x:c>
      <x:c r="B85" s="1" t="str">
        <x:v>30</x:v>
      </x:c>
      <x:c r="C85" s="1" t="str">
        <x:v>400LASC19P</x:v>
      </x:c>
      <x:c r="D85" s="1" t="str">
        <x:v>*PAY ACH* AKILES PRODUCTS, INC</x:v>
      </x:c>
      <x:c r="E85" s="7" t="n">
        <x:v>46303</x:v>
      </x:c>
      <x:c r="F85" s="8" t="n">
        <x:v>4500</x:v>
      </x:c>
      <x:c r="G85" s="8" t="n">
        <x:v>0</x:v>
      </x:c>
      <x:c r="H85" s="8" t="n">
        <x:v>3.3</x:v>
      </x:c>
      <x:c r="I85" s="8" t="n">
        <x:v>2.656</x:v>
      </x:c>
      <x:c r="J85" s="8" t="n">
        <x:v>100</x:v>
      </x:c>
      <x:c r="K85" s="8" t="n">
        <x:v>1.44</x:v>
      </x:c>
      <x:c r="L85" s="8" t="n">
        <x:v>0</x:v>
      </x:c>
      <x:c r="M85" s="8" t="n">
        <x:v>0</x:v>
      </x:c>
      <x:c r="N85" s="8" t="n">
        <x:v>4500</x:v>
      </x:c>
      <x:c r="O85" s="8" t="n">
        <x:v>0</x:v>
      </x:c>
      <x:c r="P85" s="8" t="n">
        <x:v>2.231</x:v>
      </x:c>
      <x:c r="Q85" s="9" t="n">
        <x:v>148.5</x:v>
      </x:c>
      <x:c r="R85" s="1" t="str">
        <x:v>Review receipt reconciliation or original PO baseline</x:v>
      </x:c>
      <x:c r="S85" s="1" t="str">
        <x:v>C400 Product WH With Listupdated.csv</x:v>
      </x:c>
    </x:row>
    <x:row r="86" ht="21" customHeight="1">
      <x:c r="A86" s="1" t="str">
        <x:v>C400</x:v>
      </x:c>
      <x:c r="B86" s="1" t="str">
        <x:v>30</x:v>
      </x:c>
      <x:c r="C86" s="1" t="str">
        <x:v>PRHRP7ASC</x:v>
      </x:c>
      <x:c r="D86" s="1" t="str">
        <x:v>POWIS PARKER</x:v>
      </x:c>
      <x:c r="E86" s="7" t="n">
        <x:v>46303</x:v>
      </x:c>
      <x:c r="F86" s="8" t="n">
        <x:v>0</x:v>
      </x:c>
      <x:c r="G86" s="8" t="n">
        <x:v>0</x:v>
      </x:c>
      <x:c r="H86" s="8" t="n">
        <x:v>15.45</x:v>
      </x:c>
      <x:c r="I86" s="8" t="n">
        <x:v>0</x:v>
      </x:c>
      <x:c r="J86" s="8" t="n">
        <x:v>100</x:v>
      </x:c>
      <x:c r="K86" s="8" t="n">
        <x:v>1.44</x:v>
      </x:c>
      <x:c r="L86" s="8" t="n">
        <x:v>0</x:v>
      </x:c>
      <x:c r="M86" s="8" t="n">
        <x:v>0</x:v>
      </x:c>
      <x:c r="N86" s="8" t="n">
        <x:v>0</x:v>
      </x:c>
      <x:c r="O86" s="8" t="n">
        <x:v>0</x:v>
      </x:c>
      <x:c r="P86" s="8"/>
      <x:c r="Q86" s="9" t="n">
        <x:v>0</x:v>
      </x:c>
      <x:c r="R86" s="1" t="str">
        <x:v>Review receipt reconciliation or original PO baseline</x:v>
      </x:c>
      <x:c r="S86" s="1" t="str">
        <x:v>C400 Product WH With Listupdated.csv</x:v>
      </x:c>
    </x:row>
    <x:row r="87" ht="21" customHeight="1">
      <x:c r="A87" s="1" t="str">
        <x:v>C400</x:v>
      </x:c>
      <x:c r="B87" s="1" t="str">
        <x:v>30</x:v>
      </x:c>
      <x:c r="C87" s="1" t="str">
        <x:v>WOM</x:v>
      </x:c>
      <x:c r="D87" s="1" t="str">
        <x:v>SOUTHWEST CONVERSION</x:v>
      </x:c>
      <x:c r="E87" s="7" t="n">
        <x:v>46303</x:v>
      </x:c>
      <x:c r="F87" s="8" t="n">
        <x:v>200</x:v>
      </x:c>
      <x:c r="G87" s="8" t="n">
        <x:v>0</x:v>
      </x:c>
      <x:c r="H87" s="8" t="n">
        <x:v>2.75</x:v>
      </x:c>
      <x:c r="I87" s="8" t="n">
        <x:v>0</x:v>
      </x:c>
      <x:c r="J87" s="8" t="n">
        <x:v>100</x:v>
      </x:c>
      <x:c r="K87" s="8" t="n">
        <x:v>1.44</x:v>
      </x:c>
      <x:c r="L87" s="8" t="n">
        <x:v>0</x:v>
      </x:c>
      <x:c r="M87" s="8" t="n">
        <x:v>0</x:v>
      </x:c>
      <x:c r="N87" s="8" t="n">
        <x:v>200</x:v>
      </x:c>
      <x:c r="O87" s="8" t="n">
        <x:v>0</x:v>
      </x:c>
      <x:c r="P87" s="8"/>
      <x:c r="Q87" s="9" t="n">
        <x:v>5.5</x:v>
      </x:c>
      <x:c r="R87" s="1" t="str">
        <x:v>Review receipt reconciliation or original PO baseline</x:v>
      </x:c>
      <x:c r="S87" s="1" t="str">
        <x:v>C400 Product WH With Listupdated.csv</x:v>
      </x:c>
    </x:row>
    <x:row r="88" ht="21" customHeight="1">
      <x:c r="A88" s="1" t="str">
        <x:v>C400</x:v>
      </x:c>
      <x:c r="B88" s="1" t="str">
        <x:v>30</x:v>
      </x:c>
      <x:c r="C88" s="1" t="str">
        <x:v>PIOC400</x:v>
      </x:c>
      <x:c r="D88" s="1" t="str">
        <x:v>SOUTHWEST PLASTIC BINDING</x:v>
      </x:c>
      <x:c r="E88" s="7" t="n">
        <x:v>46303</x:v>
      </x:c>
      <x:c r="F88" s="8" t="n">
        <x:v>13.77</x:v>
      </x:c>
      <x:c r="G88" s="8" t="n">
        <x:v>0</x:v>
      </x:c>
      <x:c r="H88" s="8" t="n">
        <x:v>1</x:v>
      </x:c>
      <x:c r="I88" s="8" t="n">
        <x:v>0</x:v>
      </x:c>
      <x:c r="J88" s="8" t="n">
        <x:v>100</x:v>
      </x:c>
      <x:c r="K88" s="8" t="n">
        <x:v>1.44</x:v>
      </x:c>
      <x:c r="L88" s="8" t="n">
        <x:v>0</x:v>
      </x:c>
      <x:c r="M88" s="8" t="n">
        <x:v>0</x:v>
      </x:c>
      <x:c r="N88" s="8" t="n">
        <x:v>13.77</x:v>
      </x:c>
      <x:c r="O88" s="8" t="n">
        <x:v>0</x:v>
      </x:c>
      <x:c r="P88" s="8"/>
      <x:c r="Q88" s="9" t="n">
        <x:v>13.77</x:v>
      </x:c>
      <x:c r="R88" s="1" t="str">
        <x:v>Review receipt reconciliation or original PO baseline</x:v>
      </x:c>
      <x:c r="S88" s="1" t="str">
        <x:v>C400 Product WH With Listupdated.csv</x:v>
      </x:c>
    </x:row>
    <x:row r="89" ht="21" customHeight="1">
      <x:c r="A89" s="1" t="str">
        <x:v>C400</x:v>
      </x:c>
      <x:c r="B89" s="1" t="str">
        <x:v>60</x:v>
      </x:c>
      <x:c r="C89" s="1" t="str">
        <x:v>PRHRP7ASC</x:v>
      </x:c>
      <x:c r="D89" s="1" t="str">
        <x:v>POWIS PARKER</x:v>
      </x:c>
      <x:c r="E89" s="7" t="n">
        <x:v>46303</x:v>
      </x:c>
      <x:c r="F89" s="8" t="n">
        <x:v>0</x:v>
      </x:c>
      <x:c r="G89" s="8" t="n">
        <x:v>0</x:v>
      </x:c>
      <x:c r="H89" s="8" t="n">
        <x:v>15.45</x:v>
      </x:c>
      <x:c r="I89" s="8" t="n">
        <x:v>0</x:v>
      </x:c>
      <x:c r="J89" s="8" t="n">
        <x:v>100</x:v>
      </x:c>
      <x:c r="K89" s="8" t="n">
        <x:v>1.44</x:v>
      </x:c>
      <x:c r="L89" s="8" t="n">
        <x:v>0</x:v>
      </x:c>
      <x:c r="M89" s="8" t="n">
        <x:v>0</x:v>
      </x:c>
      <x:c r="N89" s="8" t="n">
        <x:v>0</x:v>
      </x:c>
      <x:c r="O89" s="8" t="n">
        <x:v>0</x:v>
      </x:c>
      <x:c r="P89" s="8"/>
      <x:c r="Q89" s="9" t="n">
        <x:v>0</x:v>
      </x:c>
      <x:c r="R89" s="1" t="str">
        <x:v>Review receipt reconciliation or original PO baseline</x:v>
      </x:c>
      <x:c r="S89" s="1" t="str">
        <x:v>C400 Product WH With Listupdated.csv</x:v>
      </x:c>
    </x:row>
    <x:row r="90" ht="21" customHeight="1">
      <x:c r="A90" s="1" t="str">
        <x:v>C400</x:v>
      </x:c>
      <x:c r="B90" s="1" t="str">
        <x:v>60</x:v>
      </x:c>
      <x:c r="C90" s="1" t="str">
        <x:v>400HASC3</x:v>
      </x:c>
      <x:c r="D90" s="1" t="str">
        <x:v>SOUTHWEST CONVERSION</x:v>
      </x:c>
      <x:c r="E90" s="7" t="n">
        <x:v>46303</x:v>
      </x:c>
      <x:c r="F90" s="8" t="n">
        <x:v>0</x:v>
      </x:c>
      <x:c r="G90" s="8" t="n">
        <x:v>0</x:v>
      </x:c>
      <x:c r="H90" s="8" t="n">
        <x:v>6.66</x:v>
      </x:c>
      <x:c r="I90" s="8" t="n">
        <x:v>0</x:v>
      </x:c>
      <x:c r="J90" s="8" t="n">
        <x:v>100</x:v>
      </x:c>
      <x:c r="K90" s="8" t="n">
        <x:v>1.44</x:v>
      </x:c>
      <x:c r="L90" s="8" t="n">
        <x:v>0</x:v>
      </x:c>
      <x:c r="M90" s="8" t="n">
        <x:v>0</x:v>
      </x:c>
      <x:c r="N90" s="8" t="n">
        <x:v>0</x:v>
      </x:c>
      <x:c r="O90" s="8" t="n">
        <x:v>0</x:v>
      </x:c>
      <x:c r="P90" s="8"/>
      <x:c r="Q90" s="9" t="n">
        <x:v>0</x:v>
      </x:c>
      <x:c r="R90" s="1" t="str">
        <x:v>Review receipt reconciliation or original PO baseline</x:v>
      </x:c>
      <x:c r="S90" s="1" t="str">
        <x:v>C400 Product WH With Listupdated.csv</x:v>
      </x:c>
    </x:row>
    <x:row r="91" ht="21" customHeight="1">
      <x:c r="A91" s="1" t="str">
        <x:v>C400</x:v>
      </x:c>
      <x:c r="B91" s="1" t="str">
        <x:v>60</x:v>
      </x:c>
      <x:c r="C91" s="1" t="str">
        <x:v>400MASC3</x:v>
      </x:c>
      <x:c r="D91" s="1" t="str">
        <x:v>SOUTHWEST CONVERSION</x:v>
      </x:c>
      <x:c r="E91" s="7" t="n">
        <x:v>46303</x:v>
      </x:c>
      <x:c r="F91" s="8" t="n">
        <x:v>1600</x:v>
      </x:c>
      <x:c r="G91" s="8" t="n">
        <x:v>0</x:v>
      </x:c>
      <x:c r="H91" s="8" t="n">
        <x:v>5.3</x:v>
      </x:c>
      <x:c r="I91" s="8" t="n">
        <x:v>0</x:v>
      </x:c>
      <x:c r="J91" s="8" t="n">
        <x:v>100</x:v>
      </x:c>
      <x:c r="K91" s="8" t="n">
        <x:v>1.44</x:v>
      </x:c>
      <x:c r="L91" s="8" t="n">
        <x:v>0</x:v>
      </x:c>
      <x:c r="M91" s="8" t="n">
        <x:v>0</x:v>
      </x:c>
      <x:c r="N91" s="8" t="n">
        <x:v>1600</x:v>
      </x:c>
      <x:c r="O91" s="8" t="n">
        <x:v>0</x:v>
      </x:c>
      <x:c r="P91" s="8"/>
      <x:c r="Q91" s="9" t="n">
        <x:v>84.8</x:v>
      </x:c>
      <x:c r="R91" s="1" t="str">
        <x:v>Review receipt reconciliation or original PO baseline</x:v>
      </x:c>
      <x:c r="S91" s="1" t="str">
        <x:v>C400 Product WH With Listupdated.csv</x:v>
      </x:c>
    </x:row>
    <x:row r="92" ht="21" customHeight="1">
      <x:c r="A92" s="1" t="str">
        <x:v>C400</x:v>
      </x:c>
      <x:c r="B92" s="1" t="str">
        <x:v>60</x:v>
      </x:c>
      <x:c r="C92" s="1" t="str">
        <x:v>WOM</x:v>
      </x:c>
      <x:c r="D92" s="1" t="str">
        <x:v>SOUTHWEST CONVERSION</x:v>
      </x:c>
      <x:c r="E92" s="7" t="n">
        <x:v>46303</x:v>
      </x:c>
      <x:c r="F92" s="8" t="n">
        <x:v>300</x:v>
      </x:c>
      <x:c r="G92" s="8" t="n">
        <x:v>0</x:v>
      </x:c>
      <x:c r="H92" s="8" t="n">
        <x:v>2.75</x:v>
      </x:c>
      <x:c r="I92" s="8" t="n">
        <x:v>0</x:v>
      </x:c>
      <x:c r="J92" s="8" t="n">
        <x:v>100</x:v>
      </x:c>
      <x:c r="K92" s="8" t="n">
        <x:v>1.44</x:v>
      </x:c>
      <x:c r="L92" s="8" t="n">
        <x:v>0</x:v>
      </x:c>
      <x:c r="M92" s="8" t="n">
        <x:v>0</x:v>
      </x:c>
      <x:c r="N92" s="8" t="n">
        <x:v>300</x:v>
      </x:c>
      <x:c r="O92" s="8" t="n">
        <x:v>0</x:v>
      </x:c>
      <x:c r="P92" s="8"/>
      <x:c r="Q92" s="9" t="n">
        <x:v>8.25</x:v>
      </x:c>
      <x:c r="R92" s="1" t="str">
        <x:v>Review receipt reconciliation or original PO baseline</x:v>
      </x:c>
      <x:c r="S92" s="1" t="str">
        <x:v>C400 Product WH With Listupdated.csv</x:v>
      </x:c>
    </x:row>
    <x:row r="93" ht="21" customHeight="1">
      <x:c r="A93" s="1" t="str">
        <x:v>PLAS</x:v>
      </x:c>
      <x:c r="B93" s="1" t="str">
        <x:v>10</x:v>
      </x:c>
      <x:c r="C93" s="1" t="str">
        <x:v>03819RWBBLK</x:v>
      </x:c>
      <x:c r="D93" s="1" t="str">
        <x:v>GOLDEN CHAMPION IND. LIMITED</x:v>
      </x:c>
      <x:c r="E93" s="7" t="n">
        <x:v>46303</x:v>
      </x:c>
      <x:c r="F93" s="8" t="n">
        <x:v>325600</x:v>
      </x:c>
      <x:c r="G93" s="8" t="n">
        <x:v>68485.42</x:v>
      </x:c>
      <x:c r="H93" s="8" t="n">
        <x:v>2.48</x:v>
      </x:c>
      <x:c r="I93" s="8" t="n">
        <x:v>1.98</x:v>
      </x:c>
      <x:c r="J93" s="8" t="n">
        <x:v>100</x:v>
      </x:c>
      <x:c r="K93" s="8" t="n">
        <x:v>1.47</x:v>
      </x:c>
      <x:c r="L93" s="8" t="n">
        <x:v>65600</x:v>
      </x:c>
      <x:c r="M93" s="8" t="n">
        <x:v>260000</x:v>
      </x:c>
      <x:c r="N93" s="8" t="n">
        <x:v>0</x:v>
      </x:c>
      <x:c r="O93" s="8" t="n">
        <x:v>1</x:v>
      </x:c>
      <x:c r="P93" s="8" t="n">
        <x:v>1.69</x:v>
      </x:c>
      <x:c r="Q93" s="9" t="n">
        <x:v>8089.76</x:v>
      </x:c>
      <x:c r="R93" s="1" t="str">
        <x:v>Classified</x:v>
      </x:c>
      <x:c r="S93" s="1" t="str">
        <x:v>Plastic Product Information.csv</x:v>
      </x:c>
    </x:row>
    <x:row r="94" ht="21" customHeight="1">
      <x:c r="A94" s="1" t="str">
        <x:v>PLAS</x:v>
      </x:c>
      <x:c r="B94" s="1" t="str">
        <x:v>10</x:v>
      </x:c>
      <x:c r="C94" s="1" t="str">
        <x:v>01219RWBBLK</x:v>
      </x:c>
      <x:c r="D94" s="1" t="str">
        <x:v>GOLDEN CHAMPION IND. LIMITED</x:v>
      </x:c>
      <x:c r="E94" s="7" t="n">
        <x:v>46303</x:v>
      </x:c>
      <x:c r="F94" s="8" t="n">
        <x:v>120280</x:v>
      </x:c>
      <x:c r="G94" s="8" t="n">
        <x:v>39137.09</x:v>
      </x:c>
      <x:c r="H94" s="8" t="n">
        <x:v>3.6</x:v>
      </x:c>
      <x:c r="I94" s="8" t="n">
        <x:v>2.87</x:v>
      </x:c>
      <x:c r="J94" s="8" t="n">
        <x:v>100</x:v>
      </x:c>
      <x:c r="K94" s="8" t="n">
        <x:v>1.47</x:v>
      </x:c>
      <x:c r="L94" s="8" t="n">
        <x:v>20280</x:v>
      </x:c>
      <x:c r="M94" s="8" t="n">
        <x:v>100000</x:v>
      </x:c>
      <x:c r="N94" s="8" t="n">
        <x:v>0</x:v>
      </x:c>
      <x:c r="O94" s="8" t="n">
        <x:v>1</x:v>
      </x:c>
      <x:c r="P94" s="8" t="n">
        <x:v>2.45</x:v>
      </x:c>
      <x:c r="Q94" s="9" t="n">
        <x:v>4330.08</x:v>
      </x:c>
      <x:c r="R94" s="1" t="str">
        <x:v>Classified</x:v>
      </x:c>
      <x:c r="S94" s="1" t="str">
        <x:v>Plastic Product Information.csv</x:v>
      </x:c>
    </x:row>
    <x:row r="95" ht="21" customHeight="1">
      <x:c r="A95" s="1" t="str">
        <x:v>PLAS</x:v>
      </x:c>
      <x:c r="B95" s="1" t="str">
        <x:v>10</x:v>
      </x:c>
      <x:c r="C95" s="1" t="str">
        <x:v>51619RWBBLK</x:v>
      </x:c>
      <x:c r="D95" s="1" t="str">
        <x:v>GOLDEN CHAMPION IND. LIMITED</x:v>
      </x:c>
      <x:c r="E95" s="7" t="n">
        <x:v>46303</x:v>
      </x:c>
      <x:c r="F95" s="8" t="n">
        <x:v>126700</x:v>
      </x:c>
      <x:c r="G95" s="8" t="n">
        <x:v>37427.92</x:v>
      </x:c>
      <x:c r="H95" s="8" t="n">
        <x:v>2.16</x:v>
      </x:c>
      <x:c r="I95" s="8" t="n">
        <x:v>1.72</x:v>
      </x:c>
      <x:c r="J95" s="8" t="n">
        <x:v>100</x:v>
      </x:c>
      <x:c r="K95" s="8" t="n">
        <x:v>1.47</x:v>
      </x:c>
      <x:c r="L95" s="8" t="n">
        <x:v>0</x:v>
      </x:c>
      <x:c r="M95" s="8" t="n">
        <x:v>126700</x:v>
      </x:c>
      <x:c r="N95" s="8" t="n">
        <x:v>0</x:v>
      </x:c>
      <x:c r="O95" s="8" t="n">
        <x:v>1</x:v>
      </x:c>
      <x:c r="P95" s="8" t="n">
        <x:v>1.47</x:v>
      </x:c>
      <x:c r="Q95" s="9" t="n">
        <x:v>2736.7200000000003</x:v>
      </x:c>
      <x:c r="R95" s="1" t="str">
        <x:v>Classified</x:v>
      </x:c>
      <x:c r="S95" s="1" t="str">
        <x:v>Plastic Product Information.csv</x:v>
      </x:c>
    </x:row>
    <x:row r="96" ht="21" customHeight="1">
      <x:c r="A96" s="1" t="str">
        <x:v>PLAS</x:v>
      </x:c>
      <x:c r="B96" s="1" t="str">
        <x:v>10</x:v>
      </x:c>
      <x:c r="C96" s="1" t="str">
        <x:v>01419RWBBLK</x:v>
      </x:c>
      <x:c r="D96" s="1" t="str">
        <x:v>GOLDEN CHAMPION IND. LIMITED</x:v>
      </x:c>
      <x:c r="E96" s="7" t="n">
        <x:v>46303</x:v>
      </x:c>
      <x:c r="F96" s="8" t="n">
        <x:v>58800</x:v>
      </x:c>
      <x:c r="G96" s="8" t="n">
        <x:v>27633.34</x:v>
      </x:c>
      <x:c r="H96" s="8" t="n">
        <x:v>1.81</x:v>
      </x:c>
      <x:c r="I96" s="8" t="n">
        <x:v>1.44</x:v>
      </x:c>
      <x:c r="J96" s="8" t="n">
        <x:v>100</x:v>
      </x:c>
      <x:c r="K96" s="8" t="n">
        <x:v>1.47</x:v>
      </x:c>
      <x:c r="L96" s="8" t="n">
        <x:v>0</x:v>
      </x:c>
      <x:c r="M96" s="8" t="n">
        <x:v>58800</x:v>
      </x:c>
      <x:c r="N96" s="8" t="n">
        <x:v>0</x:v>
      </x:c>
      <x:c r="O96" s="8" t="n">
        <x:v>1</x:v>
      </x:c>
      <x:c r="P96" s="8" t="n">
        <x:v>1.23</x:v>
      </x:c>
      <x:c r="Q96" s="9" t="n">
        <x:v>1064.28</x:v>
      </x:c>
      <x:c r="R96" s="1" t="str">
        <x:v>Classified</x:v>
      </x:c>
      <x:c r="S96" s="1" t="str">
        <x:v>Plastic Product Information.csv</x:v>
      </x:c>
    </x:row>
    <x:row r="97" ht="21" customHeight="1">
      <x:c r="A97" s="1" t="str">
        <x:v>PLAS</x:v>
      </x:c>
      <x:c r="B97" s="1" t="str">
        <x:v>10</x:v>
      </x:c>
      <x:c r="C97" s="1" t="str">
        <x:v>71619RWBBLK</x:v>
      </x:c>
      <x:c r="D97" s="1" t="str">
        <x:v>GOLDEN CHAMPION IND. LIMITED</x:v>
      </x:c>
      <x:c r="E97" s="7" t="n">
        <x:v>46303</x:v>
      </x:c>
      <x:c r="F97" s="8" t="n">
        <x:v>100600</x:v>
      </x:c>
      <x:c r="G97" s="8" t="n">
        <x:v>26966.67</x:v>
      </x:c>
      <x:c r="H97" s="8" t="n">
        <x:v>3.15</x:v>
      </x:c>
      <x:c r="I97" s="8" t="n">
        <x:v>2.5</x:v>
      </x:c>
      <x:c r="J97" s="8" t="n">
        <x:v>100</x:v>
      </x:c>
      <x:c r="K97" s="8" t="n">
        <x:v>1.47</x:v>
      </x:c>
      <x:c r="L97" s="8" t="n">
        <x:v>3600</x:v>
      </x:c>
      <x:c r="M97" s="8" t="n">
        <x:v>97000</x:v>
      </x:c>
      <x:c r="N97" s="8" t="n">
        <x:v>0</x:v>
      </x:c>
      <x:c r="O97" s="8" t="n">
        <x:v>1</x:v>
      </x:c>
      <x:c r="P97" s="8" t="n">
        <x:v>2.14</x:v>
      </x:c>
      <x:c r="Q97" s="9" t="n">
        <x:v>3194.1</x:v>
      </x:c>
      <x:c r="R97" s="1" t="str">
        <x:v>Classified</x:v>
      </x:c>
      <x:c r="S97" s="1" t="str">
        <x:v>Plastic Product Information.csv</x:v>
      </x:c>
    </x:row>
    <x:row r="98" ht="21" customHeight="1">
      <x:c r="A98" s="1" t="str">
        <x:v>PLAS</x:v>
      </x:c>
      <x:c r="B98" s="1" t="str">
        <x:v>10</x:v>
      </x:c>
      <x:c r="C98" s="1" t="str">
        <x:v>03419RWBBLK</x:v>
      </x:c>
      <x:c r="D98" s="1" t="str">
        <x:v>GOLDEN CHAMPION IND. LIMITED</x:v>
      </x:c>
      <x:c r="E98" s="7" t="n">
        <x:v>46303</x:v>
      </x:c>
      <x:c r="F98" s="8" t="n">
        <x:v>61990</x:v>
      </x:c>
      <x:c r="G98" s="8" t="n">
        <x:v>18552.49</x:v>
      </x:c>
      <x:c r="H98" s="8" t="n">
        <x:v>6.25</x:v>
      </x:c>
      <x:c r="I98" s="8" t="n">
        <x:v>4.97</x:v>
      </x:c>
      <x:c r="J98" s="8" t="n">
        <x:v>100</x:v>
      </x:c>
      <x:c r="K98" s="8" t="n">
        <x:v>1.47</x:v>
      </x:c>
      <x:c r="L98" s="8" t="n">
        <x:v>17990</x:v>
      </x:c>
      <x:c r="M98" s="8" t="n">
        <x:v>44000</x:v>
      </x:c>
      <x:c r="N98" s="8" t="n">
        <x:v>0</x:v>
      </x:c>
      <x:c r="O98" s="8" t="n">
        <x:v>1</x:v>
      </x:c>
      <x:c r="P98" s="8" t="n">
        <x:v>4.25</x:v>
      </x:c>
      <x:c r="Q98" s="9" t="n">
        <x:v>3874.375</x:v>
      </x:c>
      <x:c r="R98" s="1" t="str">
        <x:v>Classified</x:v>
      </x:c>
      <x:c r="S98" s="1" t="str">
        <x:v>Plastic Product Information.csv</x:v>
      </x:c>
    </x:row>
    <x:row r="99" ht="21" customHeight="1">
      <x:c r="A99" s="1" t="str">
        <x:v>PLAS</x:v>
      </x:c>
      <x:c r="B99" s="1" t="str">
        <x:v>10</x:v>
      </x:c>
      <x:c r="C99" s="1" t="str">
        <x:v>05819RWBBLK</x:v>
      </x:c>
      <x:c r="D99" s="1" t="str">
        <x:v>GOLDEN CHAMPION IND. LIMITED</x:v>
      </x:c>
      <x:c r="E99" s="7" t="n">
        <x:v>46303</x:v>
      </x:c>
      <x:c r="F99" s="8" t="n">
        <x:v>81094</x:v>
      </x:c>
      <x:c r="G99" s="8" t="n">
        <x:v>17912.58</x:v>
      </x:c>
      <x:c r="H99" s="8" t="n">
        <x:v>4.56</x:v>
      </x:c>
      <x:c r="I99" s="8" t="n">
        <x:v>3.63</x:v>
      </x:c>
      <x:c r="J99" s="8" t="n">
        <x:v>100</x:v>
      </x:c>
      <x:c r="K99" s="8" t="n">
        <x:v>1.47</x:v>
      </x:c>
      <x:c r="L99" s="8" t="n">
        <x:v>6094</x:v>
      </x:c>
      <x:c r="M99" s="8" t="n">
        <x:v>75000</x:v>
      </x:c>
      <x:c r="N99" s="8" t="n">
        <x:v>0</x:v>
      </x:c>
      <x:c r="O99" s="8" t="n">
        <x:v>1</x:v>
      </x:c>
      <x:c r="P99" s="8" t="n">
        <x:v>3.1</x:v>
      </x:c>
      <x:c r="Q99" s="9" t="n">
        <x:v>3697.8863999999994</x:v>
      </x:c>
      <x:c r="R99" s="1" t="str">
        <x:v>Classified</x:v>
      </x:c>
      <x:c r="S99" s="1" t="str">
        <x:v>Plastic Product Information.csv</x:v>
      </x:c>
    </x:row>
    <x:row r="100" ht="21" customHeight="1">
      <x:c r="A100" s="1" t="str">
        <x:v>PLAS</x:v>
      </x:c>
      <x:c r="B100" s="1" t="str">
        <x:v>60</x:v>
      </x:c>
      <x:c r="C100" s="1" t="str">
        <x:v>03819RWBBLK</x:v>
      </x:c>
      <x:c r="D100" s="1" t="str">
        <x:v>GOLDEN CHAMPION IND. LIMITED</x:v>
      </x:c>
      <x:c r="E100" s="7" t="n">
        <x:v>46303</x:v>
      </x:c>
      <x:c r="F100" s="8" t="n">
        <x:v>92000</x:v>
      </x:c>
      <x:c r="G100" s="8" t="n">
        <x:v>14800</x:v>
      </x:c>
      <x:c r="H100" s="8" t="n">
        <x:v>2.48</x:v>
      </x:c>
      <x:c r="I100" s="8" t="n">
        <x:v>1.98</x:v>
      </x:c>
      <x:c r="J100" s="8" t="n">
        <x:v>100</x:v>
      </x:c>
      <x:c r="K100" s="8" t="n">
        <x:v>1.47</x:v>
      </x:c>
      <x:c r="L100" s="8" t="n">
        <x:v>0</x:v>
      </x:c>
      <x:c r="M100" s="8" t="n">
        <x:v>0</x:v>
      </x:c>
      <x:c r="N100" s="8" t="n">
        <x:v>92000</x:v>
      </x:c>
      <x:c r="O100" s="8" t="n">
        <x:v>0</x:v>
      </x:c>
      <x:c r="P100" s="8" t="n">
        <x:v>1.69</x:v>
      </x:c>
      <x:c r="Q100" s="9" t="n">
        <x:v>2281.6</x:v>
      </x:c>
      <x:c r="R100" s="1" t="str">
        <x:v>Review receipt reconciliation or original PO baseline</x:v>
      </x:c>
      <x:c r="S100" s="1" t="str">
        <x:v>Plastic Product Information.csv</x:v>
      </x:c>
    </x:row>
    <x:row r="101" ht="21" customHeight="1">
      <x:c r="A101" s="1" t="str">
        <x:v>PLAS</x:v>
      </x:c>
      <x:c r="B101" s="1" t="str">
        <x:v>60</x:v>
      </x:c>
      <x:c r="C101" s="1" t="str">
        <x:v>51619RWBBLK</x:v>
      </x:c>
      <x:c r="D101" s="1" t="str">
        <x:v>GOLDEN CHAMPION IND. LIMITED</x:v>
      </x:c>
      <x:c r="E101" s="7" t="n">
        <x:v>46303</x:v>
      </x:c>
      <x:c r="F101" s="8" t="n">
        <x:v>59000</x:v>
      </x:c>
      <x:c r="G101" s="8" t="n">
        <x:v>13900</x:v>
      </x:c>
      <x:c r="H101" s="8" t="n">
        <x:v>2.16</x:v>
      </x:c>
      <x:c r="I101" s="8" t="n">
        <x:v>1.72</x:v>
      </x:c>
      <x:c r="J101" s="8" t="n">
        <x:v>100</x:v>
      </x:c>
      <x:c r="K101" s="8" t="n">
        <x:v>1.47</x:v>
      </x:c>
      <x:c r="L101" s="8" t="n">
        <x:v>0</x:v>
      </x:c>
      <x:c r="M101" s="8" t="n">
        <x:v>0</x:v>
      </x:c>
      <x:c r="N101" s="8" t="n">
        <x:v>59000</x:v>
      </x:c>
      <x:c r="O101" s="8" t="n">
        <x:v>0</x:v>
      </x:c>
      <x:c r="P101" s="8" t="n">
        <x:v>1.47</x:v>
      </x:c>
      <x:c r="Q101" s="9" t="n">
        <x:v>1274.4</x:v>
      </x:c>
      <x:c r="R101" s="1" t="str">
        <x:v>Review receipt reconciliation or original PO baseline</x:v>
      </x:c>
      <x:c r="S101" s="1" t="str">
        <x:v>Plastic Product Information.csv</x:v>
      </x:c>
    </x:row>
    <x:row r="102" ht="21" customHeight="1">
      <x:c r="A102" s="1" t="str">
        <x:v>PLAS</x:v>
      </x:c>
      <x:c r="B102" s="1" t="str">
        <x:v>10</x:v>
      </x:c>
      <x:c r="C102" s="1" t="str">
        <x:v>51619RWBWHT</x:v>
      </x:c>
      <x:c r="D102" s="1" t="str">
        <x:v>GOLDEN CHAMPION IND. LIMITED</x:v>
      </x:c>
      <x:c r="E102" s="7" t="n">
        <x:v>46303</x:v>
      </x:c>
      <x:c r="F102" s="8" t="n">
        <x:v>73200</x:v>
      </x:c>
      <x:c r="G102" s="8" t="n">
        <x:v>12425</x:v>
      </x:c>
      <x:c r="H102" s="8" t="n">
        <x:v>2.16</x:v>
      </x:c>
      <x:c r="I102" s="8" t="n">
        <x:v>1.72</x:v>
      </x:c>
      <x:c r="J102" s="8" t="n">
        <x:v>100</x:v>
      </x:c>
      <x:c r="K102" s="8" t="n">
        <x:v>1.47</x:v>
      </x:c>
      <x:c r="L102" s="8" t="n">
        <x:v>45200</x:v>
      </x:c>
      <x:c r="M102" s="8" t="n">
        <x:v>28000</x:v>
      </x:c>
      <x:c r="N102" s="8" t="n">
        <x:v>0</x:v>
      </x:c>
      <x:c r="O102" s="8" t="n">
        <x:v>1</x:v>
      </x:c>
      <x:c r="P102" s="8" t="n">
        <x:v>1.47</x:v>
      </x:c>
      <x:c r="Q102" s="9" t="n">
        <x:v>1585.44</x:v>
      </x:c>
      <x:c r="R102" s="1" t="str">
        <x:v>Classified</x:v>
      </x:c>
      <x:c r="S102" s="1" t="str">
        <x:v>Plastic Product Information.csv</x:v>
      </x:c>
    </x:row>
    <x:row r="103" ht="21" customHeight="1">
      <x:c r="A103" s="1" t="str">
        <x:v>PLAS</x:v>
      </x:c>
      <x:c r="B103" s="1" t="str">
        <x:v>60</x:v>
      </x:c>
      <x:c r="C103" s="1" t="str">
        <x:v>01419RWBBLK</x:v>
      </x:c>
      <x:c r="D103" s="1" t="str">
        <x:v>GOLDEN CHAMPION IND. LIMITED</x:v>
      </x:c>
      <x:c r="E103" s="7" t="n">
        <x:v>46303</x:v>
      </x:c>
      <x:c r="F103" s="8" t="n">
        <x:v>2100</x:v>
      </x:c>
      <x:c r="G103" s="8" t="n">
        <x:v>12350</x:v>
      </x:c>
      <x:c r="H103" s="8" t="n">
        <x:v>1.81</x:v>
      </x:c>
      <x:c r="I103" s="8" t="n">
        <x:v>1.44</x:v>
      </x:c>
      <x:c r="J103" s="8" t="n">
        <x:v>100</x:v>
      </x:c>
      <x:c r="K103" s="8" t="n">
        <x:v>1.47</x:v>
      </x:c>
      <x:c r="L103" s="8" t="n">
        <x:v>0</x:v>
      </x:c>
      <x:c r="M103" s="8" t="n">
        <x:v>0</x:v>
      </x:c>
      <x:c r="N103" s="8" t="n">
        <x:v>2100</x:v>
      </x:c>
      <x:c r="O103" s="8" t="n">
        <x:v>0</x:v>
      </x:c>
      <x:c r="P103" s="8" t="n">
        <x:v>1.23</x:v>
      </x:c>
      <x:c r="Q103" s="9" t="n">
        <x:v>38.01</x:v>
      </x:c>
      <x:c r="R103" s="1" t="str">
        <x:v>Review receipt reconciliation or original PO baseline</x:v>
      </x:c>
      <x:c r="S103" s="1" t="str">
        <x:v>Plastic Product Information.csv</x:v>
      </x:c>
    </x:row>
    <x:row r="104" ht="21" customHeight="1">
      <x:c r="A104" s="1" t="str">
        <x:v>PLAS</x:v>
      </x:c>
      <x:c r="B104" s="1" t="str">
        <x:v>10</x:v>
      </x:c>
      <x:c r="C104" s="1" t="str">
        <x:v>07819RWBBLK</x:v>
      </x:c>
      <x:c r="D104" s="1" t="str">
        <x:v>GOLDEN CHAMPION IND. LIMITED</x:v>
      </x:c>
      <x:c r="E104" s="7" t="n">
        <x:v>46303</x:v>
      </x:c>
      <x:c r="F104" s="8" t="n">
        <x:v>10492</x:v>
      </x:c>
      <x:c r="G104" s="8" t="n">
        <x:v>11240.09</x:v>
      </x:c>
      <x:c r="H104" s="8" t="n">
        <x:v>7.97</x:v>
      </x:c>
      <x:c r="I104" s="8" t="n">
        <x:v>6.34</x:v>
      </x:c>
      <x:c r="J104" s="8" t="n">
        <x:v>100</x:v>
      </x:c>
      <x:c r="K104" s="8" t="n">
        <x:v>1.47</x:v>
      </x:c>
      <x:c r="L104" s="8" t="n">
        <x:v>0</x:v>
      </x:c>
      <x:c r="M104" s="8" t="n">
        <x:v>10492</x:v>
      </x:c>
      <x:c r="N104" s="8" t="n">
        <x:v>0</x:v>
      </x:c>
      <x:c r="O104" s="8" t="n">
        <x:v>1</x:v>
      </x:c>
      <x:c r="P104" s="8" t="n">
        <x:v>5.42</x:v>
      </x:c>
      <x:c r="Q104" s="9" t="n">
        <x:v>836.2123999999999</x:v>
      </x:c>
      <x:c r="R104" s="1" t="str">
        <x:v>Classified</x:v>
      </x:c>
      <x:c r="S104" s="1" t="str">
        <x:v>Plastic Product Information.csv</x:v>
      </x:c>
    </x:row>
    <x:row r="105" ht="21" customHeight="1">
      <x:c r="A105" s="1" t="str">
        <x:v>PLAS</x:v>
      </x:c>
      <x:c r="B105" s="1" t="str">
        <x:v>10</x:v>
      </x:c>
      <x:c r="C105" s="1" t="str">
        <x:v>91619RWBBLK</x:v>
      </x:c>
      <x:c r="D105" s="1" t="str">
        <x:v>GOLDEN CHAMPION IND. LIMITED</x:v>
      </x:c>
      <x:c r="E105" s="7" t="n">
        <x:v>46303</x:v>
      </x:c>
      <x:c r="F105" s="8" t="n">
        <x:v>34562</x:v>
      </x:c>
      <x:c r="G105" s="8" t="n">
        <x:v>10718.75</x:v>
      </x:c>
      <x:c r="H105" s="8" t="n">
        <x:v>4.28</x:v>
      </x:c>
      <x:c r="I105" s="8" t="n">
        <x:v>3.4</x:v>
      </x:c>
      <x:c r="J105" s="8" t="n">
        <x:v>100</x:v>
      </x:c>
      <x:c r="K105" s="8" t="n">
        <x:v>1.47</x:v>
      </x:c>
      <x:c r="L105" s="8" t="n">
        <x:v>0</x:v>
      </x:c>
      <x:c r="M105" s="8" t="n">
        <x:v>34562</x:v>
      </x:c>
      <x:c r="N105" s="8" t="n">
        <x:v>0</x:v>
      </x:c>
      <x:c r="O105" s="8" t="n">
        <x:v>1</x:v>
      </x:c>
      <x:c r="P105" s="8" t="n">
        <x:v>2.91</x:v>
      </x:c>
      <x:c r="Q105" s="9" t="n">
        <x:v>1479.2536000000002</x:v>
      </x:c>
      <x:c r="R105" s="1" t="str">
        <x:v>Classified</x:v>
      </x:c>
      <x:c r="S105" s="1" t="str">
        <x:v>Plastic Product Information.csv</x:v>
      </x:c>
    </x:row>
    <x:row r="106" ht="21" customHeight="1">
      <x:c r="A106" s="1" t="str">
        <x:v>PLAS</x:v>
      </x:c>
      <x:c r="B106" s="1" t="str">
        <x:v>60</x:v>
      </x:c>
      <x:c r="C106" s="1" t="str">
        <x:v>01219RWBBLK</x:v>
      </x:c>
      <x:c r="D106" s="1" t="str">
        <x:v>GOLDEN CHAMPION IND. LIMITED</x:v>
      </x:c>
      <x:c r="E106" s="7" t="n">
        <x:v>46303</x:v>
      </x:c>
      <x:c r="F106" s="8" t="n">
        <x:v>41100</x:v>
      </x:c>
      <x:c r="G106" s="8" t="n">
        <x:v>10266.67</x:v>
      </x:c>
      <x:c r="H106" s="8" t="n">
        <x:v>3.6</x:v>
      </x:c>
      <x:c r="I106" s="8" t="n">
        <x:v>2.87</x:v>
      </x:c>
      <x:c r="J106" s="8" t="n">
        <x:v>100</x:v>
      </x:c>
      <x:c r="K106" s="8" t="n">
        <x:v>1.47</x:v>
      </x:c>
      <x:c r="L106" s="8" t="n">
        <x:v>0</x:v>
      </x:c>
      <x:c r="M106" s="8" t="n">
        <x:v>0</x:v>
      </x:c>
      <x:c r="N106" s="8" t="n">
        <x:v>41100</x:v>
      </x:c>
      <x:c r="O106" s="8" t="n">
        <x:v>0</x:v>
      </x:c>
      <x:c r="P106" s="8" t="n">
        <x:v>2.45</x:v>
      </x:c>
      <x:c r="Q106" s="9" t="n">
        <x:v>1479.6000000000001</x:v>
      </x:c>
      <x:c r="R106" s="1" t="str">
        <x:v>Review receipt reconciliation or original PO baseline</x:v>
      </x:c>
      <x:c r="S106" s="1" t="str">
        <x:v>Plastic Product Information.csv</x:v>
      </x:c>
    </x:row>
    <x:row r="107" ht="21" customHeight="1">
      <x:c r="A107" s="1" t="str">
        <x:v>PLAS</x:v>
      </x:c>
      <x:c r="B107" s="1" t="str">
        <x:v>10</x:v>
      </x:c>
      <x:c r="C107" s="1" t="str">
        <x:v>03819RWBWHT</x:v>
      </x:c>
      <x:c r="D107" s="1" t="str">
        <x:v>GOLDEN CHAMPION IND. LIMITED</x:v>
      </x:c>
      <x:c r="E107" s="7" t="n">
        <x:v>46303</x:v>
      </x:c>
      <x:c r="F107" s="8" t="n">
        <x:v>25900</x:v>
      </x:c>
      <x:c r="G107" s="8" t="n">
        <x:v>9935.5</x:v>
      </x:c>
      <x:c r="H107" s="8" t="n">
        <x:v>2.48</x:v>
      </x:c>
      <x:c r="I107" s="8" t="n">
        <x:v>1.98</x:v>
      </x:c>
      <x:c r="J107" s="8" t="n">
        <x:v>100</x:v>
      </x:c>
      <x:c r="K107" s="8" t="n">
        <x:v>1.47</x:v>
      </x:c>
      <x:c r="L107" s="8" t="n">
        <x:v>3900</x:v>
      </x:c>
      <x:c r="M107" s="8" t="n">
        <x:v>22000</x:v>
      </x:c>
      <x:c r="N107" s="8" t="n">
        <x:v>0</x:v>
      </x:c>
      <x:c r="O107" s="8" t="n">
        <x:v>1</x:v>
      </x:c>
      <x:c r="P107" s="8" t="n">
        <x:v>1.69</x:v>
      </x:c>
      <x:c r="Q107" s="9" t="n">
        <x:v>642.32</x:v>
      </x:c>
      <x:c r="R107" s="1" t="str">
        <x:v>Classified</x:v>
      </x:c>
      <x:c r="S107" s="1" t="str">
        <x:v>Plastic Product Information.csv</x:v>
      </x:c>
    </x:row>
    <x:row r="108" ht="21" customHeight="1">
      <x:c r="A108" s="1" t="str">
        <x:v>PLAS</x:v>
      </x:c>
      <x:c r="B108" s="1" t="str">
        <x:v>10</x:v>
      </x:c>
      <x:c r="C108" s="1" t="str">
        <x:v>00119RWBBLK</x:v>
      </x:c>
      <x:c r="D108" s="1" t="str">
        <x:v>GOLDEN CHAMPION IND. LIMITED</x:v>
      </x:c>
      <x:c r="E108" s="7" t="n">
        <x:v>46303</x:v>
      </x:c>
      <x:c r="F108" s="8" t="n">
        <x:v>11900</x:v>
      </x:c>
      <x:c r="G108" s="8" t="n">
        <x:v>9891.66</x:v>
      </x:c>
      <x:c r="H108" s="8" t="n">
        <x:v>10.54</x:v>
      </x:c>
      <x:c r="I108" s="8" t="n">
        <x:v>8.39</x:v>
      </x:c>
      <x:c r="J108" s="8" t="n">
        <x:v>100</x:v>
      </x:c>
      <x:c r="K108" s="8" t="n">
        <x:v>1.47</x:v>
      </x:c>
      <x:c r="L108" s="8" t="n">
        <x:v>0</x:v>
      </x:c>
      <x:c r="M108" s="8" t="n">
        <x:v>11900</x:v>
      </x:c>
      <x:c r="N108" s="8" t="n">
        <x:v>0</x:v>
      </x:c>
      <x:c r="O108" s="8" t="n">
        <x:v>1</x:v>
      </x:c>
      <x:c r="P108" s="8" t="n">
        <x:v>7.17</x:v>
      </x:c>
      <x:c r="Q108" s="9" t="n">
        <x:v>1254.26</x:v>
      </x:c>
      <x:c r="R108" s="1" t="str">
        <x:v>Classified</x:v>
      </x:c>
      <x:c r="S108" s="1" t="str">
        <x:v>Plastic Product Information.csv</x:v>
      </x:c>
    </x:row>
    <x:row r="109" ht="21" customHeight="1">
      <x:c r="A109" s="1" t="str">
        <x:v>PLAS</x:v>
      </x:c>
      <x:c r="B109" s="1" t="str">
        <x:v>10</x:v>
      </x:c>
      <x:c r="C109" s="1" t="str">
        <x:v>03819RWBNAV</x:v>
      </x:c>
      <x:c r="D109" s="1" t="str">
        <x:v>GOLDEN CHAMPION IND. LIMITED</x:v>
      </x:c>
      <x:c r="E109" s="7" t="n">
        <x:v>46303</x:v>
      </x:c>
      <x:c r="F109" s="8" t="n">
        <x:v>14380</x:v>
      </x:c>
      <x:c r="G109" s="8" t="n">
        <x:v>9035</x:v>
      </x:c>
      <x:c r="H109" s="8" t="n">
        <x:v>2.48</x:v>
      </x:c>
      <x:c r="I109" s="8" t="n">
        <x:v>1.98</x:v>
      </x:c>
      <x:c r="J109" s="8" t="n">
        <x:v>100</x:v>
      </x:c>
      <x:c r="K109" s="8" t="n">
        <x:v>1.47</x:v>
      </x:c>
      <x:c r="L109" s="8" t="n">
        <x:v>380</x:v>
      </x:c>
      <x:c r="M109" s="8" t="n">
        <x:v>14000</x:v>
      </x:c>
      <x:c r="N109" s="8" t="n">
        <x:v>0</x:v>
      </x:c>
      <x:c r="O109" s="8" t="n">
        <x:v>1</x:v>
      </x:c>
      <x:c r="P109" s="8" t="n">
        <x:v>1.69</x:v>
      </x:c>
      <x:c r="Q109" s="9" t="n">
        <x:v>356.624</x:v>
      </x:c>
      <x:c r="R109" s="1" t="str">
        <x:v>Classified</x:v>
      </x:c>
      <x:c r="S109" s="1" t="str">
        <x:v>Plastic Product Information.csv</x:v>
      </x:c>
    </x:row>
    <x:row r="110" ht="21" customHeight="1">
      <x:c r="A110" s="1" t="str">
        <x:v>PLAS</x:v>
      </x:c>
      <x:c r="B110" s="1" t="str">
        <x:v>60</x:v>
      </x:c>
      <x:c r="C110" s="1" t="str">
        <x:v>71619RWBBLK</x:v>
      </x:c>
      <x:c r="D110" s="1" t="str">
        <x:v>GOLDEN CHAMPION IND. LIMITED</x:v>
      </x:c>
      <x:c r="E110" s="7" t="n">
        <x:v>46303</x:v>
      </x:c>
      <x:c r="F110" s="8" t="n">
        <x:v>35300</x:v>
      </x:c>
      <x:c r="G110" s="8" t="n">
        <x:v>8166.67</x:v>
      </x:c>
      <x:c r="H110" s="8" t="n">
        <x:v>3.15</x:v>
      </x:c>
      <x:c r="I110" s="8" t="n">
        <x:v>2.5</x:v>
      </x:c>
      <x:c r="J110" s="8" t="n">
        <x:v>100</x:v>
      </x:c>
      <x:c r="K110" s="8" t="n">
        <x:v>1.47</x:v>
      </x:c>
      <x:c r="L110" s="8" t="n">
        <x:v>0</x:v>
      </x:c>
      <x:c r="M110" s="8" t="n">
        <x:v>0</x:v>
      </x:c>
      <x:c r="N110" s="8" t="n">
        <x:v>35300</x:v>
      </x:c>
      <x:c r="O110" s="8" t="n">
        <x:v>0</x:v>
      </x:c>
      <x:c r="P110" s="8" t="n">
        <x:v>2.14</x:v>
      </x:c>
      <x:c r="Q110" s="9" t="n">
        <x:v>1111.95</x:v>
      </x:c>
      <x:c r="R110" s="1" t="str">
        <x:v>Review receipt reconciliation or original PO baseline</x:v>
      </x:c>
      <x:c r="S110" s="1" t="str">
        <x:v>Plastic Product Information.csv</x:v>
      </x:c>
    </x:row>
    <x:row r="111" ht="21" customHeight="1">
      <x:c r="A111" s="1" t="str">
        <x:v>PLAS</x:v>
      </x:c>
      <x:c r="B111" s="1" t="str">
        <x:v>60</x:v>
      </x:c>
      <x:c r="C111" s="1" t="str">
        <x:v>51619RWBWHT</x:v>
      </x:c>
      <x:c r="D111" s="1" t="str">
        <x:v>GOLDEN CHAMPION IND. LIMITED</x:v>
      </x:c>
      <x:c r="E111" s="7" t="n">
        <x:v>46303</x:v>
      </x:c>
      <x:c r="F111" s="8" t="n">
        <x:v>64500</x:v>
      </x:c>
      <x:c r="G111" s="8" t="n">
        <x:v>8116.67</x:v>
      </x:c>
      <x:c r="H111" s="8" t="n">
        <x:v>2.16</x:v>
      </x:c>
      <x:c r="I111" s="8" t="n">
        <x:v>1.72</x:v>
      </x:c>
      <x:c r="J111" s="8" t="n">
        <x:v>100</x:v>
      </x:c>
      <x:c r="K111" s="8" t="n">
        <x:v>1.47</x:v>
      </x:c>
      <x:c r="L111" s="8" t="n">
        <x:v>0</x:v>
      </x:c>
      <x:c r="M111" s="8" t="n">
        <x:v>0</x:v>
      </x:c>
      <x:c r="N111" s="8" t="n">
        <x:v>64500</x:v>
      </x:c>
      <x:c r="O111" s="8" t="n">
        <x:v>0</x:v>
      </x:c>
      <x:c r="P111" s="8" t="n">
        <x:v>1.47</x:v>
      </x:c>
      <x:c r="Q111" s="9" t="n">
        <x:v>1393.2</x:v>
      </x:c>
      <x:c r="R111" s="1" t="str">
        <x:v>Review receipt reconciliation or original PO baseline</x:v>
      </x:c>
      <x:c r="S111" s="1" t="str">
        <x:v>Plastic Product Information.csv</x:v>
      </x:c>
    </x:row>
    <x:row r="112" ht="21" customHeight="1">
      <x:c r="A112" s="1" t="str">
        <x:v>PLAS</x:v>
      </x:c>
      <x:c r="B112" s="1" t="str">
        <x:v>10</x:v>
      </x:c>
      <x:c r="C112" s="1" t="str">
        <x:v>51619RWBNAV</x:v>
      </x:c>
      <x:c r="D112" s="1" t="str">
        <x:v>GOLDEN CHAMPION IND. LIMITED</x:v>
      </x:c>
      <x:c r="E112" s="7" t="n">
        <x:v>46303</x:v>
      </x:c>
      <x:c r="F112" s="8" t="n">
        <x:v>9000</x:v>
      </x:c>
      <x:c r="G112" s="8" t="n">
        <x:v>6734.08</x:v>
      </x:c>
      <x:c r="H112" s="8" t="n">
        <x:v>2.16</x:v>
      </x:c>
      <x:c r="I112" s="8" t="n">
        <x:v>1.72</x:v>
      </x:c>
      <x:c r="J112" s="8" t="n">
        <x:v>100</x:v>
      </x:c>
      <x:c r="K112" s="8" t="n">
        <x:v>1.47</x:v>
      </x:c>
      <x:c r="L112" s="8" t="n">
        <x:v>0</x:v>
      </x:c>
      <x:c r="M112" s="8" t="n">
        <x:v>9000</x:v>
      </x:c>
      <x:c r="N112" s="8" t="n">
        <x:v>0</x:v>
      </x:c>
      <x:c r="O112" s="8" t="n">
        <x:v>1</x:v>
      </x:c>
      <x:c r="P112" s="8" t="n">
        <x:v>1.47</x:v>
      </x:c>
      <x:c r="Q112" s="9" t="n">
        <x:v>194.4</x:v>
      </x:c>
      <x:c r="R112" s="1" t="str">
        <x:v>Classified</x:v>
      </x:c>
      <x:c r="S112" s="1" t="str">
        <x:v>Plastic Product Information.csv</x:v>
      </x:c>
    </x:row>
    <x:row r="113" ht="21" customHeight="1">
      <x:c r="A113" s="1" t="str">
        <x:v>PLAS</x:v>
      </x:c>
      <x:c r="B113" s="1" t="str">
        <x:v>60</x:v>
      </x:c>
      <x:c r="C113" s="1" t="str">
        <x:v>05819RWBBLK</x:v>
      </x:c>
      <x:c r="D113" s="1" t="str">
        <x:v>GOLDEN CHAMPION IND. LIMITED</x:v>
      </x:c>
      <x:c r="E113" s="7" t="n">
        <x:v>46303</x:v>
      </x:c>
      <x:c r="F113" s="8" t="n">
        <x:v>23200</x:v>
      </x:c>
      <x:c r="G113" s="8" t="n">
        <x:v>6083.33</x:v>
      </x:c>
      <x:c r="H113" s="8" t="n">
        <x:v>4.56</x:v>
      </x:c>
      <x:c r="I113" s="8" t="n">
        <x:v>3.63</x:v>
      </x:c>
      <x:c r="J113" s="8" t="n">
        <x:v>100</x:v>
      </x:c>
      <x:c r="K113" s="8" t="n">
        <x:v>1.47</x:v>
      </x:c>
      <x:c r="L113" s="8" t="n">
        <x:v>0</x:v>
      </x:c>
      <x:c r="M113" s="8" t="n">
        <x:v>0</x:v>
      </x:c>
      <x:c r="N113" s="8" t="n">
        <x:v>23200</x:v>
      </x:c>
      <x:c r="O113" s="8" t="n">
        <x:v>0</x:v>
      </x:c>
      <x:c r="P113" s="8" t="n">
        <x:v>3.1</x:v>
      </x:c>
      <x:c r="Q113" s="9" t="n">
        <x:v>1057.9199999999998</x:v>
      </x:c>
      <x:c r="R113" s="1" t="str">
        <x:v>Review receipt reconciliation or original PO baseline</x:v>
      </x:c>
      <x:c r="S113" s="1" t="str">
        <x:v>Plastic Product Information.csv</x:v>
      </x:c>
    </x:row>
    <x:row r="114" ht="21" customHeight="1">
      <x:c r="A114" s="1" t="str">
        <x:v>PLAS</x:v>
      </x:c>
      <x:c r="B114" s="1" t="str">
        <x:v>10</x:v>
      </x:c>
      <x:c r="C114" s="1" t="str">
        <x:v>00219RSLBLK</x:v>
      </x:c>
      <x:c r="D114" s="1" t="str">
        <x:v>GOLDEN CHAMPION IND. LIMITED</x:v>
      </x:c>
      <x:c r="E114" s="7" t="n">
        <x:v>46303</x:v>
      </x:c>
      <x:c r="F114" s="8" t="n">
        <x:v>11360</x:v>
      </x:c>
      <x:c r="G114" s="8" t="n">
        <x:v>5644</x:v>
      </x:c>
      <x:c r="H114" s="8" t="n">
        <x:v>14.77</x:v>
      </x:c>
      <x:c r="I114" s="8" t="n">
        <x:v>11.76</x:v>
      </x:c>
      <x:c r="J114" s="8" t="n">
        <x:v>100</x:v>
      </x:c>
      <x:c r="K114" s="8" t="n">
        <x:v>1.47</x:v>
      </x:c>
      <x:c r="L114" s="8" t="n">
        <x:v>5360</x:v>
      </x:c>
      <x:c r="M114" s="8" t="n">
        <x:v>6000</x:v>
      </x:c>
      <x:c r="N114" s="8" t="n">
        <x:v>0</x:v>
      </x:c>
      <x:c r="O114" s="8" t="n">
        <x:v>1</x:v>
      </x:c>
      <x:c r="P114" s="8" t="n">
        <x:v>10.05</x:v>
      </x:c>
      <x:c r="Q114" s="9" t="n">
        <x:v>1677.8719999999998</x:v>
      </x:c>
      <x:c r="R114" s="1" t="str">
        <x:v>Classified</x:v>
      </x:c>
      <x:c r="S114" s="1" t="str">
        <x:v>Plastic Product Information.csv</x:v>
      </x:c>
    </x:row>
    <x:row r="115" ht="21" customHeight="1">
      <x:c r="A115" s="1" t="str">
        <x:v>PLAS</x:v>
      </x:c>
      <x:c r="B115" s="1" t="str">
        <x:v>30</x:v>
      </x:c>
      <x:c r="C115" s="1" t="str">
        <x:v>03819RWBBLK</x:v>
      </x:c>
      <x:c r="D115" s="1" t="str">
        <x:v>GOLDEN CHAMPION IND. LIMITED</x:v>
      </x:c>
      <x:c r="E115" s="7" t="n">
        <x:v>46303</x:v>
      </x:c>
      <x:c r="F115" s="8" t="n">
        <x:v>13400</x:v>
      </x:c>
      <x:c r="G115" s="8" t="n">
        <x:v>5550</x:v>
      </x:c>
      <x:c r="H115" s="8" t="n">
        <x:v>2.48</x:v>
      </x:c>
      <x:c r="I115" s="8" t="n">
        <x:v>1.98</x:v>
      </x:c>
      <x:c r="J115" s="8" t="n">
        <x:v>100</x:v>
      </x:c>
      <x:c r="K115" s="8" t="n">
        <x:v>1.47</x:v>
      </x:c>
      <x:c r="L115" s="8" t="n">
        <x:v>0</x:v>
      </x:c>
      <x:c r="M115" s="8" t="n">
        <x:v>0</x:v>
      </x:c>
      <x:c r="N115" s="8" t="n">
        <x:v>13400</x:v>
      </x:c>
      <x:c r="O115" s="8" t="n">
        <x:v>0</x:v>
      </x:c>
      <x:c r="P115" s="8" t="n">
        <x:v>1.69</x:v>
      </x:c>
      <x:c r="Q115" s="9" t="n">
        <x:v>332.32</x:v>
      </x:c>
      <x:c r="R115" s="1" t="str">
        <x:v>Review receipt reconciliation or original PO baseline</x:v>
      </x:c>
      <x:c r="S115" s="1" t="str">
        <x:v>Plastic Product Information.csv</x:v>
      </x:c>
    </x:row>
    <x:row r="116" ht="21" customHeight="1">
      <x:c r="A116" s="1" t="str">
        <x:v>PLAS</x:v>
      </x:c>
      <x:c r="B116" s="1" t="str">
        <x:v>10</x:v>
      </x:c>
      <x:c r="C116" s="1" t="str">
        <x:v>11419RSLBLK</x:v>
      </x:c>
      <x:c r="D116" s="1" t="str">
        <x:v>GOLDEN CHAMPION IND. LIMITED</x:v>
      </x:c>
      <x:c r="E116" s="7" t="n">
        <x:v>46303</x:v>
      </x:c>
      <x:c r="F116" s="8" t="n">
        <x:v>23870</x:v>
      </x:c>
      <x:c r="G116" s="8" t="n">
        <x:v>5372.83</x:v>
      </x:c>
      <x:c r="H116" s="8" t="n">
        <x:v>11.1</x:v>
      </x:c>
      <x:c r="I116" s="8" t="n">
        <x:v>8.83</x:v>
      </x:c>
      <x:c r="J116" s="8" t="n">
        <x:v>100</x:v>
      </x:c>
      <x:c r="K116" s="8" t="n">
        <x:v>1.47</x:v>
      </x:c>
      <x:c r="L116" s="8" t="n">
        <x:v>10870</x:v>
      </x:c>
      <x:c r="M116" s="8" t="n">
        <x:v>13000</x:v>
      </x:c>
      <x:c r="N116" s="8" t="n">
        <x:v>0</x:v>
      </x:c>
      <x:c r="O116" s="8" t="n">
        <x:v>1</x:v>
      </x:c>
      <x:c r="P116" s="8" t="n">
        <x:v>7.55</x:v>
      </x:c>
      <x:c r="Q116" s="9" t="n">
        <x:v>2649.57</x:v>
      </x:c>
      <x:c r="R116" s="1" t="str">
        <x:v>Classified</x:v>
      </x:c>
      <x:c r="S116" s="1" t="str">
        <x:v>Plastic Product Information.csv</x:v>
      </x:c>
    </x:row>
    <x:row r="117" ht="21" customHeight="1">
      <x:c r="A117" s="1" t="str">
        <x:v>PLAS</x:v>
      </x:c>
      <x:c r="B117" s="1" t="str">
        <x:v>60</x:v>
      </x:c>
      <x:c r="C117" s="1" t="str">
        <x:v>03819RWBWHT</x:v>
      </x:c>
      <x:c r="D117" s="1" t="str">
        <x:v>GOLDEN CHAMPION IND. LIMITED</x:v>
      </x:c>
      <x:c r="E117" s="7" t="n">
        <x:v>46303</x:v>
      </x:c>
      <x:c r="F117" s="8" t="n">
        <x:v>15600</x:v>
      </x:c>
      <x:c r="G117" s="8" t="n">
        <x:v>5183.33</x:v>
      </x:c>
      <x:c r="H117" s="8" t="n">
        <x:v>2.48</x:v>
      </x:c>
      <x:c r="I117" s="8" t="n">
        <x:v>1.98</x:v>
      </x:c>
      <x:c r="J117" s="8" t="n">
        <x:v>100</x:v>
      </x:c>
      <x:c r="K117" s="8" t="n">
        <x:v>1.47</x:v>
      </x:c>
      <x:c r="L117" s="8" t="n">
        <x:v>0</x:v>
      </x:c>
      <x:c r="M117" s="8" t="n">
        <x:v>0</x:v>
      </x:c>
      <x:c r="N117" s="8" t="n">
        <x:v>15600</x:v>
      </x:c>
      <x:c r="O117" s="8" t="n">
        <x:v>0</x:v>
      </x:c>
      <x:c r="P117" s="8" t="n">
        <x:v>1.69</x:v>
      </x:c>
      <x:c r="Q117" s="9" t="n">
        <x:v>386.88</x:v>
      </x:c>
      <x:c r="R117" s="1" t="str">
        <x:v>Review receipt reconciliation or original PO baseline</x:v>
      </x:c>
      <x:c r="S117" s="1" t="str">
        <x:v>Plastic Product Information.csv</x:v>
      </x:c>
    </x:row>
    <x:row r="118" ht="21" customHeight="1">
      <x:c r="A118" s="1" t="str">
        <x:v>PLAS</x:v>
      </x:c>
      <x:c r="B118" s="1" t="str">
        <x:v>10</x:v>
      </x:c>
      <x:c r="C118" s="1" t="str">
        <x:v>01419RWBNAV</x:v>
      </x:c>
      <x:c r="D118" s="1" t="str">
        <x:v>GOLDEN CHAMPION IND. LIMITED</x:v>
      </x:c>
      <x:c r="E118" s="7" t="n">
        <x:v>46303</x:v>
      </x:c>
      <x:c r="F118" s="8" t="n">
        <x:v>1400</x:v>
      </x:c>
      <x:c r="G118" s="8" t="n">
        <x:v>5141.66</x:v>
      </x:c>
      <x:c r="H118" s="8" t="n">
        <x:v>1.81</x:v>
      </x:c>
      <x:c r="I118" s="8" t="n">
        <x:v>1.44</x:v>
      </x:c>
      <x:c r="J118" s="8" t="n">
        <x:v>100</x:v>
      </x:c>
      <x:c r="K118" s="8" t="n">
        <x:v>1.47</x:v>
      </x:c>
      <x:c r="L118" s="8" t="n">
        <x:v>0</x:v>
      </x:c>
      <x:c r="M118" s="8" t="n">
        <x:v>1400</x:v>
      </x:c>
      <x:c r="N118" s="8" t="n">
        <x:v>0</x:v>
      </x:c>
      <x:c r="O118" s="8" t="n">
        <x:v>1</x:v>
      </x:c>
      <x:c r="P118" s="8" t="n">
        <x:v>1.23</x:v>
      </x:c>
      <x:c r="Q118" s="9" t="n">
        <x:v>25.34</x:v>
      </x:c>
      <x:c r="R118" s="1" t="str">
        <x:v>Classified</x:v>
      </x:c>
      <x:c r="S118" s="1" t="str">
        <x:v>Plastic Product Information.csv</x:v>
      </x:c>
    </x:row>
    <x:row r="119" ht="21" customHeight="1">
      <x:c r="A119" s="1" t="str">
        <x:v>PLAS</x:v>
      </x:c>
      <x:c r="B119" s="1" t="str">
        <x:v>10</x:v>
      </x:c>
      <x:c r="C119" s="1" t="str">
        <x:v>05815RWBWHTC</x:v>
      </x:c>
      <x:c r="D119" s="1" t="str">
        <x:v>GOLDEN CHAMPION IND. LIMITED</x:v>
      </x:c>
      <x:c r="E119" s="7" t="n">
        <x:v>46303</x:v>
      </x:c>
      <x:c r="F119" s="8" t="n">
        <x:v>68000</x:v>
      </x:c>
      <x:c r="G119" s="8" t="n">
        <x:v>4916.67</x:v>
      </x:c>
      <x:c r="H119" s="8" t="n">
        <x:v>4.04</x:v>
      </x:c>
      <x:c r="I119" s="8" t="n">
        <x:v>3.22</x:v>
      </x:c>
      <x:c r="J119" s="8" t="n">
        <x:v>100</x:v>
      </x:c>
      <x:c r="K119" s="8" t="n">
        <x:v>1.47</x:v>
      </x:c>
      <x:c r="L119" s="8" t="n">
        <x:v>43000</x:v>
      </x:c>
      <x:c r="M119" s="8" t="n">
        <x:v>25000</x:v>
      </x:c>
      <x:c r="N119" s="8" t="n">
        <x:v>0</x:v>
      </x:c>
      <x:c r="O119" s="8" t="n">
        <x:v>1</x:v>
      </x:c>
      <x:c r="P119" s="8" t="n">
        <x:v>2.75</x:v>
      </x:c>
      <x:c r="Q119" s="9" t="n">
        <x:v>2747.2000000000003</x:v>
      </x:c>
      <x:c r="R119" s="1" t="str">
        <x:v>Classified</x:v>
      </x:c>
      <x:c r="S119" s="1" t="str">
        <x:v>Plastic Product Information.csv</x:v>
      </x:c>
    </x:row>
    <x:row r="120" ht="21" customHeight="1">
      <x:c r="A120" s="1" t="str">
        <x:v>PLAS</x:v>
      </x:c>
      <x:c r="B120" s="1" t="str">
        <x:v>10</x:v>
      </x:c>
      <x:c r="C120" s="1" t="str">
        <x:v>01219RWBNAV</x:v>
      </x:c>
      <x:c r="D120" s="1" t="str">
        <x:v>GOLDEN CHAMPION IND. LIMITED</x:v>
      </x:c>
      <x:c r="E120" s="7" t="n">
        <x:v>46303</x:v>
      </x:c>
      <x:c r="F120" s="8" t="n">
        <x:v>0</x:v>
      </x:c>
      <x:c r="G120" s="8" t="n">
        <x:v>4612.75</x:v>
      </x:c>
      <x:c r="H120" s="8" t="n">
        <x:v>3.6</x:v>
      </x:c>
      <x:c r="I120" s="8" t="n">
        <x:v>2.87</x:v>
      </x:c>
      <x:c r="J120" s="8" t="n">
        <x:v>100</x:v>
      </x:c>
      <x:c r="K120" s="8" t="n">
        <x:v>1.47</x:v>
      </x:c>
      <x:c r="L120" s="8" t="n">
        <x:v>0</x:v>
      </x:c>
      <x:c r="M120" s="8" t="n">
        <x:v>0</x:v>
      </x:c>
      <x:c r="N120" s="8" t="n">
        <x:v>0</x:v>
      </x:c>
      <x:c r="O120" s="8" t="n">
        <x:v>1</x:v>
      </x:c>
      <x:c r="P120" s="8" t="n">
        <x:v>2.45</x:v>
      </x:c>
      <x:c r="Q120" s="9" t="n">
        <x:v>0</x:v>
      </x:c>
      <x:c r="R120" s="1" t="str">
        <x:v>Classified</x:v>
      </x:c>
      <x:c r="S120" s="1" t="str">
        <x:v>Plastic Product Information.csv</x:v>
      </x:c>
    </x:row>
    <x:row r="121" ht="21" customHeight="1">
      <x:c r="A121" s="1" t="str">
        <x:v>PLAS</x:v>
      </x:c>
      <x:c r="B121" s="1" t="str">
        <x:v>10</x:v>
      </x:c>
      <x:c r="C121" s="1" t="str">
        <x:v>71619RWBNAV</x:v>
      </x:c>
      <x:c r="D121" s="1" t="str">
        <x:v>GOLDEN CHAMPION IND. LIMITED</x:v>
      </x:c>
      <x:c r="E121" s="7" t="n">
        <x:v>46303</x:v>
      </x:c>
      <x:c r="F121" s="8" t="n">
        <x:v>700</x:v>
      </x:c>
      <x:c r="G121" s="8" t="n">
        <x:v>4525</x:v>
      </x:c>
      <x:c r="H121" s="8" t="n">
        <x:v>3.15</x:v>
      </x:c>
      <x:c r="I121" s="8" t="n">
        <x:v>2.5</x:v>
      </x:c>
      <x:c r="J121" s="8" t="n">
        <x:v>100</x:v>
      </x:c>
      <x:c r="K121" s="8" t="n">
        <x:v>1.47</x:v>
      </x:c>
      <x:c r="L121" s="8" t="n">
        <x:v>0</x:v>
      </x:c>
      <x:c r="M121" s="8" t="n">
        <x:v>700</x:v>
      </x:c>
      <x:c r="N121" s="8" t="n">
        <x:v>0</x:v>
      </x:c>
      <x:c r="O121" s="8" t="n">
        <x:v>1</x:v>
      </x:c>
      <x:c r="P121" s="8" t="n">
        <x:v>2.14</x:v>
      </x:c>
      <x:c r="Q121" s="9" t="n">
        <x:v>22.05</x:v>
      </x:c>
      <x:c r="R121" s="1" t="str">
        <x:v>Classified</x:v>
      </x:c>
      <x:c r="S121" s="1" t="str">
        <x:v>Plastic Product Information.csv</x:v>
      </x:c>
    </x:row>
    <x:row r="122" ht="21" customHeight="1">
      <x:c r="A122" s="1" t="str">
        <x:v>PLAS</x:v>
      </x:c>
      <x:c r="B122" s="1" t="str">
        <x:v>10</x:v>
      </x:c>
      <x:c r="C122" s="1" t="str">
        <x:v>03419RWBWHT</x:v>
      </x:c>
      <x:c r="D122" s="1" t="str">
        <x:v>GOLDEN CHAMPION IND. LIMITED</x:v>
      </x:c>
      <x:c r="E122" s="7" t="n">
        <x:v>46303</x:v>
      </x:c>
      <x:c r="F122" s="8" t="n">
        <x:v>7100</x:v>
      </x:c>
      <x:c r="G122" s="8" t="n">
        <x:v>4320.17</x:v>
      </x:c>
      <x:c r="H122" s="8" t="n">
        <x:v>6.25</x:v>
      </x:c>
      <x:c r="I122" s="8" t="n">
        <x:v>4.97</x:v>
      </x:c>
      <x:c r="J122" s="8" t="n">
        <x:v>100</x:v>
      </x:c>
      <x:c r="K122" s="8" t="n">
        <x:v>1.47</x:v>
      </x:c>
      <x:c r="L122" s="8" t="n">
        <x:v>0</x:v>
      </x:c>
      <x:c r="M122" s="8" t="n">
        <x:v>7100</x:v>
      </x:c>
      <x:c r="N122" s="8" t="n">
        <x:v>0</x:v>
      </x:c>
      <x:c r="O122" s="8" t="n">
        <x:v>1</x:v>
      </x:c>
      <x:c r="P122" s="8" t="n">
        <x:v>4.25</x:v>
      </x:c>
      <x:c r="Q122" s="9" t="n">
        <x:v>443.75</x:v>
      </x:c>
      <x:c r="R122" s="1" t="str">
        <x:v>Classified</x:v>
      </x:c>
      <x:c r="S122" s="1" t="str">
        <x:v>Plastic Product Information.csv</x:v>
      </x:c>
    </x:row>
    <x:row r="123" ht="21" customHeight="1">
      <x:c r="A123" s="1" t="str">
        <x:v>PLAS</x:v>
      </x:c>
      <x:c r="B123" s="1" t="str">
        <x:v>10</x:v>
      </x:c>
      <x:c r="C123" s="1" t="str">
        <x:v>11219RSLBLK</x:v>
      </x:c>
      <x:c r="D123" s="1" t="str">
        <x:v>GOLDEN CHAMPION IND. LIMITED</x:v>
      </x:c>
      <x:c r="E123" s="7" t="n">
        <x:v>46303</x:v>
      </x:c>
      <x:c r="F123" s="8" t="n">
        <x:v>16536</x:v>
      </x:c>
      <x:c r="G123" s="8" t="n">
        <x:v>4271.5</x:v>
      </x:c>
      <x:c r="H123" s="8" t="n">
        <x:v>12.98</x:v>
      </x:c>
      <x:c r="I123" s="8" t="n">
        <x:v>10.33</x:v>
      </x:c>
      <x:c r="J123" s="8" t="n">
        <x:v>100</x:v>
      </x:c>
      <x:c r="K123" s="8" t="n">
        <x:v>1.47</x:v>
      </x:c>
      <x:c r="L123" s="8" t="n">
        <x:v>9536</x:v>
      </x:c>
      <x:c r="M123" s="8" t="n">
        <x:v>7000</x:v>
      </x:c>
      <x:c r="N123" s="8" t="n">
        <x:v>0</x:v>
      </x:c>
      <x:c r="O123" s="8" t="n">
        <x:v>1</x:v>
      </x:c>
      <x:c r="P123" s="8" t="n">
        <x:v>8.83</x:v>
      </x:c>
      <x:c r="Q123" s="9" t="n">
        <x:v>2147.1516</x:v>
      </x:c>
      <x:c r="R123" s="1" t="str">
        <x:v>Classified</x:v>
      </x:c>
      <x:c r="S123" s="1" t="str">
        <x:v>Plastic Product Information.csv</x:v>
      </x:c>
    </x:row>
    <x:row r="124" ht="21" customHeight="1">
      <x:c r="A124" s="1" t="str">
        <x:v>PLAS</x:v>
      </x:c>
      <x:c r="B124" s="1" t="str">
        <x:v>10</x:v>
      </x:c>
      <x:c r="C124" s="1" t="str">
        <x:v>03815RWBBLK</x:v>
      </x:c>
      <x:c r="D124" s="1" t="str">
        <x:v>GOLDEN CHAMPION IND. LIMITED</x:v>
      </x:c>
      <x:c r="E124" s="7" t="n">
        <x:v>46303</x:v>
      </x:c>
      <x:c r="F124" s="8" t="n">
        <x:v>24500</x:v>
      </x:c>
      <x:c r="G124" s="8" t="n">
        <x:v>4175</x:v>
      </x:c>
      <x:c r="H124" s="8" t="n">
        <x:v>1.62</x:v>
      </x:c>
      <x:c r="I124" s="8" t="n">
        <x:v>1.29</x:v>
      </x:c>
      <x:c r="J124" s="8" t="n">
        <x:v>100</x:v>
      </x:c>
      <x:c r="K124" s="8" t="n">
        <x:v>1.47</x:v>
      </x:c>
      <x:c r="L124" s="8" t="n">
        <x:v>14500</x:v>
      </x:c>
      <x:c r="M124" s="8" t="n">
        <x:v>10000</x:v>
      </x:c>
      <x:c r="N124" s="8" t="n">
        <x:v>0</x:v>
      </x:c>
      <x:c r="O124" s="8" t="n">
        <x:v>1</x:v>
      </x:c>
      <x:c r="P124" s="8" t="n">
        <x:v>1.1</x:v>
      </x:c>
      <x:c r="Q124" s="9" t="n">
        <x:v>396.90000000000003</x:v>
      </x:c>
      <x:c r="R124" s="1" t="str">
        <x:v>Classified</x:v>
      </x:c>
      <x:c r="S124" s="1" t="str">
        <x:v>Plastic Product Information.csv</x:v>
      </x:c>
    </x:row>
    <x:row r="125" ht="21" customHeight="1">
      <x:c r="A125" s="1" t="str">
        <x:v>PLAS</x:v>
      </x:c>
      <x:c r="B125" s="1" t="str">
        <x:v>60</x:v>
      </x:c>
      <x:c r="C125" s="1" t="str">
        <x:v>03419RWBBLK</x:v>
      </x:c>
      <x:c r="D125" s="1" t="str">
        <x:v>GOLDEN CHAMPION IND. LIMITED</x:v>
      </x:c>
      <x:c r="E125" s="7" t="n">
        <x:v>46303</x:v>
      </x:c>
      <x:c r="F125" s="8" t="n">
        <x:v>20200</x:v>
      </x:c>
      <x:c r="G125" s="8" t="n">
        <x:v>4133.33</x:v>
      </x:c>
      <x:c r="H125" s="8" t="n">
        <x:v>6.25</x:v>
      </x:c>
      <x:c r="I125" s="8" t="n">
        <x:v>4.97</x:v>
      </x:c>
      <x:c r="J125" s="8" t="n">
        <x:v>100</x:v>
      </x:c>
      <x:c r="K125" s="8" t="n">
        <x:v>1.47</x:v>
      </x:c>
      <x:c r="L125" s="8" t="n">
        <x:v>0</x:v>
      </x:c>
      <x:c r="M125" s="8" t="n">
        <x:v>0</x:v>
      </x:c>
      <x:c r="N125" s="8" t="n">
        <x:v>20200</x:v>
      </x:c>
      <x:c r="O125" s="8" t="n">
        <x:v>0</x:v>
      </x:c>
      <x:c r="P125" s="8" t="n">
        <x:v>4.25</x:v>
      </x:c>
      <x:c r="Q125" s="9" t="n">
        <x:v>1262.5</x:v>
      </x:c>
      <x:c r="R125" s="1" t="str">
        <x:v>Review receipt reconciliation or original PO baseline</x:v>
      </x:c>
      <x:c r="S125" s="1" t="str">
        <x:v>Plastic Product Information.csv</x:v>
      </x:c>
    </x:row>
    <x:row r="126" ht="21" customHeight="1">
      <x:c r="A126" s="1" t="str">
        <x:v>PLAS</x:v>
      </x:c>
      <x:c r="B126" s="1" t="str">
        <x:v>30</x:v>
      </x:c>
      <x:c r="C126" s="1" t="str">
        <x:v>01219RWBBLK</x:v>
      </x:c>
      <x:c r="D126" s="1" t="str">
        <x:v>GOLDEN CHAMPION IND. LIMITED</x:v>
      </x:c>
      <x:c r="E126" s="7" t="n">
        <x:v>46303</x:v>
      </x:c>
      <x:c r="F126" s="8" t="n">
        <x:v>11700</x:v>
      </x:c>
      <x:c r="G126" s="8" t="n">
        <x:v>3966.67</x:v>
      </x:c>
      <x:c r="H126" s="8" t="n">
        <x:v>3.6</x:v>
      </x:c>
      <x:c r="I126" s="8" t="n">
        <x:v>2.87</x:v>
      </x:c>
      <x:c r="J126" s="8" t="n">
        <x:v>100</x:v>
      </x:c>
      <x:c r="K126" s="8" t="n">
        <x:v>1.47</x:v>
      </x:c>
      <x:c r="L126" s="8" t="n">
        <x:v>0</x:v>
      </x:c>
      <x:c r="M126" s="8" t="n">
        <x:v>0</x:v>
      </x:c>
      <x:c r="N126" s="8" t="n">
        <x:v>11700</x:v>
      </x:c>
      <x:c r="O126" s="8" t="n">
        <x:v>0</x:v>
      </x:c>
      <x:c r="P126" s="8" t="n">
        <x:v>2.45</x:v>
      </x:c>
      <x:c r="Q126" s="9" t="n">
        <x:v>421.2</x:v>
      </x:c>
      <x:c r="R126" s="1" t="str">
        <x:v>Review receipt reconciliation or original PO baseline</x:v>
      </x:c>
      <x:c r="S126" s="1" t="str">
        <x:v>Plastic Product Information.csv</x:v>
      </x:c>
    </x:row>
    <x:row r="127" ht="21" customHeight="1">
      <x:c r="A127" s="1" t="str">
        <x:v>PLAS</x:v>
      </x:c>
      <x:c r="B127" s="1" t="str">
        <x:v>10</x:v>
      </x:c>
      <x:c r="C127" s="1" t="str">
        <x:v>01219RWBWHT</x:v>
      </x:c>
      <x:c r="D127" s="1" t="str">
        <x:v>GOLDEN CHAMPION IND. LIMITED</x:v>
      </x:c>
      <x:c r="E127" s="7" t="n">
        <x:v>46303</x:v>
      </x:c>
      <x:c r="F127" s="8" t="n">
        <x:v>24600</x:v>
      </x:c>
      <x:c r="G127" s="8" t="n">
        <x:v>3966.42</x:v>
      </x:c>
      <x:c r="H127" s="8" t="n">
        <x:v>3.6</x:v>
      </x:c>
      <x:c r="I127" s="8" t="n">
        <x:v>2.87</x:v>
      </x:c>
      <x:c r="J127" s="8" t="n">
        <x:v>100</x:v>
      </x:c>
      <x:c r="K127" s="8" t="n">
        <x:v>1.47</x:v>
      </x:c>
      <x:c r="L127" s="8" t="n">
        <x:v>19600</x:v>
      </x:c>
      <x:c r="M127" s="8" t="n">
        <x:v>5000</x:v>
      </x:c>
      <x:c r="N127" s="8" t="n">
        <x:v>0</x:v>
      </x:c>
      <x:c r="O127" s="8" t="n">
        <x:v>1</x:v>
      </x:c>
      <x:c r="P127" s="8" t="n">
        <x:v>2.45</x:v>
      </x:c>
      <x:c r="Q127" s="9" t="n">
        <x:v>885.6</x:v>
      </x:c>
      <x:c r="R127" s="1" t="str">
        <x:v>Classified</x:v>
      </x:c>
      <x:c r="S127" s="1" t="str">
        <x:v>Plastic Product Information.csv</x:v>
      </x:c>
    </x:row>
    <x:row r="128" ht="21" customHeight="1">
      <x:c r="A128" s="1" t="str">
        <x:v>PLAS</x:v>
      </x:c>
      <x:c r="B128" s="1" t="str">
        <x:v>60</x:v>
      </x:c>
      <x:c r="C128" s="1" t="str">
        <x:v>07819RWBBLK</x:v>
      </x:c>
      <x:c r="D128" s="1" t="str">
        <x:v>GOLDEN CHAMPION IND. LIMITED</x:v>
      </x:c>
      <x:c r="E128" s="7" t="n">
        <x:v>46303</x:v>
      </x:c>
      <x:c r="F128" s="8" t="n">
        <x:v>4100</x:v>
      </x:c>
      <x:c r="G128" s="8" t="n">
        <x:v>3900</x:v>
      </x:c>
      <x:c r="H128" s="8" t="n">
        <x:v>7.97</x:v>
      </x:c>
      <x:c r="I128" s="8" t="n">
        <x:v>6.34</x:v>
      </x:c>
      <x:c r="J128" s="8" t="n">
        <x:v>100</x:v>
      </x:c>
      <x:c r="K128" s="8" t="n">
        <x:v>1.47</x:v>
      </x:c>
      <x:c r="L128" s="8" t="n">
        <x:v>0</x:v>
      </x:c>
      <x:c r="M128" s="8" t="n">
        <x:v>0</x:v>
      </x:c>
      <x:c r="N128" s="8" t="n">
        <x:v>4100</x:v>
      </x:c>
      <x:c r="O128" s="8" t="n">
        <x:v>0</x:v>
      </x:c>
      <x:c r="P128" s="8" t="n">
        <x:v>5.42</x:v>
      </x:c>
      <x:c r="Q128" s="9" t="n">
        <x:v>326.77</x:v>
      </x:c>
      <x:c r="R128" s="1" t="str">
        <x:v>Review receipt reconciliation or original PO baseline</x:v>
      </x:c>
      <x:c r="S128" s="1" t="str">
        <x:v>Plastic Product Information.csv</x:v>
      </x:c>
    </x:row>
    <x:row r="129" ht="21" customHeight="1">
      <x:c r="A129" s="1" t="str">
        <x:v>PLAS</x:v>
      </x:c>
      <x:c r="B129" s="1" t="str">
        <x:v>10</x:v>
      </x:c>
      <x:c r="C129" s="1" t="str">
        <x:v>71615RWBBLK</x:v>
      </x:c>
      <x:c r="D129" s="1" t="str">
        <x:v>GOLDEN CHAMPION IND. LIMITED</x:v>
      </x:c>
      <x:c r="E129" s="7" t="n">
        <x:v>46303</x:v>
      </x:c>
      <x:c r="F129" s="8" t="n">
        <x:v>28609</x:v>
      </x:c>
      <x:c r="G129" s="8" t="n">
        <x:v>3825</x:v>
      </x:c>
      <x:c r="H129" s="8" t="n">
        <x:v>2.19</x:v>
      </x:c>
      <x:c r="I129" s="8" t="n">
        <x:v>1.74</x:v>
      </x:c>
      <x:c r="J129" s="8" t="n">
        <x:v>100</x:v>
      </x:c>
      <x:c r="K129" s="8" t="n">
        <x:v>1.47</x:v>
      </x:c>
      <x:c r="L129" s="8" t="n">
        <x:v>16609</x:v>
      </x:c>
      <x:c r="M129" s="8" t="n">
        <x:v>12000</x:v>
      </x:c>
      <x:c r="N129" s="8" t="n">
        <x:v>0</x:v>
      </x:c>
      <x:c r="O129" s="8" t="n">
        <x:v>1</x:v>
      </x:c>
      <x:c r="P129" s="8" t="n">
        <x:v>1.49</x:v>
      </x:c>
      <x:c r="Q129" s="9" t="n">
        <x:v>626.5371</x:v>
      </x:c>
      <x:c r="R129" s="1" t="str">
        <x:v>Classified</x:v>
      </x:c>
      <x:c r="S129" s="1" t="str">
        <x:v>Plastic Product Information.csv</x:v>
      </x:c>
    </x:row>
    <x:row r="130" ht="21" customHeight="1">
      <x:c r="A130" s="1" t="str">
        <x:v>PLAS</x:v>
      </x:c>
      <x:c r="B130" s="1" t="str">
        <x:v>10</x:v>
      </x:c>
      <x:c r="C130" s="1" t="str">
        <x:v>71615RWBWHTC</x:v>
      </x:c>
      <x:c r="D130" s="1" t="str">
        <x:v>GOLDEN CHAMPION IND. LIMITED</x:v>
      </x:c>
      <x:c r="E130" s="7" t="n">
        <x:v>46303</x:v>
      </x:c>
      <x:c r="F130" s="8" t="n">
        <x:v>94000</x:v>
      </x:c>
      <x:c r="G130" s="8" t="n">
        <x:v>3666.67</x:v>
      </x:c>
      <x:c r="H130" s="8" t="n">
        <x:v>2.81</x:v>
      </x:c>
      <x:c r="I130" s="8" t="n">
        <x:v>2.23</x:v>
      </x:c>
      <x:c r="J130" s="8" t="n">
        <x:v>100</x:v>
      </x:c>
      <x:c r="K130" s="8" t="n">
        <x:v>1.47</x:v>
      </x:c>
      <x:c r="L130" s="8" t="n">
        <x:v>64000</x:v>
      </x:c>
      <x:c r="M130" s="8" t="n">
        <x:v>30000</x:v>
      </x:c>
      <x:c r="N130" s="8" t="n">
        <x:v>0</x:v>
      </x:c>
      <x:c r="O130" s="8" t="n">
        <x:v>1</x:v>
      </x:c>
      <x:c r="P130" s="8" t="n">
        <x:v>1.91</x:v>
      </x:c>
      <x:c r="Q130" s="9" t="n">
        <x:v>2641.4</x:v>
      </x:c>
      <x:c r="R130" s="1" t="str">
        <x:v>Classified</x:v>
      </x:c>
      <x:c r="S130" s="1" t="str">
        <x:v>Plastic Product Information.csv</x:v>
      </x:c>
    </x:row>
    <x:row r="131" ht="21" customHeight="1">
      <x:c r="A131" s="1" t="str">
        <x:v>PLAS</x:v>
      </x:c>
      <x:c r="B131" s="1" t="str">
        <x:v>10</x:v>
      </x:c>
      <x:c r="C131" s="1" t="str">
        <x:v>71619RWBWHT</x:v>
      </x:c>
      <x:c r="D131" s="1" t="str">
        <x:v>GOLDEN CHAMPION IND. LIMITED</x:v>
      </x:c>
      <x:c r="E131" s="7" t="n">
        <x:v>46303</x:v>
      </x:c>
      <x:c r="F131" s="8" t="n">
        <x:v>5000</x:v>
      </x:c>
      <x:c r="G131" s="8" t="n">
        <x:v>3566.67</x:v>
      </x:c>
      <x:c r="H131" s="8" t="n">
        <x:v>3.15</x:v>
      </x:c>
      <x:c r="I131" s="8" t="n">
        <x:v>2.5</x:v>
      </x:c>
      <x:c r="J131" s="8" t="n">
        <x:v>100</x:v>
      </x:c>
      <x:c r="K131" s="8" t="n">
        <x:v>1.47</x:v>
      </x:c>
      <x:c r="L131" s="8" t="n">
        <x:v>0</x:v>
      </x:c>
      <x:c r="M131" s="8" t="n">
        <x:v>5000</x:v>
      </x:c>
      <x:c r="N131" s="8" t="n">
        <x:v>0</x:v>
      </x:c>
      <x:c r="O131" s="8" t="n">
        <x:v>1</x:v>
      </x:c>
      <x:c r="P131" s="8" t="n">
        <x:v>2.14</x:v>
      </x:c>
      <x:c r="Q131" s="9" t="n">
        <x:v>157.5</x:v>
      </x:c>
      <x:c r="R131" s="1" t="str">
        <x:v>Classified</x:v>
      </x:c>
      <x:c r="S131" s="1" t="str">
        <x:v>Plastic Product Information.csv</x:v>
      </x:c>
    </x:row>
    <x:row r="132" ht="21" customHeight="1">
      <x:c r="A132" s="1" t="str">
        <x:v>PLAS</x:v>
      </x:c>
      <x:c r="B132" s="1" t="str">
        <x:v>10</x:v>
      </x:c>
      <x:c r="C132" s="1" t="str">
        <x:v>03815RWBWHT</x:v>
      </x:c>
      <x:c r="D132" s="1" t="str">
        <x:v>GOLDEN CHAMPION IND. LIMITED</x:v>
      </x:c>
      <x:c r="E132" s="7" t="n">
        <x:v>46303</x:v>
      </x:c>
      <x:c r="F132" s="8" t="n">
        <x:v>22000</x:v>
      </x:c>
      <x:c r="G132" s="8" t="n">
        <x:v>3333.33</x:v>
      </x:c>
      <x:c r="H132" s="8" t="n">
        <x:v>1.62</x:v>
      </x:c>
      <x:c r="I132" s="8" t="n">
        <x:v>1.29</x:v>
      </x:c>
      <x:c r="J132" s="8" t="n">
        <x:v>100</x:v>
      </x:c>
      <x:c r="K132" s="8" t="n">
        <x:v>1.47</x:v>
      </x:c>
      <x:c r="L132" s="8" t="n">
        <x:v>18000</x:v>
      </x:c>
      <x:c r="M132" s="8" t="n">
        <x:v>4000</x:v>
      </x:c>
      <x:c r="N132" s="8" t="n">
        <x:v>0</x:v>
      </x:c>
      <x:c r="O132" s="8" t="n">
        <x:v>1</x:v>
      </x:c>
      <x:c r="P132" s="8" t="n">
        <x:v>1.1</x:v>
      </x:c>
      <x:c r="Q132" s="9" t="n">
        <x:v>356.40000000000003</x:v>
      </x:c>
      <x:c r="R132" s="1" t="str">
        <x:v>Classified</x:v>
      </x:c>
      <x:c r="S132" s="1" t="str">
        <x:v>Plastic Product Information.csv</x:v>
      </x:c>
    </x:row>
    <x:row r="133" ht="21" customHeight="1">
      <x:c r="A133" s="1" t="str">
        <x:v>PLAS</x:v>
      </x:c>
      <x:c r="B133" s="1" t="str">
        <x:v>60</x:v>
      </x:c>
      <x:c r="C133" s="1" t="str">
        <x:v>91619RWBBLK</x:v>
      </x:c>
      <x:c r="D133" s="1" t="str">
        <x:v>GOLDEN CHAMPION IND. LIMITED</x:v>
      </x:c>
      <x:c r="E133" s="7" t="n">
        <x:v>46303</x:v>
      </x:c>
      <x:c r="F133" s="8" t="n">
        <x:v>22500</x:v>
      </x:c>
      <x:c r="G133" s="8" t="n">
        <x:v>3216.67</x:v>
      </x:c>
      <x:c r="H133" s="8" t="n">
        <x:v>4.28</x:v>
      </x:c>
      <x:c r="I133" s="8" t="n">
        <x:v>3.4</x:v>
      </x:c>
      <x:c r="J133" s="8" t="n">
        <x:v>100</x:v>
      </x:c>
      <x:c r="K133" s="8" t="n">
        <x:v>1.47</x:v>
      </x:c>
      <x:c r="L133" s="8" t="n">
        <x:v>0</x:v>
      </x:c>
      <x:c r="M133" s="8" t="n">
        <x:v>0</x:v>
      </x:c>
      <x:c r="N133" s="8" t="n">
        <x:v>22500</x:v>
      </x:c>
      <x:c r="O133" s="8" t="n">
        <x:v>0</x:v>
      </x:c>
      <x:c r="P133" s="8" t="n">
        <x:v>2.91</x:v>
      </x:c>
      <x:c r="Q133" s="9" t="n">
        <x:v>963</x:v>
      </x:c>
      <x:c r="R133" s="1" t="str">
        <x:v>Review receipt reconciliation or original PO baseline</x:v>
      </x:c>
      <x:c r="S133" s="1" t="str">
        <x:v>Plastic Product Information.csv</x:v>
      </x:c>
    </x:row>
    <x:row r="134" ht="21" customHeight="1">
      <x:c r="A134" s="1" t="str">
        <x:v>PLAS</x:v>
      </x:c>
      <x:c r="B134" s="1" t="str">
        <x:v>10</x:v>
      </x:c>
      <x:c r="C134" s="1" t="str">
        <x:v>05815RWBBLK</x:v>
      </x:c>
      <x:c r="D134" s="1" t="str">
        <x:v>GOLDEN CHAMPION IND. LIMITED</x:v>
      </x:c>
      <x:c r="E134" s="7" t="n">
        <x:v>46303</x:v>
      </x:c>
      <x:c r="F134" s="8" t="n">
        <x:v>5700</x:v>
      </x:c>
      <x:c r="G134" s="8" t="n">
        <x:v>2916.66</x:v>
      </x:c>
      <x:c r="H134" s="8" t="n">
        <x:v>3.09</x:v>
      </x:c>
      <x:c r="I134" s="8" t="n">
        <x:v>2.46</x:v>
      </x:c>
      <x:c r="J134" s="8" t="n">
        <x:v>100</x:v>
      </x:c>
      <x:c r="K134" s="8" t="n">
        <x:v>1.47</x:v>
      </x:c>
      <x:c r="L134" s="8" t="n">
        <x:v>2700</x:v>
      </x:c>
      <x:c r="M134" s="8" t="n">
        <x:v>3000</x:v>
      </x:c>
      <x:c r="N134" s="8" t="n">
        <x:v>0</x:v>
      </x:c>
      <x:c r="O134" s="8" t="n">
        <x:v>1</x:v>
      </x:c>
      <x:c r="P134" s="8" t="n">
        <x:v>2.1</x:v>
      </x:c>
      <x:c r="Q134" s="9" t="n">
        <x:v>176.13</x:v>
      </x:c>
      <x:c r="R134" s="1" t="str">
        <x:v>Classified</x:v>
      </x:c>
      <x:c r="S134" s="1" t="str">
        <x:v>Plastic Product Information.csv</x:v>
      </x:c>
    </x:row>
    <x:row r="135" ht="21" customHeight="1">
      <x:c r="A135" s="1" t="str">
        <x:v>PLAS</x:v>
      </x:c>
      <x:c r="B135" s="1" t="str">
        <x:v>30</x:v>
      </x:c>
      <x:c r="C135" s="1" t="str">
        <x:v>71619RWBBLK</x:v>
      </x:c>
      <x:c r="D135" s="1" t="str">
        <x:v>GOLDEN CHAMPION IND. LIMITED</x:v>
      </x:c>
      <x:c r="E135" s="7" t="n">
        <x:v>46303</x:v>
      </x:c>
      <x:c r="F135" s="8" t="n">
        <x:v>3800</x:v>
      </x:c>
      <x:c r="G135" s="8" t="n">
        <x:v>2650</x:v>
      </x:c>
      <x:c r="H135" s="8" t="n">
        <x:v>3.15</x:v>
      </x:c>
      <x:c r="I135" s="8" t="n">
        <x:v>2.5</x:v>
      </x:c>
      <x:c r="J135" s="8" t="n">
        <x:v>100</x:v>
      </x:c>
      <x:c r="K135" s="8" t="n">
        <x:v>1.47</x:v>
      </x:c>
      <x:c r="L135" s="8" t="n">
        <x:v>0</x:v>
      </x:c>
      <x:c r="M135" s="8" t="n">
        <x:v>0</x:v>
      </x:c>
      <x:c r="N135" s="8" t="n">
        <x:v>3800</x:v>
      </x:c>
      <x:c r="O135" s="8" t="n">
        <x:v>0</x:v>
      </x:c>
      <x:c r="P135" s="8" t="n">
        <x:v>2.14</x:v>
      </x:c>
      <x:c r="Q135" s="9" t="n">
        <x:v>119.7</x:v>
      </x:c>
      <x:c r="R135" s="1" t="str">
        <x:v>Review receipt reconciliation or original PO baseline</x:v>
      </x:c>
      <x:c r="S135" s="1" t="str">
        <x:v>Plastic Product Information.csv</x:v>
      </x:c>
    </x:row>
    <x:row r="136" ht="21" customHeight="1">
      <x:c r="A136" s="1" t="str">
        <x:v>PLAS</x:v>
      </x:c>
      <x:c r="B136" s="1" t="str">
        <x:v>30</x:v>
      </x:c>
      <x:c r="C136" s="1" t="str">
        <x:v>03419RWBBLK</x:v>
      </x:c>
      <x:c r="D136" s="1" t="str">
        <x:v>GOLDEN CHAMPION IND. LIMITED</x:v>
      </x:c>
      <x:c r="E136" s="7" t="n">
        <x:v>46303</x:v>
      </x:c>
      <x:c r="F136" s="8" t="n">
        <x:v>19000</x:v>
      </x:c>
      <x:c r="G136" s="8" t="n">
        <x:v>2533.33</x:v>
      </x:c>
      <x:c r="H136" s="8" t="n">
        <x:v>6.25</x:v>
      </x:c>
      <x:c r="I136" s="8" t="n">
        <x:v>4.97</x:v>
      </x:c>
      <x:c r="J136" s="8" t="n">
        <x:v>100</x:v>
      </x:c>
      <x:c r="K136" s="8" t="n">
        <x:v>1.47</x:v>
      </x:c>
      <x:c r="L136" s="8" t="n">
        <x:v>0</x:v>
      </x:c>
      <x:c r="M136" s="8" t="n">
        <x:v>0</x:v>
      </x:c>
      <x:c r="N136" s="8" t="n">
        <x:v>19000</x:v>
      </x:c>
      <x:c r="O136" s="8" t="n">
        <x:v>0</x:v>
      </x:c>
      <x:c r="P136" s="8" t="n">
        <x:v>4.25</x:v>
      </x:c>
      <x:c r="Q136" s="9" t="n">
        <x:v>1187.5</x:v>
      </x:c>
      <x:c r="R136" s="1" t="str">
        <x:v>Review receipt reconciliation or original PO baseline</x:v>
      </x:c>
      <x:c r="S136" s="1" t="str">
        <x:v>Plastic Product Information.csv</x:v>
      </x:c>
    </x:row>
    <x:row r="137" ht="21" customHeight="1">
      <x:c r="A137" s="1" t="str">
        <x:v>PLAS</x:v>
      </x:c>
      <x:c r="B137" s="1" t="str">
        <x:v>10</x:v>
      </x:c>
      <x:c r="C137" s="1" t="str">
        <x:v>03415RWBBLK</x:v>
      </x:c>
      <x:c r="D137" s="1" t="str">
        <x:v>GOLDEN CHAMPION IND. LIMITED</x:v>
      </x:c>
      <x:c r="E137" s="7" t="n">
        <x:v>46303</x:v>
      </x:c>
      <x:c r="F137" s="8" t="n">
        <x:v>18235</x:v>
      </x:c>
      <x:c r="G137" s="8" t="n">
        <x:v>2500</x:v>
      </x:c>
      <x:c r="H137" s="8" t="n">
        <x:v>4.4</x:v>
      </x:c>
      <x:c r="I137" s="8" t="n">
        <x:v>3.5</x:v>
      </x:c>
      <x:c r="J137" s="8" t="n">
        <x:v>100</x:v>
      </x:c>
      <x:c r="K137" s="8" t="n">
        <x:v>1.47</x:v>
      </x:c>
      <x:c r="L137" s="8" t="n">
        <x:v>13235</x:v>
      </x:c>
      <x:c r="M137" s="8" t="n">
        <x:v>5000</x:v>
      </x:c>
      <x:c r="N137" s="8" t="n">
        <x:v>0</x:v>
      </x:c>
      <x:c r="O137" s="8" t="n">
        <x:v>1</x:v>
      </x:c>
      <x:c r="P137" s="8" t="n">
        <x:v>2.99</x:v>
      </x:c>
      <x:c r="Q137" s="9" t="n">
        <x:v>802.34</x:v>
      </x:c>
      <x:c r="R137" s="1" t="str">
        <x:v>Classified</x:v>
      </x:c>
      <x:c r="S137" s="1" t="str">
        <x:v>Plastic Product Information.csv</x:v>
      </x:c>
    </x:row>
    <x:row r="138" ht="21" customHeight="1">
      <x:c r="A138" s="1" t="str">
        <x:v>PLAS</x:v>
      </x:c>
      <x:c r="B138" s="1" t="str">
        <x:v>10</x:v>
      </x:c>
      <x:c r="C138" s="1" t="str">
        <x:v>01215RWBBLK</x:v>
      </x:c>
      <x:c r="D138" s="1" t="str">
        <x:v>GOLDEN CHAMPION IND. LIMITED</x:v>
      </x:c>
      <x:c r="E138" s="7" t="n">
        <x:v>46303</x:v>
      </x:c>
      <x:c r="F138" s="8" t="n">
        <x:v>14500</x:v>
      </x:c>
      <x:c r="G138" s="8" t="n">
        <x:v>2458.33</x:v>
      </x:c>
      <x:c r="H138" s="8" t="n">
        <x:v>2.5</x:v>
      </x:c>
      <x:c r="I138" s="8" t="n">
        <x:v>1.99</x:v>
      </x:c>
      <x:c r="J138" s="8" t="n">
        <x:v>100</x:v>
      </x:c>
      <x:c r="K138" s="8" t="n">
        <x:v>1.47</x:v>
      </x:c>
      <x:c r="L138" s="8" t="n">
        <x:v>8500</x:v>
      </x:c>
      <x:c r="M138" s="8" t="n">
        <x:v>6000</x:v>
      </x:c>
      <x:c r="N138" s="8" t="n">
        <x:v>0</x:v>
      </x:c>
      <x:c r="O138" s="8" t="n">
        <x:v>1</x:v>
      </x:c>
      <x:c r="P138" s="8" t="n">
        <x:v>1.7</x:v>
      </x:c>
      <x:c r="Q138" s="9" t="n">
        <x:v>362.5</x:v>
      </x:c>
      <x:c r="R138" s="1" t="str">
        <x:v>Classified</x:v>
      </x:c>
      <x:c r="S138" s="1" t="str">
        <x:v>Plastic Product Information.csv</x:v>
      </x:c>
    </x:row>
    <x:row r="139" ht="21" customHeight="1">
      <x:c r="A139" s="1" t="str">
        <x:v>PLAS</x:v>
      </x:c>
      <x:c r="B139" s="1" t="str">
        <x:v>10</x:v>
      </x:c>
      <x:c r="C139" s="1" t="str">
        <x:v>03819RWBBLU</x:v>
      </x:c>
      <x:c r="D139" s="1" t="str">
        <x:v>GOLDEN CHAMPION IND. LIMITED</x:v>
      </x:c>
      <x:c r="E139" s="7" t="n">
        <x:v>46303</x:v>
      </x:c>
      <x:c r="F139" s="8" t="n">
        <x:v>0</x:v>
      </x:c>
      <x:c r="G139" s="8" t="n">
        <x:v>2450.01</x:v>
      </x:c>
      <x:c r="H139" s="8" t="n">
        <x:v>2.48</x:v>
      </x:c>
      <x:c r="I139" s="8" t="n">
        <x:v>1.98</x:v>
      </x:c>
      <x:c r="J139" s="8" t="n">
        <x:v>100</x:v>
      </x:c>
      <x:c r="K139" s="8" t="n">
        <x:v>1.47</x:v>
      </x:c>
      <x:c r="L139" s="8" t="n">
        <x:v>0</x:v>
      </x:c>
      <x:c r="M139" s="8" t="n">
        <x:v>0</x:v>
      </x:c>
      <x:c r="N139" s="8" t="n">
        <x:v>0</x:v>
      </x:c>
      <x:c r="O139" s="8" t="n">
        <x:v>1</x:v>
      </x:c>
      <x:c r="P139" s="8" t="n">
        <x:v>1.69</x:v>
      </x:c>
      <x:c r="Q139" s="9" t="n">
        <x:v>0</x:v>
      </x:c>
      <x:c r="R139" s="1" t="str">
        <x:v>Classified</x:v>
      </x:c>
      <x:c r="S139" s="1" t="str">
        <x:v>Plastic Product Information.csv</x:v>
      </x:c>
    </x:row>
    <x:row r="140" ht="21" customHeight="1">
      <x:c r="A140" s="1" t="str">
        <x:v>PLAS</x:v>
      </x:c>
      <x:c r="B140" s="1" t="str">
        <x:v>30</x:v>
      </x:c>
      <x:c r="C140" s="1" t="str">
        <x:v>05819RWBBLK</x:v>
      </x:c>
      <x:c r="D140" s="1" t="str">
        <x:v>GOLDEN CHAMPION IND. LIMITED</x:v>
      </x:c>
      <x:c r="E140" s="7" t="n">
        <x:v>46303</x:v>
      </x:c>
      <x:c r="F140" s="8" t="n">
        <x:v>10000</x:v>
      </x:c>
      <x:c r="G140" s="8" t="n">
        <x:v>2416.67</x:v>
      </x:c>
      <x:c r="H140" s="8" t="n">
        <x:v>4.56</x:v>
      </x:c>
      <x:c r="I140" s="8" t="n">
        <x:v>3.63</x:v>
      </x:c>
      <x:c r="J140" s="8" t="n">
        <x:v>100</x:v>
      </x:c>
      <x:c r="K140" s="8" t="n">
        <x:v>1.47</x:v>
      </x:c>
      <x:c r="L140" s="8" t="n">
        <x:v>0</x:v>
      </x:c>
      <x:c r="M140" s="8" t="n">
        <x:v>0</x:v>
      </x:c>
      <x:c r="N140" s="8" t="n">
        <x:v>10000</x:v>
      </x:c>
      <x:c r="O140" s="8" t="n">
        <x:v>0</x:v>
      </x:c>
      <x:c r="P140" s="8" t="n">
        <x:v>3.1</x:v>
      </x:c>
      <x:c r="Q140" s="9" t="n">
        <x:v>455.99999999999994</x:v>
      </x:c>
      <x:c r="R140" s="1" t="str">
        <x:v>Review receipt reconciliation or original PO baseline</x:v>
      </x:c>
      <x:c r="S140" s="1" t="str">
        <x:v>Plastic Product Information.csv</x:v>
      </x:c>
    </x:row>
    <x:row r="141" ht="21" customHeight="1">
      <x:c r="A141" s="1" t="str">
        <x:v>PLAS</x:v>
      </x:c>
      <x:c r="B141" s="1" t="str">
        <x:v>10</x:v>
      </x:c>
      <x:c r="C141" s="1" t="str">
        <x:v>11819RWBBLK</x:v>
      </x:c>
      <x:c r="D141" s="1" t="str">
        <x:v>GOLDEN CHAMPION IND. LIMITED</x:v>
      </x:c>
      <x:c r="E141" s="7" t="n">
        <x:v>46303</x:v>
      </x:c>
      <x:c r="F141" s="8" t="n">
        <x:v>3674</x:v>
      </x:c>
      <x:c r="G141" s="8" t="n">
        <x:v>2340.17</x:v>
      </x:c>
      <x:c r="H141" s="8" t="n">
        <x:v>13.23</x:v>
      </x:c>
      <x:c r="I141" s="8" t="n">
        <x:v>10.53</x:v>
      </x:c>
      <x:c r="J141" s="8" t="n">
        <x:v>100</x:v>
      </x:c>
      <x:c r="K141" s="8" t="n">
        <x:v>1.47</x:v>
      </x:c>
      <x:c r="L141" s="8" t="n">
        <x:v>0</x:v>
      </x:c>
      <x:c r="M141" s="8" t="n">
        <x:v>3674</x:v>
      </x:c>
      <x:c r="N141" s="8" t="n">
        <x:v>0</x:v>
      </x:c>
      <x:c r="O141" s="8" t="n">
        <x:v>1</x:v>
      </x:c>
      <x:c r="P141" s="8" t="n">
        <x:v>9</x:v>
      </x:c>
      <x:c r="Q141" s="9" t="n">
        <x:v>486.07020000000006</x:v>
      </x:c>
      <x:c r="R141" s="1" t="str">
        <x:v>Classified</x:v>
      </x:c>
      <x:c r="S141" s="1" t="str">
        <x:v>Plastic Product Information.csv</x:v>
      </x:c>
    </x:row>
    <x:row r="142" ht="21" customHeight="1">
      <x:c r="A142" s="1" t="str">
        <x:v>PLAS</x:v>
      </x:c>
      <x:c r="B142" s="1" t="str">
        <x:v>10</x:v>
      </x:c>
      <x:c r="C142" s="1" t="str">
        <x:v>11219RSLWHT</x:v>
      </x:c>
      <x:c r="D142" s="1" t="str">
        <x:v>GOLDEN CHAMPION IND. LIMITED</x:v>
      </x:c>
      <x:c r="E142" s="7" t="n">
        <x:v>46303</x:v>
      </x:c>
      <x:c r="F142" s="8" t="n">
        <x:v>11100</x:v>
      </x:c>
      <x:c r="G142" s="8" t="n">
        <x:v>2262.51</x:v>
      </x:c>
      <x:c r="H142" s="8" t="n">
        <x:v>12.98</x:v>
      </x:c>
      <x:c r="I142" s="8" t="n">
        <x:v>10.33</x:v>
      </x:c>
      <x:c r="J142" s="8" t="n">
        <x:v>100</x:v>
      </x:c>
      <x:c r="K142" s="8" t="n">
        <x:v>1.47</x:v>
      </x:c>
      <x:c r="L142" s="8" t="n">
        <x:v>3100</x:v>
      </x:c>
      <x:c r="M142" s="8" t="n">
        <x:v>8000</x:v>
      </x:c>
      <x:c r="N142" s="8" t="n">
        <x:v>0</x:v>
      </x:c>
      <x:c r="O142" s="8" t="n">
        <x:v>1</x:v>
      </x:c>
      <x:c r="P142" s="8" t="n">
        <x:v>8.83</x:v>
      </x:c>
      <x:c r="Q142" s="9" t="n">
        <x:v>1440.78</x:v>
      </x:c>
      <x:c r="R142" s="1" t="str">
        <x:v>Classified</x:v>
      </x:c>
      <x:c r="S142" s="1" t="str">
        <x:v>Plastic Product Information.csv</x:v>
      </x:c>
    </x:row>
    <x:row r="143" ht="21" customHeight="1">
      <x:c r="A143" s="1" t="str">
        <x:v>PLAS</x:v>
      </x:c>
      <x:c r="B143" s="1" t="str">
        <x:v>30</x:v>
      </x:c>
      <x:c r="C143" s="1" t="str">
        <x:v>01419RWBBLK</x:v>
      </x:c>
      <x:c r="D143" s="1" t="str">
        <x:v>GOLDEN CHAMPION IND. LIMITED</x:v>
      </x:c>
      <x:c r="E143" s="7" t="n">
        <x:v>46303</x:v>
      </x:c>
      <x:c r="F143" s="8" t="n">
        <x:v>200</x:v>
      </x:c>
      <x:c r="G143" s="8" t="n">
        <x:v>2216.67</x:v>
      </x:c>
      <x:c r="H143" s="8" t="n">
        <x:v>1.81</x:v>
      </x:c>
      <x:c r="I143" s="8" t="n">
        <x:v>1.44</x:v>
      </x:c>
      <x:c r="J143" s="8" t="n">
        <x:v>100</x:v>
      </x:c>
      <x:c r="K143" s="8" t="n">
        <x:v>1.47</x:v>
      </x:c>
      <x:c r="L143" s="8" t="n">
        <x:v>0</x:v>
      </x:c>
      <x:c r="M143" s="8" t="n">
        <x:v>0</x:v>
      </x:c>
      <x:c r="N143" s="8" t="n">
        <x:v>200</x:v>
      </x:c>
      <x:c r="O143" s="8" t="n">
        <x:v>0</x:v>
      </x:c>
      <x:c r="P143" s="8" t="n">
        <x:v>1.23</x:v>
      </x:c>
      <x:c r="Q143" s="9" t="n">
        <x:v>3.62</x:v>
      </x:c>
      <x:c r="R143" s="1" t="str">
        <x:v>Review receipt reconciliation or original PO baseline</x:v>
      </x:c>
      <x:c r="S143" s="1" t="str">
        <x:v>Plastic Product Information.csv</x:v>
      </x:c>
    </x:row>
    <x:row r="144" ht="21" customHeight="1">
      <x:c r="A144" s="1" t="str">
        <x:v>PLAS</x:v>
      </x:c>
      <x:c r="B144" s="1" t="str">
        <x:v>10</x:v>
      </x:c>
      <x:c r="C144" s="1" t="str">
        <x:v>13419RSLBLK</x:v>
      </x:c>
      <x:c r="D144" s="1" t="str">
        <x:v>GOLDEN CHAMPION IND. LIMITED</x:v>
      </x:c>
      <x:c r="E144" s="7" t="n">
        <x:v>46303</x:v>
      </x:c>
      <x:c r="F144" s="8" t="n">
        <x:v>7836</x:v>
      </x:c>
      <x:c r="G144" s="8" t="n">
        <x:v>2201.41</x:v>
      </x:c>
      <x:c r="H144" s="8" t="n">
        <x:v>14.57</x:v>
      </x:c>
      <x:c r="I144" s="8" t="n">
        <x:v>11.59</x:v>
      </x:c>
      <x:c r="J144" s="8" t="n">
        <x:v>100</x:v>
      </x:c>
      <x:c r="K144" s="8" t="n">
        <x:v>1.47</x:v>
      </x:c>
      <x:c r="L144" s="8" t="n">
        <x:v>3836</x:v>
      </x:c>
      <x:c r="M144" s="8" t="n">
        <x:v>4000</x:v>
      </x:c>
      <x:c r="N144" s="8" t="n">
        <x:v>0</x:v>
      </x:c>
      <x:c r="O144" s="8" t="n">
        <x:v>1</x:v>
      </x:c>
      <x:c r="P144" s="8" t="n">
        <x:v>9.91</x:v>
      </x:c>
      <x:c r="Q144" s="9" t="n">
        <x:v>1141.7052</x:v>
      </x:c>
      <x:c r="R144" s="1" t="str">
        <x:v>Classified</x:v>
      </x:c>
      <x:c r="S144" s="1" t="str">
        <x:v>Plastic Product Information.csv</x:v>
      </x:c>
    </x:row>
    <x:row r="145" ht="21" customHeight="1">
      <x:c r="A145" s="1" t="str">
        <x:v>PLAS</x:v>
      </x:c>
      <x:c r="B145" s="1" t="str">
        <x:v>10</x:v>
      </x:c>
      <x:c r="C145" s="1" t="str">
        <x:v>03419RWBNAV</x:v>
      </x:c>
      <x:c r="D145" s="1" t="str">
        <x:v>GOLDEN CHAMPION IND. LIMITED</x:v>
      </x:c>
      <x:c r="E145" s="7" t="n">
        <x:v>46303</x:v>
      </x:c>
      <x:c r="F145" s="8" t="n">
        <x:v>7900</x:v>
      </x:c>
      <x:c r="G145" s="8" t="n">
        <x:v>2173.08</x:v>
      </x:c>
      <x:c r="H145" s="8" t="n">
        <x:v>6.25</x:v>
      </x:c>
      <x:c r="I145" s="8" t="n">
        <x:v>4.97</x:v>
      </x:c>
      <x:c r="J145" s="8" t="n">
        <x:v>100</x:v>
      </x:c>
      <x:c r="K145" s="8" t="n">
        <x:v>1.47</x:v>
      </x:c>
      <x:c r="L145" s="8" t="n">
        <x:v>7900</x:v>
      </x:c>
      <x:c r="M145" s="8" t="n">
        <x:v>0</x:v>
      </x:c>
      <x:c r="N145" s="8" t="n">
        <x:v>0</x:v>
      </x:c>
      <x:c r="O145" s="8" t="n">
        <x:v>1</x:v>
      </x:c>
      <x:c r="P145" s="8" t="n">
        <x:v>4.25</x:v>
      </x:c>
      <x:c r="Q145" s="9" t="n">
        <x:v>493.75</x:v>
      </x:c>
      <x:c r="R145" s="1" t="str">
        <x:v>Classified</x:v>
      </x:c>
      <x:c r="S145" s="1" t="str">
        <x:v>Plastic Product Information.csv</x:v>
      </x:c>
    </x:row>
    <x:row r="146" ht="21" customHeight="1">
      <x:c r="A146" s="1" t="str">
        <x:v>PLAS</x:v>
      </x:c>
      <x:c r="B146" s="1" t="str">
        <x:v>10</x:v>
      </x:c>
      <x:c r="C146" s="1" t="str">
        <x:v>03819RWBCLR</x:v>
      </x:c>
      <x:c r="D146" s="1" t="str">
        <x:v>GOLDEN CHAMPION IND. LIMITED</x:v>
      </x:c>
      <x:c r="E146" s="7" t="n">
        <x:v>46303</x:v>
      </x:c>
      <x:c r="F146" s="8" t="n">
        <x:v>5400</x:v>
      </x:c>
      <x:c r="G146" s="8" t="n">
        <x:v>2116.67</x:v>
      </x:c>
      <x:c r="H146" s="8" t="n">
        <x:v>2.48</x:v>
      </x:c>
      <x:c r="I146" s="8" t="n">
        <x:v>1.98</x:v>
      </x:c>
      <x:c r="J146" s="8" t="n">
        <x:v>100</x:v>
      </x:c>
      <x:c r="K146" s="8" t="n">
        <x:v>1.47</x:v>
      </x:c>
      <x:c r="L146" s="8" t="n">
        <x:v>1400</x:v>
      </x:c>
      <x:c r="M146" s="8" t="n">
        <x:v>4000</x:v>
      </x:c>
      <x:c r="N146" s="8" t="n">
        <x:v>0</x:v>
      </x:c>
      <x:c r="O146" s="8" t="n">
        <x:v>1</x:v>
      </x:c>
      <x:c r="P146" s="8" t="n">
        <x:v>1.69</x:v>
      </x:c>
      <x:c r="Q146" s="9" t="n">
        <x:v>133.92000000000002</x:v>
      </x:c>
      <x:c r="R146" s="1" t="str">
        <x:v>Classified</x:v>
      </x:c>
      <x:c r="S146" s="1" t="str">
        <x:v>Plastic Product Information.csv</x:v>
      </x:c>
    </x:row>
    <x:row r="147" ht="21" customHeight="1">
      <x:c r="A147" s="1" t="str">
        <x:v>PLAS</x:v>
      </x:c>
      <x:c r="B147" s="1" t="str">
        <x:v>10</x:v>
      </x:c>
      <x:c r="C147" s="1" t="str">
        <x:v>01419RWBWHT</x:v>
      </x:c>
      <x:c r="D147" s="1" t="str">
        <x:v>GOLDEN CHAMPION IND. LIMITED</x:v>
      </x:c>
      <x:c r="E147" s="7" t="n">
        <x:v>46303</x:v>
      </x:c>
      <x:c r="F147" s="8" t="n">
        <x:v>3000</x:v>
      </x:c>
      <x:c r="G147" s="8" t="n">
        <x:v>1975</x:v>
      </x:c>
      <x:c r="H147" s="8" t="n">
        <x:v>1.81</x:v>
      </x:c>
      <x:c r="I147" s="8" t="n">
        <x:v>1.44</x:v>
      </x:c>
      <x:c r="J147" s="8" t="n">
        <x:v>100</x:v>
      </x:c>
      <x:c r="K147" s="8" t="n">
        <x:v>1.47</x:v>
      </x:c>
      <x:c r="L147" s="8" t="n">
        <x:v>0</x:v>
      </x:c>
      <x:c r="M147" s="8" t="n">
        <x:v>3000</x:v>
      </x:c>
      <x:c r="N147" s="8" t="n">
        <x:v>0</x:v>
      </x:c>
      <x:c r="O147" s="8" t="n">
        <x:v>1</x:v>
      </x:c>
      <x:c r="P147" s="8" t="n">
        <x:v>1.23</x:v>
      </x:c>
      <x:c r="Q147" s="9" t="n">
        <x:v>54.300000000000004</x:v>
      </x:c>
      <x:c r="R147" s="1" t="str">
        <x:v>Classified</x:v>
      </x:c>
      <x:c r="S147" s="1" t="str">
        <x:v>Plastic Product Information.csv</x:v>
      </x:c>
    </x:row>
    <x:row r="148" ht="21" customHeight="1">
      <x:c r="A148" s="1" t="str">
        <x:v>PLAS</x:v>
      </x:c>
      <x:c r="B148" s="1" t="str">
        <x:v>30</x:v>
      </x:c>
      <x:c r="C148" s="1" t="str">
        <x:v>03815RWBBLK</x:v>
      </x:c>
      <x:c r="D148" s="1" t="str">
        <x:v>GOLDEN CHAMPION IND. LIMITED</x:v>
      </x:c>
      <x:c r="E148" s="7" t="n">
        <x:v>46303</x:v>
      </x:c>
      <x:c r="F148" s="8" t="n">
        <x:v>14000</x:v>
      </x:c>
      <x:c r="G148" s="8" t="n">
        <x:v>1966.67</x:v>
      </x:c>
      <x:c r="H148" s="8" t="n">
        <x:v>1.62</x:v>
      </x:c>
      <x:c r="I148" s="8" t="n">
        <x:v>1.29</x:v>
      </x:c>
      <x:c r="J148" s="8" t="n">
        <x:v>100</x:v>
      </x:c>
      <x:c r="K148" s="8" t="n">
        <x:v>1.47</x:v>
      </x:c>
      <x:c r="L148" s="8" t="n">
        <x:v>0</x:v>
      </x:c>
      <x:c r="M148" s="8" t="n">
        <x:v>0</x:v>
      </x:c>
      <x:c r="N148" s="8" t="n">
        <x:v>14000</x:v>
      </x:c>
      <x:c r="O148" s="8" t="n">
        <x:v>0</x:v>
      </x:c>
      <x:c r="P148" s="8" t="n">
        <x:v>1.1</x:v>
      </x:c>
      <x:c r="Q148" s="9" t="n">
        <x:v>226.8</x:v>
      </x:c>
      <x:c r="R148" s="1" t="str">
        <x:v>Review receipt reconciliation or original PO baseline</x:v>
      </x:c>
      <x:c r="S148" s="1" t="str">
        <x:v>Plastic Product Information.csv</x:v>
      </x:c>
    </x:row>
    <x:row r="149" ht="21" customHeight="1">
      <x:c r="A149" s="1" t="str">
        <x:v>PLAS</x:v>
      </x:c>
      <x:c r="B149" s="1" t="str">
        <x:v>30</x:v>
      </x:c>
      <x:c r="C149" s="1" t="str">
        <x:v>51619RWBBLK</x:v>
      </x:c>
      <x:c r="D149" s="1" t="str">
        <x:v>GOLDEN CHAMPION IND. LIMITED</x:v>
      </x:c>
      <x:c r="E149" s="7" t="n">
        <x:v>46303</x:v>
      </x:c>
      <x:c r="F149" s="8" t="n">
        <x:v>2500</x:v>
      </x:c>
      <x:c r="G149" s="8" t="n">
        <x:v>1966.67</x:v>
      </x:c>
      <x:c r="H149" s="8" t="n">
        <x:v>2.16</x:v>
      </x:c>
      <x:c r="I149" s="8" t="n">
        <x:v>1.72</x:v>
      </x:c>
      <x:c r="J149" s="8" t="n">
        <x:v>100</x:v>
      </x:c>
      <x:c r="K149" s="8" t="n">
        <x:v>1.47</x:v>
      </x:c>
      <x:c r="L149" s="8" t="n">
        <x:v>0</x:v>
      </x:c>
      <x:c r="M149" s="8" t="n">
        <x:v>0</x:v>
      </x:c>
      <x:c r="N149" s="8" t="n">
        <x:v>2500</x:v>
      </x:c>
      <x:c r="O149" s="8" t="n">
        <x:v>0</x:v>
      </x:c>
      <x:c r="P149" s="8" t="n">
        <x:v>1.47</x:v>
      </x:c>
      <x:c r="Q149" s="9" t="n">
        <x:v>54</x:v>
      </x:c>
      <x:c r="R149" s="1" t="str">
        <x:v>Review receipt reconciliation or original PO baseline</x:v>
      </x:c>
      <x:c r="S149" s="1" t="str">
        <x:v>Plastic Product Information.csv</x:v>
      </x:c>
    </x:row>
    <x:row r="150" ht="21" customHeight="1">
      <x:c r="A150" s="1" t="str">
        <x:v>PLAS</x:v>
      </x:c>
      <x:c r="B150" s="1" t="str">
        <x:v>10</x:v>
      </x:c>
      <x:c r="C150" s="1" t="str">
        <x:v>91621RWBBLK</x:v>
      </x:c>
      <x:c r="D150" s="1" t="str">
        <x:v>GOLDEN CHAMPION IND. LIMITED</x:v>
      </x:c>
      <x:c r="E150" s="7" t="n">
        <x:v>46303</x:v>
      </x:c>
      <x:c r="F150" s="8" t="n">
        <x:v>23750</x:v>
      </x:c>
      <x:c r="G150" s="8" t="n">
        <x:v>1939.83</x:v>
      </x:c>
      <x:c r="H150" s="8" t="n">
        <x:v>4.1</x:v>
      </x:c>
      <x:c r="I150" s="8" t="n">
        <x:v>3.26</x:v>
      </x:c>
      <x:c r="J150" s="8" t="n">
        <x:v>100</x:v>
      </x:c>
      <x:c r="K150" s="8" t="n">
        <x:v>1.47</x:v>
      </x:c>
      <x:c r="L150" s="8" t="n">
        <x:v>14750</x:v>
      </x:c>
      <x:c r="M150" s="8" t="n">
        <x:v>9000</x:v>
      </x:c>
      <x:c r="N150" s="8" t="n">
        <x:v>0</x:v>
      </x:c>
      <x:c r="O150" s="8" t="n">
        <x:v>1</x:v>
      </x:c>
      <x:c r="P150" s="8" t="n">
        <x:v>2.79</x:v>
      </x:c>
      <x:c r="Q150" s="9" t="n">
        <x:v>973.7499999999999</x:v>
      </x:c>
      <x:c r="R150" s="1" t="str">
        <x:v>Classified</x:v>
      </x:c>
      <x:c r="S150" s="1" t="str">
        <x:v>Plastic Product Information.csv</x:v>
      </x:c>
    </x:row>
    <x:row r="151" ht="21" customHeight="1">
      <x:c r="A151" s="1" t="str">
        <x:v>PLAS</x:v>
      </x:c>
      <x:c r="B151" s="1" t="str">
        <x:v>10</x:v>
      </x:c>
      <x:c r="C151" s="1" t="str">
        <x:v>07819RWBWHT</x:v>
      </x:c>
      <x:c r="D151" s="1" t="str">
        <x:v>GOLDEN CHAMPION IND. LIMITED</x:v>
      </x:c>
      <x:c r="E151" s="7" t="n">
        <x:v>46303</x:v>
      </x:c>
      <x:c r="F151" s="8" t="n">
        <x:v>1500</x:v>
      </x:c>
      <x:c r="G151" s="8" t="n">
        <x:v>1936.67</x:v>
      </x:c>
      <x:c r="H151" s="8" t="n">
        <x:v>7.97</x:v>
      </x:c>
      <x:c r="I151" s="8" t="n">
        <x:v>6.34</x:v>
      </x:c>
      <x:c r="J151" s="8" t="n">
        <x:v>100</x:v>
      </x:c>
      <x:c r="K151" s="8" t="n">
        <x:v>1.47</x:v>
      </x:c>
      <x:c r="L151" s="8" t="n">
        <x:v>0</x:v>
      </x:c>
      <x:c r="M151" s="8" t="n">
        <x:v>1500</x:v>
      </x:c>
      <x:c r="N151" s="8" t="n">
        <x:v>0</x:v>
      </x:c>
      <x:c r="O151" s="8" t="n">
        <x:v>1</x:v>
      </x:c>
      <x:c r="P151" s="8" t="n">
        <x:v>5.42</x:v>
      </x:c>
      <x:c r="Q151" s="9" t="n">
        <x:v>119.55</x:v>
      </x:c>
      <x:c r="R151" s="1" t="str">
        <x:v>Classified</x:v>
      </x:c>
      <x:c r="S151" s="1" t="str">
        <x:v>Plastic Product Information.csv</x:v>
      </x:c>
    </x:row>
    <x:row r="152" ht="21" customHeight="1">
      <x:c r="A152" s="1" t="str">
        <x:v>PLAS</x:v>
      </x:c>
      <x:c r="B152" s="1" t="str">
        <x:v>10</x:v>
      </x:c>
      <x:c r="C152" s="1" t="str">
        <x:v>05819RWBNAV</x:v>
      </x:c>
      <x:c r="D152" s="1" t="str">
        <x:v>GOLDEN CHAMPION IND. LIMITED</x:v>
      </x:c>
      <x:c r="E152" s="7" t="n">
        <x:v>46303</x:v>
      </x:c>
      <x:c r="F152" s="8" t="n">
        <x:v>10200</x:v>
      </x:c>
      <x:c r="G152" s="8" t="n">
        <x:v>1876.67</x:v>
      </x:c>
      <x:c r="H152" s="8" t="n">
        <x:v>4.56</x:v>
      </x:c>
      <x:c r="I152" s="8" t="n">
        <x:v>3.63</x:v>
      </x:c>
      <x:c r="J152" s="8" t="n">
        <x:v>100</x:v>
      </x:c>
      <x:c r="K152" s="8" t="n">
        <x:v>1.47</x:v>
      </x:c>
      <x:c r="L152" s="8" t="n">
        <x:v>4200</x:v>
      </x:c>
      <x:c r="M152" s="8" t="n">
        <x:v>6000</x:v>
      </x:c>
      <x:c r="N152" s="8" t="n">
        <x:v>0</x:v>
      </x:c>
      <x:c r="O152" s="8" t="n">
        <x:v>1</x:v>
      </x:c>
      <x:c r="P152" s="8" t="n">
        <x:v>3.1</x:v>
      </x:c>
      <x:c r="Q152" s="9" t="n">
        <x:v>465.11999999999995</x:v>
      </x:c>
      <x:c r="R152" s="1" t="str">
        <x:v>Classified</x:v>
      </x:c>
      <x:c r="S152" s="1" t="str">
        <x:v>Plastic Product Information.csv</x:v>
      </x:c>
    </x:row>
    <x:row r="153" ht="21" customHeight="1">
      <x:c r="A153" s="1" t="str">
        <x:v>PLAS</x:v>
      </x:c>
      <x:c r="B153" s="1" t="str">
        <x:v>60</x:v>
      </x:c>
      <x:c r="C153" s="1" t="str">
        <x:v>00119RWBBLK</x:v>
      </x:c>
      <x:c r="D153" s="1" t="str">
        <x:v>GOLDEN CHAMPION IND. LIMITED</x:v>
      </x:c>
      <x:c r="E153" s="7" t="n">
        <x:v>46303</x:v>
      </x:c>
      <x:c r="F153" s="8" t="n">
        <x:v>2150</x:v>
      </x:c>
      <x:c r="G153" s="8" t="n">
        <x:v>1850</x:v>
      </x:c>
      <x:c r="H153" s="8" t="n">
        <x:v>10.54</x:v>
      </x:c>
      <x:c r="I153" s="8" t="n">
        <x:v>8.39</x:v>
      </x:c>
      <x:c r="J153" s="8" t="n">
        <x:v>100</x:v>
      </x:c>
      <x:c r="K153" s="8" t="n">
        <x:v>1.47</x:v>
      </x:c>
      <x:c r="L153" s="8" t="n">
        <x:v>0</x:v>
      </x:c>
      <x:c r="M153" s="8" t="n">
        <x:v>0</x:v>
      </x:c>
      <x:c r="N153" s="8" t="n">
        <x:v>2150</x:v>
      </x:c>
      <x:c r="O153" s="8" t="n">
        <x:v>0</x:v>
      </x:c>
      <x:c r="P153" s="8" t="n">
        <x:v>7.17</x:v>
      </x:c>
      <x:c r="Q153" s="9" t="n">
        <x:v>226.60999999999996</x:v>
      </x:c>
      <x:c r="R153" s="1" t="str">
        <x:v>Review receipt reconciliation or original PO baseline</x:v>
      </x:c>
      <x:c r="S153" s="1" t="str">
        <x:v>Plastic Product Information.csv</x:v>
      </x:c>
    </x:row>
    <x:row r="154" ht="21" customHeight="1">
      <x:c r="A154" s="1" t="str">
        <x:v>PLAS</x:v>
      </x:c>
      <x:c r="B154" s="1" t="str">
        <x:v>10</x:v>
      </x:c>
      <x:c r="C154" s="1" t="str">
        <x:v>00119RWBWHT</x:v>
      </x:c>
      <x:c r="D154" s="1" t="str">
        <x:v>GOLDEN CHAMPION IND. LIMITED</x:v>
      </x:c>
      <x:c r="E154" s="7" t="n">
        <x:v>46303</x:v>
      </x:c>
      <x:c r="F154" s="8" t="n">
        <x:v>2700</x:v>
      </x:c>
      <x:c r="G154" s="8" t="n">
        <x:v>1753</x:v>
      </x:c>
      <x:c r="H154" s="8" t="n">
        <x:v>10.54</x:v>
      </x:c>
      <x:c r="I154" s="8" t="n">
        <x:v>8.39</x:v>
      </x:c>
      <x:c r="J154" s="8" t="n">
        <x:v>100</x:v>
      </x:c>
      <x:c r="K154" s="8" t="n">
        <x:v>1.47</x:v>
      </x:c>
      <x:c r="L154" s="8" t="n">
        <x:v>1700</x:v>
      </x:c>
      <x:c r="M154" s="8" t="n">
        <x:v>1000</x:v>
      </x:c>
      <x:c r="N154" s="8" t="n">
        <x:v>0</x:v>
      </x:c>
      <x:c r="O154" s="8" t="n">
        <x:v>1</x:v>
      </x:c>
      <x:c r="P154" s="8" t="n">
        <x:v>7.17</x:v>
      </x:c>
      <x:c r="Q154" s="9" t="n">
        <x:v>284.58</x:v>
      </x:c>
      <x:c r="R154" s="1" t="str">
        <x:v>Classified</x:v>
      </x:c>
      <x:c r="S154" s="1" t="str">
        <x:v>Plastic Product Information.csv</x:v>
      </x:c>
    </x:row>
    <x:row r="155" ht="21" customHeight="1">
      <x:c r="A155" s="1" t="str">
        <x:v>PLAS</x:v>
      </x:c>
      <x:c r="B155" s="1" t="str">
        <x:v>10</x:v>
      </x:c>
      <x:c r="C155" s="1" t="str">
        <x:v>91619RWBNAV</x:v>
      </x:c>
      <x:c r="D155" s="1" t="str">
        <x:v>GOLDEN CHAMPION IND. LIMITED</x:v>
      </x:c>
      <x:c r="E155" s="7" t="n">
        <x:v>46303</x:v>
      </x:c>
      <x:c r="F155" s="8" t="n">
        <x:v>200</x:v>
      </x:c>
      <x:c r="G155" s="8" t="n">
        <x:v>1750.5</x:v>
      </x:c>
      <x:c r="H155" s="8" t="n">
        <x:v>4.28</x:v>
      </x:c>
      <x:c r="I155" s="8" t="n">
        <x:v>3.4</x:v>
      </x:c>
      <x:c r="J155" s="8" t="n">
        <x:v>100</x:v>
      </x:c>
      <x:c r="K155" s="8" t="n">
        <x:v>1.47</x:v>
      </x:c>
      <x:c r="L155" s="8" t="n">
        <x:v>0</x:v>
      </x:c>
      <x:c r="M155" s="8" t="n">
        <x:v>200</x:v>
      </x:c>
      <x:c r="N155" s="8" t="n">
        <x:v>0</x:v>
      </x:c>
      <x:c r="O155" s="8" t="n">
        <x:v>1</x:v>
      </x:c>
      <x:c r="P155" s="8" t="n">
        <x:v>2.91</x:v>
      </x:c>
      <x:c r="Q155" s="9" t="n">
        <x:v>8.56</x:v>
      </x:c>
      <x:c r="R155" s="1" t="str">
        <x:v>Classified</x:v>
      </x:c>
      <x:c r="S155" s="1" t="str">
        <x:v>Plastic Product Information.csv</x:v>
      </x:c>
    </x:row>
    <x:row r="156" ht="21" customHeight="1">
      <x:c r="A156" s="1" t="str">
        <x:v>PLAS</x:v>
      </x:c>
      <x:c r="B156" s="1" t="str">
        <x:v>10</x:v>
      </x:c>
      <x:c r="C156" s="1" t="str">
        <x:v>00219RSLBLU</x:v>
      </x:c>
      <x:c r="D156" s="1" t="str">
        <x:v>GOLDEN CHAMPION IND. LIMITED</x:v>
      </x:c>
      <x:c r="E156" s="7" t="n">
        <x:v>46303</x:v>
      </x:c>
      <x:c r="F156" s="8" t="n">
        <x:v>0</x:v>
      </x:c>
      <x:c r="G156" s="8" t="n">
        <x:v>1735.17</x:v>
      </x:c>
      <x:c r="H156" s="8" t="n">
        <x:v>14.77</x:v>
      </x:c>
      <x:c r="I156" s="8" t="n">
        <x:v>11.76</x:v>
      </x:c>
      <x:c r="J156" s="8" t="n">
        <x:v>100</x:v>
      </x:c>
      <x:c r="K156" s="8" t="n">
        <x:v>1.47</x:v>
      </x:c>
      <x:c r="L156" s="8" t="n">
        <x:v>0</x:v>
      </x:c>
      <x:c r="M156" s="8" t="n">
        <x:v>0</x:v>
      </x:c>
      <x:c r="N156" s="8" t="n">
        <x:v>0</x:v>
      </x:c>
      <x:c r="O156" s="8" t="n">
        <x:v>1</x:v>
      </x:c>
      <x:c r="P156" s="8" t="n">
        <x:v>10.05</x:v>
      </x:c>
      <x:c r="Q156" s="9" t="n">
        <x:v>0</x:v>
      </x:c>
      <x:c r="R156" s="1" t="str">
        <x:v>Classified</x:v>
      </x:c>
      <x:c r="S156" s="1" t="str">
        <x:v>Plastic Product Information.csv</x:v>
      </x:c>
    </x:row>
    <x:row r="157" ht="21" customHeight="1">
      <x:c r="A157" s="1" t="str">
        <x:v>PLAS</x:v>
      </x:c>
      <x:c r="B157" s="1" t="str">
        <x:v>10</x:v>
      </x:c>
      <x:c r="C157" s="1" t="str">
        <x:v>03819RWBFG</x:v>
      </x:c>
      <x:c r="D157" s="1" t="str">
        <x:v>GOLDEN CHAMPION IND. LIMITED</x:v>
      </x:c>
      <x:c r="E157" s="7" t="n">
        <x:v>46303</x:v>
      </x:c>
      <x:c r="F157" s="8" t="n">
        <x:v>6400</x:v>
      </x:c>
      <x:c r="G157" s="8" t="n">
        <x:v>1725</x:v>
      </x:c>
      <x:c r="H157" s="8" t="n">
        <x:v>2.48</x:v>
      </x:c>
      <x:c r="I157" s="8" t="n">
        <x:v>1.98</x:v>
      </x:c>
      <x:c r="J157" s="8" t="n">
        <x:v>100</x:v>
      </x:c>
      <x:c r="K157" s="8" t="n">
        <x:v>1.47</x:v>
      </x:c>
      <x:c r="L157" s="8" t="n">
        <x:v>3400</x:v>
      </x:c>
      <x:c r="M157" s="8" t="n">
        <x:v>3000</x:v>
      </x:c>
      <x:c r="N157" s="8" t="n">
        <x:v>0</x:v>
      </x:c>
      <x:c r="O157" s="8" t="n">
        <x:v>1</x:v>
      </x:c>
      <x:c r="P157" s="8" t="n">
        <x:v>1.69</x:v>
      </x:c>
      <x:c r="Q157" s="9" t="n">
        <x:v>158.72</x:v>
      </x:c>
      <x:c r="R157" s="1" t="str">
        <x:v>Classified</x:v>
      </x:c>
      <x:c r="S157" s="1" t="str">
        <x:v>Plastic Product Information.csv</x:v>
      </x:c>
    </x:row>
    <x:row r="158" ht="21" customHeight="1">
      <x:c r="A158" s="1" t="str">
        <x:v>PLAS</x:v>
      </x:c>
      <x:c r="B158" s="1" t="str">
        <x:v>10</x:v>
      </x:c>
      <x:c r="C158" s="1" t="str">
        <x:v>05821RWBBLK</x:v>
      </x:c>
      <x:c r="D158" s="1" t="str">
        <x:v>GOLDEN CHAMPION IND. LIMITED</x:v>
      </x:c>
      <x:c r="E158" s="7" t="n">
        <x:v>46303</x:v>
      </x:c>
      <x:c r="F158" s="8" t="n">
        <x:v>26550</x:v>
      </x:c>
      <x:c r="G158" s="8" t="n">
        <x:v>1701.67</x:v>
      </x:c>
      <x:c r="H158" s="8" t="n">
        <x:v>4.41</x:v>
      </x:c>
      <x:c r="I158" s="8" t="n">
        <x:v>3.51</x:v>
      </x:c>
      <x:c r="J158" s="8" t="n">
        <x:v>100</x:v>
      </x:c>
      <x:c r="K158" s="8" t="n">
        <x:v>1.47</x:v>
      </x:c>
      <x:c r="L158" s="8" t="n">
        <x:v>26550</x:v>
      </x:c>
      <x:c r="M158" s="8" t="n">
        <x:v>0</x:v>
      </x:c>
      <x:c r="N158" s="8" t="n">
        <x:v>0</x:v>
      </x:c>
      <x:c r="O158" s="8" t="n">
        <x:v>1</x:v>
      </x:c>
      <x:c r="P158" s="8" t="n">
        <x:v>3</x:v>
      </x:c>
      <x:c r="Q158" s="9" t="n">
        <x:v>1170.855</x:v>
      </x:c>
      <x:c r="R158" s="1" t="str">
        <x:v>Classified</x:v>
      </x:c>
      <x:c r="S158" s="1" t="str">
        <x:v>Plastic Product Information.csv</x:v>
      </x:c>
    </x:row>
    <x:row r="159" ht="21" customHeight="1">
      <x:c r="A159" s="1" t="str">
        <x:v>PLAS</x:v>
      </x:c>
      <x:c r="B159" s="1" t="str">
        <x:v>30</x:v>
      </x:c>
      <x:c r="C159" s="1" t="str">
        <x:v>91619RWBBLK</x:v>
      </x:c>
      <x:c r="D159" s="1" t="str">
        <x:v>GOLDEN CHAMPION IND. LIMITED</x:v>
      </x:c>
      <x:c r="E159" s="7" t="n">
        <x:v>46303</x:v>
      </x:c>
      <x:c r="F159" s="8" t="n">
        <x:v>7500</x:v>
      </x:c>
      <x:c r="G159" s="8" t="n">
        <x:v>1683.33</x:v>
      </x:c>
      <x:c r="H159" s="8" t="n">
        <x:v>4.28</x:v>
      </x:c>
      <x:c r="I159" s="8" t="n">
        <x:v>3.4</x:v>
      </x:c>
      <x:c r="J159" s="8" t="n">
        <x:v>100</x:v>
      </x:c>
      <x:c r="K159" s="8" t="n">
        <x:v>1.47</x:v>
      </x:c>
      <x:c r="L159" s="8" t="n">
        <x:v>0</x:v>
      </x:c>
      <x:c r="M159" s="8" t="n">
        <x:v>0</x:v>
      </x:c>
      <x:c r="N159" s="8" t="n">
        <x:v>7500</x:v>
      </x:c>
      <x:c r="O159" s="8" t="n">
        <x:v>0</x:v>
      </x:c>
      <x:c r="P159" s="8" t="n">
        <x:v>2.91</x:v>
      </x:c>
      <x:c r="Q159" s="9" t="n">
        <x:v>321.00000000000006</x:v>
      </x:c>
      <x:c r="R159" s="1" t="str">
        <x:v>Review receipt reconciliation or original PO baseline</x:v>
      </x:c>
      <x:c r="S159" s="1" t="str">
        <x:v>Plastic Product Information.csv</x:v>
      </x:c>
    </x:row>
    <x:row r="160" ht="21" customHeight="1">
      <x:c r="A160" s="1" t="str">
        <x:v>PLAS</x:v>
      </x:c>
      <x:c r="B160" s="1" t="str">
        <x:v>60</x:v>
      </x:c>
      <x:c r="C160" s="1" t="str">
        <x:v>03419RWBWHT</x:v>
      </x:c>
      <x:c r="D160" s="1" t="str">
        <x:v>GOLDEN CHAMPION IND. LIMITED</x:v>
      </x:c>
      <x:c r="E160" s="7" t="n">
        <x:v>46303</x:v>
      </x:c>
      <x:c r="F160" s="8" t="n">
        <x:v>3100</x:v>
      </x:c>
      <x:c r="G160" s="8" t="n">
        <x:v>1683.33</x:v>
      </x:c>
      <x:c r="H160" s="8" t="n">
        <x:v>6.25</x:v>
      </x:c>
      <x:c r="I160" s="8" t="n">
        <x:v>4.97</x:v>
      </x:c>
      <x:c r="J160" s="8" t="n">
        <x:v>100</x:v>
      </x:c>
      <x:c r="K160" s="8" t="n">
        <x:v>1.47</x:v>
      </x:c>
      <x:c r="L160" s="8" t="n">
        <x:v>0</x:v>
      </x:c>
      <x:c r="M160" s="8" t="n">
        <x:v>0</x:v>
      </x:c>
      <x:c r="N160" s="8" t="n">
        <x:v>3100</x:v>
      </x:c>
      <x:c r="O160" s="8" t="n">
        <x:v>0</x:v>
      </x:c>
      <x:c r="P160" s="8" t="n">
        <x:v>4.25</x:v>
      </x:c>
      <x:c r="Q160" s="9" t="n">
        <x:v>193.75</x:v>
      </x:c>
      <x:c r="R160" s="1" t="str">
        <x:v>Review receipt reconciliation or original PO baseline</x:v>
      </x:c>
      <x:c r="S160" s="1" t="str">
        <x:v>Plastic Product Information.csv</x:v>
      </x:c>
    </x:row>
    <x:row r="161" ht="21" customHeight="1">
      <x:c r="A161" s="1" t="str">
        <x:v>PLAS</x:v>
      </x:c>
      <x:c r="B161" s="1" t="str">
        <x:v>10</x:v>
      </x:c>
      <x:c r="C161" s="1" t="str">
        <x:v>03819RWBMAR</x:v>
      </x:c>
      <x:c r="D161" s="1" t="str">
        <x:v>GOLDEN CHAMPION IND. LIMITED</x:v>
      </x:c>
      <x:c r="E161" s="7" t="n">
        <x:v>46303</x:v>
      </x:c>
      <x:c r="F161" s="8" t="n">
        <x:v>0</x:v>
      </x:c>
      <x:c r="G161" s="8" t="n">
        <x:v>1669.17</x:v>
      </x:c>
      <x:c r="H161" s="8" t="n">
        <x:v>2.48</x:v>
      </x:c>
      <x:c r="I161" s="8" t="n">
        <x:v>1.98</x:v>
      </x:c>
      <x:c r="J161" s="8" t="n">
        <x:v>100</x:v>
      </x:c>
      <x:c r="K161" s="8" t="n">
        <x:v>1.47</x:v>
      </x:c>
      <x:c r="L161" s="8" t="n">
        <x:v>0</x:v>
      </x:c>
      <x:c r="M161" s="8" t="n">
        <x:v>0</x:v>
      </x:c>
      <x:c r="N161" s="8" t="n">
        <x:v>0</x:v>
      </x:c>
      <x:c r="O161" s="8" t="n">
        <x:v>1</x:v>
      </x:c>
      <x:c r="P161" s="8" t="n">
        <x:v>1.69</x:v>
      </x:c>
      <x:c r="Q161" s="9" t="n">
        <x:v>0</x:v>
      </x:c>
      <x:c r="R161" s="1" t="str">
        <x:v>Classified</x:v>
      </x:c>
      <x:c r="S161" s="1" t="str">
        <x:v>Plastic Product Information.csv</x:v>
      </x:c>
    </x:row>
    <x:row r="162" ht="21" customHeight="1">
      <x:c r="A162" s="1" t="str">
        <x:v>PLAS</x:v>
      </x:c>
      <x:c r="B162" s="1" t="str">
        <x:v>30</x:v>
      </x:c>
      <x:c r="C162" s="1" t="str">
        <x:v>07819RWBBLK</x:v>
      </x:c>
      <x:c r="D162" s="1" t="str">
        <x:v>GOLDEN CHAMPION IND. LIMITED</x:v>
      </x:c>
      <x:c r="E162" s="7" t="n">
        <x:v>46303</x:v>
      </x:c>
      <x:c r="F162" s="8" t="n">
        <x:v>3100</x:v>
      </x:c>
      <x:c r="G162" s="8" t="n">
        <x:v>1616.67</x:v>
      </x:c>
      <x:c r="H162" s="8" t="n">
        <x:v>7.97</x:v>
      </x:c>
      <x:c r="I162" s="8" t="n">
        <x:v>6.34</x:v>
      </x:c>
      <x:c r="J162" s="8" t="n">
        <x:v>100</x:v>
      </x:c>
      <x:c r="K162" s="8" t="n">
        <x:v>1.47</x:v>
      </x:c>
      <x:c r="L162" s="8" t="n">
        <x:v>0</x:v>
      </x:c>
      <x:c r="M162" s="8" t="n">
        <x:v>0</x:v>
      </x:c>
      <x:c r="N162" s="8" t="n">
        <x:v>3100</x:v>
      </x:c>
      <x:c r="O162" s="8" t="n">
        <x:v>0</x:v>
      </x:c>
      <x:c r="P162" s="8" t="n">
        <x:v>5.42</x:v>
      </x:c>
      <x:c r="Q162" s="9" t="n">
        <x:v>247.07</x:v>
      </x:c>
      <x:c r="R162" s="1" t="str">
        <x:v>Review receipt reconciliation or original PO baseline</x:v>
      </x:c>
      <x:c r="S162" s="1" t="str">
        <x:v>Plastic Product Information.csv</x:v>
      </x:c>
    </x:row>
    <x:row r="163" ht="21" customHeight="1">
      <x:c r="A163" s="1" t="str">
        <x:v>PLAS</x:v>
      </x:c>
      <x:c r="B163" s="1" t="str">
        <x:v>60</x:v>
      </x:c>
      <x:c r="C163" s="1" t="str">
        <x:v>71619RWBNAV</x:v>
      </x:c>
      <x:c r="D163" s="1" t="str">
        <x:v>GOLDEN CHAMPION IND. LIMITED</x:v>
      </x:c>
      <x:c r="E163" s="7" t="n">
        <x:v>46303</x:v>
      </x:c>
      <x:c r="F163" s="8" t="n">
        <x:v>1500</x:v>
      </x:c>
      <x:c r="G163" s="8" t="n">
        <x:v>1516.67</x:v>
      </x:c>
      <x:c r="H163" s="8" t="n">
        <x:v>3.15</x:v>
      </x:c>
      <x:c r="I163" s="8" t="n">
        <x:v>2.5</x:v>
      </x:c>
      <x:c r="J163" s="8" t="n">
        <x:v>100</x:v>
      </x:c>
      <x:c r="K163" s="8" t="n">
        <x:v>1.47</x:v>
      </x:c>
      <x:c r="L163" s="8" t="n">
        <x:v>0</x:v>
      </x:c>
      <x:c r="M163" s="8" t="n">
        <x:v>0</x:v>
      </x:c>
      <x:c r="N163" s="8" t="n">
        <x:v>1500</x:v>
      </x:c>
      <x:c r="O163" s="8" t="n">
        <x:v>0</x:v>
      </x:c>
      <x:c r="P163" s="8" t="n">
        <x:v>2.14</x:v>
      </x:c>
      <x:c r="Q163" s="9" t="n">
        <x:v>47.25</x:v>
      </x:c>
      <x:c r="R163" s="1" t="str">
        <x:v>Review receipt reconciliation or original PO baseline</x:v>
      </x:c>
      <x:c r="S163" s="1" t="str">
        <x:v>Plastic Product Information.csv</x:v>
      </x:c>
    </x:row>
    <x:row r="164" ht="21" customHeight="1">
      <x:c r="A164" s="1" t="str">
        <x:v>PLAS</x:v>
      </x:c>
      <x:c r="B164" s="1" t="str">
        <x:v>60</x:v>
      </x:c>
      <x:c r="C164" s="1" t="str">
        <x:v>51619RWBNAV</x:v>
      </x:c>
      <x:c r="D164" s="1" t="str">
        <x:v>GOLDEN CHAMPION IND. LIMITED</x:v>
      </x:c>
      <x:c r="E164" s="7" t="n">
        <x:v>46303</x:v>
      </x:c>
      <x:c r="F164" s="8" t="n">
        <x:v>700</x:v>
      </x:c>
      <x:c r="G164" s="8" t="n">
        <x:v>1466.67</x:v>
      </x:c>
      <x:c r="H164" s="8" t="n">
        <x:v>2.16</x:v>
      </x:c>
      <x:c r="I164" s="8" t="n">
        <x:v>1.72</x:v>
      </x:c>
      <x:c r="J164" s="8" t="n">
        <x:v>100</x:v>
      </x:c>
      <x:c r="K164" s="8" t="n">
        <x:v>1.47</x:v>
      </x:c>
      <x:c r="L164" s="8" t="n">
        <x:v>0</x:v>
      </x:c>
      <x:c r="M164" s="8" t="n">
        <x:v>0</x:v>
      </x:c>
      <x:c r="N164" s="8" t="n">
        <x:v>700</x:v>
      </x:c>
      <x:c r="O164" s="8" t="n">
        <x:v>0</x:v>
      </x:c>
      <x:c r="P164" s="8" t="n">
        <x:v>1.47</x:v>
      </x:c>
      <x:c r="Q164" s="9" t="n">
        <x:v>15.120000000000001</x:v>
      </x:c>
      <x:c r="R164" s="1" t="str">
        <x:v>Review receipt reconciliation or original PO baseline</x:v>
      </x:c>
      <x:c r="S164" s="1" t="str">
        <x:v>Plastic Product Information.csv</x:v>
      </x:c>
    </x:row>
    <x:row r="165" ht="21" customHeight="1">
      <x:c r="A165" s="1" t="str">
        <x:v>PLAS</x:v>
      </x:c>
      <x:c r="B165" s="1" t="str">
        <x:v>10</x:v>
      </x:c>
      <x:c r="C165" s="1" t="str">
        <x:v>05819RWBWHT</x:v>
      </x:c>
      <x:c r="D165" s="1" t="str">
        <x:v>GOLDEN CHAMPION IND. LIMITED</x:v>
      </x:c>
      <x:c r="E165" s="7" t="n">
        <x:v>46303</x:v>
      </x:c>
      <x:c r="F165" s="8" t="n">
        <x:v>19569</x:v>
      </x:c>
      <x:c r="G165" s="8" t="n">
        <x:v>1445.08</x:v>
      </x:c>
      <x:c r="H165" s="8" t="n">
        <x:v>4.56</x:v>
      </x:c>
      <x:c r="I165" s="8" t="n">
        <x:v>3.63</x:v>
      </x:c>
      <x:c r="J165" s="8" t="n">
        <x:v>100</x:v>
      </x:c>
      <x:c r="K165" s="8" t="n">
        <x:v>1.47</x:v>
      </x:c>
      <x:c r="L165" s="8" t="n">
        <x:v>15569</x:v>
      </x:c>
      <x:c r="M165" s="8" t="n">
        <x:v>4000</x:v>
      </x:c>
      <x:c r="N165" s="8" t="n">
        <x:v>0</x:v>
      </x:c>
      <x:c r="O165" s="8" t="n">
        <x:v>1</x:v>
      </x:c>
      <x:c r="P165" s="8" t="n">
        <x:v>3.1</x:v>
      </x:c>
      <x:c r="Q165" s="9" t="n">
        <x:v>892.3464</x:v>
      </x:c>
      <x:c r="R165" s="1" t="str">
        <x:v>Classified</x:v>
      </x:c>
      <x:c r="S165" s="1" t="str">
        <x:v>Plastic Product Information.csv</x:v>
      </x:c>
    </x:row>
    <x:row r="166" ht="21" customHeight="1">
      <x:c r="A166" s="1" t="str">
        <x:v>PLAS</x:v>
      </x:c>
      <x:c r="B166" s="1" t="str">
        <x:v>10</x:v>
      </x:c>
      <x:c r="C166" s="1" t="str">
        <x:v>01219RWBBLU</x:v>
      </x:c>
      <x:c r="D166" s="1" t="str">
        <x:v>GOLDEN CHAMPION IND. LIMITED</x:v>
      </x:c>
      <x:c r="E166" s="7" t="n">
        <x:v>46303</x:v>
      </x:c>
      <x:c r="F166" s="8" t="n">
        <x:v>1700</x:v>
      </x:c>
      <x:c r="G166" s="8" t="n">
        <x:v>1424.99</x:v>
      </x:c>
      <x:c r="H166" s="8" t="n">
        <x:v>3.6</x:v>
      </x:c>
      <x:c r="I166" s="8" t="n">
        <x:v>2.87</x:v>
      </x:c>
      <x:c r="J166" s="8" t="n">
        <x:v>100</x:v>
      </x:c>
      <x:c r="K166" s="8" t="n">
        <x:v>1.47</x:v>
      </x:c>
      <x:c r="L166" s="8" t="n">
        <x:v>0</x:v>
      </x:c>
      <x:c r="M166" s="8" t="n">
        <x:v>1700</x:v>
      </x:c>
      <x:c r="N166" s="8" t="n">
        <x:v>0</x:v>
      </x:c>
      <x:c r="O166" s="8" t="n">
        <x:v>1</x:v>
      </x:c>
      <x:c r="P166" s="8" t="n">
        <x:v>2.45</x:v>
      </x:c>
      <x:c r="Q166" s="9" t="n">
        <x:v>61.2</x:v>
      </x:c>
      <x:c r="R166" s="1" t="str">
        <x:v>Classified</x:v>
      </x:c>
      <x:c r="S166" s="1" t="str">
        <x:v>Plastic Product Information.csv</x:v>
      </x:c>
    </x:row>
    <x:row r="167" ht="21" customHeight="1">
      <x:c r="A167" s="1" t="str">
        <x:v>PLAS</x:v>
      </x:c>
      <x:c r="B167" s="1" t="str">
        <x:v>10</x:v>
      </x:c>
      <x:c r="C167" s="1" t="str">
        <x:v>00119RWBNAV</x:v>
      </x:c>
      <x:c r="D167" s="1" t="str">
        <x:v>GOLDEN CHAMPION IND. LIMITED</x:v>
      </x:c>
      <x:c r="E167" s="7" t="n">
        <x:v>46303</x:v>
      </x:c>
      <x:c r="F167" s="8" t="n">
        <x:v>2700</x:v>
      </x:c>
      <x:c r="G167" s="8" t="n">
        <x:v>1389.08</x:v>
      </x:c>
      <x:c r="H167" s="8" t="n">
        <x:v>10.54</x:v>
      </x:c>
      <x:c r="I167" s="8" t="n">
        <x:v>8.39</x:v>
      </x:c>
      <x:c r="J167" s="8" t="n">
        <x:v>100</x:v>
      </x:c>
      <x:c r="K167" s="8" t="n">
        <x:v>1.47</x:v>
      </x:c>
      <x:c r="L167" s="8" t="n">
        <x:v>0</x:v>
      </x:c>
      <x:c r="M167" s="8" t="n">
        <x:v>2700</x:v>
      </x:c>
      <x:c r="N167" s="8" t="n">
        <x:v>0</x:v>
      </x:c>
      <x:c r="O167" s="8" t="n">
        <x:v>1</x:v>
      </x:c>
      <x:c r="P167" s="8" t="n">
        <x:v>7.17</x:v>
      </x:c>
      <x:c r="Q167" s="9" t="n">
        <x:v>284.58</x:v>
      </x:c>
      <x:c r="R167" s="1" t="str">
        <x:v>Classified</x:v>
      </x:c>
      <x:c r="S167" s="1" t="str">
        <x:v>Plastic Product Information.csv</x:v>
      </x:c>
    </x:row>
    <x:row r="168" ht="21" customHeight="1">
      <x:c r="A168" s="1" t="str">
        <x:v>PLAS</x:v>
      </x:c>
      <x:c r="B168" s="1" t="str">
        <x:v>60</x:v>
      </x:c>
      <x:c r="C168" s="1" t="str">
        <x:v>01419RWBNAV</x:v>
      </x:c>
      <x:c r="D168" s="1" t="str">
        <x:v>GOLDEN CHAMPION IND. LIMITED</x:v>
      </x:c>
      <x:c r="E168" s="7" t="n">
        <x:v>46303</x:v>
      </x:c>
      <x:c r="F168" s="8" t="n">
        <x:v>700</x:v>
      </x:c>
      <x:c r="G168" s="8" t="n">
        <x:v>1383.33</x:v>
      </x:c>
      <x:c r="H168" s="8" t="n">
        <x:v>1.81</x:v>
      </x:c>
      <x:c r="I168" s="8" t="n">
        <x:v>1.44</x:v>
      </x:c>
      <x:c r="J168" s="8" t="n">
        <x:v>100</x:v>
      </x:c>
      <x:c r="K168" s="8" t="n">
        <x:v>1.47</x:v>
      </x:c>
      <x:c r="L168" s="8" t="n">
        <x:v>0</x:v>
      </x:c>
      <x:c r="M168" s="8" t="n">
        <x:v>0</x:v>
      </x:c>
      <x:c r="N168" s="8" t="n">
        <x:v>700</x:v>
      </x:c>
      <x:c r="O168" s="8" t="n">
        <x:v>0</x:v>
      </x:c>
      <x:c r="P168" s="8" t="n">
        <x:v>1.23</x:v>
      </x:c>
      <x:c r="Q168" s="9" t="n">
        <x:v>12.67</x:v>
      </x:c>
      <x:c r="R168" s="1" t="str">
        <x:v>Review receipt reconciliation or original PO baseline</x:v>
      </x:c>
      <x:c r="S168" s="1" t="str">
        <x:v>Plastic Product Information.csv</x:v>
      </x:c>
    </x:row>
    <x:row r="169" ht="21" customHeight="1">
      <x:c r="A169" s="1" t="str">
        <x:v>PLAS</x:v>
      </x:c>
      <x:c r="B169" s="1" t="str">
        <x:v>30</x:v>
      </x:c>
      <x:c r="C169" s="1" t="str">
        <x:v>00119RWBBLK</x:v>
      </x:c>
      <x:c r="D169" s="1" t="str">
        <x:v>GOLDEN CHAMPION IND. LIMITED</x:v>
      </x:c>
      <x:c r="E169" s="7" t="n">
        <x:v>46303</x:v>
      </x:c>
      <x:c r="F169" s="8" t="n">
        <x:v>1050</x:v>
      </x:c>
      <x:c r="G169" s="8" t="n">
        <x:v>1308.33</x:v>
      </x:c>
      <x:c r="H169" s="8" t="n">
        <x:v>10.54</x:v>
      </x:c>
      <x:c r="I169" s="8" t="n">
        <x:v>8.39</x:v>
      </x:c>
      <x:c r="J169" s="8" t="n">
        <x:v>100</x:v>
      </x:c>
      <x:c r="K169" s="8" t="n">
        <x:v>1.47</x:v>
      </x:c>
      <x:c r="L169" s="8" t="n">
        <x:v>0</x:v>
      </x:c>
      <x:c r="M169" s="8" t="n">
        <x:v>0</x:v>
      </x:c>
      <x:c r="N169" s="8" t="n">
        <x:v>1050</x:v>
      </x:c>
      <x:c r="O169" s="8" t="n">
        <x:v>0</x:v>
      </x:c>
      <x:c r="P169" s="8" t="n">
        <x:v>7.17</x:v>
      </x:c>
      <x:c r="Q169" s="9" t="n">
        <x:v>110.67</x:v>
      </x:c>
      <x:c r="R169" s="1" t="str">
        <x:v>Review receipt reconciliation or original PO baseline</x:v>
      </x:c>
      <x:c r="S169" s="1" t="str">
        <x:v>Plastic Product Information.csv</x:v>
      </x:c>
    </x:row>
    <x:row r="170" ht="21" customHeight="1">
      <x:c r="A170" s="1" t="str">
        <x:v>PLAS</x:v>
      </x:c>
      <x:c r="B170" s="1" t="str">
        <x:v>10</x:v>
      </x:c>
      <x:c r="C170" s="1" t="str">
        <x:v>01219RWBCLR</x:v>
      </x:c>
      <x:c r="D170" s="1" t="str">
        <x:v>GOLDEN CHAMPION IND. LIMITED</x:v>
      </x:c>
      <x:c r="E170" s="7" t="n">
        <x:v>46303</x:v>
      </x:c>
      <x:c r="F170" s="8" t="n">
        <x:v>8100</x:v>
      </x:c>
      <x:c r="G170" s="8" t="n">
        <x:v>1166.67</x:v>
      </x:c>
      <x:c r="H170" s="8" t="n">
        <x:v>3.6</x:v>
      </x:c>
      <x:c r="I170" s="8" t="n">
        <x:v>2.87</x:v>
      </x:c>
      <x:c r="J170" s="8" t="n">
        <x:v>100</x:v>
      </x:c>
      <x:c r="K170" s="8" t="n">
        <x:v>1.47</x:v>
      </x:c>
      <x:c r="L170" s="8" t="n">
        <x:v>5100</x:v>
      </x:c>
      <x:c r="M170" s="8" t="n">
        <x:v>3000</x:v>
      </x:c>
      <x:c r="N170" s="8" t="n">
        <x:v>0</x:v>
      </x:c>
      <x:c r="O170" s="8" t="n">
        <x:v>1</x:v>
      </x:c>
      <x:c r="P170" s="8" t="n">
        <x:v>2.45</x:v>
      </x:c>
      <x:c r="Q170" s="9" t="n">
        <x:v>291.6</x:v>
      </x:c>
      <x:c r="R170" s="1" t="str">
        <x:v>Classified</x:v>
      </x:c>
      <x:c r="S170" s="1" t="str">
        <x:v>Plastic Product Information.csv</x:v>
      </x:c>
    </x:row>
    <x:row r="171" ht="21" customHeight="1">
      <x:c r="A171" s="1" t="str">
        <x:v>PLAS</x:v>
      </x:c>
      <x:c r="B171" s="1" t="str">
        <x:v>60</x:v>
      </x:c>
      <x:c r="C171" s="1" t="str">
        <x:v>71619RWBWHT</x:v>
      </x:c>
      <x:c r="D171" s="1" t="str">
        <x:v>GOLDEN CHAMPION IND. LIMITED</x:v>
      </x:c>
      <x:c r="E171" s="7" t="n">
        <x:v>46303</x:v>
      </x:c>
      <x:c r="F171" s="8" t="n">
        <x:v>2600</x:v>
      </x:c>
      <x:c r="G171" s="8" t="n">
        <x:v>1150</x:v>
      </x:c>
      <x:c r="H171" s="8" t="n">
        <x:v>3.15</x:v>
      </x:c>
      <x:c r="I171" s="8" t="n">
        <x:v>2.5</x:v>
      </x:c>
      <x:c r="J171" s="8" t="n">
        <x:v>100</x:v>
      </x:c>
      <x:c r="K171" s="8" t="n">
        <x:v>1.47</x:v>
      </x:c>
      <x:c r="L171" s="8" t="n">
        <x:v>0</x:v>
      </x:c>
      <x:c r="M171" s="8" t="n">
        <x:v>0</x:v>
      </x:c>
      <x:c r="N171" s="8" t="n">
        <x:v>2600</x:v>
      </x:c>
      <x:c r="O171" s="8" t="n">
        <x:v>0</x:v>
      </x:c>
      <x:c r="P171" s="8" t="n">
        <x:v>2.14</x:v>
      </x:c>
      <x:c r="Q171" s="9" t="n">
        <x:v>81.9</x:v>
      </x:c>
      <x:c r="R171" s="1" t="str">
        <x:v>Review receipt reconciliation or original PO baseline</x:v>
      </x:c>
      <x:c r="S171" s="1" t="str">
        <x:v>Plastic Product Information.csv</x:v>
      </x:c>
    </x:row>
    <x:row r="172" ht="21" customHeight="1">
      <x:c r="A172" s="1" t="str">
        <x:v>PLAS</x:v>
      </x:c>
      <x:c r="B172" s="1" t="str">
        <x:v>10</x:v>
      </x:c>
      <x:c r="C172" s="1" t="str">
        <x:v>03819RWBRED</x:v>
      </x:c>
      <x:c r="D172" s="1" t="str">
        <x:v>GOLDEN CHAMPION IND. LIMITED</x:v>
      </x:c>
      <x:c r="E172" s="7" t="n">
        <x:v>46303</x:v>
      </x:c>
      <x:c r="F172" s="8" t="n">
        <x:v>5100</x:v>
      </x:c>
      <x:c r="G172" s="8" t="n">
        <x:v>1108.34</x:v>
      </x:c>
      <x:c r="H172" s="8" t="n">
        <x:v>2.48</x:v>
      </x:c>
      <x:c r="I172" s="8" t="n">
        <x:v>1.98</x:v>
      </x:c>
      <x:c r="J172" s="8" t="n">
        <x:v>100</x:v>
      </x:c>
      <x:c r="K172" s="8" t="n">
        <x:v>1.47</x:v>
      </x:c>
      <x:c r="L172" s="8" t="n">
        <x:v>0</x:v>
      </x:c>
      <x:c r="M172" s="8" t="n">
        <x:v>5100</x:v>
      </x:c>
      <x:c r="N172" s="8" t="n">
        <x:v>0</x:v>
      </x:c>
      <x:c r="O172" s="8" t="n">
        <x:v>1</x:v>
      </x:c>
      <x:c r="P172" s="8" t="n">
        <x:v>1.69</x:v>
      </x:c>
      <x:c r="Q172" s="9" t="n">
        <x:v>126.48</x:v>
      </x:c>
      <x:c r="R172" s="1" t="str">
        <x:v>Classified</x:v>
      </x:c>
      <x:c r="S172" s="1" t="str">
        <x:v>Plastic Product Information.csv</x:v>
      </x:c>
    </x:row>
    <x:row r="173" ht="21" customHeight="1">
      <x:c r="A173" s="1" t="str">
        <x:v>PLAS</x:v>
      </x:c>
      <x:c r="B173" s="1" t="str">
        <x:v>10</x:v>
      </x:c>
      <x:c r="C173" s="1" t="str">
        <x:v>51619RWBMAR</x:v>
      </x:c>
      <x:c r="D173" s="1" t="str">
        <x:v>GOLDEN CHAMPION IND. LIMITED</x:v>
      </x:c>
      <x:c r="E173" s="7" t="n">
        <x:v>46303</x:v>
      </x:c>
      <x:c r="F173" s="8" t="n">
        <x:v>2900</x:v>
      </x:c>
      <x:c r="G173" s="8" t="n">
        <x:v>1108.34</x:v>
      </x:c>
      <x:c r="H173" s="8" t="n">
        <x:v>2.16</x:v>
      </x:c>
      <x:c r="I173" s="8" t="n">
        <x:v>1.72</x:v>
      </x:c>
      <x:c r="J173" s="8" t="n">
        <x:v>100</x:v>
      </x:c>
      <x:c r="K173" s="8" t="n">
        <x:v>1.47</x:v>
      </x:c>
      <x:c r="L173" s="8" t="n">
        <x:v>0</x:v>
      </x:c>
      <x:c r="M173" s="8" t="n">
        <x:v>2900</x:v>
      </x:c>
      <x:c r="N173" s="8" t="n">
        <x:v>0</x:v>
      </x:c>
      <x:c r="O173" s="8" t="n">
        <x:v>1</x:v>
      </x:c>
      <x:c r="P173" s="8" t="n">
        <x:v>1.47</x:v>
      </x:c>
      <x:c r="Q173" s="9" t="n">
        <x:v>62.64</x:v>
      </x:c>
      <x:c r="R173" s="1" t="str">
        <x:v>Classified</x:v>
      </x:c>
      <x:c r="S173" s="1" t="str">
        <x:v>Plastic Product Information.csv</x:v>
      </x:c>
    </x:row>
    <x:row r="174" ht="21" customHeight="1">
      <x:c r="A174" s="1" t="str">
        <x:v>PLAS</x:v>
      </x:c>
      <x:c r="B174" s="1" t="str">
        <x:v>10</x:v>
      </x:c>
      <x:c r="C174" s="1" t="str">
        <x:v>01215RWBNAV</x:v>
      </x:c>
      <x:c r="D174" s="1" t="str">
        <x:v>GOLDEN CHAMPION IND. LIMITED</x:v>
      </x:c>
      <x:c r="E174" s="7" t="n">
        <x:v>46303</x:v>
      </x:c>
      <x:c r="F174" s="8" t="n">
        <x:v>8800</x:v>
      </x:c>
      <x:c r="G174" s="8" t="n">
        <x:v>1100</x:v>
      </x:c>
      <x:c r="H174" s="8" t="n">
        <x:v>2.5</x:v>
      </x:c>
      <x:c r="I174" s="8" t="n">
        <x:v>1.99</x:v>
      </x:c>
      <x:c r="J174" s="8" t="n">
        <x:v>100</x:v>
      </x:c>
      <x:c r="K174" s="8" t="n">
        <x:v>1.47</x:v>
      </x:c>
      <x:c r="L174" s="8" t="n">
        <x:v>2800</x:v>
      </x:c>
      <x:c r="M174" s="8" t="n">
        <x:v>6000</x:v>
      </x:c>
      <x:c r="N174" s="8" t="n">
        <x:v>0</x:v>
      </x:c>
      <x:c r="O174" s="8" t="n">
        <x:v>1</x:v>
      </x:c>
      <x:c r="P174" s="8" t="n">
        <x:v>1.7</x:v>
      </x:c>
      <x:c r="Q174" s="9" t="n">
        <x:v>220</x:v>
      </x:c>
      <x:c r="R174" s="1" t="str">
        <x:v>Classified</x:v>
      </x:c>
      <x:c r="S174" s="1" t="str">
        <x:v>Plastic Product Information.csv</x:v>
      </x:c>
    </x:row>
    <x:row r="175" ht="21" customHeight="1">
      <x:c r="A175" s="1" t="str">
        <x:v>PLAS</x:v>
      </x:c>
      <x:c r="B175" s="1" t="str">
        <x:v>10</x:v>
      </x:c>
      <x:c r="C175" s="1" t="str">
        <x:v>11821RWBWHT</x:v>
      </x:c>
      <x:c r="D175" s="1" t="str">
        <x:v>GOLDEN CHAMPION IND. LIMITED</x:v>
      </x:c>
      <x:c r="E175" s="7" t="n">
        <x:v>46303</x:v>
      </x:c>
      <x:c r="F175" s="8" t="n">
        <x:v>20473</x:v>
      </x:c>
      <x:c r="G175" s="8" t="n">
        <x:v>1099.17</x:v>
      </x:c>
      <x:c r="H175" s="8" t="n">
        <x:v>12.5</x:v>
      </x:c>
      <x:c r="I175" s="8" t="n">
        <x:v>9.95</x:v>
      </x:c>
      <x:c r="J175" s="8" t="n">
        <x:v>100</x:v>
      </x:c>
      <x:c r="K175" s="8" t="n">
        <x:v>1.47</x:v>
      </x:c>
      <x:c r="L175" s="8" t="n">
        <x:v>20473</x:v>
      </x:c>
      <x:c r="M175" s="8" t="n">
        <x:v>0</x:v>
      </x:c>
      <x:c r="N175" s="8" t="n">
        <x:v>0</x:v>
      </x:c>
      <x:c r="O175" s="8" t="n">
        <x:v>1</x:v>
      </x:c>
      <x:c r="P175" s="8" t="n">
        <x:v>8.5</x:v>
      </x:c>
      <x:c r="Q175" s="9" t="n">
        <x:v>2559.125</x:v>
      </x:c>
      <x:c r="R175" s="1" t="str">
        <x:v>Classified</x:v>
      </x:c>
      <x:c r="S175" s="1" t="str">
        <x:v>Plastic Product Information.csv</x:v>
      </x:c>
    </x:row>
    <x:row r="176" ht="21" customHeight="1">
      <x:c r="A176" s="1" t="str">
        <x:v>PLAS</x:v>
      </x:c>
      <x:c r="B176" s="1" t="str">
        <x:v>60</x:v>
      </x:c>
      <x:c r="C176" s="1" t="str">
        <x:v>01219RWBWHT</x:v>
      </x:c>
      <x:c r="D176" s="1" t="str">
        <x:v>GOLDEN CHAMPION IND. LIMITED</x:v>
      </x:c>
      <x:c r="E176" s="7" t="n">
        <x:v>46303</x:v>
      </x:c>
      <x:c r="F176" s="8" t="n">
        <x:v>22800</x:v>
      </x:c>
      <x:c r="G176" s="8" t="n">
        <x:v>1033.33</x:v>
      </x:c>
      <x:c r="H176" s="8" t="n">
        <x:v>3.6</x:v>
      </x:c>
      <x:c r="I176" s="8" t="n">
        <x:v>2.87</x:v>
      </x:c>
      <x:c r="J176" s="8" t="n">
        <x:v>100</x:v>
      </x:c>
      <x:c r="K176" s="8" t="n">
        <x:v>1.47</x:v>
      </x:c>
      <x:c r="L176" s="8" t="n">
        <x:v>0</x:v>
      </x:c>
      <x:c r="M176" s="8" t="n">
        <x:v>0</x:v>
      </x:c>
      <x:c r="N176" s="8" t="n">
        <x:v>22800</x:v>
      </x:c>
      <x:c r="O176" s="8" t="n">
        <x:v>0</x:v>
      </x:c>
      <x:c r="P176" s="8" t="n">
        <x:v>2.45</x:v>
      </x:c>
      <x:c r="Q176" s="9" t="n">
        <x:v>820.8000000000001</x:v>
      </x:c>
      <x:c r="R176" s="1" t="str">
        <x:v>Review receipt reconciliation or original PO baseline</x:v>
      </x:c>
      <x:c r="S176" s="1" t="str">
        <x:v>Plastic Product Information.csv</x:v>
      </x:c>
    </x:row>
    <x:row r="177" ht="21" customHeight="1">
      <x:c r="A177" s="1" t="str">
        <x:v>PLAS</x:v>
      </x:c>
      <x:c r="B177" s="1" t="str">
        <x:v>60</x:v>
      </x:c>
      <x:c r="C177" s="1" t="str">
        <x:v>00219RSLBLK</x:v>
      </x:c>
      <x:c r="D177" s="1" t="str">
        <x:v>GOLDEN CHAMPION IND. LIMITED</x:v>
      </x:c>
      <x:c r="E177" s="7" t="n">
        <x:v>46303</x:v>
      </x:c>
      <x:c r="F177" s="8" t="n">
        <x:v>160</x:v>
      </x:c>
      <x:c r="G177" s="8" t="n">
        <x:v>1000</x:v>
      </x:c>
      <x:c r="H177" s="8" t="n">
        <x:v>14.77</x:v>
      </x:c>
      <x:c r="I177" s="8" t="n">
        <x:v>11.76</x:v>
      </x:c>
      <x:c r="J177" s="8" t="n">
        <x:v>100</x:v>
      </x:c>
      <x:c r="K177" s="8" t="n">
        <x:v>1.47</x:v>
      </x:c>
      <x:c r="L177" s="8" t="n">
        <x:v>0</x:v>
      </x:c>
      <x:c r="M177" s="8" t="n">
        <x:v>0</x:v>
      </x:c>
      <x:c r="N177" s="8" t="n">
        <x:v>160</x:v>
      </x:c>
      <x:c r="O177" s="8" t="n">
        <x:v>0</x:v>
      </x:c>
      <x:c r="P177" s="8" t="n">
        <x:v>10.05</x:v>
      </x:c>
      <x:c r="Q177" s="9" t="n">
        <x:v>23.631999999999998</x:v>
      </x:c>
      <x:c r="R177" s="1" t="str">
        <x:v>Review receipt reconciliation or original PO baseline</x:v>
      </x:c>
      <x:c r="S177" s="1" t="str">
        <x:v>Plastic Product Information.csv</x:v>
      </x:c>
    </x:row>
    <x:row r="178" ht="21" customHeight="1">
      <x:c r="A178" s="1" t="str">
        <x:v>PLAS</x:v>
      </x:c>
      <x:c r="B178" s="1" t="str">
        <x:v>10</x:v>
      </x:c>
      <x:c r="C178" s="1" t="str">
        <x:v>71619RWBMAR</x:v>
      </x:c>
      <x:c r="D178" s="1" t="str">
        <x:v>GOLDEN CHAMPION IND. LIMITED</x:v>
      </x:c>
      <x:c r="E178" s="7" t="n">
        <x:v>46303</x:v>
      </x:c>
      <x:c r="F178" s="8" t="n">
        <x:v>1100</x:v>
      </x:c>
      <x:c r="G178" s="8" t="n">
        <x:v>983.33</x:v>
      </x:c>
      <x:c r="H178" s="8" t="n">
        <x:v>3.15</x:v>
      </x:c>
      <x:c r="I178" s="8" t="n">
        <x:v>2.5</x:v>
      </x:c>
      <x:c r="J178" s="8" t="n">
        <x:v>100</x:v>
      </x:c>
      <x:c r="K178" s="8" t="n">
        <x:v>1.47</x:v>
      </x:c>
      <x:c r="L178" s="8" t="n">
        <x:v>100</x:v>
      </x:c>
      <x:c r="M178" s="8" t="n">
        <x:v>1000</x:v>
      </x:c>
      <x:c r="N178" s="8" t="n">
        <x:v>0</x:v>
      </x:c>
      <x:c r="O178" s="8" t="n">
        <x:v>1</x:v>
      </x:c>
      <x:c r="P178" s="8" t="n">
        <x:v>2.14</x:v>
      </x:c>
      <x:c r="Q178" s="9" t="n">
        <x:v>34.65</x:v>
      </x:c>
      <x:c r="R178" s="1" t="str">
        <x:v>Classified</x:v>
      </x:c>
      <x:c r="S178" s="1" t="str">
        <x:v>Plastic Product Information.csv</x:v>
      </x:c>
    </x:row>
    <x:row r="179" ht="21" customHeight="1">
      <x:c r="A179" s="1" t="str">
        <x:v>PLAS</x:v>
      </x:c>
      <x:c r="B179" s="1" t="str">
        <x:v>10</x:v>
      </x:c>
      <x:c r="C179" s="1" t="str">
        <x:v>11415ROVBLK</x:v>
      </x:c>
      <x:c r="D179" s="1" t="str">
        <x:v>GOLDEN CHAMPION IND. LIMITED</x:v>
      </x:c>
      <x:c r="E179" s="7" t="n">
        <x:v>46303</x:v>
      </x:c>
      <x:c r="F179" s="8" t="n">
        <x:v>12697</x:v>
      </x:c>
      <x:c r="G179" s="8" t="n">
        <x:v>941.67</x:v>
      </x:c>
      <x:c r="H179" s="8" t="n">
        <x:v>8.83</x:v>
      </x:c>
      <x:c r="I179" s="8" t="n">
        <x:v>7.03</x:v>
      </x:c>
      <x:c r="J179" s="8" t="n">
        <x:v>100</x:v>
      </x:c>
      <x:c r="K179" s="8" t="n">
        <x:v>1.47</x:v>
      </x:c>
      <x:c r="L179" s="8" t="n">
        <x:v>9697</x:v>
      </x:c>
      <x:c r="M179" s="8" t="n">
        <x:v>3000</x:v>
      </x:c>
      <x:c r="N179" s="8" t="n">
        <x:v>0</x:v>
      </x:c>
      <x:c r="O179" s="8" t="n">
        <x:v>1</x:v>
      </x:c>
      <x:c r="P179" s="8" t="n">
        <x:v>6.01</x:v>
      </x:c>
      <x:c r="Q179" s="9" t="n">
        <x:v>1121.1451</x:v>
      </x:c>
      <x:c r="R179" s="1" t="str">
        <x:v>Classified</x:v>
      </x:c>
      <x:c r="S179" s="1" t="str">
        <x:v>Plastic Product Information.csv</x:v>
      </x:c>
    </x:row>
    <x:row r="180" ht="21" customHeight="1">
      <x:c r="A180" s="1" t="str">
        <x:v>PLAS</x:v>
      </x:c>
      <x:c r="B180" s="1" t="str">
        <x:v>10</x:v>
      </x:c>
      <x:c r="C180" s="1" t="str">
        <x:v>03419RWBBLU</x:v>
      </x:c>
      <x:c r="D180" s="1" t="str">
        <x:v>GOLDEN CHAMPION IND. LIMITED</x:v>
      </x:c>
      <x:c r="E180" s="7" t="n">
        <x:v>46303</x:v>
      </x:c>
      <x:c r="F180" s="8" t="n">
        <x:v>2000</x:v>
      </x:c>
      <x:c r="G180" s="8" t="n">
        <x:v>933.34</x:v>
      </x:c>
      <x:c r="H180" s="8" t="n">
        <x:v>6.25</x:v>
      </x:c>
      <x:c r="I180" s="8" t="n">
        <x:v>4.97</x:v>
      </x:c>
      <x:c r="J180" s="8" t="n">
        <x:v>100</x:v>
      </x:c>
      <x:c r="K180" s="8" t="n">
        <x:v>1.47</x:v>
      </x:c>
      <x:c r="L180" s="8" t="n">
        <x:v>0</x:v>
      </x:c>
      <x:c r="M180" s="8" t="n">
        <x:v>2000</x:v>
      </x:c>
      <x:c r="N180" s="8" t="n">
        <x:v>0</x:v>
      </x:c>
      <x:c r="O180" s="8" t="n">
        <x:v>1</x:v>
      </x:c>
      <x:c r="P180" s="8" t="n">
        <x:v>4.25</x:v>
      </x:c>
      <x:c r="Q180" s="9" t="n">
        <x:v>125</x:v>
      </x:c>
      <x:c r="R180" s="1" t="str">
        <x:v>Classified</x:v>
      </x:c>
      <x:c r="S180" s="1" t="str">
        <x:v>Plastic Product Information.csv</x:v>
      </x:c>
    </x:row>
    <x:row r="181" ht="21" customHeight="1">
      <x:c r="A181" s="1" t="str">
        <x:v>PLAS</x:v>
      </x:c>
      <x:c r="B181" s="1" t="str">
        <x:v>10</x:v>
      </x:c>
      <x:c r="C181" s="1" t="str">
        <x:v>01219RWBFG</x:v>
      </x:c>
      <x:c r="D181" s="1" t="str">
        <x:v>GOLDEN CHAMPION IND. LIMITED</x:v>
      </x:c>
      <x:c r="E181" s="7" t="n">
        <x:v>46303</x:v>
      </x:c>
      <x:c r="F181" s="8" t="n">
        <x:v>9800</x:v>
      </x:c>
      <x:c r="G181" s="8" t="n">
        <x:v>933.33</x:v>
      </x:c>
      <x:c r="H181" s="8" t="n">
        <x:v>3.6</x:v>
      </x:c>
      <x:c r="I181" s="8" t="n">
        <x:v>2.87</x:v>
      </x:c>
      <x:c r="J181" s="8" t="n">
        <x:v>100</x:v>
      </x:c>
      <x:c r="K181" s="8" t="n">
        <x:v>1.47</x:v>
      </x:c>
      <x:c r="L181" s="8" t="n">
        <x:v>5800</x:v>
      </x:c>
      <x:c r="M181" s="8" t="n">
        <x:v>4000</x:v>
      </x:c>
      <x:c r="N181" s="8" t="n">
        <x:v>0</x:v>
      </x:c>
      <x:c r="O181" s="8" t="n">
        <x:v>1</x:v>
      </x:c>
      <x:c r="P181" s="8" t="n">
        <x:v>2.45</x:v>
      </x:c>
      <x:c r="Q181" s="9" t="n">
        <x:v>352.8</x:v>
      </x:c>
      <x:c r="R181" s="1" t="str">
        <x:v>Classified</x:v>
      </x:c>
      <x:c r="S181" s="1" t="str">
        <x:v>Plastic Product Information.csv</x:v>
      </x:c>
    </x:row>
    <x:row r="182" ht="21" customHeight="1">
      <x:c r="A182" s="1" t="str">
        <x:v>PLAS</x:v>
      </x:c>
      <x:c r="B182" s="1" t="str">
        <x:v>10</x:v>
      </x:c>
      <x:c r="C182" s="1" t="str">
        <x:v>01219RWBMAR</x:v>
      </x:c>
      <x:c r="D182" s="1" t="str">
        <x:v>GOLDEN CHAMPION IND. LIMITED</x:v>
      </x:c>
      <x:c r="E182" s="7" t="n">
        <x:v>46303</x:v>
      </x:c>
      <x:c r="F182" s="8" t="n">
        <x:v>0</x:v>
      </x:c>
      <x:c r="G182" s="8" t="n">
        <x:v>858.33</x:v>
      </x:c>
      <x:c r="H182" s="8" t="n">
        <x:v>3.6</x:v>
      </x:c>
      <x:c r="I182" s="8" t="n">
        <x:v>2.87</x:v>
      </x:c>
      <x:c r="J182" s="8" t="n">
        <x:v>100</x:v>
      </x:c>
      <x:c r="K182" s="8" t="n">
        <x:v>1.47</x:v>
      </x:c>
      <x:c r="L182" s="8" t="n">
        <x:v>0</x:v>
      </x:c>
      <x:c r="M182" s="8" t="n">
        <x:v>0</x:v>
      </x:c>
      <x:c r="N182" s="8" t="n">
        <x:v>0</x:v>
      </x:c>
      <x:c r="O182" s="8" t="n">
        <x:v>1</x:v>
      </x:c>
      <x:c r="P182" s="8" t="n">
        <x:v>2.45</x:v>
      </x:c>
      <x:c r="Q182" s="9" t="n">
        <x:v>0</x:v>
      </x:c>
      <x:c r="R182" s="1" t="str">
        <x:v>Classified</x:v>
      </x:c>
      <x:c r="S182" s="1" t="str">
        <x:v>Plastic Product Information.csv</x:v>
      </x:c>
    </x:row>
    <x:row r="183" ht="21" customHeight="1">
      <x:c r="A183" s="1" t="str">
        <x:v>PLAS</x:v>
      </x:c>
      <x:c r="B183" s="1" t="str">
        <x:v>10</x:v>
      </x:c>
      <x:c r="C183" s="1" t="str">
        <x:v>01219RWBRED</x:v>
      </x:c>
      <x:c r="D183" s="1" t="str">
        <x:v>GOLDEN CHAMPION IND. LIMITED</x:v>
      </x:c>
      <x:c r="E183" s="7" t="n">
        <x:v>46303</x:v>
      </x:c>
      <x:c r="F183" s="8" t="n">
        <x:v>0</x:v>
      </x:c>
      <x:c r="G183" s="8" t="n">
        <x:v>858.33</x:v>
      </x:c>
      <x:c r="H183" s="8" t="n">
        <x:v>3.6</x:v>
      </x:c>
      <x:c r="I183" s="8" t="n">
        <x:v>2.87</x:v>
      </x:c>
      <x:c r="J183" s="8" t="n">
        <x:v>100</x:v>
      </x:c>
      <x:c r="K183" s="8" t="n">
        <x:v>1.47</x:v>
      </x:c>
      <x:c r="L183" s="8" t="n">
        <x:v>0</x:v>
      </x:c>
      <x:c r="M183" s="8" t="n">
        <x:v>0</x:v>
      </x:c>
      <x:c r="N183" s="8" t="n">
        <x:v>0</x:v>
      </x:c>
      <x:c r="O183" s="8" t="n">
        <x:v>1</x:v>
      </x:c>
      <x:c r="P183" s="8" t="n">
        <x:v>2.45</x:v>
      </x:c>
      <x:c r="Q183" s="9" t="n">
        <x:v>0</x:v>
      </x:c>
      <x:c r="R183" s="1" t="str">
        <x:v>Classified</x:v>
      </x:c>
      <x:c r="S183" s="1" t="str">
        <x:v>Plastic Product Information.csv</x:v>
      </x:c>
    </x:row>
    <x:row r="184" ht="21" customHeight="1">
      <x:c r="A184" s="1" t="str">
        <x:v>PLAS</x:v>
      </x:c>
      <x:c r="B184" s="1" t="str">
        <x:v>30</x:v>
      </x:c>
      <x:c r="C184" s="1" t="str">
        <x:v>11419RSLBLK</x:v>
      </x:c>
      <x:c r="D184" s="1" t="str">
        <x:v>GOLDEN CHAMPION IND. LIMITED</x:v>
      </x:c>
      <x:c r="E184" s="7" t="n">
        <x:v>46303</x:v>
      </x:c>
      <x:c r="F184" s="8" t="n">
        <x:v>6950</x:v>
      </x:c>
      <x:c r="G184" s="8" t="n">
        <x:v>858.33</x:v>
      </x:c>
      <x:c r="H184" s="8" t="n">
        <x:v>11.1</x:v>
      </x:c>
      <x:c r="I184" s="8" t="n">
        <x:v>8.83</x:v>
      </x:c>
      <x:c r="J184" s="8" t="n">
        <x:v>100</x:v>
      </x:c>
      <x:c r="K184" s="8" t="n">
        <x:v>1.47</x:v>
      </x:c>
      <x:c r="L184" s="8" t="n">
        <x:v>0</x:v>
      </x:c>
      <x:c r="M184" s="8" t="n">
        <x:v>0</x:v>
      </x:c>
      <x:c r="N184" s="8" t="n">
        <x:v>6950</x:v>
      </x:c>
      <x:c r="O184" s="8" t="n">
        <x:v>0</x:v>
      </x:c>
      <x:c r="P184" s="8" t="n">
        <x:v>7.55</x:v>
      </x:c>
      <x:c r="Q184" s="9" t="n">
        <x:v>771.45</x:v>
      </x:c>
      <x:c r="R184" s="1" t="str">
        <x:v>Review receipt reconciliation or original PO baseline</x:v>
      </x:c>
      <x:c r="S184" s="1" t="str">
        <x:v>Plastic Product Information.csv</x:v>
      </x:c>
    </x:row>
    <x:row r="185" ht="21" customHeight="1">
      <x:c r="A185" s="1" t="str">
        <x:v>PLAS</x:v>
      </x:c>
      <x:c r="B185" s="1" t="str">
        <x:v>10</x:v>
      </x:c>
      <x:c r="C185" s="1" t="str">
        <x:v>07815RWBBLK</x:v>
      </x:c>
      <x:c r="D185" s="1" t="str">
        <x:v>GOLDEN CHAMPION IND. LIMITED</x:v>
      </x:c>
      <x:c r="E185" s="7" t="n">
        <x:v>46303</x:v>
      </x:c>
      <x:c r="F185" s="8" t="n">
        <x:v>7225</x:v>
      </x:c>
      <x:c r="G185" s="8" t="n">
        <x:v>845</x:v>
      </x:c>
      <x:c r="H185" s="8" t="n">
        <x:v>5.38</x:v>
      </x:c>
      <x:c r="I185" s="8" t="n">
        <x:v>4.28</x:v>
      </x:c>
      <x:c r="J185" s="8" t="n">
        <x:v>100</x:v>
      </x:c>
      <x:c r="K185" s="8" t="n">
        <x:v>1.47</x:v>
      </x:c>
      <x:c r="L185" s="8" t="n">
        <x:v>3225</x:v>
      </x:c>
      <x:c r="M185" s="8" t="n">
        <x:v>4000</x:v>
      </x:c>
      <x:c r="N185" s="8" t="n">
        <x:v>0</x:v>
      </x:c>
      <x:c r="O185" s="8" t="n">
        <x:v>1</x:v>
      </x:c>
      <x:c r="P185" s="8" t="n">
        <x:v>3.66</x:v>
      </x:c>
      <x:c r="Q185" s="9" t="n">
        <x:v>388.705</x:v>
      </x:c>
      <x:c r="R185" s="1" t="str">
        <x:v>Classified</x:v>
      </x:c>
      <x:c r="S185" s="1" t="str">
        <x:v>Plastic Product Information.csv</x:v>
      </x:c>
    </x:row>
    <x:row r="186" ht="21" customHeight="1">
      <x:c r="A186" s="1" t="str">
        <x:v>PLAS</x:v>
      </x:c>
      <x:c r="B186" s="1" t="str">
        <x:v>10</x:v>
      </x:c>
      <x:c r="C186" s="1" t="str">
        <x:v>51619RWBCLR</x:v>
      </x:c>
      <x:c r="D186" s="1" t="str">
        <x:v>GOLDEN CHAMPION IND. LIMITED</x:v>
      </x:c>
      <x:c r="E186" s="7" t="n">
        <x:v>46303</x:v>
      </x:c>
      <x:c r="F186" s="8" t="n">
        <x:v>4600</x:v>
      </x:c>
      <x:c r="G186" s="8" t="n">
        <x:v>841.66</x:v>
      </x:c>
      <x:c r="H186" s="8" t="n">
        <x:v>2.16</x:v>
      </x:c>
      <x:c r="I186" s="8" t="n">
        <x:v>1.72</x:v>
      </x:c>
      <x:c r="J186" s="8" t="n">
        <x:v>100</x:v>
      </x:c>
      <x:c r="K186" s="8" t="n">
        <x:v>1.47</x:v>
      </x:c>
      <x:c r="L186" s="8" t="n">
        <x:v>3600</x:v>
      </x:c>
      <x:c r="M186" s="8" t="n">
        <x:v>1000</x:v>
      </x:c>
      <x:c r="N186" s="8" t="n">
        <x:v>0</x:v>
      </x:c>
      <x:c r="O186" s="8" t="n">
        <x:v>1</x:v>
      </x:c>
      <x:c r="P186" s="8" t="n">
        <x:v>1.47</x:v>
      </x:c>
      <x:c r="Q186" s="9" t="n">
        <x:v>99.36</x:v>
      </x:c>
      <x:c r="R186" s="1" t="str">
        <x:v>Classified</x:v>
      </x:c>
      <x:c r="S186" s="1" t="str">
        <x:v>Plastic Product Information.csv</x:v>
      </x:c>
    </x:row>
    <x:row r="187" ht="21" customHeight="1">
      <x:c r="A187" s="1" t="str">
        <x:v>PLAS</x:v>
      </x:c>
      <x:c r="B187" s="1" t="str">
        <x:v>60</x:v>
      </x:c>
      <x:c r="C187" s="1" t="str">
        <x:v>11819RWBBLK</x:v>
      </x:c>
      <x:c r="D187" s="1" t="str">
        <x:v>GOLDEN CHAMPION IND. LIMITED</x:v>
      </x:c>
      <x:c r="E187" s="7" t="n">
        <x:v>46303</x:v>
      </x:c>
      <x:c r="F187" s="8" t="n">
        <x:v>2400</x:v>
      </x:c>
      <x:c r="G187" s="8" t="n">
        <x:v>825</x:v>
      </x:c>
      <x:c r="H187" s="8" t="n">
        <x:v>13.23</x:v>
      </x:c>
      <x:c r="I187" s="8" t="n">
        <x:v>10.53</x:v>
      </x:c>
      <x:c r="J187" s="8" t="n">
        <x:v>100</x:v>
      </x:c>
      <x:c r="K187" s="8" t="n">
        <x:v>1.47</x:v>
      </x:c>
      <x:c r="L187" s="8" t="n">
        <x:v>0</x:v>
      </x:c>
      <x:c r="M187" s="8" t="n">
        <x:v>0</x:v>
      </x:c>
      <x:c r="N187" s="8" t="n">
        <x:v>2400</x:v>
      </x:c>
      <x:c r="O187" s="8" t="n">
        <x:v>0</x:v>
      </x:c>
      <x:c r="P187" s="8" t="n">
        <x:v>9</x:v>
      </x:c>
      <x:c r="Q187" s="9" t="n">
        <x:v>317.52</x:v>
      </x:c>
      <x:c r="R187" s="1" t="str">
        <x:v>Review receipt reconciliation or original PO baseline</x:v>
      </x:c>
      <x:c r="S187" s="1" t="str">
        <x:v>Plastic Product Information.csv</x:v>
      </x:c>
    </x:row>
    <x:row r="188" ht="21" customHeight="1">
      <x:c r="A188" s="1" t="str">
        <x:v>PLAS</x:v>
      </x:c>
      <x:c r="B188" s="1" t="str">
        <x:v>60</x:v>
      </x:c>
      <x:c r="C188" s="1" t="str">
        <x:v>01419RWBWHT</x:v>
      </x:c>
      <x:c r="D188" s="1" t="str">
        <x:v>GOLDEN CHAMPION IND. LIMITED</x:v>
      </x:c>
      <x:c r="E188" s="7" t="n">
        <x:v>46303</x:v>
      </x:c>
      <x:c r="F188" s="8" t="n">
        <x:v>200</x:v>
      </x:c>
      <x:c r="G188" s="8" t="n">
        <x:v>800</x:v>
      </x:c>
      <x:c r="H188" s="8" t="n">
        <x:v>1.81</x:v>
      </x:c>
      <x:c r="I188" s="8" t="n">
        <x:v>1.44</x:v>
      </x:c>
      <x:c r="J188" s="8" t="n">
        <x:v>100</x:v>
      </x:c>
      <x:c r="K188" s="8" t="n">
        <x:v>1.47</x:v>
      </x:c>
      <x:c r="L188" s="8" t="n">
        <x:v>0</x:v>
      </x:c>
      <x:c r="M188" s="8" t="n">
        <x:v>0</x:v>
      </x:c>
      <x:c r="N188" s="8" t="n">
        <x:v>200</x:v>
      </x:c>
      <x:c r="O188" s="8" t="n">
        <x:v>0</x:v>
      </x:c>
      <x:c r="P188" s="8" t="n">
        <x:v>1.23</x:v>
      </x:c>
      <x:c r="Q188" s="9" t="n">
        <x:v>3.62</x:v>
      </x:c>
      <x:c r="R188" s="1" t="str">
        <x:v>Review receipt reconciliation or original PO baseline</x:v>
      </x:c>
      <x:c r="S188" s="1" t="str">
        <x:v>Plastic Product Information.csv</x:v>
      </x:c>
    </x:row>
    <x:row r="189" ht="21" customHeight="1">
      <x:c r="A189" s="1" t="str">
        <x:v>PLAS</x:v>
      </x:c>
      <x:c r="B189" s="1" t="str">
        <x:v>10</x:v>
      </x:c>
      <x:c r="C189" s="1" t="str">
        <x:v>91615RWBBLK</x:v>
      </x:c>
      <x:c r="D189" s="1" t="str">
        <x:v>GOLDEN CHAMPION IND. LIMITED</x:v>
      </x:c>
      <x:c r="E189" s="7" t="n">
        <x:v>46303</x:v>
      </x:c>
      <x:c r="F189" s="8" t="n">
        <x:v>6682</x:v>
      </x:c>
      <x:c r="G189" s="8" t="n">
        <x:v>791.67</x:v>
      </x:c>
      <x:c r="H189" s="8" t="n">
        <x:v>2.91</x:v>
      </x:c>
      <x:c r="I189" s="8" t="n">
        <x:v>2.32</x:v>
      </x:c>
      <x:c r="J189" s="8" t="n">
        <x:v>100</x:v>
      </x:c>
      <x:c r="K189" s="8" t="n">
        <x:v>1.47</x:v>
      </x:c>
      <x:c r="L189" s="8" t="n">
        <x:v>6682</x:v>
      </x:c>
      <x:c r="M189" s="8" t="n">
        <x:v>0</x:v>
      </x:c>
      <x:c r="N189" s="8" t="n">
        <x:v>0</x:v>
      </x:c>
      <x:c r="O189" s="8" t="n">
        <x:v>1</x:v>
      </x:c>
      <x:c r="P189" s="8" t="n">
        <x:v>1.98</x:v>
      </x:c>
      <x:c r="Q189" s="9" t="n">
        <x:v>194.44620000000003</x:v>
      </x:c>
      <x:c r="R189" s="1" t="str">
        <x:v>Classified</x:v>
      </x:c>
      <x:c r="S189" s="1" t="str">
        <x:v>Plastic Product Information.csv</x:v>
      </x:c>
    </x:row>
    <x:row r="190" ht="21" customHeight="1">
      <x:c r="A190" s="1" t="str">
        <x:v>PLAS</x:v>
      </x:c>
      <x:c r="B190" s="1" t="str">
        <x:v>30</x:v>
      </x:c>
      <x:c r="C190" s="1" t="str">
        <x:v>03419RWBWHT</x:v>
      </x:c>
      <x:c r="D190" s="1" t="str">
        <x:v>GOLDEN CHAMPION IND. LIMITED</x:v>
      </x:c>
      <x:c r="E190" s="7" t="n">
        <x:v>46303</x:v>
      </x:c>
      <x:c r="F190" s="8" t="n">
        <x:v>2800</x:v>
      </x:c>
      <x:c r="G190" s="8" t="n">
        <x:v>716.67</x:v>
      </x:c>
      <x:c r="H190" s="8" t="n">
        <x:v>6.25</x:v>
      </x:c>
      <x:c r="I190" s="8" t="n">
        <x:v>4.97</x:v>
      </x:c>
      <x:c r="J190" s="8" t="n">
        <x:v>100</x:v>
      </x:c>
      <x:c r="K190" s="8" t="n">
        <x:v>1.47</x:v>
      </x:c>
      <x:c r="L190" s="8" t="n">
        <x:v>0</x:v>
      </x:c>
      <x:c r="M190" s="8" t="n">
        <x:v>0</x:v>
      </x:c>
      <x:c r="N190" s="8" t="n">
        <x:v>2800</x:v>
      </x:c>
      <x:c r="O190" s="8" t="n">
        <x:v>0</x:v>
      </x:c>
      <x:c r="P190" s="8" t="n">
        <x:v>4.25</x:v>
      </x:c>
      <x:c r="Q190" s="9" t="n">
        <x:v>175</x:v>
      </x:c>
      <x:c r="R190" s="1" t="str">
        <x:v>Review receipt reconciliation or original PO baseline</x:v>
      </x:c>
      <x:c r="S190" s="1" t="str">
        <x:v>Plastic Product Information.csv</x:v>
      </x:c>
    </x:row>
    <x:row r="191" ht="21" customHeight="1">
      <x:c r="A191" s="1" t="str">
        <x:v>PLAS</x:v>
      </x:c>
      <x:c r="B191" s="1" t="str">
        <x:v>10</x:v>
      </x:c>
      <x:c r="C191" s="1" t="str">
        <x:v>13419RSLWHT</x:v>
      </x:c>
      <x:c r="D191" s="1" t="str">
        <x:v>GOLDEN CHAMPION IND. LIMITED</x:v>
      </x:c>
      <x:c r="E191" s="7" t="n">
        <x:v>46303</x:v>
      </x:c>
      <x:c r="F191" s="8" t="n">
        <x:v>4650</x:v>
      </x:c>
      <x:c r="G191" s="8" t="n">
        <x:v>713.34</x:v>
      </x:c>
      <x:c r="H191" s="8" t="n">
        <x:v>14.57</x:v>
      </x:c>
      <x:c r="I191" s="8" t="n">
        <x:v>11.59</x:v>
      </x:c>
      <x:c r="J191" s="8" t="n">
        <x:v>100</x:v>
      </x:c>
      <x:c r="K191" s="8" t="n">
        <x:v>1.47</x:v>
      </x:c>
      <x:c r="L191" s="8" t="n">
        <x:v>2650</x:v>
      </x:c>
      <x:c r="M191" s="8" t="n">
        <x:v>2000</x:v>
      </x:c>
      <x:c r="N191" s="8" t="n">
        <x:v>0</x:v>
      </x:c>
      <x:c r="O191" s="8" t="n">
        <x:v>1</x:v>
      </x:c>
      <x:c r="P191" s="8" t="n">
        <x:v>9.91</x:v>
      </x:c>
      <x:c r="Q191" s="9" t="n">
        <x:v>677.505</x:v>
      </x:c>
      <x:c r="R191" s="1" t="str">
        <x:v>Classified</x:v>
      </x:c>
      <x:c r="S191" s="1" t="str">
        <x:v>Plastic Product Information.csv</x:v>
      </x:c>
    </x:row>
    <x:row r="192" ht="21" customHeight="1">
      <x:c r="A192" s="1" t="str">
        <x:v>PLAS</x:v>
      </x:c>
      <x:c r="B192" s="1" t="str">
        <x:v>10</x:v>
      </x:c>
      <x:c r="C192" s="1" t="str">
        <x:v>11219RSLNAV</x:v>
      </x:c>
      <x:c r="D192" s="1" t="str">
        <x:v>GOLDEN CHAMPION IND. LIMITED</x:v>
      </x:c>
      <x:c r="E192" s="7" t="n">
        <x:v>46303</x:v>
      </x:c>
      <x:c r="F192" s="8" t="n">
        <x:v>600</x:v>
      </x:c>
      <x:c r="G192" s="8" t="n">
        <x:v>683.83</x:v>
      </x:c>
      <x:c r="H192" s="8" t="n">
        <x:v>12.98</x:v>
      </x:c>
      <x:c r="I192" s="8" t="n">
        <x:v>10.33</x:v>
      </x:c>
      <x:c r="J192" s="8" t="n">
        <x:v>100</x:v>
      </x:c>
      <x:c r="K192" s="8" t="n">
        <x:v>1.47</x:v>
      </x:c>
      <x:c r="L192" s="8" t="n">
        <x:v>0</x:v>
      </x:c>
      <x:c r="M192" s="8" t="n">
        <x:v>600</x:v>
      </x:c>
      <x:c r="N192" s="8" t="n">
        <x:v>0</x:v>
      </x:c>
      <x:c r="O192" s="8" t="n">
        <x:v>1</x:v>
      </x:c>
      <x:c r="P192" s="8" t="n">
        <x:v>8.83</x:v>
      </x:c>
      <x:c r="Q192" s="9" t="n">
        <x:v>77.88</x:v>
      </x:c>
      <x:c r="R192" s="1" t="str">
        <x:v>Classified</x:v>
      </x:c>
      <x:c r="S192" s="1" t="str">
        <x:v>Plastic Product Information.csv</x:v>
      </x:c>
    </x:row>
    <x:row r="193" ht="21" customHeight="1">
      <x:c r="A193" s="1" t="str">
        <x:v>PLAS</x:v>
      </x:c>
      <x:c r="B193" s="1" t="str">
        <x:v>10</x:v>
      </x:c>
      <x:c r="C193" s="1" t="str">
        <x:v>05819RWBBLU</x:v>
      </x:c>
      <x:c r="D193" s="1" t="str">
        <x:v>GOLDEN CHAMPION IND. LIMITED</x:v>
      </x:c>
      <x:c r="E193" s="7" t="n">
        <x:v>46303</x:v>
      </x:c>
      <x:c r="F193" s="8" t="n">
        <x:v>800</x:v>
      </x:c>
      <x:c r="G193" s="8" t="n">
        <x:v>683.33</x:v>
      </x:c>
      <x:c r="H193" s="8" t="n">
        <x:v>4.56</x:v>
      </x:c>
      <x:c r="I193" s="8" t="n">
        <x:v>3.63</x:v>
      </x:c>
      <x:c r="J193" s="8" t="n">
        <x:v>100</x:v>
      </x:c>
      <x:c r="K193" s="8" t="n">
        <x:v>1.47</x:v>
      </x:c>
      <x:c r="L193" s="8" t="n">
        <x:v>0</x:v>
      </x:c>
      <x:c r="M193" s="8" t="n">
        <x:v>800</x:v>
      </x:c>
      <x:c r="N193" s="8" t="n">
        <x:v>0</x:v>
      </x:c>
      <x:c r="O193" s="8" t="n">
        <x:v>1</x:v>
      </x:c>
      <x:c r="P193" s="8" t="n">
        <x:v>3.1</x:v>
      </x:c>
      <x:c r="Q193" s="9" t="n">
        <x:v>36.48</x:v>
      </x:c>
      <x:c r="R193" s="1" t="str">
        <x:v>Classified</x:v>
      </x:c>
      <x:c r="S193" s="1" t="str">
        <x:v>Plastic Product Information.csv</x:v>
      </x:c>
    </x:row>
    <x:row r="194" ht="21" customHeight="1">
      <x:c r="A194" s="1" t="str">
        <x:v>PLAS</x:v>
      </x:c>
      <x:c r="B194" s="1" t="str">
        <x:v>10</x:v>
      </x:c>
      <x:c r="C194" s="1" t="str">
        <x:v>51619RWBBLU</x:v>
      </x:c>
      <x:c r="D194" s="1" t="str">
        <x:v>GOLDEN CHAMPION IND. LIMITED</x:v>
      </x:c>
      <x:c r="E194" s="7" t="n">
        <x:v>46303</x:v>
      </x:c>
      <x:c r="F194" s="8" t="n">
        <x:v>2700</x:v>
      </x:c>
      <x:c r="G194" s="8" t="n">
        <x:v>683.33</x:v>
      </x:c>
      <x:c r="H194" s="8" t="n">
        <x:v>2.16</x:v>
      </x:c>
      <x:c r="I194" s="8" t="n">
        <x:v>1.72</x:v>
      </x:c>
      <x:c r="J194" s="8" t="n">
        <x:v>100</x:v>
      </x:c>
      <x:c r="K194" s="8" t="n">
        <x:v>1.47</x:v>
      </x:c>
      <x:c r="L194" s="8" t="n">
        <x:v>0</x:v>
      </x:c>
      <x:c r="M194" s="8" t="n">
        <x:v>2700</x:v>
      </x:c>
      <x:c r="N194" s="8" t="n">
        <x:v>0</x:v>
      </x:c>
      <x:c r="O194" s="8" t="n">
        <x:v>1</x:v>
      </x:c>
      <x:c r="P194" s="8" t="n">
        <x:v>1.47</x:v>
      </x:c>
      <x:c r="Q194" s="9" t="n">
        <x:v>58.32</x:v>
      </x:c>
      <x:c r="R194" s="1" t="str">
        <x:v>Classified</x:v>
      </x:c>
      <x:c r="S194" s="1" t="str">
        <x:v>Plastic Product Information.csv</x:v>
      </x:c>
    </x:row>
    <x:row r="195" ht="21" customHeight="1">
      <x:c r="A195" s="1" t="str">
        <x:v>PLAS</x:v>
      </x:c>
      <x:c r="B195" s="1" t="str">
        <x:v>10</x:v>
      </x:c>
      <x:c r="C195" s="1" t="str">
        <x:v>71619RWBFG</x:v>
      </x:c>
      <x:c r="D195" s="1" t="str">
        <x:v>GOLDEN CHAMPION IND. LIMITED</x:v>
      </x:c>
      <x:c r="E195" s="7" t="n">
        <x:v>46303</x:v>
      </x:c>
      <x:c r="F195" s="8" t="n">
        <x:v>0</x:v>
      </x:c>
      <x:c r="G195" s="8" t="n">
        <x:v>675</x:v>
      </x:c>
      <x:c r="H195" s="8" t="n">
        <x:v>3.15</x:v>
      </x:c>
      <x:c r="I195" s="8" t="n">
        <x:v>2.5</x:v>
      </x:c>
      <x:c r="J195" s="8" t="n">
        <x:v>100</x:v>
      </x:c>
      <x:c r="K195" s="8" t="n">
        <x:v>1.47</x:v>
      </x:c>
      <x:c r="L195" s="8" t="n">
        <x:v>0</x:v>
      </x:c>
      <x:c r="M195" s="8" t="n">
        <x:v>0</x:v>
      </x:c>
      <x:c r="N195" s="8" t="n">
        <x:v>0</x:v>
      </x:c>
      <x:c r="O195" s="8" t="n">
        <x:v>1</x:v>
      </x:c>
      <x:c r="P195" s="8" t="n">
        <x:v>2.14</x:v>
      </x:c>
      <x:c r="Q195" s="9" t="n">
        <x:v>0</x:v>
      </x:c>
      <x:c r="R195" s="1" t="str">
        <x:v>Classified</x:v>
      </x:c>
      <x:c r="S195" s="1" t="str">
        <x:v>Plastic Product Information.csv</x:v>
      </x:c>
    </x:row>
    <x:row r="196" ht="21" customHeight="1">
      <x:c r="A196" s="1" t="str">
        <x:v>PLAS</x:v>
      </x:c>
      <x:c r="B196" s="1" t="str">
        <x:v>60</x:v>
      </x:c>
      <x:c r="C196" s="1" t="str">
        <x:v>11419RSLBLK</x:v>
      </x:c>
      <x:c r="D196" s="1" t="str">
        <x:v>GOLDEN CHAMPION IND. LIMITED</x:v>
      </x:c>
      <x:c r="E196" s="7" t="n">
        <x:v>46303</x:v>
      </x:c>
      <x:c r="F196" s="8" t="n">
        <x:v>4650</x:v>
      </x:c>
      <x:c r="G196" s="8" t="n">
        <x:v>675</x:v>
      </x:c>
      <x:c r="H196" s="8" t="n">
        <x:v>11.1</x:v>
      </x:c>
      <x:c r="I196" s="8" t="n">
        <x:v>8.83</x:v>
      </x:c>
      <x:c r="J196" s="8" t="n">
        <x:v>100</x:v>
      </x:c>
      <x:c r="K196" s="8" t="n">
        <x:v>1.47</x:v>
      </x:c>
      <x:c r="L196" s="8" t="n">
        <x:v>0</x:v>
      </x:c>
      <x:c r="M196" s="8" t="n">
        <x:v>0</x:v>
      </x:c>
      <x:c r="N196" s="8" t="n">
        <x:v>4650</x:v>
      </x:c>
      <x:c r="O196" s="8" t="n">
        <x:v>0</x:v>
      </x:c>
      <x:c r="P196" s="8" t="n">
        <x:v>7.55</x:v>
      </x:c>
      <x:c r="Q196" s="9" t="n">
        <x:v>516.15</x:v>
      </x:c>
      <x:c r="R196" s="1" t="str">
        <x:v>Review receipt reconciliation or original PO baseline</x:v>
      </x:c>
      <x:c r="S196" s="1" t="str">
        <x:v>Plastic Product Information.csv</x:v>
      </x:c>
    </x:row>
    <x:row r="197" ht="21" customHeight="1">
      <x:c r="A197" s="1" t="str">
        <x:v>PLAS</x:v>
      </x:c>
      <x:c r="B197" s="1" t="str">
        <x:v>30</x:v>
      </x:c>
      <x:c r="C197" s="1" t="str">
        <x:v>71615RWBBLK</x:v>
      </x:c>
      <x:c r="D197" s="1" t="str">
        <x:v>GOLDEN CHAMPION IND. LIMITED</x:v>
      </x:c>
      <x:c r="E197" s="7" t="n">
        <x:v>46303</x:v>
      </x:c>
      <x:c r="F197" s="8" t="n">
        <x:v>6100</x:v>
      </x:c>
      <x:c r="G197" s="8" t="n">
        <x:v>666.67</x:v>
      </x:c>
      <x:c r="H197" s="8" t="n">
        <x:v>2.19</x:v>
      </x:c>
      <x:c r="I197" s="8" t="n">
        <x:v>1.74</x:v>
      </x:c>
      <x:c r="J197" s="8" t="n">
        <x:v>100</x:v>
      </x:c>
      <x:c r="K197" s="8" t="n">
        <x:v>1.47</x:v>
      </x:c>
      <x:c r="L197" s="8" t="n">
        <x:v>0</x:v>
      </x:c>
      <x:c r="M197" s="8" t="n">
        <x:v>0</x:v>
      </x:c>
      <x:c r="N197" s="8" t="n">
        <x:v>6100</x:v>
      </x:c>
      <x:c r="O197" s="8" t="n">
        <x:v>0</x:v>
      </x:c>
      <x:c r="P197" s="8" t="n">
        <x:v>1.49</x:v>
      </x:c>
      <x:c r="Q197" s="9" t="n">
        <x:v>133.59</x:v>
      </x:c>
      <x:c r="R197" s="1" t="str">
        <x:v>Review receipt reconciliation or original PO baseline</x:v>
      </x:c>
      <x:c r="S197" s="1" t="str">
        <x:v>Plastic Product Information.csv</x:v>
      </x:c>
    </x:row>
    <x:row r="198" ht="21" customHeight="1">
      <x:c r="A198" s="1" t="str">
        <x:v>PLAS</x:v>
      </x:c>
      <x:c r="B198" s="1" t="str">
        <x:v>60</x:v>
      </x:c>
      <x:c r="C198" s="1" t="str">
        <x:v>13419RSLBLK</x:v>
      </x:c>
      <x:c r="D198" s="1" t="str">
        <x:v>GOLDEN CHAMPION IND. LIMITED</x:v>
      </x:c>
      <x:c r="E198" s="7" t="n">
        <x:v>46303</x:v>
      </x:c>
      <x:c r="F198" s="8" t="n">
        <x:v>600</x:v>
      </x:c>
      <x:c r="G198" s="8" t="n">
        <x:v>650</x:v>
      </x:c>
      <x:c r="H198" s="8" t="n">
        <x:v>14.57</x:v>
      </x:c>
      <x:c r="I198" s="8" t="n">
        <x:v>11.59</x:v>
      </x:c>
      <x:c r="J198" s="8" t="n">
        <x:v>100</x:v>
      </x:c>
      <x:c r="K198" s="8" t="n">
        <x:v>1.47</x:v>
      </x:c>
      <x:c r="L198" s="8" t="n">
        <x:v>0</x:v>
      </x:c>
      <x:c r="M198" s="8" t="n">
        <x:v>0</x:v>
      </x:c>
      <x:c r="N198" s="8" t="n">
        <x:v>600</x:v>
      </x:c>
      <x:c r="O198" s="8" t="n">
        <x:v>0</x:v>
      </x:c>
      <x:c r="P198" s="8" t="n">
        <x:v>9.91</x:v>
      </x:c>
      <x:c r="Q198" s="9" t="n">
        <x:v>87.42</x:v>
      </x:c>
      <x:c r="R198" s="1" t="str">
        <x:v>Review receipt reconciliation or original PO baseline</x:v>
      </x:c>
      <x:c r="S198" s="1" t="str">
        <x:v>Plastic Product Information.csv</x:v>
      </x:c>
    </x:row>
    <x:row r="199" ht="21" customHeight="1">
      <x:c r="A199" s="1" t="str">
        <x:v>PLAS</x:v>
      </x:c>
      <x:c r="B199" s="1" t="str">
        <x:v>10</x:v>
      </x:c>
      <x:c r="C199" s="1" t="str">
        <x:v>07821RWBBLK</x:v>
      </x:c>
      <x:c r="D199" s="1" t="str">
        <x:v>GOLDEN CHAMPION IND. LIMITED</x:v>
      </x:c>
      <x:c r="E199" s="7" t="n">
        <x:v>46303</x:v>
      </x:c>
      <x:c r="F199" s="8" t="n">
        <x:v>11184</x:v>
      </x:c>
      <x:c r="G199" s="8" t="n">
        <x:v>625.75</x:v>
      </x:c>
      <x:c r="H199" s="8" t="n">
        <x:v>7.59</x:v>
      </x:c>
      <x:c r="I199" s="8" t="n">
        <x:v>6.04</x:v>
      </x:c>
      <x:c r="J199" s="8" t="n">
        <x:v>100</x:v>
      </x:c>
      <x:c r="K199" s="8" t="n">
        <x:v>1.47</x:v>
      </x:c>
      <x:c r="L199" s="8" t="n">
        <x:v>8184</x:v>
      </x:c>
      <x:c r="M199" s="8" t="n">
        <x:v>3000</x:v>
      </x:c>
      <x:c r="N199" s="8" t="n">
        <x:v>0</x:v>
      </x:c>
      <x:c r="O199" s="8" t="n">
        <x:v>1</x:v>
      </x:c>
      <x:c r="P199" s="8" t="n">
        <x:v>5.16</x:v>
      </x:c>
      <x:c r="Q199" s="9" t="n">
        <x:v>848.8656</x:v>
      </x:c>
      <x:c r="R199" s="1" t="str">
        <x:v>Classified</x:v>
      </x:c>
      <x:c r="S199" s="1" t="str">
        <x:v>Plastic Product Information.csv</x:v>
      </x:c>
    </x:row>
    <x:row r="200" ht="21" customHeight="1">
      <x:c r="A200" s="1" t="str">
        <x:v>PLAS</x:v>
      </x:c>
      <x:c r="B200" s="1" t="str">
        <x:v>60</x:v>
      </x:c>
      <x:c r="C200" s="1" t="str">
        <x:v>01219RWBNAV</x:v>
      </x:c>
      <x:c r="D200" s="1" t="str">
        <x:v>GOLDEN CHAMPION IND. LIMITED</x:v>
      </x:c>
      <x:c r="E200" s="7" t="n">
        <x:v>46303</x:v>
      </x:c>
      <x:c r="F200" s="8" t="n">
        <x:v>6000</x:v>
      </x:c>
      <x:c r="G200" s="8" t="n">
        <x:v>616.67</x:v>
      </x:c>
      <x:c r="H200" s="8" t="n">
        <x:v>3.6</x:v>
      </x:c>
      <x:c r="I200" s="8" t="n">
        <x:v>2.87</x:v>
      </x:c>
      <x:c r="J200" s="8" t="n">
        <x:v>100</x:v>
      </x:c>
      <x:c r="K200" s="8" t="n">
        <x:v>1.47</x:v>
      </x:c>
      <x:c r="L200" s="8" t="n">
        <x:v>0</x:v>
      </x:c>
      <x:c r="M200" s="8" t="n">
        <x:v>0</x:v>
      </x:c>
      <x:c r="N200" s="8" t="n">
        <x:v>6000</x:v>
      </x:c>
      <x:c r="O200" s="8" t="n">
        <x:v>0</x:v>
      </x:c>
      <x:c r="P200" s="8" t="n">
        <x:v>2.45</x:v>
      </x:c>
      <x:c r="Q200" s="9" t="n">
        <x:v>216</x:v>
      </x:c>
      <x:c r="R200" s="1" t="str">
        <x:v>Review receipt reconciliation or original PO baseline</x:v>
      </x:c>
      <x:c r="S200" s="1" t="str">
        <x:v>Plastic Product Information.csv</x:v>
      </x:c>
    </x:row>
    <x:row r="201" ht="21" customHeight="1">
      <x:c r="A201" s="1" t="str">
        <x:v>PLAS</x:v>
      </x:c>
      <x:c r="B201" s="1" t="str">
        <x:v>10</x:v>
      </x:c>
      <x:c r="C201" s="1" t="str">
        <x:v>71619RWBRED</x:v>
      </x:c>
      <x:c r="D201" s="1" t="str">
        <x:v>GOLDEN CHAMPION IND. LIMITED</x:v>
      </x:c>
      <x:c r="E201" s="7" t="n">
        <x:v>46303</x:v>
      </x:c>
      <x:c r="F201" s="8" t="n">
        <x:v>0</x:v>
      </x:c>
      <x:c r="G201" s="8" t="n">
        <x:v>600</x:v>
      </x:c>
      <x:c r="H201" s="8" t="n">
        <x:v>3.15</x:v>
      </x:c>
      <x:c r="I201" s="8" t="n">
        <x:v>2.5</x:v>
      </x:c>
      <x:c r="J201" s="8" t="n">
        <x:v>100</x:v>
      </x:c>
      <x:c r="K201" s="8" t="n">
        <x:v>1.47</x:v>
      </x:c>
      <x:c r="L201" s="8" t="n">
        <x:v>0</x:v>
      </x:c>
      <x:c r="M201" s="8" t="n">
        <x:v>0</x:v>
      </x:c>
      <x:c r="N201" s="8" t="n">
        <x:v>0</x:v>
      </x:c>
      <x:c r="O201" s="8" t="n">
        <x:v>1</x:v>
      </x:c>
      <x:c r="P201" s="8" t="n">
        <x:v>2.14</x:v>
      </x:c>
      <x:c r="Q201" s="9" t="n">
        <x:v>0</x:v>
      </x:c>
      <x:c r="R201" s="1" t="str">
        <x:v>Classified</x:v>
      </x:c>
      <x:c r="S201" s="1" t="str">
        <x:v>Plastic Product Information.csv</x:v>
      </x:c>
    </x:row>
    <x:row r="202" ht="21" customHeight="1">
      <x:c r="A202" s="1" t="str">
        <x:v>PLAS</x:v>
      </x:c>
      <x:c r="B202" s="1" t="str">
        <x:v>30</x:v>
      </x:c>
      <x:c r="C202" s="1" t="str">
        <x:v>03819RWBFG</x:v>
      </x:c>
      <x:c r="D202" s="1" t="str">
        <x:v>GOLDEN CHAMPION IND. LIMITED</x:v>
      </x:c>
      <x:c r="E202" s="7" t="n">
        <x:v>46303</x:v>
      </x:c>
      <x:c r="F202" s="8" t="n">
        <x:v>5400</x:v>
      </x:c>
      <x:c r="G202" s="8" t="n">
        <x:v>600</x:v>
      </x:c>
      <x:c r="H202" s="8" t="n">
        <x:v>2.48</x:v>
      </x:c>
      <x:c r="I202" s="8" t="n">
        <x:v>1.98</x:v>
      </x:c>
      <x:c r="J202" s="8" t="n">
        <x:v>100</x:v>
      </x:c>
      <x:c r="K202" s="8" t="n">
        <x:v>1.47</x:v>
      </x:c>
      <x:c r="L202" s="8" t="n">
        <x:v>0</x:v>
      </x:c>
      <x:c r="M202" s="8" t="n">
        <x:v>0</x:v>
      </x:c>
      <x:c r="N202" s="8" t="n">
        <x:v>5400</x:v>
      </x:c>
      <x:c r="O202" s="8" t="n">
        <x:v>0</x:v>
      </x:c>
      <x:c r="P202" s="8" t="n">
        <x:v>1.69</x:v>
      </x:c>
      <x:c r="Q202" s="9" t="n">
        <x:v>133.92000000000002</x:v>
      </x:c>
      <x:c r="R202" s="1" t="str">
        <x:v>Review receipt reconciliation or original PO baseline</x:v>
      </x:c>
      <x:c r="S202" s="1" t="str">
        <x:v>Plastic Product Information.csv</x:v>
      </x:c>
    </x:row>
    <x:row r="203" ht="21" customHeight="1">
      <x:c r="A203" s="1" t="str">
        <x:v>PLAS</x:v>
      </x:c>
      <x:c r="B203" s="1" t="str">
        <x:v>10</x:v>
      </x:c>
      <x:c r="C203" s="1" t="str">
        <x:v>91619RWBWHT</x:v>
      </x:c>
      <x:c r="D203" s="1" t="str">
        <x:v>GOLDEN CHAMPION IND. LIMITED</x:v>
      </x:c>
      <x:c r="E203" s="7" t="n">
        <x:v>46303</x:v>
      </x:c>
      <x:c r="F203" s="8" t="n">
        <x:v>4496</x:v>
      </x:c>
      <x:c r="G203" s="8" t="n">
        <x:v>592.01</x:v>
      </x:c>
      <x:c r="H203" s="8" t="n">
        <x:v>4.28</x:v>
      </x:c>
      <x:c r="I203" s="8" t="n">
        <x:v>3.4</x:v>
      </x:c>
      <x:c r="J203" s="8" t="n">
        <x:v>100</x:v>
      </x:c>
      <x:c r="K203" s="8" t="n">
        <x:v>1.47</x:v>
      </x:c>
      <x:c r="L203" s="8" t="n">
        <x:v>3496</x:v>
      </x:c>
      <x:c r="M203" s="8" t="n">
        <x:v>1000</x:v>
      </x:c>
      <x:c r="N203" s="8" t="n">
        <x:v>0</x:v>
      </x:c>
      <x:c r="O203" s="8" t="n">
        <x:v>1</x:v>
      </x:c>
      <x:c r="P203" s="8" t="n">
        <x:v>2.91</x:v>
      </x:c>
      <x:c r="Q203" s="9" t="n">
        <x:v>192.42880000000002</x:v>
      </x:c>
      <x:c r="R203" s="1" t="str">
        <x:v>Classified</x:v>
      </x:c>
      <x:c r="S203" s="1" t="str">
        <x:v>Plastic Product Information.csv</x:v>
      </x:c>
    </x:row>
    <x:row r="204" ht="21" customHeight="1">
      <x:c r="A204" s="1" t="str">
        <x:v>PLAS</x:v>
      </x:c>
      <x:c r="B204" s="1" t="str">
        <x:v>10</x:v>
      </x:c>
      <x:c r="C204" s="1" t="str">
        <x:v>51619RWBRED</x:v>
      </x:c>
      <x:c r="D204" s="1" t="str">
        <x:v>GOLDEN CHAMPION IND. LIMITED</x:v>
      </x:c>
      <x:c r="E204" s="7" t="n">
        <x:v>46303</x:v>
      </x:c>
      <x:c r="F204" s="8" t="n">
        <x:v>4100</x:v>
      </x:c>
      <x:c r="G204" s="8" t="n">
        <x:v>591.67</x:v>
      </x:c>
      <x:c r="H204" s="8" t="n">
        <x:v>2.16</x:v>
      </x:c>
      <x:c r="I204" s="8" t="n">
        <x:v>1.72</x:v>
      </x:c>
      <x:c r="J204" s="8" t="n">
        <x:v>100</x:v>
      </x:c>
      <x:c r="K204" s="8" t="n">
        <x:v>1.47</x:v>
      </x:c>
      <x:c r="L204" s="8" t="n">
        <x:v>3100</x:v>
      </x:c>
      <x:c r="M204" s="8" t="n">
        <x:v>1000</x:v>
      </x:c>
      <x:c r="N204" s="8" t="n">
        <x:v>0</x:v>
      </x:c>
      <x:c r="O204" s="8" t="n">
        <x:v>1</x:v>
      </x:c>
      <x:c r="P204" s="8" t="n">
        <x:v>1.47</x:v>
      </x:c>
      <x:c r="Q204" s="9" t="n">
        <x:v>88.56</x:v>
      </x:c>
      <x:c r="R204" s="1" t="str">
        <x:v>Classified</x:v>
      </x:c>
      <x:c r="S204" s="1" t="str">
        <x:v>Plastic Product Information.csv</x:v>
      </x:c>
    </x:row>
    <x:row r="205" ht="21" customHeight="1">
      <x:c r="A205" s="1" t="str">
        <x:v>PLAS</x:v>
      </x:c>
      <x:c r="B205" s="1" t="str">
        <x:v>10</x:v>
      </x:c>
      <x:c r="C205" s="1" t="str">
        <x:v>01419RWBFG</x:v>
      </x:c>
      <x:c r="D205" s="1" t="str">
        <x:v>GOLDEN CHAMPION IND. LIMITED</x:v>
      </x:c>
      <x:c r="E205" s="7" t="n">
        <x:v>46303</x:v>
      </x:c>
      <x:c r="F205" s="8" t="n">
        <x:v>5800</x:v>
      </x:c>
      <x:c r="G205" s="8" t="n">
        <x:v>591.66</x:v>
      </x:c>
      <x:c r="H205" s="8" t="n">
        <x:v>1.81</x:v>
      </x:c>
      <x:c r="I205" s="8" t="n">
        <x:v>1.44</x:v>
      </x:c>
      <x:c r="J205" s="8" t="n">
        <x:v>100</x:v>
      </x:c>
      <x:c r="K205" s="8" t="n">
        <x:v>1.47</x:v>
      </x:c>
      <x:c r="L205" s="8" t="n">
        <x:v>4800</x:v>
      </x:c>
      <x:c r="M205" s="8" t="n">
        <x:v>1000</x:v>
      </x:c>
      <x:c r="N205" s="8" t="n">
        <x:v>0</x:v>
      </x:c>
      <x:c r="O205" s="8" t="n">
        <x:v>1</x:v>
      </x:c>
      <x:c r="P205" s="8" t="n">
        <x:v>1.23</x:v>
      </x:c>
      <x:c r="Q205" s="9" t="n">
        <x:v>104.98</x:v>
      </x:c>
      <x:c r="R205" s="1" t="str">
        <x:v>Classified</x:v>
      </x:c>
      <x:c r="S205" s="1" t="str">
        <x:v>Plastic Product Information.csv</x:v>
      </x:c>
    </x:row>
    <x:row r="206" ht="21" customHeight="1">
      <x:c r="A206" s="1" t="str">
        <x:v>PLAS</x:v>
      </x:c>
      <x:c r="B206" s="1" t="str">
        <x:v>10</x:v>
      </x:c>
      <x:c r="C206" s="1" t="str">
        <x:v>01215RWBWHT</x:v>
      </x:c>
      <x:c r="D206" s="1" t="str">
        <x:v>GOLDEN CHAMPION IND. LIMITED</x:v>
      </x:c>
      <x:c r="E206" s="7" t="n">
        <x:v>46303</x:v>
      </x:c>
      <x:c r="F206" s="8" t="n">
        <x:v>21170</x:v>
      </x:c>
      <x:c r="G206" s="8" t="n">
        <x:v>583.33</x:v>
      </x:c>
      <x:c r="H206" s="8" t="n">
        <x:v>2.5</x:v>
      </x:c>
      <x:c r="I206" s="8" t="n">
        <x:v>1.99</x:v>
      </x:c>
      <x:c r="J206" s="8" t="n">
        <x:v>100</x:v>
      </x:c>
      <x:c r="K206" s="8" t="n">
        <x:v>1.47</x:v>
      </x:c>
      <x:c r="L206" s="8" t="n">
        <x:v>0</x:v>
      </x:c>
      <x:c r="M206" s="8" t="n">
        <x:v>0</x:v>
      </x:c>
      <x:c r="N206" s="8" t="n">
        <x:v>21170</x:v>
      </x:c>
      <x:c r="O206" s="8" t="n">
        <x:v>0</x:v>
      </x:c>
      <x:c r="P206" s="8" t="n">
        <x:v>1.7</x:v>
      </x:c>
      <x:c r="Q206" s="9" t="n">
        <x:v>529.25</x:v>
      </x:c>
      <x:c r="R206" s="1" t="str">
        <x:v>Review receipt reconciliation or original PO baseline</x:v>
      </x:c>
      <x:c r="S206" s="1" t="str">
        <x:v>Plastic Product Information.csv</x:v>
      </x:c>
    </x:row>
    <x:row r="207" ht="21" customHeight="1">
      <x:c r="A207" s="1" t="str">
        <x:v>PLAS</x:v>
      </x:c>
      <x:c r="B207" s="1" t="str">
        <x:v>10</x:v>
      </x:c>
      <x:c r="C207" s="1" t="str">
        <x:v>05815RWBBRN</x:v>
      </x:c>
      <x:c r="D207" s="1" t="str">
        <x:v>GOLDEN CHAMPION IND. LIMITED</x:v>
      </x:c>
      <x:c r="E207" s="7" t="n">
        <x:v>46303</x:v>
      </x:c>
      <x:c r="F207" s="8" t="n">
        <x:v>2130</x:v>
      </x:c>
      <x:c r="G207" s="8" t="n">
        <x:v>583.33</x:v>
      </x:c>
      <x:c r="H207" s="8" t="n">
        <x:v>3.09</x:v>
      </x:c>
      <x:c r="I207" s="8" t="n">
        <x:v>2.46</x:v>
      </x:c>
      <x:c r="J207" s="8" t="n">
        <x:v>100</x:v>
      </x:c>
      <x:c r="K207" s="8" t="n">
        <x:v>1.47</x:v>
      </x:c>
      <x:c r="L207" s="8" t="n">
        <x:v>2130</x:v>
      </x:c>
      <x:c r="M207" s="8" t="n">
        <x:v>0</x:v>
      </x:c>
      <x:c r="N207" s="8" t="n">
        <x:v>0</x:v>
      </x:c>
      <x:c r="O207" s="8" t="n">
        <x:v>1</x:v>
      </x:c>
      <x:c r="P207" s="8" t="n">
        <x:v>2.1</x:v>
      </x:c>
      <x:c r="Q207" s="9" t="n">
        <x:v>65.817</x:v>
      </x:c>
      <x:c r="R207" s="1" t="str">
        <x:v>Classified</x:v>
      </x:c>
      <x:c r="S207" s="1" t="str">
        <x:v>Plastic Product Information.csv</x:v>
      </x:c>
    </x:row>
    <x:row r="208" ht="21" customHeight="1">
      <x:c r="A208" s="1" t="str">
        <x:v>PLAS</x:v>
      </x:c>
      <x:c r="B208" s="1" t="str">
        <x:v>10</x:v>
      </x:c>
      <x:c r="C208" s="1" t="str">
        <x:v>01419RWBMAR</x:v>
      </x:c>
      <x:c r="D208" s="1" t="str">
        <x:v>GOLDEN CHAMPION IND. LIMITED</x:v>
      </x:c>
      <x:c r="E208" s="7" t="n">
        <x:v>46303</x:v>
      </x:c>
      <x:c r="F208" s="8" t="n">
        <x:v>5800</x:v>
      </x:c>
      <x:c r="G208" s="8" t="n">
        <x:v>575</x:v>
      </x:c>
      <x:c r="H208" s="8" t="n">
        <x:v>1.81</x:v>
      </x:c>
      <x:c r="I208" s="8" t="n">
        <x:v>1.44</x:v>
      </x:c>
      <x:c r="J208" s="8" t="n">
        <x:v>100</x:v>
      </x:c>
      <x:c r="K208" s="8" t="n">
        <x:v>1.47</x:v>
      </x:c>
      <x:c r="L208" s="8" t="n">
        <x:v>1800</x:v>
      </x:c>
      <x:c r="M208" s="8" t="n">
        <x:v>4000</x:v>
      </x:c>
      <x:c r="N208" s="8" t="n">
        <x:v>0</x:v>
      </x:c>
      <x:c r="O208" s="8" t="n">
        <x:v>1</x:v>
      </x:c>
      <x:c r="P208" s="8" t="n">
        <x:v>1.23</x:v>
      </x:c>
      <x:c r="Q208" s="9" t="n">
        <x:v>104.98</x:v>
      </x:c>
      <x:c r="R208" s="1" t="str">
        <x:v>Classified</x:v>
      </x:c>
      <x:c r="S208" s="1" t="str">
        <x:v>Plastic Product Information.csv</x:v>
      </x:c>
    </x:row>
    <x:row r="209" ht="21" customHeight="1">
      <x:c r="A209" s="1" t="str">
        <x:v>PLAS</x:v>
      </x:c>
      <x:c r="B209" s="1" t="str">
        <x:v>10</x:v>
      </x:c>
      <x:c r="C209" s="1" t="str">
        <x:v>00219RSLWHT</x:v>
      </x:c>
      <x:c r="D209" s="1" t="str">
        <x:v>GOLDEN CHAMPION IND. LIMITED</x:v>
      </x:c>
      <x:c r="E209" s="7" t="n">
        <x:v>46303</x:v>
      </x:c>
      <x:c r="F209" s="8" t="n">
        <x:v>2520</x:v>
      </x:c>
      <x:c r="G209" s="8" t="n">
        <x:v>574.59</x:v>
      </x:c>
      <x:c r="H209" s="8" t="n">
        <x:v>14.77</x:v>
      </x:c>
      <x:c r="I209" s="8" t="n">
        <x:v>11.76</x:v>
      </x:c>
      <x:c r="J209" s="8" t="n">
        <x:v>100</x:v>
      </x:c>
      <x:c r="K209" s="8" t="n">
        <x:v>1.47</x:v>
      </x:c>
      <x:c r="L209" s="8" t="n">
        <x:v>2520</x:v>
      </x:c>
      <x:c r="M209" s="8" t="n">
        <x:v>0</x:v>
      </x:c>
      <x:c r="N209" s="8" t="n">
        <x:v>0</x:v>
      </x:c>
      <x:c r="O209" s="8" t="n">
        <x:v>1</x:v>
      </x:c>
      <x:c r="P209" s="8" t="n">
        <x:v>10.05</x:v>
      </x:c>
      <x:c r="Q209" s="9" t="n">
        <x:v>372.204</x:v>
      </x:c>
      <x:c r="R209" s="1" t="str">
        <x:v>Classified</x:v>
      </x:c>
      <x:c r="S209" s="1" t="str">
        <x:v>Plastic Product Information.csv</x:v>
      </x:c>
    </x:row>
    <x:row r="210" ht="21" customHeight="1">
      <x:c r="A210" s="1" t="str">
        <x:v>PLAS</x:v>
      </x:c>
      <x:c r="B210" s="1" t="str">
        <x:v>30</x:v>
      </x:c>
      <x:c r="C210" s="1" t="str">
        <x:v>03819RWBWHT</x:v>
      </x:c>
      <x:c r="D210" s="1" t="str">
        <x:v>GOLDEN CHAMPION IND. LIMITED</x:v>
      </x:c>
      <x:c r="E210" s="7" t="n">
        <x:v>46303</x:v>
      </x:c>
      <x:c r="F210" s="8" t="n">
        <x:v>7300</x:v>
      </x:c>
      <x:c r="G210" s="8" t="n">
        <x:v>566.67</x:v>
      </x:c>
      <x:c r="H210" s="8" t="n">
        <x:v>2.48</x:v>
      </x:c>
      <x:c r="I210" s="8" t="n">
        <x:v>1.98</x:v>
      </x:c>
      <x:c r="J210" s="8" t="n">
        <x:v>100</x:v>
      </x:c>
      <x:c r="K210" s="8" t="n">
        <x:v>1.47</x:v>
      </x:c>
      <x:c r="L210" s="8" t="n">
        <x:v>0</x:v>
      </x:c>
      <x:c r="M210" s="8" t="n">
        <x:v>0</x:v>
      </x:c>
      <x:c r="N210" s="8" t="n">
        <x:v>7300</x:v>
      </x:c>
      <x:c r="O210" s="8" t="n">
        <x:v>0</x:v>
      </x:c>
      <x:c r="P210" s="8" t="n">
        <x:v>1.69</x:v>
      </x:c>
      <x:c r="Q210" s="9" t="n">
        <x:v>181.04</x:v>
      </x:c>
      <x:c r="R210" s="1" t="str">
        <x:v>Review receipt reconciliation or original PO baseline</x:v>
      </x:c>
      <x:c r="S210" s="1" t="str">
        <x:v>Plastic Product Information.csv</x:v>
      </x:c>
    </x:row>
    <x:row r="211" ht="21" customHeight="1">
      <x:c r="A211" s="1" t="str">
        <x:v>PLAS</x:v>
      </x:c>
      <x:c r="B211" s="1" t="str">
        <x:v>10</x:v>
      </x:c>
      <x:c r="C211" s="1" t="str">
        <x:v>71619RWBBLU</x:v>
      </x:c>
      <x:c r="D211" s="1" t="str">
        <x:v>GOLDEN CHAMPION IND. LIMITED</x:v>
      </x:c>
      <x:c r="E211" s="7" t="n">
        <x:v>46303</x:v>
      </x:c>
      <x:c r="F211" s="8" t="n">
        <x:v>6500</x:v>
      </x:c>
      <x:c r="G211" s="8" t="n">
        <x:v>558.34</x:v>
      </x:c>
      <x:c r="H211" s="8" t="n">
        <x:v>3.15</x:v>
      </x:c>
      <x:c r="I211" s="8" t="n">
        <x:v>2.5</x:v>
      </x:c>
      <x:c r="J211" s="8" t="n">
        <x:v>100</x:v>
      </x:c>
      <x:c r="K211" s="8" t="n">
        <x:v>1.47</x:v>
      </x:c>
      <x:c r="L211" s="8" t="n">
        <x:v>3500</x:v>
      </x:c>
      <x:c r="M211" s="8" t="n">
        <x:v>3000</x:v>
      </x:c>
      <x:c r="N211" s="8" t="n">
        <x:v>0</x:v>
      </x:c>
      <x:c r="O211" s="8" t="n">
        <x:v>1</x:v>
      </x:c>
      <x:c r="P211" s="8" t="n">
        <x:v>2.14</x:v>
      </x:c>
      <x:c r="Q211" s="9" t="n">
        <x:v>204.75</x:v>
      </x:c>
      <x:c r="R211" s="1" t="str">
        <x:v>Classified</x:v>
      </x:c>
      <x:c r="S211" s="1" t="str">
        <x:v>Plastic Product Information.csv</x:v>
      </x:c>
    </x:row>
    <x:row r="212" ht="21" customHeight="1">
      <x:c r="A212" s="1" t="str">
        <x:v>PLAS</x:v>
      </x:c>
      <x:c r="B212" s="1" t="str">
        <x:v>30</x:v>
      </x:c>
      <x:c r="C212" s="1" t="str">
        <x:v>11219RSLBLK</x:v>
      </x:c>
      <x:c r="D212" s="1" t="str">
        <x:v>GOLDEN CHAMPION IND. LIMITED</x:v>
      </x:c>
      <x:c r="E212" s="7" t="n">
        <x:v>46303</x:v>
      </x:c>
      <x:c r="F212" s="8" t="n">
        <x:v>2250</x:v>
      </x:c>
      <x:c r="G212" s="8" t="n">
        <x:v>558.33</x:v>
      </x:c>
      <x:c r="H212" s="8" t="n">
        <x:v>12.98</x:v>
      </x:c>
      <x:c r="I212" s="8" t="n">
        <x:v>10.33</x:v>
      </x:c>
      <x:c r="J212" s="8" t="n">
        <x:v>100</x:v>
      </x:c>
      <x:c r="K212" s="8" t="n">
        <x:v>1.47</x:v>
      </x:c>
      <x:c r="L212" s="8" t="n">
        <x:v>0</x:v>
      </x:c>
      <x:c r="M212" s="8" t="n">
        <x:v>0</x:v>
      </x:c>
      <x:c r="N212" s="8" t="n">
        <x:v>2250</x:v>
      </x:c>
      <x:c r="O212" s="8" t="n">
        <x:v>0</x:v>
      </x:c>
      <x:c r="P212" s="8" t="n">
        <x:v>8.83</x:v>
      </x:c>
      <x:c r="Q212" s="9" t="n">
        <x:v>292.05</x:v>
      </x:c>
      <x:c r="R212" s="1" t="str">
        <x:v>Review receipt reconciliation or original PO baseline</x:v>
      </x:c>
      <x:c r="S212" s="1" t="str">
        <x:v>Plastic Product Information.csv</x:v>
      </x:c>
    </x:row>
    <x:row r="213" ht="21" customHeight="1">
      <x:c r="A213" s="1" t="str">
        <x:v>PLAS</x:v>
      </x:c>
      <x:c r="B213" s="1" t="str">
        <x:v>10</x:v>
      </x:c>
      <x:c r="C213" s="1" t="str">
        <x:v>03415RWBWHT</x:v>
      </x:c>
      <x:c r="D213" s="1" t="str">
        <x:v>GOLDEN CHAMPION IND. LIMITED</x:v>
      </x:c>
      <x:c r="E213" s="7" t="n">
        <x:v>46303</x:v>
      </x:c>
      <x:c r="F213" s="8" t="n">
        <x:v>1800</x:v>
      </x:c>
      <x:c r="G213" s="8" t="n">
        <x:v>541.67</x:v>
      </x:c>
      <x:c r="H213" s="8" t="n">
        <x:v>4.4</x:v>
      </x:c>
      <x:c r="I213" s="8" t="n">
        <x:v>3.5</x:v>
      </x:c>
      <x:c r="J213" s="8" t="n">
        <x:v>100</x:v>
      </x:c>
      <x:c r="K213" s="8" t="n">
        <x:v>1.47</x:v>
      </x:c>
      <x:c r="L213" s="8" t="n">
        <x:v>0</x:v>
      </x:c>
      <x:c r="M213" s="8" t="n">
        <x:v>0</x:v>
      </x:c>
      <x:c r="N213" s="8" t="n">
        <x:v>1800</x:v>
      </x:c>
      <x:c r="O213" s="8" t="n">
        <x:v>0</x:v>
      </x:c>
      <x:c r="P213" s="8" t="n">
        <x:v>2.99</x:v>
      </x:c>
      <x:c r="Q213" s="9" t="n">
        <x:v>79.20000000000002</x:v>
      </x:c>
      <x:c r="R213" s="1" t="str">
        <x:v>Review receipt reconciliation or original PO baseline</x:v>
      </x:c>
      <x:c r="S213" s="1" t="str">
        <x:v>Plastic Product Information.csv</x:v>
      </x:c>
    </x:row>
    <x:row r="214" ht="21" customHeight="1">
      <x:c r="A214" s="1" t="str">
        <x:v>PLAS</x:v>
      </x:c>
      <x:c r="B214" s="1" t="str">
        <x:v>10</x:v>
      </x:c>
      <x:c r="C214" s="1" t="str">
        <x:v>00115RWBWHT</x:v>
      </x:c>
      <x:c r="D214" s="1" t="str">
        <x:v>GOLDEN CHAMPION IND. LIMITED</x:v>
      </x:c>
      <x:c r="E214" s="7" t="n">
        <x:v>46303</x:v>
      </x:c>
      <x:c r="F214" s="8" t="n">
        <x:v>2209</x:v>
      </x:c>
      <x:c r="G214" s="8" t="n">
        <x:v>533.92</x:v>
      </x:c>
      <x:c r="H214" s="8" t="n">
        <x:v>7.36</x:v>
      </x:c>
      <x:c r="I214" s="8" t="n">
        <x:v>5.86</x:v>
      </x:c>
      <x:c r="J214" s="8" t="n">
        <x:v>100</x:v>
      </x:c>
      <x:c r="K214" s="8" t="n">
        <x:v>1.47</x:v>
      </x:c>
      <x:c r="L214" s="8" t="n">
        <x:v>2209</x:v>
      </x:c>
      <x:c r="M214" s="8" t="n">
        <x:v>0</x:v>
      </x:c>
      <x:c r="N214" s="8" t="n">
        <x:v>0</x:v>
      </x:c>
      <x:c r="O214" s="8" t="n">
        <x:v>1</x:v>
      </x:c>
      <x:c r="P214" s="8" t="n">
        <x:v>5.01</x:v>
      </x:c>
      <x:c r="Q214" s="9" t="n">
        <x:v>162.5824</x:v>
      </x:c>
      <x:c r="R214" s="1" t="str">
        <x:v>Classified</x:v>
      </x:c>
      <x:c r="S214" s="1" t="str">
        <x:v>Plastic Product Information.csv</x:v>
      </x:c>
    </x:row>
    <x:row r="215" ht="21" customHeight="1">
      <x:c r="A215" s="1" t="str">
        <x:v>PLAS</x:v>
      </x:c>
      <x:c r="B215" s="1" t="str">
        <x:v>10</x:v>
      </x:c>
      <x:c r="C215" s="1" t="str">
        <x:v>05819RWBCLR</x:v>
      </x:c>
      <x:c r="D215" s="1" t="str">
        <x:v>GOLDEN CHAMPION IND. LIMITED</x:v>
      </x:c>
      <x:c r="E215" s="7" t="n">
        <x:v>46303</x:v>
      </x:c>
      <x:c r="F215" s="8" t="n">
        <x:v>2900</x:v>
      </x:c>
      <x:c r="G215" s="8" t="n">
        <x:v>533.33</x:v>
      </x:c>
      <x:c r="H215" s="8" t="n">
        <x:v>4.56</x:v>
      </x:c>
      <x:c r="I215" s="8" t="n">
        <x:v>3.63</x:v>
      </x:c>
      <x:c r="J215" s="8" t="n">
        <x:v>100</x:v>
      </x:c>
      <x:c r="K215" s="8" t="n">
        <x:v>1.47</x:v>
      </x:c>
      <x:c r="L215" s="8" t="n">
        <x:v>0</x:v>
      </x:c>
      <x:c r="M215" s="8" t="n">
        <x:v>0</x:v>
      </x:c>
      <x:c r="N215" s="8" t="n">
        <x:v>2900</x:v>
      </x:c>
      <x:c r="O215" s="8" t="n">
        <x:v>0</x:v>
      </x:c>
      <x:c r="P215" s="8" t="n">
        <x:v>3.1</x:v>
      </x:c>
      <x:c r="Q215" s="9" t="n">
        <x:v>132.23999999999998</x:v>
      </x:c>
      <x:c r="R215" s="1" t="str">
        <x:v>Review receipt reconciliation or original PO baseline</x:v>
      </x:c>
      <x:c r="S215" s="1" t="str">
        <x:v>Plastic Product Information.csv</x:v>
      </x:c>
    </x:row>
    <x:row r="216" ht="21" customHeight="1">
      <x:c r="A216" s="1" t="str">
        <x:v>PLAS</x:v>
      </x:c>
      <x:c r="B216" s="1" t="str">
        <x:v>30</x:v>
      </x:c>
      <x:c r="C216" s="1" t="str">
        <x:v>51619RWBNAV</x:v>
      </x:c>
      <x:c r="D216" s="1" t="str">
        <x:v>GOLDEN CHAMPION IND. LIMITED</x:v>
      </x:c>
      <x:c r="E216" s="7" t="n">
        <x:v>46303</x:v>
      </x:c>
      <x:c r="F216" s="8" t="n">
        <x:v>400</x:v>
      </x:c>
      <x:c r="G216" s="8" t="n">
        <x:v>533.33</x:v>
      </x:c>
      <x:c r="H216" s="8" t="n">
        <x:v>2.16</x:v>
      </x:c>
      <x:c r="I216" s="8" t="n">
        <x:v>1.72</x:v>
      </x:c>
      <x:c r="J216" s="8" t="n">
        <x:v>100</x:v>
      </x:c>
      <x:c r="K216" s="8" t="n">
        <x:v>1.47</x:v>
      </x:c>
      <x:c r="L216" s="8" t="n">
        <x:v>0</x:v>
      </x:c>
      <x:c r="M216" s="8" t="n">
        <x:v>0</x:v>
      </x:c>
      <x:c r="N216" s="8" t="n">
        <x:v>400</x:v>
      </x:c>
      <x:c r="O216" s="8" t="n">
        <x:v>0</x:v>
      </x:c>
      <x:c r="P216" s="8" t="n">
        <x:v>1.47</x:v>
      </x:c>
      <x:c r="Q216" s="9" t="n">
        <x:v>8.64</x:v>
      </x:c>
      <x:c r="R216" s="1" t="str">
        <x:v>Review receipt reconciliation or original PO baseline</x:v>
      </x:c>
      <x:c r="S216" s="1" t="str">
        <x:v>Plastic Product Information.csv</x:v>
      </x:c>
    </x:row>
    <x:row r="217" ht="21" customHeight="1">
      <x:c r="A217" s="1" t="str">
        <x:v>PLAS</x:v>
      </x:c>
      <x:c r="B217" s="1" t="str">
        <x:v>10</x:v>
      </x:c>
      <x:c r="C217" s="1" t="str">
        <x:v>01419RWBBLU</x:v>
      </x:c>
      <x:c r="D217" s="1" t="str">
        <x:v>GOLDEN CHAMPION IND. LIMITED</x:v>
      </x:c>
      <x:c r="E217" s="7" t="n">
        <x:v>46303</x:v>
      </x:c>
      <x:c r="F217" s="8" t="n">
        <x:v>3700</x:v>
      </x:c>
      <x:c r="G217" s="8" t="n">
        <x:v>525</x:v>
      </x:c>
      <x:c r="H217" s="8" t="n">
        <x:v>1.81</x:v>
      </x:c>
      <x:c r="I217" s="8" t="n">
        <x:v>1.44</x:v>
      </x:c>
      <x:c r="J217" s="8" t="n">
        <x:v>100</x:v>
      </x:c>
      <x:c r="K217" s="8" t="n">
        <x:v>1.47</x:v>
      </x:c>
      <x:c r="L217" s="8" t="n">
        <x:v>700</x:v>
      </x:c>
      <x:c r="M217" s="8" t="n">
        <x:v>3000</x:v>
      </x:c>
      <x:c r="N217" s="8" t="n">
        <x:v>0</x:v>
      </x:c>
      <x:c r="O217" s="8" t="n">
        <x:v>1</x:v>
      </x:c>
      <x:c r="P217" s="8" t="n">
        <x:v>1.23</x:v>
      </x:c>
      <x:c r="Q217" s="9" t="n">
        <x:v>66.97</x:v>
      </x:c>
      <x:c r="R217" s="1" t="str">
        <x:v>Classified</x:v>
      </x:c>
      <x:c r="S217" s="1" t="str">
        <x:v>Plastic Product Information.csv</x:v>
      </x:c>
    </x:row>
    <x:row r="218" ht="21" customHeight="1">
      <x:c r="A218" s="1" t="str">
        <x:v>PLAS</x:v>
      </x:c>
      <x:c r="B218" s="1" t="str">
        <x:v>10</x:v>
      </x:c>
      <x:c r="C218" s="1" t="str">
        <x:v>71619RWBCLR</x:v>
      </x:c>
      <x:c r="D218" s="1" t="str">
        <x:v>GOLDEN CHAMPION IND. LIMITED</x:v>
      </x:c>
      <x:c r="E218" s="7" t="n">
        <x:v>46303</x:v>
      </x:c>
      <x:c r="F218" s="8" t="n">
        <x:v>2600</x:v>
      </x:c>
      <x:c r="G218" s="8" t="n">
        <x:v>525</x:v>
      </x:c>
      <x:c r="H218" s="8" t="n">
        <x:v>3.15</x:v>
      </x:c>
      <x:c r="I218" s="8" t="n">
        <x:v>2.5</x:v>
      </x:c>
      <x:c r="J218" s="8" t="n">
        <x:v>100</x:v>
      </x:c>
      <x:c r="K218" s="8" t="n">
        <x:v>1.47</x:v>
      </x:c>
      <x:c r="L218" s="8" t="n">
        <x:v>0</x:v>
      </x:c>
      <x:c r="M218" s="8" t="n">
        <x:v>2600</x:v>
      </x:c>
      <x:c r="N218" s="8" t="n">
        <x:v>0</x:v>
      </x:c>
      <x:c r="O218" s="8" t="n">
        <x:v>1</x:v>
      </x:c>
      <x:c r="P218" s="8" t="n">
        <x:v>2.14</x:v>
      </x:c>
      <x:c r="Q218" s="9" t="n">
        <x:v>81.9</x:v>
      </x:c>
      <x:c r="R218" s="1" t="str">
        <x:v>Classified</x:v>
      </x:c>
      <x:c r="S218" s="1" t="str">
        <x:v>Plastic Product Information.csv</x:v>
      </x:c>
    </x:row>
    <x:row r="219" ht="21" customHeight="1">
      <x:c r="A219" s="1" t="str">
        <x:v>PLAS</x:v>
      </x:c>
      <x:c r="B219" s="1" t="str">
        <x:v>60</x:v>
      </x:c>
      <x:c r="C219" s="1" t="str">
        <x:v>07819RWBWHT</x:v>
      </x:c>
      <x:c r="D219" s="1" t="str">
        <x:v>GOLDEN CHAMPION IND. LIMITED</x:v>
      </x:c>
      <x:c r="E219" s="7" t="n">
        <x:v>46303</x:v>
      </x:c>
      <x:c r="F219" s="8" t="n">
        <x:v>100</x:v>
      </x:c>
      <x:c r="G219" s="8" t="n">
        <x:v>516.67</x:v>
      </x:c>
      <x:c r="H219" s="8" t="n">
        <x:v>7.97</x:v>
      </x:c>
      <x:c r="I219" s="8" t="n">
        <x:v>6.34</x:v>
      </x:c>
      <x:c r="J219" s="8" t="n">
        <x:v>100</x:v>
      </x:c>
      <x:c r="K219" s="8" t="n">
        <x:v>1.47</x:v>
      </x:c>
      <x:c r="L219" s="8" t="n">
        <x:v>0</x:v>
      </x:c>
      <x:c r="M219" s="8" t="n">
        <x:v>0</x:v>
      </x:c>
      <x:c r="N219" s="8" t="n">
        <x:v>100</x:v>
      </x:c>
      <x:c r="O219" s="8" t="n">
        <x:v>0</x:v>
      </x:c>
      <x:c r="P219" s="8" t="n">
        <x:v>5.42</x:v>
      </x:c>
      <x:c r="Q219" s="9" t="n">
        <x:v>7.97</x:v>
      </x:c>
      <x:c r="R219" s="1" t="str">
        <x:v>Review receipt reconciliation or original PO baseline</x:v>
      </x:c>
      <x:c r="S219" s="1" t="str">
        <x:v>Plastic Product Information.csv</x:v>
      </x:c>
    </x:row>
    <x:row r="220" ht="21" customHeight="1">
      <x:c r="A220" s="1" t="str">
        <x:v>PLAS</x:v>
      </x:c>
      <x:c r="B220" s="1" t="str">
        <x:v>10</x:v>
      </x:c>
      <x:c r="C220" s="1" t="str">
        <x:v>51619RWBFG</x:v>
      </x:c>
      <x:c r="D220" s="1" t="str">
        <x:v>GOLDEN CHAMPION IND. LIMITED</x:v>
      </x:c>
      <x:c r="E220" s="7" t="n">
        <x:v>46303</x:v>
      </x:c>
      <x:c r="F220" s="8" t="n">
        <x:v>4400</x:v>
      </x:c>
      <x:c r="G220" s="8" t="n">
        <x:v>510.41</x:v>
      </x:c>
      <x:c r="H220" s="8" t="n">
        <x:v>2.16</x:v>
      </x:c>
      <x:c r="I220" s="8" t="n">
        <x:v>1.72</x:v>
      </x:c>
      <x:c r="J220" s="8" t="n">
        <x:v>100</x:v>
      </x:c>
      <x:c r="K220" s="8" t="n">
        <x:v>1.47</x:v>
      </x:c>
      <x:c r="L220" s="8" t="n">
        <x:v>3400</x:v>
      </x:c>
      <x:c r="M220" s="8" t="n">
        <x:v>1000</x:v>
      </x:c>
      <x:c r="N220" s="8" t="n">
        <x:v>0</x:v>
      </x:c>
      <x:c r="O220" s="8" t="n">
        <x:v>1</x:v>
      </x:c>
      <x:c r="P220" s="8" t="n">
        <x:v>1.47</x:v>
      </x:c>
      <x:c r="Q220" s="9" t="n">
        <x:v>95.04</x:v>
      </x:c>
      <x:c r="R220" s="1" t="str">
        <x:v>Classified</x:v>
      </x:c>
      <x:c r="S220" s="1" t="str">
        <x:v>Plastic Product Information.csv</x:v>
      </x:c>
    </x:row>
    <x:row r="221" ht="21" customHeight="1">
      <x:c r="A221" s="1" t="str">
        <x:v>PLAS</x:v>
      </x:c>
      <x:c r="B221" s="1" t="str">
        <x:v>10</x:v>
      </x:c>
      <x:c r="C221" s="1" t="str">
        <x:v>05819RWBMAR</x:v>
      </x:c>
      <x:c r="D221" s="1" t="str">
        <x:v>GOLDEN CHAMPION IND. LIMITED</x:v>
      </x:c>
      <x:c r="E221" s="7" t="n">
        <x:v>46303</x:v>
      </x:c>
      <x:c r="F221" s="8" t="n">
        <x:v>800</x:v>
      </x:c>
      <x:c r="G221" s="8" t="n">
        <x:v>508.33</x:v>
      </x:c>
      <x:c r="H221" s="8" t="n">
        <x:v>4.56</x:v>
      </x:c>
      <x:c r="I221" s="8" t="n">
        <x:v>3.63</x:v>
      </x:c>
      <x:c r="J221" s="8" t="n">
        <x:v>100</x:v>
      </x:c>
      <x:c r="K221" s="8" t="n">
        <x:v>1.47</x:v>
      </x:c>
      <x:c r="L221" s="8" t="n">
        <x:v>800</x:v>
      </x:c>
      <x:c r="M221" s="8" t="n">
        <x:v>0</x:v>
      </x:c>
      <x:c r="N221" s="8" t="n">
        <x:v>0</x:v>
      </x:c>
      <x:c r="O221" s="8" t="n">
        <x:v>1</x:v>
      </x:c>
      <x:c r="P221" s="8" t="n">
        <x:v>3.1</x:v>
      </x:c>
      <x:c r="Q221" s="9" t="n">
        <x:v>36.48</x:v>
      </x:c>
      <x:c r="R221" s="1" t="str">
        <x:v>Classified</x:v>
      </x:c>
      <x:c r="S221" s="1" t="str">
        <x:v>Plastic Product Information.csv</x:v>
      </x:c>
    </x:row>
    <x:row r="222" ht="21" customHeight="1">
      <x:c r="A222" s="1" t="str">
        <x:v>PLAS</x:v>
      </x:c>
      <x:c r="B222" s="1" t="str">
        <x:v>10</x:v>
      </x:c>
      <x:c r="C222" s="1" t="str">
        <x:v>00221RSLBLK</x:v>
      </x:c>
      <x:c r="D222" s="1" t="str">
        <x:v>GOLDEN CHAMPION IND. LIMITED</x:v>
      </x:c>
      <x:c r="E222" s="7" t="n">
        <x:v>46303</x:v>
      </x:c>
      <x:c r="F222" s="8" t="n">
        <x:v>9730</x:v>
      </x:c>
      <x:c r="G222" s="8" t="n">
        <x:v>507.5</x:v>
      </x:c>
      <x:c r="H222" s="8" t="n">
        <x:v>14.33</x:v>
      </x:c>
      <x:c r="I222" s="8" t="n">
        <x:v>11.41</x:v>
      </x:c>
      <x:c r="J222" s="8" t="n">
        <x:v>100</x:v>
      </x:c>
      <x:c r="K222" s="8" t="n">
        <x:v>1.47</x:v>
      </x:c>
      <x:c r="L222" s="8" t="n">
        <x:v>8730</x:v>
      </x:c>
      <x:c r="M222" s="8" t="n">
        <x:v>1000</x:v>
      </x:c>
      <x:c r="N222" s="8" t="n">
        <x:v>0</x:v>
      </x:c>
      <x:c r="O222" s="8" t="n">
        <x:v>1</x:v>
      </x:c>
      <x:c r="P222" s="8" t="n">
        <x:v>9.75</x:v>
      </x:c>
      <x:c r="Q222" s="9" t="n">
        <x:v>1394.309</x:v>
      </x:c>
      <x:c r="R222" s="1" t="str">
        <x:v>Classified</x:v>
      </x:c>
      <x:c r="S222" s="1" t="str">
        <x:v>Plastic Product Information.csv</x:v>
      </x:c>
    </x:row>
    <x:row r="223" ht="21" customHeight="1">
      <x:c r="A223" s="1" t="str">
        <x:v>PLAS</x:v>
      </x:c>
      <x:c r="B223" s="1" t="str">
        <x:v>10</x:v>
      </x:c>
      <x:c r="C223" s="1" t="str">
        <x:v>01221RWBBLK</x:v>
      </x:c>
      <x:c r="D223" s="1" t="str">
        <x:v>GOLDEN CHAMPION IND. LIMITED</x:v>
      </x:c>
      <x:c r="E223" s="7" t="n">
        <x:v>46303</x:v>
      </x:c>
      <x:c r="F223" s="8" t="n">
        <x:v>3250</x:v>
      </x:c>
      <x:c r="G223" s="8" t="n">
        <x:v>506.67</x:v>
      </x:c>
      <x:c r="H223" s="8" t="n">
        <x:v>3.54</x:v>
      </x:c>
      <x:c r="I223" s="8" t="n">
        <x:v>2.82</x:v>
      </x:c>
      <x:c r="J223" s="8" t="n">
        <x:v>100</x:v>
      </x:c>
      <x:c r="K223" s="8" t="n">
        <x:v>1.47</x:v>
      </x:c>
      <x:c r="L223" s="8" t="n">
        <x:v>3250</x:v>
      </x:c>
      <x:c r="M223" s="8" t="n">
        <x:v>0</x:v>
      </x:c>
      <x:c r="N223" s="8" t="n">
        <x:v>0</x:v>
      </x:c>
      <x:c r="O223" s="8" t="n">
        <x:v>1</x:v>
      </x:c>
      <x:c r="P223" s="8" t="n">
        <x:v>2.41</x:v>
      </x:c>
      <x:c r="Q223" s="9" t="n">
        <x:v>115.05</x:v>
      </x:c>
      <x:c r="R223" s="1" t="str">
        <x:v>Classified</x:v>
      </x:c>
      <x:c r="S223" s="1" t="str">
        <x:v>Plastic Product Information.csv</x:v>
      </x:c>
    </x:row>
    <x:row r="224" ht="21" customHeight="1">
      <x:c r="A224" s="1" t="str">
        <x:v>PLAS</x:v>
      </x:c>
      <x:c r="B224" s="1" t="str">
        <x:v>10</x:v>
      </x:c>
      <x:c r="C224" s="1" t="str">
        <x:v>03415RWBBRN</x:v>
      </x:c>
      <x:c r="D224" s="1" t="str">
        <x:v>GOLDEN CHAMPION IND. LIMITED</x:v>
      </x:c>
      <x:c r="E224" s="7" t="n">
        <x:v>46303</x:v>
      </x:c>
      <x:c r="F224" s="8" t="n">
        <x:v>1231</x:v>
      </x:c>
      <x:c r="G224" s="8" t="n">
        <x:v>500</x:v>
      </x:c>
      <x:c r="H224" s="8" t="n">
        <x:v>4.4</x:v>
      </x:c>
      <x:c r="I224" s="8" t="n">
        <x:v>3.5</x:v>
      </x:c>
      <x:c r="J224" s="8" t="n">
        <x:v>100</x:v>
      </x:c>
      <x:c r="K224" s="8" t="n">
        <x:v>1.47</x:v>
      </x:c>
      <x:c r="L224" s="8" t="n">
        <x:v>1231</x:v>
      </x:c>
      <x:c r="M224" s="8" t="n">
        <x:v>0</x:v>
      </x:c>
      <x:c r="N224" s="8" t="n">
        <x:v>0</x:v>
      </x:c>
      <x:c r="O224" s="8" t="n">
        <x:v>1</x:v>
      </x:c>
      <x:c r="P224" s="8" t="n">
        <x:v>2.99</x:v>
      </x:c>
      <x:c r="Q224" s="9" t="n">
        <x:v>54.16400000000001</x:v>
      </x:c>
      <x:c r="R224" s="1" t="str">
        <x:v>Classified</x:v>
      </x:c>
      <x:c r="S224" s="1" t="str">
        <x:v>Plastic Product Information.csv</x:v>
      </x:c>
    </x:row>
    <x:row r="225" ht="21" customHeight="1">
      <x:c r="A225" s="1" t="str">
        <x:v>PLAS</x:v>
      </x:c>
      <x:c r="B225" s="1" t="str">
        <x:v>10</x:v>
      </x:c>
      <x:c r="C225" s="1" t="str">
        <x:v>05815RWBBLU</x:v>
      </x:c>
      <x:c r="D225" s="1" t="str">
        <x:v>GOLDEN CHAMPION IND. LIMITED</x:v>
      </x:c>
      <x:c r="E225" s="7" t="n">
        <x:v>46303</x:v>
      </x:c>
      <x:c r="F225" s="8" t="n">
        <x:v>3000</x:v>
      </x:c>
      <x:c r="G225" s="8" t="n">
        <x:v>500</x:v>
      </x:c>
      <x:c r="H225" s="8" t="n">
        <x:v>3.09</x:v>
      </x:c>
      <x:c r="I225" s="8" t="n">
        <x:v>2.46</x:v>
      </x:c>
      <x:c r="J225" s="8" t="n">
        <x:v>100</x:v>
      </x:c>
      <x:c r="K225" s="8" t="n">
        <x:v>1.47</x:v>
      </x:c>
      <x:c r="L225" s="8" t="n">
        <x:v>3000</x:v>
      </x:c>
      <x:c r="M225" s="8" t="n">
        <x:v>0</x:v>
      </x:c>
      <x:c r="N225" s="8" t="n">
        <x:v>0</x:v>
      </x:c>
      <x:c r="O225" s="8" t="n">
        <x:v>1</x:v>
      </x:c>
      <x:c r="P225" s="8" t="n">
        <x:v>2.1</x:v>
      </x:c>
      <x:c r="Q225" s="9" t="n">
        <x:v>92.7</x:v>
      </x:c>
      <x:c r="R225" s="1" t="str">
        <x:v>Classified</x:v>
      </x:c>
      <x:c r="S225" s="1" t="str">
        <x:v>Plastic Product Information.csv</x:v>
      </x:c>
    </x:row>
    <x:row r="226" ht="21" customHeight="1">
      <x:c r="A226" s="1" t="str">
        <x:v>PLAS</x:v>
      </x:c>
      <x:c r="B226" s="1" t="str">
        <x:v>10</x:v>
      </x:c>
      <x:c r="C226" s="1" t="str">
        <x:v>91615RWBBLU</x:v>
      </x:c>
      <x:c r="D226" s="1" t="str">
        <x:v>GOLDEN CHAMPION IND. LIMITED</x:v>
      </x:c>
      <x:c r="E226" s="7" t="n">
        <x:v>46303</x:v>
      </x:c>
      <x:c r="F226" s="8" t="n">
        <x:v>4500</x:v>
      </x:c>
      <x:c r="G226" s="8" t="n">
        <x:v>500</x:v>
      </x:c>
      <x:c r="H226" s="8" t="n">
        <x:v>2.91</x:v>
      </x:c>
      <x:c r="I226" s="8" t="n">
        <x:v>2.32</x:v>
      </x:c>
      <x:c r="J226" s="8" t="n">
        <x:v>100</x:v>
      </x:c>
      <x:c r="K226" s="8" t="n">
        <x:v>1.47</x:v>
      </x:c>
      <x:c r="L226" s="8" t="n">
        <x:v>4500</x:v>
      </x:c>
      <x:c r="M226" s="8" t="n">
        <x:v>0</x:v>
      </x:c>
      <x:c r="N226" s="8" t="n">
        <x:v>0</x:v>
      </x:c>
      <x:c r="O226" s="8" t="n">
        <x:v>1</x:v>
      </x:c>
      <x:c r="P226" s="8" t="n">
        <x:v>1.98</x:v>
      </x:c>
      <x:c r="Q226" s="9" t="n">
        <x:v>130.95</x:v>
      </x:c>
      <x:c r="R226" s="1" t="str">
        <x:v>Classified</x:v>
      </x:c>
      <x:c r="S226" s="1" t="str">
        <x:v>Plastic Product Information.csv</x:v>
      </x:c>
    </x:row>
    <x:row r="227" ht="21" customHeight="1">
      <x:c r="A227" s="1" t="str">
        <x:v>PLAS</x:v>
      </x:c>
      <x:c r="B227" s="1" t="str">
        <x:v>30</x:v>
      </x:c>
      <x:c r="C227" s="1" t="str">
        <x:v>01419RWBNAV</x:v>
      </x:c>
      <x:c r="D227" s="1" t="str">
        <x:v>GOLDEN CHAMPION IND. LIMITED</x:v>
      </x:c>
      <x:c r="E227" s="7" t="n">
        <x:v>46303</x:v>
      </x:c>
      <x:c r="F227" s="8" t="n">
        <x:v>600</x:v>
      </x:c>
      <x:c r="G227" s="8" t="n">
        <x:v>500</x:v>
      </x:c>
      <x:c r="H227" s="8" t="n">
        <x:v>1.81</x:v>
      </x:c>
      <x:c r="I227" s="8" t="n">
        <x:v>1.44</x:v>
      </x:c>
      <x:c r="J227" s="8" t="n">
        <x:v>100</x:v>
      </x:c>
      <x:c r="K227" s="8" t="n">
        <x:v>1.47</x:v>
      </x:c>
      <x:c r="L227" s="8" t="n">
        <x:v>0</x:v>
      </x:c>
      <x:c r="M227" s="8" t="n">
        <x:v>0</x:v>
      </x:c>
      <x:c r="N227" s="8" t="n">
        <x:v>600</x:v>
      </x:c>
      <x:c r="O227" s="8" t="n">
        <x:v>0</x:v>
      </x:c>
      <x:c r="P227" s="8" t="n">
        <x:v>1.23</x:v>
      </x:c>
      <x:c r="Q227" s="9" t="n">
        <x:v>10.86</x:v>
      </x:c>
      <x:c r="R227" s="1" t="str">
        <x:v>Review receipt reconciliation or original PO baseline</x:v>
      </x:c>
      <x:c r="S227" s="1" t="str">
        <x:v>Plastic Product Information.csv</x:v>
      </x:c>
    </x:row>
    <x:row r="228" ht="21" customHeight="1">
      <x:c r="A228" s="1" t="str">
        <x:v>PLAS</x:v>
      </x:c>
      <x:c r="B228" s="1" t="str">
        <x:v>30</x:v>
      </x:c>
      <x:c r="C228" s="1" t="str">
        <x:v>03819RWBNAV</x:v>
      </x:c>
      <x:c r="D228" s="1" t="str">
        <x:v>GOLDEN CHAMPION IND. LIMITED</x:v>
      </x:c>
      <x:c r="E228" s="7" t="n">
        <x:v>46303</x:v>
      </x:c>
      <x:c r="F228" s="8" t="n">
        <x:v>200</x:v>
      </x:c>
      <x:c r="G228" s="8" t="n">
        <x:v>500</x:v>
      </x:c>
      <x:c r="H228" s="8" t="n">
        <x:v>2.48</x:v>
      </x:c>
      <x:c r="I228" s="8" t="n">
        <x:v>1.98</x:v>
      </x:c>
      <x:c r="J228" s="8" t="n">
        <x:v>100</x:v>
      </x:c>
      <x:c r="K228" s="8" t="n">
        <x:v>1.47</x:v>
      </x:c>
      <x:c r="L228" s="8" t="n">
        <x:v>0</x:v>
      </x:c>
      <x:c r="M228" s="8" t="n">
        <x:v>0</x:v>
      </x:c>
      <x:c r="N228" s="8" t="n">
        <x:v>200</x:v>
      </x:c>
      <x:c r="O228" s="8" t="n">
        <x:v>0</x:v>
      </x:c>
      <x:c r="P228" s="8" t="n">
        <x:v>1.69</x:v>
      </x:c>
      <x:c r="Q228" s="9" t="n">
        <x:v>4.96</x:v>
      </x:c>
      <x:c r="R228" s="1" t="str">
        <x:v>Review receipt reconciliation or original PO baseline</x:v>
      </x:c>
      <x:c r="S228" s="1" t="str">
        <x:v>Plastic Product Information.csv</x:v>
      </x:c>
    </x:row>
    <x:row r="229" ht="21" customHeight="1">
      <x:c r="A229" s="1" t="str">
        <x:v>PLAS</x:v>
      </x:c>
      <x:c r="B229" s="1" t="str">
        <x:v>60</x:v>
      </x:c>
      <x:c r="C229" s="1" t="str">
        <x:v>00115RWBWHT</x:v>
      </x:c>
      <x:c r="D229" s="1" t="str">
        <x:v>GOLDEN CHAMPION IND. LIMITED</x:v>
      </x:c>
      <x:c r="E229" s="7" t="n">
        <x:v>46303</x:v>
      </x:c>
      <x:c r="F229" s="8" t="n">
        <x:v>3000</x:v>
      </x:c>
      <x:c r="G229" s="8" t="n">
        <x:v>500</x:v>
      </x:c>
      <x:c r="H229" s="8" t="n">
        <x:v>7.36</x:v>
      </x:c>
      <x:c r="I229" s="8" t="n">
        <x:v>5.86</x:v>
      </x:c>
      <x:c r="J229" s="8" t="n">
        <x:v>100</x:v>
      </x:c>
      <x:c r="K229" s="8" t="n">
        <x:v>1.47</x:v>
      </x:c>
      <x:c r="L229" s="8" t="n">
        <x:v>0</x:v>
      </x:c>
      <x:c r="M229" s="8" t="n">
        <x:v>0</x:v>
      </x:c>
      <x:c r="N229" s="8" t="n">
        <x:v>3000</x:v>
      </x:c>
      <x:c r="O229" s="8" t="n">
        <x:v>0</x:v>
      </x:c>
      <x:c r="P229" s="8" t="n">
        <x:v>5.01</x:v>
      </x:c>
      <x:c r="Q229" s="9" t="n">
        <x:v>220.8</x:v>
      </x:c>
      <x:c r="R229" s="1" t="str">
        <x:v>Review receipt reconciliation or original PO baseline</x:v>
      </x:c>
      <x:c r="S229" s="1" t="str">
        <x:v>Plastic Product Information.csv</x:v>
      </x:c>
    </x:row>
    <x:row r="230" ht="21" customHeight="1">
      <x:c r="A230" s="1" t="str">
        <x:v>PLAS</x:v>
      </x:c>
      <x:c r="B230" s="1" t="str">
        <x:v>10</x:v>
      </x:c>
      <x:c r="C230" s="1" t="str">
        <x:v>11419RSLWHT</x:v>
      </x:c>
      <x:c r="D230" s="1" t="str">
        <x:v>GOLDEN CHAMPION IND. LIMITED</x:v>
      </x:c>
      <x:c r="E230" s="7" t="n">
        <x:v>46303</x:v>
      </x:c>
      <x:c r="F230" s="8" t="n">
        <x:v>2400</x:v>
      </x:c>
      <x:c r="G230" s="8" t="n">
        <x:v>496.08</x:v>
      </x:c>
      <x:c r="H230" s="8" t="n">
        <x:v>11.1</x:v>
      </x:c>
      <x:c r="I230" s="8" t="n">
        <x:v>8.83</x:v>
      </x:c>
      <x:c r="J230" s="8" t="n">
        <x:v>100</x:v>
      </x:c>
      <x:c r="K230" s="8" t="n">
        <x:v>1.47</x:v>
      </x:c>
      <x:c r="L230" s="8" t="n">
        <x:v>0</x:v>
      </x:c>
      <x:c r="M230" s="8" t="n">
        <x:v>2400</x:v>
      </x:c>
      <x:c r="N230" s="8" t="n">
        <x:v>0</x:v>
      </x:c>
      <x:c r="O230" s="8" t="n">
        <x:v>1</x:v>
      </x:c>
      <x:c r="P230" s="8" t="n">
        <x:v>7.55</x:v>
      </x:c>
      <x:c r="Q230" s="9" t="n">
        <x:v>266.4</x:v>
      </x:c>
      <x:c r="R230" s="1" t="str">
        <x:v>Classified</x:v>
      </x:c>
      <x:c r="S230" s="1" t="str">
        <x:v>Plastic Product Information.csv</x:v>
      </x:c>
    </x:row>
    <x:row r="231" ht="21" customHeight="1">
      <x:c r="A231" s="1" t="str">
        <x:v>PLAS</x:v>
      </x:c>
      <x:c r="B231" s="1" t="str">
        <x:v>10</x:v>
      </x:c>
      <x:c r="C231" s="1" t="str">
        <x:v>01419RWBCLR</x:v>
      </x:c>
      <x:c r="D231" s="1" t="str">
        <x:v>GOLDEN CHAMPION IND. LIMITED</x:v>
      </x:c>
      <x:c r="E231" s="7" t="n">
        <x:v>46303</x:v>
      </x:c>
      <x:c r="F231" s="8" t="n">
        <x:v>2700</x:v>
      </x:c>
      <x:c r="G231" s="8" t="n">
        <x:v>483.33</x:v>
      </x:c>
      <x:c r="H231" s="8" t="n">
        <x:v>1.81</x:v>
      </x:c>
      <x:c r="I231" s="8" t="n">
        <x:v>1.44</x:v>
      </x:c>
      <x:c r="J231" s="8" t="n">
        <x:v>100</x:v>
      </x:c>
      <x:c r="K231" s="8" t="n">
        <x:v>1.47</x:v>
      </x:c>
      <x:c r="L231" s="8" t="n">
        <x:v>2700</x:v>
      </x:c>
      <x:c r="M231" s="8" t="n">
        <x:v>0</x:v>
      </x:c>
      <x:c r="N231" s="8" t="n">
        <x:v>0</x:v>
      </x:c>
      <x:c r="O231" s="8" t="n">
        <x:v>1</x:v>
      </x:c>
      <x:c r="P231" s="8" t="n">
        <x:v>1.23</x:v>
      </x:c>
      <x:c r="Q231" s="9" t="n">
        <x:v>48.870000000000005</x:v>
      </x:c>
      <x:c r="R231" s="1" t="str">
        <x:v>Classified</x:v>
      </x:c>
      <x:c r="S231" s="1" t="str">
        <x:v>Plastic Product Information.csv</x:v>
      </x:c>
    </x:row>
    <x:row r="232" ht="21" customHeight="1">
      <x:c r="A232" s="1" t="str">
        <x:v>PLAS</x:v>
      </x:c>
      <x:c r="B232" s="1" t="str">
        <x:v>60</x:v>
      </x:c>
      <x:c r="C232" s="1" t="str">
        <x:v>03419RWBNAV</x:v>
      </x:c>
      <x:c r="D232" s="1" t="str">
        <x:v>GOLDEN CHAMPION IND. LIMITED</x:v>
      </x:c>
      <x:c r="E232" s="7" t="n">
        <x:v>46303</x:v>
      </x:c>
      <x:c r="F232" s="8" t="n">
        <x:v>2700</x:v>
      </x:c>
      <x:c r="G232" s="8" t="n">
        <x:v>483.33</x:v>
      </x:c>
      <x:c r="H232" s="8" t="n">
        <x:v>6.25</x:v>
      </x:c>
      <x:c r="I232" s="8" t="n">
        <x:v>4.97</x:v>
      </x:c>
      <x:c r="J232" s="8" t="n">
        <x:v>100</x:v>
      </x:c>
      <x:c r="K232" s="8" t="n">
        <x:v>1.47</x:v>
      </x:c>
      <x:c r="L232" s="8" t="n">
        <x:v>0</x:v>
      </x:c>
      <x:c r="M232" s="8" t="n">
        <x:v>0</x:v>
      </x:c>
      <x:c r="N232" s="8" t="n">
        <x:v>2700</x:v>
      </x:c>
      <x:c r="O232" s="8" t="n">
        <x:v>0</x:v>
      </x:c>
      <x:c r="P232" s="8" t="n">
        <x:v>4.25</x:v>
      </x:c>
      <x:c r="Q232" s="9" t="n">
        <x:v>168.75</x:v>
      </x:c>
      <x:c r="R232" s="1" t="str">
        <x:v>Review receipt reconciliation or original PO baseline</x:v>
      </x:c>
      <x:c r="S232" s="1" t="str">
        <x:v>Plastic Product Information.csv</x:v>
      </x:c>
    </x:row>
    <x:row r="233" ht="21" customHeight="1">
      <x:c r="A233" s="1" t="str">
        <x:v>PLAS</x:v>
      </x:c>
      <x:c r="B233" s="1" t="str">
        <x:v>30</x:v>
      </x:c>
      <x:c r="C233" s="1" t="str">
        <x:v>01219RWBWHT</x:v>
      </x:c>
      <x:c r="D233" s="1" t="str">
        <x:v>GOLDEN CHAMPION IND. LIMITED</x:v>
      </x:c>
      <x:c r="E233" s="7" t="n">
        <x:v>46303</x:v>
      </x:c>
      <x:c r="F233" s="8" t="n">
        <x:v>1500</x:v>
      </x:c>
      <x:c r="G233" s="8" t="n">
        <x:v>466.67</x:v>
      </x:c>
      <x:c r="H233" s="8" t="n">
        <x:v>3.6</x:v>
      </x:c>
      <x:c r="I233" s="8" t="n">
        <x:v>2.87</x:v>
      </x:c>
      <x:c r="J233" s="8" t="n">
        <x:v>100</x:v>
      </x:c>
      <x:c r="K233" s="8" t="n">
        <x:v>1.47</x:v>
      </x:c>
      <x:c r="L233" s="8" t="n">
        <x:v>0</x:v>
      </x:c>
      <x:c r="M233" s="8" t="n">
        <x:v>0</x:v>
      </x:c>
      <x:c r="N233" s="8" t="n">
        <x:v>1500</x:v>
      </x:c>
      <x:c r="O233" s="8" t="n">
        <x:v>0</x:v>
      </x:c>
      <x:c r="P233" s="8" t="n">
        <x:v>2.45</x:v>
      </x:c>
      <x:c r="Q233" s="9" t="n">
        <x:v>54</x:v>
      </x:c>
      <x:c r="R233" s="1" t="str">
        <x:v>Review receipt reconciliation or original PO baseline</x:v>
      </x:c>
      <x:c r="S233" s="1" t="str">
        <x:v>Plastic Product Information.csv</x:v>
      </x:c>
    </x:row>
    <x:row r="234" ht="21" customHeight="1">
      <x:c r="A234" s="1" t="str">
        <x:v>PLAS</x:v>
      </x:c>
      <x:c r="B234" s="1" t="str">
        <x:v>60</x:v>
      </x:c>
      <x:c r="C234" s="1" t="str">
        <x:v>05819RWBNAV</x:v>
      </x:c>
      <x:c r="D234" s="1" t="str">
        <x:v>GOLDEN CHAMPION IND. LIMITED</x:v>
      </x:c>
      <x:c r="E234" s="7" t="n">
        <x:v>46303</x:v>
      </x:c>
      <x:c r="F234" s="8" t="n">
        <x:v>3400</x:v>
      </x:c>
      <x:c r="G234" s="8" t="n">
        <x:v>466.67</x:v>
      </x:c>
      <x:c r="H234" s="8" t="n">
        <x:v>4.56</x:v>
      </x:c>
      <x:c r="I234" s="8" t="n">
        <x:v>3.63</x:v>
      </x:c>
      <x:c r="J234" s="8" t="n">
        <x:v>100</x:v>
      </x:c>
      <x:c r="K234" s="8" t="n">
        <x:v>1.47</x:v>
      </x:c>
      <x:c r="L234" s="8" t="n">
        <x:v>0</x:v>
      </x:c>
      <x:c r="M234" s="8" t="n">
        <x:v>0</x:v>
      </x:c>
      <x:c r="N234" s="8" t="n">
        <x:v>3400</x:v>
      </x:c>
      <x:c r="O234" s="8" t="n">
        <x:v>0</x:v>
      </x:c>
      <x:c r="P234" s="8" t="n">
        <x:v>3.1</x:v>
      </x:c>
      <x:c r="Q234" s="9" t="n">
        <x:v>155.04</x:v>
      </x:c>
      <x:c r="R234" s="1" t="str">
        <x:v>Review receipt reconciliation or original PO baseline</x:v>
      </x:c>
      <x:c r="S234" s="1" t="str">
        <x:v>Plastic Product Information.csv</x:v>
      </x:c>
    </x:row>
    <x:row r="235" ht="21" customHeight="1">
      <x:c r="A235" s="1" t="str">
        <x:v>PLAS</x:v>
      </x:c>
      <x:c r="B235" s="1" t="str">
        <x:v>60</x:v>
      </x:c>
      <x:c r="C235" s="1" t="str">
        <x:v>11219RSLBLK</x:v>
      </x:c>
      <x:c r="D235" s="1" t="str">
        <x:v>GOLDEN CHAMPION IND. LIMITED</x:v>
      </x:c>
      <x:c r="E235" s="7" t="n">
        <x:v>46303</x:v>
      </x:c>
      <x:c r="F235" s="8" t="n">
        <x:v>3450</x:v>
      </x:c>
      <x:c r="G235" s="8" t="n">
        <x:v>466.67</x:v>
      </x:c>
      <x:c r="H235" s="8" t="n">
        <x:v>12.98</x:v>
      </x:c>
      <x:c r="I235" s="8" t="n">
        <x:v>10.33</x:v>
      </x:c>
      <x:c r="J235" s="8" t="n">
        <x:v>100</x:v>
      </x:c>
      <x:c r="K235" s="8" t="n">
        <x:v>1.47</x:v>
      </x:c>
      <x:c r="L235" s="8" t="n">
        <x:v>0</x:v>
      </x:c>
      <x:c r="M235" s="8" t="n">
        <x:v>0</x:v>
      </x:c>
      <x:c r="N235" s="8" t="n">
        <x:v>3450</x:v>
      </x:c>
      <x:c r="O235" s="8" t="n">
        <x:v>0</x:v>
      </x:c>
      <x:c r="P235" s="8" t="n">
        <x:v>8.83</x:v>
      </x:c>
      <x:c r="Q235" s="9" t="n">
        <x:v>447.81</x:v>
      </x:c>
      <x:c r="R235" s="1" t="str">
        <x:v>Review receipt reconciliation or original PO baseline</x:v>
      </x:c>
      <x:c r="S235" s="1" t="str">
        <x:v>Plastic Product Information.csv</x:v>
      </x:c>
    </x:row>
    <x:row r="236" ht="21" customHeight="1">
      <x:c r="A236" s="1" t="str">
        <x:v>PLAS</x:v>
      </x:c>
      <x:c r="B236" s="1" t="str">
        <x:v>10</x:v>
      </x:c>
      <x:c r="C236" s="1" t="str">
        <x:v>01419RWBRED</x:v>
      </x:c>
      <x:c r="D236" s="1" t="str">
        <x:v>GOLDEN CHAMPION IND. LIMITED</x:v>
      </x:c>
      <x:c r="E236" s="7" t="n">
        <x:v>46303</x:v>
      </x:c>
      <x:c r="F236" s="8" t="n">
        <x:v>700</x:v>
      </x:c>
      <x:c r="G236" s="8" t="n">
        <x:v>458.33</x:v>
      </x:c>
      <x:c r="H236" s="8" t="n">
        <x:v>1.81</x:v>
      </x:c>
      <x:c r="I236" s="8" t="n">
        <x:v>1.44</x:v>
      </x:c>
      <x:c r="J236" s="8" t="n">
        <x:v>100</x:v>
      </x:c>
      <x:c r="K236" s="8" t="n">
        <x:v>1.47</x:v>
      </x:c>
      <x:c r="L236" s="8" t="n">
        <x:v>0</x:v>
      </x:c>
      <x:c r="M236" s="8" t="n">
        <x:v>0</x:v>
      </x:c>
      <x:c r="N236" s="8" t="n">
        <x:v>700</x:v>
      </x:c>
      <x:c r="O236" s="8" t="n">
        <x:v>0</x:v>
      </x:c>
      <x:c r="P236" s="8" t="n">
        <x:v>1.23</x:v>
      </x:c>
      <x:c r="Q236" s="9" t="n">
        <x:v>12.67</x:v>
      </x:c>
      <x:c r="R236" s="1" t="str">
        <x:v>Review receipt reconciliation or original PO baseline</x:v>
      </x:c>
      <x:c r="S236" s="1" t="str">
        <x:v>Plastic Product Information.csv</x:v>
      </x:c>
    </x:row>
    <x:row r="237" ht="21" customHeight="1">
      <x:c r="A237" s="1" t="str">
        <x:v>PLAS</x:v>
      </x:c>
      <x:c r="B237" s="1" t="str">
        <x:v>30</x:v>
      </x:c>
      <x:c r="C237" s="1" t="str">
        <x:v>13419RSLBLK</x:v>
      </x:c>
      <x:c r="D237" s="1" t="str">
        <x:v>GOLDEN CHAMPION IND. LIMITED</x:v>
      </x:c>
      <x:c r="E237" s="7" t="n">
        <x:v>46303</x:v>
      </x:c>
      <x:c r="F237" s="8" t="n">
        <x:v>1050</x:v>
      </x:c>
      <x:c r="G237" s="8" t="n">
        <x:v>433.33</x:v>
      </x:c>
      <x:c r="H237" s="8" t="n">
        <x:v>14.57</x:v>
      </x:c>
      <x:c r="I237" s="8" t="n">
        <x:v>11.59</x:v>
      </x:c>
      <x:c r="J237" s="8" t="n">
        <x:v>100</x:v>
      </x:c>
      <x:c r="K237" s="8" t="n">
        <x:v>1.47</x:v>
      </x:c>
      <x:c r="L237" s="8" t="n">
        <x:v>0</x:v>
      </x:c>
      <x:c r="M237" s="8" t="n">
        <x:v>0</x:v>
      </x:c>
      <x:c r="N237" s="8" t="n">
        <x:v>1050</x:v>
      </x:c>
      <x:c r="O237" s="8" t="n">
        <x:v>0</x:v>
      </x:c>
      <x:c r="P237" s="8" t="n">
        <x:v>9.91</x:v>
      </x:c>
      <x:c r="Q237" s="9" t="n">
        <x:v>152.985</x:v>
      </x:c>
      <x:c r="R237" s="1" t="str">
        <x:v>Review receipt reconciliation or original PO baseline</x:v>
      </x:c>
      <x:c r="S237" s="1" t="str">
        <x:v>Plastic Product Information.csv</x:v>
      </x:c>
    </x:row>
    <x:row r="238" ht="21" customHeight="1">
      <x:c r="A238" s="1" t="str">
        <x:v>PLAS</x:v>
      </x:c>
      <x:c r="B238" s="1" t="str">
        <x:v>10</x:v>
      </x:c>
      <x:c r="C238" s="1" t="str">
        <x:v>11415RSLBLK</x:v>
      </x:c>
      <x:c r="D238" s="1" t="str">
        <x:v>GOLDEN CHAMPION IND. LIMITED</x:v>
      </x:c>
      <x:c r="E238" s="7" t="n">
        <x:v>46303</x:v>
      </x:c>
      <x:c r="F238" s="8" t="n">
        <x:v>0</x:v>
      </x:c>
      <x:c r="G238" s="8" t="n">
        <x:v>431.75</x:v>
      </x:c>
      <x:c r="H238" s="8" t="n">
        <x:v>7.82</x:v>
      </x:c>
      <x:c r="I238" s="8" t="n">
        <x:v>6.22</x:v>
      </x:c>
      <x:c r="J238" s="8" t="n">
        <x:v>100</x:v>
      </x:c>
      <x:c r="K238" s="8" t="n">
        <x:v>1.47</x:v>
      </x:c>
      <x:c r="L238" s="8" t="n">
        <x:v>0</x:v>
      </x:c>
      <x:c r="M238" s="8" t="n">
        <x:v>0</x:v>
      </x:c>
      <x:c r="N238" s="8" t="n">
        <x:v>0</x:v>
      </x:c>
      <x:c r="O238" s="8" t="n">
        <x:v>1</x:v>
      </x:c>
      <x:c r="P238" s="8" t="n">
        <x:v>5.32</x:v>
      </x:c>
      <x:c r="Q238" s="9" t="n">
        <x:v>0</x:v>
      </x:c>
      <x:c r="R238" s="1" t="str">
        <x:v>Classified</x:v>
      </x:c>
      <x:c r="S238" s="1" t="str">
        <x:v>Plastic Product Information.csv</x:v>
      </x:c>
    </x:row>
    <x:row r="239" ht="21" customHeight="1">
      <x:c r="A239" s="1" t="str">
        <x:v>PLAS</x:v>
      </x:c>
      <x:c r="B239" s="1" t="str">
        <x:v>30</x:v>
      </x:c>
      <x:c r="C239" s="1" t="str">
        <x:v>00219RSLBLK</x:v>
      </x:c>
      <x:c r="D239" s="1" t="str">
        <x:v>GOLDEN CHAMPION IND. LIMITED</x:v>
      </x:c>
      <x:c r="E239" s="7" t="n">
        <x:v>46303</x:v>
      </x:c>
      <x:c r="F239" s="8" t="n">
        <x:v>0</x:v>
      </x:c>
      <x:c r="G239" s="8" t="n">
        <x:v>420</x:v>
      </x:c>
      <x:c r="H239" s="8" t="n">
        <x:v>14.77</x:v>
      </x:c>
      <x:c r="I239" s="8" t="n">
        <x:v>11.76</x:v>
      </x:c>
      <x:c r="J239" s="8" t="n">
        <x:v>100</x:v>
      </x:c>
      <x:c r="K239" s="8" t="n">
        <x:v>1.47</x:v>
      </x:c>
      <x:c r="L239" s="8" t="n">
        <x:v>0</x:v>
      </x:c>
      <x:c r="M239" s="8" t="n">
        <x:v>0</x:v>
      </x:c>
      <x:c r="N239" s="8" t="n">
        <x:v>0</x:v>
      </x:c>
      <x:c r="O239" s="8" t="n">
        <x:v>1</x:v>
      </x:c>
      <x:c r="P239" s="8" t="n">
        <x:v>10.05</x:v>
      </x:c>
      <x:c r="Q239" s="9" t="n">
        <x:v>17.724</x:v>
      </x:c>
      <x:c r="R239" s="1" t="str">
        <x:v>Classified</x:v>
      </x:c>
      <x:c r="S239" s="1" t="str">
        <x:v>Plastic Product Information.csv</x:v>
      </x:c>
    </x:row>
    <x:row r="240" ht="21" customHeight="1">
      <x:c r="A240" s="1" t="str">
        <x:v>PLAS</x:v>
      </x:c>
      <x:c r="B240" s="1" t="str">
        <x:v>10</x:v>
      </x:c>
      <x:c r="C240" s="1" t="str">
        <x:v>00115RWBBLK</x:v>
      </x:c>
      <x:c r="D240" s="1" t="str">
        <x:v>GOLDEN CHAMPION IND. LIMITED</x:v>
      </x:c>
      <x:c r="E240" s="7" t="n">
        <x:v>46303</x:v>
      </x:c>
      <x:c r="F240" s="8" t="n">
        <x:v>2625</x:v>
      </x:c>
      <x:c r="G240" s="8" t="n">
        <x:v>416.91</x:v>
      </x:c>
      <x:c r="H240" s="8" t="n">
        <x:v>7.36</x:v>
      </x:c>
      <x:c r="I240" s="8" t="n">
        <x:v>5.86</x:v>
      </x:c>
      <x:c r="J240" s="8" t="n">
        <x:v>100</x:v>
      </x:c>
      <x:c r="K240" s="8" t="n">
        <x:v>1.47</x:v>
      </x:c>
      <x:c r="L240" s="8" t="n">
        <x:v>2625</x:v>
      </x:c>
      <x:c r="M240" s="8" t="n">
        <x:v>0</x:v>
      </x:c>
      <x:c r="N240" s="8" t="n">
        <x:v>0</x:v>
      </x:c>
      <x:c r="O240" s="8" t="n">
        <x:v>1</x:v>
      </x:c>
      <x:c r="P240" s="8" t="n">
        <x:v>5.01</x:v>
      </x:c>
      <x:c r="Q240" s="9" t="n">
        <x:v>193.20000000000002</x:v>
      </x:c>
      <x:c r="R240" s="1" t="str">
        <x:v>Classified</x:v>
      </x:c>
      <x:c r="S240" s="1" t="str">
        <x:v>Plastic Product Information.csv</x:v>
      </x:c>
    </x:row>
    <x:row r="241" ht="21" customHeight="1">
      <x:c r="A241" s="1" t="str">
        <x:v>PLAS</x:v>
      </x:c>
      <x:c r="B241" s="1" t="str">
        <x:v>10</x:v>
      </x:c>
      <x:c r="C241" s="1" t="str">
        <x:v>05815RWBFG</x:v>
      </x:c>
      <x:c r="D241" s="1" t="str">
        <x:v>GOLDEN CHAMPION IND. LIMITED</x:v>
      </x:c>
      <x:c r="E241" s="7" t="n">
        <x:v>46303</x:v>
      </x:c>
      <x:c r="F241" s="8" t="n">
        <x:v>2000</x:v>
      </x:c>
      <x:c r="G241" s="8" t="n">
        <x:v>416.67</x:v>
      </x:c>
      <x:c r="H241" s="8" t="n">
        <x:v>3.09</x:v>
      </x:c>
      <x:c r="I241" s="8" t="n">
        <x:v>2.46</x:v>
      </x:c>
      <x:c r="J241" s="8" t="n">
        <x:v>100</x:v>
      </x:c>
      <x:c r="K241" s="8" t="n">
        <x:v>1.47</x:v>
      </x:c>
      <x:c r="L241" s="8" t="n">
        <x:v>2000</x:v>
      </x:c>
      <x:c r="M241" s="8" t="n">
        <x:v>0</x:v>
      </x:c>
      <x:c r="N241" s="8" t="n">
        <x:v>0</x:v>
      </x:c>
      <x:c r="O241" s="8" t="n">
        <x:v>1</x:v>
      </x:c>
      <x:c r="P241" s="8" t="n">
        <x:v>2.1</x:v>
      </x:c>
      <x:c r="Q241" s="9" t="n">
        <x:v>61.800000000000004</x:v>
      </x:c>
      <x:c r="R241" s="1" t="str">
        <x:v>Classified</x:v>
      </x:c>
      <x:c r="S241" s="1" t="str">
        <x:v>Plastic Product Information.csv</x:v>
      </x:c>
    </x:row>
    <x:row r="242" ht="21" customHeight="1">
      <x:c r="A242" s="1" t="str">
        <x:v>PLAS</x:v>
      </x:c>
      <x:c r="B242" s="1" t="str">
        <x:v>10</x:v>
      </x:c>
      <x:c r="C242" s="1" t="str">
        <x:v>07819RWBNAV</x:v>
      </x:c>
      <x:c r="D242" s="1" t="str">
        <x:v>GOLDEN CHAMPION IND. LIMITED</x:v>
      </x:c>
      <x:c r="E242" s="7" t="n">
        <x:v>46303</x:v>
      </x:c>
      <x:c r="F242" s="8" t="n">
        <x:v>0</x:v>
      </x:c>
      <x:c r="G242" s="8" t="n">
        <x:v>416.67</x:v>
      </x:c>
      <x:c r="H242" s="8" t="n">
        <x:v>7.97</x:v>
      </x:c>
      <x:c r="I242" s="8" t="n">
        <x:v>6.34</x:v>
      </x:c>
      <x:c r="J242" s="8" t="n">
        <x:v>100</x:v>
      </x:c>
      <x:c r="K242" s="8" t="n">
        <x:v>1.47</x:v>
      </x:c>
      <x:c r="L242" s="8" t="n">
        <x:v>0</x:v>
      </x:c>
      <x:c r="M242" s="8" t="n">
        <x:v>0</x:v>
      </x:c>
      <x:c r="N242" s="8" t="n">
        <x:v>0</x:v>
      </x:c>
      <x:c r="O242" s="8" t="n">
        <x:v>1</x:v>
      </x:c>
      <x:c r="P242" s="8" t="n">
        <x:v>5.42</x:v>
      </x:c>
      <x:c r="Q242" s="9" t="n">
        <x:v>0</x:v>
      </x:c>
      <x:c r="R242" s="1" t="str">
        <x:v>Classified</x:v>
      </x:c>
      <x:c r="S242" s="1" t="str">
        <x:v>Plastic Product Information.csv</x:v>
      </x:c>
    </x:row>
    <x:row r="243" ht="21" customHeight="1">
      <x:c r="A243" s="1" t="str">
        <x:v>PLAS</x:v>
      </x:c>
      <x:c r="B243" s="1" t="str">
        <x:v>60</x:v>
      </x:c>
      <x:c r="C243" s="1" t="str">
        <x:v>11219RSLWHT</x:v>
      </x:c>
      <x:c r="D243" s="1" t="str">
        <x:v>GOLDEN CHAMPION IND. LIMITED</x:v>
      </x:c>
      <x:c r="E243" s="7" t="n">
        <x:v>46303</x:v>
      </x:c>
      <x:c r="F243" s="8" t="n">
        <x:v>1050</x:v>
      </x:c>
      <x:c r="G243" s="8" t="n">
        <x:v>391.67</x:v>
      </x:c>
      <x:c r="H243" s="8" t="n">
        <x:v>12.98</x:v>
      </x:c>
      <x:c r="I243" s="8" t="n">
        <x:v>10.33</x:v>
      </x:c>
      <x:c r="J243" s="8" t="n">
        <x:v>100</x:v>
      </x:c>
      <x:c r="K243" s="8" t="n">
        <x:v>1.47</x:v>
      </x:c>
      <x:c r="L243" s="8" t="n">
        <x:v>0</x:v>
      </x:c>
      <x:c r="M243" s="8" t="n">
        <x:v>0</x:v>
      </x:c>
      <x:c r="N243" s="8" t="n">
        <x:v>1050</x:v>
      </x:c>
      <x:c r="O243" s="8" t="n">
        <x:v>0</x:v>
      </x:c>
      <x:c r="P243" s="8" t="n">
        <x:v>8.83</x:v>
      </x:c>
      <x:c r="Q243" s="9" t="n">
        <x:v>136.29</x:v>
      </x:c>
      <x:c r="R243" s="1" t="str">
        <x:v>Review receipt reconciliation or original PO baseline</x:v>
      </x:c>
      <x:c r="S243" s="1" t="str">
        <x:v>Plastic Product Information.csv</x:v>
      </x:c>
    </x:row>
    <x:row r="244" ht="21" customHeight="1">
      <x:c r="A244" s="1" t="str">
        <x:v>PLAS</x:v>
      </x:c>
      <x:c r="B244" s="1" t="str">
        <x:v>30</x:v>
      </x:c>
      <x:c r="C244" s="1" t="str">
        <x:v>07819RWBWHT</x:v>
      </x:c>
      <x:c r="D244" s="1" t="str">
        <x:v>GOLDEN CHAMPION IND. LIMITED</x:v>
      </x:c>
      <x:c r="E244" s="7" t="n">
        <x:v>46303</x:v>
      </x:c>
      <x:c r="F244" s="8" t="n">
        <x:v>1200</x:v>
      </x:c>
      <x:c r="G244" s="8" t="n">
        <x:v>383.33</x:v>
      </x:c>
      <x:c r="H244" s="8" t="n">
        <x:v>7.97</x:v>
      </x:c>
      <x:c r="I244" s="8" t="n">
        <x:v>6.34</x:v>
      </x:c>
      <x:c r="J244" s="8" t="n">
        <x:v>100</x:v>
      </x:c>
      <x:c r="K244" s="8" t="n">
        <x:v>1.47</x:v>
      </x:c>
      <x:c r="L244" s="8" t="n">
        <x:v>0</x:v>
      </x:c>
      <x:c r="M244" s="8" t="n">
        <x:v>0</x:v>
      </x:c>
      <x:c r="N244" s="8" t="n">
        <x:v>1200</x:v>
      </x:c>
      <x:c r="O244" s="8" t="n">
        <x:v>0</x:v>
      </x:c>
      <x:c r="P244" s="8" t="n">
        <x:v>5.42</x:v>
      </x:c>
      <x:c r="Q244" s="9" t="n">
        <x:v>95.64</x:v>
      </x:c>
      <x:c r="R244" s="1" t="str">
        <x:v>Review receipt reconciliation or original PO baseline</x:v>
      </x:c>
      <x:c r="S244" s="1" t="str">
        <x:v>Plastic Product Information.csv</x:v>
      </x:c>
    </x:row>
    <x:row r="245" ht="21" customHeight="1">
      <x:c r="A245" s="1" t="str">
        <x:v>PLAS</x:v>
      </x:c>
      <x:c r="B245" s="1" t="str">
        <x:v>60</x:v>
      </x:c>
      <x:c r="C245" s="1" t="str">
        <x:v>01219RWBBLU</x:v>
      </x:c>
      <x:c r="D245" s="1" t="str">
        <x:v>GOLDEN CHAMPION IND. LIMITED</x:v>
      </x:c>
      <x:c r="E245" s="7" t="n">
        <x:v>46303</x:v>
      </x:c>
      <x:c r="F245" s="8" t="n">
        <x:v>800</x:v>
      </x:c>
      <x:c r="G245" s="8" t="n">
        <x:v>383.33</x:v>
      </x:c>
      <x:c r="H245" s="8" t="n">
        <x:v>3.6</x:v>
      </x:c>
      <x:c r="I245" s="8" t="n">
        <x:v>2.87</x:v>
      </x:c>
      <x:c r="J245" s="8" t="n">
        <x:v>100</x:v>
      </x:c>
      <x:c r="K245" s="8" t="n">
        <x:v>1.47</x:v>
      </x:c>
      <x:c r="L245" s="8" t="n">
        <x:v>0</x:v>
      </x:c>
      <x:c r="M245" s="8" t="n">
        <x:v>0</x:v>
      </x:c>
      <x:c r="N245" s="8" t="n">
        <x:v>800</x:v>
      </x:c>
      <x:c r="O245" s="8" t="n">
        <x:v>0</x:v>
      </x:c>
      <x:c r="P245" s="8" t="n">
        <x:v>2.45</x:v>
      </x:c>
      <x:c r="Q245" s="9" t="n">
        <x:v>28.8</x:v>
      </x:c>
      <x:c r="R245" s="1" t="str">
        <x:v>Review receipt reconciliation or original PO baseline</x:v>
      </x:c>
      <x:c r="S245" s="1" t="str">
        <x:v>Plastic Product Information.csv</x:v>
      </x:c>
    </x:row>
    <x:row r="246" ht="21" customHeight="1">
      <x:c r="A246" s="1" t="str">
        <x:v>PLAS</x:v>
      </x:c>
      <x:c r="B246" s="1" t="str">
        <x:v>10</x:v>
      </x:c>
      <x:c r="C246" s="1" t="str">
        <x:v>03421RWBBLK</x:v>
      </x:c>
      <x:c r="D246" s="1" t="str">
        <x:v>GOLDEN CHAMPION IND. LIMITED</x:v>
      </x:c>
      <x:c r="E246" s="7" t="n">
        <x:v>46303</x:v>
      </x:c>
      <x:c r="F246" s="8" t="n">
        <x:v>3431</x:v>
      </x:c>
      <x:c r="G246" s="8" t="n">
        <x:v>382.92</x:v>
      </x:c>
      <x:c r="H246" s="8" t="n">
        <x:v>6.17</x:v>
      </x:c>
      <x:c r="I246" s="8" t="n">
        <x:v>4.91</x:v>
      </x:c>
      <x:c r="J246" s="8" t="n">
        <x:v>100</x:v>
      </x:c>
      <x:c r="K246" s="8" t="n">
        <x:v>1.47</x:v>
      </x:c>
      <x:c r="L246" s="8" t="n">
        <x:v>1431</x:v>
      </x:c>
      <x:c r="M246" s="8" t="n">
        <x:v>2000</x:v>
      </x:c>
      <x:c r="N246" s="8" t="n">
        <x:v>0</x:v>
      </x:c>
      <x:c r="O246" s="8" t="n">
        <x:v>1</x:v>
      </x:c>
      <x:c r="P246" s="8" t="n">
        <x:v>4.2</x:v>
      </x:c>
      <x:c r="Q246" s="9" t="n">
        <x:v>211.6927</x:v>
      </x:c>
      <x:c r="R246" s="1" t="str">
        <x:v>Classified</x:v>
      </x:c>
      <x:c r="S246" s="1" t="str">
        <x:v>Plastic Product Information.csv</x:v>
      </x:c>
    </x:row>
    <x:row r="247" ht="21" customHeight="1">
      <x:c r="A247" s="1" t="str">
        <x:v>PLAS</x:v>
      </x:c>
      <x:c r="B247" s="1" t="str">
        <x:v>10</x:v>
      </x:c>
      <x:c r="C247" s="1" t="str">
        <x:v>03419RWBFG</x:v>
      </x:c>
      <x:c r="D247" s="1" t="str">
        <x:v>GOLDEN CHAMPION IND. LIMITED</x:v>
      </x:c>
      <x:c r="E247" s="7" t="n">
        <x:v>46303</x:v>
      </x:c>
      <x:c r="F247" s="8" t="n">
        <x:v>2697</x:v>
      </x:c>
      <x:c r="G247" s="8" t="n">
        <x:v>375.58</x:v>
      </x:c>
      <x:c r="H247" s="8" t="n">
        <x:v>6.25</x:v>
      </x:c>
      <x:c r="I247" s="8" t="n">
        <x:v>4.97</x:v>
      </x:c>
      <x:c r="J247" s="8" t="n">
        <x:v>100</x:v>
      </x:c>
      <x:c r="K247" s="8" t="n">
        <x:v>1.47</x:v>
      </x:c>
      <x:c r="L247" s="8" t="n">
        <x:v>697</x:v>
      </x:c>
      <x:c r="M247" s="8" t="n">
        <x:v>2000</x:v>
      </x:c>
      <x:c r="N247" s="8" t="n">
        <x:v>0</x:v>
      </x:c>
      <x:c r="O247" s="8" t="n">
        <x:v>1</x:v>
      </x:c>
      <x:c r="P247" s="8" t="n">
        <x:v>4.25</x:v>
      </x:c>
      <x:c r="Q247" s="9" t="n">
        <x:v>168.5625</x:v>
      </x:c>
      <x:c r="R247" s="1" t="str">
        <x:v>Classified</x:v>
      </x:c>
      <x:c r="S247" s="1" t="str">
        <x:v>Plastic Product Information.csv</x:v>
      </x:c>
    </x:row>
    <x:row r="248" ht="21" customHeight="1">
      <x:c r="A248" s="1" t="str">
        <x:v>PLAS</x:v>
      </x:c>
      <x:c r="B248" s="1" t="str">
        <x:v>30</x:v>
      </x:c>
      <x:c r="C248" s="1" t="str">
        <x:v>01419RWBWHT</x:v>
      </x:c>
      <x:c r="D248" s="1" t="str">
        <x:v>GOLDEN CHAMPION IND. LIMITED</x:v>
      </x:c>
      <x:c r="E248" s="7" t="n">
        <x:v>46303</x:v>
      </x:c>
      <x:c r="F248" s="8" t="n">
        <x:v>0</x:v>
      </x:c>
      <x:c r="G248" s="8" t="n">
        <x:v>366.67</x:v>
      </x:c>
      <x:c r="H248" s="8" t="n">
        <x:v>1.81</x:v>
      </x:c>
      <x:c r="I248" s="8" t="n">
        <x:v>1.44</x:v>
      </x:c>
      <x:c r="J248" s="8" t="n">
        <x:v>100</x:v>
      </x:c>
      <x:c r="K248" s="8" t="n">
        <x:v>1.47</x:v>
      </x:c>
      <x:c r="L248" s="8" t="n">
        <x:v>0</x:v>
      </x:c>
      <x:c r="M248" s="8" t="n">
        <x:v>0</x:v>
      </x:c>
      <x:c r="N248" s="8" t="n">
        <x:v>0</x:v>
      </x:c>
      <x:c r="O248" s="8" t="n">
        <x:v>1</x:v>
      </x:c>
      <x:c r="P248" s="8" t="n">
        <x:v>1.23</x:v>
      </x:c>
      <x:c r="Q248" s="9" t="n">
        <x:v>0</x:v>
      </x:c>
      <x:c r="R248" s="1" t="str">
        <x:v>Classified</x:v>
      </x:c>
      <x:c r="S248" s="1" t="str">
        <x:v>Plastic Product Information.csv</x:v>
      </x:c>
    </x:row>
    <x:row r="249" ht="21" customHeight="1">
      <x:c r="A249" s="1" t="str">
        <x:v>PLAS</x:v>
      </x:c>
      <x:c r="B249" s="1" t="str">
        <x:v>60</x:v>
      </x:c>
      <x:c r="C249" s="1" t="str">
        <x:v>00119RWBWHT</x:v>
      </x:c>
      <x:c r="D249" s="1" t="str">
        <x:v>GOLDEN CHAMPION IND. LIMITED</x:v>
      </x:c>
      <x:c r="E249" s="7" t="n">
        <x:v>46303</x:v>
      </x:c>
      <x:c r="F249" s="8" t="n">
        <x:v>750</x:v>
      </x:c>
      <x:c r="G249" s="8" t="n">
        <x:v>366.67</x:v>
      </x:c>
      <x:c r="H249" s="8" t="n">
        <x:v>10.54</x:v>
      </x:c>
      <x:c r="I249" s="8" t="n">
        <x:v>8.39</x:v>
      </x:c>
      <x:c r="J249" s="8" t="n">
        <x:v>100</x:v>
      </x:c>
      <x:c r="K249" s="8" t="n">
        <x:v>1.47</x:v>
      </x:c>
      <x:c r="L249" s="8" t="n">
        <x:v>0</x:v>
      </x:c>
      <x:c r="M249" s="8" t="n">
        <x:v>0</x:v>
      </x:c>
      <x:c r="N249" s="8" t="n">
        <x:v>750</x:v>
      </x:c>
      <x:c r="O249" s="8" t="n">
        <x:v>0</x:v>
      </x:c>
      <x:c r="P249" s="8" t="n">
        <x:v>7.17</x:v>
      </x:c>
      <x:c r="Q249" s="9" t="n">
        <x:v>79.05</x:v>
      </x:c>
      <x:c r="R249" s="1" t="str">
        <x:v>Review receipt reconciliation or original PO baseline</x:v>
      </x:c>
      <x:c r="S249" s="1" t="str">
        <x:v>Plastic Product Information.csv</x:v>
      </x:c>
    </x:row>
    <x:row r="250" ht="21" customHeight="1">
      <x:c r="A250" s="1" t="str">
        <x:v>PLAS</x:v>
      </x:c>
      <x:c r="B250" s="1" t="str">
        <x:v>60</x:v>
      </x:c>
      <x:c r="C250" s="1" t="str">
        <x:v>03819RWBBLU</x:v>
      </x:c>
      <x:c r="D250" s="1" t="str">
        <x:v>GOLDEN CHAMPION IND. LIMITED</x:v>
      </x:c>
      <x:c r="E250" s="7" t="n">
        <x:v>46303</x:v>
      </x:c>
      <x:c r="F250" s="8" t="n">
        <x:v>600</x:v>
      </x:c>
      <x:c r="G250" s="8" t="n">
        <x:v>366.67</x:v>
      </x:c>
      <x:c r="H250" s="8" t="n">
        <x:v>2.48</x:v>
      </x:c>
      <x:c r="I250" s="8" t="n">
        <x:v>1.98</x:v>
      </x:c>
      <x:c r="J250" s="8" t="n">
        <x:v>100</x:v>
      </x:c>
      <x:c r="K250" s="8" t="n">
        <x:v>1.47</x:v>
      </x:c>
      <x:c r="L250" s="8" t="n">
        <x:v>0</x:v>
      </x:c>
      <x:c r="M250" s="8" t="n">
        <x:v>0</x:v>
      </x:c>
      <x:c r="N250" s="8" t="n">
        <x:v>600</x:v>
      </x:c>
      <x:c r="O250" s="8" t="n">
        <x:v>0</x:v>
      </x:c>
      <x:c r="P250" s="8" t="n">
        <x:v>1.69</x:v>
      </x:c>
      <x:c r="Q250" s="9" t="n">
        <x:v>14.88</x:v>
      </x:c>
      <x:c r="R250" s="1" t="str">
        <x:v>Review receipt reconciliation or original PO baseline</x:v>
      </x:c>
      <x:c r="S250" s="1" t="str">
        <x:v>Plastic Product Information.csv</x:v>
      </x:c>
    </x:row>
    <x:row r="251" ht="21" customHeight="1">
      <x:c r="A251" s="1" t="str">
        <x:v>PLAS</x:v>
      </x:c>
      <x:c r="B251" s="1" t="str">
        <x:v>10</x:v>
      </x:c>
      <x:c r="C251" s="1" t="str">
        <x:v>03815RWBMAR</x:v>
      </x:c>
      <x:c r="D251" s="1" t="str">
        <x:v>GOLDEN CHAMPION IND. LIMITED</x:v>
      </x:c>
      <x:c r="E251" s="7" t="n">
        <x:v>46303</x:v>
      </x:c>
      <x:c r="F251" s="8" t="n">
        <x:v>13800</x:v>
      </x:c>
      <x:c r="G251" s="8" t="n">
        <x:v>350</x:v>
      </x:c>
      <x:c r="H251" s="8" t="n">
        <x:v>1.62</x:v>
      </x:c>
      <x:c r="I251" s="8" t="n">
        <x:v>1.29</x:v>
      </x:c>
      <x:c r="J251" s="8" t="n">
        <x:v>100</x:v>
      </x:c>
      <x:c r="K251" s="8" t="n">
        <x:v>1.47</x:v>
      </x:c>
      <x:c r="L251" s="8" t="n">
        <x:v>11800</x:v>
      </x:c>
      <x:c r="M251" s="8" t="n">
        <x:v>2000</x:v>
      </x:c>
      <x:c r="N251" s="8" t="n">
        <x:v>0</x:v>
      </x:c>
      <x:c r="O251" s="8" t="n">
        <x:v>1</x:v>
      </x:c>
      <x:c r="P251" s="8" t="n">
        <x:v>1.1</x:v>
      </x:c>
      <x:c r="Q251" s="9" t="n">
        <x:v>223.56</x:v>
      </x:c>
      <x:c r="R251" s="1" t="str">
        <x:v>Classified</x:v>
      </x:c>
      <x:c r="S251" s="1" t="str">
        <x:v>Plastic Product Information.csv</x:v>
      </x:c>
    </x:row>
    <x:row r="252" ht="21" customHeight="1">
      <x:c r="A252" s="1" t="str">
        <x:v>PLAS</x:v>
      </x:c>
      <x:c r="B252" s="1" t="str">
        <x:v>30</x:v>
      </x:c>
      <x:c r="C252" s="1" t="str">
        <x:v>00119RWBWHT</x:v>
      </x:c>
      <x:c r="D252" s="1" t="str">
        <x:v>GOLDEN CHAMPION IND. LIMITED</x:v>
      </x:c>
      <x:c r="E252" s="7" t="n">
        <x:v>46303</x:v>
      </x:c>
      <x:c r="F252" s="8" t="n">
        <x:v>0</x:v>
      </x:c>
      <x:c r="G252" s="8" t="n">
        <x:v>350</x:v>
      </x:c>
      <x:c r="H252" s="8" t="n">
        <x:v>10.54</x:v>
      </x:c>
      <x:c r="I252" s="8" t="n">
        <x:v>8.39</x:v>
      </x:c>
      <x:c r="J252" s="8" t="n">
        <x:v>100</x:v>
      </x:c>
      <x:c r="K252" s="8" t="n">
        <x:v>1.47</x:v>
      </x:c>
      <x:c r="L252" s="8" t="n">
        <x:v>0</x:v>
      </x:c>
      <x:c r="M252" s="8" t="n">
        <x:v>0</x:v>
      </x:c>
      <x:c r="N252" s="8" t="n">
        <x:v>0</x:v>
      </x:c>
      <x:c r="O252" s="8" t="n">
        <x:v>1</x:v>
      </x:c>
      <x:c r="P252" s="8" t="n">
        <x:v>7.17</x:v>
      </x:c>
      <x:c r="Q252" s="9" t="n">
        <x:v>0</x:v>
      </x:c>
      <x:c r="R252" s="1" t="str">
        <x:v>Classified</x:v>
      </x:c>
      <x:c r="S252" s="1" t="str">
        <x:v>Plastic Product Information.csv</x:v>
      </x:c>
    </x:row>
    <x:row r="253" ht="21" customHeight="1">
      <x:c r="A253" s="1" t="str">
        <x:v>PLAS</x:v>
      </x:c>
      <x:c r="B253" s="1" t="str">
        <x:v>30</x:v>
      </x:c>
      <x:c r="C253" s="1" t="str">
        <x:v>01219RWBNAV</x:v>
      </x:c>
      <x:c r="D253" s="1" t="str">
        <x:v>GOLDEN CHAMPION IND. LIMITED</x:v>
      </x:c>
      <x:c r="E253" s="7" t="n">
        <x:v>46303</x:v>
      </x:c>
      <x:c r="F253" s="8" t="n">
        <x:v>0</x:v>
      </x:c>
      <x:c r="G253" s="8" t="n">
        <x:v>350</x:v>
      </x:c>
      <x:c r="H253" s="8" t="n">
        <x:v>3.6</x:v>
      </x:c>
      <x:c r="I253" s="8" t="n">
        <x:v>2.87</x:v>
      </x:c>
      <x:c r="J253" s="8" t="n">
        <x:v>100</x:v>
      </x:c>
      <x:c r="K253" s="8" t="n">
        <x:v>1.47</x:v>
      </x:c>
      <x:c r="L253" s="8" t="n">
        <x:v>0</x:v>
      </x:c>
      <x:c r="M253" s="8" t="n">
        <x:v>0</x:v>
      </x:c>
      <x:c r="N253" s="8" t="n">
        <x:v>0</x:v>
      </x:c>
      <x:c r="O253" s="8" t="n">
        <x:v>1</x:v>
      </x:c>
      <x:c r="P253" s="8" t="n">
        <x:v>2.45</x:v>
      </x:c>
      <x:c r="Q253" s="9" t="n">
        <x:v>0</x:v>
      </x:c>
      <x:c r="R253" s="1" t="str">
        <x:v>Classified</x:v>
      </x:c>
      <x:c r="S253" s="1" t="str">
        <x:v>Plastic Product Information.csv</x:v>
      </x:c>
    </x:row>
    <x:row r="254" ht="21" customHeight="1">
      <x:c r="A254" s="1" t="str">
        <x:v>PLAS</x:v>
      </x:c>
      <x:c r="B254" s="1" t="str">
        <x:v>60</x:v>
      </x:c>
      <x:c r="C254" s="1" t="str">
        <x:v>71619RWBMAR</x:v>
      </x:c>
      <x:c r="D254" s="1" t="str">
        <x:v>GOLDEN CHAMPION IND. LIMITED</x:v>
      </x:c>
      <x:c r="E254" s="7" t="n">
        <x:v>46303</x:v>
      </x:c>
      <x:c r="F254" s="8" t="n">
        <x:v>1800</x:v>
      </x:c>
      <x:c r="G254" s="8" t="n">
        <x:v>350</x:v>
      </x:c>
      <x:c r="H254" s="8" t="n">
        <x:v>3.15</x:v>
      </x:c>
      <x:c r="I254" s="8" t="n">
        <x:v>2.5</x:v>
      </x:c>
      <x:c r="J254" s="8" t="n">
        <x:v>100</x:v>
      </x:c>
      <x:c r="K254" s="8" t="n">
        <x:v>1.47</x:v>
      </x:c>
      <x:c r="L254" s="8" t="n">
        <x:v>0</x:v>
      </x:c>
      <x:c r="M254" s="8" t="n">
        <x:v>0</x:v>
      </x:c>
      <x:c r="N254" s="8" t="n">
        <x:v>1800</x:v>
      </x:c>
      <x:c r="O254" s="8" t="n">
        <x:v>0</x:v>
      </x:c>
      <x:c r="P254" s="8" t="n">
        <x:v>2.14</x:v>
      </x:c>
      <x:c r="Q254" s="9" t="n">
        <x:v>56.7</x:v>
      </x:c>
      <x:c r="R254" s="1" t="str">
        <x:v>Review receipt reconciliation or original PO baseline</x:v>
      </x:c>
      <x:c r="S254" s="1" t="str">
        <x:v>Plastic Product Information.csv</x:v>
      </x:c>
    </x:row>
    <x:row r="255" ht="21" customHeight="1">
      <x:c r="A255" s="1" t="str">
        <x:v>PLAS</x:v>
      </x:c>
      <x:c r="B255" s="1" t="str">
        <x:v>10</x:v>
      </x:c>
      <x:c r="C255" s="1" t="str">
        <x:v>11815RWBWHT</x:v>
      </x:c>
      <x:c r="D255" s="1" t="str">
        <x:v>GOLDEN CHAMPION IND. LIMITED</x:v>
      </x:c>
      <x:c r="E255" s="7" t="n">
        <x:v>46303</x:v>
      </x:c>
      <x:c r="F255" s="8" t="n">
        <x:v>5000</x:v>
      </x:c>
      <x:c r="G255" s="8" t="n">
        <x:v>341.67</x:v>
      </x:c>
      <x:c r="H255" s="8" t="n">
        <x:v>8.82</x:v>
      </x:c>
      <x:c r="I255" s="8" t="n">
        <x:v>7.02</x:v>
      </x:c>
      <x:c r="J255" s="8" t="n">
        <x:v>100</x:v>
      </x:c>
      <x:c r="K255" s="8" t="n">
        <x:v>1.47</x:v>
      </x:c>
      <x:c r="L255" s="8" t="n">
        <x:v>2000</x:v>
      </x:c>
      <x:c r="M255" s="8" t="n">
        <x:v>3000</x:v>
      </x:c>
      <x:c r="N255" s="8" t="n">
        <x:v>0</x:v>
      </x:c>
      <x:c r="O255" s="8" t="n">
        <x:v>1</x:v>
      </x:c>
      <x:c r="P255" s="8" t="n">
        <x:v>6</x:v>
      </x:c>
      <x:c r="Q255" s="9" t="n">
        <x:v>441</x:v>
      </x:c>
      <x:c r="R255" s="1" t="str">
        <x:v>Classified</x:v>
      </x:c>
      <x:c r="S255" s="1" t="str">
        <x:v>Plastic Product Information.csv</x:v>
      </x:c>
    </x:row>
    <x:row r="256" ht="21" customHeight="1">
      <x:c r="A256" s="1" t="str">
        <x:v>PLAS</x:v>
      </x:c>
      <x:c r="B256" s="1" t="str">
        <x:v>10</x:v>
      </x:c>
      <x:c r="C256" s="1" t="str">
        <x:v>05819RWBFG</x:v>
      </x:c>
      <x:c r="D256" s="1" t="str">
        <x:v>GOLDEN CHAMPION IND. LIMITED</x:v>
      </x:c>
      <x:c r="E256" s="7" t="n">
        <x:v>46303</x:v>
      </x:c>
      <x:c r="F256" s="8" t="n">
        <x:v>847</x:v>
      </x:c>
      <x:c r="G256" s="8" t="n">
        <x:v>333.33</x:v>
      </x:c>
      <x:c r="H256" s="8" t="n">
        <x:v>4.56</x:v>
      </x:c>
      <x:c r="I256" s="8" t="n">
        <x:v>3.63</x:v>
      </x:c>
      <x:c r="J256" s="8" t="n">
        <x:v>100</x:v>
      </x:c>
      <x:c r="K256" s="8" t="n">
        <x:v>1.47</x:v>
      </x:c>
      <x:c r="L256" s="8" t="n">
        <x:v>0</x:v>
      </x:c>
      <x:c r="M256" s="8" t="n">
        <x:v>847</x:v>
      </x:c>
      <x:c r="N256" s="8" t="n">
        <x:v>0</x:v>
      </x:c>
      <x:c r="O256" s="8" t="n">
        <x:v>1</x:v>
      </x:c>
      <x:c r="P256" s="8" t="n">
        <x:v>3.1</x:v>
      </x:c>
      <x:c r="Q256" s="9" t="n">
        <x:v>38.6232</x:v>
      </x:c>
      <x:c r="R256" s="1" t="str">
        <x:v>Classified</x:v>
      </x:c>
      <x:c r="S256" s="1" t="str">
        <x:v>Plastic Product Information.csv</x:v>
      </x:c>
    </x:row>
    <x:row r="257" ht="21" customHeight="1">
      <x:c r="A257" s="1" t="str">
        <x:v>PLAS</x:v>
      </x:c>
      <x:c r="B257" s="1" t="str">
        <x:v>10</x:v>
      </x:c>
      <x:c r="C257" s="1" t="str">
        <x:v>07815RWBBLU</x:v>
      </x:c>
      <x:c r="D257" s="1" t="str">
        <x:v>GOLDEN CHAMPION IND. LIMITED</x:v>
      </x:c>
      <x:c r="E257" s="7" t="n">
        <x:v>46303</x:v>
      </x:c>
      <x:c r="F257" s="8" t="n">
        <x:v>5664</x:v>
      </x:c>
      <x:c r="G257" s="8" t="n">
        <x:v>333.33</x:v>
      </x:c>
      <x:c r="H257" s="8" t="n">
        <x:v>5.38</x:v>
      </x:c>
      <x:c r="I257" s="8" t="n">
        <x:v>4.28</x:v>
      </x:c>
      <x:c r="J257" s="8" t="n">
        <x:v>100</x:v>
      </x:c>
      <x:c r="K257" s="8" t="n">
        <x:v>1.47</x:v>
      </x:c>
      <x:c r="L257" s="8" t="n">
        <x:v>3664</x:v>
      </x:c>
      <x:c r="M257" s="8" t="n">
        <x:v>2000</x:v>
      </x:c>
      <x:c r="N257" s="8" t="n">
        <x:v>0</x:v>
      </x:c>
      <x:c r="O257" s="8" t="n">
        <x:v>1</x:v>
      </x:c>
      <x:c r="P257" s="8" t="n">
        <x:v>3.66</x:v>
      </x:c>
      <x:c r="Q257" s="9" t="n">
        <x:v>304.7232</x:v>
      </x:c>
      <x:c r="R257" s="1" t="str">
        <x:v>Classified</x:v>
      </x:c>
      <x:c r="S257" s="1" t="str">
        <x:v>Plastic Product Information.csv</x:v>
      </x:c>
    </x:row>
    <x:row r="258" ht="21" customHeight="1">
      <x:c r="A258" s="1" t="str">
        <x:v>PLAS</x:v>
      </x:c>
      <x:c r="B258" s="1" t="str">
        <x:v>10</x:v>
      </x:c>
      <x:c r="C258" s="1" t="str">
        <x:v>11215ROVWHT</x:v>
      </x:c>
      <x:c r="D258" s="1" t="str">
        <x:v>GOLDEN CHAMPION IND. LIMITED</x:v>
      </x:c>
      <x:c r="E258" s="7" t="n">
        <x:v>46303</x:v>
      </x:c>
      <x:c r="F258" s="8" t="n">
        <x:v>4802</x:v>
      </x:c>
      <x:c r="G258" s="8" t="n">
        <x:v>333.33</x:v>
      </x:c>
      <x:c r="H258" s="8" t="n">
        <x:v>9.28</x:v>
      </x:c>
      <x:c r="I258" s="8" t="n">
        <x:v>7.38</x:v>
      </x:c>
      <x:c r="J258" s="8" t="n">
        <x:v>100</x:v>
      </x:c>
      <x:c r="K258" s="8" t="n">
        <x:v>1.47</x:v>
      </x:c>
      <x:c r="L258" s="8" t="n">
        <x:v>0</x:v>
      </x:c>
      <x:c r="M258" s="8" t="n">
        <x:v>0</x:v>
      </x:c>
      <x:c r="N258" s="8" t="n">
        <x:v>4802</x:v>
      </x:c>
      <x:c r="O258" s="8" t="n">
        <x:v>0</x:v>
      </x:c>
      <x:c r="P258" s="8" t="n">
        <x:v>6.31</x:v>
      </x:c>
      <x:c r="Q258" s="9" t="n">
        <x:v>445.62559999999996</x:v>
      </x:c>
      <x:c r="R258" s="1" t="str">
        <x:v>Review receipt reconciliation or original PO baseline</x:v>
      </x:c>
      <x:c r="S258" s="1" t="str">
        <x:v>Plastic Product Information.csv</x:v>
      </x:c>
    </x:row>
    <x:row r="259" ht="21" customHeight="1">
      <x:c r="A259" s="1" t="str">
        <x:v>PLAS</x:v>
      </x:c>
      <x:c r="B259" s="1" t="str">
        <x:v>10</x:v>
      </x:c>
      <x:c r="C259" s="1" t="str">
        <x:v>71615RWBWHT</x:v>
      </x:c>
      <x:c r="D259" s="1" t="str">
        <x:v>GOLDEN CHAMPION IND. LIMITED</x:v>
      </x:c>
      <x:c r="E259" s="7" t="n">
        <x:v>46303</x:v>
      </x:c>
      <x:c r="F259" s="8" t="n">
        <x:v>6073</x:v>
      </x:c>
      <x:c r="G259" s="8" t="n">
        <x:v>333.33</x:v>
      </x:c>
      <x:c r="H259" s="8" t="n">
        <x:v>2.19</x:v>
      </x:c>
      <x:c r="I259" s="8" t="n">
        <x:v>1.74</x:v>
      </x:c>
      <x:c r="J259" s="8" t="n">
        <x:v>100</x:v>
      </x:c>
      <x:c r="K259" s="8" t="n">
        <x:v>1.47</x:v>
      </x:c>
      <x:c r="L259" s="8" t="n">
        <x:v>6073</x:v>
      </x:c>
      <x:c r="M259" s="8" t="n">
        <x:v>0</x:v>
      </x:c>
      <x:c r="N259" s="8" t="n">
        <x:v>0</x:v>
      </x:c>
      <x:c r="O259" s="8" t="n">
        <x:v>1</x:v>
      </x:c>
      <x:c r="P259" s="8" t="n">
        <x:v>1.49</x:v>
      </x:c>
      <x:c r="Q259" s="9" t="n">
        <x:v>132.99869999999999</x:v>
      </x:c>
      <x:c r="R259" s="1" t="str">
        <x:v>Classified</x:v>
      </x:c>
      <x:c r="S259" s="1" t="str">
        <x:v>Plastic Product Information.csv</x:v>
      </x:c>
    </x:row>
    <x:row r="260" ht="21" customHeight="1">
      <x:c r="A260" s="1" t="str">
        <x:v>PLAS</x:v>
      </x:c>
      <x:c r="B260" s="1" t="str">
        <x:v>30</x:v>
      </x:c>
      <x:c r="C260" s="1" t="str">
        <x:v>01215RWBBLK</x:v>
      </x:c>
      <x:c r="D260" s="1" t="str">
        <x:v>GOLDEN CHAMPION IND. LIMITED</x:v>
      </x:c>
      <x:c r="E260" s="7" t="n">
        <x:v>46303</x:v>
      </x:c>
      <x:c r="F260" s="8" t="n">
        <x:v>4000</x:v>
      </x:c>
      <x:c r="G260" s="8" t="n">
        <x:v>333.33</x:v>
      </x:c>
      <x:c r="H260" s="8" t="n">
        <x:v>2.5</x:v>
      </x:c>
      <x:c r="I260" s="8" t="n">
        <x:v>1.99</x:v>
      </x:c>
      <x:c r="J260" s="8" t="n">
        <x:v>100</x:v>
      </x:c>
      <x:c r="K260" s="8" t="n">
        <x:v>1.47</x:v>
      </x:c>
      <x:c r="L260" s="8" t="n">
        <x:v>0</x:v>
      </x:c>
      <x:c r="M260" s="8" t="n">
        <x:v>0</x:v>
      </x:c>
      <x:c r="N260" s="8" t="n">
        <x:v>4000</x:v>
      </x:c>
      <x:c r="O260" s="8" t="n">
        <x:v>0</x:v>
      </x:c>
      <x:c r="P260" s="8" t="n">
        <x:v>1.7</x:v>
      </x:c>
      <x:c r="Q260" s="9" t="n">
        <x:v>100</x:v>
      </x:c>
      <x:c r="R260" s="1" t="str">
        <x:v>Review receipt reconciliation or original PO baseline</x:v>
      </x:c>
      <x:c r="S260" s="1" t="str">
        <x:v>Plastic Product Information.csv</x:v>
      </x:c>
    </x:row>
    <x:row r="261" ht="21" customHeight="1">
      <x:c r="A261" s="1" t="str">
        <x:v>PLAS</x:v>
      </x:c>
      <x:c r="B261" s="1" t="str">
        <x:v>30</x:v>
      </x:c>
      <x:c r="C261" s="1" t="str">
        <x:v>03415RWBBLK</x:v>
      </x:c>
      <x:c r="D261" s="1" t="str">
        <x:v>GOLDEN CHAMPION IND. LIMITED</x:v>
      </x:c>
      <x:c r="E261" s="7" t="n">
        <x:v>46303</x:v>
      </x:c>
      <x:c r="F261" s="8" t="n">
        <x:v>4000</x:v>
      </x:c>
      <x:c r="G261" s="8" t="n">
        <x:v>333.33</x:v>
      </x:c>
      <x:c r="H261" s="8" t="n">
        <x:v>4.4</x:v>
      </x:c>
      <x:c r="I261" s="8" t="n">
        <x:v>3.5</x:v>
      </x:c>
      <x:c r="J261" s="8" t="n">
        <x:v>100</x:v>
      </x:c>
      <x:c r="K261" s="8" t="n">
        <x:v>1.47</x:v>
      </x:c>
      <x:c r="L261" s="8" t="n">
        <x:v>0</x:v>
      </x:c>
      <x:c r="M261" s="8" t="n">
        <x:v>0</x:v>
      </x:c>
      <x:c r="N261" s="8" t="n">
        <x:v>4000</x:v>
      </x:c>
      <x:c r="O261" s="8" t="n">
        <x:v>0</x:v>
      </x:c>
      <x:c r="P261" s="8" t="n">
        <x:v>2.99</x:v>
      </x:c>
      <x:c r="Q261" s="9" t="n">
        <x:v>176</x:v>
      </x:c>
      <x:c r="R261" s="1" t="str">
        <x:v>Review receipt reconciliation or original PO baseline</x:v>
      </x:c>
      <x:c r="S261" s="1" t="str">
        <x:v>Plastic Product Information.csv</x:v>
      </x:c>
    </x:row>
    <x:row r="262" ht="21" customHeight="1">
      <x:c r="A262" s="1" t="str">
        <x:v>PLAS</x:v>
      </x:c>
      <x:c r="B262" s="1" t="str">
        <x:v>30</x:v>
      </x:c>
      <x:c r="C262" s="1" t="str">
        <x:v>05815RWBBLK</x:v>
      </x:c>
      <x:c r="D262" s="1" t="str">
        <x:v>GOLDEN CHAMPION IND. LIMITED</x:v>
      </x:c>
      <x:c r="E262" s="7" t="n">
        <x:v>46303</x:v>
      </x:c>
      <x:c r="F262" s="8" t="n">
        <x:v>3800</x:v>
      </x:c>
      <x:c r="G262" s="8" t="n">
        <x:v>333.33</x:v>
      </x:c>
      <x:c r="H262" s="8" t="n">
        <x:v>3.09</x:v>
      </x:c>
      <x:c r="I262" s="8" t="n">
        <x:v>2.46</x:v>
      </x:c>
      <x:c r="J262" s="8" t="n">
        <x:v>100</x:v>
      </x:c>
      <x:c r="K262" s="8" t="n">
        <x:v>1.47</x:v>
      </x:c>
      <x:c r="L262" s="8" t="n">
        <x:v>0</x:v>
      </x:c>
      <x:c r="M262" s="8" t="n">
        <x:v>0</x:v>
      </x:c>
      <x:c r="N262" s="8" t="n">
        <x:v>3800</x:v>
      </x:c>
      <x:c r="O262" s="8" t="n">
        <x:v>0</x:v>
      </x:c>
      <x:c r="P262" s="8" t="n">
        <x:v>2.1</x:v>
      </x:c>
      <x:c r="Q262" s="9" t="n">
        <x:v>117.42</x:v>
      </x:c>
      <x:c r="R262" s="1" t="str">
        <x:v>Review receipt reconciliation or original PO baseline</x:v>
      </x:c>
      <x:c r="S262" s="1" t="str">
        <x:v>Plastic Product Information.csv</x:v>
      </x:c>
    </x:row>
    <x:row r="263" ht="21" customHeight="1">
      <x:c r="A263" s="1" t="str">
        <x:v>PLAS</x:v>
      </x:c>
      <x:c r="B263" s="1" t="str">
        <x:v>60</x:v>
      </x:c>
      <x:c r="C263" s="1" t="str">
        <x:v>01419RWBMAR</x:v>
      </x:c>
      <x:c r="D263" s="1" t="str">
        <x:v>GOLDEN CHAMPION IND. LIMITED</x:v>
      </x:c>
      <x:c r="E263" s="7" t="n">
        <x:v>46303</x:v>
      </x:c>
      <x:c r="F263" s="8" t="n">
        <x:v>1000</x:v>
      </x:c>
      <x:c r="G263" s="8" t="n">
        <x:v>333.33</x:v>
      </x:c>
      <x:c r="H263" s="8" t="n">
        <x:v>1.81</x:v>
      </x:c>
      <x:c r="I263" s="8" t="n">
        <x:v>1.44</x:v>
      </x:c>
      <x:c r="J263" s="8" t="n">
        <x:v>100</x:v>
      </x:c>
      <x:c r="K263" s="8" t="n">
        <x:v>1.47</x:v>
      </x:c>
      <x:c r="L263" s="8" t="n">
        <x:v>0</x:v>
      </x:c>
      <x:c r="M263" s="8" t="n">
        <x:v>0</x:v>
      </x:c>
      <x:c r="N263" s="8" t="n">
        <x:v>1000</x:v>
      </x:c>
      <x:c r="O263" s="8" t="n">
        <x:v>0</x:v>
      </x:c>
      <x:c r="P263" s="8" t="n">
        <x:v>1.23</x:v>
      </x:c>
      <x:c r="Q263" s="9" t="n">
        <x:v>18.1</x:v>
      </x:c>
      <x:c r="R263" s="1" t="str">
        <x:v>Review receipt reconciliation or original PO baseline</x:v>
      </x:c>
      <x:c r="S263" s="1" t="str">
        <x:v>Plastic Product Information.csv</x:v>
      </x:c>
    </x:row>
    <x:row r="264" ht="21" customHeight="1">
      <x:c r="A264" s="1" t="str">
        <x:v>PLAS</x:v>
      </x:c>
      <x:c r="B264" s="1" t="str">
        <x:v>60</x:v>
      </x:c>
      <x:c r="C264" s="1" t="str">
        <x:v>03819RWBCLR</x:v>
      </x:c>
      <x:c r="D264" s="1" t="str">
        <x:v>GOLDEN CHAMPION IND. LIMITED</x:v>
      </x:c>
      <x:c r="E264" s="7" t="n">
        <x:v>46303</x:v>
      </x:c>
      <x:c r="F264" s="8" t="n">
        <x:v>3000</x:v>
      </x:c>
      <x:c r="G264" s="8" t="n">
        <x:v>333.33</x:v>
      </x:c>
      <x:c r="H264" s="8" t="n">
        <x:v>2.48</x:v>
      </x:c>
      <x:c r="I264" s="8" t="n">
        <x:v>1.98</x:v>
      </x:c>
      <x:c r="J264" s="8" t="n">
        <x:v>100</x:v>
      </x:c>
      <x:c r="K264" s="8" t="n">
        <x:v>1.47</x:v>
      </x:c>
      <x:c r="L264" s="8" t="n">
        <x:v>0</x:v>
      </x:c>
      <x:c r="M264" s="8" t="n">
        <x:v>0</x:v>
      </x:c>
      <x:c r="N264" s="8" t="n">
        <x:v>3000</x:v>
      </x:c>
      <x:c r="O264" s="8" t="n">
        <x:v>0</x:v>
      </x:c>
      <x:c r="P264" s="8" t="n">
        <x:v>1.69</x:v>
      </x:c>
      <x:c r="Q264" s="9" t="n">
        <x:v>74.4</x:v>
      </x:c>
      <x:c r="R264" s="1" t="str">
        <x:v>Review receipt reconciliation or original PO baseline</x:v>
      </x:c>
      <x:c r="S264" s="1" t="str">
        <x:v>Plastic Product Information.csv</x:v>
      </x:c>
    </x:row>
    <x:row r="265" ht="21" customHeight="1">
      <x:c r="A265" s="1" t="str">
        <x:v>PLAS</x:v>
      </x:c>
      <x:c r="B265" s="1" t="str">
        <x:v>10</x:v>
      </x:c>
      <x:c r="C265" s="1" t="str">
        <x:v>11421RSLWHT</x:v>
      </x:c>
      <x:c r="D265" s="1" t="str">
        <x:v>GOLDEN CHAMPION IND. LIMITED</x:v>
      </x:c>
      <x:c r="E265" s="7" t="n">
        <x:v>46303</x:v>
      </x:c>
      <x:c r="F265" s="8" t="n">
        <x:v>6357</x:v>
      </x:c>
      <x:c r="G265" s="8" t="n">
        <x:v>329.42</x:v>
      </x:c>
      <x:c r="H265" s="8" t="n">
        <x:v>11.05</x:v>
      </x:c>
      <x:c r="I265" s="8" t="n">
        <x:v>8.8</x:v>
      </x:c>
      <x:c r="J265" s="8" t="n">
        <x:v>100</x:v>
      </x:c>
      <x:c r="K265" s="8" t="n">
        <x:v>1.47</x:v>
      </x:c>
      <x:c r="L265" s="8" t="n">
        <x:v>6357</x:v>
      </x:c>
      <x:c r="M265" s="8" t="n">
        <x:v>0</x:v>
      </x:c>
      <x:c r="N265" s="8" t="n">
        <x:v>0</x:v>
      </x:c>
      <x:c r="O265" s="8" t="n">
        <x:v>1</x:v>
      </x:c>
      <x:c r="P265" s="8" t="n">
        <x:v>7.52</x:v>
      </x:c>
      <x:c r="Q265" s="9" t="n">
        <x:v>702.4485000000001</x:v>
      </x:c>
      <x:c r="R265" s="1" t="str">
        <x:v>Classified</x:v>
      </x:c>
      <x:c r="S265" s="1" t="str">
        <x:v>Plastic Product Information.csv</x:v>
      </x:c>
    </x:row>
    <x:row r="266" ht="21" customHeight="1">
      <x:c r="A266" s="1" t="str">
        <x:v>PLAS</x:v>
      </x:c>
      <x:c r="B266" s="1" t="str">
        <x:v>10</x:v>
      </x:c>
      <x:c r="C266" s="1" t="str">
        <x:v>03421RWBWHT</x:v>
      </x:c>
      <x:c r="D266" s="1" t="str">
        <x:v>GOLDEN CHAMPION IND. LIMITED</x:v>
      </x:c>
      <x:c r="E266" s="7" t="n">
        <x:v>46303</x:v>
      </x:c>
      <x:c r="F266" s="8" t="n">
        <x:v>7000</x:v>
      </x:c>
      <x:c r="G266" s="8" t="n">
        <x:v>325</x:v>
      </x:c>
      <x:c r="H266" s="8" t="n">
        <x:v>6.17</x:v>
      </x:c>
      <x:c r="I266" s="8" t="n">
        <x:v>4.91</x:v>
      </x:c>
      <x:c r="J266" s="8" t="n">
        <x:v>100</x:v>
      </x:c>
      <x:c r="K266" s="8" t="n">
        <x:v>1.47</x:v>
      </x:c>
      <x:c r="L266" s="8" t="n">
        <x:v>7000</x:v>
      </x:c>
      <x:c r="M266" s="8" t="n">
        <x:v>0</x:v>
      </x:c>
      <x:c r="N266" s="8" t="n">
        <x:v>0</x:v>
      </x:c>
      <x:c r="O266" s="8" t="n">
        <x:v>1</x:v>
      </x:c>
      <x:c r="P266" s="8" t="n">
        <x:v>4.2</x:v>
      </x:c>
      <x:c r="Q266" s="9" t="n">
        <x:v>431.90000000000003</x:v>
      </x:c>
      <x:c r="R266" s="1" t="str">
        <x:v>Classified</x:v>
      </x:c>
      <x:c r="S266" s="1" t="str">
        <x:v>Plastic Product Information.csv</x:v>
      </x:c>
    </x:row>
    <x:row r="267" ht="21" customHeight="1">
      <x:c r="A267" s="1" t="str">
        <x:v>PLAS</x:v>
      </x:c>
      <x:c r="B267" s="1" t="str">
        <x:v>60</x:v>
      </x:c>
      <x:c r="C267" s="1" t="str">
        <x:v>00119RWBNAV</x:v>
      </x:c>
      <x:c r="D267" s="1" t="str">
        <x:v>GOLDEN CHAMPION IND. LIMITED</x:v>
      </x:c>
      <x:c r="E267" s="7" t="n">
        <x:v>46303</x:v>
      </x:c>
      <x:c r="F267" s="8" t="n">
        <x:v>1700</x:v>
      </x:c>
      <x:c r="G267" s="8" t="n">
        <x:v>325</x:v>
      </x:c>
      <x:c r="H267" s="8" t="n">
        <x:v>10.54</x:v>
      </x:c>
      <x:c r="I267" s="8" t="n">
        <x:v>8.39</x:v>
      </x:c>
      <x:c r="J267" s="8" t="n">
        <x:v>100</x:v>
      </x:c>
      <x:c r="K267" s="8" t="n">
        <x:v>1.47</x:v>
      </x:c>
      <x:c r="L267" s="8" t="n">
        <x:v>0</x:v>
      </x:c>
      <x:c r="M267" s="8" t="n">
        <x:v>0</x:v>
      </x:c>
      <x:c r="N267" s="8" t="n">
        <x:v>1700</x:v>
      </x:c>
      <x:c r="O267" s="8" t="n">
        <x:v>0</x:v>
      </x:c>
      <x:c r="P267" s="8" t="n">
        <x:v>7.17</x:v>
      </x:c>
      <x:c r="Q267" s="9" t="n">
        <x:v>179.18</x:v>
      </x:c>
      <x:c r="R267" s="1" t="str">
        <x:v>Review receipt reconciliation or original PO baseline</x:v>
      </x:c>
      <x:c r="S267" s="1" t="str">
        <x:v>Plastic Product Information.csv</x:v>
      </x:c>
    </x:row>
    <x:row r="268" ht="21" customHeight="1">
      <x:c r="A268" s="1" t="str">
        <x:v>PLAS</x:v>
      </x:c>
      <x:c r="B268" s="1" t="str">
        <x:v>30</x:v>
      </x:c>
      <x:c r="C268" s="1" t="str">
        <x:v>11219RSLWHT</x:v>
      </x:c>
      <x:c r="D268" s="1" t="str">
        <x:v>GOLDEN CHAMPION IND. LIMITED</x:v>
      </x:c>
      <x:c r="E268" s="7" t="n">
        <x:v>46303</x:v>
      </x:c>
      <x:c r="F268" s="8" t="n">
        <x:v>2000</x:v>
      </x:c>
      <x:c r="G268" s="8" t="n">
        <x:v>316.67</x:v>
      </x:c>
      <x:c r="H268" s="8" t="n">
        <x:v>12.98</x:v>
      </x:c>
      <x:c r="I268" s="8" t="n">
        <x:v>10.33</x:v>
      </x:c>
      <x:c r="J268" s="8" t="n">
        <x:v>100</x:v>
      </x:c>
      <x:c r="K268" s="8" t="n">
        <x:v>1.47</x:v>
      </x:c>
      <x:c r="L268" s="8" t="n">
        <x:v>0</x:v>
      </x:c>
      <x:c r="M268" s="8" t="n">
        <x:v>0</x:v>
      </x:c>
      <x:c r="N268" s="8" t="n">
        <x:v>2000</x:v>
      </x:c>
      <x:c r="O268" s="8" t="n">
        <x:v>0</x:v>
      </x:c>
      <x:c r="P268" s="8" t="n">
        <x:v>8.83</x:v>
      </x:c>
      <x:c r="Q268" s="9" t="n">
        <x:v>259.6</x:v>
      </x:c>
      <x:c r="R268" s="1" t="str">
        <x:v>Review receipt reconciliation or original PO baseline</x:v>
      </x:c>
      <x:c r="S268" s="1" t="str">
        <x:v>Plastic Product Information.csv</x:v>
      </x:c>
    </x:row>
    <x:row r="269" ht="21" customHeight="1">
      <x:c r="A269" s="1" t="str">
        <x:v>PLAS</x:v>
      </x:c>
      <x:c r="B269" s="1" t="str">
        <x:v>60</x:v>
      </x:c>
      <x:c r="C269" s="1" t="str">
        <x:v>51619RWBMAR</x:v>
      </x:c>
      <x:c r="D269" s="1" t="str">
        <x:v>GOLDEN CHAMPION IND. LIMITED</x:v>
      </x:c>
      <x:c r="E269" s="7" t="n">
        <x:v>46303</x:v>
      </x:c>
      <x:c r="F269" s="8" t="n">
        <x:v>900</x:v>
      </x:c>
      <x:c r="G269" s="8" t="n">
        <x:v>316.67</x:v>
      </x:c>
      <x:c r="H269" s="8" t="n">
        <x:v>2.16</x:v>
      </x:c>
      <x:c r="I269" s="8" t="n">
        <x:v>1.72</x:v>
      </x:c>
      <x:c r="J269" s="8" t="n">
        <x:v>100</x:v>
      </x:c>
      <x:c r="K269" s="8" t="n">
        <x:v>1.47</x:v>
      </x:c>
      <x:c r="L269" s="8" t="n">
        <x:v>0</x:v>
      </x:c>
      <x:c r="M269" s="8" t="n">
        <x:v>0</x:v>
      </x:c>
      <x:c r="N269" s="8" t="n">
        <x:v>900</x:v>
      </x:c>
      <x:c r="O269" s="8" t="n">
        <x:v>0</x:v>
      </x:c>
      <x:c r="P269" s="8" t="n">
        <x:v>1.47</x:v>
      </x:c>
      <x:c r="Q269" s="9" t="n">
        <x:v>19.44</x:v>
      </x:c>
      <x:c r="R269" s="1" t="str">
        <x:v>Review receipt reconciliation or original PO baseline</x:v>
      </x:c>
      <x:c r="S269" s="1" t="str">
        <x:v>Plastic Product Information.csv</x:v>
      </x:c>
    </x:row>
    <x:row r="270" ht="21" customHeight="1">
      <x:c r="A270" s="1" t="str">
        <x:v>PLAS</x:v>
      </x:c>
      <x:c r="B270" s="1" t="str">
        <x:v>10</x:v>
      </x:c>
      <x:c r="C270" s="1" t="str">
        <x:v>00219RSLNAV</x:v>
      </x:c>
      <x:c r="D270" s="1" t="str">
        <x:v>GOLDEN CHAMPION IND. LIMITED</x:v>
      </x:c>
      <x:c r="E270" s="7" t="n">
        <x:v>46303</x:v>
      </x:c>
      <x:c r="F270" s="8" t="n">
        <x:v>280</x:v>
      </x:c>
      <x:c r="G270" s="8" t="n">
        <x:v>310</x:v>
      </x:c>
      <x:c r="H270" s="8" t="n">
        <x:v>14.77</x:v>
      </x:c>
      <x:c r="I270" s="8" t="n">
        <x:v>11.76</x:v>
      </x:c>
      <x:c r="J270" s="8" t="n">
        <x:v>100</x:v>
      </x:c>
      <x:c r="K270" s="8" t="n">
        <x:v>1.47</x:v>
      </x:c>
      <x:c r="L270" s="8" t="n">
        <x:v>0</x:v>
      </x:c>
      <x:c r="M270" s="8" t="n">
        <x:v>280</x:v>
      </x:c>
      <x:c r="N270" s="8" t="n">
        <x:v>0</x:v>
      </x:c>
      <x:c r="O270" s="8" t="n">
        <x:v>1</x:v>
      </x:c>
      <x:c r="P270" s="8" t="n">
        <x:v>10.05</x:v>
      </x:c>
      <x:c r="Q270" s="9" t="n">
        <x:v>41.355999999999995</x:v>
      </x:c>
      <x:c r="R270" s="1" t="str">
        <x:v>Classified</x:v>
      </x:c>
      <x:c r="S270" s="1" t="str">
        <x:v>Plastic Product Information.csv</x:v>
      </x:c>
    </x:row>
    <x:row r="271" ht="21" customHeight="1">
      <x:c r="A271" s="1" t="str">
        <x:v>PLAS</x:v>
      </x:c>
      <x:c r="B271" s="1" t="str">
        <x:v>30</x:v>
      </x:c>
      <x:c r="C271" s="1" t="str">
        <x:v>05819RWBMAR</x:v>
      </x:c>
      <x:c r="D271" s="1" t="str">
        <x:v>GOLDEN CHAMPION IND. LIMITED</x:v>
      </x:c>
      <x:c r="E271" s="7" t="n">
        <x:v>46303</x:v>
      </x:c>
      <x:c r="F271" s="8" t="n">
        <x:v>200</x:v>
      </x:c>
      <x:c r="G271" s="8" t="n">
        <x:v>300</x:v>
      </x:c>
      <x:c r="H271" s="8" t="n">
        <x:v>4.56</x:v>
      </x:c>
      <x:c r="I271" s="8" t="n">
        <x:v>3.63</x:v>
      </x:c>
      <x:c r="J271" s="8" t="n">
        <x:v>100</x:v>
      </x:c>
      <x:c r="K271" s="8" t="n">
        <x:v>1.47</x:v>
      </x:c>
      <x:c r="L271" s="8" t="n">
        <x:v>0</x:v>
      </x:c>
      <x:c r="M271" s="8" t="n">
        <x:v>0</x:v>
      </x:c>
      <x:c r="N271" s="8" t="n">
        <x:v>200</x:v>
      </x:c>
      <x:c r="O271" s="8" t="n">
        <x:v>0</x:v>
      </x:c>
      <x:c r="P271" s="8" t="n">
        <x:v>3.1</x:v>
      </x:c>
      <x:c r="Q271" s="9" t="n">
        <x:v>9.12</x:v>
      </x:c>
      <x:c r="R271" s="1" t="str">
        <x:v>Review receipt reconciliation or original PO baseline</x:v>
      </x:c>
      <x:c r="S271" s="1" t="str">
        <x:v>Plastic Product Information.csv</x:v>
      </x:c>
    </x:row>
    <x:row r="272" ht="21" customHeight="1">
      <x:c r="A272" s="1" t="str">
        <x:v>PLAS</x:v>
      </x:c>
      <x:c r="B272" s="1" t="str">
        <x:v>30</x:v>
      </x:c>
      <x:c r="C272" s="1" t="str">
        <x:v>91619RWBNAV</x:v>
      </x:c>
      <x:c r="D272" s="1" t="str">
        <x:v>GOLDEN CHAMPION IND. LIMITED</x:v>
      </x:c>
      <x:c r="E272" s="7" t="n">
        <x:v>46303</x:v>
      </x:c>
      <x:c r="F272" s="8" t="n">
        <x:v>400</x:v>
      </x:c>
      <x:c r="G272" s="8" t="n">
        <x:v>300</x:v>
      </x:c>
      <x:c r="H272" s="8" t="n">
        <x:v>4.28</x:v>
      </x:c>
      <x:c r="I272" s="8" t="n">
        <x:v>3.4</x:v>
      </x:c>
      <x:c r="J272" s="8" t="n">
        <x:v>100</x:v>
      </x:c>
      <x:c r="K272" s="8" t="n">
        <x:v>1.47</x:v>
      </x:c>
      <x:c r="L272" s="8" t="n">
        <x:v>0</x:v>
      </x:c>
      <x:c r="M272" s="8" t="n">
        <x:v>0</x:v>
      </x:c>
      <x:c r="N272" s="8" t="n">
        <x:v>400</x:v>
      </x:c>
      <x:c r="O272" s="8" t="n">
        <x:v>0</x:v>
      </x:c>
      <x:c r="P272" s="8" t="n">
        <x:v>2.91</x:v>
      </x:c>
      <x:c r="Q272" s="9" t="n">
        <x:v>17.12</x:v>
      </x:c>
      <x:c r="R272" s="1" t="str">
        <x:v>Review receipt reconciliation or original PO baseline</x:v>
      </x:c>
      <x:c r="S272" s="1" t="str">
        <x:v>Plastic Product Information.csv</x:v>
      </x:c>
    </x:row>
    <x:row r="273" ht="21" customHeight="1">
      <x:c r="A273" s="1" t="str">
        <x:v>PLAS</x:v>
      </x:c>
      <x:c r="B273" s="1" t="str">
        <x:v>10</x:v>
      </x:c>
      <x:c r="C273" s="1" t="str">
        <x:v>11819RWBWHT</x:v>
      </x:c>
      <x:c r="D273" s="1" t="str">
        <x:v>GOLDEN CHAMPION IND. LIMITED</x:v>
      </x:c>
      <x:c r="E273" s="7" t="n">
        <x:v>46303</x:v>
      </x:c>
      <x:c r="F273" s="8" t="n">
        <x:v>2000</x:v>
      </x:c>
      <x:c r="G273" s="8" t="n">
        <x:v>295.84</x:v>
      </x:c>
      <x:c r="H273" s="8" t="n">
        <x:v>13.23</x:v>
      </x:c>
      <x:c r="I273" s="8" t="n">
        <x:v>10.53</x:v>
      </x:c>
      <x:c r="J273" s="8" t="n">
        <x:v>100</x:v>
      </x:c>
      <x:c r="K273" s="8" t="n">
        <x:v>1.47</x:v>
      </x:c>
      <x:c r="L273" s="8" t="n">
        <x:v>1000</x:v>
      </x:c>
      <x:c r="M273" s="8" t="n">
        <x:v>1000</x:v>
      </x:c>
      <x:c r="N273" s="8" t="n">
        <x:v>0</x:v>
      </x:c>
      <x:c r="O273" s="8" t="n">
        <x:v>1</x:v>
      </x:c>
      <x:c r="P273" s="8" t="n">
        <x:v>9</x:v>
      </x:c>
      <x:c r="Q273" s="9" t="n">
        <x:v>264.6</x:v>
      </x:c>
      <x:c r="R273" s="1" t="str">
        <x:v>Classified</x:v>
      </x:c>
      <x:c r="S273" s="1" t="str">
        <x:v>Plastic Product Information.csv</x:v>
      </x:c>
    </x:row>
    <x:row r="274" ht="21" customHeight="1">
      <x:c r="A274" s="1" t="str">
        <x:v>PLAS</x:v>
      </x:c>
      <x:c r="B274" s="1" t="str">
        <x:v>10</x:v>
      </x:c>
      <x:c r="C274" s="1" t="str">
        <x:v>03419RWBMAR</x:v>
      </x:c>
      <x:c r="D274" s="1" t="str">
        <x:v>GOLDEN CHAMPION IND. LIMITED</x:v>
      </x:c>
      <x:c r="E274" s="7" t="n">
        <x:v>46303</x:v>
      </x:c>
      <x:c r="F274" s="8" t="n">
        <x:v>300</x:v>
      </x:c>
      <x:c r="G274" s="8" t="n">
        <x:v>291.67</x:v>
      </x:c>
      <x:c r="H274" s="8" t="n">
        <x:v>6.25</x:v>
      </x:c>
      <x:c r="I274" s="8" t="n">
        <x:v>4.97</x:v>
      </x:c>
      <x:c r="J274" s="8" t="n">
        <x:v>100</x:v>
      </x:c>
      <x:c r="K274" s="8" t="n">
        <x:v>1.47</x:v>
      </x:c>
      <x:c r="L274" s="8" t="n">
        <x:v>300</x:v>
      </x:c>
      <x:c r="M274" s="8" t="n">
        <x:v>0</x:v>
      </x:c>
      <x:c r="N274" s="8" t="n">
        <x:v>0</x:v>
      </x:c>
      <x:c r="O274" s="8" t="n">
        <x:v>1</x:v>
      </x:c>
      <x:c r="P274" s="8" t="n">
        <x:v>4.25</x:v>
      </x:c>
      <x:c r="Q274" s="9" t="n">
        <x:v>18.75</x:v>
      </x:c>
      <x:c r="R274" s="1" t="str">
        <x:v>Classified</x:v>
      </x:c>
      <x:c r="S274" s="1" t="str">
        <x:v>Plastic Product Information.csv</x:v>
      </x:c>
    </x:row>
    <x:row r="275" ht="21" customHeight="1">
      <x:c r="A275" s="1" t="str">
        <x:v>PLAS</x:v>
      </x:c>
      <x:c r="B275" s="1" t="str">
        <x:v>10</x:v>
      </x:c>
      <x:c r="C275" s="1" t="str">
        <x:v>91619RWBFG</x:v>
      </x:c>
      <x:c r="D275" s="1" t="str">
        <x:v>GOLDEN CHAMPION IND. LIMITED</x:v>
      </x:c>
      <x:c r="E275" s="7" t="n">
        <x:v>46303</x:v>
      </x:c>
      <x:c r="F275" s="8" t="n">
        <x:v>2000</x:v>
      </x:c>
      <x:c r="G275" s="8" t="n">
        <x:v>285</x:v>
      </x:c>
      <x:c r="H275" s="8" t="n">
        <x:v>4.28</x:v>
      </x:c>
      <x:c r="I275" s="8" t="n">
        <x:v>3.4</x:v>
      </x:c>
      <x:c r="J275" s="8" t="n">
        <x:v>100</x:v>
      </x:c>
      <x:c r="K275" s="8" t="n">
        <x:v>1.47</x:v>
      </x:c>
      <x:c r="L275" s="8" t="n">
        <x:v>1000</x:v>
      </x:c>
      <x:c r="M275" s="8" t="n">
        <x:v>1000</x:v>
      </x:c>
      <x:c r="N275" s="8" t="n">
        <x:v>0</x:v>
      </x:c>
      <x:c r="O275" s="8" t="n">
        <x:v>1</x:v>
      </x:c>
      <x:c r="P275" s="8" t="n">
        <x:v>2.91</x:v>
      </x:c>
      <x:c r="Q275" s="9" t="n">
        <x:v>85.60000000000001</x:v>
      </x:c>
      <x:c r="R275" s="1" t="str">
        <x:v>Classified</x:v>
      </x:c>
      <x:c r="S275" s="1" t="str">
        <x:v>Plastic Product Information.csv</x:v>
      </x:c>
    </x:row>
    <x:row r="276" ht="21" customHeight="1">
      <x:c r="A276" s="1" t="str">
        <x:v>PLAS</x:v>
      </x:c>
      <x:c r="B276" s="1" t="str">
        <x:v>60</x:v>
      </x:c>
      <x:c r="C276" s="1" t="str">
        <x:v>01219RWBMAR</x:v>
      </x:c>
      <x:c r="D276" s="1" t="str">
        <x:v>GOLDEN CHAMPION IND. LIMITED</x:v>
      </x:c>
      <x:c r="E276" s="7" t="n">
        <x:v>46303</x:v>
      </x:c>
      <x:c r="F276" s="8" t="n">
        <x:v>0</x:v>
      </x:c>
      <x:c r="G276" s="8" t="n">
        <x:v>283.33</x:v>
      </x:c>
      <x:c r="H276" s="8" t="n">
        <x:v>3.6</x:v>
      </x:c>
      <x:c r="I276" s="8" t="n">
        <x:v>2.87</x:v>
      </x:c>
      <x:c r="J276" s="8" t="n">
        <x:v>100</x:v>
      </x:c>
      <x:c r="K276" s="8" t="n">
        <x:v>1.47</x:v>
      </x:c>
      <x:c r="L276" s="8" t="n">
        <x:v>0</x:v>
      </x:c>
      <x:c r="M276" s="8" t="n">
        <x:v>0</x:v>
      </x:c>
      <x:c r="N276" s="8" t="n">
        <x:v>0</x:v>
      </x:c>
      <x:c r="O276" s="8" t="n">
        <x:v>1</x:v>
      </x:c>
      <x:c r="P276" s="8" t="n">
        <x:v>2.45</x:v>
      </x:c>
      <x:c r="Q276" s="9" t="n">
        <x:v>0</x:v>
      </x:c>
      <x:c r="R276" s="1" t="str">
        <x:v>Classified</x:v>
      </x:c>
      <x:c r="S276" s="1" t="str">
        <x:v>Plastic Product Information.csv</x:v>
      </x:c>
    </x:row>
    <x:row r="277" ht="21" customHeight="1">
      <x:c r="A277" s="1" t="str">
        <x:v>PLAS</x:v>
      </x:c>
      <x:c r="B277" s="1" t="str">
        <x:v>10</x:v>
      </x:c>
      <x:c r="C277" s="1" t="str">
        <x:v>91619RWBCLR</x:v>
      </x:c>
      <x:c r="D277" s="1" t="str">
        <x:v>GOLDEN CHAMPION IND. LIMITED</x:v>
      </x:c>
      <x:c r="E277" s="7" t="n">
        <x:v>46303</x:v>
      </x:c>
      <x:c r="F277" s="8" t="n">
        <x:v>2600</x:v>
      </x:c>
      <x:c r="G277" s="8" t="n">
        <x:v>275</x:v>
      </x:c>
      <x:c r="H277" s="8" t="n">
        <x:v>4.28</x:v>
      </x:c>
      <x:c r="I277" s="8" t="n">
        <x:v>3.4</x:v>
      </x:c>
      <x:c r="J277" s="8" t="n">
        <x:v>100</x:v>
      </x:c>
      <x:c r="K277" s="8" t="n">
        <x:v>1.47</x:v>
      </x:c>
      <x:c r="L277" s="8" t="n">
        <x:v>0</x:v>
      </x:c>
      <x:c r="M277" s="8" t="n">
        <x:v>2600</x:v>
      </x:c>
      <x:c r="N277" s="8" t="n">
        <x:v>0</x:v>
      </x:c>
      <x:c r="O277" s="8" t="n">
        <x:v>1</x:v>
      </x:c>
      <x:c r="P277" s="8" t="n">
        <x:v>2.91</x:v>
      </x:c>
      <x:c r="Q277" s="9" t="n">
        <x:v>111.28</x:v>
      </x:c>
      <x:c r="R277" s="1" t="str">
        <x:v>Classified</x:v>
      </x:c>
      <x:c r="S277" s="1" t="str">
        <x:v>Plastic Product Information.csv</x:v>
      </x:c>
    </x:row>
    <x:row r="278" ht="21" customHeight="1">
      <x:c r="A278" s="1" t="str">
        <x:v>PLAS</x:v>
      </x:c>
      <x:c r="B278" s="1" t="str">
        <x:v>10</x:v>
      </x:c>
      <x:c r="C278" s="1" t="str">
        <x:v>03419RWBCLR</x:v>
      </x:c>
      <x:c r="D278" s="1" t="str">
        <x:v>GOLDEN CHAMPION IND. LIMITED</x:v>
      </x:c>
      <x:c r="E278" s="7" t="n">
        <x:v>46303</x:v>
      </x:c>
      <x:c r="F278" s="8" t="n">
        <x:v>5100</x:v>
      </x:c>
      <x:c r="G278" s="8" t="n">
        <x:v>270.83</x:v>
      </x:c>
      <x:c r="H278" s="8" t="n">
        <x:v>6.25</x:v>
      </x:c>
      <x:c r="I278" s="8" t="n">
        <x:v>4.97</x:v>
      </x:c>
      <x:c r="J278" s="8" t="n">
        <x:v>100</x:v>
      </x:c>
      <x:c r="K278" s="8" t="n">
        <x:v>1.47</x:v>
      </x:c>
      <x:c r="L278" s="8" t="n">
        <x:v>0</x:v>
      </x:c>
      <x:c r="M278" s="8" t="n">
        <x:v>0</x:v>
      </x:c>
      <x:c r="N278" s="8" t="n">
        <x:v>5100</x:v>
      </x:c>
      <x:c r="O278" s="8" t="n">
        <x:v>0</x:v>
      </x:c>
      <x:c r="P278" s="8" t="n">
        <x:v>4.25</x:v>
      </x:c>
      <x:c r="Q278" s="9" t="n">
        <x:v>318.75</x:v>
      </x:c>
      <x:c r="R278" s="1" t="str">
        <x:v>Review receipt reconciliation or original PO baseline</x:v>
      </x:c>
      <x:c r="S278" s="1" t="str">
        <x:v>Plastic Product Information.csv</x:v>
      </x:c>
    </x:row>
    <x:row r="279" ht="21" customHeight="1">
      <x:c r="A279" s="1" t="str">
        <x:v>PLAS</x:v>
      </x:c>
      <x:c r="B279" s="1" t="str">
        <x:v>30</x:v>
      </x:c>
      <x:c r="C279" s="1" t="str">
        <x:v>03819RWBMAR</x:v>
      </x:c>
      <x:c r="D279" s="1" t="str">
        <x:v>GOLDEN CHAMPION IND. LIMITED</x:v>
      </x:c>
      <x:c r="E279" s="7" t="n">
        <x:v>46303</x:v>
      </x:c>
      <x:c r="F279" s="8" t="n">
        <x:v>0</x:v>
      </x:c>
      <x:c r="G279" s="8" t="n">
        <x:v>266.67</x:v>
      </x:c>
      <x:c r="H279" s="8" t="n">
        <x:v>2.48</x:v>
      </x:c>
      <x:c r="I279" s="8" t="n">
        <x:v>1.98</x:v>
      </x:c>
      <x:c r="J279" s="8" t="n">
        <x:v>100</x:v>
      </x:c>
      <x:c r="K279" s="8" t="n">
        <x:v>1.47</x:v>
      </x:c>
      <x:c r="L279" s="8" t="n">
        <x:v>0</x:v>
      </x:c>
      <x:c r="M279" s="8" t="n">
        <x:v>0</x:v>
      </x:c>
      <x:c r="N279" s="8" t="n">
        <x:v>0</x:v>
      </x:c>
      <x:c r="O279" s="8" t="n">
        <x:v>1</x:v>
      </x:c>
      <x:c r="P279" s="8" t="n">
        <x:v>1.69</x:v>
      </x:c>
      <x:c r="Q279" s="9" t="n">
        <x:v>0</x:v>
      </x:c>
      <x:c r="R279" s="1" t="str">
        <x:v>Classified</x:v>
      </x:c>
      <x:c r="S279" s="1" t="str">
        <x:v>Plastic Product Information.csv</x:v>
      </x:c>
    </x:row>
    <x:row r="280" ht="21" customHeight="1">
      <x:c r="A280" s="1" t="str">
        <x:v>PLAS</x:v>
      </x:c>
      <x:c r="B280" s="1" t="str">
        <x:v>10</x:v>
      </x:c>
      <x:c r="C280" s="1" t="str">
        <x:v>11216RSLBLK</x:v>
      </x:c>
      <x:c r="D280" s="1" t="str">
        <x:v>GOLDEN CHAMPION IND. LIMITED</x:v>
      </x:c>
      <x:c r="E280" s="7" t="n">
        <x:v>46303</x:v>
      </x:c>
      <x:c r="F280" s="8" t="n">
        <x:v>2158</x:v>
      </x:c>
      <x:c r="G280" s="8" t="n">
        <x:v>266</x:v>
      </x:c>
      <x:c r="H280" s="8" t="n">
        <x:v>9.47</x:v>
      </x:c>
      <x:c r="I280" s="8" t="n">
        <x:v>7.53</x:v>
      </x:c>
      <x:c r="J280" s="8" t="n">
        <x:v>100</x:v>
      </x:c>
      <x:c r="K280" s="8" t="n">
        <x:v>1.47</x:v>
      </x:c>
      <x:c r="L280" s="8" t="n">
        <x:v>2158</x:v>
      </x:c>
      <x:c r="M280" s="8" t="n">
        <x:v>0</x:v>
      </x:c>
      <x:c r="N280" s="8" t="n">
        <x:v>0</x:v>
      </x:c>
      <x:c r="O280" s="8" t="n">
        <x:v>1</x:v>
      </x:c>
      <x:c r="P280" s="8" t="n">
        <x:v>6.44</x:v>
      </x:c>
      <x:c r="Q280" s="9" t="n">
        <x:v>204.36260000000001</x:v>
      </x:c>
      <x:c r="R280" s="1" t="str">
        <x:v>Classified</x:v>
      </x:c>
      <x:c r="S280" s="1" t="str">
        <x:v>Plastic Product Information.csv</x:v>
      </x:c>
    </x:row>
    <x:row r="281" ht="21" customHeight="1">
      <x:c r="A281" s="1" t="str">
        <x:v>PLAS</x:v>
      </x:c>
      <x:c r="B281" s="1" t="str">
        <x:v>10</x:v>
      </x:c>
      <x:c r="C281" s="1" t="str">
        <x:v>00121RWBBLK</x:v>
      </x:c>
      <x:c r="D281" s="1" t="str">
        <x:v>GOLDEN CHAMPION IND. LIMITED</x:v>
      </x:c>
      <x:c r="E281" s="7" t="n">
        <x:v>46303</x:v>
      </x:c>
      <x:c r="F281" s="8" t="n">
        <x:v>9953</x:v>
      </x:c>
      <x:c r="G281" s="8" t="n">
        <x:v>259.42</x:v>
      </x:c>
      <x:c r="H281" s="8" t="n">
        <x:v>10.38</x:v>
      </x:c>
      <x:c r="I281" s="8" t="n">
        <x:v>8.26</x:v>
      </x:c>
      <x:c r="J281" s="8" t="n">
        <x:v>100</x:v>
      </x:c>
      <x:c r="K281" s="8" t="n">
        <x:v>1.47</x:v>
      </x:c>
      <x:c r="L281" s="8" t="n">
        <x:v>9953</x:v>
      </x:c>
      <x:c r="M281" s="8" t="n">
        <x:v>0</x:v>
      </x:c>
      <x:c r="N281" s="8" t="n">
        <x:v>0</x:v>
      </x:c>
      <x:c r="O281" s="8" t="n">
        <x:v>1</x:v>
      </x:c>
      <x:c r="P281" s="8" t="n">
        <x:v>7.06</x:v>
      </x:c>
      <x:c r="Q281" s="9" t="n">
        <x:v>1033.1214000000002</x:v>
      </x:c>
      <x:c r="R281" s="1" t="str">
        <x:v>Classified</x:v>
      </x:c>
      <x:c r="S281" s="1" t="str">
        <x:v>Plastic Product Information.csv</x:v>
      </x:c>
    </x:row>
    <x:row r="282" ht="21" customHeight="1">
      <x:c r="A282" s="1" t="str">
        <x:v>PLAS</x:v>
      </x:c>
      <x:c r="B282" s="1" t="str">
        <x:v>60</x:v>
      </x:c>
      <x:c r="C282" s="1" t="str">
        <x:v>11219RSLNAV</x:v>
      </x:c>
      <x:c r="D282" s="1" t="str">
        <x:v>GOLDEN CHAMPION IND. LIMITED</x:v>
      </x:c>
      <x:c r="E282" s="7" t="n">
        <x:v>46303</x:v>
      </x:c>
      <x:c r="F282" s="8" t="n">
        <x:v>1300</x:v>
      </x:c>
      <x:c r="G282" s="8" t="n">
        <x:v>258.33</x:v>
      </x:c>
      <x:c r="H282" s="8" t="n">
        <x:v>12.98</x:v>
      </x:c>
      <x:c r="I282" s="8" t="n">
        <x:v>10.33</x:v>
      </x:c>
      <x:c r="J282" s="8" t="n">
        <x:v>100</x:v>
      </x:c>
      <x:c r="K282" s="8" t="n">
        <x:v>1.47</x:v>
      </x:c>
      <x:c r="L282" s="8" t="n">
        <x:v>0</x:v>
      </x:c>
      <x:c r="M282" s="8" t="n">
        <x:v>0</x:v>
      </x:c>
      <x:c r="N282" s="8" t="n">
        <x:v>1300</x:v>
      </x:c>
      <x:c r="O282" s="8" t="n">
        <x:v>0</x:v>
      </x:c>
      <x:c r="P282" s="8" t="n">
        <x:v>8.83</x:v>
      </x:c>
      <x:c r="Q282" s="9" t="n">
        <x:v>168.74</x:v>
      </x:c>
      <x:c r="R282" s="1" t="str">
        <x:v>Review receipt reconciliation or original PO baseline</x:v>
      </x:c>
      <x:c r="S282" s="1" t="str">
        <x:v>Plastic Product Information.csv</x:v>
      </x:c>
    </x:row>
    <x:row r="283" ht="21" customHeight="1">
      <x:c r="A283" s="1" t="str">
        <x:v>PLAS</x:v>
      </x:c>
      <x:c r="B283" s="1" t="str">
        <x:v>10</x:v>
      </x:c>
      <x:c r="C283" s="1" t="str">
        <x:v>00115RWBBLU</x:v>
      </x:c>
      <x:c r="D283" s="1" t="str">
        <x:v>GOLDEN CHAMPION IND. LIMITED</x:v>
      </x:c>
      <x:c r="E283" s="7" t="n">
        <x:v>46303</x:v>
      </x:c>
      <x:c r="F283" s="8" t="n">
        <x:v>4000</x:v>
      </x:c>
      <x:c r="G283" s="8" t="n">
        <x:v>250</x:v>
      </x:c>
      <x:c r="H283" s="8" t="n">
        <x:v>6.78</x:v>
      </x:c>
      <x:c r="I283" s="8" t="n">
        <x:v>5.86</x:v>
      </x:c>
      <x:c r="J283" s="8" t="n">
        <x:v>100</x:v>
      </x:c>
      <x:c r="K283" s="8" t="n">
        <x:v>1.47</x:v>
      </x:c>
      <x:c r="L283" s="8" t="n">
        <x:v>0</x:v>
      </x:c>
      <x:c r="M283" s="8" t="n">
        <x:v>0</x:v>
      </x:c>
      <x:c r="N283" s="8" t="n">
        <x:v>4000</x:v>
      </x:c>
      <x:c r="O283" s="8" t="n">
        <x:v>0</x:v>
      </x:c>
      <x:c r="P283" s="8" t="n">
        <x:v>5.01</x:v>
      </x:c>
      <x:c r="Q283" s="9" t="n">
        <x:v>271.2</x:v>
      </x:c>
      <x:c r="R283" s="1" t="str">
        <x:v>Review receipt reconciliation or original PO baseline</x:v>
      </x:c>
      <x:c r="S283" s="1" t="str">
        <x:v>Plastic Product Information.csv</x:v>
      </x:c>
    </x:row>
    <x:row r="284" ht="21" customHeight="1">
      <x:c r="A284" s="1" t="str">
        <x:v>PLAS</x:v>
      </x:c>
      <x:c r="B284" s="1" t="str">
        <x:v>10</x:v>
      </x:c>
      <x:c r="C284" s="1" t="str">
        <x:v>05815RWBWHT</x:v>
      </x:c>
      <x:c r="D284" s="1" t="str">
        <x:v>GOLDEN CHAMPION IND. LIMITED</x:v>
      </x:c>
      <x:c r="E284" s="7" t="n">
        <x:v>46303</x:v>
      </x:c>
      <x:c r="F284" s="8" t="n">
        <x:v>0</x:v>
      </x:c>
      <x:c r="G284" s="8" t="n">
        <x:v>250</x:v>
      </x:c>
      <x:c r="H284" s="8" t="n">
        <x:v>3.09</x:v>
      </x:c>
      <x:c r="I284" s="8" t="n">
        <x:v>2.46</x:v>
      </x:c>
      <x:c r="J284" s="8" t="n">
        <x:v>100</x:v>
      </x:c>
      <x:c r="K284" s="8" t="n">
        <x:v>1.47</x:v>
      </x:c>
      <x:c r="L284" s="8" t="n">
        <x:v>0</x:v>
      </x:c>
      <x:c r="M284" s="8" t="n">
        <x:v>0</x:v>
      </x:c>
      <x:c r="N284" s="8" t="n">
        <x:v>0</x:v>
      </x:c>
      <x:c r="O284" s="8" t="n">
        <x:v>1</x:v>
      </x:c>
      <x:c r="P284" s="8" t="n">
        <x:v>2.1</x:v>
      </x:c>
      <x:c r="Q284" s="9" t="n">
        <x:v>0</x:v>
      </x:c>
      <x:c r="R284" s="1" t="str">
        <x:v>Classified</x:v>
      </x:c>
      <x:c r="S284" s="1" t="str">
        <x:v>Plastic Product Information.csv</x:v>
      </x:c>
    </x:row>
    <x:row r="285" ht="21" customHeight="1">
      <x:c r="A285" s="1" t="str">
        <x:v>PLAS</x:v>
      </x:c>
      <x:c r="B285" s="1" t="str">
        <x:v>10</x:v>
      </x:c>
      <x:c r="C285" s="1" t="str">
        <x:v>07819RWBMAR</x:v>
      </x:c>
      <x:c r="D285" s="1" t="str">
        <x:v>GOLDEN CHAMPION IND. LIMITED</x:v>
      </x:c>
      <x:c r="E285" s="7" t="n">
        <x:v>46303</x:v>
      </x:c>
      <x:c r="F285" s="8" t="n">
        <x:v>1400</x:v>
      </x:c>
      <x:c r="G285" s="8" t="n">
        <x:v>250</x:v>
      </x:c>
      <x:c r="H285" s="8" t="n">
        <x:v>7.97</x:v>
      </x:c>
      <x:c r="I285" s="8" t="n">
        <x:v>6.34</x:v>
      </x:c>
      <x:c r="J285" s="8" t="n">
        <x:v>100</x:v>
      </x:c>
      <x:c r="K285" s="8" t="n">
        <x:v>1.47</x:v>
      </x:c>
      <x:c r="L285" s="8" t="n">
        <x:v>1400</x:v>
      </x:c>
      <x:c r="M285" s="8" t="n">
        <x:v>0</x:v>
      </x:c>
      <x:c r="N285" s="8" t="n">
        <x:v>0</x:v>
      </x:c>
      <x:c r="O285" s="8" t="n">
        <x:v>1</x:v>
      </x:c>
      <x:c r="P285" s="8" t="n">
        <x:v>5.42</x:v>
      </x:c>
      <x:c r="Q285" s="9" t="n">
        <x:v>111.58</x:v>
      </x:c>
      <x:c r="R285" s="1" t="str">
        <x:v>Classified</x:v>
      </x:c>
      <x:c r="S285" s="1" t="str">
        <x:v>Plastic Product Information.csv</x:v>
      </x:c>
    </x:row>
    <x:row r="286" ht="21" customHeight="1">
      <x:c r="A286" s="1" t="str">
        <x:v>PLAS</x:v>
      </x:c>
      <x:c r="B286" s="1" t="str">
        <x:v>10</x:v>
      </x:c>
      <x:c r="C286" s="1" t="str">
        <x:v>71615RWBBLU</x:v>
      </x:c>
      <x:c r="D286" s="1" t="str">
        <x:v>GOLDEN CHAMPION IND. LIMITED</x:v>
      </x:c>
      <x:c r="E286" s="7" t="n">
        <x:v>46303</x:v>
      </x:c>
      <x:c r="F286" s="8" t="n">
        <x:v>3000</x:v>
      </x:c>
      <x:c r="G286" s="8" t="n">
        <x:v>250</x:v>
      </x:c>
      <x:c r="H286" s="8" t="n">
        <x:v>2.19</x:v>
      </x:c>
      <x:c r="I286" s="8" t="n">
        <x:v>1.74</x:v>
      </x:c>
      <x:c r="J286" s="8" t="n">
        <x:v>100</x:v>
      </x:c>
      <x:c r="K286" s="8" t="n">
        <x:v>1.47</x:v>
      </x:c>
      <x:c r="L286" s="8" t="n">
        <x:v>0</x:v>
      </x:c>
      <x:c r="M286" s="8" t="n">
        <x:v>0</x:v>
      </x:c>
      <x:c r="N286" s="8" t="n">
        <x:v>3000</x:v>
      </x:c>
      <x:c r="O286" s="8" t="n">
        <x:v>0</x:v>
      </x:c>
      <x:c r="P286" s="8" t="n">
        <x:v>1.49</x:v>
      </x:c>
      <x:c r="Q286" s="9" t="n">
        <x:v>65.7</x:v>
      </x:c>
      <x:c r="R286" s="1" t="str">
        <x:v>Review receipt reconciliation or original PO baseline</x:v>
      </x:c>
      <x:c r="S286" s="1" t="str">
        <x:v>Plastic Product Information.csv</x:v>
      </x:c>
    </x:row>
    <x:row r="287" ht="21" customHeight="1">
      <x:c r="A287" s="1" t="str">
        <x:v>PLAS</x:v>
      </x:c>
      <x:c r="B287" s="1" t="str">
        <x:v>10</x:v>
      </x:c>
      <x:c r="C287" s="1" t="str">
        <x:v>91615RWBNAV</x:v>
      </x:c>
      <x:c r="D287" s="1" t="str">
        <x:v>GOLDEN CHAMPION IND. LIMITED</x:v>
      </x:c>
      <x:c r="E287" s="7" t="n">
        <x:v>46303</x:v>
      </x:c>
      <x:c r="F287" s="8" t="n">
        <x:v>4390</x:v>
      </x:c>
      <x:c r="G287" s="8" t="n">
        <x:v>250</x:v>
      </x:c>
      <x:c r="H287" s="8" t="n">
        <x:v>2.91</x:v>
      </x:c>
      <x:c r="I287" s="8" t="n">
        <x:v>2.32</x:v>
      </x:c>
      <x:c r="J287" s="8" t="n">
        <x:v>100</x:v>
      </x:c>
      <x:c r="K287" s="8" t="n">
        <x:v>1.47</x:v>
      </x:c>
      <x:c r="L287" s="8" t="n">
        <x:v>4390</x:v>
      </x:c>
      <x:c r="M287" s="8" t="n">
        <x:v>0</x:v>
      </x:c>
      <x:c r="N287" s="8" t="n">
        <x:v>0</x:v>
      </x:c>
      <x:c r="O287" s="8" t="n">
        <x:v>1</x:v>
      </x:c>
      <x:c r="P287" s="8" t="n">
        <x:v>1.98</x:v>
      </x:c>
      <x:c r="Q287" s="9" t="n">
        <x:v>127.74900000000002</x:v>
      </x:c>
      <x:c r="R287" s="1" t="str">
        <x:v>Classified</x:v>
      </x:c>
      <x:c r="S287" s="1" t="str">
        <x:v>Plastic Product Information.csv</x:v>
      </x:c>
    </x:row>
    <x:row r="288" ht="21" customHeight="1">
      <x:c r="A288" s="1" t="str">
        <x:v>PLAS</x:v>
      </x:c>
      <x:c r="B288" s="1" t="str">
        <x:v>60</x:v>
      </x:c>
      <x:c r="C288" s="1" t="str">
        <x:v>01215RWBWHT</x:v>
      </x:c>
      <x:c r="D288" s="1" t="str">
        <x:v>GOLDEN CHAMPION IND. LIMITED</x:v>
      </x:c>
      <x:c r="E288" s="7" t="n">
        <x:v>46303</x:v>
      </x:c>
      <x:c r="F288" s="8" t="n">
        <x:v>3800</x:v>
      </x:c>
      <x:c r="G288" s="8" t="n">
        <x:v>250</x:v>
      </x:c>
      <x:c r="H288" s="8" t="n">
        <x:v>2.5</x:v>
      </x:c>
      <x:c r="I288" s="8" t="n">
        <x:v>1.99</x:v>
      </x:c>
      <x:c r="J288" s="8" t="n">
        <x:v>100</x:v>
      </x:c>
      <x:c r="K288" s="8" t="n">
        <x:v>1.47</x:v>
      </x:c>
      <x:c r="L288" s="8" t="n">
        <x:v>0</x:v>
      </x:c>
      <x:c r="M288" s="8" t="n">
        <x:v>0</x:v>
      </x:c>
      <x:c r="N288" s="8" t="n">
        <x:v>3800</x:v>
      </x:c>
      <x:c r="O288" s="8" t="n">
        <x:v>0</x:v>
      </x:c>
      <x:c r="P288" s="8" t="n">
        <x:v>1.7</x:v>
      </x:c>
      <x:c r="Q288" s="9" t="n">
        <x:v>95</x:v>
      </x:c>
      <x:c r="R288" s="1" t="str">
        <x:v>Review receipt reconciliation or original PO baseline</x:v>
      </x:c>
      <x:c r="S288" s="1" t="str">
        <x:v>Plastic Product Information.csv</x:v>
      </x:c>
    </x:row>
    <x:row r="289" ht="21" customHeight="1">
      <x:c r="A289" s="1" t="str">
        <x:v>PLAS</x:v>
      </x:c>
      <x:c r="B289" s="1" t="str">
        <x:v>60</x:v>
      </x:c>
      <x:c r="C289" s="1" t="str">
        <x:v>01419RWBRED</x:v>
      </x:c>
      <x:c r="D289" s="1" t="str">
        <x:v>GOLDEN CHAMPION IND. LIMITED</x:v>
      </x:c>
      <x:c r="E289" s="7" t="n">
        <x:v>46303</x:v>
      </x:c>
      <x:c r="F289" s="8" t="n">
        <x:v>300</x:v>
      </x:c>
      <x:c r="G289" s="8" t="n">
        <x:v>250</x:v>
      </x:c>
      <x:c r="H289" s="8" t="n">
        <x:v>1.81</x:v>
      </x:c>
      <x:c r="I289" s="8" t="n">
        <x:v>1.44</x:v>
      </x:c>
      <x:c r="J289" s="8" t="n">
        <x:v>100</x:v>
      </x:c>
      <x:c r="K289" s="8" t="n">
        <x:v>1.47</x:v>
      </x:c>
      <x:c r="L289" s="8" t="n">
        <x:v>0</x:v>
      </x:c>
      <x:c r="M289" s="8" t="n">
        <x:v>0</x:v>
      </x:c>
      <x:c r="N289" s="8" t="n">
        <x:v>300</x:v>
      </x:c>
      <x:c r="O289" s="8" t="n">
        <x:v>0</x:v>
      </x:c>
      <x:c r="P289" s="8" t="n">
        <x:v>1.23</x:v>
      </x:c>
      <x:c r="Q289" s="9" t="n">
        <x:v>5.43</x:v>
      </x:c>
      <x:c r="R289" s="1" t="str">
        <x:v>Review receipt reconciliation or original PO baseline</x:v>
      </x:c>
      <x:c r="S289" s="1" t="str">
        <x:v>Plastic Product Information.csv</x:v>
      </x:c>
    </x:row>
    <x:row r="290" ht="21" customHeight="1">
      <x:c r="A290" s="1" t="str">
        <x:v>PLAS</x:v>
      </x:c>
      <x:c r="B290" s="1" t="str">
        <x:v>60</x:v>
      </x:c>
      <x:c r="C290" s="1" t="str">
        <x:v>03415RWBWHT</x:v>
      </x:c>
      <x:c r="D290" s="1" t="str">
        <x:v>GOLDEN CHAMPION IND. LIMITED</x:v>
      </x:c>
      <x:c r="E290" s="7" t="n">
        <x:v>46303</x:v>
      </x:c>
      <x:c r="F290" s="8" t="n">
        <x:v>3000</x:v>
      </x:c>
      <x:c r="G290" s="8" t="n">
        <x:v>250</x:v>
      </x:c>
      <x:c r="H290" s="8" t="n">
        <x:v>4.4</x:v>
      </x:c>
      <x:c r="I290" s="8" t="n">
        <x:v>3.5</x:v>
      </x:c>
      <x:c r="J290" s="8" t="n">
        <x:v>100</x:v>
      </x:c>
      <x:c r="K290" s="8" t="n">
        <x:v>1.47</x:v>
      </x:c>
      <x:c r="L290" s="8" t="n">
        <x:v>0</x:v>
      </x:c>
      <x:c r="M290" s="8" t="n">
        <x:v>0</x:v>
      </x:c>
      <x:c r="N290" s="8" t="n">
        <x:v>3000</x:v>
      </x:c>
      <x:c r="O290" s="8" t="n">
        <x:v>0</x:v>
      </x:c>
      <x:c r="P290" s="8" t="n">
        <x:v>2.99</x:v>
      </x:c>
      <x:c r="Q290" s="9" t="n">
        <x:v>132.00000000000003</x:v>
      </x:c>
      <x:c r="R290" s="1" t="str">
        <x:v>Review receipt reconciliation or original PO baseline</x:v>
      </x:c>
      <x:c r="S290" s="1" t="str">
        <x:v>Plastic Product Information.csv</x:v>
      </x:c>
    </x:row>
    <x:row r="291" ht="21" customHeight="1">
      <x:c r="A291" s="1" t="str">
        <x:v>PLAS</x:v>
      </x:c>
      <x:c r="B291" s="1" t="str">
        <x:v>10</x:v>
      </x:c>
      <x:c r="C291" s="1" t="str">
        <x:v>91619RWBBLU</x:v>
      </x:c>
      <x:c r="D291" s="1" t="str">
        <x:v>GOLDEN CHAMPION IND. LIMITED</x:v>
      </x:c>
      <x:c r="E291" s="7" t="n">
        <x:v>46303</x:v>
      </x:c>
      <x:c r="F291" s="8" t="n">
        <x:v>4000</x:v>
      </x:c>
      <x:c r="G291" s="8" t="n">
        <x:v>233.33</x:v>
      </x:c>
      <x:c r="H291" s="8" t="n">
        <x:v>4.28</x:v>
      </x:c>
      <x:c r="I291" s="8" t="n">
        <x:v>3.4</x:v>
      </x:c>
      <x:c r="J291" s="8" t="n">
        <x:v>100</x:v>
      </x:c>
      <x:c r="K291" s="8" t="n">
        <x:v>1.47</x:v>
      </x:c>
      <x:c r="L291" s="8" t="n">
        <x:v>1000</x:v>
      </x:c>
      <x:c r="M291" s="8" t="n">
        <x:v>3000</x:v>
      </x:c>
      <x:c r="N291" s="8" t="n">
        <x:v>0</x:v>
      </x:c>
      <x:c r="O291" s="8" t="n">
        <x:v>1</x:v>
      </x:c>
      <x:c r="P291" s="8" t="n">
        <x:v>2.91</x:v>
      </x:c>
      <x:c r="Q291" s="9" t="n">
        <x:v>171.20000000000002</x:v>
      </x:c>
      <x:c r="R291" s="1" t="str">
        <x:v>Classified</x:v>
      </x:c>
      <x:c r="S291" s="1" t="str">
        <x:v>Plastic Product Information.csv</x:v>
      </x:c>
    </x:row>
    <x:row r="292" ht="21" customHeight="1">
      <x:c r="A292" s="1" t="str">
        <x:v>PLAS</x:v>
      </x:c>
      <x:c r="B292" s="1" t="str">
        <x:v>10</x:v>
      </x:c>
      <x:c r="C292" s="1" t="str">
        <x:v>91619RWBMAR</x:v>
      </x:c>
      <x:c r="D292" s="1" t="str">
        <x:v>GOLDEN CHAMPION IND. LIMITED</x:v>
      </x:c>
      <x:c r="E292" s="7" t="n">
        <x:v>46303</x:v>
      </x:c>
      <x:c r="F292" s="8" t="n">
        <x:v>500</x:v>
      </x:c>
      <x:c r="G292" s="8" t="n">
        <x:v>233.33</x:v>
      </x:c>
      <x:c r="H292" s="8" t="n">
        <x:v>4.28</x:v>
      </x:c>
      <x:c r="I292" s="8" t="n">
        <x:v>3.4</x:v>
      </x:c>
      <x:c r="J292" s="8" t="n">
        <x:v>100</x:v>
      </x:c>
      <x:c r="K292" s="8" t="n">
        <x:v>1.47</x:v>
      </x:c>
      <x:c r="L292" s="8" t="n">
        <x:v>0</x:v>
      </x:c>
      <x:c r="M292" s="8" t="n">
        <x:v>500</x:v>
      </x:c>
      <x:c r="N292" s="8" t="n">
        <x:v>0</x:v>
      </x:c>
      <x:c r="O292" s="8" t="n">
        <x:v>1</x:v>
      </x:c>
      <x:c r="P292" s="8" t="n">
        <x:v>2.91</x:v>
      </x:c>
      <x:c r="Q292" s="9" t="n">
        <x:v>21.400000000000002</x:v>
      </x:c>
      <x:c r="R292" s="1" t="str">
        <x:v>Classified</x:v>
      </x:c>
      <x:c r="S292" s="1" t="str">
        <x:v>Plastic Product Information.csv</x:v>
      </x:c>
    </x:row>
    <x:row r="293" ht="21" customHeight="1">
      <x:c r="A293" s="1" t="str">
        <x:v>PLAS</x:v>
      </x:c>
      <x:c r="B293" s="1" t="str">
        <x:v>30</x:v>
      </x:c>
      <x:c r="C293" s="1" t="str">
        <x:v>01219RWBBLU</x:v>
      </x:c>
      <x:c r="D293" s="1" t="str">
        <x:v>GOLDEN CHAMPION IND. LIMITED</x:v>
      </x:c>
      <x:c r="E293" s="7" t="n">
        <x:v>46303</x:v>
      </x:c>
      <x:c r="F293" s="8" t="n">
        <x:v>800</x:v>
      </x:c>
      <x:c r="G293" s="8" t="n">
        <x:v>233.33</x:v>
      </x:c>
      <x:c r="H293" s="8" t="n">
        <x:v>3.6</x:v>
      </x:c>
      <x:c r="I293" s="8" t="n">
        <x:v>2.87</x:v>
      </x:c>
      <x:c r="J293" s="8" t="n">
        <x:v>100</x:v>
      </x:c>
      <x:c r="K293" s="8" t="n">
        <x:v>1.47</x:v>
      </x:c>
      <x:c r="L293" s="8" t="n">
        <x:v>0</x:v>
      </x:c>
      <x:c r="M293" s="8" t="n">
        <x:v>0</x:v>
      </x:c>
      <x:c r="N293" s="8" t="n">
        <x:v>800</x:v>
      </x:c>
      <x:c r="O293" s="8" t="n">
        <x:v>0</x:v>
      </x:c>
      <x:c r="P293" s="8" t="n">
        <x:v>2.45</x:v>
      </x:c>
      <x:c r="Q293" s="9" t="n">
        <x:v>28.8</x:v>
      </x:c>
      <x:c r="R293" s="1" t="str">
        <x:v>Review receipt reconciliation or original PO baseline</x:v>
      </x:c>
      <x:c r="S293" s="1" t="str">
        <x:v>Plastic Product Information.csv</x:v>
      </x:c>
    </x:row>
    <x:row r="294" ht="21" customHeight="1">
      <x:c r="A294" s="1" t="str">
        <x:v>PLAS</x:v>
      </x:c>
      <x:c r="B294" s="1" t="str">
        <x:v>30</x:v>
      </x:c>
      <x:c r="C294" s="1" t="str">
        <x:v>05819RWBNAV</x:v>
      </x:c>
      <x:c r="D294" s="1" t="str">
        <x:v>GOLDEN CHAMPION IND. LIMITED</x:v>
      </x:c>
      <x:c r="E294" s="7" t="n">
        <x:v>46303</x:v>
      </x:c>
      <x:c r="F294" s="8" t="n">
        <x:v>1900</x:v>
      </x:c>
      <x:c r="G294" s="8" t="n">
        <x:v>233.33</x:v>
      </x:c>
      <x:c r="H294" s="8" t="n">
        <x:v>4.56</x:v>
      </x:c>
      <x:c r="I294" s="8" t="n">
        <x:v>3.63</x:v>
      </x:c>
      <x:c r="J294" s="8" t="n">
        <x:v>100</x:v>
      </x:c>
      <x:c r="K294" s="8" t="n">
        <x:v>1.47</x:v>
      </x:c>
      <x:c r="L294" s="8" t="n">
        <x:v>0</x:v>
      </x:c>
      <x:c r="M294" s="8" t="n">
        <x:v>0</x:v>
      </x:c>
      <x:c r="N294" s="8" t="n">
        <x:v>1900</x:v>
      </x:c>
      <x:c r="O294" s="8" t="n">
        <x:v>0</x:v>
      </x:c>
      <x:c r="P294" s="8" t="n">
        <x:v>3.1</x:v>
      </x:c>
      <x:c r="Q294" s="9" t="n">
        <x:v>86.64</x:v>
      </x:c>
      <x:c r="R294" s="1" t="str">
        <x:v>Review receipt reconciliation or original PO baseline</x:v>
      </x:c>
      <x:c r="S294" s="1" t="str">
        <x:v>Plastic Product Information.csv</x:v>
      </x:c>
    </x:row>
    <x:row r="295" ht="21" customHeight="1">
      <x:c r="A295" s="1" t="str">
        <x:v>PLAS</x:v>
      </x:c>
      <x:c r="B295" s="1" t="str">
        <x:v>60</x:v>
      </x:c>
      <x:c r="C295" s="1" t="str">
        <x:v>51619RWBBLU</x:v>
      </x:c>
      <x:c r="D295" s="1" t="str">
        <x:v>GOLDEN CHAMPION IND. LIMITED</x:v>
      </x:c>
      <x:c r="E295" s="7" t="n">
        <x:v>46303</x:v>
      </x:c>
      <x:c r="F295" s="8" t="n">
        <x:v>1000</x:v>
      </x:c>
      <x:c r="G295" s="8" t="n">
        <x:v>233.33</x:v>
      </x:c>
      <x:c r="H295" s="8" t="n">
        <x:v>2.16</x:v>
      </x:c>
      <x:c r="I295" s="8" t="n">
        <x:v>1.72</x:v>
      </x:c>
      <x:c r="J295" s="8" t="n">
        <x:v>100</x:v>
      </x:c>
      <x:c r="K295" s="8" t="n">
        <x:v>1.47</x:v>
      </x:c>
      <x:c r="L295" s="8" t="n">
        <x:v>0</x:v>
      </x:c>
      <x:c r="M295" s="8" t="n">
        <x:v>0</x:v>
      </x:c>
      <x:c r="N295" s="8" t="n">
        <x:v>1000</x:v>
      </x:c>
      <x:c r="O295" s="8" t="n">
        <x:v>0</x:v>
      </x:c>
      <x:c r="P295" s="8" t="n">
        <x:v>1.47</x:v>
      </x:c>
      <x:c r="Q295" s="9" t="n">
        <x:v>21.6</x:v>
      </x:c>
      <x:c r="R295" s="1" t="str">
        <x:v>Review receipt reconciliation or original PO baseline</x:v>
      </x:c>
      <x:c r="S295" s="1" t="str">
        <x:v>Plastic Product Information.csv</x:v>
      </x:c>
    </x:row>
    <x:row r="296" ht="21" customHeight="1">
      <x:c r="A296" s="1" t="str">
        <x:v>PLAS</x:v>
      </x:c>
      <x:c r="B296" s="1" t="str">
        <x:v>60</x:v>
      </x:c>
      <x:c r="C296" s="1" t="str">
        <x:v>71619RWBFG</x:v>
      </x:c>
      <x:c r="D296" s="1" t="str">
        <x:v>GOLDEN CHAMPION IND. LIMITED</x:v>
      </x:c>
      <x:c r="E296" s="7" t="n">
        <x:v>46303</x:v>
      </x:c>
      <x:c r="F296" s="8" t="n">
        <x:v>0</x:v>
      </x:c>
      <x:c r="G296" s="8" t="n">
        <x:v>233.33</x:v>
      </x:c>
      <x:c r="H296" s="8" t="n">
        <x:v>3.15</x:v>
      </x:c>
      <x:c r="I296" s="8" t="n">
        <x:v>2.5</x:v>
      </x:c>
      <x:c r="J296" s="8" t="n">
        <x:v>100</x:v>
      </x:c>
      <x:c r="K296" s="8" t="n">
        <x:v>1.47</x:v>
      </x:c>
      <x:c r="L296" s="8" t="n">
        <x:v>0</x:v>
      </x:c>
      <x:c r="M296" s="8" t="n">
        <x:v>0</x:v>
      </x:c>
      <x:c r="N296" s="8" t="n">
        <x:v>0</x:v>
      </x:c>
      <x:c r="O296" s="8" t="n">
        <x:v>1</x:v>
      </x:c>
      <x:c r="P296" s="8" t="n">
        <x:v>2.14</x:v>
      </x:c>
      <x:c r="Q296" s="9" t="n">
        <x:v>0</x:v>
      </x:c>
      <x:c r="R296" s="1" t="str">
        <x:v>Classified</x:v>
      </x:c>
      <x:c r="S296" s="1" t="str">
        <x:v>Plastic Product Information.csv</x:v>
      </x:c>
    </x:row>
    <x:row r="297" ht="21" customHeight="1">
      <x:c r="A297" s="1" t="str">
        <x:v>PLAS</x:v>
      </x:c>
      <x:c r="B297" s="1" t="str">
        <x:v>10</x:v>
      </x:c>
      <x:c r="C297" s="1" t="str">
        <x:v>11219RSLBLU</x:v>
      </x:c>
      <x:c r="D297" s="1" t="str">
        <x:v>GOLDEN CHAMPION IND. LIMITED</x:v>
      </x:c>
      <x:c r="E297" s="7" t="n">
        <x:v>46303</x:v>
      </x:c>
      <x:c r="F297" s="8" t="n">
        <x:v>1000</x:v>
      </x:c>
      <x:c r="G297" s="8" t="n">
        <x:v>229.17</x:v>
      </x:c>
      <x:c r="H297" s="8" t="n">
        <x:v>12.98</x:v>
      </x:c>
      <x:c r="I297" s="8" t="n">
        <x:v>10.33</x:v>
      </x:c>
      <x:c r="J297" s="8" t="n">
        <x:v>100</x:v>
      </x:c>
      <x:c r="K297" s="8" t="n">
        <x:v>1.47</x:v>
      </x:c>
      <x:c r="L297" s="8" t="n">
        <x:v>0</x:v>
      </x:c>
      <x:c r="M297" s="8" t="n">
        <x:v>1000</x:v>
      </x:c>
      <x:c r="N297" s="8" t="n">
        <x:v>0</x:v>
      </x:c>
      <x:c r="O297" s="8" t="n">
        <x:v>1</x:v>
      </x:c>
      <x:c r="P297" s="8" t="n">
        <x:v>8.83</x:v>
      </x:c>
      <x:c r="Q297" s="9" t="n">
        <x:v>129.8</x:v>
      </x:c>
      <x:c r="R297" s="1" t="str">
        <x:v>Classified</x:v>
      </x:c>
      <x:c r="S297" s="1" t="str">
        <x:v>Plastic Product Information.csv</x:v>
      </x:c>
    </x:row>
    <x:row r="298" ht="21" customHeight="1">
      <x:c r="A298" s="1" t="str">
        <x:v>PLAS</x:v>
      </x:c>
      <x:c r="B298" s="1" t="str">
        <x:v>30</x:v>
      </x:c>
      <x:c r="C298" s="1" t="str">
        <x:v>03819RWBBLU</x:v>
      </x:c>
      <x:c r="D298" s="1" t="str">
        <x:v>GOLDEN CHAMPION IND. LIMITED</x:v>
      </x:c>
      <x:c r="E298" s="7" t="n">
        <x:v>46303</x:v>
      </x:c>
      <x:c r="F298" s="8" t="n">
        <x:v>5300</x:v>
      </x:c>
      <x:c r="G298" s="8" t="n">
        <x:v>216.67</x:v>
      </x:c>
      <x:c r="H298" s="8" t="n">
        <x:v>2.48</x:v>
      </x:c>
      <x:c r="I298" s="8" t="n">
        <x:v>1.98</x:v>
      </x:c>
      <x:c r="J298" s="8" t="n">
        <x:v>100</x:v>
      </x:c>
      <x:c r="K298" s="8" t="n">
        <x:v>1.47</x:v>
      </x:c>
      <x:c r="L298" s="8" t="n">
        <x:v>0</x:v>
      </x:c>
      <x:c r="M298" s="8" t="n">
        <x:v>0</x:v>
      </x:c>
      <x:c r="N298" s="8" t="n">
        <x:v>5300</x:v>
      </x:c>
      <x:c r="O298" s="8" t="n">
        <x:v>0</x:v>
      </x:c>
      <x:c r="P298" s="8" t="n">
        <x:v>1.69</x:v>
      </x:c>
      <x:c r="Q298" s="9" t="n">
        <x:v>131.44</x:v>
      </x:c>
      <x:c r="R298" s="1" t="str">
        <x:v>Review receipt reconciliation or original PO baseline</x:v>
      </x:c>
      <x:c r="S298" s="1" t="str">
        <x:v>Plastic Product Information.csv</x:v>
      </x:c>
    </x:row>
    <x:row r="299" ht="21" customHeight="1">
      <x:c r="A299" s="1" t="str">
        <x:v>PLAS</x:v>
      </x:c>
      <x:c r="B299" s="1" t="str">
        <x:v>30</x:v>
      </x:c>
      <x:c r="C299" s="1" t="str">
        <x:v>03819RWBRED</x:v>
      </x:c>
      <x:c r="D299" s="1" t="str">
        <x:v>GOLDEN CHAMPION IND. LIMITED</x:v>
      </x:c>
      <x:c r="E299" s="7" t="n">
        <x:v>46303</x:v>
      </x:c>
      <x:c r="F299" s="8" t="n">
        <x:v>900</x:v>
      </x:c>
      <x:c r="G299" s="8" t="n">
        <x:v>216.67</x:v>
      </x:c>
      <x:c r="H299" s="8" t="n">
        <x:v>2.48</x:v>
      </x:c>
      <x:c r="I299" s="8" t="n">
        <x:v>1.98</x:v>
      </x:c>
      <x:c r="J299" s="8" t="n">
        <x:v>100</x:v>
      </x:c>
      <x:c r="K299" s="8" t="n">
        <x:v>1.47</x:v>
      </x:c>
      <x:c r="L299" s="8" t="n">
        <x:v>0</x:v>
      </x:c>
      <x:c r="M299" s="8" t="n">
        <x:v>0</x:v>
      </x:c>
      <x:c r="N299" s="8" t="n">
        <x:v>900</x:v>
      </x:c>
      <x:c r="O299" s="8" t="n">
        <x:v>0</x:v>
      </x:c>
      <x:c r="P299" s="8" t="n">
        <x:v>1.69</x:v>
      </x:c>
      <x:c r="Q299" s="9" t="n">
        <x:v>22.32</x:v>
      </x:c>
      <x:c r="R299" s="1" t="str">
        <x:v>Review receipt reconciliation or original PO baseline</x:v>
      </x:c>
      <x:c r="S299" s="1" t="str">
        <x:v>Plastic Product Information.csv</x:v>
      </x:c>
    </x:row>
    <x:row r="300" ht="21" customHeight="1">
      <x:c r="A300" s="1" t="str">
        <x:v>PLAS</x:v>
      </x:c>
      <x:c r="B300" s="1" t="str">
        <x:v>10</x:v>
      </x:c>
      <x:c r="C300" s="1" t="str">
        <x:v>11815ROVBLK</x:v>
      </x:c>
      <x:c r="D300" s="1" t="str">
        <x:v>GOLDEN CHAMPION IND. LIMITED</x:v>
      </x:c>
      <x:c r="E300" s="7" t="n">
        <x:v>46303</x:v>
      </x:c>
      <x:c r="F300" s="8" t="n">
        <x:v>4790</x:v>
      </x:c>
      <x:c r="G300" s="8" t="n">
        <x:v>208.33</x:v>
      </x:c>
      <x:c r="H300" s="8" t="n">
        <x:v>8.41</x:v>
      </x:c>
      <x:c r="I300" s="8" t="n">
        <x:v>6.69</x:v>
      </x:c>
      <x:c r="J300" s="8" t="n">
        <x:v>100</x:v>
      </x:c>
      <x:c r="K300" s="8" t="n">
        <x:v>1.47</x:v>
      </x:c>
      <x:c r="L300" s="8" t="n">
        <x:v>3790</x:v>
      </x:c>
      <x:c r="M300" s="8" t="n">
        <x:v>1000</x:v>
      </x:c>
      <x:c r="N300" s="8" t="n">
        <x:v>0</x:v>
      </x:c>
      <x:c r="O300" s="8" t="n">
        <x:v>1</x:v>
      </x:c>
      <x:c r="P300" s="8" t="n">
        <x:v>5.72</x:v>
      </x:c>
      <x:c r="Q300" s="9" t="n">
        <x:v>402.839</x:v>
      </x:c>
      <x:c r="R300" s="1" t="str">
        <x:v>Classified</x:v>
      </x:c>
      <x:c r="S300" s="1" t="str">
        <x:v>Plastic Product Information.csv</x:v>
      </x:c>
    </x:row>
    <x:row r="301" ht="21" customHeight="1">
      <x:c r="A301" s="1" t="str">
        <x:v>PLAS</x:v>
      </x:c>
      <x:c r="B301" s="1" t="str">
        <x:v>10</x:v>
      </x:c>
      <x:c r="C301" s="1" t="str">
        <x:v>03415RWBFG</x:v>
      </x:c>
      <x:c r="D301" s="1" t="str">
        <x:v>GOLDEN CHAMPION IND. LIMITED</x:v>
      </x:c>
      <x:c r="E301" s="7" t="n">
        <x:v>46303</x:v>
      </x:c>
      <x:c r="F301" s="8" t="n">
        <x:v>4718</x:v>
      </x:c>
      <x:c r="G301" s="8" t="n">
        <x:v>203.08</x:v>
      </x:c>
      <x:c r="H301" s="8" t="n">
        <x:v>4.4</x:v>
      </x:c>
      <x:c r="I301" s="8" t="n">
        <x:v>3.5</x:v>
      </x:c>
      <x:c r="J301" s="8" t="n">
        <x:v>100</x:v>
      </x:c>
      <x:c r="K301" s="8" t="n">
        <x:v>1.47</x:v>
      </x:c>
      <x:c r="L301" s="8" t="n">
        <x:v>4718</x:v>
      </x:c>
      <x:c r="M301" s="8" t="n">
        <x:v>0</x:v>
      </x:c>
      <x:c r="N301" s="8" t="n">
        <x:v>0</x:v>
      </x:c>
      <x:c r="O301" s="8" t="n">
        <x:v>1</x:v>
      </x:c>
      <x:c r="P301" s="8" t="n">
        <x:v>2.99</x:v>
      </x:c>
      <x:c r="Q301" s="9" t="n">
        <x:v>207.592</x:v>
      </x:c>
      <x:c r="R301" s="1" t="str">
        <x:v>Classified</x:v>
      </x:c>
      <x:c r="S301" s="1" t="str">
        <x:v>Plastic Product Information.csv</x:v>
      </x:c>
    </x:row>
    <x:row r="302" ht="21" customHeight="1">
      <x:c r="A302" s="1" t="str">
        <x:v>PLAS</x:v>
      </x:c>
      <x:c r="B302" s="1" t="str">
        <x:v>10</x:v>
      </x:c>
      <x:c r="C302" s="1" t="str">
        <x:v>05815RWBNAV</x:v>
      </x:c>
      <x:c r="D302" s="1" t="str">
        <x:v>GOLDEN CHAMPION IND. LIMITED</x:v>
      </x:c>
      <x:c r="E302" s="7" t="n">
        <x:v>46303</x:v>
      </x:c>
      <x:c r="F302" s="8" t="n">
        <x:v>778</x:v>
      </x:c>
      <x:c r="G302" s="8" t="n">
        <x:v>200</x:v>
      </x:c>
      <x:c r="H302" s="8" t="n">
        <x:v>3.09</x:v>
      </x:c>
      <x:c r="I302" s="8" t="n">
        <x:v>2.46</x:v>
      </x:c>
      <x:c r="J302" s="8" t="n">
        <x:v>100</x:v>
      </x:c>
      <x:c r="K302" s="8" t="n">
        <x:v>1.47</x:v>
      </x:c>
      <x:c r="L302" s="8" t="n">
        <x:v>778</x:v>
      </x:c>
      <x:c r="M302" s="8" t="n">
        <x:v>0</x:v>
      </x:c>
      <x:c r="N302" s="8" t="n">
        <x:v>0</x:v>
      </x:c>
      <x:c r="O302" s="8" t="n">
        <x:v>1</x:v>
      </x:c>
      <x:c r="P302" s="8" t="n">
        <x:v>2.1</x:v>
      </x:c>
      <x:c r="Q302" s="9" t="n">
        <x:v>24.0402</x:v>
      </x:c>
      <x:c r="R302" s="1" t="str">
        <x:v>Classified</x:v>
      </x:c>
      <x:c r="S302" s="1" t="str">
        <x:v>Plastic Product Information.csv</x:v>
      </x:c>
    </x:row>
    <x:row r="303" ht="21" customHeight="1">
      <x:c r="A303" s="1" t="str">
        <x:v>PLAS</x:v>
      </x:c>
      <x:c r="B303" s="1" t="str">
        <x:v>30</x:v>
      </x:c>
      <x:c r="C303" s="1" t="str">
        <x:v>71619RWBMAR</x:v>
      </x:c>
      <x:c r="D303" s="1" t="str">
        <x:v>GOLDEN CHAMPION IND. LIMITED</x:v>
      </x:c>
      <x:c r="E303" s="7" t="n">
        <x:v>46303</x:v>
      </x:c>
      <x:c r="F303" s="8" t="n">
        <x:v>800</x:v>
      </x:c>
      <x:c r="G303" s="8" t="n">
        <x:v>200</x:v>
      </x:c>
      <x:c r="H303" s="8" t="n">
        <x:v>3.15</x:v>
      </x:c>
      <x:c r="I303" s="8" t="n">
        <x:v>2.5</x:v>
      </x:c>
      <x:c r="J303" s="8" t="n">
        <x:v>100</x:v>
      </x:c>
      <x:c r="K303" s="8" t="n">
        <x:v>1.47</x:v>
      </x:c>
      <x:c r="L303" s="8" t="n">
        <x:v>0</x:v>
      </x:c>
      <x:c r="M303" s="8" t="n">
        <x:v>0</x:v>
      </x:c>
      <x:c r="N303" s="8" t="n">
        <x:v>800</x:v>
      </x:c>
      <x:c r="O303" s="8" t="n">
        <x:v>0</x:v>
      </x:c>
      <x:c r="P303" s="8" t="n">
        <x:v>2.14</x:v>
      </x:c>
      <x:c r="Q303" s="9" t="n">
        <x:v>25.2</x:v>
      </x:c>
      <x:c r="R303" s="1" t="str">
        <x:v>Review receipt reconciliation or original PO baseline</x:v>
      </x:c>
      <x:c r="S303" s="1" t="str">
        <x:v>Plastic Product Information.csv</x:v>
      </x:c>
    </x:row>
    <x:row r="304" ht="21" customHeight="1">
      <x:c r="A304" s="1" t="str">
        <x:v>PLAS</x:v>
      </x:c>
      <x:c r="B304" s="1" t="str">
        <x:v>30</x:v>
      </x:c>
      <x:c r="C304" s="1" t="str">
        <x:v>71619RWBNAV</x:v>
      </x:c>
      <x:c r="D304" s="1" t="str">
        <x:v>GOLDEN CHAMPION IND. LIMITED</x:v>
      </x:c>
      <x:c r="E304" s="7" t="n">
        <x:v>46303</x:v>
      </x:c>
      <x:c r="F304" s="8" t="n">
        <x:v>0</x:v>
      </x:c>
      <x:c r="G304" s="8" t="n">
        <x:v>200</x:v>
      </x:c>
      <x:c r="H304" s="8" t="n">
        <x:v>3.15</x:v>
      </x:c>
      <x:c r="I304" s="8" t="n">
        <x:v>2.5</x:v>
      </x:c>
      <x:c r="J304" s="8" t="n">
        <x:v>100</x:v>
      </x:c>
      <x:c r="K304" s="8" t="n">
        <x:v>1.47</x:v>
      </x:c>
      <x:c r="L304" s="8" t="n">
        <x:v>0</x:v>
      </x:c>
      <x:c r="M304" s="8" t="n">
        <x:v>0</x:v>
      </x:c>
      <x:c r="N304" s="8" t="n">
        <x:v>0</x:v>
      </x:c>
      <x:c r="O304" s="8" t="n">
        <x:v>1</x:v>
      </x:c>
      <x:c r="P304" s="8" t="n">
        <x:v>2.14</x:v>
      </x:c>
      <x:c r="Q304" s="9" t="n">
        <x:v>0</x:v>
      </x:c>
      <x:c r="R304" s="1" t="str">
        <x:v>Classified</x:v>
      </x:c>
      <x:c r="S304" s="1" t="str">
        <x:v>Plastic Product Information.csv</x:v>
      </x:c>
    </x:row>
    <x:row r="305" ht="21" customHeight="1">
      <x:c r="A305" s="1" t="str">
        <x:v>PLAS</x:v>
      </x:c>
      <x:c r="B305" s="1" t="str">
        <x:v>60</x:v>
      </x:c>
      <x:c r="C305" s="1" t="str">
        <x:v>03819RWBNAV</x:v>
      </x:c>
      <x:c r="D305" s="1" t="str">
        <x:v>GOLDEN CHAMPION IND. LIMITED</x:v>
      </x:c>
      <x:c r="E305" s="7" t="n">
        <x:v>46303</x:v>
      </x:c>
      <x:c r="F305" s="8" t="n">
        <x:v>500</x:v>
      </x:c>
      <x:c r="G305" s="8" t="n">
        <x:v>200</x:v>
      </x:c>
      <x:c r="H305" s="8" t="n">
        <x:v>2.48</x:v>
      </x:c>
      <x:c r="I305" s="8" t="n">
        <x:v>1.98</x:v>
      </x:c>
      <x:c r="J305" s="8" t="n">
        <x:v>100</x:v>
      </x:c>
      <x:c r="K305" s="8" t="n">
        <x:v>1.47</x:v>
      </x:c>
      <x:c r="L305" s="8" t="n">
        <x:v>0</x:v>
      </x:c>
      <x:c r="M305" s="8" t="n">
        <x:v>0</x:v>
      </x:c>
      <x:c r="N305" s="8" t="n">
        <x:v>500</x:v>
      </x:c>
      <x:c r="O305" s="8" t="n">
        <x:v>0</x:v>
      </x:c>
      <x:c r="P305" s="8" t="n">
        <x:v>1.69</x:v>
      </x:c>
      <x:c r="Q305" s="9" t="n">
        <x:v>12.4</x:v>
      </x:c>
      <x:c r="R305" s="1" t="str">
        <x:v>Review receipt reconciliation or original PO baseline</x:v>
      </x:c>
      <x:c r="S305" s="1" t="str">
        <x:v>Plastic Product Information.csv</x:v>
      </x:c>
    </x:row>
    <x:row r="306" ht="21" customHeight="1">
      <x:c r="A306" s="1" t="str">
        <x:v>PLAS</x:v>
      </x:c>
      <x:c r="B306" s="1" t="str">
        <x:v>10</x:v>
      </x:c>
      <x:c r="C306" s="1" t="str">
        <x:v>00119RWBBLU</x:v>
      </x:c>
      <x:c r="D306" s="1" t="str">
        <x:v>GOLDEN CHAMPION IND. LIMITED</x:v>
      </x:c>
      <x:c r="E306" s="7" t="n">
        <x:v>46303</x:v>
      </x:c>
      <x:c r="F306" s="8" t="n">
        <x:v>1900</x:v>
      </x:c>
      <x:c r="G306" s="8" t="n">
        <x:v>195.83</x:v>
      </x:c>
      <x:c r="H306" s="8" t="n">
        <x:v>10.54</x:v>
      </x:c>
      <x:c r="I306" s="8" t="n">
        <x:v>8.39</x:v>
      </x:c>
      <x:c r="J306" s="8" t="n">
        <x:v>100</x:v>
      </x:c>
      <x:c r="K306" s="8" t="n">
        <x:v>1.47</x:v>
      </x:c>
      <x:c r="L306" s="8" t="n">
        <x:v>0</x:v>
      </x:c>
      <x:c r="M306" s="8" t="n">
        <x:v>0</x:v>
      </x:c>
      <x:c r="N306" s="8" t="n">
        <x:v>1900</x:v>
      </x:c>
      <x:c r="O306" s="8" t="n">
        <x:v>0</x:v>
      </x:c>
      <x:c r="P306" s="8" t="n">
        <x:v>7.17</x:v>
      </x:c>
      <x:c r="Q306" s="9" t="n">
        <x:v>200.26</x:v>
      </x:c>
      <x:c r="R306" s="1" t="str">
        <x:v>Review receipt reconciliation or original PO baseline</x:v>
      </x:c>
      <x:c r="S306" s="1" t="str">
        <x:v>Plastic Product Information.csv</x:v>
      </x:c>
    </x:row>
    <x:row r="307" ht="21" customHeight="1">
      <x:c r="A307" s="1" t="str">
        <x:v>PLAS</x:v>
      </x:c>
      <x:c r="B307" s="1" t="str">
        <x:v>10</x:v>
      </x:c>
      <x:c r="C307" s="1" t="str">
        <x:v>00119RWBMAR</x:v>
      </x:c>
      <x:c r="D307" s="1" t="str">
        <x:v>GOLDEN CHAMPION IND. LIMITED</x:v>
      </x:c>
      <x:c r="E307" s="7" t="n">
        <x:v>46303</x:v>
      </x:c>
      <x:c r="F307" s="8" t="n">
        <x:v>900</x:v>
      </x:c>
      <x:c r="G307" s="8" t="n">
        <x:v>195.83</x:v>
      </x:c>
      <x:c r="H307" s="8" t="n">
        <x:v>10.54</x:v>
      </x:c>
      <x:c r="I307" s="8" t="n">
        <x:v>8.39</x:v>
      </x:c>
      <x:c r="J307" s="8" t="n">
        <x:v>100</x:v>
      </x:c>
      <x:c r="K307" s="8" t="n">
        <x:v>1.47</x:v>
      </x:c>
      <x:c r="L307" s="8" t="n">
        <x:v>900</x:v>
      </x:c>
      <x:c r="M307" s="8" t="n">
        <x:v>0</x:v>
      </x:c>
      <x:c r="N307" s="8" t="n">
        <x:v>0</x:v>
      </x:c>
      <x:c r="O307" s="8" t="n">
        <x:v>1</x:v>
      </x:c>
      <x:c r="P307" s="8" t="n">
        <x:v>7.17</x:v>
      </x:c>
      <x:c r="Q307" s="9" t="n">
        <x:v>94.86</x:v>
      </x:c>
      <x:c r="R307" s="1" t="str">
        <x:v>Classified</x:v>
      </x:c>
      <x:c r="S307" s="1" t="str">
        <x:v>Plastic Product Information.csv</x:v>
      </x:c>
    </x:row>
    <x:row r="308" ht="21" customHeight="1">
      <x:c r="A308" s="1" t="str">
        <x:v>PLAS</x:v>
      </x:c>
      <x:c r="B308" s="1" t="str">
        <x:v>10</x:v>
      </x:c>
      <x:c r="C308" s="1" t="str">
        <x:v>03415RWBRED</x:v>
      </x:c>
      <x:c r="D308" s="1" t="str">
        <x:v>GOLDEN CHAMPION IND. LIMITED</x:v>
      </x:c>
      <x:c r="E308" s="7" t="n">
        <x:v>46303</x:v>
      </x:c>
      <x:c r="F308" s="8" t="n">
        <x:v>3525</x:v>
      </x:c>
      <x:c r="G308" s="8" t="n">
        <x:v>191.67</x:v>
      </x:c>
      <x:c r="H308" s="8" t="n">
        <x:v>4.4</x:v>
      </x:c>
      <x:c r="I308" s="8" t="n">
        <x:v>3.5</x:v>
      </x:c>
      <x:c r="J308" s="8" t="n">
        <x:v>100</x:v>
      </x:c>
      <x:c r="K308" s="8" t="n">
        <x:v>1.47</x:v>
      </x:c>
      <x:c r="L308" s="8" t="n">
        <x:v>0</x:v>
      </x:c>
      <x:c r="M308" s="8" t="n">
        <x:v>0</x:v>
      </x:c>
      <x:c r="N308" s="8" t="n">
        <x:v>3525</x:v>
      </x:c>
      <x:c r="O308" s="8" t="n">
        <x:v>0</x:v>
      </x:c>
      <x:c r="P308" s="8" t="n">
        <x:v>2.99</x:v>
      </x:c>
      <x:c r="Q308" s="9" t="n">
        <x:v>155.10000000000002</x:v>
      </x:c>
      <x:c r="R308" s="1" t="str">
        <x:v>Review receipt reconciliation or original PO baseline</x:v>
      </x:c>
      <x:c r="S308" s="1" t="str">
        <x:v>Plastic Product Information.csv</x:v>
      </x:c>
    </x:row>
    <x:row r="309" ht="21" customHeight="1">
      <x:c r="A309" s="1" t="str">
        <x:v>PLAS</x:v>
      </x:c>
      <x:c r="B309" s="1" t="str">
        <x:v>10</x:v>
      </x:c>
      <x:c r="C309" s="1" t="str">
        <x:v>03419RWBRED</x:v>
      </x:c>
      <x:c r="D309" s="1" t="str">
        <x:v>GOLDEN CHAMPION IND. LIMITED</x:v>
      </x:c>
      <x:c r="E309" s="7" t="n">
        <x:v>46303</x:v>
      </x:c>
      <x:c r="F309" s="8" t="n">
        <x:v>800</x:v>
      </x:c>
      <x:c r="G309" s="8" t="n">
        <x:v>191.66</x:v>
      </x:c>
      <x:c r="H309" s="8" t="n">
        <x:v>6.25</x:v>
      </x:c>
      <x:c r="I309" s="8" t="n">
        <x:v>4.97</x:v>
      </x:c>
      <x:c r="J309" s="8" t="n">
        <x:v>100</x:v>
      </x:c>
      <x:c r="K309" s="8" t="n">
        <x:v>1.47</x:v>
      </x:c>
      <x:c r="L309" s="8" t="n">
        <x:v>0</x:v>
      </x:c>
      <x:c r="M309" s="8" t="n">
        <x:v>0</x:v>
      </x:c>
      <x:c r="N309" s="8" t="n">
        <x:v>800</x:v>
      </x:c>
      <x:c r="O309" s="8" t="n">
        <x:v>0</x:v>
      </x:c>
      <x:c r="P309" s="8" t="n">
        <x:v>4.25</x:v>
      </x:c>
      <x:c r="Q309" s="9" t="n">
        <x:v>50</x:v>
      </x:c>
      <x:c r="R309" s="1" t="str">
        <x:v>Review receipt reconciliation or original PO baseline</x:v>
      </x:c>
      <x:c r="S309" s="1" t="str">
        <x:v>Plastic Product Information.csv</x:v>
      </x:c>
    </x:row>
    <x:row r="310" ht="21" customHeight="1">
      <x:c r="A310" s="1" t="str">
        <x:v>PLAS</x:v>
      </x:c>
      <x:c r="B310" s="1" t="str">
        <x:v>10</x:v>
      </x:c>
      <x:c r="C310" s="1" t="str">
        <x:v>05821RWBWHT</x:v>
      </x:c>
      <x:c r="D310" s="1" t="str">
        <x:v>GOLDEN CHAMPION IND. LIMITED</x:v>
      </x:c>
      <x:c r="E310" s="7" t="n">
        <x:v>46303</x:v>
      </x:c>
      <x:c r="F310" s="8" t="n">
        <x:v>40050</x:v>
      </x:c>
      <x:c r="G310" s="8" t="n">
        <x:v>188.42</x:v>
      </x:c>
      <x:c r="H310" s="8" t="n">
        <x:v>4.41</x:v>
      </x:c>
      <x:c r="I310" s="8" t="n">
        <x:v>3.51</x:v>
      </x:c>
      <x:c r="J310" s="8" t="n">
        <x:v>100</x:v>
      </x:c>
      <x:c r="K310" s="8" t="n">
        <x:v>1.47</x:v>
      </x:c>
      <x:c r="L310" s="8" t="n">
        <x:v>0</x:v>
      </x:c>
      <x:c r="M310" s="8" t="n">
        <x:v>0</x:v>
      </x:c>
      <x:c r="N310" s="8" t="n">
        <x:v>40050</x:v>
      </x:c>
      <x:c r="O310" s="8" t="n">
        <x:v>0</x:v>
      </x:c>
      <x:c r="P310" s="8" t="n">
        <x:v>3</x:v>
      </x:c>
      <x:c r="Q310" s="9" t="n">
        <x:v>1766.205</x:v>
      </x:c>
      <x:c r="R310" s="1" t="str">
        <x:v>Review receipt reconciliation or original PO baseline</x:v>
      </x:c>
      <x:c r="S310" s="1" t="str">
        <x:v>Plastic Product Information.csv</x:v>
      </x:c>
    </x:row>
    <x:row r="311" ht="21" customHeight="1">
      <x:c r="A311" s="1" t="str">
        <x:v>PLAS</x:v>
      </x:c>
      <x:c r="B311" s="1" t="str">
        <x:v>10</x:v>
      </x:c>
      <x:c r="C311" s="1" t="str">
        <x:v>71615RWBRED</x:v>
      </x:c>
      <x:c r="D311" s="1" t="str">
        <x:v>GOLDEN CHAMPION IND. LIMITED</x:v>
      </x:c>
      <x:c r="E311" s="7" t="n">
        <x:v>46303</x:v>
      </x:c>
      <x:c r="F311" s="8" t="n">
        <x:v>3000</x:v>
      </x:c>
      <x:c r="G311" s="8" t="n">
        <x:v>183.33</x:v>
      </x:c>
      <x:c r="H311" s="8" t="n">
        <x:v>1.8</x:v>
      </x:c>
      <x:c r="I311" s="8" t="n">
        <x:v>1.74</x:v>
      </x:c>
      <x:c r="J311" s="8" t="n">
        <x:v>100</x:v>
      </x:c>
      <x:c r="K311" s="8" t="n">
        <x:v>1.47</x:v>
      </x:c>
      <x:c r="L311" s="8" t="n">
        <x:v>0</x:v>
      </x:c>
      <x:c r="M311" s="8" t="n">
        <x:v>0</x:v>
      </x:c>
      <x:c r="N311" s="8" t="n">
        <x:v>3000</x:v>
      </x:c>
      <x:c r="O311" s="8" t="n">
        <x:v>0</x:v>
      </x:c>
      <x:c r="P311" s="8" t="n">
        <x:v>1.49</x:v>
      </x:c>
      <x:c r="Q311" s="9" t="n">
        <x:v>54</x:v>
      </x:c>
      <x:c r="R311" s="1" t="str">
        <x:v>Review receipt reconciliation or original PO baseline</x:v>
      </x:c>
      <x:c r="S311" s="1" t="str">
        <x:v>Plastic Product Information.csv</x:v>
      </x:c>
    </x:row>
    <x:row r="312" ht="21" customHeight="1">
      <x:c r="A312" s="1" t="str">
        <x:v>PLAS</x:v>
      </x:c>
      <x:c r="B312" s="1" t="str">
        <x:v>30</x:v>
      </x:c>
      <x:c r="C312" s="1" t="str">
        <x:v>03419RWBCLR</x:v>
      </x:c>
      <x:c r="D312" s="1" t="str">
        <x:v>GOLDEN CHAMPION IND. LIMITED</x:v>
      </x:c>
      <x:c r="E312" s="7" t="n">
        <x:v>46303</x:v>
      </x:c>
      <x:c r="F312" s="8" t="n">
        <x:v>100</x:v>
      </x:c>
      <x:c r="G312" s="8" t="n">
        <x:v>183.33</x:v>
      </x:c>
      <x:c r="H312" s="8" t="n">
        <x:v>6.25</x:v>
      </x:c>
      <x:c r="I312" s="8" t="n">
        <x:v>4.97</x:v>
      </x:c>
      <x:c r="J312" s="8" t="n">
        <x:v>100</x:v>
      </x:c>
      <x:c r="K312" s="8" t="n">
        <x:v>1.47</x:v>
      </x:c>
      <x:c r="L312" s="8" t="n">
        <x:v>0</x:v>
      </x:c>
      <x:c r="M312" s="8" t="n">
        <x:v>0</x:v>
      </x:c>
      <x:c r="N312" s="8" t="n">
        <x:v>100</x:v>
      </x:c>
      <x:c r="O312" s="8" t="n">
        <x:v>0</x:v>
      </x:c>
      <x:c r="P312" s="8" t="n">
        <x:v>4.25</x:v>
      </x:c>
      <x:c r="Q312" s="9" t="n">
        <x:v>6.25</x:v>
      </x:c>
      <x:c r="R312" s="1" t="str">
        <x:v>Review receipt reconciliation or original PO baseline</x:v>
      </x:c>
      <x:c r="S312" s="1" t="str">
        <x:v>Plastic Product Information.csv</x:v>
      </x:c>
    </x:row>
    <x:row r="313" ht="21" customHeight="1">
      <x:c r="A313" s="1" t="str">
        <x:v>PLAS</x:v>
      </x:c>
      <x:c r="B313" s="1" t="str">
        <x:v>60</x:v>
      </x:c>
      <x:c r="C313" s="1" t="str">
        <x:v>05819RWBWHT</x:v>
      </x:c>
      <x:c r="D313" s="1" t="str">
        <x:v>GOLDEN CHAMPION IND. LIMITED</x:v>
      </x:c>
      <x:c r="E313" s="7" t="n">
        <x:v>46303</x:v>
      </x:c>
      <x:c r="F313" s="8" t="n">
        <x:v>14700</x:v>
      </x:c>
      <x:c r="G313" s="8" t="n">
        <x:v>183.33</x:v>
      </x:c>
      <x:c r="H313" s="8" t="n">
        <x:v>4.56</x:v>
      </x:c>
      <x:c r="I313" s="8" t="n">
        <x:v>3.63</x:v>
      </x:c>
      <x:c r="J313" s="8" t="n">
        <x:v>100</x:v>
      </x:c>
      <x:c r="K313" s="8" t="n">
        <x:v>1.47</x:v>
      </x:c>
      <x:c r="L313" s="8" t="n">
        <x:v>0</x:v>
      </x:c>
      <x:c r="M313" s="8" t="n">
        <x:v>0</x:v>
      </x:c>
      <x:c r="N313" s="8" t="n">
        <x:v>14700</x:v>
      </x:c>
      <x:c r="O313" s="8" t="n">
        <x:v>0</x:v>
      </x:c>
      <x:c r="P313" s="8" t="n">
        <x:v>3.1</x:v>
      </x:c>
      <x:c r="Q313" s="9" t="n">
        <x:v>670.32</x:v>
      </x:c>
      <x:c r="R313" s="1" t="str">
        <x:v>Review receipt reconciliation or original PO baseline</x:v>
      </x:c>
      <x:c r="S313" s="1" t="str">
        <x:v>Plastic Product Information.csv</x:v>
      </x:c>
    </x:row>
    <x:row r="314" ht="21" customHeight="1">
      <x:c r="A314" s="1" t="str">
        <x:v>PLAS</x:v>
      </x:c>
      <x:c r="B314" s="1" t="str">
        <x:v>10</x:v>
      </x:c>
      <x:c r="C314" s="1" t="str">
        <x:v>01215RWBBLU</x:v>
      </x:c>
      <x:c r="D314" s="1" t="str">
        <x:v>GOLDEN CHAMPION IND. LIMITED</x:v>
      </x:c>
      <x:c r="E314" s="7" t="n">
        <x:v>46303</x:v>
      </x:c>
      <x:c r="F314" s="8" t="n">
        <x:v>8350</x:v>
      </x:c>
      <x:c r="G314" s="8" t="n">
        <x:v>175</x:v>
      </x:c>
      <x:c r="H314" s="8" t="n">
        <x:v>2.09</x:v>
      </x:c>
      <x:c r="I314" s="8" t="n">
        <x:v>1.99</x:v>
      </x:c>
      <x:c r="J314" s="8" t="n">
        <x:v>100</x:v>
      </x:c>
      <x:c r="K314" s="8" t="n">
        <x:v>1.47</x:v>
      </x:c>
      <x:c r="L314" s="8" t="n">
        <x:v>0</x:v>
      </x:c>
      <x:c r="M314" s="8" t="n">
        <x:v>0</x:v>
      </x:c>
      <x:c r="N314" s="8" t="n">
        <x:v>8350</x:v>
      </x:c>
      <x:c r="O314" s="8" t="n">
        <x:v>0</x:v>
      </x:c>
      <x:c r="P314" s="8" t="n">
        <x:v>1.7</x:v>
      </x:c>
      <x:c r="Q314" s="9" t="n">
        <x:v>174.51500000000001</x:v>
      </x:c>
      <x:c r="R314" s="1" t="str">
        <x:v>Review receipt reconciliation or original PO baseline</x:v>
      </x:c>
      <x:c r="S314" s="1" t="str">
        <x:v>Plastic Product Information.csv</x:v>
      </x:c>
    </x:row>
    <x:row r="315" ht="21" customHeight="1">
      <x:c r="A315" s="1" t="str">
        <x:v>PLAS</x:v>
      </x:c>
      <x:c r="B315" s="1" t="str">
        <x:v>10</x:v>
      </x:c>
      <x:c r="C315" s="1" t="str">
        <x:v>00115ROVBLU</x:v>
      </x:c>
      <x:c r="D315" s="1" t="str">
        <x:v>GOLDEN CHAMPION IND. LIMITED</x:v>
      </x:c>
      <x:c r="E315" s="7" t="n">
        <x:v>46303</x:v>
      </x:c>
      <x:c r="F315" s="8" t="n">
        <x:v>270</x:v>
      </x:c>
      <x:c r="G315" s="8" t="n">
        <x:v>166.67</x:v>
      </x:c>
      <x:c r="H315" s="8" t="n">
        <x:v>8.45</x:v>
      </x:c>
      <x:c r="I315" s="8" t="n">
        <x:v>6.73</x:v>
      </x:c>
      <x:c r="J315" s="8" t="n">
        <x:v>100</x:v>
      </x:c>
      <x:c r="K315" s="8" t="n">
        <x:v>1.47</x:v>
      </x:c>
      <x:c r="L315" s="8" t="n">
        <x:v>270</x:v>
      </x:c>
      <x:c r="M315" s="8" t="n">
        <x:v>0</x:v>
      </x:c>
      <x:c r="N315" s="8" t="n">
        <x:v>0</x:v>
      </x:c>
      <x:c r="O315" s="8" t="n">
        <x:v>1</x:v>
      </x:c>
      <x:c r="P315" s="8" t="n">
        <x:v>5.75</x:v>
      </x:c>
      <x:c r="Q315" s="9" t="n">
        <x:v>22.815</x:v>
      </x:c>
      <x:c r="R315" s="1" t="str">
        <x:v>Classified</x:v>
      </x:c>
      <x:c r="S315" s="1" t="str">
        <x:v>Plastic Product Information.csv</x:v>
      </x:c>
    </x:row>
    <x:row r="316" ht="21" customHeight="1">
      <x:c r="A316" s="1" t="str">
        <x:v>PLAS</x:v>
      </x:c>
      <x:c r="B316" s="1" t="str">
        <x:v>10</x:v>
      </x:c>
      <x:c r="C316" s="1" t="str">
        <x:v>01215RWBFG</x:v>
      </x:c>
      <x:c r="D316" s="1" t="str">
        <x:v>GOLDEN CHAMPION IND. LIMITED</x:v>
      </x:c>
      <x:c r="E316" s="7" t="n">
        <x:v>46303</x:v>
      </x:c>
      <x:c r="F316" s="8" t="n">
        <x:v>4000</x:v>
      </x:c>
      <x:c r="G316" s="8" t="n">
        <x:v>166.67</x:v>
      </x:c>
      <x:c r="H316" s="8" t="n">
        <x:v>2.5</x:v>
      </x:c>
      <x:c r="I316" s="8" t="n">
        <x:v>1.99</x:v>
      </x:c>
      <x:c r="J316" s="8" t="n">
        <x:v>100</x:v>
      </x:c>
      <x:c r="K316" s="8" t="n">
        <x:v>1.47</x:v>
      </x:c>
      <x:c r="L316" s="8" t="n">
        <x:v>4000</x:v>
      </x:c>
      <x:c r="M316" s="8" t="n">
        <x:v>0</x:v>
      </x:c>
      <x:c r="N316" s="8" t="n">
        <x:v>0</x:v>
      </x:c>
      <x:c r="O316" s="8" t="n">
        <x:v>1</x:v>
      </x:c>
      <x:c r="P316" s="8" t="n">
        <x:v>1.7</x:v>
      </x:c>
      <x:c r="Q316" s="9" t="n">
        <x:v>100</x:v>
      </x:c>
      <x:c r="R316" s="1" t="str">
        <x:v>Classified</x:v>
      </x:c>
      <x:c r="S316" s="1" t="str">
        <x:v>Plastic Product Information.csv</x:v>
      </x:c>
    </x:row>
    <x:row r="317" ht="21" customHeight="1">
      <x:c r="A317" s="1" t="str">
        <x:v>PLAS</x:v>
      </x:c>
      <x:c r="B317" s="1" t="str">
        <x:v>10</x:v>
      </x:c>
      <x:c r="C317" s="1" t="str">
        <x:v>01215RWBMAR</x:v>
      </x:c>
      <x:c r="D317" s="1" t="str">
        <x:v>GOLDEN CHAMPION IND. LIMITED</x:v>
      </x:c>
      <x:c r="E317" s="7" t="n">
        <x:v>46303</x:v>
      </x:c>
      <x:c r="F317" s="8" t="n">
        <x:v>4160</x:v>
      </x:c>
      <x:c r="G317" s="8" t="n">
        <x:v>166.67</x:v>
      </x:c>
      <x:c r="H317" s="8" t="n">
        <x:v>2.09</x:v>
      </x:c>
      <x:c r="I317" s="8" t="n">
        <x:v>1.99</x:v>
      </x:c>
      <x:c r="J317" s="8" t="n">
        <x:v>100</x:v>
      </x:c>
      <x:c r="K317" s="8" t="n">
        <x:v>1.47</x:v>
      </x:c>
      <x:c r="L317" s="8" t="n">
        <x:v>0</x:v>
      </x:c>
      <x:c r="M317" s="8" t="n">
        <x:v>0</x:v>
      </x:c>
      <x:c r="N317" s="8" t="n">
        <x:v>4160</x:v>
      </x:c>
      <x:c r="O317" s="8" t="n">
        <x:v>0</x:v>
      </x:c>
      <x:c r="P317" s="8" t="n">
        <x:v>1.7</x:v>
      </x:c>
      <x:c r="Q317" s="9" t="n">
        <x:v>86.944</x:v>
      </x:c>
      <x:c r="R317" s="1" t="str">
        <x:v>Review receipt reconciliation or original PO baseline</x:v>
      </x:c>
      <x:c r="S317" s="1" t="str">
        <x:v>Plastic Product Information.csv</x:v>
      </x:c>
    </x:row>
    <x:row r="318" ht="21" customHeight="1">
      <x:c r="A318" s="1" t="str">
        <x:v>PLAS</x:v>
      </x:c>
      <x:c r="B318" s="1" t="str">
        <x:v>10</x:v>
      </x:c>
      <x:c r="C318" s="1" t="str">
        <x:v>03415RWBBLU</x:v>
      </x:c>
      <x:c r="D318" s="1" t="str">
        <x:v>GOLDEN CHAMPION IND. LIMITED</x:v>
      </x:c>
      <x:c r="E318" s="7" t="n">
        <x:v>46303</x:v>
      </x:c>
      <x:c r="F318" s="8" t="n">
        <x:v>7000</x:v>
      </x:c>
      <x:c r="G318" s="8" t="n">
        <x:v>166.67</x:v>
      </x:c>
      <x:c r="H318" s="8" t="n">
        <x:v>4.4</x:v>
      </x:c>
      <x:c r="I318" s="8" t="n">
        <x:v>3.5</x:v>
      </x:c>
      <x:c r="J318" s="8" t="n">
        <x:v>100</x:v>
      </x:c>
      <x:c r="K318" s="8" t="n">
        <x:v>1.47</x:v>
      </x:c>
      <x:c r="L318" s="8" t="n">
        <x:v>7000</x:v>
      </x:c>
      <x:c r="M318" s="8" t="n">
        <x:v>0</x:v>
      </x:c>
      <x:c r="N318" s="8" t="n">
        <x:v>0</x:v>
      </x:c>
      <x:c r="O318" s="8" t="n">
        <x:v>1</x:v>
      </x:c>
      <x:c r="P318" s="8" t="n">
        <x:v>2.99</x:v>
      </x:c>
      <x:c r="Q318" s="9" t="n">
        <x:v>308.00000000000006</x:v>
      </x:c>
      <x:c r="R318" s="1" t="str">
        <x:v>Classified</x:v>
      </x:c>
      <x:c r="S318" s="1" t="str">
        <x:v>Plastic Product Information.csv</x:v>
      </x:c>
    </x:row>
    <x:row r="319" ht="21" customHeight="1">
      <x:c r="A319" s="1" t="str">
        <x:v>PLAS</x:v>
      </x:c>
      <x:c r="B319" s="1" t="str">
        <x:v>10</x:v>
      </x:c>
      <x:c r="C319" s="1" t="str">
        <x:v>03415RWBNAV</x:v>
      </x:c>
      <x:c r="D319" s="1" t="str">
        <x:v>GOLDEN CHAMPION IND. LIMITED</x:v>
      </x:c>
      <x:c r="E319" s="7" t="n">
        <x:v>46303</x:v>
      </x:c>
      <x:c r="F319" s="8" t="n">
        <x:v>7400</x:v>
      </x:c>
      <x:c r="G319" s="8" t="n">
        <x:v>166.67</x:v>
      </x:c>
      <x:c r="H319" s="8" t="n">
        <x:v>4.4</x:v>
      </x:c>
      <x:c r="I319" s="8" t="n">
        <x:v>3.5</x:v>
      </x:c>
      <x:c r="J319" s="8" t="n">
        <x:v>100</x:v>
      </x:c>
      <x:c r="K319" s="8" t="n">
        <x:v>1.47</x:v>
      </x:c>
      <x:c r="L319" s="8" t="n">
        <x:v>0</x:v>
      </x:c>
      <x:c r="M319" s="8" t="n">
        <x:v>0</x:v>
      </x:c>
      <x:c r="N319" s="8" t="n">
        <x:v>7400</x:v>
      </x:c>
      <x:c r="O319" s="8" t="n">
        <x:v>0</x:v>
      </x:c>
      <x:c r="P319" s="8" t="n">
        <x:v>2.99</x:v>
      </x:c>
      <x:c r="Q319" s="9" t="n">
        <x:v>325.6</x:v>
      </x:c>
      <x:c r="R319" s="1" t="str">
        <x:v>Review receipt reconciliation or original PO baseline</x:v>
      </x:c>
      <x:c r="S319" s="1" t="str">
        <x:v>Plastic Product Information.csv</x:v>
      </x:c>
    </x:row>
    <x:row r="320" ht="21" customHeight="1">
      <x:c r="A320" s="1" t="str">
        <x:v>PLAS</x:v>
      </x:c>
      <x:c r="B320" s="1" t="str">
        <x:v>10</x:v>
      </x:c>
      <x:c r="C320" s="1" t="str">
        <x:v>07815ROVBLK</x:v>
      </x:c>
      <x:c r="D320" s="1" t="str">
        <x:v>GOLDEN CHAMPION IND. LIMITED</x:v>
      </x:c>
      <x:c r="E320" s="7" t="n">
        <x:v>46303</x:v>
      </x:c>
      <x:c r="F320" s="8" t="n">
        <x:v>3000</x:v>
      </x:c>
      <x:c r="G320" s="8" t="n">
        <x:v>166.67</x:v>
      </x:c>
      <x:c r="H320" s="8" t="n">
        <x:v>6.64</x:v>
      </x:c>
      <x:c r="I320" s="8" t="n">
        <x:v>5.29</x:v>
      </x:c>
      <x:c r="J320" s="8" t="n">
        <x:v>100</x:v>
      </x:c>
      <x:c r="K320" s="8" t="n">
        <x:v>1.47</x:v>
      </x:c>
      <x:c r="L320" s="8" t="n">
        <x:v>3000</x:v>
      </x:c>
      <x:c r="M320" s="8" t="n">
        <x:v>0</x:v>
      </x:c>
      <x:c r="N320" s="8" t="n">
        <x:v>0</x:v>
      </x:c>
      <x:c r="O320" s="8" t="n">
        <x:v>1</x:v>
      </x:c>
      <x:c r="P320" s="8" t="n">
        <x:v>4.52</x:v>
      </x:c>
      <x:c r="Q320" s="9" t="n">
        <x:v>199.20000000000002</x:v>
      </x:c>
      <x:c r="R320" s="1" t="str">
        <x:v>Classified</x:v>
      </x:c>
      <x:c r="S320" s="1" t="str">
        <x:v>Plastic Product Information.csv</x:v>
      </x:c>
    </x:row>
    <x:row r="321" ht="21" customHeight="1">
      <x:c r="A321" s="1" t="str">
        <x:v>PLAS</x:v>
      </x:c>
      <x:c r="B321" s="1" t="str">
        <x:v>10</x:v>
      </x:c>
      <x:c r="C321" s="1" t="str">
        <x:v>07815RWBBRN</x:v>
      </x:c>
      <x:c r="D321" s="1" t="str">
        <x:v>GOLDEN CHAMPION IND. LIMITED</x:v>
      </x:c>
      <x:c r="E321" s="7" t="n">
        <x:v>46303</x:v>
      </x:c>
      <x:c r="F321" s="8" t="n">
        <x:v>2000</x:v>
      </x:c>
      <x:c r="G321" s="8" t="n">
        <x:v>166.67</x:v>
      </x:c>
      <x:c r="H321" s="8" t="n">
        <x:v>5.38</x:v>
      </x:c>
      <x:c r="I321" s="8" t="n">
        <x:v>4.28</x:v>
      </x:c>
      <x:c r="J321" s="8" t="n">
        <x:v>100</x:v>
      </x:c>
      <x:c r="K321" s="8" t="n">
        <x:v>1.47</x:v>
      </x:c>
      <x:c r="L321" s="8" t="n">
        <x:v>2000</x:v>
      </x:c>
      <x:c r="M321" s="8" t="n">
        <x:v>0</x:v>
      </x:c>
      <x:c r="N321" s="8" t="n">
        <x:v>0</x:v>
      </x:c>
      <x:c r="O321" s="8" t="n">
        <x:v>1</x:v>
      </x:c>
      <x:c r="P321" s="8" t="n">
        <x:v>3.66</x:v>
      </x:c>
      <x:c r="Q321" s="9" t="n">
        <x:v>107.60000000000001</x:v>
      </x:c>
      <x:c r="R321" s="1" t="str">
        <x:v>Classified</x:v>
      </x:c>
      <x:c r="S321" s="1" t="str">
        <x:v>Plastic Product Information.csv</x:v>
      </x:c>
    </x:row>
    <x:row r="322" ht="21" customHeight="1">
      <x:c r="A322" s="1" t="str">
        <x:v>PLAS</x:v>
      </x:c>
      <x:c r="B322" s="1" t="str">
        <x:v>10</x:v>
      </x:c>
      <x:c r="C322" s="1" t="str">
        <x:v>07819RWBFG</x:v>
      </x:c>
      <x:c r="D322" s="1" t="str">
        <x:v>GOLDEN CHAMPION IND. LIMITED</x:v>
      </x:c>
      <x:c r="E322" s="7" t="n">
        <x:v>46303</x:v>
      </x:c>
      <x:c r="F322" s="8" t="n">
        <x:v>600</x:v>
      </x:c>
      <x:c r="G322" s="8" t="n">
        <x:v>166.67</x:v>
      </x:c>
      <x:c r="H322" s="8" t="n">
        <x:v>7.97</x:v>
      </x:c>
      <x:c r="I322" s="8" t="n">
        <x:v>6.34</x:v>
      </x:c>
      <x:c r="J322" s="8" t="n">
        <x:v>100</x:v>
      </x:c>
      <x:c r="K322" s="8" t="n">
        <x:v>1.47</x:v>
      </x:c>
      <x:c r="L322" s="8" t="n">
        <x:v>600</x:v>
      </x:c>
      <x:c r="M322" s="8" t="n">
        <x:v>0</x:v>
      </x:c>
      <x:c r="N322" s="8" t="n">
        <x:v>0</x:v>
      </x:c>
      <x:c r="O322" s="8" t="n">
        <x:v>1</x:v>
      </x:c>
      <x:c r="P322" s="8" t="n">
        <x:v>5.42</x:v>
      </x:c>
      <x:c r="Q322" s="9" t="n">
        <x:v>47.82</x:v>
      </x:c>
      <x:c r="R322" s="1" t="str">
        <x:v>Classified</x:v>
      </x:c>
      <x:c r="S322" s="1" t="str">
        <x:v>Plastic Product Information.csv</x:v>
      </x:c>
    </x:row>
    <x:row r="323" ht="21" customHeight="1">
      <x:c r="A323" s="1" t="str">
        <x:v>PLAS</x:v>
      </x:c>
      <x:c r="B323" s="1" t="str">
        <x:v>10</x:v>
      </x:c>
      <x:c r="C323" s="1" t="str">
        <x:v>11215ROVNAV</x:v>
      </x:c>
      <x:c r="D323" s="1" t="str">
        <x:v>GOLDEN CHAMPION IND. LIMITED</x:v>
      </x:c>
      <x:c r="E323" s="7" t="n">
        <x:v>46303</x:v>
      </x:c>
      <x:c r="F323" s="8" t="n">
        <x:v>2000</x:v>
      </x:c>
      <x:c r="G323" s="8" t="n">
        <x:v>166.67</x:v>
      </x:c>
      <x:c r="H323" s="8" t="n">
        <x:v>9.28</x:v>
      </x:c>
      <x:c r="I323" s="8" t="n">
        <x:v>7.38</x:v>
      </x:c>
      <x:c r="J323" s="8" t="n">
        <x:v>100</x:v>
      </x:c>
      <x:c r="K323" s="8" t="n">
        <x:v>1.47</x:v>
      </x:c>
      <x:c r="L323" s="8" t="n">
        <x:v>1000</x:v>
      </x:c>
      <x:c r="M323" s="8" t="n">
        <x:v>1000</x:v>
      </x:c>
      <x:c r="N323" s="8" t="n">
        <x:v>0</x:v>
      </x:c>
      <x:c r="O323" s="8" t="n">
        <x:v>1</x:v>
      </x:c>
      <x:c r="P323" s="8" t="n">
        <x:v>6.31</x:v>
      </x:c>
      <x:c r="Q323" s="9" t="n">
        <x:v>185.6</x:v>
      </x:c>
      <x:c r="R323" s="1" t="str">
        <x:v>Classified</x:v>
      </x:c>
      <x:c r="S323" s="1" t="str">
        <x:v>Plastic Product Information.csv</x:v>
      </x:c>
    </x:row>
    <x:row r="324" ht="21" customHeight="1">
      <x:c r="A324" s="1" t="str">
        <x:v>PLAS</x:v>
      </x:c>
      <x:c r="B324" s="1" t="str">
        <x:v>10</x:v>
      </x:c>
      <x:c r="C324" s="1" t="str">
        <x:v>71615RWBBRN</x:v>
      </x:c>
      <x:c r="D324" s="1" t="str">
        <x:v>GOLDEN CHAMPION IND. LIMITED</x:v>
      </x:c>
      <x:c r="E324" s="7" t="n">
        <x:v>46303</x:v>
      </x:c>
      <x:c r="F324" s="8" t="n">
        <x:v>3000</x:v>
      </x:c>
      <x:c r="G324" s="8" t="n">
        <x:v>166.67</x:v>
      </x:c>
      <x:c r="H324" s="8" t="n">
        <x:v>2.19</x:v>
      </x:c>
      <x:c r="I324" s="8" t="n">
        <x:v>1.74</x:v>
      </x:c>
      <x:c r="J324" s="8" t="n">
        <x:v>100</x:v>
      </x:c>
      <x:c r="K324" s="8" t="n">
        <x:v>1.47</x:v>
      </x:c>
      <x:c r="L324" s="8" t="n">
        <x:v>3000</x:v>
      </x:c>
      <x:c r="M324" s="8" t="n">
        <x:v>0</x:v>
      </x:c>
      <x:c r="N324" s="8" t="n">
        <x:v>0</x:v>
      </x:c>
      <x:c r="O324" s="8" t="n">
        <x:v>1</x:v>
      </x:c>
      <x:c r="P324" s="8" t="n">
        <x:v>1.49</x:v>
      </x:c>
      <x:c r="Q324" s="9" t="n">
        <x:v>65.7</x:v>
      </x:c>
      <x:c r="R324" s="1" t="str">
        <x:v>Classified</x:v>
      </x:c>
      <x:c r="S324" s="1" t="str">
        <x:v>Plastic Product Information.csv</x:v>
      </x:c>
    </x:row>
    <x:row r="325" ht="21" customHeight="1">
      <x:c r="A325" s="1" t="str">
        <x:v>PLAS</x:v>
      </x:c>
      <x:c r="B325" s="1" t="str">
        <x:v>10</x:v>
      </x:c>
      <x:c r="C325" s="1" t="str">
        <x:v>71615RWBFG</x:v>
      </x:c>
      <x:c r="D325" s="1" t="str">
        <x:v>GOLDEN CHAMPION IND. LIMITED</x:v>
      </x:c>
      <x:c r="E325" s="7" t="n">
        <x:v>46303</x:v>
      </x:c>
      <x:c r="F325" s="8" t="n">
        <x:v>8000</x:v>
      </x:c>
      <x:c r="G325" s="8" t="n">
        <x:v>166.67</x:v>
      </x:c>
      <x:c r="H325" s="8" t="n">
        <x:v>2.19</x:v>
      </x:c>
      <x:c r="I325" s="8" t="n">
        <x:v>1.74</x:v>
      </x:c>
      <x:c r="J325" s="8" t="n">
        <x:v>100</x:v>
      </x:c>
      <x:c r="K325" s="8" t="n">
        <x:v>1.47</x:v>
      </x:c>
      <x:c r="L325" s="8" t="n">
        <x:v>8000</x:v>
      </x:c>
      <x:c r="M325" s="8" t="n">
        <x:v>0</x:v>
      </x:c>
      <x:c r="N325" s="8" t="n">
        <x:v>0</x:v>
      </x:c>
      <x:c r="O325" s="8" t="n">
        <x:v>1</x:v>
      </x:c>
      <x:c r="P325" s="8" t="n">
        <x:v>1.49</x:v>
      </x:c>
      <x:c r="Q325" s="9" t="n">
        <x:v>175.20000000000002</x:v>
      </x:c>
      <x:c r="R325" s="1" t="str">
        <x:v>Classified</x:v>
      </x:c>
      <x:c r="S325" s="1" t="str">
        <x:v>Plastic Product Information.csv</x:v>
      </x:c>
    </x:row>
    <x:row r="326" ht="21" customHeight="1">
      <x:c r="A326" s="1" t="str">
        <x:v>PLAS</x:v>
      </x:c>
      <x:c r="B326" s="1" t="str">
        <x:v>10</x:v>
      </x:c>
      <x:c r="C326" s="1" t="str">
        <x:v>71615RWBMAR</x:v>
      </x:c>
      <x:c r="D326" s="1" t="str">
        <x:v>GOLDEN CHAMPION IND. LIMITED</x:v>
      </x:c>
      <x:c r="E326" s="7" t="n">
        <x:v>46303</x:v>
      </x:c>
      <x:c r="F326" s="8" t="n">
        <x:v>2000</x:v>
      </x:c>
      <x:c r="G326" s="8" t="n">
        <x:v>166.67</x:v>
      </x:c>
      <x:c r="H326" s="8" t="n">
        <x:v>1.8</x:v>
      </x:c>
      <x:c r="I326" s="8" t="n">
        <x:v>1.74</x:v>
      </x:c>
      <x:c r="J326" s="8" t="n">
        <x:v>100</x:v>
      </x:c>
      <x:c r="K326" s="8" t="n">
        <x:v>1.47</x:v>
      </x:c>
      <x:c r="L326" s="8" t="n">
        <x:v>0</x:v>
      </x:c>
      <x:c r="M326" s="8" t="n">
        <x:v>0</x:v>
      </x:c>
      <x:c r="N326" s="8" t="n">
        <x:v>2000</x:v>
      </x:c>
      <x:c r="O326" s="8" t="n">
        <x:v>0</x:v>
      </x:c>
      <x:c r="P326" s="8" t="n">
        <x:v>1.49</x:v>
      </x:c>
      <x:c r="Q326" s="9" t="n">
        <x:v>36</x:v>
      </x:c>
      <x:c r="R326" s="1" t="str">
        <x:v>Review receipt reconciliation or original PO baseline</x:v>
      </x:c>
      <x:c r="S326" s="1" t="str">
        <x:v>Plastic Product Information.csv</x:v>
      </x:c>
    </x:row>
    <x:row r="327" ht="21" customHeight="1">
      <x:c r="A327" s="1" t="str">
        <x:v>PLAS</x:v>
      </x:c>
      <x:c r="B327" s="1" t="str">
        <x:v>10</x:v>
      </x:c>
      <x:c r="C327" s="1" t="str">
        <x:v>71615RWBNAV</x:v>
      </x:c>
      <x:c r="D327" s="1" t="str">
        <x:v>GOLDEN CHAMPION IND. LIMITED</x:v>
      </x:c>
      <x:c r="E327" s="7" t="n">
        <x:v>46303</x:v>
      </x:c>
      <x:c r="F327" s="8" t="n">
        <x:v>10000</x:v>
      </x:c>
      <x:c r="G327" s="8" t="n">
        <x:v>166.67</x:v>
      </x:c>
      <x:c r="H327" s="8" t="n">
        <x:v>2.19</x:v>
      </x:c>
      <x:c r="I327" s="8" t="n">
        <x:v>1.74</x:v>
      </x:c>
      <x:c r="J327" s="8" t="n">
        <x:v>100</x:v>
      </x:c>
      <x:c r="K327" s="8" t="n">
        <x:v>1.47</x:v>
      </x:c>
      <x:c r="L327" s="8" t="n">
        <x:v>0</x:v>
      </x:c>
      <x:c r="M327" s="8" t="n">
        <x:v>0</x:v>
      </x:c>
      <x:c r="N327" s="8" t="n">
        <x:v>10000</x:v>
      </x:c>
      <x:c r="O327" s="8" t="n">
        <x:v>0</x:v>
      </x:c>
      <x:c r="P327" s="8" t="n">
        <x:v>1.49</x:v>
      </x:c>
      <x:c r="Q327" s="9" t="n">
        <x:v>219</x:v>
      </x:c>
      <x:c r="R327" s="1" t="str">
        <x:v>Review receipt reconciliation or original PO baseline</x:v>
      </x:c>
      <x:c r="S327" s="1" t="str">
        <x:v>Plastic Product Information.csv</x:v>
      </x:c>
    </x:row>
    <x:row r="328" ht="21" customHeight="1">
      <x:c r="A328" s="1" t="str">
        <x:v>PLAS</x:v>
      </x:c>
      <x:c r="B328" s="1" t="str">
        <x:v>30</x:v>
      </x:c>
      <x:c r="C328" s="1" t="str">
        <x:v>01219RWBCLR</x:v>
      </x:c>
      <x:c r="D328" s="1" t="str">
        <x:v>GOLDEN CHAMPION IND. LIMITED</x:v>
      </x:c>
      <x:c r="E328" s="7" t="n">
        <x:v>46303</x:v>
      </x:c>
      <x:c r="F328" s="8" t="n">
        <x:v>1000</x:v>
      </x:c>
      <x:c r="G328" s="8" t="n">
        <x:v>166.67</x:v>
      </x:c>
      <x:c r="H328" s="8" t="n">
        <x:v>3.6</x:v>
      </x:c>
      <x:c r="I328" s="8" t="n">
        <x:v>2.87</x:v>
      </x:c>
      <x:c r="J328" s="8" t="n">
        <x:v>100</x:v>
      </x:c>
      <x:c r="K328" s="8" t="n">
        <x:v>1.47</x:v>
      </x:c>
      <x:c r="L328" s="8" t="n">
        <x:v>0</x:v>
      </x:c>
      <x:c r="M328" s="8" t="n">
        <x:v>0</x:v>
      </x:c>
      <x:c r="N328" s="8" t="n">
        <x:v>1000</x:v>
      </x:c>
      <x:c r="O328" s="8" t="n">
        <x:v>0</x:v>
      </x:c>
      <x:c r="P328" s="8" t="n">
        <x:v>2.45</x:v>
      </x:c>
      <x:c r="Q328" s="9" t="n">
        <x:v>36</x:v>
      </x:c>
      <x:c r="R328" s="1" t="str">
        <x:v>Review receipt reconciliation or original PO baseline</x:v>
      </x:c>
      <x:c r="S328" s="1" t="str">
        <x:v>Plastic Product Information.csv</x:v>
      </x:c>
    </x:row>
    <x:row r="329" ht="21" customHeight="1">
      <x:c r="A329" s="1" t="str">
        <x:v>PLAS</x:v>
      </x:c>
      <x:c r="B329" s="1" t="str">
        <x:v>30</x:v>
      </x:c>
      <x:c r="C329" s="1" t="str">
        <x:v>01419RWBCLR</x:v>
      </x:c>
      <x:c r="D329" s="1" t="str">
        <x:v>GOLDEN CHAMPION IND. LIMITED</x:v>
      </x:c>
      <x:c r="E329" s="7" t="n">
        <x:v>46303</x:v>
      </x:c>
      <x:c r="F329" s="8" t="n">
        <x:v>0</x:v>
      </x:c>
      <x:c r="G329" s="8" t="n">
        <x:v>166.67</x:v>
      </x:c>
      <x:c r="H329" s="8" t="n">
        <x:v>1.81</x:v>
      </x:c>
      <x:c r="I329" s="8" t="n">
        <x:v>1.44</x:v>
      </x:c>
      <x:c r="J329" s="8" t="n">
        <x:v>100</x:v>
      </x:c>
      <x:c r="K329" s="8" t="n">
        <x:v>1.47</x:v>
      </x:c>
      <x:c r="L329" s="8" t="n">
        <x:v>0</x:v>
      </x:c>
      <x:c r="M329" s="8" t="n">
        <x:v>0</x:v>
      </x:c>
      <x:c r="N329" s="8" t="n">
        <x:v>0</x:v>
      </x:c>
      <x:c r="O329" s="8" t="n">
        <x:v>1</x:v>
      </x:c>
      <x:c r="P329" s="8" t="n">
        <x:v>1.23</x:v>
      </x:c>
      <x:c r="Q329" s="9" t="n">
        <x:v>0</x:v>
      </x:c>
      <x:c r="R329" s="1" t="str">
        <x:v>Classified</x:v>
      </x:c>
      <x:c r="S329" s="1" t="str">
        <x:v>Plastic Product Information.csv</x:v>
      </x:c>
    </x:row>
    <x:row r="330" ht="21" customHeight="1">
      <x:c r="A330" s="1" t="str">
        <x:v>PLAS</x:v>
      </x:c>
      <x:c r="B330" s="1" t="str">
        <x:v>30</x:v>
      </x:c>
      <x:c r="C330" s="1" t="str">
        <x:v>03419RWBNAV</x:v>
      </x:c>
      <x:c r="D330" s="1" t="str">
        <x:v>GOLDEN CHAMPION IND. LIMITED</x:v>
      </x:c>
      <x:c r="E330" s="7" t="n">
        <x:v>46303</x:v>
      </x:c>
      <x:c r="F330" s="8" t="n">
        <x:v>0</x:v>
      </x:c>
      <x:c r="G330" s="8" t="n">
        <x:v>166.67</x:v>
      </x:c>
      <x:c r="H330" s="8" t="n">
        <x:v>6.25</x:v>
      </x:c>
      <x:c r="I330" s="8" t="n">
        <x:v>4.97</x:v>
      </x:c>
      <x:c r="J330" s="8" t="n">
        <x:v>100</x:v>
      </x:c>
      <x:c r="K330" s="8" t="n">
        <x:v>1.47</x:v>
      </x:c>
      <x:c r="L330" s="8" t="n">
        <x:v>0</x:v>
      </x:c>
      <x:c r="M330" s="8" t="n">
        <x:v>0</x:v>
      </x:c>
      <x:c r="N330" s="8" t="n">
        <x:v>0</x:v>
      </x:c>
      <x:c r="O330" s="8" t="n">
        <x:v>1</x:v>
      </x:c>
      <x:c r="P330" s="8" t="n">
        <x:v>4.25</x:v>
      </x:c>
      <x:c r="Q330" s="9" t="n">
        <x:v>0</x:v>
      </x:c>
      <x:c r="R330" s="1" t="str">
        <x:v>Classified</x:v>
      </x:c>
      <x:c r="S330" s="1" t="str">
        <x:v>Plastic Product Information.csv</x:v>
      </x:c>
    </x:row>
    <x:row r="331" ht="21" customHeight="1">
      <x:c r="A331" s="1" t="str">
        <x:v>PLAS</x:v>
      </x:c>
      <x:c r="B331" s="1" t="str">
        <x:v>30</x:v>
      </x:c>
      <x:c r="C331" s="1" t="str">
        <x:v>11819RWBWHT</x:v>
      </x:c>
      <x:c r="D331" s="1" t="str">
        <x:v>GOLDEN CHAMPION IND. LIMITED</x:v>
      </x:c>
      <x:c r="E331" s="7" t="n">
        <x:v>46303</x:v>
      </x:c>
      <x:c r="F331" s="8" t="n">
        <x:v>350</x:v>
      </x:c>
      <x:c r="G331" s="8" t="n">
        <x:v>166.67</x:v>
      </x:c>
      <x:c r="H331" s="8" t="n">
        <x:v>13.23</x:v>
      </x:c>
      <x:c r="I331" s="8" t="n">
        <x:v>10.53</x:v>
      </x:c>
      <x:c r="J331" s="8" t="n">
        <x:v>100</x:v>
      </x:c>
      <x:c r="K331" s="8" t="n">
        <x:v>1.47</x:v>
      </x:c>
      <x:c r="L331" s="8" t="n">
        <x:v>0</x:v>
      </x:c>
      <x:c r="M331" s="8" t="n">
        <x:v>0</x:v>
      </x:c>
      <x:c r="N331" s="8" t="n">
        <x:v>350</x:v>
      </x:c>
      <x:c r="O331" s="8" t="n">
        <x:v>0</x:v>
      </x:c>
      <x:c r="P331" s="8" t="n">
        <x:v>9</x:v>
      </x:c>
      <x:c r="Q331" s="9" t="n">
        <x:v>46.305</x:v>
      </x:c>
      <x:c r="R331" s="1" t="str">
        <x:v>Review receipt reconciliation or original PO baseline</x:v>
      </x:c>
      <x:c r="S331" s="1" t="str">
        <x:v>Plastic Product Information.csv</x:v>
      </x:c>
    </x:row>
    <x:row r="332" ht="21" customHeight="1">
      <x:c r="A332" s="1" t="str">
        <x:v>PLAS</x:v>
      </x:c>
      <x:c r="B332" s="1" t="str">
        <x:v>30</x:v>
      </x:c>
      <x:c r="C332" s="1" t="str">
        <x:v>13419RSLWHT</x:v>
      </x:c>
      <x:c r="D332" s="1" t="str">
        <x:v>GOLDEN CHAMPION IND. LIMITED</x:v>
      </x:c>
      <x:c r="E332" s="7" t="n">
        <x:v>46303</x:v>
      </x:c>
      <x:c r="F332" s="8" t="n">
        <x:v>250</x:v>
      </x:c>
      <x:c r="G332" s="8" t="n">
        <x:v>166.67</x:v>
      </x:c>
      <x:c r="H332" s="8" t="n">
        <x:v>14.57</x:v>
      </x:c>
      <x:c r="I332" s="8" t="n">
        <x:v>11.59</x:v>
      </x:c>
      <x:c r="J332" s="8" t="n">
        <x:v>100</x:v>
      </x:c>
      <x:c r="K332" s="8" t="n">
        <x:v>1.47</x:v>
      </x:c>
      <x:c r="L332" s="8" t="n">
        <x:v>0</x:v>
      </x:c>
      <x:c r="M332" s="8" t="n">
        <x:v>0</x:v>
      </x:c>
      <x:c r="N332" s="8" t="n">
        <x:v>250</x:v>
      </x:c>
      <x:c r="O332" s="8" t="n">
        <x:v>0</x:v>
      </x:c>
      <x:c r="P332" s="8" t="n">
        <x:v>9.91</x:v>
      </x:c>
      <x:c r="Q332" s="9" t="n">
        <x:v>36.425000000000004</x:v>
      </x:c>
      <x:c r="R332" s="1" t="str">
        <x:v>Review receipt reconciliation or original PO baseline</x:v>
      </x:c>
      <x:c r="S332" s="1" t="str">
        <x:v>Plastic Product Information.csv</x:v>
      </x:c>
    </x:row>
    <x:row r="333" ht="21" customHeight="1">
      <x:c r="A333" s="1" t="str">
        <x:v>PLAS</x:v>
      </x:c>
      <x:c r="B333" s="1" t="str">
        <x:v>30</x:v>
      </x:c>
      <x:c r="C333" s="1" t="str">
        <x:v>51619RWBMAR</x:v>
      </x:c>
      <x:c r="D333" s="1" t="str">
        <x:v>GOLDEN CHAMPION IND. LIMITED</x:v>
      </x:c>
      <x:c r="E333" s="7" t="n">
        <x:v>46303</x:v>
      </x:c>
      <x:c r="F333" s="8" t="n">
        <x:v>800</x:v>
      </x:c>
      <x:c r="G333" s="8" t="n">
        <x:v>166.67</x:v>
      </x:c>
      <x:c r="H333" s="8" t="n">
        <x:v>2.16</x:v>
      </x:c>
      <x:c r="I333" s="8" t="n">
        <x:v>1.72</x:v>
      </x:c>
      <x:c r="J333" s="8" t="n">
        <x:v>100</x:v>
      </x:c>
      <x:c r="K333" s="8" t="n">
        <x:v>1.47</x:v>
      </x:c>
      <x:c r="L333" s="8" t="n">
        <x:v>0</x:v>
      </x:c>
      <x:c r="M333" s="8" t="n">
        <x:v>0</x:v>
      </x:c>
      <x:c r="N333" s="8" t="n">
        <x:v>800</x:v>
      </x:c>
      <x:c r="O333" s="8" t="n">
        <x:v>0</x:v>
      </x:c>
      <x:c r="P333" s="8" t="n">
        <x:v>1.47</x:v>
      </x:c>
      <x:c r="Q333" s="9" t="n">
        <x:v>17.28</x:v>
      </x:c>
      <x:c r="R333" s="1" t="str">
        <x:v>Review receipt reconciliation or original PO baseline</x:v>
      </x:c>
      <x:c r="S333" s="1" t="str">
        <x:v>Plastic Product Information.csv</x:v>
      </x:c>
    </x:row>
    <x:row r="334" ht="21" customHeight="1">
      <x:c r="A334" s="1" t="str">
        <x:v>PLAS</x:v>
      </x:c>
      <x:c r="B334" s="1" t="str">
        <x:v>30</x:v>
      </x:c>
      <x:c r="C334" s="1" t="str">
        <x:v>71619RWBFG</x:v>
      </x:c>
      <x:c r="D334" s="1" t="str">
        <x:v>GOLDEN CHAMPION IND. LIMITED</x:v>
      </x:c>
      <x:c r="E334" s="7" t="n">
        <x:v>46303</x:v>
      </x:c>
      <x:c r="F334" s="8" t="n">
        <x:v>900</x:v>
      </x:c>
      <x:c r="G334" s="8" t="n">
        <x:v>166.67</x:v>
      </x:c>
      <x:c r="H334" s="8" t="n">
        <x:v>3.15</x:v>
      </x:c>
      <x:c r="I334" s="8" t="n">
        <x:v>2.5</x:v>
      </x:c>
      <x:c r="J334" s="8" t="n">
        <x:v>100</x:v>
      </x:c>
      <x:c r="K334" s="8" t="n">
        <x:v>1.47</x:v>
      </x:c>
      <x:c r="L334" s="8" t="n">
        <x:v>0</x:v>
      </x:c>
      <x:c r="M334" s="8" t="n">
        <x:v>0</x:v>
      </x:c>
      <x:c r="N334" s="8" t="n">
        <x:v>900</x:v>
      </x:c>
      <x:c r="O334" s="8" t="n">
        <x:v>0</x:v>
      </x:c>
      <x:c r="P334" s="8" t="n">
        <x:v>2.14</x:v>
      </x:c>
      <x:c r="Q334" s="9" t="n">
        <x:v>28.35</x:v>
      </x:c>
      <x:c r="R334" s="1" t="str">
        <x:v>Review receipt reconciliation or original PO baseline</x:v>
      </x:c>
      <x:c r="S334" s="1" t="str">
        <x:v>Plastic Product Information.csv</x:v>
      </x:c>
    </x:row>
    <x:row r="335" ht="21" customHeight="1">
      <x:c r="A335" s="1" t="str">
        <x:v>PLAS</x:v>
      </x:c>
      <x:c r="B335" s="1" t="str">
        <x:v>30</x:v>
      </x:c>
      <x:c r="C335" s="1" t="str">
        <x:v>71619RWBRED</x:v>
      </x:c>
      <x:c r="D335" s="1" t="str">
        <x:v>GOLDEN CHAMPION IND. LIMITED</x:v>
      </x:c>
      <x:c r="E335" s="7" t="n">
        <x:v>46303</x:v>
      </x:c>
      <x:c r="F335" s="8" t="n">
        <x:v>800</x:v>
      </x:c>
      <x:c r="G335" s="8" t="n">
        <x:v>166.67</x:v>
      </x:c>
      <x:c r="H335" s="8" t="n">
        <x:v>3.15</x:v>
      </x:c>
      <x:c r="I335" s="8" t="n">
        <x:v>2.5</x:v>
      </x:c>
      <x:c r="J335" s="8" t="n">
        <x:v>100</x:v>
      </x:c>
      <x:c r="K335" s="8" t="n">
        <x:v>1.47</x:v>
      </x:c>
      <x:c r="L335" s="8" t="n">
        <x:v>0</x:v>
      </x:c>
      <x:c r="M335" s="8" t="n">
        <x:v>0</x:v>
      </x:c>
      <x:c r="N335" s="8" t="n">
        <x:v>800</x:v>
      </x:c>
      <x:c r="O335" s="8" t="n">
        <x:v>0</x:v>
      </x:c>
      <x:c r="P335" s="8" t="n">
        <x:v>2.14</x:v>
      </x:c>
      <x:c r="Q335" s="9" t="n">
        <x:v>25.2</x:v>
      </x:c>
      <x:c r="R335" s="1" t="str">
        <x:v>Review receipt reconciliation or original PO baseline</x:v>
      </x:c>
      <x:c r="S335" s="1" t="str">
        <x:v>Plastic Product Information.csv</x:v>
      </x:c>
    </x:row>
    <x:row r="336" ht="21" customHeight="1">
      <x:c r="A336" s="1" t="str">
        <x:v>PLAS</x:v>
      </x:c>
      <x:c r="B336" s="1" t="str">
        <x:v>60</x:v>
      </x:c>
      <x:c r="C336" s="1" t="str">
        <x:v>03419RWBBLU</x:v>
      </x:c>
      <x:c r="D336" s="1" t="str">
        <x:v>GOLDEN CHAMPION IND. LIMITED</x:v>
      </x:c>
      <x:c r="E336" s="7" t="n">
        <x:v>46303</x:v>
      </x:c>
      <x:c r="F336" s="8" t="n">
        <x:v>300</x:v>
      </x:c>
      <x:c r="G336" s="8" t="n">
        <x:v>166.67</x:v>
      </x:c>
      <x:c r="H336" s="8" t="n">
        <x:v>6.25</x:v>
      </x:c>
      <x:c r="I336" s="8" t="n">
        <x:v>4.97</x:v>
      </x:c>
      <x:c r="J336" s="8" t="n">
        <x:v>100</x:v>
      </x:c>
      <x:c r="K336" s="8" t="n">
        <x:v>1.47</x:v>
      </x:c>
      <x:c r="L336" s="8" t="n">
        <x:v>0</x:v>
      </x:c>
      <x:c r="M336" s="8" t="n">
        <x:v>0</x:v>
      </x:c>
      <x:c r="N336" s="8" t="n">
        <x:v>300</x:v>
      </x:c>
      <x:c r="O336" s="8" t="n">
        <x:v>0</x:v>
      </x:c>
      <x:c r="P336" s="8" t="n">
        <x:v>4.25</x:v>
      </x:c>
      <x:c r="Q336" s="9" t="n">
        <x:v>18.75</x:v>
      </x:c>
      <x:c r="R336" s="1" t="str">
        <x:v>Review receipt reconciliation or original PO baseline</x:v>
      </x:c>
      <x:c r="S336" s="1" t="str">
        <x:v>Plastic Product Information.csv</x:v>
      </x:c>
    </x:row>
    <x:row r="337" ht="21" customHeight="1">
      <x:c r="A337" s="1" t="str">
        <x:v>PLAS</x:v>
      </x:c>
      <x:c r="B337" s="1" t="str">
        <x:v>60</x:v>
      </x:c>
      <x:c r="C337" s="1" t="str">
        <x:v>71619RWBBLU</x:v>
      </x:c>
      <x:c r="D337" s="1" t="str">
        <x:v>GOLDEN CHAMPION IND. LIMITED</x:v>
      </x:c>
      <x:c r="E337" s="7" t="n">
        <x:v>46303</x:v>
      </x:c>
      <x:c r="F337" s="8" t="n">
        <x:v>3100</x:v>
      </x:c>
      <x:c r="G337" s="8" t="n">
        <x:v>166.67</x:v>
      </x:c>
      <x:c r="H337" s="8" t="n">
        <x:v>3.15</x:v>
      </x:c>
      <x:c r="I337" s="8" t="n">
        <x:v>2.5</x:v>
      </x:c>
      <x:c r="J337" s="8" t="n">
        <x:v>100</x:v>
      </x:c>
      <x:c r="K337" s="8" t="n">
        <x:v>1.47</x:v>
      </x:c>
      <x:c r="L337" s="8" t="n">
        <x:v>0</x:v>
      </x:c>
      <x:c r="M337" s="8" t="n">
        <x:v>0</x:v>
      </x:c>
      <x:c r="N337" s="8" t="n">
        <x:v>3100</x:v>
      </x:c>
      <x:c r="O337" s="8" t="n">
        <x:v>0</x:v>
      </x:c>
      <x:c r="P337" s="8" t="n">
        <x:v>2.14</x:v>
      </x:c>
      <x:c r="Q337" s="9" t="n">
        <x:v>97.65</x:v>
      </x:c>
      <x:c r="R337" s="1" t="str">
        <x:v>Review receipt reconciliation or original PO baseline</x:v>
      </x:c>
      <x:c r="S337" s="1" t="str">
        <x:v>Plastic Product Information.csv</x:v>
      </x:c>
    </x:row>
    <x:row r="338" ht="21" customHeight="1">
      <x:c r="A338" s="1" t="str">
        <x:v>PLAS</x:v>
      </x:c>
      <x:c r="B338" s="1" t="str">
        <x:v>60</x:v>
      </x:c>
      <x:c r="C338" s="1" t="str">
        <x:v>91619RWBNAV</x:v>
      </x:c>
      <x:c r="D338" s="1" t="str">
        <x:v>GOLDEN CHAMPION IND. LIMITED</x:v>
      </x:c>
      <x:c r="E338" s="7" t="n">
        <x:v>46303</x:v>
      </x:c>
      <x:c r="F338" s="8" t="n">
        <x:v>1900</x:v>
      </x:c>
      <x:c r="G338" s="8" t="n">
        <x:v>166.67</x:v>
      </x:c>
      <x:c r="H338" s="8" t="n">
        <x:v>4.28</x:v>
      </x:c>
      <x:c r="I338" s="8" t="n">
        <x:v>3.4</x:v>
      </x:c>
      <x:c r="J338" s="8" t="n">
        <x:v>100</x:v>
      </x:c>
      <x:c r="K338" s="8" t="n">
        <x:v>1.47</x:v>
      </x:c>
      <x:c r="L338" s="8" t="n">
        <x:v>0</x:v>
      </x:c>
      <x:c r="M338" s="8" t="n">
        <x:v>0</x:v>
      </x:c>
      <x:c r="N338" s="8" t="n">
        <x:v>1900</x:v>
      </x:c>
      <x:c r="O338" s="8" t="n">
        <x:v>0</x:v>
      </x:c>
      <x:c r="P338" s="8" t="n">
        <x:v>2.91</x:v>
      </x:c>
      <x:c r="Q338" s="9" t="n">
        <x:v>81.32000000000001</x:v>
      </x:c>
      <x:c r="R338" s="1" t="str">
        <x:v>Review receipt reconciliation or original PO baseline</x:v>
      </x:c>
      <x:c r="S338" s="1" t="str">
        <x:v>Plastic Product Information.csv</x:v>
      </x:c>
    </x:row>
    <x:row r="339" ht="21" customHeight="1">
      <x:c r="A339" s="1" t="str">
        <x:v>PLAS</x:v>
      </x:c>
      <x:c r="B339" s="1" t="str">
        <x:v>10</x:v>
      </x:c>
      <x:c r="C339" s="1" t="str">
        <x:v>91615RWBRED</x:v>
      </x:c>
      <x:c r="D339" s="1" t="str">
        <x:v>GOLDEN CHAMPION IND. LIMITED</x:v>
      </x:c>
      <x:c r="E339" s="7" t="n">
        <x:v>46303</x:v>
      </x:c>
      <x:c r="F339" s="8" t="n">
        <x:v>6175</x:v>
      </x:c>
      <x:c r="G339" s="8" t="n">
        <x:v>152.08</x:v>
      </x:c>
      <x:c r="H339" s="8" t="n">
        <x:v>2.46</x:v>
      </x:c>
      <x:c r="I339" s="8" t="n">
        <x:v>2.32</x:v>
      </x:c>
      <x:c r="J339" s="8" t="n">
        <x:v>100</x:v>
      </x:c>
      <x:c r="K339" s="8" t="n">
        <x:v>1.47</x:v>
      </x:c>
      <x:c r="L339" s="8" t="n">
        <x:v>0</x:v>
      </x:c>
      <x:c r="M339" s="8" t="n">
        <x:v>0</x:v>
      </x:c>
      <x:c r="N339" s="8" t="n">
        <x:v>6175</x:v>
      </x:c>
      <x:c r="O339" s="8" t="n">
        <x:v>0</x:v>
      </x:c>
      <x:c r="P339" s="8" t="n">
        <x:v>1.98</x:v>
      </x:c>
      <x:c r="Q339" s="9" t="n">
        <x:v>151.905</x:v>
      </x:c>
      <x:c r="R339" s="1" t="str">
        <x:v>Review receipt reconciliation or original PO baseline</x:v>
      </x:c>
      <x:c r="S339" s="1" t="str">
        <x:v>Plastic Product Information.csv</x:v>
      </x:c>
    </x:row>
    <x:row r="340" ht="21" customHeight="1">
      <x:c r="A340" s="1" t="str">
        <x:v>PLAS</x:v>
      </x:c>
      <x:c r="B340" s="1" t="str">
        <x:v>30</x:v>
      </x:c>
      <x:c r="C340" s="1" t="str">
        <x:v>11819RWBBLK</x:v>
      </x:c>
      <x:c r="D340" s="1" t="str">
        <x:v>GOLDEN CHAMPION IND. LIMITED</x:v>
      </x:c>
      <x:c r="E340" s="7" t="n">
        <x:v>46303</x:v>
      </x:c>
      <x:c r="F340" s="8" t="n">
        <x:v>500</x:v>
      </x:c>
      <x:c r="G340" s="8" t="n">
        <x:v>150</x:v>
      </x:c>
      <x:c r="H340" s="8" t="n">
        <x:v>13.23</x:v>
      </x:c>
      <x:c r="I340" s="8" t="n">
        <x:v>10.53</x:v>
      </x:c>
      <x:c r="J340" s="8" t="n">
        <x:v>100</x:v>
      </x:c>
      <x:c r="K340" s="8" t="n">
        <x:v>1.47</x:v>
      </x:c>
      <x:c r="L340" s="8" t="n">
        <x:v>0</x:v>
      </x:c>
      <x:c r="M340" s="8" t="n">
        <x:v>0</x:v>
      </x:c>
      <x:c r="N340" s="8" t="n">
        <x:v>500</x:v>
      </x:c>
      <x:c r="O340" s="8" t="n">
        <x:v>0</x:v>
      </x:c>
      <x:c r="P340" s="8" t="n">
        <x:v>9</x:v>
      </x:c>
      <x:c r="Q340" s="9" t="n">
        <x:v>66.15</x:v>
      </x:c>
      <x:c r="R340" s="1" t="str">
        <x:v>Review receipt reconciliation or original PO baseline</x:v>
      </x:c>
      <x:c r="S340" s="1" t="str">
        <x:v>Plastic Product Information.csv</x:v>
      </x:c>
    </x:row>
    <x:row r="341" ht="21" customHeight="1">
      <x:c r="A341" s="1" t="str">
        <x:v>PLAS</x:v>
      </x:c>
      <x:c r="B341" s="1" t="str">
        <x:v>60</x:v>
      </x:c>
      <x:c r="C341" s="1" t="str">
        <x:v>51619RWBRED</x:v>
      </x:c>
      <x:c r="D341" s="1" t="str">
        <x:v>GOLDEN CHAMPION IND. LIMITED</x:v>
      </x:c>
      <x:c r="E341" s="7" t="n">
        <x:v>46303</x:v>
      </x:c>
      <x:c r="F341" s="8" t="n">
        <x:v>100</x:v>
      </x:c>
      <x:c r="G341" s="8" t="n">
        <x:v>150</x:v>
      </x:c>
      <x:c r="H341" s="8" t="n">
        <x:v>2.16</x:v>
      </x:c>
      <x:c r="I341" s="8" t="n">
        <x:v>1.72</x:v>
      </x:c>
      <x:c r="J341" s="8" t="n">
        <x:v>100</x:v>
      </x:c>
      <x:c r="K341" s="8" t="n">
        <x:v>1.47</x:v>
      </x:c>
      <x:c r="L341" s="8" t="n">
        <x:v>0</x:v>
      </x:c>
      <x:c r="M341" s="8" t="n">
        <x:v>0</x:v>
      </x:c>
      <x:c r="N341" s="8" t="n">
        <x:v>100</x:v>
      </x:c>
      <x:c r="O341" s="8" t="n">
        <x:v>0</x:v>
      </x:c>
      <x:c r="P341" s="8" t="n">
        <x:v>1.47</x:v>
      </x:c>
      <x:c r="Q341" s="9" t="n">
        <x:v>2.16</x:v>
      </x:c>
      <x:c r="R341" s="1" t="str">
        <x:v>Review receipt reconciliation or original PO baseline</x:v>
      </x:c>
      <x:c r="S341" s="1" t="str">
        <x:v>Plastic Product Information.csv</x:v>
      </x:c>
    </x:row>
    <x:row r="342" ht="21" customHeight="1">
      <x:c r="A342" s="1" t="str">
        <x:v>PLAS</x:v>
      </x:c>
      <x:c r="B342" s="1" t="str">
        <x:v>60</x:v>
      </x:c>
      <x:c r="C342" s="1" t="str">
        <x:v>91619RWBBLU</x:v>
      </x:c>
      <x:c r="D342" s="1" t="str">
        <x:v>GOLDEN CHAMPION IND. LIMITED</x:v>
      </x:c>
      <x:c r="E342" s="7" t="n">
        <x:v>46303</x:v>
      </x:c>
      <x:c r="F342" s="8" t="n">
        <x:v>400</x:v>
      </x:c>
      <x:c r="G342" s="8" t="n">
        <x:v>150</x:v>
      </x:c>
      <x:c r="H342" s="8" t="n">
        <x:v>4.28</x:v>
      </x:c>
      <x:c r="I342" s="8" t="n">
        <x:v>3.4</x:v>
      </x:c>
      <x:c r="J342" s="8" t="n">
        <x:v>100</x:v>
      </x:c>
      <x:c r="K342" s="8" t="n">
        <x:v>1.47</x:v>
      </x:c>
      <x:c r="L342" s="8" t="n">
        <x:v>0</x:v>
      </x:c>
      <x:c r="M342" s="8" t="n">
        <x:v>0</x:v>
      </x:c>
      <x:c r="N342" s="8" t="n">
        <x:v>400</x:v>
      </x:c>
      <x:c r="O342" s="8" t="n">
        <x:v>0</x:v>
      </x:c>
      <x:c r="P342" s="8" t="n">
        <x:v>2.91</x:v>
      </x:c>
      <x:c r="Q342" s="9" t="n">
        <x:v>17.12</x:v>
      </x:c>
      <x:c r="R342" s="1" t="str">
        <x:v>Review receipt reconciliation or original PO baseline</x:v>
      </x:c>
      <x:c r="S342" s="1" t="str">
        <x:v>Plastic Product Information.csv</x:v>
      </x:c>
    </x:row>
    <x:row r="343" ht="21" customHeight="1">
      <x:c r="A343" s="1" t="str">
        <x:v>PLAS</x:v>
      </x:c>
      <x:c r="B343" s="1" t="str">
        <x:v>10</x:v>
      </x:c>
      <x:c r="C343" s="1" t="str">
        <x:v>00119RWBCLR</x:v>
      </x:c>
      <x:c r="D343" s="1" t="str">
        <x:v>GOLDEN CHAMPION IND. LIMITED</x:v>
      </x:c>
      <x:c r="E343" s="7" t="n">
        <x:v>46303</x:v>
      </x:c>
      <x:c r="F343" s="8" t="n">
        <x:v>1345</x:v>
      </x:c>
      <x:c r="G343" s="8" t="n">
        <x:v>147</x:v>
      </x:c>
      <x:c r="H343" s="8" t="n">
        <x:v>10.54</x:v>
      </x:c>
      <x:c r="I343" s="8" t="n">
        <x:v>8.39</x:v>
      </x:c>
      <x:c r="J343" s="8" t="n">
        <x:v>100</x:v>
      </x:c>
      <x:c r="K343" s="8" t="n">
        <x:v>1.47</x:v>
      </x:c>
      <x:c r="L343" s="8" t="n">
        <x:v>345</x:v>
      </x:c>
      <x:c r="M343" s="8" t="n">
        <x:v>1000</x:v>
      </x:c>
      <x:c r="N343" s="8" t="n">
        <x:v>0</x:v>
      </x:c>
      <x:c r="O343" s="8" t="n">
        <x:v>1</x:v>
      </x:c>
      <x:c r="P343" s="8" t="n">
        <x:v>7.17</x:v>
      </x:c>
      <x:c r="Q343" s="9" t="n">
        <x:v>141.763</x:v>
      </x:c>
      <x:c r="R343" s="1" t="str">
        <x:v>Classified</x:v>
      </x:c>
      <x:c r="S343" s="1" t="str">
        <x:v>Plastic Product Information.csv</x:v>
      </x:c>
    </x:row>
    <x:row r="344" ht="21" customHeight="1">
      <x:c r="A344" s="1" t="str">
        <x:v>PLAS</x:v>
      </x:c>
      <x:c r="B344" s="1" t="str">
        <x:v>60</x:v>
      </x:c>
      <x:c r="C344" s="1" t="str">
        <x:v>00219RSLWHT</x:v>
      </x:c>
      <x:c r="D344" s="1" t="str">
        <x:v>GOLDEN CHAMPION IND. LIMITED</x:v>
      </x:c>
      <x:c r="E344" s="7" t="n">
        <x:v>46303</x:v>
      </x:c>
      <x:c r="F344" s="8" t="n">
        <x:v>1400</x:v>
      </x:c>
      <x:c r="G344" s="8" t="n">
        <x:v>146.67</x:v>
      </x:c>
      <x:c r="H344" s="8" t="n">
        <x:v>14.77</x:v>
      </x:c>
      <x:c r="I344" s="8" t="n">
        <x:v>11.76</x:v>
      </x:c>
      <x:c r="J344" s="8" t="n">
        <x:v>100</x:v>
      </x:c>
      <x:c r="K344" s="8" t="n">
        <x:v>1.47</x:v>
      </x:c>
      <x:c r="L344" s="8" t="n">
        <x:v>0</x:v>
      </x:c>
      <x:c r="M344" s="8" t="n">
        <x:v>0</x:v>
      </x:c>
      <x:c r="N344" s="8" t="n">
        <x:v>1400</x:v>
      </x:c>
      <x:c r="O344" s="8" t="n">
        <x:v>0</x:v>
      </x:c>
      <x:c r="P344" s="8" t="n">
        <x:v>10.05</x:v>
      </x:c>
      <x:c r="Q344" s="9" t="n">
        <x:v>206.78</x:v>
      </x:c>
      <x:c r="R344" s="1" t="str">
        <x:v>Review receipt reconciliation or original PO baseline</x:v>
      </x:c>
      <x:c r="S344" s="1" t="str">
        <x:v>Plastic Product Information.csv</x:v>
      </x:c>
    </x:row>
    <x:row r="345" ht="21" customHeight="1">
      <x:c r="A345" s="1" t="str">
        <x:v>PLAS</x:v>
      </x:c>
      <x:c r="B345" s="1" t="str">
        <x:v>10</x:v>
      </x:c>
      <x:c r="C345" s="1" t="str">
        <x:v>13421RSLCLR</x:v>
      </x:c>
      <x:c r="D345" s="1" t="str">
        <x:v>GOLDEN CHAMPION IND. LIMITED</x:v>
      </x:c>
      <x:c r="E345" s="7" t="n">
        <x:v>46303</x:v>
      </x:c>
      <x:c r="F345" s="8" t="n">
        <x:v>2350</x:v>
      </x:c>
      <x:c r="G345" s="8" t="n">
        <x:v>133.83</x:v>
      </x:c>
      <x:c r="H345" s="8" t="n">
        <x:v>14.21</x:v>
      </x:c>
      <x:c r="I345" s="8" t="n">
        <x:v>11.31</x:v>
      </x:c>
      <x:c r="J345" s="8" t="n">
        <x:v>100</x:v>
      </x:c>
      <x:c r="K345" s="8" t="n">
        <x:v>1.47</x:v>
      </x:c>
      <x:c r="L345" s="8" t="n">
        <x:v>1350</x:v>
      </x:c>
      <x:c r="M345" s="8" t="n">
        <x:v>1000</x:v>
      </x:c>
      <x:c r="N345" s="8" t="n">
        <x:v>0</x:v>
      </x:c>
      <x:c r="O345" s="8" t="n">
        <x:v>1</x:v>
      </x:c>
      <x:c r="P345" s="8" t="n">
        <x:v>9.67</x:v>
      </x:c>
      <x:c r="Q345" s="9" t="n">
        <x:v>333.935</x:v>
      </x:c>
      <x:c r="R345" s="1" t="str">
        <x:v>Classified</x:v>
      </x:c>
      <x:c r="S345" s="1" t="str">
        <x:v>Plastic Product Information.csv</x:v>
      </x:c>
    </x:row>
    <x:row r="346" ht="21" customHeight="1">
      <x:c r="A346" s="1" t="str">
        <x:v>PLAS</x:v>
      </x:c>
      <x:c r="B346" s="1" t="str">
        <x:v>10</x:v>
      </x:c>
      <x:c r="C346" s="1" t="str">
        <x:v>00119RWBRED</x:v>
      </x:c>
      <x:c r="D346" s="1" t="str">
        <x:v>GOLDEN CHAMPION IND. LIMITED</x:v>
      </x:c>
      <x:c r="E346" s="7" t="n">
        <x:v>46303</x:v>
      </x:c>
      <x:c r="F346" s="8" t="n">
        <x:v>1100</x:v>
      </x:c>
      <x:c r="G346" s="8" t="n">
        <x:v>133.34</x:v>
      </x:c>
      <x:c r="H346" s="8" t="n">
        <x:v>10.54</x:v>
      </x:c>
      <x:c r="I346" s="8" t="n">
        <x:v>8.39</x:v>
      </x:c>
      <x:c r="J346" s="8" t="n">
        <x:v>100</x:v>
      </x:c>
      <x:c r="K346" s="8" t="n">
        <x:v>1.47</x:v>
      </x:c>
      <x:c r="L346" s="8" t="n">
        <x:v>1100</x:v>
      </x:c>
      <x:c r="M346" s="8" t="n">
        <x:v>0</x:v>
      </x:c>
      <x:c r="N346" s="8" t="n">
        <x:v>0</x:v>
      </x:c>
      <x:c r="O346" s="8" t="n">
        <x:v>1</x:v>
      </x:c>
      <x:c r="P346" s="8" t="n">
        <x:v>7.17</x:v>
      </x:c>
      <x:c r="Q346" s="9" t="n">
        <x:v>115.93999999999998</x:v>
      </x:c>
      <x:c r="R346" s="1" t="str">
        <x:v>Classified</x:v>
      </x:c>
      <x:c r="S346" s="1" t="str">
        <x:v>Plastic Product Information.csv</x:v>
      </x:c>
    </x:row>
    <x:row r="347" ht="21" customHeight="1">
      <x:c r="A347" s="1" t="str">
        <x:v>PLAS</x:v>
      </x:c>
      <x:c r="B347" s="1" t="str">
        <x:v>30</x:v>
      </x:c>
      <x:c r="C347" s="1" t="str">
        <x:v>05819RWBWHT</x:v>
      </x:c>
      <x:c r="D347" s="1" t="str">
        <x:v>GOLDEN CHAMPION IND. LIMITED</x:v>
      </x:c>
      <x:c r="E347" s="7" t="n">
        <x:v>46303</x:v>
      </x:c>
      <x:c r="F347" s="8" t="n">
        <x:v>2200</x:v>
      </x:c>
      <x:c r="G347" s="8" t="n">
        <x:v>133.33</x:v>
      </x:c>
      <x:c r="H347" s="8" t="n">
        <x:v>4.56</x:v>
      </x:c>
      <x:c r="I347" s="8" t="n">
        <x:v>3.63</x:v>
      </x:c>
      <x:c r="J347" s="8" t="n">
        <x:v>100</x:v>
      </x:c>
      <x:c r="K347" s="8" t="n">
        <x:v>1.47</x:v>
      </x:c>
      <x:c r="L347" s="8" t="n">
        <x:v>0</x:v>
      </x:c>
      <x:c r="M347" s="8" t="n">
        <x:v>0</x:v>
      </x:c>
      <x:c r="N347" s="8" t="n">
        <x:v>2200</x:v>
      </x:c>
      <x:c r="O347" s="8" t="n">
        <x:v>0</x:v>
      </x:c>
      <x:c r="P347" s="8" t="n">
        <x:v>3.1</x:v>
      </x:c>
      <x:c r="Q347" s="9" t="n">
        <x:v>100.32000000000001</x:v>
      </x:c>
      <x:c r="R347" s="1" t="str">
        <x:v>Review receipt reconciliation or original PO baseline</x:v>
      </x:c>
      <x:c r="S347" s="1" t="str">
        <x:v>Plastic Product Information.csv</x:v>
      </x:c>
    </x:row>
    <x:row r="348" ht="21" customHeight="1">
      <x:c r="A348" s="1" t="str">
        <x:v>PLAS</x:v>
      </x:c>
      <x:c r="B348" s="1" t="str">
        <x:v>60</x:v>
      </x:c>
      <x:c r="C348" s="1" t="str">
        <x:v>03819RWBMAR</x:v>
      </x:c>
      <x:c r="D348" s="1" t="str">
        <x:v>GOLDEN CHAMPION IND. LIMITED</x:v>
      </x:c>
      <x:c r="E348" s="7" t="n">
        <x:v>46303</x:v>
      </x:c>
      <x:c r="F348" s="8" t="n">
        <x:v>0</x:v>
      </x:c>
      <x:c r="G348" s="8" t="n">
        <x:v>133.33</x:v>
      </x:c>
      <x:c r="H348" s="8" t="n">
        <x:v>2.48</x:v>
      </x:c>
      <x:c r="I348" s="8" t="n">
        <x:v>1.98</x:v>
      </x:c>
      <x:c r="J348" s="8" t="n">
        <x:v>100</x:v>
      </x:c>
      <x:c r="K348" s="8" t="n">
        <x:v>1.47</x:v>
      </x:c>
      <x:c r="L348" s="8" t="n">
        <x:v>0</x:v>
      </x:c>
      <x:c r="M348" s="8" t="n">
        <x:v>0</x:v>
      </x:c>
      <x:c r="N348" s="8" t="n">
        <x:v>0</x:v>
      </x:c>
      <x:c r="O348" s="8" t="n">
        <x:v>1</x:v>
      </x:c>
      <x:c r="P348" s="8" t="n">
        <x:v>1.69</x:v>
      </x:c>
      <x:c r="Q348" s="9" t="n">
        <x:v>0</x:v>
      </x:c>
      <x:c r="R348" s="1" t="str">
        <x:v>Classified</x:v>
      </x:c>
      <x:c r="S348" s="1" t="str">
        <x:v>Plastic Product Information.csv</x:v>
      </x:c>
    </x:row>
    <x:row r="349" ht="21" customHeight="1">
      <x:c r="A349" s="1" t="str">
        <x:v>PLAS</x:v>
      </x:c>
      <x:c r="B349" s="1" t="str">
        <x:v>60</x:v>
      </x:c>
      <x:c r="C349" s="1" t="str">
        <x:v>71615RWBBLK</x:v>
      </x:c>
      <x:c r="D349" s="1" t="str">
        <x:v>GOLDEN CHAMPION IND. LIMITED</x:v>
      </x:c>
      <x:c r="E349" s="7" t="n">
        <x:v>46303</x:v>
      </x:c>
      <x:c r="F349" s="8" t="n">
        <x:v>1200</x:v>
      </x:c>
      <x:c r="G349" s="8" t="n">
        <x:v>133.33</x:v>
      </x:c>
      <x:c r="H349" s="8" t="n">
        <x:v>2.19</x:v>
      </x:c>
      <x:c r="I349" s="8" t="n">
        <x:v>1.74</x:v>
      </x:c>
      <x:c r="J349" s="8" t="n">
        <x:v>100</x:v>
      </x:c>
      <x:c r="K349" s="8" t="n">
        <x:v>1.47</x:v>
      </x:c>
      <x:c r="L349" s="8" t="n">
        <x:v>0</x:v>
      </x:c>
      <x:c r="M349" s="8" t="n">
        <x:v>0</x:v>
      </x:c>
      <x:c r="N349" s="8" t="n">
        <x:v>1200</x:v>
      </x:c>
      <x:c r="O349" s="8" t="n">
        <x:v>0</x:v>
      </x:c>
      <x:c r="P349" s="8" t="n">
        <x:v>1.49</x:v>
      </x:c>
      <x:c r="Q349" s="9" t="n">
        <x:v>26.28</x:v>
      </x:c>
      <x:c r="R349" s="1" t="str">
        <x:v>Review receipt reconciliation or original PO baseline</x:v>
      </x:c>
      <x:c r="S349" s="1" t="str">
        <x:v>Plastic Product Information.csv</x:v>
      </x:c>
    </x:row>
    <x:row r="350" ht="21" customHeight="1">
      <x:c r="A350" s="1" t="str">
        <x:v>PLAS</x:v>
      </x:c>
      <x:c r="B350" s="1" t="str">
        <x:v>60</x:v>
      </x:c>
      <x:c r="C350" s="1" t="str">
        <x:v>91619RWBFG</x:v>
      </x:c>
      <x:c r="D350" s="1" t="str">
        <x:v>GOLDEN CHAMPION IND. LIMITED</x:v>
      </x:c>
      <x:c r="E350" s="7" t="n">
        <x:v>46303</x:v>
      </x:c>
      <x:c r="F350" s="8" t="n">
        <x:v>300</x:v>
      </x:c>
      <x:c r="G350" s="8" t="n">
        <x:v>133.33</x:v>
      </x:c>
      <x:c r="H350" s="8" t="n">
        <x:v>4.28</x:v>
      </x:c>
      <x:c r="I350" s="8" t="n">
        <x:v>3.4</x:v>
      </x:c>
      <x:c r="J350" s="8" t="n">
        <x:v>100</x:v>
      </x:c>
      <x:c r="K350" s="8" t="n">
        <x:v>1.47</x:v>
      </x:c>
      <x:c r="L350" s="8" t="n">
        <x:v>0</x:v>
      </x:c>
      <x:c r="M350" s="8" t="n">
        <x:v>0</x:v>
      </x:c>
      <x:c r="N350" s="8" t="n">
        <x:v>300</x:v>
      </x:c>
      <x:c r="O350" s="8" t="n">
        <x:v>0</x:v>
      </x:c>
      <x:c r="P350" s="8" t="n">
        <x:v>2.91</x:v>
      </x:c>
      <x:c r="Q350" s="9" t="n">
        <x:v>12.84</x:v>
      </x:c>
      <x:c r="R350" s="1" t="str">
        <x:v>Review receipt reconciliation or original PO baseline</x:v>
      </x:c>
      <x:c r="S350" s="1" t="str">
        <x:v>Plastic Product Information.csv</x:v>
      </x:c>
    </x:row>
    <x:row r="351" ht="21" customHeight="1">
      <x:c r="A351" s="1" t="str">
        <x:v>PLAS</x:v>
      </x:c>
      <x:c r="B351" s="1" t="str">
        <x:v>10</x:v>
      </x:c>
      <x:c r="C351" s="1" t="str">
        <x:v>13419RSLNAV</x:v>
      </x:c>
      <x:c r="D351" s="1" t="str">
        <x:v>GOLDEN CHAMPION IND. LIMITED</x:v>
      </x:c>
      <x:c r="E351" s="7" t="n">
        <x:v>46303</x:v>
      </x:c>
      <x:c r="F351" s="8" t="n">
        <x:v>997</x:v>
      </x:c>
      <x:c r="G351" s="8" t="n">
        <x:v>129.42</x:v>
      </x:c>
      <x:c r="H351" s="8" t="n">
        <x:v>14.57</x:v>
      </x:c>
      <x:c r="I351" s="8" t="n">
        <x:v>11.59</x:v>
      </x:c>
      <x:c r="J351" s="8" t="n">
        <x:v>100</x:v>
      </x:c>
      <x:c r="K351" s="8" t="n">
        <x:v>1.47</x:v>
      </x:c>
      <x:c r="L351" s="8" t="n">
        <x:v>997</x:v>
      </x:c>
      <x:c r="M351" s="8" t="n">
        <x:v>0</x:v>
      </x:c>
      <x:c r="N351" s="8" t="n">
        <x:v>0</x:v>
      </x:c>
      <x:c r="O351" s="8" t="n">
        <x:v>1</x:v>
      </x:c>
      <x:c r="P351" s="8" t="n">
        <x:v>9.91</x:v>
      </x:c>
      <x:c r="Q351" s="9" t="n">
        <x:v>145.2629</x:v>
      </x:c>
      <x:c r="R351" s="1" t="str">
        <x:v>Classified</x:v>
      </x:c>
      <x:c r="S351" s="1" t="str">
        <x:v>Plastic Product Information.csv</x:v>
      </x:c>
    </x:row>
    <x:row r="352" ht="21" customHeight="1">
      <x:c r="A352" s="1" t="str">
        <x:v>PLAS</x:v>
      </x:c>
      <x:c r="B352" s="1" t="str">
        <x:v>10</x:v>
      </x:c>
      <x:c r="C352" s="1" t="str">
        <x:v>00119RWBFG</x:v>
      </x:c>
      <x:c r="D352" s="1" t="str">
        <x:v>GOLDEN CHAMPION IND. LIMITED</x:v>
      </x:c>
      <x:c r="E352" s="7" t="n">
        <x:v>46303</x:v>
      </x:c>
      <x:c r="F352" s="8" t="n">
        <x:v>1750</x:v>
      </x:c>
      <x:c r="G352" s="8" t="n">
        <x:v>125</x:v>
      </x:c>
      <x:c r="H352" s="8" t="n">
        <x:v>10.54</x:v>
      </x:c>
      <x:c r="I352" s="8" t="n">
        <x:v>8.39</x:v>
      </x:c>
      <x:c r="J352" s="8" t="n">
        <x:v>100</x:v>
      </x:c>
      <x:c r="K352" s="8" t="n">
        <x:v>1.47</x:v>
      </x:c>
      <x:c r="L352" s="8" t="n">
        <x:v>750</x:v>
      </x:c>
      <x:c r="M352" s="8" t="n">
        <x:v>1000</x:v>
      </x:c>
      <x:c r="N352" s="8" t="n">
        <x:v>0</x:v>
      </x:c>
      <x:c r="O352" s="8" t="n">
        <x:v>1</x:v>
      </x:c>
      <x:c r="P352" s="8" t="n">
        <x:v>7.17</x:v>
      </x:c>
      <x:c r="Q352" s="9" t="n">
        <x:v>184.45000000000002</x:v>
      </x:c>
      <x:c r="R352" s="1" t="str">
        <x:v>Classified</x:v>
      </x:c>
      <x:c r="S352" s="1" t="str">
        <x:v>Plastic Product Information.csv</x:v>
      </x:c>
    </x:row>
    <x:row r="353" ht="21" customHeight="1">
      <x:c r="A353" s="1" t="str">
        <x:v>PLAS</x:v>
      </x:c>
      <x:c r="B353" s="1" t="str">
        <x:v>10</x:v>
      </x:c>
      <x:c r="C353" s="1" t="str">
        <x:v>07815RWBFG</x:v>
      </x:c>
      <x:c r="D353" s="1" t="str">
        <x:v>GOLDEN CHAMPION IND. LIMITED</x:v>
      </x:c>
      <x:c r="E353" s="7" t="n">
        <x:v>46303</x:v>
      </x:c>
      <x:c r="F353" s="8" t="n">
        <x:v>3277</x:v>
      </x:c>
      <x:c r="G353" s="8" t="n">
        <x:v>125</x:v>
      </x:c>
      <x:c r="H353" s="8" t="n">
        <x:v>5.38</x:v>
      </x:c>
      <x:c r="I353" s="8" t="n">
        <x:v>4.28</x:v>
      </x:c>
      <x:c r="J353" s="8" t="n">
        <x:v>100</x:v>
      </x:c>
      <x:c r="K353" s="8" t="n">
        <x:v>1.47</x:v>
      </x:c>
      <x:c r="L353" s="8" t="n">
        <x:v>3277</x:v>
      </x:c>
      <x:c r="M353" s="8" t="n">
        <x:v>0</x:v>
      </x:c>
      <x:c r="N353" s="8" t="n">
        <x:v>0</x:v>
      </x:c>
      <x:c r="O353" s="8" t="n">
        <x:v>1</x:v>
      </x:c>
      <x:c r="P353" s="8" t="n">
        <x:v>3.66</x:v>
      </x:c>
      <x:c r="Q353" s="9" t="n">
        <x:v>176.30259999999998</x:v>
      </x:c>
      <x:c r="R353" s="1" t="str">
        <x:v>Classified</x:v>
      </x:c>
      <x:c r="S353" s="1" t="str">
        <x:v>Plastic Product Information.csv</x:v>
      </x:c>
    </x:row>
    <x:row r="354" ht="21" customHeight="1">
      <x:c r="A354" s="1" t="str">
        <x:v>PLAS</x:v>
      </x:c>
      <x:c r="B354" s="1" t="str">
        <x:v>10</x:v>
      </x:c>
      <x:c r="C354" s="1" t="str">
        <x:v>07819RWBBLU</x:v>
      </x:c>
      <x:c r="D354" s="1" t="str">
        <x:v>GOLDEN CHAMPION IND. LIMITED</x:v>
      </x:c>
      <x:c r="E354" s="7" t="n">
        <x:v>46303</x:v>
      </x:c>
      <x:c r="F354" s="8" t="n">
        <x:v>1500</x:v>
      </x:c>
      <x:c r="G354" s="8" t="n">
        <x:v>125</x:v>
      </x:c>
      <x:c r="H354" s="8" t="n">
        <x:v>7.97</x:v>
      </x:c>
      <x:c r="I354" s="8" t="n">
        <x:v>6.34</x:v>
      </x:c>
      <x:c r="J354" s="8" t="n">
        <x:v>100</x:v>
      </x:c>
      <x:c r="K354" s="8" t="n">
        <x:v>1.47</x:v>
      </x:c>
      <x:c r="L354" s="8" t="n">
        <x:v>1500</x:v>
      </x:c>
      <x:c r="M354" s="8" t="n">
        <x:v>0</x:v>
      </x:c>
      <x:c r="N354" s="8" t="n">
        <x:v>0</x:v>
      </x:c>
      <x:c r="O354" s="8" t="n">
        <x:v>1</x:v>
      </x:c>
      <x:c r="P354" s="8" t="n">
        <x:v>5.42</x:v>
      </x:c>
      <x:c r="Q354" s="9" t="n">
        <x:v>119.55</x:v>
      </x:c>
      <x:c r="R354" s="1" t="str">
        <x:v>Classified</x:v>
      </x:c>
      <x:c r="S354" s="1" t="str">
        <x:v>Plastic Product Information.csv</x:v>
      </x:c>
    </x:row>
    <x:row r="355" ht="21" customHeight="1">
      <x:c r="A355" s="1" t="str">
        <x:v>PLAS</x:v>
      </x:c>
      <x:c r="B355" s="1" t="str">
        <x:v>10</x:v>
      </x:c>
      <x:c r="C355" s="1" t="str">
        <x:v>11415ROVWHT</x:v>
      </x:c>
      <x:c r="D355" s="1" t="str">
        <x:v>GOLDEN CHAMPION IND. LIMITED</x:v>
      </x:c>
      <x:c r="E355" s="7" t="n">
        <x:v>46303</x:v>
      </x:c>
      <x:c r="F355" s="8" t="n">
        <x:v>2500</x:v>
      </x:c>
      <x:c r="G355" s="8" t="n">
        <x:v>125</x:v>
      </x:c>
      <x:c r="H355" s="8" t="n">
        <x:v>8.83</x:v>
      </x:c>
      <x:c r="I355" s="8" t="n">
        <x:v>7.03</x:v>
      </x:c>
      <x:c r="J355" s="8" t="n">
        <x:v>100</x:v>
      </x:c>
      <x:c r="K355" s="8" t="n">
        <x:v>1.47</x:v>
      </x:c>
      <x:c r="L355" s="8" t="n">
        <x:v>1500</x:v>
      </x:c>
      <x:c r="M355" s="8" t="n">
        <x:v>1000</x:v>
      </x:c>
      <x:c r="N355" s="8" t="n">
        <x:v>0</x:v>
      </x:c>
      <x:c r="O355" s="8" t="n">
        <x:v>1</x:v>
      </x:c>
      <x:c r="P355" s="8" t="n">
        <x:v>6.01</x:v>
      </x:c>
      <x:c r="Q355" s="9" t="n">
        <x:v>220.75</x:v>
      </x:c>
      <x:c r="R355" s="1" t="str">
        <x:v>Classified</x:v>
      </x:c>
      <x:c r="S355" s="1" t="str">
        <x:v>Plastic Product Information.csv</x:v>
      </x:c>
    </x:row>
    <x:row r="356" ht="21" customHeight="1">
      <x:c r="A356" s="1" t="str">
        <x:v>PLAS</x:v>
      </x:c>
      <x:c r="B356" s="1" t="str">
        <x:v>10</x:v>
      </x:c>
      <x:c r="C356" s="1" t="str">
        <x:v>13415RSLWHT</x:v>
      </x:c>
      <x:c r="D356" s="1" t="str">
        <x:v>GOLDEN CHAMPION IND. LIMITED</x:v>
      </x:c>
      <x:c r="E356" s="7" t="n">
        <x:v>46303</x:v>
      </x:c>
      <x:c r="F356" s="8" t="n">
        <x:v>6994</x:v>
      </x:c>
      <x:c r="G356" s="8" t="n">
        <x:v>122.08</x:v>
      </x:c>
      <x:c r="H356" s="8" t="n">
        <x:v>10.05</x:v>
      </x:c>
      <x:c r="I356" s="8" t="n">
        <x:v>8</x:v>
      </x:c>
      <x:c r="J356" s="8" t="n">
        <x:v>100</x:v>
      </x:c>
      <x:c r="K356" s="8" t="n">
        <x:v>1.47</x:v>
      </x:c>
      <x:c r="L356" s="8" t="n">
        <x:v>0</x:v>
      </x:c>
      <x:c r="M356" s="8" t="n">
        <x:v>0</x:v>
      </x:c>
      <x:c r="N356" s="8" t="n">
        <x:v>6994</x:v>
      </x:c>
      <x:c r="O356" s="8" t="n">
        <x:v>0</x:v>
      </x:c>
      <x:c r="P356" s="8" t="n">
        <x:v>6.84</x:v>
      </x:c>
      <x:c r="Q356" s="9" t="n">
        <x:v>702.8970000000002</x:v>
      </x:c>
      <x:c r="R356" s="1" t="str">
        <x:v>Review receipt reconciliation or original PO baseline</x:v>
      </x:c>
      <x:c r="S356" s="1" t="str">
        <x:v>Plastic Product Information.csv</x:v>
      </x:c>
    </x:row>
    <x:row r="357" ht="21" customHeight="1">
      <x:c r="A357" s="1" t="str">
        <x:v>PLAS</x:v>
      </x:c>
      <x:c r="B357" s="1" t="str">
        <x:v>10</x:v>
      </x:c>
      <x:c r="C357" s="1" t="str">
        <x:v>11221RSLBLK</x:v>
      </x:c>
      <x:c r="D357" s="1" t="str">
        <x:v>GOLDEN CHAMPION IND. LIMITED</x:v>
      </x:c>
      <x:c r="E357" s="7" t="n">
        <x:v>46303</x:v>
      </x:c>
      <x:c r="F357" s="8" t="n">
        <x:v>928</x:v>
      </x:c>
      <x:c r="G357" s="8" t="n">
        <x:v>117.33</x:v>
      </x:c>
      <x:c r="H357" s="8" t="n">
        <x:v>12.48</x:v>
      </x:c>
      <x:c r="I357" s="8" t="n">
        <x:v>9.93</x:v>
      </x:c>
      <x:c r="J357" s="8" t="n">
        <x:v>100</x:v>
      </x:c>
      <x:c r="K357" s="8" t="n">
        <x:v>1.47</x:v>
      </x:c>
      <x:c r="L357" s="8" t="n">
        <x:v>928</x:v>
      </x:c>
      <x:c r="M357" s="8" t="n">
        <x:v>0</x:v>
      </x:c>
      <x:c r="N357" s="8" t="n">
        <x:v>0</x:v>
      </x:c>
      <x:c r="O357" s="8" t="n">
        <x:v>1</x:v>
      </x:c>
      <x:c r="P357" s="8" t="n">
        <x:v>8.49</x:v>
      </x:c>
      <x:c r="Q357" s="9" t="n">
        <x:v>115.8144</x:v>
      </x:c>
      <x:c r="R357" s="1" t="str">
        <x:v>Classified</x:v>
      </x:c>
      <x:c r="S357" s="1" t="str">
        <x:v>Plastic Product Information.csv</x:v>
      </x:c>
    </x:row>
    <x:row r="358" ht="21" customHeight="1">
      <x:c r="A358" s="1" t="str">
        <x:v>PLAS</x:v>
      </x:c>
      <x:c r="B358" s="1" t="str">
        <x:v>10</x:v>
      </x:c>
      <x:c r="C358" s="1" t="str">
        <x:v>11219RSLFG</x:v>
      </x:c>
      <x:c r="D358" s="1" t="str">
        <x:v>GOLDEN CHAMPION IND. LIMITED</x:v>
      </x:c>
      <x:c r="E358" s="7" t="n">
        <x:v>46303</x:v>
      </x:c>
      <x:c r="F358" s="8" t="n">
        <x:v>2300</x:v>
      </x:c>
      <x:c r="G358" s="8" t="n">
        <x:v>116.92</x:v>
      </x:c>
      <x:c r="H358" s="8" t="n">
        <x:v>12.98</x:v>
      </x:c>
      <x:c r="I358" s="8" t="n">
        <x:v>10.33</x:v>
      </x:c>
      <x:c r="J358" s="8" t="n">
        <x:v>100</x:v>
      </x:c>
      <x:c r="K358" s="8" t="n">
        <x:v>1.47</x:v>
      </x:c>
      <x:c r="L358" s="8" t="n">
        <x:v>1300</x:v>
      </x:c>
      <x:c r="M358" s="8" t="n">
        <x:v>1000</x:v>
      </x:c>
      <x:c r="N358" s="8" t="n">
        <x:v>0</x:v>
      </x:c>
      <x:c r="O358" s="8" t="n">
        <x:v>1</x:v>
      </x:c>
      <x:c r="P358" s="8" t="n">
        <x:v>8.83</x:v>
      </x:c>
      <x:c r="Q358" s="9" t="n">
        <x:v>298.54</x:v>
      </x:c>
      <x:c r="R358" s="1" t="str">
        <x:v>Classified</x:v>
      </x:c>
      <x:c r="S358" s="1" t="str">
        <x:v>Plastic Product Information.csv</x:v>
      </x:c>
    </x:row>
    <x:row r="359" ht="21" customHeight="1">
      <x:c r="A359" s="1" t="str">
        <x:v>PLAS</x:v>
      </x:c>
      <x:c r="B359" s="1" t="str">
        <x:v>30</x:v>
      </x:c>
      <x:c r="C359" s="1" t="str">
        <x:v>11419RSLWHT</x:v>
      </x:c>
      <x:c r="D359" s="1" t="str">
        <x:v>GOLDEN CHAMPION IND. LIMITED</x:v>
      </x:c>
      <x:c r="E359" s="7" t="n">
        <x:v>46303</x:v>
      </x:c>
      <x:c r="F359" s="8" t="n">
        <x:v>500</x:v>
      </x:c>
      <x:c r="G359" s="8" t="n">
        <x:v>116.67</x:v>
      </x:c>
      <x:c r="H359" s="8" t="n">
        <x:v>11.1</x:v>
      </x:c>
      <x:c r="I359" s="8" t="n">
        <x:v>8.83</x:v>
      </x:c>
      <x:c r="J359" s="8" t="n">
        <x:v>100</x:v>
      </x:c>
      <x:c r="K359" s="8" t="n">
        <x:v>1.47</x:v>
      </x:c>
      <x:c r="L359" s="8" t="n">
        <x:v>0</x:v>
      </x:c>
      <x:c r="M359" s="8" t="n">
        <x:v>0</x:v>
      </x:c>
      <x:c r="N359" s="8" t="n">
        <x:v>500</x:v>
      </x:c>
      <x:c r="O359" s="8" t="n">
        <x:v>0</x:v>
      </x:c>
      <x:c r="P359" s="8" t="n">
        <x:v>7.55</x:v>
      </x:c>
      <x:c r="Q359" s="9" t="n">
        <x:v>55.5</x:v>
      </x:c>
      <x:c r="R359" s="1" t="str">
        <x:v>Review receipt reconciliation or original PO baseline</x:v>
      </x:c>
      <x:c r="S359" s="1" t="str">
        <x:v>Plastic Product Information.csv</x:v>
      </x:c>
    </x:row>
    <x:row r="360" ht="21" customHeight="1">
      <x:c r="A360" s="1" t="str">
        <x:v>PLAS</x:v>
      </x:c>
      <x:c r="B360" s="1" t="str">
        <x:v>10</x:v>
      </x:c>
      <x:c r="C360" s="1" t="str">
        <x:v>00121RWBWHT</x:v>
      </x:c>
      <x:c r="D360" s="1" t="str">
        <x:v>GOLDEN CHAMPION IND. LIMITED</x:v>
      </x:c>
      <x:c r="E360" s="7" t="n">
        <x:v>46303</x:v>
      </x:c>
      <x:c r="F360" s="8" t="n">
        <x:v>20905</x:v>
      </x:c>
      <x:c r="G360" s="8" t="n">
        <x:v>109.17</x:v>
      </x:c>
      <x:c r="H360" s="8" t="n">
        <x:v>10.38</x:v>
      </x:c>
      <x:c r="I360" s="8" t="n">
        <x:v>8.26</x:v>
      </x:c>
      <x:c r="J360" s="8" t="n">
        <x:v>100</x:v>
      </x:c>
      <x:c r="K360" s="8" t="n">
        <x:v>1.47</x:v>
      </x:c>
      <x:c r="L360" s="8" t="n">
        <x:v>0</x:v>
      </x:c>
      <x:c r="M360" s="8" t="n">
        <x:v>0</x:v>
      </x:c>
      <x:c r="N360" s="8" t="n">
        <x:v>20905</x:v>
      </x:c>
      <x:c r="O360" s="8" t="n">
        <x:v>0</x:v>
      </x:c>
      <x:c r="P360" s="8" t="n">
        <x:v>7.06</x:v>
      </x:c>
      <x:c r="Q360" s="9" t="n">
        <x:v>2169.9390000000003</x:v>
      </x:c>
      <x:c r="R360" s="1" t="str">
        <x:v>Review receipt reconciliation or original PO baseline</x:v>
      </x:c>
      <x:c r="S360" s="1" t="str">
        <x:v>Plastic Product Information.csv</x:v>
      </x:c>
    </x:row>
    <x:row r="361" ht="21" customHeight="1">
      <x:c r="A361" s="1" t="str">
        <x:v>PLAS</x:v>
      </x:c>
      <x:c r="B361" s="1" t="str">
        <x:v>10</x:v>
      </x:c>
      <x:c r="C361" s="1" t="str">
        <x:v>07815RWBNAV</x:v>
      </x:c>
      <x:c r="D361" s="1" t="str">
        <x:v>GOLDEN CHAMPION IND. LIMITED</x:v>
      </x:c>
      <x:c r="E361" s="7" t="n">
        <x:v>46303</x:v>
      </x:c>
      <x:c r="F361" s="8" t="n">
        <x:v>1400</x:v>
      </x:c>
      <x:c r="G361" s="8" t="n">
        <x:v>108.33</x:v>
      </x:c>
      <x:c r="H361" s="8" t="n">
        <x:v>5.38</x:v>
      </x:c>
      <x:c r="I361" s="8" t="n">
        <x:v>4.28</x:v>
      </x:c>
      <x:c r="J361" s="8" t="n">
        <x:v>100</x:v>
      </x:c>
      <x:c r="K361" s="8" t="n">
        <x:v>1.47</x:v>
      </x:c>
      <x:c r="L361" s="8" t="n">
        <x:v>0</x:v>
      </x:c>
      <x:c r="M361" s="8" t="n">
        <x:v>0</x:v>
      </x:c>
      <x:c r="N361" s="8" t="n">
        <x:v>1400</x:v>
      </x:c>
      <x:c r="O361" s="8" t="n">
        <x:v>0</x:v>
      </x:c>
      <x:c r="P361" s="8" t="n">
        <x:v>3.66</x:v>
      </x:c>
      <x:c r="Q361" s="9" t="n">
        <x:v>75.32000000000001</x:v>
      </x:c>
      <x:c r="R361" s="1" t="str">
        <x:v>Review receipt reconciliation or original PO baseline</x:v>
      </x:c>
      <x:c r="S361" s="1" t="str">
        <x:v>Plastic Product Information.csv</x:v>
      </x:c>
    </x:row>
    <x:row r="362" ht="21" customHeight="1">
      <x:c r="A362" s="1" t="str">
        <x:v>PLAS</x:v>
      </x:c>
      <x:c r="B362" s="1" t="str">
        <x:v>30</x:v>
      </x:c>
      <x:c r="C362" s="1" t="str">
        <x:v>00119RWBNAV</x:v>
      </x:c>
      <x:c r="D362" s="1" t="str">
        <x:v>GOLDEN CHAMPION IND. LIMITED</x:v>
      </x:c>
      <x:c r="E362" s="7" t="n">
        <x:v>46303</x:v>
      </x:c>
      <x:c r="F362" s="8" t="n">
        <x:v>750</x:v>
      </x:c>
      <x:c r="G362" s="8" t="n">
        <x:v>108.33</x:v>
      </x:c>
      <x:c r="H362" s="8" t="n">
        <x:v>10.54</x:v>
      </x:c>
      <x:c r="I362" s="8" t="n">
        <x:v>8.39</x:v>
      </x:c>
      <x:c r="J362" s="8" t="n">
        <x:v>100</x:v>
      </x:c>
      <x:c r="K362" s="8" t="n">
        <x:v>1.47</x:v>
      </x:c>
      <x:c r="L362" s="8" t="n">
        <x:v>0</x:v>
      </x:c>
      <x:c r="M362" s="8" t="n">
        <x:v>0</x:v>
      </x:c>
      <x:c r="N362" s="8" t="n">
        <x:v>750</x:v>
      </x:c>
      <x:c r="O362" s="8" t="n">
        <x:v>0</x:v>
      </x:c>
      <x:c r="P362" s="8" t="n">
        <x:v>7.17</x:v>
      </x:c>
      <x:c r="Q362" s="9" t="n">
        <x:v>79.05</x:v>
      </x:c>
      <x:c r="R362" s="1" t="str">
        <x:v>Review receipt reconciliation or original PO baseline</x:v>
      </x:c>
      <x:c r="S362" s="1" t="str">
        <x:v>Plastic Product Information.csv</x:v>
      </x:c>
    </x:row>
    <x:row r="363" ht="21" customHeight="1">
      <x:c r="A363" s="1" t="str">
        <x:v>PLAS</x:v>
      </x:c>
      <x:c r="B363" s="1" t="str">
        <x:v>10</x:v>
      </x:c>
      <x:c r="C363" s="1" t="str">
        <x:v>07815RWBWHT</x:v>
      </x:c>
      <x:c r="D363" s="1" t="str">
        <x:v>GOLDEN CHAMPION IND. LIMITED</x:v>
      </x:c>
      <x:c r="E363" s="7" t="n">
        <x:v>46303</x:v>
      </x:c>
      <x:c r="F363" s="8" t="n">
        <x:v>664</x:v>
      </x:c>
      <x:c r="G363" s="8" t="n">
        <x:v>107.92</x:v>
      </x:c>
      <x:c r="H363" s="8" t="n">
        <x:v>5.38</x:v>
      </x:c>
      <x:c r="I363" s="8" t="n">
        <x:v>4.28</x:v>
      </x:c>
      <x:c r="J363" s="8" t="n">
        <x:v>100</x:v>
      </x:c>
      <x:c r="K363" s="8" t="n">
        <x:v>1.47</x:v>
      </x:c>
      <x:c r="L363" s="8" t="n">
        <x:v>664</x:v>
      </x:c>
      <x:c r="M363" s="8" t="n">
        <x:v>0</x:v>
      </x:c>
      <x:c r="N363" s="8" t="n">
        <x:v>0</x:v>
      </x:c>
      <x:c r="O363" s="8" t="n">
        <x:v>1</x:v>
      </x:c>
      <x:c r="P363" s="8" t="n">
        <x:v>3.66</x:v>
      </x:c>
      <x:c r="Q363" s="9" t="n">
        <x:v>35.7232</x:v>
      </x:c>
      <x:c r="R363" s="1" t="str">
        <x:v>Classified</x:v>
      </x:c>
      <x:c r="S363" s="1" t="str">
        <x:v>Plastic Product Information.csv</x:v>
      </x:c>
    </x:row>
    <x:row r="364" ht="21" customHeight="1">
      <x:c r="A364" s="1" t="str">
        <x:v>PLAS</x:v>
      </x:c>
      <x:c r="B364" s="1" t="str">
        <x:v>30</x:v>
      </x:c>
      <x:c r="C364" s="1" t="str">
        <x:v>71619RWBWHT</x:v>
      </x:c>
      <x:c r="D364" s="1" t="str">
        <x:v>GOLDEN CHAMPION IND. LIMITED</x:v>
      </x:c>
      <x:c r="E364" s="7" t="n">
        <x:v>46303</x:v>
      </x:c>
      <x:c r="F364" s="8" t="n">
        <x:v>2600</x:v>
      </x:c>
      <x:c r="G364" s="8" t="n">
        <x:v>100</x:v>
      </x:c>
      <x:c r="H364" s="8" t="n">
        <x:v>3.15</x:v>
      </x:c>
      <x:c r="I364" s="8" t="n">
        <x:v>2.5</x:v>
      </x:c>
      <x:c r="J364" s="8" t="n">
        <x:v>100</x:v>
      </x:c>
      <x:c r="K364" s="8" t="n">
        <x:v>1.47</x:v>
      </x:c>
      <x:c r="L364" s="8" t="n">
        <x:v>0</x:v>
      </x:c>
      <x:c r="M364" s="8" t="n">
        <x:v>0</x:v>
      </x:c>
      <x:c r="N364" s="8" t="n">
        <x:v>2600</x:v>
      </x:c>
      <x:c r="O364" s="8" t="n">
        <x:v>0</x:v>
      </x:c>
      <x:c r="P364" s="8" t="n">
        <x:v>2.14</x:v>
      </x:c>
      <x:c r="Q364" s="9" t="n">
        <x:v>81.9</x:v>
      </x:c>
      <x:c r="R364" s="1" t="str">
        <x:v>Review receipt reconciliation or original PO baseline</x:v>
      </x:c>
      <x:c r="S364" s="1" t="str">
        <x:v>Plastic Product Information.csv</x:v>
      </x:c>
    </x:row>
    <x:row r="365" ht="21" customHeight="1">
      <x:c r="A365" s="1" t="str">
        <x:v>PLAS</x:v>
      </x:c>
      <x:c r="B365" s="1" t="str">
        <x:v>10</x:v>
      </x:c>
      <x:c r="C365" s="1" t="str">
        <x:v>11421RSLCLR</x:v>
      </x:c>
      <x:c r="D365" s="1" t="str">
        <x:v>GOLDEN CHAMPION IND. LIMITED</x:v>
      </x:c>
      <x:c r="E365" s="7" t="n">
        <x:v>46303</x:v>
      </x:c>
      <x:c r="F365" s="8" t="n">
        <x:v>1221</x:v>
      </x:c>
      <x:c r="G365" s="8" t="n">
        <x:v>98.75</x:v>
      </x:c>
      <x:c r="H365" s="8" t="n">
        <x:v>9.78</x:v>
      </x:c>
      <x:c r="I365" s="8" t="n">
        <x:v>8.8</x:v>
      </x:c>
      <x:c r="J365" s="8" t="n">
        <x:v>100</x:v>
      </x:c>
      <x:c r="K365" s="8" t="n">
        <x:v>1.47</x:v>
      </x:c>
      <x:c r="L365" s="8" t="n">
        <x:v>0</x:v>
      </x:c>
      <x:c r="M365" s="8" t="n">
        <x:v>0</x:v>
      </x:c>
      <x:c r="N365" s="8" t="n">
        <x:v>1221</x:v>
      </x:c>
      <x:c r="O365" s="8" t="n">
        <x:v>0</x:v>
      </x:c>
      <x:c r="P365" s="8" t="n">
        <x:v>7.52</x:v>
      </x:c>
      <x:c r="Q365" s="9" t="n">
        <x:v>119.4138</x:v>
      </x:c>
      <x:c r="R365" s="1" t="str">
        <x:v>Review receipt reconciliation or original PO baseline</x:v>
      </x:c>
      <x:c r="S365" s="1" t="str">
        <x:v>Plastic Product Information.csv</x:v>
      </x:c>
    </x:row>
    <x:row r="366" ht="21" customHeight="1">
      <x:c r="A366" s="1" t="str">
        <x:v>PLAS</x:v>
      </x:c>
      <x:c r="B366" s="1" t="str">
        <x:v>10</x:v>
      </x:c>
      <x:c r="C366" s="1" t="str">
        <x:v>05819RWBRED</x:v>
      </x:c>
      <x:c r="D366" s="1" t="str">
        <x:v>GOLDEN CHAMPION IND. LIMITED</x:v>
      </x:c>
      <x:c r="E366" s="7" t="n">
        <x:v>46303</x:v>
      </x:c>
      <x:c r="F366" s="8" t="n">
        <x:v>1400</x:v>
      </x:c>
      <x:c r="G366" s="8" t="n">
        <x:v>91.67</x:v>
      </x:c>
      <x:c r="H366" s="8" t="n">
        <x:v>4.56</x:v>
      </x:c>
      <x:c r="I366" s="8" t="n">
        <x:v>3.63</x:v>
      </x:c>
      <x:c r="J366" s="8" t="n">
        <x:v>100</x:v>
      </x:c>
      <x:c r="K366" s="8" t="n">
        <x:v>1.47</x:v>
      </x:c>
      <x:c r="L366" s="8" t="n">
        <x:v>1400</x:v>
      </x:c>
      <x:c r="M366" s="8" t="n">
        <x:v>0</x:v>
      </x:c>
      <x:c r="N366" s="8" t="n">
        <x:v>0</x:v>
      </x:c>
      <x:c r="O366" s="8" t="n">
        <x:v>1</x:v>
      </x:c>
      <x:c r="P366" s="8" t="n">
        <x:v>3.1</x:v>
      </x:c>
      <x:c r="Q366" s="9" t="n">
        <x:v>63.83999999999999</x:v>
      </x:c>
      <x:c r="R366" s="1" t="str">
        <x:v>Classified</x:v>
      </x:c>
      <x:c r="S366" s="1" t="str">
        <x:v>Plastic Product Information.csv</x:v>
      </x:c>
    </x:row>
    <x:row r="367" ht="21" customHeight="1">
      <x:c r="A367" s="1" t="str">
        <x:v>PLAS</x:v>
      </x:c>
      <x:c r="B367" s="1" t="str">
        <x:v>60</x:v>
      </x:c>
      <x:c r="C367" s="1" t="str">
        <x:v>13419RSLNAV</x:v>
      </x:c>
      <x:c r="D367" s="1" t="str">
        <x:v>GOLDEN CHAMPION IND. LIMITED</x:v>
      </x:c>
      <x:c r="E367" s="7" t="n">
        <x:v>46303</x:v>
      </x:c>
      <x:c r="F367" s="8" t="n">
        <x:v>450</x:v>
      </x:c>
      <x:c r="G367" s="8" t="n">
        <x:v>91.67</x:v>
      </x:c>
      <x:c r="H367" s="8" t="n">
        <x:v>14.57</x:v>
      </x:c>
      <x:c r="I367" s="8" t="n">
        <x:v>11.59</x:v>
      </x:c>
      <x:c r="J367" s="8" t="n">
        <x:v>100</x:v>
      </x:c>
      <x:c r="K367" s="8" t="n">
        <x:v>1.47</x:v>
      </x:c>
      <x:c r="L367" s="8" t="n">
        <x:v>0</x:v>
      </x:c>
      <x:c r="M367" s="8" t="n">
        <x:v>0</x:v>
      </x:c>
      <x:c r="N367" s="8" t="n">
        <x:v>450</x:v>
      </x:c>
      <x:c r="O367" s="8" t="n">
        <x:v>0</x:v>
      </x:c>
      <x:c r="P367" s="8" t="n">
        <x:v>9.91</x:v>
      </x:c>
      <x:c r="Q367" s="9" t="n">
        <x:v>65.565</x:v>
      </x:c>
      <x:c r="R367" s="1" t="str">
        <x:v>Review receipt reconciliation or original PO baseline</x:v>
      </x:c>
      <x:c r="S367" s="1" t="str">
        <x:v>Plastic Product Information.csv</x:v>
      </x:c>
    </x:row>
    <x:row r="368" ht="21" customHeight="1">
      <x:c r="A368" s="1" t="str">
        <x:v>PLAS</x:v>
      </x:c>
      <x:c r="B368" s="1" t="str">
        <x:v>10</x:v>
      </x:c>
      <x:c r="C368" s="1" t="str">
        <x:v>13415RSLRED</x:v>
      </x:c>
      <x:c r="D368" s="1" t="str">
        <x:v>GOLDEN CHAMPION IND. LIMITED</x:v>
      </x:c>
      <x:c r="E368" s="7" t="n">
        <x:v>46303</x:v>
      </x:c>
      <x:c r="F368" s="8" t="n">
        <x:v>2000</x:v>
      </x:c>
      <x:c r="G368" s="8" t="n">
        <x:v>85.67</x:v>
      </x:c>
      <x:c r="H368" s="8" t="n">
        <x:v>10.05</x:v>
      </x:c>
      <x:c r="I368" s="8" t="n">
        <x:v>8</x:v>
      </x:c>
      <x:c r="J368" s="8" t="n">
        <x:v>100</x:v>
      </x:c>
      <x:c r="K368" s="8" t="n">
        <x:v>1.47</x:v>
      </x:c>
      <x:c r="L368" s="8" t="n">
        <x:v>1000</x:v>
      </x:c>
      <x:c r="M368" s="8" t="n">
        <x:v>1000</x:v>
      </x:c>
      <x:c r="N368" s="8" t="n">
        <x:v>0</x:v>
      </x:c>
      <x:c r="O368" s="8" t="n">
        <x:v>1</x:v>
      </x:c>
      <x:c r="P368" s="8" t="n">
        <x:v>6.84</x:v>
      </x:c>
      <x:c r="Q368" s="9" t="n">
        <x:v>201</x:v>
      </x:c>
      <x:c r="R368" s="1" t="str">
        <x:v>Classified</x:v>
      </x:c>
      <x:c r="S368" s="1" t="str">
        <x:v>Plastic Product Information.csv</x:v>
      </x:c>
    </x:row>
    <x:row r="369" ht="21" customHeight="1">
      <x:c r="A369" s="1" t="str">
        <x:v>PLAS</x:v>
      </x:c>
      <x:c r="B369" s="1" t="str">
        <x:v>10</x:v>
      </x:c>
      <x:c r="C369" s="1" t="str">
        <x:v>91619RWBRED</x:v>
      </x:c>
      <x:c r="D369" s="1" t="str">
        <x:v>GOLDEN CHAMPION IND. LIMITED</x:v>
      </x:c>
      <x:c r="E369" s="7" t="n">
        <x:v>46303</x:v>
      </x:c>
      <x:c r="F369" s="8" t="n">
        <x:v>700</x:v>
      </x:c>
      <x:c r="G369" s="8" t="n">
        <x:v>83.34</x:v>
      </x:c>
      <x:c r="H369" s="8" t="n">
        <x:v>4.28</x:v>
      </x:c>
      <x:c r="I369" s="8" t="n">
        <x:v>3.4</x:v>
      </x:c>
      <x:c r="J369" s="8" t="n">
        <x:v>100</x:v>
      </x:c>
      <x:c r="K369" s="8" t="n">
        <x:v>1.47</x:v>
      </x:c>
      <x:c r="L369" s="8" t="n">
        <x:v>0</x:v>
      </x:c>
      <x:c r="M369" s="8" t="n">
        <x:v>0</x:v>
      </x:c>
      <x:c r="N369" s="8" t="n">
        <x:v>700</x:v>
      </x:c>
      <x:c r="O369" s="8" t="n">
        <x:v>0</x:v>
      </x:c>
      <x:c r="P369" s="8" t="n">
        <x:v>2.91</x:v>
      </x:c>
      <x:c r="Q369" s="9" t="n">
        <x:v>29.96</x:v>
      </x:c>
      <x:c r="R369" s="1" t="str">
        <x:v>Review receipt reconciliation or original PO baseline</x:v>
      </x:c>
      <x:c r="S369" s="1" t="str">
        <x:v>Plastic Product Information.csv</x:v>
      </x:c>
    </x:row>
    <x:row r="370" ht="21" customHeight="1">
      <x:c r="A370" s="1" t="str">
        <x:v>PLAS</x:v>
      </x:c>
      <x:c r="B370" s="1" t="str">
        <x:v>10</x:v>
      </x:c>
      <x:c r="C370" s="1" t="str">
        <x:v>01215RWBBRN</x:v>
      </x:c>
      <x:c r="D370" s="1" t="str">
        <x:v>GOLDEN CHAMPION IND. LIMITED</x:v>
      </x:c>
      <x:c r="E370" s="7" t="n">
        <x:v>46303</x:v>
      </x:c>
      <x:c r="F370" s="8" t="n">
        <x:v>3000</x:v>
      </x:c>
      <x:c r="G370" s="8" t="n">
        <x:v>83.33</x:v>
      </x:c>
      <x:c r="H370" s="8" t="n">
        <x:v>2.5</x:v>
      </x:c>
      <x:c r="I370" s="8" t="n">
        <x:v>1.99</x:v>
      </x:c>
      <x:c r="J370" s="8" t="n">
        <x:v>100</x:v>
      </x:c>
      <x:c r="K370" s="8" t="n">
        <x:v>1.47</x:v>
      </x:c>
      <x:c r="L370" s="8" t="n">
        <x:v>1000</x:v>
      </x:c>
      <x:c r="M370" s="8" t="n">
        <x:v>2000</x:v>
      </x:c>
      <x:c r="N370" s="8" t="n">
        <x:v>0</x:v>
      </x:c>
      <x:c r="O370" s="8" t="n">
        <x:v>1</x:v>
      </x:c>
      <x:c r="P370" s="8" t="n">
        <x:v>1.7</x:v>
      </x:c>
      <x:c r="Q370" s="9" t="n">
        <x:v>75</x:v>
      </x:c>
      <x:c r="R370" s="1" t="str">
        <x:v>Classified</x:v>
      </x:c>
      <x:c r="S370" s="1" t="str">
        <x:v>Plastic Product Information.csv</x:v>
      </x:c>
    </x:row>
    <x:row r="371" ht="21" customHeight="1">
      <x:c r="A371" s="1" t="str">
        <x:v>PLAS</x:v>
      </x:c>
      <x:c r="B371" s="1" t="str">
        <x:v>10</x:v>
      </x:c>
      <x:c r="C371" s="1" t="str">
        <x:v>03415RWBMAR</x:v>
      </x:c>
      <x:c r="D371" s="1" t="str">
        <x:v>GOLDEN CHAMPION IND. LIMITED</x:v>
      </x:c>
      <x:c r="E371" s="7" t="n">
        <x:v>46303</x:v>
      </x:c>
      <x:c r="F371" s="8" t="n">
        <x:v>3000</x:v>
      </x:c>
      <x:c r="G371" s="8" t="n">
        <x:v>83.33</x:v>
      </x:c>
      <x:c r="H371" s="8" t="n">
        <x:v>4.4</x:v>
      </x:c>
      <x:c r="I371" s="8" t="n">
        <x:v>3.5</x:v>
      </x:c>
      <x:c r="J371" s="8" t="n">
        <x:v>100</x:v>
      </x:c>
      <x:c r="K371" s="8" t="n">
        <x:v>1.47</x:v>
      </x:c>
      <x:c r="L371" s="8" t="n">
        <x:v>3000</x:v>
      </x:c>
      <x:c r="M371" s="8" t="n">
        <x:v>0</x:v>
      </x:c>
      <x:c r="N371" s="8" t="n">
        <x:v>0</x:v>
      </x:c>
      <x:c r="O371" s="8" t="n">
        <x:v>1</x:v>
      </x:c>
      <x:c r="P371" s="8" t="n">
        <x:v>2.99</x:v>
      </x:c>
      <x:c r="Q371" s="9" t="n">
        <x:v>132.00000000000003</x:v>
      </x:c>
      <x:c r="R371" s="1" t="str">
        <x:v>Classified</x:v>
      </x:c>
      <x:c r="S371" s="1" t="str">
        <x:v>Plastic Product Information.csv</x:v>
      </x:c>
    </x:row>
    <x:row r="372" ht="21" customHeight="1">
      <x:c r="A372" s="1" t="str">
        <x:v>PLAS</x:v>
      </x:c>
      <x:c r="B372" s="1" t="str">
        <x:v>10</x:v>
      </x:c>
      <x:c r="C372" s="1" t="str">
        <x:v>05815RWBRED</x:v>
      </x:c>
      <x:c r="D372" s="1" t="str">
        <x:v>GOLDEN CHAMPION IND. LIMITED</x:v>
      </x:c>
      <x:c r="E372" s="7" t="n">
        <x:v>46303</x:v>
      </x:c>
      <x:c r="F372" s="8" t="n">
        <x:v>5480</x:v>
      </x:c>
      <x:c r="G372" s="8" t="n">
        <x:v>83.33</x:v>
      </x:c>
      <x:c r="H372" s="8" t="n">
        <x:v>3.09</x:v>
      </x:c>
      <x:c r="I372" s="8" t="n">
        <x:v>2.46</x:v>
      </x:c>
      <x:c r="J372" s="8" t="n">
        <x:v>100</x:v>
      </x:c>
      <x:c r="K372" s="8" t="n">
        <x:v>1.47</x:v>
      </x:c>
      <x:c r="L372" s="8" t="n">
        <x:v>5480</x:v>
      </x:c>
      <x:c r="M372" s="8" t="n">
        <x:v>0</x:v>
      </x:c>
      <x:c r="N372" s="8" t="n">
        <x:v>0</x:v>
      </x:c>
      <x:c r="O372" s="8" t="n">
        <x:v>1</x:v>
      </x:c>
      <x:c r="P372" s="8" t="n">
        <x:v>2.1</x:v>
      </x:c>
      <x:c r="Q372" s="9" t="n">
        <x:v>169.33200000000002</x:v>
      </x:c>
      <x:c r="R372" s="1" t="str">
        <x:v>Classified</x:v>
      </x:c>
      <x:c r="S372" s="1" t="str">
        <x:v>Plastic Product Information.csv</x:v>
      </x:c>
    </x:row>
    <x:row r="373" ht="21" customHeight="1">
      <x:c r="A373" s="1" t="str">
        <x:v>PLAS</x:v>
      </x:c>
      <x:c r="B373" s="1" t="str">
        <x:v>10</x:v>
      </x:c>
      <x:c r="C373" s="1" t="str">
        <x:v>07815RWBMAR</x:v>
      </x:c>
      <x:c r="D373" s="1" t="str">
        <x:v>GOLDEN CHAMPION IND. LIMITED</x:v>
      </x:c>
      <x:c r="E373" s="7" t="n">
        <x:v>46303</x:v>
      </x:c>
      <x:c r="F373" s="8" t="n">
        <x:v>1500</x:v>
      </x:c>
      <x:c r="G373" s="8" t="n">
        <x:v>83.33</x:v>
      </x:c>
      <x:c r="H373" s="8" t="n">
        <x:v>4.76</x:v>
      </x:c>
      <x:c r="I373" s="8" t="n">
        <x:v>4.28</x:v>
      </x:c>
      <x:c r="J373" s="8" t="n">
        <x:v>100</x:v>
      </x:c>
      <x:c r="K373" s="8" t="n">
        <x:v>1.47</x:v>
      </x:c>
      <x:c r="L373" s="8" t="n">
        <x:v>1500</x:v>
      </x:c>
      <x:c r="M373" s="8" t="n">
        <x:v>0</x:v>
      </x:c>
      <x:c r="N373" s="8" t="n">
        <x:v>0</x:v>
      </x:c>
      <x:c r="O373" s="8" t="n">
        <x:v>1</x:v>
      </x:c>
      <x:c r="P373" s="8" t="n">
        <x:v>3.66</x:v>
      </x:c>
      <x:c r="Q373" s="9" t="n">
        <x:v>71.4</x:v>
      </x:c>
      <x:c r="R373" s="1" t="str">
        <x:v>Classified</x:v>
      </x:c>
      <x:c r="S373" s="1" t="str">
        <x:v>Plastic Product Information.csv</x:v>
      </x:c>
    </x:row>
    <x:row r="374" ht="21" customHeight="1">
      <x:c r="A374" s="1" t="str">
        <x:v>PLAS</x:v>
      </x:c>
      <x:c r="B374" s="1" t="str">
        <x:v>10</x:v>
      </x:c>
      <x:c r="C374" s="1" t="str">
        <x:v>11215ROVBLK</x:v>
      </x:c>
      <x:c r="D374" s="1" t="str">
        <x:v>GOLDEN CHAMPION IND. LIMITED</x:v>
      </x:c>
      <x:c r="E374" s="7" t="n">
        <x:v>46303</x:v>
      </x:c>
      <x:c r="F374" s="8" t="n">
        <x:v>4350</x:v>
      </x:c>
      <x:c r="G374" s="8" t="n">
        <x:v>83.33</x:v>
      </x:c>
      <x:c r="H374" s="8" t="n">
        <x:v>9.28</x:v>
      </x:c>
      <x:c r="I374" s="8" t="n">
        <x:v>7.38</x:v>
      </x:c>
      <x:c r="J374" s="8" t="n">
        <x:v>100</x:v>
      </x:c>
      <x:c r="K374" s="8" t="n">
        <x:v>1.47</x:v>
      </x:c>
      <x:c r="L374" s="8" t="n">
        <x:v>4350</x:v>
      </x:c>
      <x:c r="M374" s="8" t="n">
        <x:v>0</x:v>
      </x:c>
      <x:c r="N374" s="8" t="n">
        <x:v>0</x:v>
      </x:c>
      <x:c r="O374" s="8" t="n">
        <x:v>1</x:v>
      </x:c>
      <x:c r="P374" s="8" t="n">
        <x:v>6.31</x:v>
      </x:c>
      <x:c r="Q374" s="9" t="n">
        <x:v>403.68</x:v>
      </x:c>
      <x:c r="R374" s="1" t="str">
        <x:v>Classified</x:v>
      </x:c>
      <x:c r="S374" s="1" t="str">
        <x:v>Plastic Product Information.csv</x:v>
      </x:c>
    </x:row>
    <x:row r="375" ht="21" customHeight="1">
      <x:c r="A375" s="1" t="str">
        <x:v>PLAS</x:v>
      </x:c>
      <x:c r="B375" s="1" t="str">
        <x:v>10</x:v>
      </x:c>
      <x:c r="C375" s="1" t="str">
        <x:v>11215ROVBRN</x:v>
      </x:c>
      <x:c r="D375" s="1" t="str">
        <x:v>GOLDEN CHAMPION IND. LIMITED</x:v>
      </x:c>
      <x:c r="E375" s="7" t="n">
        <x:v>46303</x:v>
      </x:c>
      <x:c r="F375" s="8" t="n">
        <x:v>1500</x:v>
      </x:c>
      <x:c r="G375" s="8" t="n">
        <x:v>83.33</x:v>
      </x:c>
      <x:c r="H375" s="8" t="n">
        <x:v>9.28</x:v>
      </x:c>
      <x:c r="I375" s="8" t="n">
        <x:v>7.38</x:v>
      </x:c>
      <x:c r="J375" s="8" t="n">
        <x:v>100</x:v>
      </x:c>
      <x:c r="K375" s="8" t="n">
        <x:v>1.47</x:v>
      </x:c>
      <x:c r="L375" s="8" t="n">
        <x:v>500</x:v>
      </x:c>
      <x:c r="M375" s="8" t="n">
        <x:v>1000</x:v>
      </x:c>
      <x:c r="N375" s="8" t="n">
        <x:v>0</x:v>
      </x:c>
      <x:c r="O375" s="8" t="n">
        <x:v>1</x:v>
      </x:c>
      <x:c r="P375" s="8" t="n">
        <x:v>6.31</x:v>
      </x:c>
      <x:c r="Q375" s="9" t="n">
        <x:v>139.2</x:v>
      </x:c>
      <x:c r="R375" s="1" t="str">
        <x:v>Classified</x:v>
      </x:c>
      <x:c r="S375" s="1" t="str">
        <x:v>Plastic Product Information.csv</x:v>
      </x:c>
    </x:row>
    <x:row r="376" ht="21" customHeight="1">
      <x:c r="A376" s="1" t="str">
        <x:v>PLAS</x:v>
      </x:c>
      <x:c r="B376" s="1" t="str">
        <x:v>10</x:v>
      </x:c>
      <x:c r="C376" s="1" t="str">
        <x:v>11215ROVFG</x:v>
      </x:c>
      <x:c r="D376" s="1" t="str">
        <x:v>GOLDEN CHAMPION IND. LIMITED</x:v>
      </x:c>
      <x:c r="E376" s="7" t="n">
        <x:v>46303</x:v>
      </x:c>
      <x:c r="F376" s="8" t="n">
        <x:v>1400</x:v>
      </x:c>
      <x:c r="G376" s="8" t="n">
        <x:v>83.33</x:v>
      </x:c>
      <x:c r="H376" s="8" t="n">
        <x:v>9.28</x:v>
      </x:c>
      <x:c r="I376" s="8" t="n">
        <x:v>7.38</x:v>
      </x:c>
      <x:c r="J376" s="8" t="n">
        <x:v>100</x:v>
      </x:c>
      <x:c r="K376" s="8" t="n">
        <x:v>1.47</x:v>
      </x:c>
      <x:c r="L376" s="8" t="n">
        <x:v>0</x:v>
      </x:c>
      <x:c r="M376" s="8" t="n">
        <x:v>0</x:v>
      </x:c>
      <x:c r="N376" s="8" t="n">
        <x:v>1400</x:v>
      </x:c>
      <x:c r="O376" s="8" t="n">
        <x:v>0</x:v>
      </x:c>
      <x:c r="P376" s="8" t="n">
        <x:v>6.31</x:v>
      </x:c>
      <x:c r="Q376" s="9" t="n">
        <x:v>129.92000000000002</x:v>
      </x:c>
      <x:c r="R376" s="1" t="str">
        <x:v>Review receipt reconciliation or original PO baseline</x:v>
      </x:c>
      <x:c r="S376" s="1" t="str">
        <x:v>Plastic Product Information.csv</x:v>
      </x:c>
    </x:row>
    <x:row r="377" ht="21" customHeight="1">
      <x:c r="A377" s="1" t="str">
        <x:v>PLAS</x:v>
      </x:c>
      <x:c r="B377" s="1" t="str">
        <x:v>10</x:v>
      </x:c>
      <x:c r="C377" s="1" t="str">
        <x:v>11415ROVBLU</x:v>
      </x:c>
      <x:c r="D377" s="1" t="str">
        <x:v>GOLDEN CHAMPION IND. LIMITED</x:v>
      </x:c>
      <x:c r="E377" s="7" t="n">
        <x:v>46303</x:v>
      </x:c>
      <x:c r="F377" s="8" t="n">
        <x:v>1470</x:v>
      </x:c>
      <x:c r="G377" s="8" t="n">
        <x:v>83.33</x:v>
      </x:c>
      <x:c r="H377" s="8" t="n">
        <x:v>8.83</x:v>
      </x:c>
      <x:c r="I377" s="8" t="n">
        <x:v>7.03</x:v>
      </x:c>
      <x:c r="J377" s="8" t="n">
        <x:v>100</x:v>
      </x:c>
      <x:c r="K377" s="8" t="n">
        <x:v>1.47</x:v>
      </x:c>
      <x:c r="L377" s="8" t="n">
        <x:v>0</x:v>
      </x:c>
      <x:c r="M377" s="8" t="n">
        <x:v>0</x:v>
      </x:c>
      <x:c r="N377" s="8" t="n">
        <x:v>1470</x:v>
      </x:c>
      <x:c r="O377" s="8" t="n">
        <x:v>0</x:v>
      </x:c>
      <x:c r="P377" s="8" t="n">
        <x:v>6.01</x:v>
      </x:c>
      <x:c r="Q377" s="9" t="n">
        <x:v>129.80100000000002</x:v>
      </x:c>
      <x:c r="R377" s="1" t="str">
        <x:v>Review receipt reconciliation or original PO baseline</x:v>
      </x:c>
      <x:c r="S377" s="1" t="str">
        <x:v>Plastic Product Information.csv</x:v>
      </x:c>
    </x:row>
    <x:row r="378" ht="21" customHeight="1">
      <x:c r="A378" s="1" t="str">
        <x:v>PLAS</x:v>
      </x:c>
      <x:c r="B378" s="1" t="str">
        <x:v>10</x:v>
      </x:c>
      <x:c r="C378" s="1" t="str">
        <x:v>11415ROVFG</x:v>
      </x:c>
      <x:c r="D378" s="1" t="str">
        <x:v>GOLDEN CHAMPION IND. LIMITED</x:v>
      </x:c>
      <x:c r="E378" s="7" t="n">
        <x:v>46303</x:v>
      </x:c>
      <x:c r="F378" s="8" t="n">
        <x:v>2300</x:v>
      </x:c>
      <x:c r="G378" s="8" t="n">
        <x:v>83.33</x:v>
      </x:c>
      <x:c r="H378" s="8" t="n">
        <x:v>8.83</x:v>
      </x:c>
      <x:c r="I378" s="8" t="n">
        <x:v>7.03</x:v>
      </x:c>
      <x:c r="J378" s="8" t="n">
        <x:v>100</x:v>
      </x:c>
      <x:c r="K378" s="8" t="n">
        <x:v>1.47</x:v>
      </x:c>
      <x:c r="L378" s="8" t="n">
        <x:v>2300</x:v>
      </x:c>
      <x:c r="M378" s="8" t="n">
        <x:v>0</x:v>
      </x:c>
      <x:c r="N378" s="8" t="n">
        <x:v>0</x:v>
      </x:c>
      <x:c r="O378" s="8" t="n">
        <x:v>1</x:v>
      </x:c>
      <x:c r="P378" s="8" t="n">
        <x:v>6.01</x:v>
      </x:c>
      <x:c r="Q378" s="9" t="n">
        <x:v>203.09</x:v>
      </x:c>
      <x:c r="R378" s="1" t="str">
        <x:v>Classified</x:v>
      </x:c>
      <x:c r="S378" s="1" t="str">
        <x:v>Plastic Product Information.csv</x:v>
      </x:c>
    </x:row>
    <x:row r="379" ht="21" customHeight="1">
      <x:c r="A379" s="1" t="str">
        <x:v>PLAS</x:v>
      </x:c>
      <x:c r="B379" s="1" t="str">
        <x:v>10</x:v>
      </x:c>
      <x:c r="C379" s="1" t="str">
        <x:v>11419RSLFG</x:v>
      </x:c>
      <x:c r="D379" s="1" t="str">
        <x:v>GOLDEN CHAMPION IND. LIMITED</x:v>
      </x:c>
      <x:c r="E379" s="7" t="n">
        <x:v>46303</x:v>
      </x:c>
      <x:c r="F379" s="8" t="n">
        <x:v>0</x:v>
      </x:c>
      <x:c r="G379" s="8" t="n">
        <x:v>83.33</x:v>
      </x:c>
      <x:c r="H379" s="8" t="n">
        <x:v>11.1</x:v>
      </x:c>
      <x:c r="I379" s="8" t="n">
        <x:v>8.83</x:v>
      </x:c>
      <x:c r="J379" s="8" t="n">
        <x:v>100</x:v>
      </x:c>
      <x:c r="K379" s="8" t="n">
        <x:v>1.47</x:v>
      </x:c>
      <x:c r="L379" s="8" t="n">
        <x:v>0</x:v>
      </x:c>
      <x:c r="M379" s="8" t="n">
        <x:v>0</x:v>
      </x:c>
      <x:c r="N379" s="8" t="n">
        <x:v>0</x:v>
      </x:c>
      <x:c r="O379" s="8" t="n">
        <x:v>1</x:v>
      </x:c>
      <x:c r="P379" s="8" t="n">
        <x:v>7.55</x:v>
      </x:c>
      <x:c r="Q379" s="9" t="n">
        <x:v>0</x:v>
      </x:c>
      <x:c r="R379" s="1" t="str">
        <x:v>Classified</x:v>
      </x:c>
      <x:c r="S379" s="1" t="str">
        <x:v>Plastic Product Information.csv</x:v>
      </x:c>
    </x:row>
    <x:row r="380" ht="21" customHeight="1">
      <x:c r="A380" s="1" t="str">
        <x:v>PLAS</x:v>
      </x:c>
      <x:c r="B380" s="1" t="str">
        <x:v>10</x:v>
      </x:c>
      <x:c r="C380" s="1" t="str">
        <x:v>11815ROVFG</x:v>
      </x:c>
      <x:c r="D380" s="1" t="str">
        <x:v>GOLDEN CHAMPION IND. LIMITED</x:v>
      </x:c>
      <x:c r="E380" s="7" t="n">
        <x:v>46303</x:v>
      </x:c>
      <x:c r="F380" s="8" t="n">
        <x:v>2000</x:v>
      </x:c>
      <x:c r="G380" s="8" t="n">
        <x:v>83.33</x:v>
      </x:c>
      <x:c r="H380" s="8" t="n">
        <x:v>8.41</x:v>
      </x:c>
      <x:c r="I380" s="8" t="n">
        <x:v>6.69</x:v>
      </x:c>
      <x:c r="J380" s="8" t="n">
        <x:v>100</x:v>
      </x:c>
      <x:c r="K380" s="8" t="n">
        <x:v>1.47</x:v>
      </x:c>
      <x:c r="L380" s="8" t="n">
        <x:v>2000</x:v>
      </x:c>
      <x:c r="M380" s="8" t="n">
        <x:v>0</x:v>
      </x:c>
      <x:c r="N380" s="8" t="n">
        <x:v>0</x:v>
      </x:c>
      <x:c r="O380" s="8" t="n">
        <x:v>1</x:v>
      </x:c>
      <x:c r="P380" s="8" t="n">
        <x:v>5.72</x:v>
      </x:c>
      <x:c r="Q380" s="9" t="n">
        <x:v>168.20000000000002</x:v>
      </x:c>
      <x:c r="R380" s="1" t="str">
        <x:v>Classified</x:v>
      </x:c>
      <x:c r="S380" s="1" t="str">
        <x:v>Plastic Product Information.csv</x:v>
      </x:c>
    </x:row>
    <x:row r="381" ht="21" customHeight="1">
      <x:c r="A381" s="1" t="str">
        <x:v>PLAS</x:v>
      </x:c>
      <x:c r="B381" s="1" t="str">
        <x:v>10</x:v>
      </x:c>
      <x:c r="C381" s="1" t="str">
        <x:v>11815RWBBLU</x:v>
      </x:c>
      <x:c r="D381" s="1" t="str">
        <x:v>GOLDEN CHAMPION IND. LIMITED</x:v>
      </x:c>
      <x:c r="E381" s="7" t="n">
        <x:v>46303</x:v>
      </x:c>
      <x:c r="F381" s="8" t="n">
        <x:v>2000</x:v>
      </x:c>
      <x:c r="G381" s="8" t="n">
        <x:v>83.33</x:v>
      </x:c>
      <x:c r="H381" s="8" t="n">
        <x:v>8.82</x:v>
      </x:c>
      <x:c r="I381" s="8" t="n">
        <x:v>7.02</x:v>
      </x:c>
      <x:c r="J381" s="8" t="n">
        <x:v>100</x:v>
      </x:c>
      <x:c r="K381" s="8" t="n">
        <x:v>1.47</x:v>
      </x:c>
      <x:c r="L381" s="8" t="n">
        <x:v>0</x:v>
      </x:c>
      <x:c r="M381" s="8" t="n">
        <x:v>2000</x:v>
      </x:c>
      <x:c r="N381" s="8" t="n">
        <x:v>0</x:v>
      </x:c>
      <x:c r="O381" s="8" t="n">
        <x:v>1</x:v>
      </x:c>
      <x:c r="P381" s="8" t="n">
        <x:v>6</x:v>
      </x:c>
      <x:c r="Q381" s="9" t="n">
        <x:v>176.4</x:v>
      </x:c>
      <x:c r="R381" s="1" t="str">
        <x:v>Classified</x:v>
      </x:c>
      <x:c r="S381" s="1" t="str">
        <x:v>Plastic Product Information.csv</x:v>
      </x:c>
    </x:row>
    <x:row r="382" ht="21" customHeight="1">
      <x:c r="A382" s="1" t="str">
        <x:v>PLAS</x:v>
      </x:c>
      <x:c r="B382" s="1" t="str">
        <x:v>10</x:v>
      </x:c>
      <x:c r="C382" s="1" t="str">
        <x:v>11815RWBBRN</x:v>
      </x:c>
      <x:c r="D382" s="1" t="str">
        <x:v>GOLDEN CHAMPION IND. LIMITED</x:v>
      </x:c>
      <x:c r="E382" s="7" t="n">
        <x:v>46303</x:v>
      </x:c>
      <x:c r="F382" s="8" t="n">
        <x:v>2098</x:v>
      </x:c>
      <x:c r="G382" s="8" t="n">
        <x:v>83.33</x:v>
      </x:c>
      <x:c r="H382" s="8" t="n">
        <x:v>8.82</x:v>
      </x:c>
      <x:c r="I382" s="8" t="n">
        <x:v>7.02</x:v>
      </x:c>
      <x:c r="J382" s="8" t="n">
        <x:v>100</x:v>
      </x:c>
      <x:c r="K382" s="8" t="n">
        <x:v>1.47</x:v>
      </x:c>
      <x:c r="L382" s="8" t="n">
        <x:v>2098</x:v>
      </x:c>
      <x:c r="M382" s="8" t="n">
        <x:v>0</x:v>
      </x:c>
      <x:c r="N382" s="8" t="n">
        <x:v>0</x:v>
      </x:c>
      <x:c r="O382" s="8" t="n">
        <x:v>1</x:v>
      </x:c>
      <x:c r="P382" s="8" t="n">
        <x:v>6</x:v>
      </x:c>
      <x:c r="Q382" s="9" t="n">
        <x:v>185.0436</x:v>
      </x:c>
      <x:c r="R382" s="1" t="str">
        <x:v>Classified</x:v>
      </x:c>
      <x:c r="S382" s="1" t="str">
        <x:v>Plastic Product Information.csv</x:v>
      </x:c>
    </x:row>
    <x:row r="383" ht="21" customHeight="1">
      <x:c r="A383" s="1" t="str">
        <x:v>PLAS</x:v>
      </x:c>
      <x:c r="B383" s="1" t="str">
        <x:v>10</x:v>
      </x:c>
      <x:c r="C383" s="1" t="str">
        <x:v>11819RWBNAV</x:v>
      </x:c>
      <x:c r="D383" s="1" t="str">
        <x:v>GOLDEN CHAMPION IND. LIMITED</x:v>
      </x:c>
      <x:c r="E383" s="7" t="n">
        <x:v>46303</x:v>
      </x:c>
      <x:c r="F383" s="8" t="n">
        <x:v>250</x:v>
      </x:c>
      <x:c r="G383" s="8" t="n">
        <x:v>83.33</x:v>
      </x:c>
      <x:c r="H383" s="8" t="n">
        <x:v>13.23</x:v>
      </x:c>
      <x:c r="I383" s="8" t="n">
        <x:v>10.53</x:v>
      </x:c>
      <x:c r="J383" s="8" t="n">
        <x:v>100</x:v>
      </x:c>
      <x:c r="K383" s="8" t="n">
        <x:v>1.47</x:v>
      </x:c>
      <x:c r="L383" s="8" t="n">
        <x:v>0</x:v>
      </x:c>
      <x:c r="M383" s="8" t="n">
        <x:v>0</x:v>
      </x:c>
      <x:c r="N383" s="8" t="n">
        <x:v>250</x:v>
      </x:c>
      <x:c r="O383" s="8" t="n">
        <x:v>0</x:v>
      </x:c>
      <x:c r="P383" s="8" t="n">
        <x:v>9</x:v>
      </x:c>
      <x:c r="Q383" s="9" t="n">
        <x:v>33.075</x:v>
      </x:c>
      <x:c r="R383" s="1" t="str">
        <x:v>Review receipt reconciliation or original PO baseline</x:v>
      </x:c>
      <x:c r="S383" s="1" t="str">
        <x:v>Plastic Product Information.csv</x:v>
      </x:c>
    </x:row>
    <x:row r="384" ht="21" customHeight="1">
      <x:c r="A384" s="1" t="str">
        <x:v>PLAS</x:v>
      </x:c>
      <x:c r="B384" s="1" t="str">
        <x:v>30</x:v>
      </x:c>
      <x:c r="C384" s="1" t="str">
        <x:v>01219RWBMAR</x:v>
      </x:c>
      <x:c r="D384" s="1" t="str">
        <x:v>GOLDEN CHAMPION IND. LIMITED</x:v>
      </x:c>
      <x:c r="E384" s="7" t="n">
        <x:v>46303</x:v>
      </x:c>
      <x:c r="F384" s="8" t="n">
        <x:v>100</x:v>
      </x:c>
      <x:c r="G384" s="8" t="n">
        <x:v>83.33</x:v>
      </x:c>
      <x:c r="H384" s="8" t="n">
        <x:v>3.6</x:v>
      </x:c>
      <x:c r="I384" s="8" t="n">
        <x:v>2.87</x:v>
      </x:c>
      <x:c r="J384" s="8" t="n">
        <x:v>100</x:v>
      </x:c>
      <x:c r="K384" s="8" t="n">
        <x:v>1.47</x:v>
      </x:c>
      <x:c r="L384" s="8" t="n">
        <x:v>0</x:v>
      </x:c>
      <x:c r="M384" s="8" t="n">
        <x:v>0</x:v>
      </x:c>
      <x:c r="N384" s="8" t="n">
        <x:v>100</x:v>
      </x:c>
      <x:c r="O384" s="8" t="n">
        <x:v>0</x:v>
      </x:c>
      <x:c r="P384" s="8" t="n">
        <x:v>2.45</x:v>
      </x:c>
      <x:c r="Q384" s="9" t="n">
        <x:v>3.6</x:v>
      </x:c>
      <x:c r="R384" s="1" t="str">
        <x:v>Review receipt reconciliation or original PO baseline</x:v>
      </x:c>
      <x:c r="S384" s="1" t="str">
        <x:v>Plastic Product Information.csv</x:v>
      </x:c>
    </x:row>
    <x:row r="385" ht="21" customHeight="1">
      <x:c r="A385" s="1" t="str">
        <x:v>PLAS</x:v>
      </x:c>
      <x:c r="B385" s="1" t="str">
        <x:v>30</x:v>
      </x:c>
      <x:c r="C385" s="1" t="str">
        <x:v>03419RWBRED</x:v>
      </x:c>
      <x:c r="D385" s="1" t="str">
        <x:v>GOLDEN CHAMPION IND. LIMITED</x:v>
      </x:c>
      <x:c r="E385" s="7" t="n">
        <x:v>46303</x:v>
      </x:c>
      <x:c r="F385" s="8" t="n">
        <x:v>0</x:v>
      </x:c>
      <x:c r="G385" s="8" t="n">
        <x:v>83.33</x:v>
      </x:c>
      <x:c r="H385" s="8" t="n">
        <x:v>6.25</x:v>
      </x:c>
      <x:c r="I385" s="8" t="n">
        <x:v>4.97</x:v>
      </x:c>
      <x:c r="J385" s="8" t="n">
        <x:v>100</x:v>
      </x:c>
      <x:c r="K385" s="8" t="n">
        <x:v>1.47</x:v>
      </x:c>
      <x:c r="L385" s="8" t="n">
        <x:v>0</x:v>
      </x:c>
      <x:c r="M385" s="8" t="n">
        <x:v>0</x:v>
      </x:c>
      <x:c r="N385" s="8" t="n">
        <x:v>0</x:v>
      </x:c>
      <x:c r="O385" s="8" t="n">
        <x:v>1</x:v>
      </x:c>
      <x:c r="P385" s="8" t="n">
        <x:v>4.25</x:v>
      </x:c>
      <x:c r="Q385" s="9" t="n">
        <x:v>0</x:v>
      </x:c>
      <x:c r="R385" s="1" t="str">
        <x:v>Classified</x:v>
      </x:c>
      <x:c r="S385" s="1" t="str">
        <x:v>Plastic Product Information.csv</x:v>
      </x:c>
    </x:row>
    <x:row r="386" ht="21" customHeight="1">
      <x:c r="A386" s="1" t="str">
        <x:v>PLAS</x:v>
      </x:c>
      <x:c r="B386" s="1" t="str">
        <x:v>30</x:v>
      </x:c>
      <x:c r="C386" s="1" t="str">
        <x:v>05819RWBFG</x:v>
      </x:c>
      <x:c r="D386" s="1" t="str">
        <x:v>GOLDEN CHAMPION IND. LIMITED</x:v>
      </x:c>
      <x:c r="E386" s="7" t="n">
        <x:v>46303</x:v>
      </x:c>
      <x:c r="F386" s="8" t="n">
        <x:v>1500</x:v>
      </x:c>
      <x:c r="G386" s="8" t="n">
        <x:v>83.33</x:v>
      </x:c>
      <x:c r="H386" s="8" t="n">
        <x:v>4.56</x:v>
      </x:c>
      <x:c r="I386" s="8" t="n">
        <x:v>3.63</x:v>
      </x:c>
      <x:c r="J386" s="8" t="n">
        <x:v>100</x:v>
      </x:c>
      <x:c r="K386" s="8" t="n">
        <x:v>1.47</x:v>
      </x:c>
      <x:c r="L386" s="8" t="n">
        <x:v>0</x:v>
      </x:c>
      <x:c r="M386" s="8" t="n">
        <x:v>0</x:v>
      </x:c>
      <x:c r="N386" s="8" t="n">
        <x:v>1500</x:v>
      </x:c>
      <x:c r="O386" s="8" t="n">
        <x:v>0</x:v>
      </x:c>
      <x:c r="P386" s="8" t="n">
        <x:v>3.1</x:v>
      </x:c>
      <x:c r="Q386" s="9" t="n">
        <x:v>68.39999999999999</x:v>
      </x:c>
      <x:c r="R386" s="1" t="str">
        <x:v>Review receipt reconciliation or original PO baseline</x:v>
      </x:c>
      <x:c r="S386" s="1" t="str">
        <x:v>Plastic Product Information.csv</x:v>
      </x:c>
    </x:row>
    <x:row r="387" ht="21" customHeight="1">
      <x:c r="A387" s="1" t="str">
        <x:v>PLAS</x:v>
      </x:c>
      <x:c r="B387" s="1" t="str">
        <x:v>60</x:v>
      </x:c>
      <x:c r="C387" s="1" t="str">
        <x:v>00119RWBMAR</x:v>
      </x:c>
      <x:c r="D387" s="1" t="str">
        <x:v>GOLDEN CHAMPION IND. LIMITED</x:v>
      </x:c>
      <x:c r="E387" s="7" t="n">
        <x:v>46303</x:v>
      </x:c>
      <x:c r="F387" s="8" t="n">
        <x:v>600</x:v>
      </x:c>
      <x:c r="G387" s="8" t="n">
        <x:v>83.33</x:v>
      </x:c>
      <x:c r="H387" s="8" t="n">
        <x:v>10.54</x:v>
      </x:c>
      <x:c r="I387" s="8" t="n">
        <x:v>8.39</x:v>
      </x:c>
      <x:c r="J387" s="8" t="n">
        <x:v>100</x:v>
      </x:c>
      <x:c r="K387" s="8" t="n">
        <x:v>1.47</x:v>
      </x:c>
      <x:c r="L387" s="8" t="n">
        <x:v>0</x:v>
      </x:c>
      <x:c r="M387" s="8" t="n">
        <x:v>0</x:v>
      </x:c>
      <x:c r="N387" s="8" t="n">
        <x:v>600</x:v>
      </x:c>
      <x:c r="O387" s="8" t="n">
        <x:v>0</x:v>
      </x:c>
      <x:c r="P387" s="8" t="n">
        <x:v>7.17</x:v>
      </x:c>
      <x:c r="Q387" s="9" t="n">
        <x:v>63.239999999999995</x:v>
      </x:c>
      <x:c r="R387" s="1" t="str">
        <x:v>Review receipt reconciliation or original PO baseline</x:v>
      </x:c>
      <x:c r="S387" s="1" t="str">
        <x:v>Plastic Product Information.csv</x:v>
      </x:c>
    </x:row>
    <x:row r="388" ht="21" customHeight="1">
      <x:c r="A388" s="1" t="str">
        <x:v>PLAS</x:v>
      </x:c>
      <x:c r="B388" s="1" t="str">
        <x:v>60</x:v>
      </x:c>
      <x:c r="C388" s="1" t="str">
        <x:v>05819RWBCLR</x:v>
      </x:c>
      <x:c r="D388" s="1" t="str">
        <x:v>GOLDEN CHAMPION IND. LIMITED</x:v>
      </x:c>
      <x:c r="E388" s="7" t="n">
        <x:v>46303</x:v>
      </x:c>
      <x:c r="F388" s="8" t="n">
        <x:v>200</x:v>
      </x:c>
      <x:c r="G388" s="8" t="n">
        <x:v>83.33</x:v>
      </x:c>
      <x:c r="H388" s="8" t="n">
        <x:v>4.56</x:v>
      </x:c>
      <x:c r="I388" s="8" t="n">
        <x:v>3.63</x:v>
      </x:c>
      <x:c r="J388" s="8" t="n">
        <x:v>100</x:v>
      </x:c>
      <x:c r="K388" s="8" t="n">
        <x:v>1.47</x:v>
      </x:c>
      <x:c r="L388" s="8" t="n">
        <x:v>0</x:v>
      </x:c>
      <x:c r="M388" s="8" t="n">
        <x:v>0</x:v>
      </x:c>
      <x:c r="N388" s="8" t="n">
        <x:v>200</x:v>
      </x:c>
      <x:c r="O388" s="8" t="n">
        <x:v>0</x:v>
      </x:c>
      <x:c r="P388" s="8" t="n">
        <x:v>3.1</x:v>
      </x:c>
      <x:c r="Q388" s="9" t="n">
        <x:v>9.12</x:v>
      </x:c>
      <x:c r="R388" s="1" t="str">
        <x:v>Review receipt reconciliation or original PO baseline</x:v>
      </x:c>
      <x:c r="S388" s="1" t="str">
        <x:v>Plastic Product Information.csv</x:v>
      </x:c>
    </x:row>
    <x:row r="389" ht="21" customHeight="1">
      <x:c r="A389" s="1" t="str">
        <x:v>PLAS</x:v>
      </x:c>
      <x:c r="B389" s="1" t="str">
        <x:v>60</x:v>
      </x:c>
      <x:c r="C389" s="1" t="str">
        <x:v>11419RSLWHT</x:v>
      </x:c>
      <x:c r="D389" s="1" t="str">
        <x:v>GOLDEN CHAMPION IND. LIMITED</x:v>
      </x:c>
      <x:c r="E389" s="7" t="n">
        <x:v>46303</x:v>
      </x:c>
      <x:c r="F389" s="8" t="n">
        <x:v>700</x:v>
      </x:c>
      <x:c r="G389" s="8" t="n">
        <x:v>83.33</x:v>
      </x:c>
      <x:c r="H389" s="8" t="n">
        <x:v>11.1</x:v>
      </x:c>
      <x:c r="I389" s="8" t="n">
        <x:v>8.83</x:v>
      </x:c>
      <x:c r="J389" s="8" t="n">
        <x:v>100</x:v>
      </x:c>
      <x:c r="K389" s="8" t="n">
        <x:v>1.47</x:v>
      </x:c>
      <x:c r="L389" s="8" t="n">
        <x:v>0</x:v>
      </x:c>
      <x:c r="M389" s="8" t="n">
        <x:v>0</x:v>
      </x:c>
      <x:c r="N389" s="8" t="n">
        <x:v>700</x:v>
      </x:c>
      <x:c r="O389" s="8" t="n">
        <x:v>0</x:v>
      </x:c>
      <x:c r="P389" s="8" t="n">
        <x:v>7.55</x:v>
      </x:c>
      <x:c r="Q389" s="9" t="n">
        <x:v>77.7</x:v>
      </x:c>
      <x:c r="R389" s="1" t="str">
        <x:v>Review receipt reconciliation or original PO baseline</x:v>
      </x:c>
      <x:c r="S389" s="1" t="str">
        <x:v>Plastic Product Information.csv</x:v>
      </x:c>
    </x:row>
    <x:row r="390" ht="21" customHeight="1">
      <x:c r="A390" s="1" t="str">
        <x:v>PLAS</x:v>
      </x:c>
      <x:c r="B390" s="1" t="str">
        <x:v>60</x:v>
      </x:c>
      <x:c r="C390" s="1" t="str">
        <x:v>71619RWBCLR</x:v>
      </x:c>
      <x:c r="D390" s="1" t="str">
        <x:v>GOLDEN CHAMPION IND. LIMITED</x:v>
      </x:c>
      <x:c r="E390" s="7" t="n">
        <x:v>46303</x:v>
      </x:c>
      <x:c r="F390" s="8" t="n">
        <x:v>1000</x:v>
      </x:c>
      <x:c r="G390" s="8" t="n">
        <x:v>83.33</x:v>
      </x:c>
      <x:c r="H390" s="8" t="n">
        <x:v>3.15</x:v>
      </x:c>
      <x:c r="I390" s="8" t="n">
        <x:v>2.5</x:v>
      </x:c>
      <x:c r="J390" s="8" t="n">
        <x:v>100</x:v>
      </x:c>
      <x:c r="K390" s="8" t="n">
        <x:v>1.47</x:v>
      </x:c>
      <x:c r="L390" s="8" t="n">
        <x:v>0</x:v>
      </x:c>
      <x:c r="M390" s="8" t="n">
        <x:v>0</x:v>
      </x:c>
      <x:c r="N390" s="8" t="n">
        <x:v>1000</x:v>
      </x:c>
      <x:c r="O390" s="8" t="n">
        <x:v>0</x:v>
      </x:c>
      <x:c r="P390" s="8" t="n">
        <x:v>2.14</x:v>
      </x:c>
      <x:c r="Q390" s="9" t="n">
        <x:v>31.5</x:v>
      </x:c>
      <x:c r="R390" s="1" t="str">
        <x:v>Review receipt reconciliation or original PO baseline</x:v>
      </x:c>
      <x:c r="S390" s="1" t="str">
        <x:v>Plastic Product Information.csv</x:v>
      </x:c>
    </x:row>
    <x:row r="391" ht="21" customHeight="1">
      <x:c r="A391" s="1" t="str">
        <x:v>PLAS</x:v>
      </x:c>
      <x:c r="B391" s="1" t="str">
        <x:v>10</x:v>
      </x:c>
      <x:c r="C391" s="1" t="str">
        <x:v>11419RSLNAV</x:v>
      </x:c>
      <x:c r="D391" s="1" t="str">
        <x:v>GOLDEN CHAMPION IND. LIMITED</x:v>
      </x:c>
      <x:c r="E391" s="7" t="n">
        <x:v>46303</x:v>
      </x:c>
      <x:c r="F391" s="8" t="n">
        <x:v>350</x:v>
      </x:c>
      <x:c r="G391" s="8" t="n">
        <x:v>79.16</x:v>
      </x:c>
      <x:c r="H391" s="8" t="n">
        <x:v>11.1</x:v>
      </x:c>
      <x:c r="I391" s="8" t="n">
        <x:v>8.83</x:v>
      </x:c>
      <x:c r="J391" s="8" t="n">
        <x:v>100</x:v>
      </x:c>
      <x:c r="K391" s="8" t="n">
        <x:v>1.47</x:v>
      </x:c>
      <x:c r="L391" s="8" t="n">
        <x:v>0</x:v>
      </x:c>
      <x:c r="M391" s="8" t="n">
        <x:v>0</x:v>
      </x:c>
      <x:c r="N391" s="8" t="n">
        <x:v>350</x:v>
      </x:c>
      <x:c r="O391" s="8" t="n">
        <x:v>0</x:v>
      </x:c>
      <x:c r="P391" s="8" t="n">
        <x:v>7.55</x:v>
      </x:c>
      <x:c r="Q391" s="9" t="n">
        <x:v>38.85</x:v>
      </x:c>
      <x:c r="R391" s="1" t="str">
        <x:v>Review receipt reconciliation or original PO baseline</x:v>
      </x:c>
      <x:c r="S391" s="1" t="str">
        <x:v>Plastic Product Information.csv</x:v>
      </x:c>
    </x:row>
    <x:row r="392" ht="21" customHeight="1">
      <x:c r="A392" s="1" t="str">
        <x:v>PLAS</x:v>
      </x:c>
      <x:c r="B392" s="1" t="str">
        <x:v>10</x:v>
      </x:c>
      <x:c r="C392" s="1" t="str">
        <x:v>13415RSLFG</x:v>
      </x:c>
      <x:c r="D392" s="1" t="str">
        <x:v>GOLDEN CHAMPION IND. LIMITED</x:v>
      </x:c>
      <x:c r="E392" s="7" t="n">
        <x:v>46303</x:v>
      </x:c>
      <x:c r="F392" s="8" t="n">
        <x:v>0</x:v>
      </x:c>
      <x:c r="G392" s="8" t="n">
        <x:v>78.33</x:v>
      </x:c>
      <x:c r="H392" s="8" t="n">
        <x:v>8.1</x:v>
      </x:c>
      <x:c r="I392" s="8" t="n">
        <x:v>8</x:v>
      </x:c>
      <x:c r="J392" s="8" t="n">
        <x:v>100</x:v>
      </x:c>
      <x:c r="K392" s="8" t="n">
        <x:v>1.47</x:v>
      </x:c>
      <x:c r="L392" s="8" t="n">
        <x:v>0</x:v>
      </x:c>
      <x:c r="M392" s="8" t="n">
        <x:v>0</x:v>
      </x:c>
      <x:c r="N392" s="8" t="n">
        <x:v>0</x:v>
      </x:c>
      <x:c r="O392" s="8" t="n">
        <x:v>1</x:v>
      </x:c>
      <x:c r="P392" s="8" t="n">
        <x:v>6.84</x:v>
      </x:c>
      <x:c r="Q392" s="9" t="n">
        <x:v>0</x:v>
      </x:c>
      <x:c r="R392" s="1" t="str">
        <x:v>Classified</x:v>
      </x:c>
      <x:c r="S392" s="1" t="str">
        <x:v>Plastic Product Information.csv</x:v>
      </x:c>
    </x:row>
    <x:row r="393" ht="21" customHeight="1">
      <x:c r="A393" s="1" t="str">
        <x:v>PLAS</x:v>
      </x:c>
      <x:c r="B393" s="1" t="str">
        <x:v>10</x:v>
      </x:c>
      <x:c r="C393" s="1" t="str">
        <x:v>11215RSLCLR</x:v>
      </x:c>
      <x:c r="D393" s="1" t="str">
        <x:v>GOLDEN CHAMPION IND. LIMITED</x:v>
      </x:c>
      <x:c r="E393" s="7" t="n">
        <x:v>46303</x:v>
      </x:c>
      <x:c r="F393" s="8" t="n">
        <x:v>500</x:v>
      </x:c>
      <x:c r="G393" s="8" t="n">
        <x:v>77.17</x:v>
      </x:c>
      <x:c r="H393" s="8" t="n">
        <x:v>7.01</x:v>
      </x:c>
      <x:c r="I393" s="8" t="n">
        <x:v>7.06</x:v>
      </x:c>
      <x:c r="J393" s="8" t="n">
        <x:v>100</x:v>
      </x:c>
      <x:c r="K393" s="8" t="n">
        <x:v>1.47</x:v>
      </x:c>
      <x:c r="L393" s="8" t="n">
        <x:v>0</x:v>
      </x:c>
      <x:c r="M393" s="8" t="n">
        <x:v>500</x:v>
      </x:c>
      <x:c r="N393" s="8" t="n">
        <x:v>0</x:v>
      </x:c>
      <x:c r="O393" s="8" t="n">
        <x:v>1</x:v>
      </x:c>
      <x:c r="P393" s="8" t="n">
        <x:v>6.03</x:v>
      </x:c>
      <x:c r="Q393" s="9" t="n">
        <x:v>35.050000000000004</x:v>
      </x:c>
      <x:c r="R393" s="1" t="str">
        <x:v>Classified</x:v>
      </x:c>
      <x:c r="S393" s="1" t="str">
        <x:v>Plastic Product Information.csv</x:v>
      </x:c>
    </x:row>
    <x:row r="394" ht="21" customHeight="1">
      <x:c r="A394" s="1" t="str">
        <x:v>PLAS</x:v>
      </x:c>
      <x:c r="B394" s="1" t="str">
        <x:v>10</x:v>
      </x:c>
      <x:c r="C394" s="1" t="str">
        <x:v>11219RSLRED</x:v>
      </x:c>
      <x:c r="D394" s="1" t="str">
        <x:v>GOLDEN CHAMPION IND. LIMITED</x:v>
      </x:c>
      <x:c r="E394" s="7" t="n">
        <x:v>46303</x:v>
      </x:c>
      <x:c r="F394" s="8" t="n">
        <x:v>1000</x:v>
      </x:c>
      <x:c r="G394" s="8" t="n">
        <x:v>75</x:v>
      </x:c>
      <x:c r="H394" s="8" t="n">
        <x:v>12.98</x:v>
      </x:c>
      <x:c r="I394" s="8" t="n">
        <x:v>10.33</x:v>
      </x:c>
      <x:c r="J394" s="8" t="n">
        <x:v>100</x:v>
      </x:c>
      <x:c r="K394" s="8" t="n">
        <x:v>1.47</x:v>
      </x:c>
      <x:c r="L394" s="8" t="n">
        <x:v>0</x:v>
      </x:c>
      <x:c r="M394" s="8" t="n">
        <x:v>1000</x:v>
      </x:c>
      <x:c r="N394" s="8" t="n">
        <x:v>0</x:v>
      </x:c>
      <x:c r="O394" s="8" t="n">
        <x:v>1</x:v>
      </x:c>
      <x:c r="P394" s="8" t="n">
        <x:v>8.83</x:v>
      </x:c>
      <x:c r="Q394" s="9" t="n">
        <x:v>129.8</x:v>
      </x:c>
      <x:c r="R394" s="1" t="str">
        <x:v>Classified</x:v>
      </x:c>
      <x:c r="S394" s="1" t="str">
        <x:v>Plastic Product Information.csv</x:v>
      </x:c>
    </x:row>
    <x:row r="395" ht="21" customHeight="1">
      <x:c r="A395" s="1" t="str">
        <x:v>PLAS</x:v>
      </x:c>
      <x:c r="B395" s="1" t="str">
        <x:v>10</x:v>
      </x:c>
      <x:c r="C395" s="1" t="str">
        <x:v>00219RSLMAR</x:v>
      </x:c>
      <x:c r="D395" s="1" t="str">
        <x:v>GOLDEN CHAMPION IND. LIMITED</x:v>
      </x:c>
      <x:c r="E395" s="7" t="n">
        <x:v>46303</x:v>
      </x:c>
      <x:c r="F395" s="8" t="n">
        <x:v>280</x:v>
      </x:c>
      <x:c r="G395" s="8" t="n">
        <x:v>70</x:v>
      </x:c>
      <x:c r="H395" s="8" t="n">
        <x:v>14.77</x:v>
      </x:c>
      <x:c r="I395" s="8" t="n">
        <x:v>11.76</x:v>
      </x:c>
      <x:c r="J395" s="8" t="n">
        <x:v>100</x:v>
      </x:c>
      <x:c r="K395" s="8" t="n">
        <x:v>1.47</x:v>
      </x:c>
      <x:c r="L395" s="8" t="n">
        <x:v>280</x:v>
      </x:c>
      <x:c r="M395" s="8" t="n">
        <x:v>0</x:v>
      </x:c>
      <x:c r="N395" s="8" t="n">
        <x:v>0</x:v>
      </x:c>
      <x:c r="O395" s="8" t="n">
        <x:v>1</x:v>
      </x:c>
      <x:c r="P395" s="8" t="n">
        <x:v>10.05</x:v>
      </x:c>
      <x:c r="Q395" s="9" t="n">
        <x:v>41.355999999999995</x:v>
      </x:c>
      <x:c r="R395" s="1" t="str">
        <x:v>Classified</x:v>
      </x:c>
      <x:c r="S395" s="1" t="str">
        <x:v>Plastic Product Information.csv</x:v>
      </x:c>
    </x:row>
    <x:row r="396" ht="21" customHeight="1">
      <x:c r="A396" s="1" t="str">
        <x:v>PLAS</x:v>
      </x:c>
      <x:c r="B396" s="1" t="str">
        <x:v>30</x:v>
      </x:c>
      <x:c r="C396" s="1" t="str">
        <x:v>00219RSLWHT</x:v>
      </x:c>
      <x:c r="D396" s="1" t="str">
        <x:v>GOLDEN CHAMPION IND. LIMITED</x:v>
      </x:c>
      <x:c r="E396" s="7" t="n">
        <x:v>46303</x:v>
      </x:c>
      <x:c r="F396" s="8" t="n">
        <x:v>1000</x:v>
      </x:c>
      <x:c r="G396" s="8" t="n">
        <x:v>66.67</x:v>
      </x:c>
      <x:c r="H396" s="8" t="n">
        <x:v>14.77</x:v>
      </x:c>
      <x:c r="I396" s="8" t="n">
        <x:v>11.76</x:v>
      </x:c>
      <x:c r="J396" s="8" t="n">
        <x:v>100</x:v>
      </x:c>
      <x:c r="K396" s="8" t="n">
        <x:v>1.47</x:v>
      </x:c>
      <x:c r="L396" s="8" t="n">
        <x:v>0</x:v>
      </x:c>
      <x:c r="M396" s="8" t="n">
        <x:v>0</x:v>
      </x:c>
      <x:c r="N396" s="8" t="n">
        <x:v>1000</x:v>
      </x:c>
      <x:c r="O396" s="8" t="n">
        <x:v>0</x:v>
      </x:c>
      <x:c r="P396" s="8" t="n">
        <x:v>10.05</x:v>
      </x:c>
      <x:c r="Q396" s="9" t="n">
        <x:v>147.70000000000002</x:v>
      </x:c>
      <x:c r="R396" s="1" t="str">
        <x:v>Review receipt reconciliation or original PO baseline</x:v>
      </x:c>
      <x:c r="S396" s="1" t="str">
        <x:v>Plastic Product Information.csv</x:v>
      </x:c>
    </x:row>
    <x:row r="397" ht="21" customHeight="1">
      <x:c r="A397" s="1" t="str">
        <x:v>PLAS</x:v>
      </x:c>
      <x:c r="B397" s="1" t="str">
        <x:v>30</x:v>
      </x:c>
      <x:c r="C397" s="1" t="str">
        <x:v>01219RWBFG</x:v>
      </x:c>
      <x:c r="D397" s="1" t="str">
        <x:v>GOLDEN CHAMPION IND. LIMITED</x:v>
      </x:c>
      <x:c r="E397" s="7" t="n">
        <x:v>46303</x:v>
      </x:c>
      <x:c r="F397" s="8" t="n">
        <x:v>2100</x:v>
      </x:c>
      <x:c r="G397" s="8" t="n">
        <x:v>66.67</x:v>
      </x:c>
      <x:c r="H397" s="8" t="n">
        <x:v>3.6</x:v>
      </x:c>
      <x:c r="I397" s="8" t="n">
        <x:v>2.87</x:v>
      </x:c>
      <x:c r="J397" s="8" t="n">
        <x:v>100</x:v>
      </x:c>
      <x:c r="K397" s="8" t="n">
        <x:v>1.47</x:v>
      </x:c>
      <x:c r="L397" s="8" t="n">
        <x:v>0</x:v>
      </x:c>
      <x:c r="M397" s="8" t="n">
        <x:v>0</x:v>
      </x:c>
      <x:c r="N397" s="8" t="n">
        <x:v>2100</x:v>
      </x:c>
      <x:c r="O397" s="8" t="n">
        <x:v>0</x:v>
      </x:c>
      <x:c r="P397" s="8" t="n">
        <x:v>2.45</x:v>
      </x:c>
      <x:c r="Q397" s="9" t="n">
        <x:v>75.60000000000001</x:v>
      </x:c>
      <x:c r="R397" s="1" t="str">
        <x:v>Review receipt reconciliation or original PO baseline</x:v>
      </x:c>
      <x:c r="S397" s="1" t="str">
        <x:v>Plastic Product Information.csv</x:v>
      </x:c>
    </x:row>
    <x:row r="398" ht="21" customHeight="1">
      <x:c r="A398" s="1" t="str">
        <x:v>PLAS</x:v>
      </x:c>
      <x:c r="B398" s="1" t="str">
        <x:v>30</x:v>
      </x:c>
      <x:c r="C398" s="1" t="str">
        <x:v>71619RWBCLR</x:v>
      </x:c>
      <x:c r="D398" s="1" t="str">
        <x:v>GOLDEN CHAMPION IND. LIMITED</x:v>
      </x:c>
      <x:c r="E398" s="7" t="n">
        <x:v>46303</x:v>
      </x:c>
      <x:c r="F398" s="8" t="n">
        <x:v>900</x:v>
      </x:c>
      <x:c r="G398" s="8" t="n">
        <x:v>66.67</x:v>
      </x:c>
      <x:c r="H398" s="8" t="n">
        <x:v>3.15</x:v>
      </x:c>
      <x:c r="I398" s="8" t="n">
        <x:v>2.5</x:v>
      </x:c>
      <x:c r="J398" s="8" t="n">
        <x:v>100</x:v>
      </x:c>
      <x:c r="K398" s="8" t="n">
        <x:v>1.47</x:v>
      </x:c>
      <x:c r="L398" s="8" t="n">
        <x:v>0</x:v>
      </x:c>
      <x:c r="M398" s="8" t="n">
        <x:v>0</x:v>
      </x:c>
      <x:c r="N398" s="8" t="n">
        <x:v>900</x:v>
      </x:c>
      <x:c r="O398" s="8" t="n">
        <x:v>0</x:v>
      </x:c>
      <x:c r="P398" s="8" t="n">
        <x:v>2.14</x:v>
      </x:c>
      <x:c r="Q398" s="9" t="n">
        <x:v>28.35</x:v>
      </x:c>
      <x:c r="R398" s="1" t="str">
        <x:v>Review receipt reconciliation or original PO baseline</x:v>
      </x:c>
      <x:c r="S398" s="1" t="str">
        <x:v>Plastic Product Information.csv</x:v>
      </x:c>
    </x:row>
    <x:row r="399" ht="21" customHeight="1">
      <x:c r="A399" s="1" t="str">
        <x:v>PLAS</x:v>
      </x:c>
      <x:c r="B399" s="1" t="str">
        <x:v>30</x:v>
      </x:c>
      <x:c r="C399" s="1" t="str">
        <x:v>91619RWBWHT</x:v>
      </x:c>
      <x:c r="D399" s="1" t="str">
        <x:v>GOLDEN CHAMPION IND. LIMITED</x:v>
      </x:c>
      <x:c r="E399" s="7" t="n">
        <x:v>46303</x:v>
      </x:c>
      <x:c r="F399" s="8" t="n">
        <x:v>1000</x:v>
      </x:c>
      <x:c r="G399" s="8" t="n">
        <x:v>66.67</x:v>
      </x:c>
      <x:c r="H399" s="8" t="n">
        <x:v>4.28</x:v>
      </x:c>
      <x:c r="I399" s="8" t="n">
        <x:v>3.4</x:v>
      </x:c>
      <x:c r="J399" s="8" t="n">
        <x:v>100</x:v>
      </x:c>
      <x:c r="K399" s="8" t="n">
        <x:v>1.47</x:v>
      </x:c>
      <x:c r="L399" s="8" t="n">
        <x:v>0</x:v>
      </x:c>
      <x:c r="M399" s="8" t="n">
        <x:v>0</x:v>
      </x:c>
      <x:c r="N399" s="8" t="n">
        <x:v>1000</x:v>
      </x:c>
      <x:c r="O399" s="8" t="n">
        <x:v>0</x:v>
      </x:c>
      <x:c r="P399" s="8" t="n">
        <x:v>2.91</x:v>
      </x:c>
      <x:c r="Q399" s="9" t="n">
        <x:v>42.800000000000004</x:v>
      </x:c>
      <x:c r="R399" s="1" t="str">
        <x:v>Review receipt reconciliation or original PO baseline</x:v>
      </x:c>
      <x:c r="S399" s="1" t="str">
        <x:v>Plastic Product Information.csv</x:v>
      </x:c>
    </x:row>
    <x:row r="400" ht="21" customHeight="1">
      <x:c r="A400" s="1" t="str">
        <x:v>PLAS</x:v>
      </x:c>
      <x:c r="B400" s="1" t="str">
        <x:v>60</x:v>
      </x:c>
      <x:c r="C400" s="1" t="str">
        <x:v>00219RSLNAV</x:v>
      </x:c>
      <x:c r="D400" s="1" t="str">
        <x:v>GOLDEN CHAMPION IND. LIMITED</x:v>
      </x:c>
      <x:c r="E400" s="7" t="n">
        <x:v>46303</x:v>
      </x:c>
      <x:c r="F400" s="8" t="n">
        <x:v>680</x:v>
      </x:c>
      <x:c r="G400" s="8" t="n">
        <x:v>66.67</x:v>
      </x:c>
      <x:c r="H400" s="8" t="n">
        <x:v>14.77</x:v>
      </x:c>
      <x:c r="I400" s="8" t="n">
        <x:v>11.76</x:v>
      </x:c>
      <x:c r="J400" s="8" t="n">
        <x:v>100</x:v>
      </x:c>
      <x:c r="K400" s="8" t="n">
        <x:v>1.47</x:v>
      </x:c>
      <x:c r="L400" s="8" t="n">
        <x:v>0</x:v>
      </x:c>
      <x:c r="M400" s="8" t="n">
        <x:v>0</x:v>
      </x:c>
      <x:c r="N400" s="8" t="n">
        <x:v>680</x:v>
      </x:c>
      <x:c r="O400" s="8" t="n">
        <x:v>0</x:v>
      </x:c>
      <x:c r="P400" s="8" t="n">
        <x:v>10.05</x:v>
      </x:c>
      <x:c r="Q400" s="9" t="n">
        <x:v>100.436</x:v>
      </x:c>
      <x:c r="R400" s="1" t="str">
        <x:v>Review receipt reconciliation or original PO baseline</x:v>
      </x:c>
      <x:c r="S400" s="1" t="str">
        <x:v>Plastic Product Information.csv</x:v>
      </x:c>
    </x:row>
    <x:row r="401" ht="21" customHeight="1">
      <x:c r="A401" s="1" t="str">
        <x:v>PLAS</x:v>
      </x:c>
      <x:c r="B401" s="1" t="str">
        <x:v>60</x:v>
      </x:c>
      <x:c r="C401" s="1" t="str">
        <x:v>01219RWBCLR</x:v>
      </x:c>
      <x:c r="D401" s="1" t="str">
        <x:v>GOLDEN CHAMPION IND. LIMITED</x:v>
      </x:c>
      <x:c r="E401" s="7" t="n">
        <x:v>46303</x:v>
      </x:c>
      <x:c r="F401" s="8" t="n">
        <x:v>1700</x:v>
      </x:c>
      <x:c r="G401" s="8" t="n">
        <x:v>66.67</x:v>
      </x:c>
      <x:c r="H401" s="8" t="n">
        <x:v>3.6</x:v>
      </x:c>
      <x:c r="I401" s="8" t="n">
        <x:v>2.87</x:v>
      </x:c>
      <x:c r="J401" s="8" t="n">
        <x:v>100</x:v>
      </x:c>
      <x:c r="K401" s="8" t="n">
        <x:v>1.47</x:v>
      </x:c>
      <x:c r="L401" s="8" t="n">
        <x:v>0</x:v>
      </x:c>
      <x:c r="M401" s="8" t="n">
        <x:v>0</x:v>
      </x:c>
      <x:c r="N401" s="8" t="n">
        <x:v>1700</x:v>
      </x:c>
      <x:c r="O401" s="8" t="n">
        <x:v>0</x:v>
      </x:c>
      <x:c r="P401" s="8" t="n">
        <x:v>2.45</x:v>
      </x:c>
      <x:c r="Q401" s="9" t="n">
        <x:v>61.2</x:v>
      </x:c>
      <x:c r="R401" s="1" t="str">
        <x:v>Review receipt reconciliation or original PO baseline</x:v>
      </x:c>
      <x:c r="S401" s="1" t="str">
        <x:v>Plastic Product Information.csv</x:v>
      </x:c>
    </x:row>
    <x:row r="402" ht="21" customHeight="1">
      <x:c r="A402" s="1" t="str">
        <x:v>PLAS</x:v>
      </x:c>
      <x:c r="B402" s="1" t="str">
        <x:v>60</x:v>
      </x:c>
      <x:c r="C402" s="1" t="str">
        <x:v>91619RWBWHT</x:v>
      </x:c>
      <x:c r="D402" s="1" t="str">
        <x:v>GOLDEN CHAMPION IND. LIMITED</x:v>
      </x:c>
      <x:c r="E402" s="7" t="n">
        <x:v>46303</x:v>
      </x:c>
      <x:c r="F402" s="8" t="n">
        <x:v>1300</x:v>
      </x:c>
      <x:c r="G402" s="8" t="n">
        <x:v>66.67</x:v>
      </x:c>
      <x:c r="H402" s="8" t="n">
        <x:v>4.28</x:v>
      </x:c>
      <x:c r="I402" s="8" t="n">
        <x:v>3.4</x:v>
      </x:c>
      <x:c r="J402" s="8" t="n">
        <x:v>100</x:v>
      </x:c>
      <x:c r="K402" s="8" t="n">
        <x:v>1.47</x:v>
      </x:c>
      <x:c r="L402" s="8" t="n">
        <x:v>0</x:v>
      </x:c>
      <x:c r="M402" s="8" t="n">
        <x:v>0</x:v>
      </x:c>
      <x:c r="N402" s="8" t="n">
        <x:v>1300</x:v>
      </x:c>
      <x:c r="O402" s="8" t="n">
        <x:v>0</x:v>
      </x:c>
      <x:c r="P402" s="8" t="n">
        <x:v>2.91</x:v>
      </x:c>
      <x:c r="Q402" s="9" t="n">
        <x:v>55.64</x:v>
      </x:c>
      <x:c r="R402" s="1" t="str">
        <x:v>Review receipt reconciliation or original PO baseline</x:v>
      </x:c>
      <x:c r="S402" s="1" t="str">
        <x:v>Plastic Product Information.csv</x:v>
      </x:c>
    </x:row>
    <x:row r="403" ht="21" customHeight="1">
      <x:c r="A403" s="1" t="str">
        <x:v>PLAS</x:v>
      </x:c>
      <x:c r="B403" s="1" t="str">
        <x:v>60</x:v>
      </x:c>
      <x:c r="C403" s="1" t="str">
        <x:v>00219RSLMAR</x:v>
      </x:c>
      <x:c r="D403" s="1" t="str">
        <x:v>GOLDEN CHAMPION IND. LIMITED</x:v>
      </x:c>
      <x:c r="E403" s="7" t="n">
        <x:v>46303</x:v>
      </x:c>
      <x:c r="F403" s="8" t="n">
        <x:v>560</x:v>
      </x:c>
      <x:c r="G403" s="8" t="n">
        <x:v>53.33</x:v>
      </x:c>
      <x:c r="H403" s="8" t="n">
        <x:v>14.77</x:v>
      </x:c>
      <x:c r="I403" s="8" t="n">
        <x:v>11.76</x:v>
      </x:c>
      <x:c r="J403" s="8" t="n">
        <x:v>100</x:v>
      </x:c>
      <x:c r="K403" s="8" t="n">
        <x:v>1.47</x:v>
      </x:c>
      <x:c r="L403" s="8" t="n">
        <x:v>0</x:v>
      </x:c>
      <x:c r="M403" s="8" t="n">
        <x:v>0</x:v>
      </x:c>
      <x:c r="N403" s="8" t="n">
        <x:v>560</x:v>
      </x:c>
      <x:c r="O403" s="8" t="n">
        <x:v>0</x:v>
      </x:c>
      <x:c r="P403" s="8" t="n">
        <x:v>10.05</x:v>
      </x:c>
      <x:c r="Q403" s="9" t="n">
        <x:v>82.71199999999999</x:v>
      </x:c>
      <x:c r="R403" s="1" t="str">
        <x:v>Review receipt reconciliation or original PO baseline</x:v>
      </x:c>
      <x:c r="S403" s="1" t="str">
        <x:v>Plastic Product Information.csv</x:v>
      </x:c>
    </x:row>
    <x:row r="404" ht="21" customHeight="1">
      <x:c r="A404" s="1" t="str">
        <x:v>PLAS</x:v>
      </x:c>
      <x:c r="B404" s="1" t="str">
        <x:v>10</x:v>
      </x:c>
      <x:c r="C404" s="1" t="str">
        <x:v>07819RWBRED</x:v>
      </x:c>
      <x:c r="D404" s="1" t="str">
        <x:v>GOLDEN CHAMPION IND. LIMITED</x:v>
      </x:c>
      <x:c r="E404" s="7" t="n">
        <x:v>46303</x:v>
      </x:c>
      <x:c r="F404" s="8" t="n">
        <x:v>1100</x:v>
      </x:c>
      <x:c r="G404" s="8" t="n">
        <x:v>50</x:v>
      </x:c>
      <x:c r="H404" s="8" t="n">
        <x:v>7.97</x:v>
      </x:c>
      <x:c r="I404" s="8" t="n">
        <x:v>6.34</x:v>
      </x:c>
      <x:c r="J404" s="8" t="n">
        <x:v>100</x:v>
      </x:c>
      <x:c r="K404" s="8" t="n">
        <x:v>1.47</x:v>
      </x:c>
      <x:c r="L404" s="8" t="n">
        <x:v>0</x:v>
      </x:c>
      <x:c r="M404" s="8" t="n">
        <x:v>0</x:v>
      </x:c>
      <x:c r="N404" s="8" t="n">
        <x:v>1100</x:v>
      </x:c>
      <x:c r="O404" s="8" t="n">
        <x:v>0</x:v>
      </x:c>
      <x:c r="P404" s="8" t="n">
        <x:v>5.42</x:v>
      </x:c>
      <x:c r="Q404" s="9" t="n">
        <x:v>87.67</x:v>
      </x:c>
      <x:c r="R404" s="1" t="str">
        <x:v>Review receipt reconciliation or original PO baseline</x:v>
      </x:c>
      <x:c r="S404" s="1" t="str">
        <x:v>Plastic Product Information.csv</x:v>
      </x:c>
    </x:row>
    <x:row r="405" ht="21" customHeight="1">
      <x:c r="A405" s="1" t="str">
        <x:v>PLAS</x:v>
      </x:c>
      <x:c r="B405" s="1" t="str">
        <x:v>10</x:v>
      </x:c>
      <x:c r="C405" s="1" t="str">
        <x:v>13419RSLFG</x:v>
      </x:c>
      <x:c r="D405" s="1" t="str">
        <x:v>GOLDEN CHAMPION IND. LIMITED</x:v>
      </x:c>
      <x:c r="E405" s="7" t="n">
        <x:v>46303</x:v>
      </x:c>
      <x:c r="F405" s="8" t="n">
        <x:v>1400</x:v>
      </x:c>
      <x:c r="G405" s="8" t="n">
        <x:v>50</x:v>
      </x:c>
      <x:c r="H405" s="8" t="n">
        <x:v>14.57</x:v>
      </x:c>
      <x:c r="I405" s="8" t="n">
        <x:v>11.59</x:v>
      </x:c>
      <x:c r="J405" s="8" t="n">
        <x:v>100</x:v>
      </x:c>
      <x:c r="K405" s="8" t="n">
        <x:v>1.47</x:v>
      </x:c>
      <x:c r="L405" s="8" t="n">
        <x:v>0</x:v>
      </x:c>
      <x:c r="M405" s="8" t="n">
        <x:v>0</x:v>
      </x:c>
      <x:c r="N405" s="8" t="n">
        <x:v>1400</x:v>
      </x:c>
      <x:c r="O405" s="8" t="n">
        <x:v>0</x:v>
      </x:c>
      <x:c r="P405" s="8" t="n">
        <x:v>9.91</x:v>
      </x:c>
      <x:c r="Q405" s="9" t="n">
        <x:v>203.98000000000002</x:v>
      </x:c>
      <x:c r="R405" s="1" t="str">
        <x:v>Review receipt reconciliation or original PO baseline</x:v>
      </x:c>
      <x:c r="S405" s="1" t="str">
        <x:v>Plastic Product Information.csv</x:v>
      </x:c>
    </x:row>
    <x:row r="406" ht="21" customHeight="1">
      <x:c r="A406" s="1" t="str">
        <x:v>PLAS</x:v>
      </x:c>
      <x:c r="B406" s="1" t="str">
        <x:v>30</x:v>
      </x:c>
      <x:c r="C406" s="1" t="str">
        <x:v>03419RWBFG</x:v>
      </x:c>
      <x:c r="D406" s="1" t="str">
        <x:v>GOLDEN CHAMPION IND. LIMITED</x:v>
      </x:c>
      <x:c r="E406" s="7" t="n">
        <x:v>46303</x:v>
      </x:c>
      <x:c r="F406" s="8" t="n">
        <x:v>1200</x:v>
      </x:c>
      <x:c r="G406" s="8" t="n">
        <x:v>50</x:v>
      </x:c>
      <x:c r="H406" s="8" t="n">
        <x:v>6.25</x:v>
      </x:c>
      <x:c r="I406" s="8" t="n">
        <x:v>4.97</x:v>
      </x:c>
      <x:c r="J406" s="8" t="n">
        <x:v>100</x:v>
      </x:c>
      <x:c r="K406" s="8" t="n">
        <x:v>1.47</x:v>
      </x:c>
      <x:c r="L406" s="8" t="n">
        <x:v>0</x:v>
      </x:c>
      <x:c r="M406" s="8" t="n">
        <x:v>0</x:v>
      </x:c>
      <x:c r="N406" s="8" t="n">
        <x:v>1200</x:v>
      </x:c>
      <x:c r="O406" s="8" t="n">
        <x:v>0</x:v>
      </x:c>
      <x:c r="P406" s="8" t="n">
        <x:v>4.25</x:v>
      </x:c>
      <x:c r="Q406" s="9" t="n">
        <x:v>75</x:v>
      </x:c>
      <x:c r="R406" s="1" t="str">
        <x:v>Review receipt reconciliation or original PO baseline</x:v>
      </x:c>
      <x:c r="S406" s="1" t="str">
        <x:v>Plastic Product Information.csv</x:v>
      </x:c>
    </x:row>
    <x:row r="407" ht="21" customHeight="1">
      <x:c r="A407" s="1" t="str">
        <x:v>PLAS</x:v>
      </x:c>
      <x:c r="B407" s="1" t="str">
        <x:v>30</x:v>
      </x:c>
      <x:c r="C407" s="1" t="str">
        <x:v>03419RWBMAR</x:v>
      </x:c>
      <x:c r="D407" s="1" t="str">
        <x:v>GOLDEN CHAMPION IND. LIMITED</x:v>
      </x:c>
      <x:c r="E407" s="7" t="n">
        <x:v>46303</x:v>
      </x:c>
      <x:c r="F407" s="8" t="n">
        <x:v>200</x:v>
      </x:c>
      <x:c r="G407" s="8" t="n">
        <x:v>50</x:v>
      </x:c>
      <x:c r="H407" s="8" t="n">
        <x:v>6.25</x:v>
      </x:c>
      <x:c r="I407" s="8" t="n">
        <x:v>4.97</x:v>
      </x:c>
      <x:c r="J407" s="8" t="n">
        <x:v>100</x:v>
      </x:c>
      <x:c r="K407" s="8" t="n">
        <x:v>1.47</x:v>
      </x:c>
      <x:c r="L407" s="8" t="n">
        <x:v>0</x:v>
      </x:c>
      <x:c r="M407" s="8" t="n">
        <x:v>0</x:v>
      </x:c>
      <x:c r="N407" s="8" t="n">
        <x:v>200</x:v>
      </x:c>
      <x:c r="O407" s="8" t="n">
        <x:v>0</x:v>
      </x:c>
      <x:c r="P407" s="8" t="n">
        <x:v>4.25</x:v>
      </x:c>
      <x:c r="Q407" s="9" t="n">
        <x:v>12.5</x:v>
      </x:c>
      <x:c r="R407" s="1" t="str">
        <x:v>Review receipt reconciliation or original PO baseline</x:v>
      </x:c>
      <x:c r="S407" s="1" t="str">
        <x:v>Plastic Product Information.csv</x:v>
      </x:c>
    </x:row>
    <x:row r="408" ht="21" customHeight="1">
      <x:c r="A408" s="1" t="str">
        <x:v>PLAS</x:v>
      </x:c>
      <x:c r="B408" s="1" t="str">
        <x:v>30</x:v>
      </x:c>
      <x:c r="C408" s="1" t="str">
        <x:v>07819RWBBLU</x:v>
      </x:c>
      <x:c r="D408" s="1" t="str">
        <x:v>GOLDEN CHAMPION IND. LIMITED</x:v>
      </x:c>
      <x:c r="E408" s="7" t="n">
        <x:v>46303</x:v>
      </x:c>
      <x:c r="F408" s="8" t="n">
        <x:v>200</x:v>
      </x:c>
      <x:c r="G408" s="8" t="n">
        <x:v>50</x:v>
      </x:c>
      <x:c r="H408" s="8" t="n">
        <x:v>7.97</x:v>
      </x:c>
      <x:c r="I408" s="8" t="n">
        <x:v>6.34</x:v>
      </x:c>
      <x:c r="J408" s="8" t="n">
        <x:v>100</x:v>
      </x:c>
      <x:c r="K408" s="8" t="n">
        <x:v>1.47</x:v>
      </x:c>
      <x:c r="L408" s="8" t="n">
        <x:v>0</x:v>
      </x:c>
      <x:c r="M408" s="8" t="n">
        <x:v>0</x:v>
      </x:c>
      <x:c r="N408" s="8" t="n">
        <x:v>200</x:v>
      </x:c>
      <x:c r="O408" s="8" t="n">
        <x:v>0</x:v>
      </x:c>
      <x:c r="P408" s="8" t="n">
        <x:v>5.42</x:v>
      </x:c>
      <x:c r="Q408" s="9" t="n">
        <x:v>15.94</x:v>
      </x:c>
      <x:c r="R408" s="1" t="str">
        <x:v>Review receipt reconciliation or original PO baseline</x:v>
      </x:c>
      <x:c r="S408" s="1" t="str">
        <x:v>Plastic Product Information.csv</x:v>
      </x:c>
    </x:row>
    <x:row r="409" ht="21" customHeight="1">
      <x:c r="A409" s="1" t="str">
        <x:v>PLAS</x:v>
      </x:c>
      <x:c r="B409" s="1" t="str">
        <x:v>30</x:v>
      </x:c>
      <x:c r="C409" s="1" t="str">
        <x:v>07819RWBMAR</x:v>
      </x:c>
      <x:c r="D409" s="1" t="str">
        <x:v>GOLDEN CHAMPION IND. LIMITED</x:v>
      </x:c>
      <x:c r="E409" s="7" t="n">
        <x:v>46303</x:v>
      </x:c>
      <x:c r="F409" s="8" t="n">
        <x:v>600</x:v>
      </x:c>
      <x:c r="G409" s="8" t="n">
        <x:v>50</x:v>
      </x:c>
      <x:c r="H409" s="8" t="n">
        <x:v>7.97</x:v>
      </x:c>
      <x:c r="I409" s="8" t="n">
        <x:v>6.34</x:v>
      </x:c>
      <x:c r="J409" s="8" t="n">
        <x:v>100</x:v>
      </x:c>
      <x:c r="K409" s="8" t="n">
        <x:v>1.47</x:v>
      </x:c>
      <x:c r="L409" s="8" t="n">
        <x:v>0</x:v>
      </x:c>
      <x:c r="M409" s="8" t="n">
        <x:v>0</x:v>
      </x:c>
      <x:c r="N409" s="8" t="n">
        <x:v>600</x:v>
      </x:c>
      <x:c r="O409" s="8" t="n">
        <x:v>0</x:v>
      </x:c>
      <x:c r="P409" s="8" t="n">
        <x:v>5.42</x:v>
      </x:c>
      <x:c r="Q409" s="9" t="n">
        <x:v>47.82</x:v>
      </x:c>
      <x:c r="R409" s="1" t="str">
        <x:v>Review receipt reconciliation or original PO baseline</x:v>
      </x:c>
      <x:c r="S409" s="1" t="str">
        <x:v>Plastic Product Information.csv</x:v>
      </x:c>
    </x:row>
    <x:row r="410" ht="21" customHeight="1">
      <x:c r="A410" s="1" t="str">
        <x:v>PLAS</x:v>
      </x:c>
      <x:c r="B410" s="1" t="str">
        <x:v>30</x:v>
      </x:c>
      <x:c r="C410" s="1" t="str">
        <x:v>51619RWBWHT</x:v>
      </x:c>
      <x:c r="D410" s="1" t="str">
        <x:v>GOLDEN CHAMPION IND. LIMITED</x:v>
      </x:c>
      <x:c r="E410" s="7" t="n">
        <x:v>46303</x:v>
      </x:c>
      <x:c r="F410" s="8" t="n">
        <x:v>1900</x:v>
      </x:c>
      <x:c r="G410" s="8" t="n">
        <x:v>50</x:v>
      </x:c>
      <x:c r="H410" s="8" t="n">
        <x:v>2.16</x:v>
      </x:c>
      <x:c r="I410" s="8" t="n">
        <x:v>1.72</x:v>
      </x:c>
      <x:c r="J410" s="8" t="n">
        <x:v>100</x:v>
      </x:c>
      <x:c r="K410" s="8" t="n">
        <x:v>1.47</x:v>
      </x:c>
      <x:c r="L410" s="8" t="n">
        <x:v>0</x:v>
      </x:c>
      <x:c r="M410" s="8" t="n">
        <x:v>0</x:v>
      </x:c>
      <x:c r="N410" s="8" t="n">
        <x:v>1900</x:v>
      </x:c>
      <x:c r="O410" s="8" t="n">
        <x:v>0</x:v>
      </x:c>
      <x:c r="P410" s="8" t="n">
        <x:v>1.47</x:v>
      </x:c>
      <x:c r="Q410" s="9" t="n">
        <x:v>41.04</x:v>
      </x:c>
      <x:c r="R410" s="1" t="str">
        <x:v>Review receipt reconciliation or original PO baseline</x:v>
      </x:c>
      <x:c r="S410" s="1" t="str">
        <x:v>Plastic Product Information.csv</x:v>
      </x:c>
    </x:row>
    <x:row r="411" ht="21" customHeight="1">
      <x:c r="A411" s="1" t="str">
        <x:v>PLAS</x:v>
      </x:c>
      <x:c r="B411" s="1" t="str">
        <x:v>60</x:v>
      </x:c>
      <x:c r="C411" s="1" t="str">
        <x:v>03819RWBFG</x:v>
      </x:c>
      <x:c r="D411" s="1" t="str">
        <x:v>GOLDEN CHAMPION IND. LIMITED</x:v>
      </x:c>
      <x:c r="E411" s="7" t="n">
        <x:v>46303</x:v>
      </x:c>
      <x:c r="F411" s="8" t="n">
        <x:v>1900</x:v>
      </x:c>
      <x:c r="G411" s="8" t="n">
        <x:v>50</x:v>
      </x:c>
      <x:c r="H411" s="8" t="n">
        <x:v>2.48</x:v>
      </x:c>
      <x:c r="I411" s="8" t="n">
        <x:v>1.98</x:v>
      </x:c>
      <x:c r="J411" s="8" t="n">
        <x:v>100</x:v>
      </x:c>
      <x:c r="K411" s="8" t="n">
        <x:v>1.47</x:v>
      </x:c>
      <x:c r="L411" s="8" t="n">
        <x:v>0</x:v>
      </x:c>
      <x:c r="M411" s="8" t="n">
        <x:v>0</x:v>
      </x:c>
      <x:c r="N411" s="8" t="n">
        <x:v>1900</x:v>
      </x:c>
      <x:c r="O411" s="8" t="n">
        <x:v>0</x:v>
      </x:c>
      <x:c r="P411" s="8" t="n">
        <x:v>1.69</x:v>
      </x:c>
      <x:c r="Q411" s="9" t="n">
        <x:v>47.12</x:v>
      </x:c>
      <x:c r="R411" s="1" t="str">
        <x:v>Review receipt reconciliation or original PO baseline</x:v>
      </x:c>
      <x:c r="S411" s="1" t="str">
        <x:v>Plastic Product Information.csv</x:v>
      </x:c>
    </x:row>
    <x:row r="412" ht="21" customHeight="1">
      <x:c r="A412" s="1" t="str">
        <x:v>PLAS</x:v>
      </x:c>
      <x:c r="B412" s="1" t="str">
        <x:v>60</x:v>
      </x:c>
      <x:c r="C412" s="1" t="str">
        <x:v>05819RWBMAR</x:v>
      </x:c>
      <x:c r="D412" s="1" t="str">
        <x:v>GOLDEN CHAMPION IND. LIMITED</x:v>
      </x:c>
      <x:c r="E412" s="7" t="n">
        <x:v>46303</x:v>
      </x:c>
      <x:c r="F412" s="8" t="n">
        <x:v>700</x:v>
      </x:c>
      <x:c r="G412" s="8" t="n">
        <x:v>50</x:v>
      </x:c>
      <x:c r="H412" s="8" t="n">
        <x:v>4.56</x:v>
      </x:c>
      <x:c r="I412" s="8" t="n">
        <x:v>3.63</x:v>
      </x:c>
      <x:c r="J412" s="8" t="n">
        <x:v>100</x:v>
      </x:c>
      <x:c r="K412" s="8" t="n">
        <x:v>1.47</x:v>
      </x:c>
      <x:c r="L412" s="8" t="n">
        <x:v>0</x:v>
      </x:c>
      <x:c r="M412" s="8" t="n">
        <x:v>0</x:v>
      </x:c>
      <x:c r="N412" s="8" t="n">
        <x:v>700</x:v>
      </x:c>
      <x:c r="O412" s="8" t="n">
        <x:v>0</x:v>
      </x:c>
      <x:c r="P412" s="8" t="n">
        <x:v>3.1</x:v>
      </x:c>
      <x:c r="Q412" s="9" t="n">
        <x:v>31.919999999999995</x:v>
      </x:c>
      <x:c r="R412" s="1" t="str">
        <x:v>Review receipt reconciliation or original PO baseline</x:v>
      </x:c>
      <x:c r="S412" s="1" t="str">
        <x:v>Plastic Product Information.csv</x:v>
      </x:c>
    </x:row>
    <x:row r="413" ht="21" customHeight="1">
      <x:c r="A413" s="1" t="str">
        <x:v>PLAS</x:v>
      </x:c>
      <x:c r="B413" s="1" t="str">
        <x:v>60</x:v>
      </x:c>
      <x:c r="C413" s="1" t="str">
        <x:v>07819RWBNAV</x:v>
      </x:c>
      <x:c r="D413" s="1" t="str">
        <x:v>GOLDEN CHAMPION IND. LIMITED</x:v>
      </x:c>
      <x:c r="E413" s="7" t="n">
        <x:v>46303</x:v>
      </x:c>
      <x:c r="F413" s="8" t="n">
        <x:v>800</x:v>
      </x:c>
      <x:c r="G413" s="8" t="n">
        <x:v>50</x:v>
      </x:c>
      <x:c r="H413" s="8" t="n">
        <x:v>7.97</x:v>
      </x:c>
      <x:c r="I413" s="8" t="n">
        <x:v>6.34</x:v>
      </x:c>
      <x:c r="J413" s="8" t="n">
        <x:v>100</x:v>
      </x:c>
      <x:c r="K413" s="8" t="n">
        <x:v>1.47</x:v>
      </x:c>
      <x:c r="L413" s="8" t="n">
        <x:v>0</x:v>
      </x:c>
      <x:c r="M413" s="8" t="n">
        <x:v>0</x:v>
      </x:c>
      <x:c r="N413" s="8" t="n">
        <x:v>800</x:v>
      </x:c>
      <x:c r="O413" s="8" t="n">
        <x:v>0</x:v>
      </x:c>
      <x:c r="P413" s="8" t="n">
        <x:v>5.42</x:v>
      </x:c>
      <x:c r="Q413" s="9" t="n">
        <x:v>63.76</x:v>
      </x:c>
      <x:c r="R413" s="1" t="str">
        <x:v>Review receipt reconciliation or original PO baseline</x:v>
      </x:c>
      <x:c r="S413" s="1" t="str">
        <x:v>Plastic Product Information.csv</x:v>
      </x:c>
    </x:row>
    <x:row r="414" ht="21" customHeight="1">
      <x:c r="A414" s="1" t="str">
        <x:v>PLAS</x:v>
      </x:c>
      <x:c r="B414" s="1" t="str">
        <x:v>60</x:v>
      </x:c>
      <x:c r="C414" s="1" t="str">
        <x:v>11819RWBWHT</x:v>
      </x:c>
      <x:c r="D414" s="1" t="str">
        <x:v>GOLDEN CHAMPION IND. LIMITED</x:v>
      </x:c>
      <x:c r="E414" s="7" t="n">
        <x:v>46303</x:v>
      </x:c>
      <x:c r="F414" s="8" t="n">
        <x:v>8800</x:v>
      </x:c>
      <x:c r="G414" s="8" t="n">
        <x:v>50</x:v>
      </x:c>
      <x:c r="H414" s="8" t="n">
        <x:v>13.23</x:v>
      </x:c>
      <x:c r="I414" s="8" t="n">
        <x:v>10.53</x:v>
      </x:c>
      <x:c r="J414" s="8" t="n">
        <x:v>100</x:v>
      </x:c>
      <x:c r="K414" s="8" t="n">
        <x:v>1.47</x:v>
      </x:c>
      <x:c r="L414" s="8" t="n">
        <x:v>0</x:v>
      </x:c>
      <x:c r="M414" s="8" t="n">
        <x:v>0</x:v>
      </x:c>
      <x:c r="N414" s="8" t="n">
        <x:v>8800</x:v>
      </x:c>
      <x:c r="O414" s="8" t="n">
        <x:v>0</x:v>
      </x:c>
      <x:c r="P414" s="8" t="n">
        <x:v>9</x:v>
      </x:c>
      <x:c r="Q414" s="9" t="n">
        <x:v>1164.24</x:v>
      </x:c>
      <x:c r="R414" s="1" t="str">
        <x:v>Review receipt reconciliation or original PO baseline</x:v>
      </x:c>
      <x:c r="S414" s="1" t="str">
        <x:v>Plastic Product Information.csv</x:v>
      </x:c>
    </x:row>
    <x:row r="415" ht="21" customHeight="1">
      <x:c r="A415" s="1" t="str">
        <x:v>PLAS</x:v>
      </x:c>
      <x:c r="B415" s="1" t="str">
        <x:v>10</x:v>
      </x:c>
      <x:c r="C415" s="1" t="str">
        <x:v>00115RWBFG</x:v>
      </x:c>
      <x:c r="D415" s="1" t="str">
        <x:v>GOLDEN CHAMPION IND. LIMITED</x:v>
      </x:c>
      <x:c r="E415" s="7" t="n">
        <x:v>46303</x:v>
      </x:c>
      <x:c r="F415" s="8" t="n">
        <x:v>2150</x:v>
      </x:c>
      <x:c r="G415" s="8" t="n">
        <x:v>45.08</x:v>
      </x:c>
      <x:c r="H415" s="8" t="n">
        <x:v>6.29</x:v>
      </x:c>
      <x:c r="I415" s="8" t="n">
        <x:v>5.86</x:v>
      </x:c>
      <x:c r="J415" s="8" t="n">
        <x:v>100</x:v>
      </x:c>
      <x:c r="K415" s="8" t="n">
        <x:v>1.47</x:v>
      </x:c>
      <x:c r="L415" s="8" t="n">
        <x:v>0</x:v>
      </x:c>
      <x:c r="M415" s="8" t="n">
        <x:v>0</x:v>
      </x:c>
      <x:c r="N415" s="8" t="n">
        <x:v>2150</x:v>
      </x:c>
      <x:c r="O415" s="8" t="n">
        <x:v>0</x:v>
      </x:c>
      <x:c r="P415" s="8" t="n">
        <x:v>5.01</x:v>
      </x:c>
      <x:c r="Q415" s="9" t="n">
        <x:v>135.235</x:v>
      </x:c>
      <x:c r="R415" s="1" t="str">
        <x:v>Review receipt reconciliation or original PO baseline</x:v>
      </x:c>
      <x:c r="S415" s="1" t="str">
        <x:v>Plastic Product Information.csv</x:v>
      </x:c>
    </x:row>
    <x:row r="416" ht="21" customHeight="1">
      <x:c r="A416" s="1" t="str">
        <x:v>PLAS</x:v>
      </x:c>
      <x:c r="B416" s="1" t="str">
        <x:v>10</x:v>
      </x:c>
      <x:c r="C416" s="1" t="str">
        <x:v>03815RWBRED</x:v>
      </x:c>
      <x:c r="D416" s="1" t="str">
        <x:v>GOLDEN CHAMPION IND. LIMITED</x:v>
      </x:c>
      <x:c r="E416" s="7" t="n">
        <x:v>46303</x:v>
      </x:c>
      <x:c r="F416" s="8" t="n">
        <x:v>600</x:v>
      </x:c>
      <x:c r="G416" s="8" t="n">
        <x:v>41.67</x:v>
      </x:c>
      <x:c r="H416" s="8" t="n">
        <x:v>1.25</x:v>
      </x:c>
      <x:c r="I416" s="8" t="n">
        <x:v>1.29</x:v>
      </x:c>
      <x:c r="J416" s="8" t="n">
        <x:v>100</x:v>
      </x:c>
      <x:c r="K416" s="8" t="n">
        <x:v>1.47</x:v>
      </x:c>
      <x:c r="L416" s="8" t="n">
        <x:v>0</x:v>
      </x:c>
      <x:c r="M416" s="8" t="n">
        <x:v>0</x:v>
      </x:c>
      <x:c r="N416" s="8" t="n">
        <x:v>600</x:v>
      </x:c>
      <x:c r="O416" s="8" t="n">
        <x:v>0</x:v>
      </x:c>
      <x:c r="P416" s="8" t="n">
        <x:v>1.1</x:v>
      </x:c>
      <x:c r="Q416" s="9" t="n">
        <x:v>7.5</x:v>
      </x:c>
      <x:c r="R416" s="1" t="str">
        <x:v>Review receipt reconciliation or original PO baseline</x:v>
      </x:c>
      <x:c r="S416" s="1" t="str">
        <x:v>Plastic Product Information.csv</x:v>
      </x:c>
    </x:row>
    <x:row r="417" ht="21" customHeight="1">
      <x:c r="A417" s="1" t="str">
        <x:v>PLAS</x:v>
      </x:c>
      <x:c r="B417" s="1" t="str">
        <x:v>10</x:v>
      </x:c>
      <x:c r="C417" s="1" t="str">
        <x:v>11419RSLBLU</x:v>
      </x:c>
      <x:c r="D417" s="1" t="str">
        <x:v>GOLDEN CHAMPION IND. LIMITED</x:v>
      </x:c>
      <x:c r="E417" s="7" t="n">
        <x:v>46303</x:v>
      </x:c>
      <x:c r="F417" s="8" t="n">
        <x:v>900</x:v>
      </x:c>
      <x:c r="G417" s="8" t="n">
        <x:v>41.67</x:v>
      </x:c>
      <x:c r="H417" s="8" t="n">
        <x:v>11.1</x:v>
      </x:c>
      <x:c r="I417" s="8" t="n">
        <x:v>8.83</x:v>
      </x:c>
      <x:c r="J417" s="8" t="n">
        <x:v>100</x:v>
      </x:c>
      <x:c r="K417" s="8" t="n">
        <x:v>1.47</x:v>
      </x:c>
      <x:c r="L417" s="8" t="n">
        <x:v>0</x:v>
      </x:c>
      <x:c r="M417" s="8" t="n">
        <x:v>0</x:v>
      </x:c>
      <x:c r="N417" s="8" t="n">
        <x:v>900</x:v>
      </x:c>
      <x:c r="O417" s="8" t="n">
        <x:v>0</x:v>
      </x:c>
      <x:c r="P417" s="8" t="n">
        <x:v>7.55</x:v>
      </x:c>
      <x:c r="Q417" s="9" t="n">
        <x:v>99.9</x:v>
      </x:c>
      <x:c r="R417" s="1" t="str">
        <x:v>Review receipt reconciliation or original PO baseline</x:v>
      </x:c>
      <x:c r="S417" s="1" t="str">
        <x:v>Plastic Product Information.csv</x:v>
      </x:c>
    </x:row>
    <x:row r="418" ht="21" customHeight="1">
      <x:c r="A418" s="1" t="str">
        <x:v>PLAS</x:v>
      </x:c>
      <x:c r="B418" s="1" t="str">
        <x:v>10</x:v>
      </x:c>
      <x:c r="C418" s="1" t="str">
        <x:v>11815ROVMAR</x:v>
      </x:c>
      <x:c r="D418" s="1" t="str">
        <x:v>GOLDEN CHAMPION IND. LIMITED</x:v>
      </x:c>
      <x:c r="E418" s="7" t="n">
        <x:v>46303</x:v>
      </x:c>
      <x:c r="F418" s="8" t="n">
        <x:v>2530</x:v>
      </x:c>
      <x:c r="G418" s="8" t="n">
        <x:v>41.67</x:v>
      </x:c>
      <x:c r="H418" s="8" t="n">
        <x:v>8.41</x:v>
      </x:c>
      <x:c r="I418" s="8" t="n">
        <x:v>6.69</x:v>
      </x:c>
      <x:c r="J418" s="8" t="n">
        <x:v>100</x:v>
      </x:c>
      <x:c r="K418" s="8" t="n">
        <x:v>1.47</x:v>
      </x:c>
      <x:c r="L418" s="8" t="n">
        <x:v>0</x:v>
      </x:c>
      <x:c r="M418" s="8" t="n">
        <x:v>0</x:v>
      </x:c>
      <x:c r="N418" s="8" t="n">
        <x:v>2530</x:v>
      </x:c>
      <x:c r="O418" s="8" t="n">
        <x:v>0</x:v>
      </x:c>
      <x:c r="P418" s="8" t="n">
        <x:v>5.72</x:v>
      </x:c>
      <x:c r="Q418" s="9" t="n">
        <x:v>212.773</x:v>
      </x:c>
      <x:c r="R418" s="1" t="str">
        <x:v>Review receipt reconciliation or original PO baseline</x:v>
      </x:c>
      <x:c r="S418" s="1" t="str">
        <x:v>Plastic Product Information.csv</x:v>
      </x:c>
    </x:row>
    <x:row r="419" ht="21" customHeight="1">
      <x:c r="A419" s="1" t="str">
        <x:v>PLAS</x:v>
      </x:c>
      <x:c r="B419" s="1" t="str">
        <x:v>30</x:v>
      </x:c>
      <x:c r="C419" s="1" t="str">
        <x:v>11219RSLNAV</x:v>
      </x:c>
      <x:c r="D419" s="1" t="str">
        <x:v>GOLDEN CHAMPION IND. LIMITED</x:v>
      </x:c>
      <x:c r="E419" s="7" t="n">
        <x:v>46303</x:v>
      </x:c>
      <x:c r="F419" s="8" t="n">
        <x:v>50</x:v>
      </x:c>
      <x:c r="G419" s="8" t="n">
        <x:v>41.67</x:v>
      </x:c>
      <x:c r="H419" s="8" t="n">
        <x:v>12.98</x:v>
      </x:c>
      <x:c r="I419" s="8" t="n">
        <x:v>10.33</x:v>
      </x:c>
      <x:c r="J419" s="8" t="n">
        <x:v>100</x:v>
      </x:c>
      <x:c r="K419" s="8" t="n">
        <x:v>1.47</x:v>
      </x:c>
      <x:c r="L419" s="8" t="n">
        <x:v>0</x:v>
      </x:c>
      <x:c r="M419" s="8" t="n">
        <x:v>0</x:v>
      </x:c>
      <x:c r="N419" s="8" t="n">
        <x:v>50</x:v>
      </x:c>
      <x:c r="O419" s="8" t="n">
        <x:v>0</x:v>
      </x:c>
      <x:c r="P419" s="8" t="n">
        <x:v>8.83</x:v>
      </x:c>
      <x:c r="Q419" s="9" t="n">
        <x:v>6.49</x:v>
      </x:c>
      <x:c r="R419" s="1" t="str">
        <x:v>Review receipt reconciliation or original PO baseline</x:v>
      </x:c>
      <x:c r="S419" s="1" t="str">
        <x:v>Plastic Product Information.csv</x:v>
      </x:c>
    </x:row>
    <x:row r="420" ht="21" customHeight="1">
      <x:c r="A420" s="1" t="str">
        <x:v>PLAS</x:v>
      </x:c>
      <x:c r="B420" s="1" t="str">
        <x:v>10</x:v>
      </x:c>
      <x:c r="C420" s="1" t="str">
        <x:v>11819RWBFG</x:v>
      </x:c>
      <x:c r="D420" s="1" t="str">
        <x:v>GOLDEN CHAMPION IND. LIMITED</x:v>
      </x:c>
      <x:c r="E420" s="7" t="n">
        <x:v>46303</x:v>
      </x:c>
      <x:c r="F420" s="8" t="n">
        <x:v>2400</x:v>
      </x:c>
      <x:c r="G420" s="8" t="n">
        <x:v>37.5</x:v>
      </x:c>
      <x:c r="H420" s="8" t="n">
        <x:v>13.23</x:v>
      </x:c>
      <x:c r="I420" s="8" t="n">
        <x:v>10.53</x:v>
      </x:c>
      <x:c r="J420" s="8" t="n">
        <x:v>100</x:v>
      </x:c>
      <x:c r="K420" s="8" t="n">
        <x:v>1.47</x:v>
      </x:c>
      <x:c r="L420" s="8" t="n">
        <x:v>0</x:v>
      </x:c>
      <x:c r="M420" s="8" t="n">
        <x:v>0</x:v>
      </x:c>
      <x:c r="N420" s="8" t="n">
        <x:v>2400</x:v>
      </x:c>
      <x:c r="O420" s="8" t="n">
        <x:v>0</x:v>
      </x:c>
      <x:c r="P420" s="8" t="n">
        <x:v>9</x:v>
      </x:c>
      <x:c r="Q420" s="9" t="n">
        <x:v>317.52</x:v>
      </x:c>
      <x:c r="R420" s="1" t="str">
        <x:v>Review receipt reconciliation or original PO baseline</x:v>
      </x:c>
      <x:c r="S420" s="1" t="str">
        <x:v>Plastic Product Information.csv</x:v>
      </x:c>
    </x:row>
    <x:row r="421" ht="21" customHeight="1">
      <x:c r="A421" s="1" t="str">
        <x:v>PLAS</x:v>
      </x:c>
      <x:c r="B421" s="1" t="str">
        <x:v>10</x:v>
      </x:c>
      <x:c r="C421" s="1" t="str">
        <x:v>11821RWBBLK</x:v>
      </x:c>
      <x:c r="D421" s="1" t="str">
        <x:v>GOLDEN CHAMPION IND. LIMITED</x:v>
      </x:c>
      <x:c r="E421" s="7" t="n">
        <x:v>46303</x:v>
      </x:c>
      <x:c r="F421" s="8" t="n">
        <x:v>4750</x:v>
      </x:c>
      <x:c r="G421" s="8" t="n">
        <x:v>35.75</x:v>
      </x:c>
      <x:c r="H421" s="8" t="n">
        <x:v>12.5</x:v>
      </x:c>
      <x:c r="I421" s="8" t="n">
        <x:v>9.95</x:v>
      </x:c>
      <x:c r="J421" s="8" t="n">
        <x:v>100</x:v>
      </x:c>
      <x:c r="K421" s="8" t="n">
        <x:v>1.47</x:v>
      </x:c>
      <x:c r="L421" s="8" t="n">
        <x:v>3750</x:v>
      </x:c>
      <x:c r="M421" s="8" t="n">
        <x:v>1000</x:v>
      </x:c>
      <x:c r="N421" s="8" t="n">
        <x:v>0</x:v>
      </x:c>
      <x:c r="O421" s="8" t="n">
        <x:v>1</x:v>
      </x:c>
      <x:c r="P421" s="8" t="n">
        <x:v>8.5</x:v>
      </x:c>
      <x:c r="Q421" s="9" t="n">
        <x:v>593.75</x:v>
      </x:c>
      <x:c r="R421" s="1" t="str">
        <x:v>Classified</x:v>
      </x:c>
      <x:c r="S421" s="1" t="str">
        <x:v>Plastic Product Information.csv</x:v>
      </x:c>
    </x:row>
    <x:row r="422" ht="21" customHeight="1">
      <x:c r="A422" s="1" t="str">
        <x:v>PLAS</x:v>
      </x:c>
      <x:c r="B422" s="1" t="str">
        <x:v>10</x:v>
      </x:c>
      <x:c r="C422" s="1" t="str">
        <x:v>00219RSLRED</x:v>
      </x:c>
      <x:c r="D422" s="1" t="str">
        <x:v>GOLDEN CHAMPION IND. LIMITED</x:v>
      </x:c>
      <x:c r="E422" s="7" t="n">
        <x:v>46303</x:v>
      </x:c>
      <x:c r="F422" s="8" t="n">
        <x:v>1800</x:v>
      </x:c>
      <x:c r="G422" s="8" t="n">
        <x:v>33.34</x:v>
      </x:c>
      <x:c r="H422" s="8" t="n">
        <x:v>14.77</x:v>
      </x:c>
      <x:c r="I422" s="8" t="n">
        <x:v>11.76</x:v>
      </x:c>
      <x:c r="J422" s="8" t="n">
        <x:v>100</x:v>
      </x:c>
      <x:c r="K422" s="8" t="n">
        <x:v>1.47</x:v>
      </x:c>
      <x:c r="L422" s="8" t="n">
        <x:v>1800</x:v>
      </x:c>
      <x:c r="M422" s="8" t="n">
        <x:v>0</x:v>
      </x:c>
      <x:c r="N422" s="8" t="n">
        <x:v>0</x:v>
      </x:c>
      <x:c r="O422" s="8" t="n">
        <x:v>1</x:v>
      </x:c>
      <x:c r="P422" s="8" t="n">
        <x:v>10.05</x:v>
      </x:c>
      <x:c r="Q422" s="9" t="n">
        <x:v>265.86</x:v>
      </x:c>
      <x:c r="R422" s="1" t="str">
        <x:v>Classified</x:v>
      </x:c>
      <x:c r="S422" s="1" t="str">
        <x:v>Plastic Product Information.csv</x:v>
      </x:c>
    </x:row>
    <x:row r="423" ht="21" customHeight="1">
      <x:c r="A423" s="1" t="str">
        <x:v>PLAS</x:v>
      </x:c>
      <x:c r="B423" s="1" t="str">
        <x:v>10</x:v>
      </x:c>
      <x:c r="C423" s="1" t="str">
        <x:v>11819RWBRED</x:v>
      </x:c>
      <x:c r="D423" s="1" t="str">
        <x:v>GOLDEN CHAMPION IND. LIMITED</x:v>
      </x:c>
      <x:c r="E423" s="7" t="n">
        <x:v>46303</x:v>
      </x:c>
      <x:c r="F423" s="8" t="n">
        <x:v>750</x:v>
      </x:c>
      <x:c r="G423" s="8" t="n">
        <x:v>33.34</x:v>
      </x:c>
      <x:c r="H423" s="8" t="n">
        <x:v>13.23</x:v>
      </x:c>
      <x:c r="I423" s="8" t="n">
        <x:v>10.53</x:v>
      </x:c>
      <x:c r="J423" s="8" t="n">
        <x:v>100</x:v>
      </x:c>
      <x:c r="K423" s="8" t="n">
        <x:v>1.47</x:v>
      </x:c>
      <x:c r="L423" s="8" t="n">
        <x:v>0</x:v>
      </x:c>
      <x:c r="M423" s="8" t="n">
        <x:v>0</x:v>
      </x:c>
      <x:c r="N423" s="8" t="n">
        <x:v>750</x:v>
      </x:c>
      <x:c r="O423" s="8" t="n">
        <x:v>0</x:v>
      </x:c>
      <x:c r="P423" s="8" t="n">
        <x:v>9</x:v>
      </x:c>
      <x:c r="Q423" s="9" t="n">
        <x:v>99.22500000000001</x:v>
      </x:c>
      <x:c r="R423" s="1" t="str">
        <x:v>Review receipt reconciliation or original PO baseline</x:v>
      </x:c>
      <x:c r="S423" s="1" t="str">
        <x:v>Plastic Product Information.csv</x:v>
      </x:c>
    </x:row>
    <x:row r="424" ht="21" customHeight="1">
      <x:c r="A424" s="1" t="str">
        <x:v>PLAS</x:v>
      </x:c>
      <x:c r="B424" s="1" t="str">
        <x:v>10</x:v>
      </x:c>
      <x:c r="C424" s="1" t="str">
        <x:v>11819RWBCLR</x:v>
      </x:c>
      <x:c r="D424" s="1" t="str">
        <x:v>GOLDEN CHAMPION IND. LIMITED</x:v>
      </x:c>
      <x:c r="E424" s="7" t="n">
        <x:v>46303</x:v>
      </x:c>
      <x:c r="F424" s="8" t="n">
        <x:v>500</x:v>
      </x:c>
      <x:c r="G424" s="8" t="n">
        <x:v>33.33</x:v>
      </x:c>
      <x:c r="H424" s="8" t="n">
        <x:v>13.23</x:v>
      </x:c>
      <x:c r="I424" s="8" t="n">
        <x:v>10.53</x:v>
      </x:c>
      <x:c r="J424" s="8" t="n">
        <x:v>100</x:v>
      </x:c>
      <x:c r="K424" s="8" t="n">
        <x:v>1.47</x:v>
      </x:c>
      <x:c r="L424" s="8" t="n">
        <x:v>0</x:v>
      </x:c>
      <x:c r="M424" s="8" t="n">
        <x:v>0</x:v>
      </x:c>
      <x:c r="N424" s="8" t="n">
        <x:v>500</x:v>
      </x:c>
      <x:c r="O424" s="8" t="n">
        <x:v>0</x:v>
      </x:c>
      <x:c r="P424" s="8" t="n">
        <x:v>9</x:v>
      </x:c>
      <x:c r="Q424" s="9" t="n">
        <x:v>66.15</x:v>
      </x:c>
      <x:c r="R424" s="1" t="str">
        <x:v>Review receipt reconciliation or original PO baseline</x:v>
      </x:c>
      <x:c r="S424" s="1" t="str">
        <x:v>Plastic Product Information.csv</x:v>
      </x:c>
    </x:row>
    <x:row r="425" ht="21" customHeight="1">
      <x:c r="A425" s="1" t="str">
        <x:v>PLAS</x:v>
      </x:c>
      <x:c r="B425" s="1" t="str">
        <x:v>10</x:v>
      </x:c>
      <x:c r="C425" s="1" t="str">
        <x:v>13415RSLBLK</x:v>
      </x:c>
      <x:c r="D425" s="1" t="str">
        <x:v>GOLDEN CHAMPION IND. LIMITED</x:v>
      </x:c>
      <x:c r="E425" s="7" t="n">
        <x:v>46303</x:v>
      </x:c>
      <x:c r="F425" s="8" t="n">
        <x:v>1500</x:v>
      </x:c>
      <x:c r="G425" s="8" t="n">
        <x:v>33.33</x:v>
      </x:c>
      <x:c r="H425" s="8" t="n">
        <x:v>10.05</x:v>
      </x:c>
      <x:c r="I425" s="8" t="n">
        <x:v>8</x:v>
      </x:c>
      <x:c r="J425" s="8" t="n">
        <x:v>100</x:v>
      </x:c>
      <x:c r="K425" s="8" t="n">
        <x:v>1.47</x:v>
      </x:c>
      <x:c r="L425" s="8" t="n">
        <x:v>0</x:v>
      </x:c>
      <x:c r="M425" s="8" t="n">
        <x:v>0</x:v>
      </x:c>
      <x:c r="N425" s="8" t="n">
        <x:v>1500</x:v>
      </x:c>
      <x:c r="O425" s="8" t="n">
        <x:v>0</x:v>
      </x:c>
      <x:c r="P425" s="8" t="n">
        <x:v>6.84</x:v>
      </x:c>
      <x:c r="Q425" s="9" t="n">
        <x:v>150.75000000000003</x:v>
      </x:c>
      <x:c r="R425" s="1" t="str">
        <x:v>Review receipt reconciliation or original PO baseline</x:v>
      </x:c>
      <x:c r="S425" s="1" t="str">
        <x:v>Plastic Product Information.csv</x:v>
      </x:c>
    </x:row>
    <x:row r="426" ht="21" customHeight="1">
      <x:c r="A426" s="1" t="str">
        <x:v>PLAS</x:v>
      </x:c>
      <x:c r="B426" s="1" t="str">
        <x:v>30</x:v>
      </x:c>
      <x:c r="C426" s="1" t="str">
        <x:v>00115RWBBLK</x:v>
      </x:c>
      <x:c r="D426" s="1" t="str">
        <x:v>GOLDEN CHAMPION IND. LIMITED</x:v>
      </x:c>
      <x:c r="E426" s="7" t="n">
        <x:v>46303</x:v>
      </x:c>
      <x:c r="F426" s="8" t="n">
        <x:v>700</x:v>
      </x:c>
      <x:c r="G426" s="8" t="n">
        <x:v>33.33</x:v>
      </x:c>
      <x:c r="H426" s="8" t="n">
        <x:v>7.36</x:v>
      </x:c>
      <x:c r="I426" s="8" t="n">
        <x:v>5.86</x:v>
      </x:c>
      <x:c r="J426" s="8" t="n">
        <x:v>100</x:v>
      </x:c>
      <x:c r="K426" s="8" t="n">
        <x:v>1.47</x:v>
      </x:c>
      <x:c r="L426" s="8" t="n">
        <x:v>0</x:v>
      </x:c>
      <x:c r="M426" s="8" t="n">
        <x:v>0</x:v>
      </x:c>
      <x:c r="N426" s="8" t="n">
        <x:v>700</x:v>
      </x:c>
      <x:c r="O426" s="8" t="n">
        <x:v>0</x:v>
      </x:c>
      <x:c r="P426" s="8" t="n">
        <x:v>5.01</x:v>
      </x:c>
      <x:c r="Q426" s="9" t="n">
        <x:v>51.52</x:v>
      </x:c>
      <x:c r="R426" s="1" t="str">
        <x:v>Review receipt reconciliation or original PO baseline</x:v>
      </x:c>
      <x:c r="S426" s="1" t="str">
        <x:v>Plastic Product Information.csv</x:v>
      </x:c>
    </x:row>
    <x:row r="427" ht="21" customHeight="1">
      <x:c r="A427" s="1" t="str">
        <x:v>PLAS</x:v>
      </x:c>
      <x:c r="B427" s="1" t="str">
        <x:v>30</x:v>
      </x:c>
      <x:c r="C427" s="1" t="str">
        <x:v>00119RWBBLU</x:v>
      </x:c>
      <x:c r="D427" s="1" t="str">
        <x:v>GOLDEN CHAMPION IND. LIMITED</x:v>
      </x:c>
      <x:c r="E427" s="7" t="n">
        <x:v>46303</x:v>
      </x:c>
      <x:c r="F427" s="8" t="n">
        <x:v>0</x:v>
      </x:c>
      <x:c r="G427" s="8" t="n">
        <x:v>33.33</x:v>
      </x:c>
      <x:c r="H427" s="8" t="n">
        <x:v>10.54</x:v>
      </x:c>
      <x:c r="I427" s="8" t="n">
        <x:v>8.39</x:v>
      </x:c>
      <x:c r="J427" s="8" t="n">
        <x:v>100</x:v>
      </x:c>
      <x:c r="K427" s="8" t="n">
        <x:v>1.47</x:v>
      </x:c>
      <x:c r="L427" s="8" t="n">
        <x:v>0</x:v>
      </x:c>
      <x:c r="M427" s="8" t="n">
        <x:v>0</x:v>
      </x:c>
      <x:c r="N427" s="8" t="n">
        <x:v>0</x:v>
      </x:c>
      <x:c r="O427" s="8" t="n">
        <x:v>1</x:v>
      </x:c>
      <x:c r="P427" s="8" t="n">
        <x:v>7.17</x:v>
      </x:c>
      <x:c r="Q427" s="9" t="n">
        <x:v>0</x:v>
      </x:c>
      <x:c r="R427" s="1" t="str">
        <x:v>Classified</x:v>
      </x:c>
      <x:c r="S427" s="1" t="str">
        <x:v>Plastic Product Information.csv</x:v>
      </x:c>
    </x:row>
    <x:row r="428" ht="21" customHeight="1">
      <x:c r="A428" s="1" t="str">
        <x:v>PLAS</x:v>
      </x:c>
      <x:c r="B428" s="1" t="str">
        <x:v>30</x:v>
      </x:c>
      <x:c r="C428" s="1" t="str">
        <x:v>01419RWBFG</x:v>
      </x:c>
      <x:c r="D428" s="1" t="str">
        <x:v>GOLDEN CHAMPION IND. LIMITED</x:v>
      </x:c>
      <x:c r="E428" s="7" t="n">
        <x:v>46303</x:v>
      </x:c>
      <x:c r="F428" s="8" t="n">
        <x:v>2000</x:v>
      </x:c>
      <x:c r="G428" s="8" t="n">
        <x:v>33.33</x:v>
      </x:c>
      <x:c r="H428" s="8" t="n">
        <x:v>1.81</x:v>
      </x:c>
      <x:c r="I428" s="8" t="n">
        <x:v>1.44</x:v>
      </x:c>
      <x:c r="J428" s="8" t="n">
        <x:v>100</x:v>
      </x:c>
      <x:c r="K428" s="8" t="n">
        <x:v>1.47</x:v>
      </x:c>
      <x:c r="L428" s="8" t="n">
        <x:v>0</x:v>
      </x:c>
      <x:c r="M428" s="8" t="n">
        <x:v>0</x:v>
      </x:c>
      <x:c r="N428" s="8" t="n">
        <x:v>2000</x:v>
      </x:c>
      <x:c r="O428" s="8" t="n">
        <x:v>0</x:v>
      </x:c>
      <x:c r="P428" s="8" t="n">
        <x:v>1.23</x:v>
      </x:c>
      <x:c r="Q428" s="9" t="n">
        <x:v>36.2</x:v>
      </x:c>
      <x:c r="R428" s="1" t="str">
        <x:v>Review receipt reconciliation or original PO baseline</x:v>
      </x:c>
      <x:c r="S428" s="1" t="str">
        <x:v>Plastic Product Information.csv</x:v>
      </x:c>
    </x:row>
    <x:row r="429" ht="21" customHeight="1">
      <x:c r="A429" s="1" t="str">
        <x:v>PLAS</x:v>
      </x:c>
      <x:c r="B429" s="1" t="str">
        <x:v>30</x:v>
      </x:c>
      <x:c r="C429" s="1" t="str">
        <x:v>11819RWBCLR</x:v>
      </x:c>
      <x:c r="D429" s="1" t="str">
        <x:v>GOLDEN CHAMPION IND. LIMITED</x:v>
      </x:c>
      <x:c r="E429" s="7" t="n">
        <x:v>46303</x:v>
      </x:c>
      <x:c r="F429" s="8" t="n">
        <x:v>50</x:v>
      </x:c>
      <x:c r="G429" s="8" t="n">
        <x:v>33.33</x:v>
      </x:c>
      <x:c r="H429" s="8" t="n">
        <x:v>13.23</x:v>
      </x:c>
      <x:c r="I429" s="8" t="n">
        <x:v>10.53</x:v>
      </x:c>
      <x:c r="J429" s="8" t="n">
        <x:v>100</x:v>
      </x:c>
      <x:c r="K429" s="8" t="n">
        <x:v>1.47</x:v>
      </x:c>
      <x:c r="L429" s="8" t="n">
        <x:v>0</x:v>
      </x:c>
      <x:c r="M429" s="8" t="n">
        <x:v>0</x:v>
      </x:c>
      <x:c r="N429" s="8" t="n">
        <x:v>50</x:v>
      </x:c>
      <x:c r="O429" s="8" t="n">
        <x:v>0</x:v>
      </x:c>
      <x:c r="P429" s="8" t="n">
        <x:v>9</x:v>
      </x:c>
      <x:c r="Q429" s="9" t="n">
        <x:v>6.615</x:v>
      </x:c>
      <x:c r="R429" s="1" t="str">
        <x:v>Review receipt reconciliation or original PO baseline</x:v>
      </x:c>
      <x:c r="S429" s="1" t="str">
        <x:v>Plastic Product Information.csv</x:v>
      </x:c>
    </x:row>
    <x:row r="430" ht="21" customHeight="1">
      <x:c r="A430" s="1" t="str">
        <x:v>PLAS</x:v>
      </x:c>
      <x:c r="B430" s="1" t="str">
        <x:v>30</x:v>
      </x:c>
      <x:c r="C430" s="1" t="str">
        <x:v>51619RWBFG</x:v>
      </x:c>
      <x:c r="D430" s="1" t="str">
        <x:v>GOLDEN CHAMPION IND. LIMITED</x:v>
      </x:c>
      <x:c r="E430" s="7" t="n">
        <x:v>46303</x:v>
      </x:c>
      <x:c r="F430" s="8" t="n">
        <x:v>1700</x:v>
      </x:c>
      <x:c r="G430" s="8" t="n">
        <x:v>33.33</x:v>
      </x:c>
      <x:c r="H430" s="8" t="n">
        <x:v>2.16</x:v>
      </x:c>
      <x:c r="I430" s="8" t="n">
        <x:v>1.72</x:v>
      </x:c>
      <x:c r="J430" s="8" t="n">
        <x:v>100</x:v>
      </x:c>
      <x:c r="K430" s="8" t="n">
        <x:v>1.47</x:v>
      </x:c>
      <x:c r="L430" s="8" t="n">
        <x:v>0</x:v>
      </x:c>
      <x:c r="M430" s="8" t="n">
        <x:v>0</x:v>
      </x:c>
      <x:c r="N430" s="8" t="n">
        <x:v>1700</x:v>
      </x:c>
      <x:c r="O430" s="8" t="n">
        <x:v>0</x:v>
      </x:c>
      <x:c r="P430" s="8" t="n">
        <x:v>1.47</x:v>
      </x:c>
      <x:c r="Q430" s="9" t="n">
        <x:v>36.720000000000006</x:v>
      </x:c>
      <x:c r="R430" s="1" t="str">
        <x:v>Review receipt reconciliation or original PO baseline</x:v>
      </x:c>
      <x:c r="S430" s="1" t="str">
        <x:v>Plastic Product Information.csv</x:v>
      </x:c>
    </x:row>
    <x:row r="431" ht="21" customHeight="1">
      <x:c r="A431" s="1" t="str">
        <x:v>PLAS</x:v>
      </x:c>
      <x:c r="B431" s="1" t="str">
        <x:v>30</x:v>
      </x:c>
      <x:c r="C431" s="1" t="str">
        <x:v>91619RWBMAR</x:v>
      </x:c>
      <x:c r="D431" s="1" t="str">
        <x:v>GOLDEN CHAMPION IND. LIMITED</x:v>
      </x:c>
      <x:c r="E431" s="7" t="n">
        <x:v>46303</x:v>
      </x:c>
      <x:c r="F431" s="8" t="n">
        <x:v>900</x:v>
      </x:c>
      <x:c r="G431" s="8" t="n">
        <x:v>33.33</x:v>
      </x:c>
      <x:c r="H431" s="8" t="n">
        <x:v>4.28</x:v>
      </x:c>
      <x:c r="I431" s="8" t="n">
        <x:v>3.4</x:v>
      </x:c>
      <x:c r="J431" s="8" t="n">
        <x:v>100</x:v>
      </x:c>
      <x:c r="K431" s="8" t="n">
        <x:v>1.47</x:v>
      </x:c>
      <x:c r="L431" s="8" t="n">
        <x:v>0</x:v>
      </x:c>
      <x:c r="M431" s="8" t="n">
        <x:v>0</x:v>
      </x:c>
      <x:c r="N431" s="8" t="n">
        <x:v>900</x:v>
      </x:c>
      <x:c r="O431" s="8" t="n">
        <x:v>0</x:v>
      </x:c>
      <x:c r="P431" s="8" t="n">
        <x:v>2.91</x:v>
      </x:c>
      <x:c r="Q431" s="9" t="n">
        <x:v>38.52</x:v>
      </x:c>
      <x:c r="R431" s="1" t="str">
        <x:v>Review receipt reconciliation or original PO baseline</x:v>
      </x:c>
      <x:c r="S431" s="1" t="str">
        <x:v>Plastic Product Information.csv</x:v>
      </x:c>
    </x:row>
    <x:row r="432" ht="21" customHeight="1">
      <x:c r="A432" s="1" t="str">
        <x:v>PLAS</x:v>
      </x:c>
      <x:c r="B432" s="1" t="str">
        <x:v>60</x:v>
      </x:c>
      <x:c r="C432" s="1" t="str">
        <x:v>01219RWBFG</x:v>
      </x:c>
      <x:c r="D432" s="1" t="str">
        <x:v>GOLDEN CHAMPION IND. LIMITED</x:v>
      </x:c>
      <x:c r="E432" s="7" t="n">
        <x:v>46303</x:v>
      </x:c>
      <x:c r="F432" s="8" t="n">
        <x:v>1000</x:v>
      </x:c>
      <x:c r="G432" s="8" t="n">
        <x:v>33.33</x:v>
      </x:c>
      <x:c r="H432" s="8" t="n">
        <x:v>3.6</x:v>
      </x:c>
      <x:c r="I432" s="8" t="n">
        <x:v>2.87</x:v>
      </x:c>
      <x:c r="J432" s="8" t="n">
        <x:v>100</x:v>
      </x:c>
      <x:c r="K432" s="8" t="n">
        <x:v>1.47</x:v>
      </x:c>
      <x:c r="L432" s="8" t="n">
        <x:v>0</x:v>
      </x:c>
      <x:c r="M432" s="8" t="n">
        <x:v>0</x:v>
      </x:c>
      <x:c r="N432" s="8" t="n">
        <x:v>1000</x:v>
      </x:c>
      <x:c r="O432" s="8" t="n">
        <x:v>0</x:v>
      </x:c>
      <x:c r="P432" s="8" t="n">
        <x:v>2.45</x:v>
      </x:c>
      <x:c r="Q432" s="9" t="n">
        <x:v>36</x:v>
      </x:c>
      <x:c r="R432" s="1" t="str">
        <x:v>Review receipt reconciliation or original PO baseline</x:v>
      </x:c>
      <x:c r="S432" s="1" t="str">
        <x:v>Plastic Product Information.csv</x:v>
      </x:c>
    </x:row>
    <x:row r="433" ht="21" customHeight="1">
      <x:c r="A433" s="1" t="str">
        <x:v>PLAS</x:v>
      </x:c>
      <x:c r="B433" s="1" t="str">
        <x:v>60</x:v>
      </x:c>
      <x:c r="C433" s="1" t="str">
        <x:v>01419RWBBLU</x:v>
      </x:c>
      <x:c r="D433" s="1" t="str">
        <x:v>GOLDEN CHAMPION IND. LIMITED</x:v>
      </x:c>
      <x:c r="E433" s="7" t="n">
        <x:v>46303</x:v>
      </x:c>
      <x:c r="F433" s="8" t="n">
        <x:v>700</x:v>
      </x:c>
      <x:c r="G433" s="8" t="n">
        <x:v>33.33</x:v>
      </x:c>
      <x:c r="H433" s="8" t="n">
        <x:v>1.81</x:v>
      </x:c>
      <x:c r="I433" s="8" t="n">
        <x:v>1.44</x:v>
      </x:c>
      <x:c r="J433" s="8" t="n">
        <x:v>100</x:v>
      </x:c>
      <x:c r="K433" s="8" t="n">
        <x:v>1.47</x:v>
      </x:c>
      <x:c r="L433" s="8" t="n">
        <x:v>0</x:v>
      </x:c>
      <x:c r="M433" s="8" t="n">
        <x:v>0</x:v>
      </x:c>
      <x:c r="N433" s="8" t="n">
        <x:v>700</x:v>
      </x:c>
      <x:c r="O433" s="8" t="n">
        <x:v>0</x:v>
      </x:c>
      <x:c r="P433" s="8" t="n">
        <x:v>1.23</x:v>
      </x:c>
      <x:c r="Q433" s="9" t="n">
        <x:v>12.67</x:v>
      </x:c>
      <x:c r="R433" s="1" t="str">
        <x:v>Review receipt reconciliation or original PO baseline</x:v>
      </x:c>
      <x:c r="S433" s="1" t="str">
        <x:v>Plastic Product Information.csv</x:v>
      </x:c>
    </x:row>
    <x:row r="434" ht="21" customHeight="1">
      <x:c r="A434" s="1" t="str">
        <x:v>PLAS</x:v>
      </x:c>
      <x:c r="B434" s="1" t="str">
        <x:v>60</x:v>
      </x:c>
      <x:c r="C434" s="1" t="str">
        <x:v>01419RWBCLR</x:v>
      </x:c>
      <x:c r="D434" s="1" t="str">
        <x:v>GOLDEN CHAMPION IND. LIMITED</x:v>
      </x:c>
      <x:c r="E434" s="7" t="n">
        <x:v>46303</x:v>
      </x:c>
      <x:c r="F434" s="8" t="n">
        <x:v>700</x:v>
      </x:c>
      <x:c r="G434" s="8" t="n">
        <x:v>33.33</x:v>
      </x:c>
      <x:c r="H434" s="8" t="n">
        <x:v>1.81</x:v>
      </x:c>
      <x:c r="I434" s="8" t="n">
        <x:v>1.44</x:v>
      </x:c>
      <x:c r="J434" s="8" t="n">
        <x:v>100</x:v>
      </x:c>
      <x:c r="K434" s="8" t="n">
        <x:v>1.47</x:v>
      </x:c>
      <x:c r="L434" s="8" t="n">
        <x:v>0</x:v>
      </x:c>
      <x:c r="M434" s="8" t="n">
        <x:v>0</x:v>
      </x:c>
      <x:c r="N434" s="8" t="n">
        <x:v>700</x:v>
      </x:c>
      <x:c r="O434" s="8" t="n">
        <x:v>0</x:v>
      </x:c>
      <x:c r="P434" s="8" t="n">
        <x:v>1.23</x:v>
      </x:c>
      <x:c r="Q434" s="9" t="n">
        <x:v>12.67</x:v>
      </x:c>
      <x:c r="R434" s="1" t="str">
        <x:v>Review receipt reconciliation or original PO baseline</x:v>
      </x:c>
      <x:c r="S434" s="1" t="str">
        <x:v>Plastic Product Information.csv</x:v>
      </x:c>
    </x:row>
    <x:row r="435" ht="21" customHeight="1">
      <x:c r="A435" s="1" t="str">
        <x:v>PLAS</x:v>
      </x:c>
      <x:c r="B435" s="1" t="str">
        <x:v>60</x:v>
      </x:c>
      <x:c r="C435" s="1" t="str">
        <x:v>01419RWBFG</x:v>
      </x:c>
      <x:c r="D435" s="1" t="str">
        <x:v>GOLDEN CHAMPION IND. LIMITED</x:v>
      </x:c>
      <x:c r="E435" s="7" t="n">
        <x:v>46303</x:v>
      </x:c>
      <x:c r="F435" s="8" t="n">
        <x:v>2000</x:v>
      </x:c>
      <x:c r="G435" s="8" t="n">
        <x:v>33.33</x:v>
      </x:c>
      <x:c r="H435" s="8" t="n">
        <x:v>1.81</x:v>
      </x:c>
      <x:c r="I435" s="8" t="n">
        <x:v>1.44</x:v>
      </x:c>
      <x:c r="J435" s="8" t="n">
        <x:v>100</x:v>
      </x:c>
      <x:c r="K435" s="8" t="n">
        <x:v>1.47</x:v>
      </x:c>
      <x:c r="L435" s="8" t="n">
        <x:v>0</x:v>
      </x:c>
      <x:c r="M435" s="8" t="n">
        <x:v>0</x:v>
      </x:c>
      <x:c r="N435" s="8" t="n">
        <x:v>2000</x:v>
      </x:c>
      <x:c r="O435" s="8" t="n">
        <x:v>0</x:v>
      </x:c>
      <x:c r="P435" s="8" t="n">
        <x:v>1.23</x:v>
      </x:c>
      <x:c r="Q435" s="9" t="n">
        <x:v>36.2</x:v>
      </x:c>
      <x:c r="R435" s="1" t="str">
        <x:v>Review receipt reconciliation or original PO baseline</x:v>
      </x:c>
      <x:c r="S435" s="1" t="str">
        <x:v>Plastic Product Information.csv</x:v>
      </x:c>
    </x:row>
    <x:row r="436" ht="21" customHeight="1">
      <x:c r="A436" s="1" t="str">
        <x:v>PLAS</x:v>
      </x:c>
      <x:c r="B436" s="1" t="str">
        <x:v>60</x:v>
      </x:c>
      <x:c r="C436" s="1" t="str">
        <x:v>05819RWBBLU</x:v>
      </x:c>
      <x:c r="D436" s="1" t="str">
        <x:v>GOLDEN CHAMPION IND. LIMITED</x:v>
      </x:c>
      <x:c r="E436" s="7" t="n">
        <x:v>46303</x:v>
      </x:c>
      <x:c r="F436" s="8" t="n">
        <x:v>600</x:v>
      </x:c>
      <x:c r="G436" s="8" t="n">
        <x:v>33.33</x:v>
      </x:c>
      <x:c r="H436" s="8" t="n">
        <x:v>4.56</x:v>
      </x:c>
      <x:c r="I436" s="8" t="n">
        <x:v>3.63</x:v>
      </x:c>
      <x:c r="J436" s="8" t="n">
        <x:v>100</x:v>
      </x:c>
      <x:c r="K436" s="8" t="n">
        <x:v>1.47</x:v>
      </x:c>
      <x:c r="L436" s="8" t="n">
        <x:v>0</x:v>
      </x:c>
      <x:c r="M436" s="8" t="n">
        <x:v>0</x:v>
      </x:c>
      <x:c r="N436" s="8" t="n">
        <x:v>600</x:v>
      </x:c>
      <x:c r="O436" s="8" t="n">
        <x:v>0</x:v>
      </x:c>
      <x:c r="P436" s="8" t="n">
        <x:v>3.1</x:v>
      </x:c>
      <x:c r="Q436" s="9" t="n">
        <x:v>27.359999999999996</x:v>
      </x:c>
      <x:c r="R436" s="1" t="str">
        <x:v>Review receipt reconciliation or original PO baseline</x:v>
      </x:c>
      <x:c r="S436" s="1" t="str">
        <x:v>Plastic Product Information.csv</x:v>
      </x:c>
    </x:row>
    <x:row r="437" ht="21" customHeight="1">
      <x:c r="A437" s="1" t="str">
        <x:v>PLAS</x:v>
      </x:c>
      <x:c r="B437" s="1" t="str">
        <x:v>60</x:v>
      </x:c>
      <x:c r="C437" s="1" t="str">
        <x:v>07819RWBBLU</x:v>
      </x:c>
      <x:c r="D437" s="1" t="str">
        <x:v>GOLDEN CHAMPION IND. LIMITED</x:v>
      </x:c>
      <x:c r="E437" s="7" t="n">
        <x:v>46303</x:v>
      </x:c>
      <x:c r="F437" s="8" t="n">
        <x:v>1100</x:v>
      </x:c>
      <x:c r="G437" s="8" t="n">
        <x:v>33.33</x:v>
      </x:c>
      <x:c r="H437" s="8" t="n">
        <x:v>7.97</x:v>
      </x:c>
      <x:c r="I437" s="8" t="n">
        <x:v>6.34</x:v>
      </x:c>
      <x:c r="J437" s="8" t="n">
        <x:v>100</x:v>
      </x:c>
      <x:c r="K437" s="8" t="n">
        <x:v>1.47</x:v>
      </x:c>
      <x:c r="L437" s="8" t="n">
        <x:v>0</x:v>
      </x:c>
      <x:c r="M437" s="8" t="n">
        <x:v>0</x:v>
      </x:c>
      <x:c r="N437" s="8" t="n">
        <x:v>1100</x:v>
      </x:c>
      <x:c r="O437" s="8" t="n">
        <x:v>0</x:v>
      </x:c>
      <x:c r="P437" s="8" t="n">
        <x:v>5.42</x:v>
      </x:c>
      <x:c r="Q437" s="9" t="n">
        <x:v>87.67</x:v>
      </x:c>
      <x:c r="R437" s="1" t="str">
        <x:v>Review receipt reconciliation or original PO baseline</x:v>
      </x:c>
      <x:c r="S437" s="1" t="str">
        <x:v>Plastic Product Information.csv</x:v>
      </x:c>
    </x:row>
    <x:row r="438" ht="21" customHeight="1">
      <x:c r="A438" s="1" t="str">
        <x:v>PLAS</x:v>
      </x:c>
      <x:c r="B438" s="1" t="str">
        <x:v>60</x:v>
      </x:c>
      <x:c r="C438" s="1" t="str">
        <x:v>11419RSLNAV</x:v>
      </x:c>
      <x:c r="D438" s="1" t="str">
        <x:v>GOLDEN CHAMPION IND. LIMITED</x:v>
      </x:c>
      <x:c r="E438" s="7" t="n">
        <x:v>46303</x:v>
      </x:c>
      <x:c r="F438" s="8" t="n">
        <x:v>50</x:v>
      </x:c>
      <x:c r="G438" s="8" t="n">
        <x:v>33.33</x:v>
      </x:c>
      <x:c r="H438" s="8" t="n">
        <x:v>11.1</x:v>
      </x:c>
      <x:c r="I438" s="8" t="n">
        <x:v>8.83</x:v>
      </x:c>
      <x:c r="J438" s="8" t="n">
        <x:v>100</x:v>
      </x:c>
      <x:c r="K438" s="8" t="n">
        <x:v>1.47</x:v>
      </x:c>
      <x:c r="L438" s="8" t="n">
        <x:v>0</x:v>
      </x:c>
      <x:c r="M438" s="8" t="n">
        <x:v>0</x:v>
      </x:c>
      <x:c r="N438" s="8" t="n">
        <x:v>50</x:v>
      </x:c>
      <x:c r="O438" s="8" t="n">
        <x:v>0</x:v>
      </x:c>
      <x:c r="P438" s="8" t="n">
        <x:v>7.55</x:v>
      </x:c>
      <x:c r="Q438" s="9" t="n">
        <x:v>5.55</x:v>
      </x:c>
      <x:c r="R438" s="1" t="str">
        <x:v>Review receipt reconciliation or original PO baseline</x:v>
      </x:c>
      <x:c r="S438" s="1" t="str">
        <x:v>Plastic Product Information.csv</x:v>
      </x:c>
    </x:row>
    <x:row r="439" ht="21" customHeight="1">
      <x:c r="A439" s="1" t="str">
        <x:v>PLAS</x:v>
      </x:c>
      <x:c r="B439" s="1" t="str">
        <x:v>60</x:v>
      </x:c>
      <x:c r="C439" s="1" t="str">
        <x:v>51619RWBCLR</x:v>
      </x:c>
      <x:c r="D439" s="1" t="str">
        <x:v>GOLDEN CHAMPION IND. LIMITED</x:v>
      </x:c>
      <x:c r="E439" s="7" t="n">
        <x:v>46303</x:v>
      </x:c>
      <x:c r="F439" s="8" t="n">
        <x:v>1400</x:v>
      </x:c>
      <x:c r="G439" s="8" t="n">
        <x:v>33.33</x:v>
      </x:c>
      <x:c r="H439" s="8" t="n">
        <x:v>2.16</x:v>
      </x:c>
      <x:c r="I439" s="8" t="n">
        <x:v>1.72</x:v>
      </x:c>
      <x:c r="J439" s="8" t="n">
        <x:v>100</x:v>
      </x:c>
      <x:c r="K439" s="8" t="n">
        <x:v>1.47</x:v>
      </x:c>
      <x:c r="L439" s="8" t="n">
        <x:v>0</x:v>
      </x:c>
      <x:c r="M439" s="8" t="n">
        <x:v>0</x:v>
      </x:c>
      <x:c r="N439" s="8" t="n">
        <x:v>1400</x:v>
      </x:c>
      <x:c r="O439" s="8" t="n">
        <x:v>0</x:v>
      </x:c>
      <x:c r="P439" s="8" t="n">
        <x:v>1.47</x:v>
      </x:c>
      <x:c r="Q439" s="9" t="n">
        <x:v>30.240000000000002</x:v>
      </x:c>
      <x:c r="R439" s="1" t="str">
        <x:v>Review receipt reconciliation or original PO baseline</x:v>
      </x:c>
      <x:c r="S439" s="1" t="str">
        <x:v>Plastic Product Information.csv</x:v>
      </x:c>
    </x:row>
    <x:row r="440" ht="21" customHeight="1">
      <x:c r="A440" s="1" t="str">
        <x:v>PLAS</x:v>
      </x:c>
      <x:c r="B440" s="1" t="str">
        <x:v>60</x:v>
      </x:c>
      <x:c r="C440" s="1" t="str">
        <x:v>51619RWBFG</x:v>
      </x:c>
      <x:c r="D440" s="1" t="str">
        <x:v>GOLDEN CHAMPION IND. LIMITED</x:v>
      </x:c>
      <x:c r="E440" s="7" t="n">
        <x:v>46303</x:v>
      </x:c>
      <x:c r="F440" s="8" t="n">
        <x:v>1400</x:v>
      </x:c>
      <x:c r="G440" s="8" t="n">
        <x:v>33.33</x:v>
      </x:c>
      <x:c r="H440" s="8" t="n">
        <x:v>2.16</x:v>
      </x:c>
      <x:c r="I440" s="8" t="n">
        <x:v>1.72</x:v>
      </x:c>
      <x:c r="J440" s="8" t="n">
        <x:v>100</x:v>
      </x:c>
      <x:c r="K440" s="8" t="n">
        <x:v>1.47</x:v>
      </x:c>
      <x:c r="L440" s="8" t="n">
        <x:v>0</x:v>
      </x:c>
      <x:c r="M440" s="8" t="n">
        <x:v>0</x:v>
      </x:c>
      <x:c r="N440" s="8" t="n">
        <x:v>1400</x:v>
      </x:c>
      <x:c r="O440" s="8" t="n">
        <x:v>0</x:v>
      </x:c>
      <x:c r="P440" s="8" t="n">
        <x:v>1.47</x:v>
      </x:c>
      <x:c r="Q440" s="9" t="n">
        <x:v>30.240000000000002</x:v>
      </x:c>
      <x:c r="R440" s="1" t="str">
        <x:v>Review receipt reconciliation or original PO baseline</x:v>
      </x:c>
      <x:c r="S440" s="1" t="str">
        <x:v>Plastic Product Information.csv</x:v>
      </x:c>
    </x:row>
    <x:row r="441" ht="21" customHeight="1">
      <x:c r="A441" s="1" t="str">
        <x:v>PLAS</x:v>
      </x:c>
      <x:c r="B441" s="1" t="str">
        <x:v>10</x:v>
      </x:c>
      <x:c r="C441" s="1" t="str">
        <x:v>91615RWBWHT</x:v>
      </x:c>
      <x:c r="D441" s="1" t="str">
        <x:v>GOLDEN CHAMPION IND. LIMITED</x:v>
      </x:c>
      <x:c r="E441" s="7" t="n">
        <x:v>46303</x:v>
      </x:c>
      <x:c r="F441" s="8" t="n">
        <x:v>12420</x:v>
      </x:c>
      <x:c r="G441" s="8" t="n">
        <x:v>31.67</x:v>
      </x:c>
      <x:c r="H441" s="8" t="n">
        <x:v>2.91</x:v>
      </x:c>
      <x:c r="I441" s="8" t="n">
        <x:v>2.32</x:v>
      </x:c>
      <x:c r="J441" s="8" t="n">
        <x:v>100</x:v>
      </x:c>
      <x:c r="K441" s="8" t="n">
        <x:v>1.47</x:v>
      </x:c>
      <x:c r="L441" s="8" t="n">
        <x:v>0</x:v>
      </x:c>
      <x:c r="M441" s="8" t="n">
        <x:v>0</x:v>
      </x:c>
      <x:c r="N441" s="8" t="n">
        <x:v>12420</x:v>
      </x:c>
      <x:c r="O441" s="8" t="n">
        <x:v>0</x:v>
      </x:c>
      <x:c r="P441" s="8" t="n">
        <x:v>1.98</x:v>
      </x:c>
      <x:c r="Q441" s="9" t="n">
        <x:v>361.422</x:v>
      </x:c>
      <x:c r="R441" s="1" t="str">
        <x:v>Review receipt reconciliation or original PO baseline</x:v>
      </x:c>
      <x:c r="S441" s="1" t="str">
        <x:v>Plastic Product Information.csv</x:v>
      </x:c>
    </x:row>
    <x:row r="442" ht="21" customHeight="1">
      <x:c r="A442" s="1" t="str">
        <x:v>PLAS</x:v>
      </x:c>
      <x:c r="B442" s="1" t="str">
        <x:v>10</x:v>
      </x:c>
      <x:c r="C442" s="1" t="str">
        <x:v>00219RSLCLR</x:v>
      </x:c>
      <x:c r="D442" s="1" t="str">
        <x:v>GOLDEN CHAMPION IND. LIMITED</x:v>
      </x:c>
      <x:c r="E442" s="7" t="n">
        <x:v>46303</x:v>
      </x:c>
      <x:c r="F442" s="8" t="n">
        <x:v>360</x:v>
      </x:c>
      <x:c r="G442" s="8" t="n">
        <x:v>30.42</x:v>
      </x:c>
      <x:c r="H442" s="8" t="n">
        <x:v>14.77</x:v>
      </x:c>
      <x:c r="I442" s="8" t="n">
        <x:v>11.76</x:v>
      </x:c>
      <x:c r="J442" s="8" t="n">
        <x:v>100</x:v>
      </x:c>
      <x:c r="K442" s="8" t="n">
        <x:v>1.47</x:v>
      </x:c>
      <x:c r="L442" s="8" t="n">
        <x:v>360</x:v>
      </x:c>
      <x:c r="M442" s="8" t="n">
        <x:v>0</x:v>
      </x:c>
      <x:c r="N442" s="8" t="n">
        <x:v>0</x:v>
      </x:c>
      <x:c r="O442" s="8" t="n">
        <x:v>1</x:v>
      </x:c>
      <x:c r="P442" s="8" t="n">
        <x:v>10.05</x:v>
      </x:c>
      <x:c r="Q442" s="9" t="n">
        <x:v>53.172</x:v>
      </x:c>
      <x:c r="R442" s="1" t="str">
        <x:v>Classified</x:v>
      </x:c>
      <x:c r="S442" s="1" t="str">
        <x:v>Plastic Product Information.csv</x:v>
      </x:c>
    </x:row>
    <x:row r="443" ht="21" customHeight="1">
      <x:c r="A443" s="1" t="str">
        <x:v>PLAS</x:v>
      </x:c>
      <x:c r="B443" s="1" t="str">
        <x:v>10</x:v>
      </x:c>
      <x:c r="C443" s="1" t="str">
        <x:v>00219RSLFG</x:v>
      </x:c>
      <x:c r="D443" s="1" t="str">
        <x:v>GOLDEN CHAMPION IND. LIMITED</x:v>
      </x:c>
      <x:c r="E443" s="7" t="n">
        <x:v>46303</x:v>
      </x:c>
      <x:c r="F443" s="8" t="n">
        <x:v>880</x:v>
      </x:c>
      <x:c r="G443" s="8" t="n">
        <x:v>30</x:v>
      </x:c>
      <x:c r="H443" s="8" t="n">
        <x:v>14.77</x:v>
      </x:c>
      <x:c r="I443" s="8" t="n">
        <x:v>11.76</x:v>
      </x:c>
      <x:c r="J443" s="8" t="n">
        <x:v>100</x:v>
      </x:c>
      <x:c r="K443" s="8" t="n">
        <x:v>1.47</x:v>
      </x:c>
      <x:c r="L443" s="8" t="n">
        <x:v>0</x:v>
      </x:c>
      <x:c r="M443" s="8" t="n">
        <x:v>0</x:v>
      </x:c>
      <x:c r="N443" s="8" t="n">
        <x:v>880</x:v>
      </x:c>
      <x:c r="O443" s="8" t="n">
        <x:v>0</x:v>
      </x:c>
      <x:c r="P443" s="8" t="n">
        <x:v>10.05</x:v>
      </x:c>
      <x:c r="Q443" s="9" t="n">
        <x:v>129.976</x:v>
      </x:c>
      <x:c r="R443" s="1" t="str">
        <x:v>Review receipt reconciliation or original PO baseline</x:v>
      </x:c>
      <x:c r="S443" s="1" t="str">
        <x:v>Plastic Product Information.csv</x:v>
      </x:c>
    </x:row>
    <x:row r="444" ht="21" customHeight="1">
      <x:c r="A444" s="1" t="str">
        <x:v>PLAS</x:v>
      </x:c>
      <x:c r="B444" s="1" t="str">
        <x:v>10</x:v>
      </x:c>
      <x:c r="C444" s="1" t="str">
        <x:v>03815RWBBLU</x:v>
      </x:c>
      <x:c r="D444" s="1" t="str">
        <x:v>GOLDEN CHAMPION IND. LIMITED</x:v>
      </x:c>
      <x:c r="E444" s="7" t="n">
        <x:v>46303</x:v>
      </x:c>
      <x:c r="F444" s="8" t="n">
        <x:v>1700</x:v>
      </x:c>
      <x:c r="G444" s="8" t="n">
        <x:v>25</x:v>
      </x:c>
      <x:c r="H444" s="8" t="n">
        <x:v>1.25</x:v>
      </x:c>
      <x:c r="I444" s="8" t="n">
        <x:v>1.29</x:v>
      </x:c>
      <x:c r="J444" s="8" t="n">
        <x:v>100</x:v>
      </x:c>
      <x:c r="K444" s="8" t="n">
        <x:v>1.47</x:v>
      </x:c>
      <x:c r="L444" s="8" t="n">
        <x:v>0</x:v>
      </x:c>
      <x:c r="M444" s="8" t="n">
        <x:v>0</x:v>
      </x:c>
      <x:c r="N444" s="8" t="n">
        <x:v>1700</x:v>
      </x:c>
      <x:c r="O444" s="8" t="n">
        <x:v>0</x:v>
      </x:c>
      <x:c r="P444" s="8" t="n">
        <x:v>1.1</x:v>
      </x:c>
      <x:c r="Q444" s="9" t="n">
        <x:v>21.25</x:v>
      </x:c>
      <x:c r="R444" s="1" t="str">
        <x:v>Review receipt reconciliation or original PO baseline</x:v>
      </x:c>
      <x:c r="S444" s="1" t="str">
        <x:v>Plastic Product Information.csv</x:v>
      </x:c>
    </x:row>
    <x:row r="445" ht="21" customHeight="1">
      <x:c r="A445" s="1" t="str">
        <x:v>PLAS</x:v>
      </x:c>
      <x:c r="B445" s="1" t="str">
        <x:v>10</x:v>
      </x:c>
      <x:c r="C445" s="1" t="str">
        <x:v>07819RWBCLR</x:v>
      </x:c>
      <x:c r="D445" s="1" t="str">
        <x:v>GOLDEN CHAMPION IND. LIMITED</x:v>
      </x:c>
      <x:c r="E445" s="7" t="n">
        <x:v>46303</x:v>
      </x:c>
      <x:c r="F445" s="8" t="n">
        <x:v>1700</x:v>
      </x:c>
      <x:c r="G445" s="8" t="n">
        <x:v>25</x:v>
      </x:c>
      <x:c r="H445" s="8" t="n">
        <x:v>7.97</x:v>
      </x:c>
      <x:c r="I445" s="8" t="n">
        <x:v>6.34</x:v>
      </x:c>
      <x:c r="J445" s="8" t="n">
        <x:v>100</x:v>
      </x:c>
      <x:c r="K445" s="8" t="n">
        <x:v>1.47</x:v>
      </x:c>
      <x:c r="L445" s="8" t="n">
        <x:v>0</x:v>
      </x:c>
      <x:c r="M445" s="8" t="n">
        <x:v>0</x:v>
      </x:c>
      <x:c r="N445" s="8" t="n">
        <x:v>1700</x:v>
      </x:c>
      <x:c r="O445" s="8" t="n">
        <x:v>0</x:v>
      </x:c>
      <x:c r="P445" s="8" t="n">
        <x:v>5.42</x:v>
      </x:c>
      <x:c r="Q445" s="9" t="n">
        <x:v>135.49</x:v>
      </x:c>
      <x:c r="R445" s="1" t="str">
        <x:v>Review receipt reconciliation or original PO baseline</x:v>
      </x:c>
      <x:c r="S445" s="1" t="str">
        <x:v>Plastic Product Information.csv</x:v>
      </x:c>
    </x:row>
    <x:row r="446" ht="21" customHeight="1">
      <x:c r="A446" s="1" t="str">
        <x:v>PLAS</x:v>
      </x:c>
      <x:c r="B446" s="1" t="str">
        <x:v>10</x:v>
      </x:c>
      <x:c r="C446" s="1" t="str">
        <x:v>11215RSLBLK</x:v>
      </x:c>
      <x:c r="D446" s="1" t="str">
        <x:v>GOLDEN CHAMPION IND. LIMITED</x:v>
      </x:c>
      <x:c r="E446" s="7" t="n">
        <x:v>46303</x:v>
      </x:c>
      <x:c r="F446" s="8" t="n">
        <x:v>3938</x:v>
      </x:c>
      <x:c r="G446" s="8" t="n">
        <x:v>25</x:v>
      </x:c>
      <x:c r="H446" s="8" t="n">
        <x:v>8.86</x:v>
      </x:c>
      <x:c r="I446" s="8" t="n">
        <x:v>7.06</x:v>
      </x:c>
      <x:c r="J446" s="8" t="n">
        <x:v>100</x:v>
      </x:c>
      <x:c r="K446" s="8" t="n">
        <x:v>1.47</x:v>
      </x:c>
      <x:c r="L446" s="8" t="n">
        <x:v>0</x:v>
      </x:c>
      <x:c r="M446" s="8" t="n">
        <x:v>0</x:v>
      </x:c>
      <x:c r="N446" s="8" t="n">
        <x:v>3938</x:v>
      </x:c>
      <x:c r="O446" s="8" t="n">
        <x:v>0</x:v>
      </x:c>
      <x:c r="P446" s="8" t="n">
        <x:v>6.03</x:v>
      </x:c>
      <x:c r="Q446" s="9" t="n">
        <x:v>348.90680000000003</x:v>
      </x:c>
      <x:c r="R446" s="1" t="str">
        <x:v>Review receipt reconciliation or original PO baseline</x:v>
      </x:c>
      <x:c r="S446" s="1" t="str">
        <x:v>Plastic Product Information.csv</x:v>
      </x:c>
    </x:row>
    <x:row r="447" ht="21" customHeight="1">
      <x:c r="A447" s="1" t="str">
        <x:v>PLAS</x:v>
      </x:c>
      <x:c r="B447" s="1" t="str">
        <x:v>10</x:v>
      </x:c>
      <x:c r="C447" s="1" t="str">
        <x:v>13419RSLBLU</x:v>
      </x:c>
      <x:c r="D447" s="1" t="str">
        <x:v>GOLDEN CHAMPION IND. LIMITED</x:v>
      </x:c>
      <x:c r="E447" s="7" t="n">
        <x:v>46303</x:v>
      </x:c>
      <x:c r="F447" s="8" t="n">
        <x:v>950</x:v>
      </x:c>
      <x:c r="G447" s="8" t="n">
        <x:v>25</x:v>
      </x:c>
      <x:c r="H447" s="8" t="n">
        <x:v>14.57</x:v>
      </x:c>
      <x:c r="I447" s="8" t="n">
        <x:v>11.59</x:v>
      </x:c>
      <x:c r="J447" s="8" t="n">
        <x:v>100</x:v>
      </x:c>
      <x:c r="K447" s="8" t="n">
        <x:v>1.47</x:v>
      </x:c>
      <x:c r="L447" s="8" t="n">
        <x:v>0</x:v>
      </x:c>
      <x:c r="M447" s="8" t="n">
        <x:v>0</x:v>
      </x:c>
      <x:c r="N447" s="8" t="n">
        <x:v>950</x:v>
      </x:c>
      <x:c r="O447" s="8" t="n">
        <x:v>0</x:v>
      </x:c>
      <x:c r="P447" s="8" t="n">
        <x:v>9.91</x:v>
      </x:c>
      <x:c r="Q447" s="9" t="n">
        <x:v>138.415</x:v>
      </x:c>
      <x:c r="R447" s="1" t="str">
        <x:v>Review receipt reconciliation or original PO baseline</x:v>
      </x:c>
      <x:c r="S447" s="1" t="str">
        <x:v>Plastic Product Information.csv</x:v>
      </x:c>
    </x:row>
    <x:row r="448" ht="21" customHeight="1">
      <x:c r="A448" s="1" t="str">
        <x:v>PLAS</x:v>
      </x:c>
      <x:c r="B448" s="1" t="str">
        <x:v>60</x:v>
      </x:c>
      <x:c r="C448" s="1" t="str">
        <x:v>00119RWBFG</x:v>
      </x:c>
      <x:c r="D448" s="1" t="str">
        <x:v>GOLDEN CHAMPION IND. LIMITED</x:v>
      </x:c>
      <x:c r="E448" s="7" t="n">
        <x:v>46303</x:v>
      </x:c>
      <x:c r="F448" s="8" t="n">
        <x:v>350</x:v>
      </x:c>
      <x:c r="G448" s="8" t="n">
        <x:v>25</x:v>
      </x:c>
      <x:c r="H448" s="8" t="n">
        <x:v>10.54</x:v>
      </x:c>
      <x:c r="I448" s="8" t="n">
        <x:v>8.39</x:v>
      </x:c>
      <x:c r="J448" s="8" t="n">
        <x:v>100</x:v>
      </x:c>
      <x:c r="K448" s="8" t="n">
        <x:v>1.47</x:v>
      </x:c>
      <x:c r="L448" s="8" t="n">
        <x:v>0</x:v>
      </x:c>
      <x:c r="M448" s="8" t="n">
        <x:v>0</x:v>
      </x:c>
      <x:c r="N448" s="8" t="n">
        <x:v>350</x:v>
      </x:c>
      <x:c r="O448" s="8" t="n">
        <x:v>0</x:v>
      </x:c>
      <x:c r="P448" s="8" t="n">
        <x:v>7.17</x:v>
      </x:c>
      <x:c r="Q448" s="9" t="n">
        <x:v>36.88999999999999</x:v>
      </x:c>
      <x:c r="R448" s="1" t="str">
        <x:v>Review receipt reconciliation or original PO baseline</x:v>
      </x:c>
      <x:c r="S448" s="1" t="str">
        <x:v>Plastic Product Information.csv</x:v>
      </x:c>
    </x:row>
    <x:row r="449" ht="21" customHeight="1">
      <x:c r="A449" s="1" t="str">
        <x:v>PLAS</x:v>
      </x:c>
      <x:c r="B449" s="1" t="str">
        <x:v>60</x:v>
      </x:c>
      <x:c r="C449" s="1" t="str">
        <x:v>13419RSLWHT</x:v>
      </x:c>
      <x:c r="D449" s="1" t="str">
        <x:v>GOLDEN CHAMPION IND. LIMITED</x:v>
      </x:c>
      <x:c r="E449" s="7" t="n">
        <x:v>46303</x:v>
      </x:c>
      <x:c r="F449" s="8" t="n">
        <x:v>1000</x:v>
      </x:c>
      <x:c r="G449" s="8" t="n">
        <x:v>25</x:v>
      </x:c>
      <x:c r="H449" s="8" t="n">
        <x:v>14.57</x:v>
      </x:c>
      <x:c r="I449" s="8" t="n">
        <x:v>11.59</x:v>
      </x:c>
      <x:c r="J449" s="8" t="n">
        <x:v>100</x:v>
      </x:c>
      <x:c r="K449" s="8" t="n">
        <x:v>1.47</x:v>
      </x:c>
      <x:c r="L449" s="8" t="n">
        <x:v>0</x:v>
      </x:c>
      <x:c r="M449" s="8" t="n">
        <x:v>0</x:v>
      </x:c>
      <x:c r="N449" s="8" t="n">
        <x:v>1000</x:v>
      </x:c>
      <x:c r="O449" s="8" t="n">
        <x:v>0</x:v>
      </x:c>
      <x:c r="P449" s="8" t="n">
        <x:v>9.91</x:v>
      </x:c>
      <x:c r="Q449" s="9" t="n">
        <x:v>145.70000000000002</x:v>
      </x:c>
      <x:c r="R449" s="1" t="str">
        <x:v>Review receipt reconciliation or original PO baseline</x:v>
      </x:c>
      <x:c r="S449" s="1" t="str">
        <x:v>Plastic Product Information.csv</x:v>
      </x:c>
    </x:row>
    <x:row r="450" ht="21" customHeight="1">
      <x:c r="A450" s="1" t="str">
        <x:v>PLAS</x:v>
      </x:c>
      <x:c r="B450" s="1" t="str">
        <x:v>10</x:v>
      </x:c>
      <x:c r="C450" s="1" t="str">
        <x:v>13421RSLBLK</x:v>
      </x:c>
      <x:c r="D450" s="1" t="str">
        <x:v>GOLDEN CHAMPION IND. LIMITED</x:v>
      </x:c>
      <x:c r="E450" s="7" t="n">
        <x:v>46303</x:v>
      </x:c>
      <x:c r="F450" s="8" t="n">
        <x:v>1725</x:v>
      </x:c>
      <x:c r="G450" s="8" t="n">
        <x:v>21.5</x:v>
      </x:c>
      <x:c r="H450" s="8" t="n">
        <x:v>14.21</x:v>
      </x:c>
      <x:c r="I450" s="8" t="n">
        <x:v>11.31</x:v>
      </x:c>
      <x:c r="J450" s="8" t="n">
        <x:v>100</x:v>
      </x:c>
      <x:c r="K450" s="8" t="n">
        <x:v>1.47</x:v>
      </x:c>
      <x:c r="L450" s="8" t="n">
        <x:v>0</x:v>
      </x:c>
      <x:c r="M450" s="8" t="n">
        <x:v>0</x:v>
      </x:c>
      <x:c r="N450" s="8" t="n">
        <x:v>1725</x:v>
      </x:c>
      <x:c r="O450" s="8" t="n">
        <x:v>0</x:v>
      </x:c>
      <x:c r="P450" s="8" t="n">
        <x:v>9.67</x:v>
      </x:c>
      <x:c r="Q450" s="9" t="n">
        <x:v>245.1225</x:v>
      </x:c>
      <x:c r="R450" s="1" t="str">
        <x:v>Review receipt reconciliation or original PO baseline</x:v>
      </x:c>
      <x:c r="S450" s="1" t="str">
        <x:v>Plastic Product Information.csv</x:v>
      </x:c>
    </x:row>
    <x:row r="451" ht="21" customHeight="1">
      <x:c r="A451" s="1" t="str">
        <x:v>PLAS</x:v>
      </x:c>
      <x:c r="B451" s="1" t="str">
        <x:v>10</x:v>
      </x:c>
      <x:c r="C451" s="1" t="str">
        <x:v>13419RSLRED</x:v>
      </x:c>
      <x:c r="D451" s="1" t="str">
        <x:v>GOLDEN CHAMPION IND. LIMITED</x:v>
      </x:c>
      <x:c r="E451" s="7" t="n">
        <x:v>46303</x:v>
      </x:c>
      <x:c r="F451" s="8" t="n">
        <x:v>1150</x:v>
      </x:c>
      <x:c r="G451" s="8" t="n">
        <x:v>20.84</x:v>
      </x:c>
      <x:c r="H451" s="8" t="n">
        <x:v>14.57</x:v>
      </x:c>
      <x:c r="I451" s="8" t="n">
        <x:v>11.59</x:v>
      </x:c>
      <x:c r="J451" s="8" t="n">
        <x:v>100</x:v>
      </x:c>
      <x:c r="K451" s="8" t="n">
        <x:v>1.47</x:v>
      </x:c>
      <x:c r="L451" s="8" t="n">
        <x:v>0</x:v>
      </x:c>
      <x:c r="M451" s="8" t="n">
        <x:v>0</x:v>
      </x:c>
      <x:c r="N451" s="8" t="n">
        <x:v>1150</x:v>
      </x:c>
      <x:c r="O451" s="8" t="n">
        <x:v>0</x:v>
      </x:c>
      <x:c r="P451" s="8" t="n">
        <x:v>9.91</x:v>
      </x:c>
      <x:c r="Q451" s="9" t="n">
        <x:v>167.555</x:v>
      </x:c>
      <x:c r="R451" s="1" t="str">
        <x:v>Review receipt reconciliation or original PO baseline</x:v>
      </x:c>
      <x:c r="S451" s="1" t="str">
        <x:v>Plastic Product Information.csv</x:v>
      </x:c>
    </x:row>
    <x:row r="452" ht="21" customHeight="1">
      <x:c r="A452" s="1" t="str">
        <x:v>PLAS</x:v>
      </x:c>
      <x:c r="B452" s="1" t="str">
        <x:v>10</x:v>
      </x:c>
      <x:c r="C452" s="1" t="str">
        <x:v>13419RSLMAR</x:v>
      </x:c>
      <x:c r="D452" s="1" t="str">
        <x:v>GOLDEN CHAMPION IND. LIMITED</x:v>
      </x:c>
      <x:c r="E452" s="7" t="n">
        <x:v>46303</x:v>
      </x:c>
      <x:c r="F452" s="8" t="n">
        <x:v>150</x:v>
      </x:c>
      <x:c r="G452" s="8" t="n">
        <x:v>20.83</x:v>
      </x:c>
      <x:c r="H452" s="8" t="n">
        <x:v>14.57</x:v>
      </x:c>
      <x:c r="I452" s="8" t="n">
        <x:v>11.59</x:v>
      </x:c>
      <x:c r="J452" s="8" t="n">
        <x:v>100</x:v>
      </x:c>
      <x:c r="K452" s="8" t="n">
        <x:v>1.47</x:v>
      </x:c>
      <x:c r="L452" s="8" t="n">
        <x:v>0</x:v>
      </x:c>
      <x:c r="M452" s="8" t="n">
        <x:v>0</x:v>
      </x:c>
      <x:c r="N452" s="8" t="n">
        <x:v>150</x:v>
      </x:c>
      <x:c r="O452" s="8" t="n">
        <x:v>0</x:v>
      </x:c>
      <x:c r="P452" s="8" t="n">
        <x:v>9.91</x:v>
      </x:c>
      <x:c r="Q452" s="9" t="n">
        <x:v>21.855</x:v>
      </x:c>
      <x:c r="R452" s="1" t="str">
        <x:v>Review receipt reconciliation or original PO baseline</x:v>
      </x:c>
      <x:c r="S452" s="1" t="str">
        <x:v>Plastic Product Information.csv</x:v>
      </x:c>
    </x:row>
    <x:row r="453" ht="21" customHeight="1">
      <x:c r="A453" s="1" t="str">
        <x:v>PLAS</x:v>
      </x:c>
      <x:c r="B453" s="1" t="str">
        <x:v>10</x:v>
      </x:c>
      <x:c r="C453" s="1" t="str">
        <x:v>71621RWBBLK</x:v>
      </x:c>
      <x:c r="D453" s="1" t="str">
        <x:v>GOLDEN CHAMPION IND. LIMITED</x:v>
      </x:c>
      <x:c r="E453" s="7" t="n">
        <x:v>46303</x:v>
      </x:c>
      <x:c r="F453" s="8" t="n">
        <x:v>2050</x:v>
      </x:c>
      <x:c r="G453" s="8" t="n">
        <x:v>18.33</x:v>
      </x:c>
      <x:c r="H453" s="8" t="n">
        <x:v>3.09</x:v>
      </x:c>
      <x:c r="I453" s="8" t="n">
        <x:v>2.46</x:v>
      </x:c>
      <x:c r="J453" s="8" t="n">
        <x:v>100</x:v>
      </x:c>
      <x:c r="K453" s="8" t="n">
        <x:v>1.47</x:v>
      </x:c>
      <x:c r="L453" s="8" t="n">
        <x:v>0</x:v>
      </x:c>
      <x:c r="M453" s="8" t="n">
        <x:v>0</x:v>
      </x:c>
      <x:c r="N453" s="8" t="n">
        <x:v>2050</x:v>
      </x:c>
      <x:c r="O453" s="8" t="n">
        <x:v>0</x:v>
      </x:c>
      <x:c r="P453" s="8" t="n">
        <x:v>2.1</x:v>
      </x:c>
      <x:c r="Q453" s="9" t="n">
        <x:v>63.345</x:v>
      </x:c>
      <x:c r="R453" s="1" t="str">
        <x:v>Review receipt reconciliation or original PO baseline</x:v>
      </x:c>
      <x:c r="S453" s="1" t="str">
        <x:v>Plastic Product Information.csv</x:v>
      </x:c>
    </x:row>
    <x:row r="454" ht="21" customHeight="1">
      <x:c r="A454" s="1" t="str">
        <x:v>PLAS</x:v>
      </x:c>
      <x:c r="B454" s="1" t="str">
        <x:v>10</x:v>
      </x:c>
      <x:c r="C454" s="1" t="str">
        <x:v>00215RSLBLK</x:v>
      </x:c>
      <x:c r="D454" s="1" t="str">
        <x:v>GOLDEN CHAMPION IND. LIMITED</x:v>
      </x:c>
      <x:c r="E454" s="7" t="n">
        <x:v>46303</x:v>
      </x:c>
      <x:c r="F454" s="8" t="n">
        <x:v>1920</x:v>
      </x:c>
      <x:c r="G454" s="8" t="n">
        <x:v>16.67</x:v>
      </x:c>
      <x:c r="H454" s="8" t="n">
        <x:v>10.19</x:v>
      </x:c>
      <x:c r="I454" s="8" t="n">
        <x:v>8.11</x:v>
      </x:c>
      <x:c r="J454" s="8" t="n">
        <x:v>100</x:v>
      </x:c>
      <x:c r="K454" s="8" t="n">
        <x:v>1.47</x:v>
      </x:c>
      <x:c r="L454" s="8" t="n">
        <x:v>0</x:v>
      </x:c>
      <x:c r="M454" s="8" t="n">
        <x:v>0</x:v>
      </x:c>
      <x:c r="N454" s="8" t="n">
        <x:v>1920</x:v>
      </x:c>
      <x:c r="O454" s="8" t="n">
        <x:v>0</x:v>
      </x:c>
      <x:c r="P454" s="8" t="n">
        <x:v>6.93</x:v>
      </x:c>
      <x:c r="Q454" s="9" t="n">
        <x:v>195.648</x:v>
      </x:c>
      <x:c r="R454" s="1" t="str">
        <x:v>Review receipt reconciliation or original PO baseline</x:v>
      </x:c>
      <x:c r="S454" s="1" t="str">
        <x:v>Plastic Product Information.csv</x:v>
      </x:c>
    </x:row>
    <x:row r="455" ht="21" customHeight="1">
      <x:c r="A455" s="1" t="str">
        <x:v>PLAS</x:v>
      </x:c>
      <x:c r="B455" s="1" t="str">
        <x:v>10</x:v>
      </x:c>
      <x:c r="C455" s="1" t="str">
        <x:v>03815RWBFG</x:v>
      </x:c>
      <x:c r="D455" s="1" t="str">
        <x:v>GOLDEN CHAMPION IND. LIMITED</x:v>
      </x:c>
      <x:c r="E455" s="7" t="n">
        <x:v>46303</x:v>
      </x:c>
      <x:c r="F455" s="8" t="n">
        <x:v>10000</x:v>
      </x:c>
      <x:c r="G455" s="8" t="n">
        <x:v>16.67</x:v>
      </x:c>
      <x:c r="H455" s="8" t="n">
        <x:v>1.25</x:v>
      </x:c>
      <x:c r="I455" s="8" t="n">
        <x:v>1.29</x:v>
      </x:c>
      <x:c r="J455" s="8" t="n">
        <x:v>100</x:v>
      </x:c>
      <x:c r="K455" s="8" t="n">
        <x:v>1.47</x:v>
      </x:c>
      <x:c r="L455" s="8" t="n">
        <x:v>0</x:v>
      </x:c>
      <x:c r="M455" s="8" t="n">
        <x:v>0</x:v>
      </x:c>
      <x:c r="N455" s="8" t="n">
        <x:v>10000</x:v>
      </x:c>
      <x:c r="O455" s="8" t="n">
        <x:v>0</x:v>
      </x:c>
      <x:c r="P455" s="8" t="n">
        <x:v>1.1</x:v>
      </x:c>
      <x:c r="Q455" s="9" t="n">
        <x:v>125</x:v>
      </x:c>
      <x:c r="R455" s="1" t="str">
        <x:v>Review receipt reconciliation or original PO baseline</x:v>
      </x:c>
      <x:c r="S455" s="1" t="str">
        <x:v>Plastic Product Information.csv</x:v>
      </x:c>
    </x:row>
    <x:row r="456" ht="21" customHeight="1">
      <x:c r="A456" s="1" t="str">
        <x:v>PLAS</x:v>
      </x:c>
      <x:c r="B456" s="1" t="str">
        <x:v>10</x:v>
      </x:c>
      <x:c r="C456" s="1" t="str">
        <x:v>03821RWBWHT</x:v>
      </x:c>
      <x:c r="D456" s="1" t="str">
        <x:v>GOLDEN CHAMPION IND. LIMITED</x:v>
      </x:c>
      <x:c r="E456" s="7" t="n">
        <x:v>46303</x:v>
      </x:c>
      <x:c r="F456" s="8" t="n">
        <x:v>1217</x:v>
      </x:c>
      <x:c r="G456" s="8" t="n">
        <x:v>16.67</x:v>
      </x:c>
      <x:c r="H456" s="8" t="n">
        <x:v>2.29</x:v>
      </x:c>
      <x:c r="I456" s="8" t="n">
        <x:v>1.83</x:v>
      </x:c>
      <x:c r="J456" s="8" t="n">
        <x:v>100</x:v>
      </x:c>
      <x:c r="K456" s="8" t="n">
        <x:v>1.47</x:v>
      </x:c>
      <x:c r="L456" s="8" t="n">
        <x:v>0</x:v>
      </x:c>
      <x:c r="M456" s="8" t="n">
        <x:v>0</x:v>
      </x:c>
      <x:c r="N456" s="8" t="n">
        <x:v>1217</x:v>
      </x:c>
      <x:c r="O456" s="8" t="n">
        <x:v>0</x:v>
      </x:c>
      <x:c r="P456" s="8" t="n">
        <x:v>1.56</x:v>
      </x:c>
      <x:c r="Q456" s="9" t="n">
        <x:v>27.8693</x:v>
      </x:c>
      <x:c r="R456" s="1" t="str">
        <x:v>Review receipt reconciliation or original PO baseline</x:v>
      </x:c>
      <x:c r="S456" s="1" t="str">
        <x:v>Plastic Product Information.csv</x:v>
      </x:c>
    </x:row>
    <x:row r="457" ht="21" customHeight="1">
      <x:c r="A457" s="1" t="str">
        <x:v>PLAS</x:v>
      </x:c>
      <x:c r="B457" s="1" t="str">
        <x:v>10</x:v>
      </x:c>
      <x:c r="C457" s="1" t="str">
        <x:v>11215RSLWHT</x:v>
      </x:c>
      <x:c r="D457" s="1" t="str">
        <x:v>GOLDEN CHAMPION IND. LIMITED</x:v>
      </x:c>
      <x:c r="E457" s="7" t="n">
        <x:v>46303</x:v>
      </x:c>
      <x:c r="F457" s="8" t="n">
        <x:v>4555</x:v>
      </x:c>
      <x:c r="G457" s="8" t="n">
        <x:v>16.67</x:v>
      </x:c>
      <x:c r="H457" s="8" t="n">
        <x:v>8.86</x:v>
      </x:c>
      <x:c r="I457" s="8" t="n">
        <x:v>7.06</x:v>
      </x:c>
      <x:c r="J457" s="8" t="n">
        <x:v>100</x:v>
      </x:c>
      <x:c r="K457" s="8" t="n">
        <x:v>1.47</x:v>
      </x:c>
      <x:c r="L457" s="8" t="n">
        <x:v>3555</x:v>
      </x:c>
      <x:c r="M457" s="8" t="n">
        <x:v>1000</x:v>
      </x:c>
      <x:c r="N457" s="8" t="n">
        <x:v>0</x:v>
      </x:c>
      <x:c r="O457" s="8" t="n">
        <x:v>1</x:v>
      </x:c>
      <x:c r="P457" s="8" t="n">
        <x:v>6.03</x:v>
      </x:c>
      <x:c r="Q457" s="9" t="n">
        <x:v>403.573</x:v>
      </x:c>
      <x:c r="R457" s="1" t="str">
        <x:v>Classified</x:v>
      </x:c>
      <x:c r="S457" s="1" t="str">
        <x:v>Plastic Product Information.csv</x:v>
      </x:c>
    </x:row>
    <x:row r="458" ht="21" customHeight="1">
      <x:c r="A458" s="1" t="str">
        <x:v>PLAS</x:v>
      </x:c>
      <x:c r="B458" s="1" t="str">
        <x:v>10</x:v>
      </x:c>
      <x:c r="C458" s="1" t="str">
        <x:v>11219RSLCLR</x:v>
      </x:c>
      <x:c r="D458" s="1" t="str">
        <x:v>GOLDEN CHAMPION IND. LIMITED</x:v>
      </x:c>
      <x:c r="E458" s="7" t="n">
        <x:v>46303</x:v>
      </x:c>
      <x:c r="F458" s="8" t="n">
        <x:v>1300</x:v>
      </x:c>
      <x:c r="G458" s="8" t="n">
        <x:v>16.67</x:v>
      </x:c>
      <x:c r="H458" s="8" t="n">
        <x:v>12.98</x:v>
      </x:c>
      <x:c r="I458" s="8" t="n">
        <x:v>10.33</x:v>
      </x:c>
      <x:c r="J458" s="8" t="n">
        <x:v>100</x:v>
      </x:c>
      <x:c r="K458" s="8" t="n">
        <x:v>1.47</x:v>
      </x:c>
      <x:c r="L458" s="8" t="n">
        <x:v>1300</x:v>
      </x:c>
      <x:c r="M458" s="8" t="n">
        <x:v>0</x:v>
      </x:c>
      <x:c r="N458" s="8" t="n">
        <x:v>0</x:v>
      </x:c>
      <x:c r="O458" s="8" t="n">
        <x:v>1</x:v>
      </x:c>
      <x:c r="P458" s="8" t="n">
        <x:v>8.83</x:v>
      </x:c>
      <x:c r="Q458" s="9" t="n">
        <x:v>168.74</x:v>
      </x:c>
      <x:c r="R458" s="1" t="str">
        <x:v>Classified</x:v>
      </x:c>
      <x:c r="S458" s="1" t="str">
        <x:v>Plastic Product Information.csv</x:v>
      </x:c>
    </x:row>
    <x:row r="459" ht="21" customHeight="1">
      <x:c r="A459" s="1" t="str">
        <x:v>PLAS</x:v>
      </x:c>
      <x:c r="B459" s="1" t="str">
        <x:v>10</x:v>
      </x:c>
      <x:c r="C459" s="1" t="str">
        <x:v>11419RSLMAR</x:v>
      </x:c>
      <x:c r="D459" s="1" t="str">
        <x:v>GOLDEN CHAMPION IND. LIMITED</x:v>
      </x:c>
      <x:c r="E459" s="7" t="n">
        <x:v>46303</x:v>
      </x:c>
      <x:c r="F459" s="8" t="n">
        <x:v>2550</x:v>
      </x:c>
      <x:c r="G459" s="8" t="n">
        <x:v>16.67</x:v>
      </x:c>
      <x:c r="H459" s="8" t="n">
        <x:v>11.1</x:v>
      </x:c>
      <x:c r="I459" s="8" t="n">
        <x:v>8.83</x:v>
      </x:c>
      <x:c r="J459" s="8" t="n">
        <x:v>100</x:v>
      </x:c>
      <x:c r="K459" s="8" t="n">
        <x:v>1.47</x:v>
      </x:c>
      <x:c r="L459" s="8" t="n">
        <x:v>0</x:v>
      </x:c>
      <x:c r="M459" s="8" t="n">
        <x:v>0</x:v>
      </x:c>
      <x:c r="N459" s="8" t="n">
        <x:v>2550</x:v>
      </x:c>
      <x:c r="O459" s="8" t="n">
        <x:v>0</x:v>
      </x:c>
      <x:c r="P459" s="8" t="n">
        <x:v>7.55</x:v>
      </x:c>
      <x:c r="Q459" s="9" t="n">
        <x:v>283.05</x:v>
      </x:c>
      <x:c r="R459" s="1" t="str">
        <x:v>Review receipt reconciliation or original PO baseline</x:v>
      </x:c>
      <x:c r="S459" s="1" t="str">
        <x:v>Plastic Product Information.csv</x:v>
      </x:c>
    </x:row>
    <x:row r="460" ht="21" customHeight="1">
      <x:c r="A460" s="1" t="str">
        <x:v>PLAS</x:v>
      </x:c>
      <x:c r="B460" s="1" t="str">
        <x:v>10</x:v>
      </x:c>
      <x:c r="C460" s="1" t="str">
        <x:v>13415RSLMAR</x:v>
      </x:c>
      <x:c r="D460" s="1" t="str">
        <x:v>GOLDEN CHAMPION IND. LIMITED</x:v>
      </x:c>
      <x:c r="E460" s="7" t="n">
        <x:v>46303</x:v>
      </x:c>
      <x:c r="F460" s="8" t="n">
        <x:v>600</x:v>
      </x:c>
      <x:c r="G460" s="8" t="n">
        <x:v>16.67</x:v>
      </x:c>
      <x:c r="H460" s="8" t="n">
        <x:v>8.1</x:v>
      </x:c>
      <x:c r="I460" s="8" t="n">
        <x:v>8</x:v>
      </x:c>
      <x:c r="J460" s="8" t="n">
        <x:v>100</x:v>
      </x:c>
      <x:c r="K460" s="8" t="n">
        <x:v>1.47</x:v>
      </x:c>
      <x:c r="L460" s="8" t="n">
        <x:v>0</x:v>
      </x:c>
      <x:c r="M460" s="8" t="n">
        <x:v>0</x:v>
      </x:c>
      <x:c r="N460" s="8" t="n">
        <x:v>600</x:v>
      </x:c>
      <x:c r="O460" s="8" t="n">
        <x:v>0</x:v>
      </x:c>
      <x:c r="P460" s="8" t="n">
        <x:v>6.84</x:v>
      </x:c>
      <x:c r="Q460" s="9" t="n">
        <x:v>48.6</x:v>
      </x:c>
      <x:c r="R460" s="1" t="str">
        <x:v>Review receipt reconciliation or original PO baseline</x:v>
      </x:c>
      <x:c r="S460" s="1" t="str">
        <x:v>Plastic Product Information.csv</x:v>
      </x:c>
    </x:row>
    <x:row r="461" ht="21" customHeight="1">
      <x:c r="A461" s="1" t="str">
        <x:v>PLAS</x:v>
      </x:c>
      <x:c r="B461" s="1" t="str">
        <x:v>30</x:v>
      </x:c>
      <x:c r="C461" s="1" t="str">
        <x:v>00119RWBCLR</x:v>
      </x:c>
      <x:c r="D461" s="1" t="str">
        <x:v>GOLDEN CHAMPION IND. LIMITED</x:v>
      </x:c>
      <x:c r="E461" s="7" t="n">
        <x:v>46303</x:v>
      </x:c>
      <x:c r="F461" s="8" t="n">
        <x:v>250</x:v>
      </x:c>
      <x:c r="G461" s="8" t="n">
        <x:v>16.67</x:v>
      </x:c>
      <x:c r="H461" s="8" t="n">
        <x:v>10.54</x:v>
      </x:c>
      <x:c r="I461" s="8" t="n">
        <x:v>8.39</x:v>
      </x:c>
      <x:c r="J461" s="8" t="n">
        <x:v>100</x:v>
      </x:c>
      <x:c r="K461" s="8" t="n">
        <x:v>1.47</x:v>
      </x:c>
      <x:c r="L461" s="8" t="n">
        <x:v>0</x:v>
      </x:c>
      <x:c r="M461" s="8" t="n">
        <x:v>0</x:v>
      </x:c>
      <x:c r="N461" s="8" t="n">
        <x:v>250</x:v>
      </x:c>
      <x:c r="O461" s="8" t="n">
        <x:v>0</x:v>
      </x:c>
      <x:c r="P461" s="8" t="n">
        <x:v>7.17</x:v>
      </x:c>
      <x:c r="Q461" s="9" t="n">
        <x:v>26.35</x:v>
      </x:c>
      <x:c r="R461" s="1" t="str">
        <x:v>Review receipt reconciliation or original PO baseline</x:v>
      </x:c>
      <x:c r="S461" s="1" t="str">
        <x:v>Plastic Product Information.csv</x:v>
      </x:c>
    </x:row>
    <x:row r="462" ht="21" customHeight="1">
      <x:c r="A462" s="1" t="str">
        <x:v>PLAS</x:v>
      </x:c>
      <x:c r="B462" s="1" t="str">
        <x:v>30</x:v>
      </x:c>
      <x:c r="C462" s="1" t="str">
        <x:v>00119RWBRED</x:v>
      </x:c>
      <x:c r="D462" s="1" t="str">
        <x:v>GOLDEN CHAMPION IND. LIMITED</x:v>
      </x:c>
      <x:c r="E462" s="7" t="n">
        <x:v>46303</x:v>
      </x:c>
      <x:c r="F462" s="8" t="n">
        <x:v>550</x:v>
      </x:c>
      <x:c r="G462" s="8" t="n">
        <x:v>16.67</x:v>
      </x:c>
      <x:c r="H462" s="8" t="n">
        <x:v>10.54</x:v>
      </x:c>
      <x:c r="I462" s="8" t="n">
        <x:v>8.39</x:v>
      </x:c>
      <x:c r="J462" s="8" t="n">
        <x:v>100</x:v>
      </x:c>
      <x:c r="K462" s="8" t="n">
        <x:v>1.47</x:v>
      </x:c>
      <x:c r="L462" s="8" t="n">
        <x:v>0</x:v>
      </x:c>
      <x:c r="M462" s="8" t="n">
        <x:v>0</x:v>
      </x:c>
      <x:c r="N462" s="8" t="n">
        <x:v>550</x:v>
      </x:c>
      <x:c r="O462" s="8" t="n">
        <x:v>0</x:v>
      </x:c>
      <x:c r="P462" s="8" t="n">
        <x:v>7.17</x:v>
      </x:c>
      <x:c r="Q462" s="9" t="n">
        <x:v>57.96999999999999</x:v>
      </x:c>
      <x:c r="R462" s="1" t="str">
        <x:v>Review receipt reconciliation or original PO baseline</x:v>
      </x:c>
      <x:c r="S462" s="1" t="str">
        <x:v>Plastic Product Information.csv</x:v>
      </x:c>
    </x:row>
    <x:row r="463" ht="21" customHeight="1">
      <x:c r="A463" s="1" t="str">
        <x:v>PLAS</x:v>
      </x:c>
      <x:c r="B463" s="1" t="str">
        <x:v>30</x:v>
      </x:c>
      <x:c r="C463" s="1" t="str">
        <x:v>00215RSLBLK</x:v>
      </x:c>
      <x:c r="D463" s="1" t="str">
        <x:v>GOLDEN CHAMPION IND. LIMITED</x:v>
      </x:c>
      <x:c r="E463" s="7" t="n">
        <x:v>46303</x:v>
      </x:c>
      <x:c r="F463" s="8" t="n">
        <x:v>680</x:v>
      </x:c>
      <x:c r="G463" s="8" t="n">
        <x:v>16.67</x:v>
      </x:c>
      <x:c r="H463" s="8" t="n">
        <x:v>10.19</x:v>
      </x:c>
      <x:c r="I463" s="8" t="n">
        <x:v>8.11</x:v>
      </x:c>
      <x:c r="J463" s="8" t="n">
        <x:v>100</x:v>
      </x:c>
      <x:c r="K463" s="8" t="n">
        <x:v>1.47</x:v>
      </x:c>
      <x:c r="L463" s="8" t="n">
        <x:v>0</x:v>
      </x:c>
      <x:c r="M463" s="8" t="n">
        <x:v>0</x:v>
      </x:c>
      <x:c r="N463" s="8" t="n">
        <x:v>680</x:v>
      </x:c>
      <x:c r="O463" s="8" t="n">
        <x:v>0</x:v>
      </x:c>
      <x:c r="P463" s="8" t="n">
        <x:v>6.93</x:v>
      </x:c>
      <x:c r="Q463" s="9" t="n">
        <x:v>69.292</x:v>
      </x:c>
      <x:c r="R463" s="1" t="str">
        <x:v>Review receipt reconciliation or original PO baseline</x:v>
      </x:c>
      <x:c r="S463" s="1" t="str">
        <x:v>Plastic Product Information.csv</x:v>
      </x:c>
    </x:row>
    <x:row r="464" ht="21" customHeight="1">
      <x:c r="A464" s="1" t="str">
        <x:v>PLAS</x:v>
      </x:c>
      <x:c r="B464" s="1" t="str">
        <x:v>30</x:v>
      </x:c>
      <x:c r="C464" s="1" t="str">
        <x:v>03419RWBBLU</x:v>
      </x:c>
      <x:c r="D464" s="1" t="str">
        <x:v>GOLDEN CHAMPION IND. LIMITED</x:v>
      </x:c>
      <x:c r="E464" s="7" t="n">
        <x:v>46303</x:v>
      </x:c>
      <x:c r="F464" s="8" t="n">
        <x:v>800</x:v>
      </x:c>
      <x:c r="G464" s="8" t="n">
        <x:v>16.67</x:v>
      </x:c>
      <x:c r="H464" s="8" t="n">
        <x:v>6.25</x:v>
      </x:c>
      <x:c r="I464" s="8" t="n">
        <x:v>4.97</x:v>
      </x:c>
      <x:c r="J464" s="8" t="n">
        <x:v>100</x:v>
      </x:c>
      <x:c r="K464" s="8" t="n">
        <x:v>1.47</x:v>
      </x:c>
      <x:c r="L464" s="8" t="n">
        <x:v>0</x:v>
      </x:c>
      <x:c r="M464" s="8" t="n">
        <x:v>0</x:v>
      </x:c>
      <x:c r="N464" s="8" t="n">
        <x:v>800</x:v>
      </x:c>
      <x:c r="O464" s="8" t="n">
        <x:v>0</x:v>
      </x:c>
      <x:c r="P464" s="8" t="n">
        <x:v>4.25</x:v>
      </x:c>
      <x:c r="Q464" s="9" t="n">
        <x:v>50</x:v>
      </x:c>
      <x:c r="R464" s="1" t="str">
        <x:v>Review receipt reconciliation or original PO baseline</x:v>
      </x:c>
      <x:c r="S464" s="1" t="str">
        <x:v>Plastic Product Information.csv</x:v>
      </x:c>
    </x:row>
    <x:row r="465" ht="21" customHeight="1">
      <x:c r="A465" s="1" t="str">
        <x:v>PLAS</x:v>
      </x:c>
      <x:c r="B465" s="1" t="str">
        <x:v>30</x:v>
      </x:c>
      <x:c r="C465" s="1" t="str">
        <x:v>03819RWBCLR</x:v>
      </x:c>
      <x:c r="D465" s="1" t="str">
        <x:v>GOLDEN CHAMPION IND. LIMITED</x:v>
      </x:c>
      <x:c r="E465" s="7" t="n">
        <x:v>46303</x:v>
      </x:c>
      <x:c r="F465" s="8" t="n">
        <x:v>900</x:v>
      </x:c>
      <x:c r="G465" s="8" t="n">
        <x:v>16.67</x:v>
      </x:c>
      <x:c r="H465" s="8" t="n">
        <x:v>2.48</x:v>
      </x:c>
      <x:c r="I465" s="8" t="n">
        <x:v>1.98</x:v>
      </x:c>
      <x:c r="J465" s="8" t="n">
        <x:v>100</x:v>
      </x:c>
      <x:c r="K465" s="8" t="n">
        <x:v>1.47</x:v>
      </x:c>
      <x:c r="L465" s="8" t="n">
        <x:v>0</x:v>
      </x:c>
      <x:c r="M465" s="8" t="n">
        <x:v>0</x:v>
      </x:c>
      <x:c r="N465" s="8" t="n">
        <x:v>900</x:v>
      </x:c>
      <x:c r="O465" s="8" t="n">
        <x:v>0</x:v>
      </x:c>
      <x:c r="P465" s="8" t="n">
        <x:v>1.69</x:v>
      </x:c>
      <x:c r="Q465" s="9" t="n">
        <x:v>22.32</x:v>
      </x:c>
      <x:c r="R465" s="1" t="str">
        <x:v>Review receipt reconciliation or original PO baseline</x:v>
      </x:c>
      <x:c r="S465" s="1" t="str">
        <x:v>Plastic Product Information.csv</x:v>
      </x:c>
    </x:row>
    <x:row r="466" ht="21" customHeight="1">
      <x:c r="A466" s="1" t="str">
        <x:v>PLAS</x:v>
      </x:c>
      <x:c r="B466" s="1" t="str">
        <x:v>30</x:v>
      </x:c>
      <x:c r="C466" s="1" t="str">
        <x:v>05819RWBBLU</x:v>
      </x:c>
      <x:c r="D466" s="1" t="str">
        <x:v>GOLDEN CHAMPION IND. LIMITED</x:v>
      </x:c>
      <x:c r="E466" s="7" t="n">
        <x:v>46303</x:v>
      </x:c>
      <x:c r="F466" s="8" t="n">
        <x:v>0</x:v>
      </x:c>
      <x:c r="G466" s="8" t="n">
        <x:v>16.67</x:v>
      </x:c>
      <x:c r="H466" s="8" t="n">
        <x:v>4.56</x:v>
      </x:c>
      <x:c r="I466" s="8" t="n">
        <x:v>3.63</x:v>
      </x:c>
      <x:c r="J466" s="8" t="n">
        <x:v>100</x:v>
      </x:c>
      <x:c r="K466" s="8" t="n">
        <x:v>1.47</x:v>
      </x:c>
      <x:c r="L466" s="8" t="n">
        <x:v>0</x:v>
      </x:c>
      <x:c r="M466" s="8" t="n">
        <x:v>0</x:v>
      </x:c>
      <x:c r="N466" s="8" t="n">
        <x:v>0</x:v>
      </x:c>
      <x:c r="O466" s="8" t="n">
        <x:v>1</x:v>
      </x:c>
      <x:c r="P466" s="8" t="n">
        <x:v>3.1</x:v>
      </x:c>
      <x:c r="Q466" s="9" t="n">
        <x:v>0</x:v>
      </x:c>
      <x:c r="R466" s="1" t="str">
        <x:v>Classified</x:v>
      </x:c>
      <x:c r="S466" s="1" t="str">
        <x:v>Plastic Product Information.csv</x:v>
      </x:c>
    </x:row>
    <x:row r="467" ht="21" customHeight="1">
      <x:c r="A467" s="1" t="str">
        <x:v>PLAS</x:v>
      </x:c>
      <x:c r="B467" s="1" t="str">
        <x:v>30</x:v>
      </x:c>
      <x:c r="C467" s="1" t="str">
        <x:v>05819RWBCLR</x:v>
      </x:c>
      <x:c r="D467" s="1" t="str">
        <x:v>GOLDEN CHAMPION IND. LIMITED</x:v>
      </x:c>
      <x:c r="E467" s="7" t="n">
        <x:v>46303</x:v>
      </x:c>
      <x:c r="F467" s="8" t="n">
        <x:v>900</x:v>
      </x:c>
      <x:c r="G467" s="8" t="n">
        <x:v>16.67</x:v>
      </x:c>
      <x:c r="H467" s="8" t="n">
        <x:v>4.56</x:v>
      </x:c>
      <x:c r="I467" s="8" t="n">
        <x:v>3.63</x:v>
      </x:c>
      <x:c r="J467" s="8" t="n">
        <x:v>100</x:v>
      </x:c>
      <x:c r="K467" s="8" t="n">
        <x:v>1.47</x:v>
      </x:c>
      <x:c r="L467" s="8" t="n">
        <x:v>0</x:v>
      </x:c>
      <x:c r="M467" s="8" t="n">
        <x:v>0</x:v>
      </x:c>
      <x:c r="N467" s="8" t="n">
        <x:v>900</x:v>
      </x:c>
      <x:c r="O467" s="8" t="n">
        <x:v>0</x:v>
      </x:c>
      <x:c r="P467" s="8" t="n">
        <x:v>3.1</x:v>
      </x:c>
      <x:c r="Q467" s="9" t="n">
        <x:v>41.04</x:v>
      </x:c>
      <x:c r="R467" s="1" t="str">
        <x:v>Review receipt reconciliation or original PO baseline</x:v>
      </x:c>
      <x:c r="S467" s="1" t="str">
        <x:v>Plastic Product Information.csv</x:v>
      </x:c>
    </x:row>
    <x:row r="468" ht="21" customHeight="1">
      <x:c r="A468" s="1" t="str">
        <x:v>PLAS</x:v>
      </x:c>
      <x:c r="B468" s="1" t="str">
        <x:v>30</x:v>
      </x:c>
      <x:c r="C468" s="1" t="str">
        <x:v>07819RWBFG</x:v>
      </x:c>
      <x:c r="D468" s="1" t="str">
        <x:v>GOLDEN CHAMPION IND. LIMITED</x:v>
      </x:c>
      <x:c r="E468" s="7" t="n">
        <x:v>46303</x:v>
      </x:c>
      <x:c r="F468" s="8" t="n">
        <x:v>1500</x:v>
      </x:c>
      <x:c r="G468" s="8" t="n">
        <x:v>16.67</x:v>
      </x:c>
      <x:c r="H468" s="8" t="n">
        <x:v>7.97</x:v>
      </x:c>
      <x:c r="I468" s="8" t="n">
        <x:v>6.34</x:v>
      </x:c>
      <x:c r="J468" s="8" t="n">
        <x:v>100</x:v>
      </x:c>
      <x:c r="K468" s="8" t="n">
        <x:v>1.47</x:v>
      </x:c>
      <x:c r="L468" s="8" t="n">
        <x:v>0</x:v>
      </x:c>
      <x:c r="M468" s="8" t="n">
        <x:v>0</x:v>
      </x:c>
      <x:c r="N468" s="8" t="n">
        <x:v>1500</x:v>
      </x:c>
      <x:c r="O468" s="8" t="n">
        <x:v>0</x:v>
      </x:c>
      <x:c r="P468" s="8" t="n">
        <x:v>5.42</x:v>
      </x:c>
      <x:c r="Q468" s="9" t="n">
        <x:v>119.55</x:v>
      </x:c>
      <x:c r="R468" s="1" t="str">
        <x:v>Review receipt reconciliation or original PO baseline</x:v>
      </x:c>
      <x:c r="S468" s="1" t="str">
        <x:v>Plastic Product Information.csv</x:v>
      </x:c>
    </x:row>
    <x:row r="469" ht="21" customHeight="1">
      <x:c r="A469" s="1" t="str">
        <x:v>PLAS</x:v>
      </x:c>
      <x:c r="B469" s="1" t="str">
        <x:v>30</x:v>
      </x:c>
      <x:c r="C469" s="1" t="str">
        <x:v>11219RSLRED</x:v>
      </x:c>
      <x:c r="D469" s="1" t="str">
        <x:v>GOLDEN CHAMPION IND. LIMITED</x:v>
      </x:c>
      <x:c r="E469" s="7" t="n">
        <x:v>46303</x:v>
      </x:c>
      <x:c r="F469" s="8" t="n">
        <x:v>250</x:v>
      </x:c>
      <x:c r="G469" s="8" t="n">
        <x:v>16.67</x:v>
      </x:c>
      <x:c r="H469" s="8" t="n">
        <x:v>12.98</x:v>
      </x:c>
      <x:c r="I469" s="8" t="n">
        <x:v>10.33</x:v>
      </x:c>
      <x:c r="J469" s="8" t="n">
        <x:v>100</x:v>
      </x:c>
      <x:c r="K469" s="8" t="n">
        <x:v>1.47</x:v>
      </x:c>
      <x:c r="L469" s="8" t="n">
        <x:v>0</x:v>
      </x:c>
      <x:c r="M469" s="8" t="n">
        <x:v>0</x:v>
      </x:c>
      <x:c r="N469" s="8" t="n">
        <x:v>250</x:v>
      </x:c>
      <x:c r="O469" s="8" t="n">
        <x:v>0</x:v>
      </x:c>
      <x:c r="P469" s="8" t="n">
        <x:v>8.83</x:v>
      </x:c>
      <x:c r="Q469" s="9" t="n">
        <x:v>32.45</x:v>
      </x:c>
      <x:c r="R469" s="1" t="str">
        <x:v>Review receipt reconciliation or original PO baseline</x:v>
      </x:c>
      <x:c r="S469" s="1" t="str">
        <x:v>Plastic Product Information.csv</x:v>
      </x:c>
    </x:row>
    <x:row r="470" ht="21" customHeight="1">
      <x:c r="A470" s="1" t="str">
        <x:v>PLAS</x:v>
      </x:c>
      <x:c r="B470" s="1" t="str">
        <x:v>30</x:v>
      </x:c>
      <x:c r="C470" s="1" t="str">
        <x:v>11819RWBRED</x:v>
      </x:c>
      <x:c r="D470" s="1" t="str">
        <x:v>GOLDEN CHAMPION IND. LIMITED</x:v>
      </x:c>
      <x:c r="E470" s="7" t="n">
        <x:v>46303</x:v>
      </x:c>
      <x:c r="F470" s="8" t="n">
        <x:v>550</x:v>
      </x:c>
      <x:c r="G470" s="8" t="n">
        <x:v>16.67</x:v>
      </x:c>
      <x:c r="H470" s="8" t="n">
        <x:v>13.23</x:v>
      </x:c>
      <x:c r="I470" s="8" t="n">
        <x:v>10.53</x:v>
      </x:c>
      <x:c r="J470" s="8" t="n">
        <x:v>100</x:v>
      </x:c>
      <x:c r="K470" s="8" t="n">
        <x:v>1.47</x:v>
      </x:c>
      <x:c r="L470" s="8" t="n">
        <x:v>0</x:v>
      </x:c>
      <x:c r="M470" s="8" t="n">
        <x:v>0</x:v>
      </x:c>
      <x:c r="N470" s="8" t="n">
        <x:v>550</x:v>
      </x:c>
      <x:c r="O470" s="8" t="n">
        <x:v>0</x:v>
      </x:c>
      <x:c r="P470" s="8" t="n">
        <x:v>9</x:v>
      </x:c>
      <x:c r="Q470" s="9" t="n">
        <x:v>72.765</x:v>
      </x:c>
      <x:c r="R470" s="1" t="str">
        <x:v>Review receipt reconciliation or original PO baseline</x:v>
      </x:c>
      <x:c r="S470" s="1" t="str">
        <x:v>Plastic Product Information.csv</x:v>
      </x:c>
    </x:row>
    <x:row r="471" ht="21" customHeight="1">
      <x:c r="A471" s="1" t="str">
        <x:v>PLAS</x:v>
      </x:c>
      <x:c r="B471" s="1" t="str">
        <x:v>30</x:v>
      </x:c>
      <x:c r="C471" s="1" t="str">
        <x:v>13419RSLNAV</x:v>
      </x:c>
      <x:c r="D471" s="1" t="str">
        <x:v>GOLDEN CHAMPION IND. LIMITED</x:v>
      </x:c>
      <x:c r="E471" s="7" t="n">
        <x:v>46303</x:v>
      </x:c>
      <x:c r="F471" s="8" t="n">
        <x:v>150</x:v>
      </x:c>
      <x:c r="G471" s="8" t="n">
        <x:v>16.67</x:v>
      </x:c>
      <x:c r="H471" s="8" t="n">
        <x:v>14.57</x:v>
      </x:c>
      <x:c r="I471" s="8" t="n">
        <x:v>11.59</x:v>
      </x:c>
      <x:c r="J471" s="8" t="n">
        <x:v>100</x:v>
      </x:c>
      <x:c r="K471" s="8" t="n">
        <x:v>1.47</x:v>
      </x:c>
      <x:c r="L471" s="8" t="n">
        <x:v>0</x:v>
      </x:c>
      <x:c r="M471" s="8" t="n">
        <x:v>0</x:v>
      </x:c>
      <x:c r="N471" s="8" t="n">
        <x:v>150</x:v>
      </x:c>
      <x:c r="O471" s="8" t="n">
        <x:v>0</x:v>
      </x:c>
      <x:c r="P471" s="8" t="n">
        <x:v>9.91</x:v>
      </x:c>
      <x:c r="Q471" s="9" t="n">
        <x:v>21.855</x:v>
      </x:c>
      <x:c r="R471" s="1" t="str">
        <x:v>Review receipt reconciliation or original PO baseline</x:v>
      </x:c>
      <x:c r="S471" s="1" t="str">
        <x:v>Plastic Product Information.csv</x:v>
      </x:c>
    </x:row>
    <x:row r="472" ht="21" customHeight="1">
      <x:c r="A472" s="1" t="str">
        <x:v>PLAS</x:v>
      </x:c>
      <x:c r="B472" s="1" t="str">
        <x:v>30</x:v>
      </x:c>
      <x:c r="C472" s="1" t="str">
        <x:v>13419RSLRED</x:v>
      </x:c>
      <x:c r="D472" s="1" t="str">
        <x:v>GOLDEN CHAMPION IND. LIMITED</x:v>
      </x:c>
      <x:c r="E472" s="7" t="n">
        <x:v>46303</x:v>
      </x:c>
      <x:c r="F472" s="8" t="n">
        <x:v>700</x:v>
      </x:c>
      <x:c r="G472" s="8" t="n">
        <x:v>16.67</x:v>
      </x:c>
      <x:c r="H472" s="8" t="n">
        <x:v>14.57</x:v>
      </x:c>
      <x:c r="I472" s="8" t="n">
        <x:v>11.59</x:v>
      </x:c>
      <x:c r="J472" s="8" t="n">
        <x:v>100</x:v>
      </x:c>
      <x:c r="K472" s="8" t="n">
        <x:v>1.47</x:v>
      </x:c>
      <x:c r="L472" s="8" t="n">
        <x:v>0</x:v>
      </x:c>
      <x:c r="M472" s="8" t="n">
        <x:v>0</x:v>
      </x:c>
      <x:c r="N472" s="8" t="n">
        <x:v>700</x:v>
      </x:c>
      <x:c r="O472" s="8" t="n">
        <x:v>0</x:v>
      </x:c>
      <x:c r="P472" s="8" t="n">
        <x:v>9.91</x:v>
      </x:c>
      <x:c r="Q472" s="9" t="n">
        <x:v>101.99000000000001</x:v>
      </x:c>
      <x:c r="R472" s="1" t="str">
        <x:v>Review receipt reconciliation or original PO baseline</x:v>
      </x:c>
      <x:c r="S472" s="1" t="str">
        <x:v>Plastic Product Information.csv</x:v>
      </x:c>
    </x:row>
    <x:row r="473" ht="21" customHeight="1">
      <x:c r="A473" s="1" t="str">
        <x:v>PLAS</x:v>
      </x:c>
      <x:c r="B473" s="1" t="str">
        <x:v>30</x:v>
      </x:c>
      <x:c r="C473" s="1" t="str">
        <x:v>91619RWBRED</x:v>
      </x:c>
      <x:c r="D473" s="1" t="str">
        <x:v>GOLDEN CHAMPION IND. LIMITED</x:v>
      </x:c>
      <x:c r="E473" s="7" t="n">
        <x:v>46303</x:v>
      </x:c>
      <x:c r="F473" s="8" t="n">
        <x:v>1100</x:v>
      </x:c>
      <x:c r="G473" s="8" t="n">
        <x:v>16.67</x:v>
      </x:c>
      <x:c r="H473" s="8" t="n">
        <x:v>4.28</x:v>
      </x:c>
      <x:c r="I473" s="8" t="n">
        <x:v>3.4</x:v>
      </x:c>
      <x:c r="J473" s="8" t="n">
        <x:v>100</x:v>
      </x:c>
      <x:c r="K473" s="8" t="n">
        <x:v>1.47</x:v>
      </x:c>
      <x:c r="L473" s="8" t="n">
        <x:v>0</x:v>
      </x:c>
      <x:c r="M473" s="8" t="n">
        <x:v>0</x:v>
      </x:c>
      <x:c r="N473" s="8" t="n">
        <x:v>1100</x:v>
      </x:c>
      <x:c r="O473" s="8" t="n">
        <x:v>0</x:v>
      </x:c>
      <x:c r="P473" s="8" t="n">
        <x:v>2.91</x:v>
      </x:c>
      <x:c r="Q473" s="9" t="n">
        <x:v>47.08</x:v>
      </x:c>
      <x:c r="R473" s="1" t="str">
        <x:v>Review receipt reconciliation or original PO baseline</x:v>
      </x:c>
      <x:c r="S473" s="1" t="str">
        <x:v>Plastic Product Information.csv</x:v>
      </x:c>
    </x:row>
    <x:row r="474" ht="21" customHeight="1">
      <x:c r="A474" s="1" t="str">
        <x:v>PLAS</x:v>
      </x:c>
      <x:c r="B474" s="1" t="str">
        <x:v>60</x:v>
      </x:c>
      <x:c r="C474" s="1" t="str">
        <x:v>00119RWBBLU</x:v>
      </x:c>
      <x:c r="D474" s="1" t="str">
        <x:v>GOLDEN CHAMPION IND. LIMITED</x:v>
      </x:c>
      <x:c r="E474" s="7" t="n">
        <x:v>46303</x:v>
      </x:c>
      <x:c r="F474" s="8" t="n">
        <x:v>200</x:v>
      </x:c>
      <x:c r="G474" s="8" t="n">
        <x:v>16.67</x:v>
      </x:c>
      <x:c r="H474" s="8" t="n">
        <x:v>10.54</x:v>
      </x:c>
      <x:c r="I474" s="8" t="n">
        <x:v>8.39</x:v>
      </x:c>
      <x:c r="J474" s="8" t="n">
        <x:v>100</x:v>
      </x:c>
      <x:c r="K474" s="8" t="n">
        <x:v>1.47</x:v>
      </x:c>
      <x:c r="L474" s="8" t="n">
        <x:v>0</x:v>
      </x:c>
      <x:c r="M474" s="8" t="n">
        <x:v>0</x:v>
      </x:c>
      <x:c r="N474" s="8" t="n">
        <x:v>200</x:v>
      </x:c>
      <x:c r="O474" s="8" t="n">
        <x:v>0</x:v>
      </x:c>
      <x:c r="P474" s="8" t="n">
        <x:v>7.17</x:v>
      </x:c>
      <x:c r="Q474" s="9" t="n">
        <x:v>21.080000000000002</x:v>
      </x:c>
      <x:c r="R474" s="1" t="str">
        <x:v>Review receipt reconciliation or original PO baseline</x:v>
      </x:c>
      <x:c r="S474" s="1" t="str">
        <x:v>Plastic Product Information.csv</x:v>
      </x:c>
    </x:row>
    <x:row r="475" ht="21" customHeight="1">
      <x:c r="A475" s="1" t="str">
        <x:v>PLAS</x:v>
      </x:c>
      <x:c r="B475" s="1" t="str">
        <x:v>60</x:v>
      </x:c>
      <x:c r="C475" s="1" t="str">
        <x:v>03819RWBRED</x:v>
      </x:c>
      <x:c r="D475" s="1" t="str">
        <x:v>GOLDEN CHAMPION IND. LIMITED</x:v>
      </x:c>
      <x:c r="E475" s="7" t="n">
        <x:v>46303</x:v>
      </x:c>
      <x:c r="F475" s="8" t="n">
        <x:v>500</x:v>
      </x:c>
      <x:c r="G475" s="8" t="n">
        <x:v>16.67</x:v>
      </x:c>
      <x:c r="H475" s="8" t="n">
        <x:v>2.48</x:v>
      </x:c>
      <x:c r="I475" s="8" t="n">
        <x:v>1.98</x:v>
      </x:c>
      <x:c r="J475" s="8" t="n">
        <x:v>100</x:v>
      </x:c>
      <x:c r="K475" s="8" t="n">
        <x:v>1.47</x:v>
      </x:c>
      <x:c r="L475" s="8" t="n">
        <x:v>0</x:v>
      </x:c>
      <x:c r="M475" s="8" t="n">
        <x:v>0</x:v>
      </x:c>
      <x:c r="N475" s="8" t="n">
        <x:v>500</x:v>
      </x:c>
      <x:c r="O475" s="8" t="n">
        <x:v>0</x:v>
      </x:c>
      <x:c r="P475" s="8" t="n">
        <x:v>1.69</x:v>
      </x:c>
      <x:c r="Q475" s="9" t="n">
        <x:v>12.4</x:v>
      </x:c>
      <x:c r="R475" s="1" t="str">
        <x:v>Review receipt reconciliation or original PO baseline</x:v>
      </x:c>
      <x:c r="S475" s="1" t="str">
        <x:v>Plastic Product Information.csv</x:v>
      </x:c>
    </x:row>
    <x:row r="476" ht="21" customHeight="1">
      <x:c r="A476" s="1" t="str">
        <x:v>PLAS</x:v>
      </x:c>
      <x:c r="B476" s="1" t="str">
        <x:v>60</x:v>
      </x:c>
      <x:c r="C476" s="1" t="str">
        <x:v>05819RWBFG</x:v>
      </x:c>
      <x:c r="D476" s="1" t="str">
        <x:v>GOLDEN CHAMPION IND. LIMITED</x:v>
      </x:c>
      <x:c r="E476" s="7" t="n">
        <x:v>46303</x:v>
      </x:c>
      <x:c r="F476" s="8" t="n">
        <x:v>1700</x:v>
      </x:c>
      <x:c r="G476" s="8" t="n">
        <x:v>16.67</x:v>
      </x:c>
      <x:c r="H476" s="8" t="n">
        <x:v>4.56</x:v>
      </x:c>
      <x:c r="I476" s="8" t="n">
        <x:v>3.63</x:v>
      </x:c>
      <x:c r="J476" s="8" t="n">
        <x:v>100</x:v>
      </x:c>
      <x:c r="K476" s="8" t="n">
        <x:v>1.47</x:v>
      </x:c>
      <x:c r="L476" s="8" t="n">
        <x:v>0</x:v>
      </x:c>
      <x:c r="M476" s="8" t="n">
        <x:v>0</x:v>
      </x:c>
      <x:c r="N476" s="8" t="n">
        <x:v>1700</x:v>
      </x:c>
      <x:c r="O476" s="8" t="n">
        <x:v>0</x:v>
      </x:c>
      <x:c r="P476" s="8" t="n">
        <x:v>3.1</x:v>
      </x:c>
      <x:c r="Q476" s="9" t="n">
        <x:v>77.52</x:v>
      </x:c>
      <x:c r="R476" s="1" t="str">
        <x:v>Review receipt reconciliation or original PO baseline</x:v>
      </x:c>
      <x:c r="S476" s="1" t="str">
        <x:v>Plastic Product Information.csv</x:v>
      </x:c>
    </x:row>
    <x:row r="477" ht="21" customHeight="1">
      <x:c r="A477" s="1" t="str">
        <x:v>PLAS</x:v>
      </x:c>
      <x:c r="B477" s="1" t="str">
        <x:v>60</x:v>
      </x:c>
      <x:c r="C477" s="1" t="str">
        <x:v>07819RWBMAR</x:v>
      </x:c>
      <x:c r="D477" s="1" t="str">
        <x:v>GOLDEN CHAMPION IND. LIMITED</x:v>
      </x:c>
      <x:c r="E477" s="7" t="n">
        <x:v>46303</x:v>
      </x:c>
      <x:c r="F477" s="8" t="n">
        <x:v>900</x:v>
      </x:c>
      <x:c r="G477" s="8" t="n">
        <x:v>16.67</x:v>
      </x:c>
      <x:c r="H477" s="8" t="n">
        <x:v>7.97</x:v>
      </x:c>
      <x:c r="I477" s="8" t="n">
        <x:v>6.34</x:v>
      </x:c>
      <x:c r="J477" s="8" t="n">
        <x:v>100</x:v>
      </x:c>
      <x:c r="K477" s="8" t="n">
        <x:v>1.47</x:v>
      </x:c>
      <x:c r="L477" s="8" t="n">
        <x:v>0</x:v>
      </x:c>
      <x:c r="M477" s="8" t="n">
        <x:v>0</x:v>
      </x:c>
      <x:c r="N477" s="8" t="n">
        <x:v>900</x:v>
      </x:c>
      <x:c r="O477" s="8" t="n">
        <x:v>0</x:v>
      </x:c>
      <x:c r="P477" s="8" t="n">
        <x:v>5.42</x:v>
      </x:c>
      <x:c r="Q477" s="9" t="n">
        <x:v>71.73</x:v>
      </x:c>
      <x:c r="R477" s="1" t="str">
        <x:v>Review receipt reconciliation or original PO baseline</x:v>
      </x:c>
      <x:c r="S477" s="1" t="str">
        <x:v>Plastic Product Information.csv</x:v>
      </x:c>
    </x:row>
    <x:row r="478" ht="21" customHeight="1">
      <x:c r="A478" s="1" t="str">
        <x:v>PLAS</x:v>
      </x:c>
      <x:c r="B478" s="1" t="str">
        <x:v>60</x:v>
      </x:c>
      <x:c r="C478" s="1" t="str">
        <x:v>11419RSLMAR</x:v>
      </x:c>
      <x:c r="D478" s="1" t="str">
        <x:v>GOLDEN CHAMPION IND. LIMITED</x:v>
      </x:c>
      <x:c r="E478" s="7" t="n">
        <x:v>46303</x:v>
      </x:c>
      <x:c r="F478" s="8" t="n">
        <x:v>300</x:v>
      </x:c>
      <x:c r="G478" s="8" t="n">
        <x:v>16.67</x:v>
      </x:c>
      <x:c r="H478" s="8" t="n">
        <x:v>11.1</x:v>
      </x:c>
      <x:c r="I478" s="8" t="n">
        <x:v>8.83</x:v>
      </x:c>
      <x:c r="J478" s="8" t="n">
        <x:v>100</x:v>
      </x:c>
      <x:c r="K478" s="8" t="n">
        <x:v>1.47</x:v>
      </x:c>
      <x:c r="L478" s="8" t="n">
        <x:v>0</x:v>
      </x:c>
      <x:c r="M478" s="8" t="n">
        <x:v>0</x:v>
      </x:c>
      <x:c r="N478" s="8" t="n">
        <x:v>300</x:v>
      </x:c>
      <x:c r="O478" s="8" t="n">
        <x:v>0</x:v>
      </x:c>
      <x:c r="P478" s="8" t="n">
        <x:v>7.55</x:v>
      </x:c>
      <x:c r="Q478" s="9" t="n">
        <x:v>33.3</x:v>
      </x:c>
      <x:c r="R478" s="1" t="str">
        <x:v>Review receipt reconciliation or original PO baseline</x:v>
      </x:c>
      <x:c r="S478" s="1" t="str">
        <x:v>Plastic Product Information.csv</x:v>
      </x:c>
    </x:row>
    <x:row r="479" ht="21" customHeight="1">
      <x:c r="A479" s="1" t="str">
        <x:v>PLAS</x:v>
      </x:c>
      <x:c r="B479" s="1" t="str">
        <x:v>60</x:v>
      </x:c>
      <x:c r="C479" s="1" t="str">
        <x:v>91619RWBMAR</x:v>
      </x:c>
      <x:c r="D479" s="1" t="str">
        <x:v>GOLDEN CHAMPION IND. LIMITED</x:v>
      </x:c>
      <x:c r="E479" s="7" t="n">
        <x:v>46303</x:v>
      </x:c>
      <x:c r="F479" s="8" t="n">
        <x:v>200</x:v>
      </x:c>
      <x:c r="G479" s="8" t="n">
        <x:v>16.67</x:v>
      </x:c>
      <x:c r="H479" s="8" t="n">
        <x:v>4.28</x:v>
      </x:c>
      <x:c r="I479" s="8" t="n">
        <x:v>3.4</x:v>
      </x:c>
      <x:c r="J479" s="8" t="n">
        <x:v>100</x:v>
      </x:c>
      <x:c r="K479" s="8" t="n">
        <x:v>1.47</x:v>
      </x:c>
      <x:c r="L479" s="8" t="n">
        <x:v>0</x:v>
      </x:c>
      <x:c r="M479" s="8" t="n">
        <x:v>0</x:v>
      </x:c>
      <x:c r="N479" s="8" t="n">
        <x:v>200</x:v>
      </x:c>
      <x:c r="O479" s="8" t="n">
        <x:v>0</x:v>
      </x:c>
      <x:c r="P479" s="8" t="n">
        <x:v>2.91</x:v>
      </x:c>
      <x:c r="Q479" s="9" t="n">
        <x:v>8.56</x:v>
      </x:c>
      <x:c r="R479" s="1" t="str">
        <x:v>Review receipt reconciliation or original PO baseline</x:v>
      </x:c>
      <x:c r="S479" s="1" t="str">
        <x:v>Plastic Product Information.csv</x:v>
      </x:c>
    </x:row>
    <x:row r="480" ht="21" customHeight="1">
      <x:c r="A480" s="1" t="str">
        <x:v>PLAS</x:v>
      </x:c>
      <x:c r="B480" s="1" t="str">
        <x:v>60</x:v>
      </x:c>
      <x:c r="C480" s="1" t="str">
        <x:v>91619RWBRED</x:v>
      </x:c>
      <x:c r="D480" s="1" t="str">
        <x:v>GOLDEN CHAMPION IND. LIMITED</x:v>
      </x:c>
      <x:c r="E480" s="7" t="n">
        <x:v>46303</x:v>
      </x:c>
      <x:c r="F480" s="8" t="n">
        <x:v>1800</x:v>
      </x:c>
      <x:c r="G480" s="8" t="n">
        <x:v>16.67</x:v>
      </x:c>
      <x:c r="H480" s="8" t="n">
        <x:v>4.28</x:v>
      </x:c>
      <x:c r="I480" s="8" t="n">
        <x:v>3.4</x:v>
      </x:c>
      <x:c r="J480" s="8" t="n">
        <x:v>100</x:v>
      </x:c>
      <x:c r="K480" s="8" t="n">
        <x:v>1.47</x:v>
      </x:c>
      <x:c r="L480" s="8" t="n">
        <x:v>0</x:v>
      </x:c>
      <x:c r="M480" s="8" t="n">
        <x:v>0</x:v>
      </x:c>
      <x:c r="N480" s="8" t="n">
        <x:v>1800</x:v>
      </x:c>
      <x:c r="O480" s="8" t="n">
        <x:v>0</x:v>
      </x:c>
      <x:c r="P480" s="8" t="n">
        <x:v>2.91</x:v>
      </x:c>
      <x:c r="Q480" s="9" t="n">
        <x:v>77.04</x:v>
      </x:c>
      <x:c r="R480" s="1" t="str">
        <x:v>Review receipt reconciliation or original PO baseline</x:v>
      </x:c>
      <x:c r="S480" s="1" t="str">
        <x:v>Plastic Product Information.csv</x:v>
      </x:c>
    </x:row>
    <x:row r="481" ht="21" customHeight="1">
      <x:c r="A481" s="1" t="str">
        <x:v>PLAS</x:v>
      </x:c>
      <x:c r="B481" s="1" t="str">
        <x:v>30</x:v>
      </x:c>
      <x:c r="C481" s="1" t="str">
        <x:v>00219RSLNAV</x:v>
      </x:c>
      <x:c r="D481" s="1" t="str">
        <x:v>GOLDEN CHAMPION IND. LIMITED</x:v>
      </x:c>
      <x:c r="E481" s="7" t="n">
        <x:v>46303</x:v>
      </x:c>
      <x:c r="F481" s="8" t="n">
        <x:v>400</x:v>
      </x:c>
      <x:c r="G481" s="8" t="n">
        <x:v>13.33</x:v>
      </x:c>
      <x:c r="H481" s="8" t="n">
        <x:v>14.77</x:v>
      </x:c>
      <x:c r="I481" s="8" t="n">
        <x:v>11.76</x:v>
      </x:c>
      <x:c r="J481" s="8" t="n">
        <x:v>100</x:v>
      </x:c>
      <x:c r="K481" s="8" t="n">
        <x:v>1.47</x:v>
      </x:c>
      <x:c r="L481" s="8" t="n">
        <x:v>0</x:v>
      </x:c>
      <x:c r="M481" s="8" t="n">
        <x:v>0</x:v>
      </x:c>
      <x:c r="N481" s="8" t="n">
        <x:v>400</x:v>
      </x:c>
      <x:c r="O481" s="8" t="n">
        <x:v>0</x:v>
      </x:c>
      <x:c r="P481" s="8" t="n">
        <x:v>10.05</x:v>
      </x:c>
      <x:c r="Q481" s="9" t="n">
        <x:v>59.08</x:v>
      </x:c>
      <x:c r="R481" s="1" t="str">
        <x:v>Review receipt reconciliation or original PO baseline</x:v>
      </x:c>
      <x:c r="S481" s="1" t="str">
        <x:v>Plastic Product Information.csv</x:v>
      </x:c>
    </x:row>
    <x:row r="482" ht="21" customHeight="1">
      <x:c r="A482" s="1" t="str">
        <x:v>PLAS</x:v>
      </x:c>
      <x:c r="B482" s="1" t="str">
        <x:v>10</x:v>
      </x:c>
      <x:c r="C482" s="1" t="str">
        <x:v>11819RWBBLU</x:v>
      </x:c>
      <x:c r="D482" s="1" t="str">
        <x:v>GOLDEN CHAMPION IND. LIMITED</x:v>
      </x:c>
      <x:c r="E482" s="7" t="n">
        <x:v>46303</x:v>
      </x:c>
      <x:c r="F482" s="8" t="n">
        <x:v>1400</x:v>
      </x:c>
      <x:c r="G482" s="8" t="n">
        <x:v>12.5</x:v>
      </x:c>
      <x:c r="H482" s="8" t="n">
        <x:v>13.23</x:v>
      </x:c>
      <x:c r="I482" s="8" t="n">
        <x:v>10.53</x:v>
      </x:c>
      <x:c r="J482" s="8" t="n">
        <x:v>100</x:v>
      </x:c>
      <x:c r="K482" s="8" t="n">
        <x:v>1.47</x:v>
      </x:c>
      <x:c r="L482" s="8" t="n">
        <x:v>0</x:v>
      </x:c>
      <x:c r="M482" s="8" t="n">
        <x:v>0</x:v>
      </x:c>
      <x:c r="N482" s="8" t="n">
        <x:v>1400</x:v>
      </x:c>
      <x:c r="O482" s="8" t="n">
        <x:v>0</x:v>
      </x:c>
      <x:c r="P482" s="8" t="n">
        <x:v>9</x:v>
      </x:c>
      <x:c r="Q482" s="9" t="n">
        <x:v>185.22</x:v>
      </x:c>
      <x:c r="R482" s="1" t="str">
        <x:v>Review receipt reconciliation or original PO baseline</x:v>
      </x:c>
      <x:c r="S482" s="1" t="str">
        <x:v>Plastic Product Information.csv</x:v>
      </x:c>
    </x:row>
    <x:row r="483" ht="21" customHeight="1">
      <x:c r="A483" s="1" t="str">
        <x:v>PLAS</x:v>
      </x:c>
      <x:c r="B483" s="1" t="str">
        <x:v>10</x:v>
      </x:c>
      <x:c r="C483" s="1" t="str">
        <x:v>13419RSLCLR</x:v>
      </x:c>
      <x:c r="D483" s="1" t="str">
        <x:v>GOLDEN CHAMPION IND. LIMITED</x:v>
      </x:c>
      <x:c r="E483" s="7" t="n">
        <x:v>46303</x:v>
      </x:c>
      <x:c r="F483" s="8" t="n">
        <x:v>2000</x:v>
      </x:c>
      <x:c r="G483" s="8" t="n">
        <x:v>12.5</x:v>
      </x:c>
      <x:c r="H483" s="8" t="n">
        <x:v>14.57</x:v>
      </x:c>
      <x:c r="I483" s="8" t="n">
        <x:v>11.59</x:v>
      </x:c>
      <x:c r="J483" s="8" t="n">
        <x:v>100</x:v>
      </x:c>
      <x:c r="K483" s="8" t="n">
        <x:v>1.47</x:v>
      </x:c>
      <x:c r="L483" s="8" t="n">
        <x:v>0</x:v>
      </x:c>
      <x:c r="M483" s="8" t="n">
        <x:v>0</x:v>
      </x:c>
      <x:c r="N483" s="8" t="n">
        <x:v>2000</x:v>
      </x:c>
      <x:c r="O483" s="8" t="n">
        <x:v>0</x:v>
      </x:c>
      <x:c r="P483" s="8" t="n">
        <x:v>9.91</x:v>
      </x:c>
      <x:c r="Q483" s="9" t="n">
        <x:v>291.40000000000003</x:v>
      </x:c>
      <x:c r="R483" s="1" t="str">
        <x:v>Review receipt reconciliation or original PO baseline</x:v>
      </x:c>
      <x:c r="S483" s="1" t="str">
        <x:v>Plastic Product Information.csv</x:v>
      </x:c>
    </x:row>
    <x:row r="484" ht="21" customHeight="1">
      <x:c r="A484" s="1" t="str">
        <x:v>PLAS</x:v>
      </x:c>
      <x:c r="B484" s="1" t="str">
        <x:v>10</x:v>
      </x:c>
      <x:c r="C484" s="1" t="str">
        <x:v>11419RSLCLR</x:v>
      </x:c>
      <x:c r="D484" s="1" t="str">
        <x:v>GOLDEN CHAMPION IND. LIMITED</x:v>
      </x:c>
      <x:c r="E484" s="7" t="n">
        <x:v>46303</x:v>
      </x:c>
      <x:c r="F484" s="8" t="n">
        <x:v>1196</x:v>
      </x:c>
      <x:c r="G484" s="8" t="n">
        <x:v>11.25</x:v>
      </x:c>
      <x:c r="H484" s="8" t="n">
        <x:v>11.1</x:v>
      </x:c>
      <x:c r="I484" s="8" t="n">
        <x:v>8.83</x:v>
      </x:c>
      <x:c r="J484" s="8" t="n">
        <x:v>100</x:v>
      </x:c>
      <x:c r="K484" s="8" t="n">
        <x:v>1.47</x:v>
      </x:c>
      <x:c r="L484" s="8" t="n">
        <x:v>0</x:v>
      </x:c>
      <x:c r="M484" s="8" t="n">
        <x:v>0</x:v>
      </x:c>
      <x:c r="N484" s="8" t="n">
        <x:v>1196</x:v>
      </x:c>
      <x:c r="O484" s="8" t="n">
        <x:v>0</x:v>
      </x:c>
      <x:c r="P484" s="8" t="n">
        <x:v>7.55</x:v>
      </x:c>
      <x:c r="Q484" s="9" t="n">
        <x:v>132.756</x:v>
      </x:c>
      <x:c r="R484" s="1" t="str">
        <x:v>Review receipt reconciliation or original PO baseline</x:v>
      </x:c>
      <x:c r="S484" s="1" t="str">
        <x:v>Plastic Product Information.csv</x:v>
      </x:c>
    </x:row>
    <x:row r="485" ht="21" customHeight="1">
      <x:c r="A485" s="1" t="str">
        <x:v>PLAS</x:v>
      </x:c>
      <x:c r="B485" s="1" t="str">
        <x:v>10</x:v>
      </x:c>
      <x:c r="C485" s="1" t="str">
        <x:v>01215RWBRED</x:v>
      </x:c>
      <x:c r="D485" s="1" t="str">
        <x:v>GOLDEN CHAMPION IND. LIMITED</x:v>
      </x:c>
      <x:c r="E485" s="7" t="n">
        <x:v>46303</x:v>
      </x:c>
      <x:c r="F485" s="8" t="n">
        <x:v>5900</x:v>
      </x:c>
      <x:c r="G485" s="8" t="n">
        <x:v>8.33</x:v>
      </x:c>
      <x:c r="H485" s="8" t="n">
        <x:v>2.5</x:v>
      </x:c>
      <x:c r="I485" s="8" t="n">
        <x:v>1.99</x:v>
      </x:c>
      <x:c r="J485" s="8" t="n">
        <x:v>100</x:v>
      </x:c>
      <x:c r="K485" s="8" t="n">
        <x:v>1.47</x:v>
      </x:c>
      <x:c r="L485" s="8" t="n">
        <x:v>5900</x:v>
      </x:c>
      <x:c r="M485" s="8" t="n">
        <x:v>0</x:v>
      </x:c>
      <x:c r="N485" s="8" t="n">
        <x:v>0</x:v>
      </x:c>
      <x:c r="O485" s="8" t="n">
        <x:v>1</x:v>
      </x:c>
      <x:c r="P485" s="8" t="n">
        <x:v>1.7</x:v>
      </x:c>
      <x:c r="Q485" s="9" t="n">
        <x:v>147.5</x:v>
      </x:c>
      <x:c r="R485" s="1" t="str">
        <x:v>Classified</x:v>
      </x:c>
      <x:c r="S485" s="1" t="str">
        <x:v>Plastic Product Information.csv</x:v>
      </x:c>
    </x:row>
    <x:row r="486" ht="21" customHeight="1">
      <x:c r="A486" s="1" t="str">
        <x:v>PLAS</x:v>
      </x:c>
      <x:c r="B486" s="1" t="str">
        <x:v>10</x:v>
      </x:c>
      <x:c r="C486" s="1" t="str">
        <x:v>03821RWBBLK</x:v>
      </x:c>
      <x:c r="D486" s="1" t="str">
        <x:v>GOLDEN CHAMPION IND. LIMITED</x:v>
      </x:c>
      <x:c r="E486" s="7" t="n">
        <x:v>46303</x:v>
      </x:c>
      <x:c r="F486" s="8" t="n">
        <x:v>4545</x:v>
      </x:c>
      <x:c r="G486" s="8" t="n">
        <x:v>8.33</x:v>
      </x:c>
      <x:c r="H486" s="8" t="n">
        <x:v>2.29</x:v>
      </x:c>
      <x:c r="I486" s="8" t="n">
        <x:v>1.83</x:v>
      </x:c>
      <x:c r="J486" s="8" t="n">
        <x:v>100</x:v>
      </x:c>
      <x:c r="K486" s="8" t="n">
        <x:v>1.47</x:v>
      </x:c>
      <x:c r="L486" s="8" t="n">
        <x:v>0</x:v>
      </x:c>
      <x:c r="M486" s="8" t="n">
        <x:v>0</x:v>
      </x:c>
      <x:c r="N486" s="8" t="n">
        <x:v>4545</x:v>
      </x:c>
      <x:c r="O486" s="8" t="n">
        <x:v>0</x:v>
      </x:c>
      <x:c r="P486" s="8" t="n">
        <x:v>1.56</x:v>
      </x:c>
      <x:c r="Q486" s="9" t="n">
        <x:v>104.0805</x:v>
      </x:c>
      <x:c r="R486" s="1" t="str">
        <x:v>Review receipt reconciliation or original PO baseline</x:v>
      </x:c>
      <x:c r="S486" s="1" t="str">
        <x:v>Plastic Product Information.csv</x:v>
      </x:c>
    </x:row>
    <x:row r="487" ht="21" customHeight="1">
      <x:c r="A487" s="1" t="str">
        <x:v>PLAS</x:v>
      </x:c>
      <x:c r="B487" s="1" t="str">
        <x:v>10</x:v>
      </x:c>
      <x:c r="C487" s="1" t="str">
        <x:v>11219RSLMAR</x:v>
      </x:c>
      <x:c r="D487" s="1" t="str">
        <x:v>GOLDEN CHAMPION IND. LIMITED</x:v>
      </x:c>
      <x:c r="E487" s="7" t="n">
        <x:v>46303</x:v>
      </x:c>
      <x:c r="F487" s="8" t="n">
        <x:v>450</x:v>
      </x:c>
      <x:c r="G487" s="8" t="n">
        <x:v>8.33</x:v>
      </x:c>
      <x:c r="H487" s="8" t="n">
        <x:v>12.98</x:v>
      </x:c>
      <x:c r="I487" s="8" t="n">
        <x:v>10.33</x:v>
      </x:c>
      <x:c r="J487" s="8" t="n">
        <x:v>100</x:v>
      </x:c>
      <x:c r="K487" s="8" t="n">
        <x:v>1.47</x:v>
      </x:c>
      <x:c r="L487" s="8" t="n">
        <x:v>450</x:v>
      </x:c>
      <x:c r="M487" s="8" t="n">
        <x:v>0</x:v>
      </x:c>
      <x:c r="N487" s="8" t="n">
        <x:v>0</x:v>
      </x:c>
      <x:c r="O487" s="8" t="n">
        <x:v>1</x:v>
      </x:c>
      <x:c r="P487" s="8" t="n">
        <x:v>8.83</x:v>
      </x:c>
      <x:c r="Q487" s="9" t="n">
        <x:v>58.410000000000004</x:v>
      </x:c>
      <x:c r="R487" s="1" t="str">
        <x:v>Classified</x:v>
      </x:c>
      <x:c r="S487" s="1" t="str">
        <x:v>Plastic Product Information.csv</x:v>
      </x:c>
    </x:row>
    <x:row r="488" ht="21" customHeight="1">
      <x:c r="A488" s="1" t="str">
        <x:v>PLAS</x:v>
      </x:c>
      <x:c r="B488" s="1" t="str">
        <x:v>10</x:v>
      </x:c>
      <x:c r="C488" s="1" t="str">
        <x:v>11419RSLRED</x:v>
      </x:c>
      <x:c r="D488" s="1" t="str">
        <x:v>GOLDEN CHAMPION IND. LIMITED</x:v>
      </x:c>
      <x:c r="E488" s="7" t="n">
        <x:v>46303</x:v>
      </x:c>
      <x:c r="F488" s="8" t="n">
        <x:v>1600</x:v>
      </x:c>
      <x:c r="G488" s="8" t="n">
        <x:v>8.33</x:v>
      </x:c>
      <x:c r="H488" s="8" t="n">
        <x:v>11.1</x:v>
      </x:c>
      <x:c r="I488" s="8" t="n">
        <x:v>8.83</x:v>
      </x:c>
      <x:c r="J488" s="8" t="n">
        <x:v>100</x:v>
      </x:c>
      <x:c r="K488" s="8" t="n">
        <x:v>1.47</x:v>
      </x:c>
      <x:c r="L488" s="8" t="n">
        <x:v>0</x:v>
      </x:c>
      <x:c r="M488" s="8" t="n">
        <x:v>0</x:v>
      </x:c>
      <x:c r="N488" s="8" t="n">
        <x:v>1600</x:v>
      </x:c>
      <x:c r="O488" s="8" t="n">
        <x:v>0</x:v>
      </x:c>
      <x:c r="P488" s="8" t="n">
        <x:v>7.55</x:v>
      </x:c>
      <x:c r="Q488" s="9" t="n">
        <x:v>177.6</x:v>
      </x:c>
      <x:c r="R488" s="1" t="str">
        <x:v>Review receipt reconciliation or original PO baseline</x:v>
      </x:c>
      <x:c r="S488" s="1" t="str">
        <x:v>Plastic Product Information.csv</x:v>
      </x:c>
    </x:row>
    <x:row r="489" ht="21" customHeight="1">
      <x:c r="A489" s="1" t="str">
        <x:v>PLAS</x:v>
      </x:c>
      <x:c r="B489" s="1" t="str">
        <x:v>10</x:v>
      </x:c>
      <x:c r="C489" s="1" t="str">
        <x:v>11480ROVBLK</x:v>
      </x:c>
      <x:c r="D489" s="1" t="str">
        <x:v>GOLDEN CHAMPION IND. LIMITED</x:v>
      </x:c>
      <x:c r="E489" s="7" t="n">
        <x:v>46303</x:v>
      </x:c>
      <x:c r="F489" s="8" t="n">
        <x:v>2367</x:v>
      </x:c>
      <x:c r="G489" s="8" t="n">
        <x:v>8.33</x:v>
      </x:c>
      <x:c r="H489" s="8" t="n">
        <x:v>47.51</x:v>
      </x:c>
      <x:c r="I489" s="8" t="n">
        <x:v>37.81</x:v>
      </x:c>
      <x:c r="J489" s="8" t="n">
        <x:v>100</x:v>
      </x:c>
      <x:c r="K489" s="8" t="n">
        <x:v>1.47</x:v>
      </x:c>
      <x:c r="L489" s="8" t="n">
        <x:v>1167</x:v>
      </x:c>
      <x:c r="M489" s="8" t="n">
        <x:v>1200</x:v>
      </x:c>
      <x:c r="N489" s="8" t="n">
        <x:v>0</x:v>
      </x:c>
      <x:c r="O489" s="8" t="n">
        <x:v>1</x:v>
      </x:c>
      <x:c r="P489" s="8" t="n">
        <x:v>32.32</x:v>
      </x:c>
      <x:c r="Q489" s="9" t="n">
        <x:v>1124.5617</x:v>
      </x:c>
      <x:c r="R489" s="1" t="str">
        <x:v>Classified</x:v>
      </x:c>
      <x:c r="S489" s="1" t="str">
        <x:v>Plastic Product Information.csv</x:v>
      </x:c>
    </x:row>
    <x:row r="490" ht="21" customHeight="1">
      <x:c r="A490" s="1" t="str">
        <x:v>PLAS</x:v>
      </x:c>
      <x:c r="B490" s="1" t="str">
        <x:v>10</x:v>
      </x:c>
      <x:c r="C490" s="1" t="str">
        <x:v>51621RWBBLK</x:v>
      </x:c>
      <x:c r="D490" s="1" t="str">
        <x:v>GOLDEN CHAMPION IND. LIMITED</x:v>
      </x:c>
      <x:c r="E490" s="7" t="n">
        <x:v>46303</x:v>
      </x:c>
      <x:c r="F490" s="8" t="n">
        <x:v>8300</x:v>
      </x:c>
      <x:c r="G490" s="8" t="n">
        <x:v>8.33</x:v>
      </x:c>
      <x:c r="H490" s="8" t="n">
        <x:v>1.88</x:v>
      </x:c>
      <x:c r="I490" s="8" t="n">
        <x:v>1.5</x:v>
      </x:c>
      <x:c r="J490" s="8" t="n">
        <x:v>100</x:v>
      </x:c>
      <x:c r="K490" s="8" t="n">
        <x:v>1.47</x:v>
      </x:c>
      <x:c r="L490" s="8" t="n">
        <x:v>0</x:v>
      </x:c>
      <x:c r="M490" s="8" t="n">
        <x:v>0</x:v>
      </x:c>
      <x:c r="N490" s="8" t="n">
        <x:v>8300</x:v>
      </x:c>
      <x:c r="O490" s="8" t="n">
        <x:v>0</x:v>
      </x:c>
      <x:c r="P490" s="8" t="n">
        <x:v>1.28</x:v>
      </x:c>
      <x:c r="Q490" s="9" t="n">
        <x:v>156.04</x:v>
      </x:c>
      <x:c r="R490" s="1" t="str">
        <x:v>Review receipt reconciliation or original PO baseline</x:v>
      </x:c>
      <x:c r="S490" s="1" t="str">
        <x:v>Plastic Product Information.csv</x:v>
      </x:c>
    </x:row>
    <x:row r="491" ht="21" customHeight="1">
      <x:c r="A491" s="1" t="str">
        <x:v>PLAS</x:v>
      </x:c>
      <x:c r="B491" s="1" t="str">
        <x:v>60</x:v>
      </x:c>
      <x:c r="C491" s="1" t="str">
        <x:v>11219RSLRED</x:v>
      </x:c>
      <x:c r="D491" s="1" t="str">
        <x:v>GOLDEN CHAMPION IND. LIMITED</x:v>
      </x:c>
      <x:c r="E491" s="7" t="n">
        <x:v>46303</x:v>
      </x:c>
      <x:c r="F491" s="8" t="n">
        <x:v>300</x:v>
      </x:c>
      <x:c r="G491" s="8" t="n">
        <x:v>8.33</x:v>
      </x:c>
      <x:c r="H491" s="8" t="n">
        <x:v>12.98</x:v>
      </x:c>
      <x:c r="I491" s="8" t="n">
        <x:v>10.33</x:v>
      </x:c>
      <x:c r="J491" s="8" t="n">
        <x:v>100</x:v>
      </x:c>
      <x:c r="K491" s="8" t="n">
        <x:v>1.47</x:v>
      </x:c>
      <x:c r="L491" s="8" t="n">
        <x:v>0</x:v>
      </x:c>
      <x:c r="M491" s="8" t="n">
        <x:v>0</x:v>
      </x:c>
      <x:c r="N491" s="8" t="n">
        <x:v>300</x:v>
      </x:c>
      <x:c r="O491" s="8" t="n">
        <x:v>0</x:v>
      </x:c>
      <x:c r="P491" s="8" t="n">
        <x:v>8.83</x:v>
      </x:c>
      <x:c r="Q491" s="9" t="n">
        <x:v>38.94</x:v>
      </x:c>
      <x:c r="R491" s="1" t="str">
        <x:v>Review receipt reconciliation or original PO baseline</x:v>
      </x:c>
      <x:c r="S491" s="1" t="str">
        <x:v>Plastic Product Information.csv</x:v>
      </x:c>
    </x:row>
    <x:row r="492" ht="21" customHeight="1">
      <x:c r="A492" s="1" t="str">
        <x:v>PLAS</x:v>
      </x:c>
      <x:c r="B492" s="1" t="str">
        <x:v>60</x:v>
      </x:c>
      <x:c r="C492" s="1" t="str">
        <x:v>11419RSLFG</x:v>
      </x:c>
      <x:c r="D492" s="1" t="str">
        <x:v>GOLDEN CHAMPION IND. LIMITED</x:v>
      </x:c>
      <x:c r="E492" s="7" t="n">
        <x:v>46303</x:v>
      </x:c>
      <x:c r="F492" s="8" t="n">
        <x:v>250</x:v>
      </x:c>
      <x:c r="G492" s="8" t="n">
        <x:v>8.33</x:v>
      </x:c>
      <x:c r="H492" s="8" t="n">
        <x:v>11.1</x:v>
      </x:c>
      <x:c r="I492" s="8" t="n">
        <x:v>8.83</x:v>
      </x:c>
      <x:c r="J492" s="8" t="n">
        <x:v>100</x:v>
      </x:c>
      <x:c r="K492" s="8" t="n">
        <x:v>1.47</x:v>
      </x:c>
      <x:c r="L492" s="8" t="n">
        <x:v>0</x:v>
      </x:c>
      <x:c r="M492" s="8" t="n">
        <x:v>0</x:v>
      </x:c>
      <x:c r="N492" s="8" t="n">
        <x:v>250</x:v>
      </x:c>
      <x:c r="O492" s="8" t="n">
        <x:v>0</x:v>
      </x:c>
      <x:c r="P492" s="8" t="n">
        <x:v>7.55</x:v>
      </x:c>
      <x:c r="Q492" s="9" t="n">
        <x:v>27.75</x:v>
      </x:c>
      <x:c r="R492" s="1" t="str">
        <x:v>Review receipt reconciliation or original PO baseline</x:v>
      </x:c>
      <x:c r="S492" s="1" t="str">
        <x:v>Plastic Product Information.csv</x:v>
      </x:c>
    </x:row>
    <x:row r="493" ht="21" customHeight="1">
      <x:c r="A493" s="1" t="str">
        <x:v>PLAS</x:v>
      </x:c>
      <x:c r="B493" s="1" t="str">
        <x:v>60</x:v>
      </x:c>
      <x:c r="C493" s="1" t="str">
        <x:v>13419RSLBLU</x:v>
      </x:c>
      <x:c r="D493" s="1" t="str">
        <x:v>GOLDEN CHAMPION IND. LIMITED</x:v>
      </x:c>
      <x:c r="E493" s="7" t="n">
        <x:v>46303</x:v>
      </x:c>
      <x:c r="F493" s="8" t="n">
        <x:v>400</x:v>
      </x:c>
      <x:c r="G493" s="8" t="n">
        <x:v>8.33</x:v>
      </x:c>
      <x:c r="H493" s="8" t="n">
        <x:v>14.57</x:v>
      </x:c>
      <x:c r="I493" s="8" t="n">
        <x:v>11.59</x:v>
      </x:c>
      <x:c r="J493" s="8" t="n">
        <x:v>100</x:v>
      </x:c>
      <x:c r="K493" s="8" t="n">
        <x:v>1.47</x:v>
      </x:c>
      <x:c r="L493" s="8" t="n">
        <x:v>0</x:v>
      </x:c>
      <x:c r="M493" s="8" t="n">
        <x:v>0</x:v>
      </x:c>
      <x:c r="N493" s="8" t="n">
        <x:v>400</x:v>
      </x:c>
      <x:c r="O493" s="8" t="n">
        <x:v>0</x:v>
      </x:c>
      <x:c r="P493" s="8" t="n">
        <x:v>9.91</x:v>
      </x:c>
      <x:c r="Q493" s="9" t="n">
        <x:v>58.28</x:v>
      </x:c>
      <x:c r="R493" s="1" t="str">
        <x:v>Review receipt reconciliation or original PO baseline</x:v>
      </x:c>
      <x:c r="S493" s="1" t="str">
        <x:v>Plastic Product Information.csv</x:v>
      </x:c>
    </x:row>
    <x:row r="494" ht="21" customHeight="1">
      <x:c r="A494" s="1" t="str">
        <x:v>PLAS</x:v>
      </x:c>
      <x:c r="B494" s="1" t="str">
        <x:v>30</x:v>
      </x:c>
      <x:c r="C494" s="1" t="str">
        <x:v>00219RSLRED</x:v>
      </x:c>
      <x:c r="D494" s="1" t="str">
        <x:v>GOLDEN CHAMPION IND. LIMITED</x:v>
      </x:c>
      <x:c r="E494" s="7" t="n">
        <x:v>46303</x:v>
      </x:c>
      <x:c r="F494" s="8" t="n">
        <x:v>400</x:v>
      </x:c>
      <x:c r="G494" s="8" t="n">
        <x:v>6.67</x:v>
      </x:c>
      <x:c r="H494" s="8" t="n">
        <x:v>14.77</x:v>
      </x:c>
      <x:c r="I494" s="8" t="n">
        <x:v>11.76</x:v>
      </x:c>
      <x:c r="J494" s="8" t="n">
        <x:v>100</x:v>
      </x:c>
      <x:c r="K494" s="8" t="n">
        <x:v>1.47</x:v>
      </x:c>
      <x:c r="L494" s="8" t="n">
        <x:v>0</x:v>
      </x:c>
      <x:c r="M494" s="8" t="n">
        <x:v>0</x:v>
      </x:c>
      <x:c r="N494" s="8" t="n">
        <x:v>400</x:v>
      </x:c>
      <x:c r="O494" s="8" t="n">
        <x:v>0</x:v>
      </x:c>
      <x:c r="P494" s="8" t="n">
        <x:v>10.05</x:v>
      </x:c>
      <x:c r="Q494" s="9" t="n">
        <x:v>59.08</x:v>
      </x:c>
      <x:c r="R494" s="1" t="str">
        <x:v>Review receipt reconciliation or original PO baseline</x:v>
      </x:c>
      <x:c r="S494" s="1" t="str">
        <x:v>Plastic Product Information.csv</x:v>
      </x:c>
    </x:row>
    <x:row r="495" ht="21" customHeight="1">
      <x:c r="A495" s="1" t="str">
        <x:v>PLAS</x:v>
      </x:c>
      <x:c r="B495" s="1" t="str">
        <x:v>10</x:v>
      </x:c>
      <x:c r="C495" s="1" t="str">
        <x:v>00115ROVBLK</x:v>
      </x:c>
      <x:c r="D495" s="1" t="str">
        <x:v>GOLDEN CHAMPION IND. LIMITED</x:v>
      </x:c>
      <x:c r="E495" s="7" t="n">
        <x:v>46303</x:v>
      </x:c>
      <x:c r="F495" s="8" t="n">
        <x:v>6785</x:v>
      </x:c>
      <x:c r="G495" s="8" t="n">
        <x:v>0</x:v>
      </x:c>
      <x:c r="H495" s="8" t="n">
        <x:v>8.45</x:v>
      </x:c>
      <x:c r="I495" s="8" t="n">
        <x:v>6.73</x:v>
      </x:c>
      <x:c r="J495" s="8" t="n">
        <x:v>100</x:v>
      </x:c>
      <x:c r="K495" s="8" t="n">
        <x:v>1.47</x:v>
      </x:c>
      <x:c r="L495" s="8" t="n">
        <x:v>0</x:v>
      </x:c>
      <x:c r="M495" s="8" t="n">
        <x:v>0</x:v>
      </x:c>
      <x:c r="N495" s="8" t="n">
        <x:v>6785</x:v>
      </x:c>
      <x:c r="O495" s="8" t="n">
        <x:v>0</x:v>
      </x:c>
      <x:c r="P495" s="8" t="n">
        <x:v>5.75</x:v>
      </x:c>
      <x:c r="Q495" s="9" t="n">
        <x:v>573.3325</x:v>
      </x:c>
      <x:c r="R495" s="1" t="str">
        <x:v>Review receipt reconciliation or original PO baseline</x:v>
      </x:c>
      <x:c r="S495" s="1" t="str">
        <x:v>Plastic Product Information.csv</x:v>
      </x:c>
    </x:row>
    <x:row r="496" ht="21" customHeight="1">
      <x:c r="A496" s="1" t="str">
        <x:v>PLAS</x:v>
      </x:c>
      <x:c r="B496" s="1" t="str">
        <x:v>10</x:v>
      </x:c>
      <x:c r="C496" s="1" t="str">
        <x:v>00115ROVBRN</x:v>
      </x:c>
      <x:c r="D496" s="1" t="str">
        <x:v>GOLDEN CHAMPION IND. LIMITED</x:v>
      </x:c>
      <x:c r="E496" s="7" t="n">
        <x:v>46303</x:v>
      </x:c>
      <x:c r="F496" s="8" t="n">
        <x:v>2500</x:v>
      </x:c>
      <x:c r="G496" s="8" t="n">
        <x:v>0</x:v>
      </x:c>
      <x:c r="H496" s="8" t="n">
        <x:v>8.45</x:v>
      </x:c>
      <x:c r="I496" s="8" t="n">
        <x:v>6.73</x:v>
      </x:c>
      <x:c r="J496" s="8" t="n">
        <x:v>100</x:v>
      </x:c>
      <x:c r="K496" s="8" t="n">
        <x:v>1.47</x:v>
      </x:c>
      <x:c r="L496" s="8" t="n">
        <x:v>0</x:v>
      </x:c>
      <x:c r="M496" s="8" t="n">
        <x:v>0</x:v>
      </x:c>
      <x:c r="N496" s="8" t="n">
        <x:v>2500</x:v>
      </x:c>
      <x:c r="O496" s="8" t="n">
        <x:v>0</x:v>
      </x:c>
      <x:c r="P496" s="8" t="n">
        <x:v>5.75</x:v>
      </x:c>
      <x:c r="Q496" s="9" t="n">
        <x:v>211.25</x:v>
      </x:c>
      <x:c r="R496" s="1" t="str">
        <x:v>Review receipt reconciliation or original PO baseline</x:v>
      </x:c>
      <x:c r="S496" s="1" t="str">
        <x:v>Plastic Product Information.csv</x:v>
      </x:c>
    </x:row>
    <x:row r="497" ht="21" customHeight="1">
      <x:c r="A497" s="1" t="str">
        <x:v>PLAS</x:v>
      </x:c>
      <x:c r="B497" s="1" t="str">
        <x:v>10</x:v>
      </x:c>
      <x:c r="C497" s="1" t="str">
        <x:v>00115ROVFG</x:v>
      </x:c>
      <x:c r="D497" s="1" t="str">
        <x:v>GOLDEN CHAMPION IND. LIMITED</x:v>
      </x:c>
      <x:c r="E497" s="7" t="n">
        <x:v>46303</x:v>
      </x:c>
      <x:c r="F497" s="8" t="n">
        <x:v>1440</x:v>
      </x:c>
      <x:c r="G497" s="8" t="n">
        <x:v>0</x:v>
      </x:c>
      <x:c r="H497" s="8" t="n">
        <x:v>8.45</x:v>
      </x:c>
      <x:c r="I497" s="8" t="n">
        <x:v>6.73</x:v>
      </x:c>
      <x:c r="J497" s="8" t="n">
        <x:v>100</x:v>
      </x:c>
      <x:c r="K497" s="8" t="n">
        <x:v>1.47</x:v>
      </x:c>
      <x:c r="L497" s="8" t="n">
        <x:v>0</x:v>
      </x:c>
      <x:c r="M497" s="8" t="n">
        <x:v>0</x:v>
      </x:c>
      <x:c r="N497" s="8" t="n">
        <x:v>1440</x:v>
      </x:c>
      <x:c r="O497" s="8" t="n">
        <x:v>0</x:v>
      </x:c>
      <x:c r="P497" s="8" t="n">
        <x:v>5.75</x:v>
      </x:c>
      <x:c r="Q497" s="9" t="n">
        <x:v>121.67999999999998</x:v>
      </x:c>
      <x:c r="R497" s="1" t="str">
        <x:v>Review receipt reconciliation or original PO baseline</x:v>
      </x:c>
      <x:c r="S497" s="1" t="str">
        <x:v>Plastic Product Information.csv</x:v>
      </x:c>
    </x:row>
    <x:row r="498" ht="21" customHeight="1">
      <x:c r="A498" s="1" t="str">
        <x:v>PLAS</x:v>
      </x:c>
      <x:c r="B498" s="1" t="str">
        <x:v>10</x:v>
      </x:c>
      <x:c r="C498" s="1" t="str">
        <x:v>00115ROVMAR</x:v>
      </x:c>
      <x:c r="D498" s="1" t="str">
        <x:v>GOLDEN CHAMPION IND. LIMITED</x:v>
      </x:c>
      <x:c r="E498" s="7" t="n">
        <x:v>46303</x:v>
      </x:c>
      <x:c r="F498" s="8" t="n">
        <x:v>2500</x:v>
      </x:c>
      <x:c r="G498" s="8" t="n">
        <x:v>0</x:v>
      </x:c>
      <x:c r="H498" s="8" t="n">
        <x:v>8.45</x:v>
      </x:c>
      <x:c r="I498" s="8" t="n">
        <x:v>6.73</x:v>
      </x:c>
      <x:c r="J498" s="8" t="n">
        <x:v>100</x:v>
      </x:c>
      <x:c r="K498" s="8" t="n">
        <x:v>1.47</x:v>
      </x:c>
      <x:c r="L498" s="8" t="n">
        <x:v>0</x:v>
      </x:c>
      <x:c r="M498" s="8" t="n">
        <x:v>0</x:v>
      </x:c>
      <x:c r="N498" s="8" t="n">
        <x:v>2500</x:v>
      </x:c>
      <x:c r="O498" s="8" t="n">
        <x:v>0</x:v>
      </x:c>
      <x:c r="P498" s="8" t="n">
        <x:v>5.75</x:v>
      </x:c>
      <x:c r="Q498" s="9" t="n">
        <x:v>211.25</x:v>
      </x:c>
      <x:c r="R498" s="1" t="str">
        <x:v>Review receipt reconciliation or original PO baseline</x:v>
      </x:c>
      <x:c r="S498" s="1" t="str">
        <x:v>Plastic Product Information.csv</x:v>
      </x:c>
    </x:row>
    <x:row r="499" ht="21" customHeight="1">
      <x:c r="A499" s="1" t="str">
        <x:v>PLAS</x:v>
      </x:c>
      <x:c r="B499" s="1" t="str">
        <x:v>10</x:v>
      </x:c>
      <x:c r="C499" s="1" t="str">
        <x:v>00115ROVNAV</x:v>
      </x:c>
      <x:c r="D499" s="1" t="str">
        <x:v>GOLDEN CHAMPION IND. LIMITED</x:v>
      </x:c>
      <x:c r="E499" s="7" t="n">
        <x:v>46303</x:v>
      </x:c>
      <x:c r="F499" s="8" t="n">
        <x:v>1150</x:v>
      </x:c>
      <x:c r="G499" s="8" t="n">
        <x:v>0</x:v>
      </x:c>
      <x:c r="H499" s="8" t="n">
        <x:v>8.45</x:v>
      </x:c>
      <x:c r="I499" s="8" t="n">
        <x:v>6.73</x:v>
      </x:c>
      <x:c r="J499" s="8" t="n">
        <x:v>100</x:v>
      </x:c>
      <x:c r="K499" s="8" t="n">
        <x:v>1.47</x:v>
      </x:c>
      <x:c r="L499" s="8" t="n">
        <x:v>0</x:v>
      </x:c>
      <x:c r="M499" s="8" t="n">
        <x:v>0</x:v>
      </x:c>
      <x:c r="N499" s="8" t="n">
        <x:v>1150</x:v>
      </x:c>
      <x:c r="O499" s="8" t="n">
        <x:v>0</x:v>
      </x:c>
      <x:c r="P499" s="8" t="n">
        <x:v>5.75</x:v>
      </x:c>
      <x:c r="Q499" s="9" t="n">
        <x:v>97.175</x:v>
      </x:c>
      <x:c r="R499" s="1" t="str">
        <x:v>Review receipt reconciliation or original PO baseline</x:v>
      </x:c>
      <x:c r="S499" s="1" t="str">
        <x:v>Plastic Product Information.csv</x:v>
      </x:c>
    </x:row>
    <x:row r="500" ht="21" customHeight="1">
      <x:c r="A500" s="1" t="str">
        <x:v>PLAS</x:v>
      </x:c>
      <x:c r="B500" s="1" t="str">
        <x:v>10</x:v>
      </x:c>
      <x:c r="C500" s="1" t="str">
        <x:v>00115ROVRED</x:v>
      </x:c>
      <x:c r="D500" s="1" t="str">
        <x:v>GOLDEN CHAMPION IND. LIMITED</x:v>
      </x:c>
      <x:c r="E500" s="7" t="n">
        <x:v>46303</x:v>
      </x:c>
      <x:c r="F500" s="8" t="n">
        <x:v>2000</x:v>
      </x:c>
      <x:c r="G500" s="8" t="n">
        <x:v>0</x:v>
      </x:c>
      <x:c r="H500" s="8" t="n">
        <x:v>8.45</x:v>
      </x:c>
      <x:c r="I500" s="8" t="n">
        <x:v>6.73</x:v>
      </x:c>
      <x:c r="J500" s="8" t="n">
        <x:v>100</x:v>
      </x:c>
      <x:c r="K500" s="8" t="n">
        <x:v>1.47</x:v>
      </x:c>
      <x:c r="L500" s="8" t="n">
        <x:v>2000</x:v>
      </x:c>
      <x:c r="M500" s="8" t="n">
        <x:v>0</x:v>
      </x:c>
      <x:c r="N500" s="8" t="n">
        <x:v>0</x:v>
      </x:c>
      <x:c r="O500" s="8" t="n">
        <x:v>1</x:v>
      </x:c>
      <x:c r="P500" s="8" t="n">
        <x:v>5.75</x:v>
      </x:c>
      <x:c r="Q500" s="9" t="n">
        <x:v>169</x:v>
      </x:c>
      <x:c r="R500" s="1" t="str">
        <x:v>Classified</x:v>
      </x:c>
      <x:c r="S500" s="1" t="str">
        <x:v>Plastic Product Information.csv</x:v>
      </x:c>
    </x:row>
    <x:row r="501" ht="21" customHeight="1">
      <x:c r="A501" s="1" t="str">
        <x:v>PLAS</x:v>
      </x:c>
      <x:c r="B501" s="1" t="str">
        <x:v>10</x:v>
      </x:c>
      <x:c r="C501" s="1" t="str">
        <x:v>00115ROVWHT</x:v>
      </x:c>
      <x:c r="D501" s="1" t="str">
        <x:v>GOLDEN CHAMPION IND. LIMITED</x:v>
      </x:c>
      <x:c r="E501" s="7" t="n">
        <x:v>46303</x:v>
      </x:c>
      <x:c r="F501" s="8" t="n">
        <x:v>3500</x:v>
      </x:c>
      <x:c r="G501" s="8" t="n">
        <x:v>0</x:v>
      </x:c>
      <x:c r="H501" s="8" t="n">
        <x:v>8.45</x:v>
      </x:c>
      <x:c r="I501" s="8" t="n">
        <x:v>6.73</x:v>
      </x:c>
      <x:c r="J501" s="8" t="n">
        <x:v>100</x:v>
      </x:c>
      <x:c r="K501" s="8" t="n">
        <x:v>1.47</x:v>
      </x:c>
      <x:c r="L501" s="8" t="n">
        <x:v>3500</x:v>
      </x:c>
      <x:c r="M501" s="8" t="n">
        <x:v>0</x:v>
      </x:c>
      <x:c r="N501" s="8" t="n">
        <x:v>0</x:v>
      </x:c>
      <x:c r="O501" s="8" t="n">
        <x:v>1</x:v>
      </x:c>
      <x:c r="P501" s="8" t="n">
        <x:v>5.75</x:v>
      </x:c>
      <x:c r="Q501" s="9" t="n">
        <x:v>295.74999999999994</x:v>
      </x:c>
      <x:c r="R501" s="1" t="str">
        <x:v>Classified</x:v>
      </x:c>
      <x:c r="S501" s="1" t="str">
        <x:v>Plastic Product Information.csv</x:v>
      </x:c>
    </x:row>
    <x:row r="502" ht="21" customHeight="1">
      <x:c r="A502" s="1" t="str">
        <x:v>PLAS</x:v>
      </x:c>
      <x:c r="B502" s="1" t="str">
        <x:v>10</x:v>
      </x:c>
      <x:c r="C502" s="1" t="str">
        <x:v>00115RWBBRN</x:v>
      </x:c>
      <x:c r="D502" s="1" t="str">
        <x:v>GOLDEN CHAMPION IND. LIMITED</x:v>
      </x:c>
      <x:c r="E502" s="7" t="n">
        <x:v>46303</x:v>
      </x:c>
      <x:c r="F502" s="8" t="n">
        <x:v>3500</x:v>
      </x:c>
      <x:c r="G502" s="8" t="n">
        <x:v>0</x:v>
      </x:c>
      <x:c r="H502" s="8" t="n">
        <x:v>7.36</x:v>
      </x:c>
      <x:c r="I502" s="8" t="n">
        <x:v>5.86</x:v>
      </x:c>
      <x:c r="J502" s="8" t="n">
        <x:v>100</x:v>
      </x:c>
      <x:c r="K502" s="8" t="n">
        <x:v>1.47</x:v>
      </x:c>
      <x:c r="L502" s="8" t="n">
        <x:v>3500</x:v>
      </x:c>
      <x:c r="M502" s="8" t="n">
        <x:v>0</x:v>
      </x:c>
      <x:c r="N502" s="8" t="n">
        <x:v>0</x:v>
      </x:c>
      <x:c r="O502" s="8" t="n">
        <x:v>1</x:v>
      </x:c>
      <x:c r="P502" s="8" t="n">
        <x:v>5.01</x:v>
      </x:c>
      <x:c r="Q502" s="9" t="n">
        <x:v>257.6</x:v>
      </x:c>
      <x:c r="R502" s="1" t="str">
        <x:v>Classified</x:v>
      </x:c>
      <x:c r="S502" s="1" t="str">
        <x:v>Plastic Product Information.csv</x:v>
      </x:c>
    </x:row>
    <x:row r="503" ht="21" customHeight="1">
      <x:c r="A503" s="1" t="str">
        <x:v>PLAS</x:v>
      </x:c>
      <x:c r="B503" s="1" t="str">
        <x:v>10</x:v>
      </x:c>
      <x:c r="C503" s="1" t="str">
        <x:v>00115RWBMAR</x:v>
      </x:c>
      <x:c r="D503" s="1" t="str">
        <x:v>GOLDEN CHAMPION IND. LIMITED</x:v>
      </x:c>
      <x:c r="E503" s="7" t="n">
        <x:v>46303</x:v>
      </x:c>
      <x:c r="F503" s="8" t="n">
        <x:v>770</x:v>
      </x:c>
      <x:c r="G503" s="8" t="n">
        <x:v>0</x:v>
      </x:c>
      <x:c r="H503" s="8" t="n">
        <x:v>7.36</x:v>
      </x:c>
      <x:c r="I503" s="8" t="n">
        <x:v>5.86</x:v>
      </x:c>
      <x:c r="J503" s="8" t="n">
        <x:v>100</x:v>
      </x:c>
      <x:c r="K503" s="8" t="n">
        <x:v>1.47</x:v>
      </x:c>
      <x:c r="L503" s="8" t="n">
        <x:v>0</x:v>
      </x:c>
      <x:c r="M503" s="8" t="n">
        <x:v>0</x:v>
      </x:c>
      <x:c r="N503" s="8" t="n">
        <x:v>770</x:v>
      </x:c>
      <x:c r="O503" s="8" t="n">
        <x:v>0</x:v>
      </x:c>
      <x:c r="P503" s="8" t="n">
        <x:v>5.01</x:v>
      </x:c>
      <x:c r="Q503" s="9" t="n">
        <x:v>56.672</x:v>
      </x:c>
      <x:c r="R503" s="1" t="str">
        <x:v>Review receipt reconciliation or original PO baseline</x:v>
      </x:c>
      <x:c r="S503" s="1" t="str">
        <x:v>Plastic Product Information.csv</x:v>
      </x:c>
    </x:row>
    <x:row r="504" ht="21" customHeight="1">
      <x:c r="A504" s="1" t="str">
        <x:v>PLAS</x:v>
      </x:c>
      <x:c r="B504" s="1" t="str">
        <x:v>10</x:v>
      </x:c>
      <x:c r="C504" s="1" t="str">
        <x:v>00115RWBNAV</x:v>
      </x:c>
      <x:c r="D504" s="1" t="str">
        <x:v>GOLDEN CHAMPION IND. LIMITED</x:v>
      </x:c>
      <x:c r="E504" s="7" t="n">
        <x:v>46303</x:v>
      </x:c>
      <x:c r="F504" s="8" t="n">
        <x:v>5250</x:v>
      </x:c>
      <x:c r="G504" s="8" t="n">
        <x:v>0</x:v>
      </x:c>
      <x:c r="H504" s="8" t="n">
        <x:v>6.29</x:v>
      </x:c>
      <x:c r="I504" s="8" t="n">
        <x:v>5.86</x:v>
      </x:c>
      <x:c r="J504" s="8" t="n">
        <x:v>100</x:v>
      </x:c>
      <x:c r="K504" s="8" t="n">
        <x:v>1.47</x:v>
      </x:c>
      <x:c r="L504" s="8" t="n">
        <x:v>0</x:v>
      </x:c>
      <x:c r="M504" s="8" t="n">
        <x:v>0</x:v>
      </x:c>
      <x:c r="N504" s="8" t="n">
        <x:v>5250</x:v>
      </x:c>
      <x:c r="O504" s="8" t="n">
        <x:v>0</x:v>
      </x:c>
      <x:c r="P504" s="8" t="n">
        <x:v>5.01</x:v>
      </x:c>
      <x:c r="Q504" s="9" t="n">
        <x:v>330.225</x:v>
      </x:c>
      <x:c r="R504" s="1" t="str">
        <x:v>Review receipt reconciliation or original PO baseline</x:v>
      </x:c>
      <x:c r="S504" s="1" t="str">
        <x:v>Plastic Product Information.csv</x:v>
      </x:c>
    </x:row>
    <x:row r="505" ht="21" customHeight="1">
      <x:c r="A505" s="1" t="str">
        <x:v>PLAS</x:v>
      </x:c>
      <x:c r="B505" s="1" t="str">
        <x:v>10</x:v>
      </x:c>
      <x:c r="C505" s="1" t="str">
        <x:v>00115RWBRED</x:v>
      </x:c>
      <x:c r="D505" s="1" t="str">
        <x:v>GOLDEN CHAMPION IND. LIMITED</x:v>
      </x:c>
      <x:c r="E505" s="7" t="n">
        <x:v>46303</x:v>
      </x:c>
      <x:c r="F505" s="8" t="n">
        <x:v>3000</x:v>
      </x:c>
      <x:c r="G505" s="8" t="n">
        <x:v>0</x:v>
      </x:c>
      <x:c r="H505" s="8" t="n">
        <x:v>7.36</x:v>
      </x:c>
      <x:c r="I505" s="8" t="n">
        <x:v>5.86</x:v>
      </x:c>
      <x:c r="J505" s="8" t="n">
        <x:v>100</x:v>
      </x:c>
      <x:c r="K505" s="8" t="n">
        <x:v>1.47</x:v>
      </x:c>
      <x:c r="L505" s="8" t="n">
        <x:v>0</x:v>
      </x:c>
      <x:c r="M505" s="8" t="n">
        <x:v>0</x:v>
      </x:c>
      <x:c r="N505" s="8" t="n">
        <x:v>3000</x:v>
      </x:c>
      <x:c r="O505" s="8" t="n">
        <x:v>0</x:v>
      </x:c>
      <x:c r="P505" s="8" t="n">
        <x:v>5.01</x:v>
      </x:c>
      <x:c r="Q505" s="9" t="n">
        <x:v>220.8</x:v>
      </x:c>
      <x:c r="R505" s="1" t="str">
        <x:v>Review receipt reconciliation or original PO baseline</x:v>
      </x:c>
      <x:c r="S505" s="1" t="str">
        <x:v>Plastic Product Information.csv</x:v>
      </x:c>
    </x:row>
    <x:row r="506" ht="21" customHeight="1">
      <x:c r="A506" s="1" t="str">
        <x:v>PLAS</x:v>
      </x:c>
      <x:c r="B506" s="1" t="str">
        <x:v>10</x:v>
      </x:c>
      <x:c r="C506" s="1" t="str">
        <x:v>00180RWBBLK</x:v>
      </x:c>
      <x:c r="D506" s="1" t="str">
        <x:v>GOLDEN CHAMPION IND. LIMITED</x:v>
      </x:c>
      <x:c r="E506" s="7" t="n">
        <x:v>46303</x:v>
      </x:c>
      <x:c r="F506" s="8" t="n">
        <x:v>510</x:v>
      </x:c>
      <x:c r="G506" s="8" t="n">
        <x:v>0</x:v>
      </x:c>
      <x:c r="H506" s="8" t="n">
        <x:v>41.25</x:v>
      </x:c>
      <x:c r="I506" s="8" t="n">
        <x:v>32.83</x:v>
      </x:c>
      <x:c r="J506" s="8" t="n">
        <x:v>100</x:v>
      </x:c>
      <x:c r="K506" s="8" t="n">
        <x:v>1.47</x:v>
      </x:c>
      <x:c r="L506" s="8" t="n">
        <x:v>0</x:v>
      </x:c>
      <x:c r="M506" s="8" t="n">
        <x:v>510</x:v>
      </x:c>
      <x:c r="N506" s="8" t="n">
        <x:v>0</x:v>
      </x:c>
      <x:c r="O506" s="8" t="n">
        <x:v>1</x:v>
      </x:c>
      <x:c r="P506" s="8" t="n">
        <x:v>28.06</x:v>
      </x:c>
      <x:c r="Q506" s="9" t="n">
        <x:v>210.375</x:v>
      </x:c>
      <x:c r="R506" s="1" t="str">
        <x:v>Classified</x:v>
      </x:c>
      <x:c r="S506" s="1" t="str">
        <x:v>Plastic Product Information.csv</x:v>
      </x:c>
    </x:row>
    <x:row r="507" ht="21" customHeight="1">
      <x:c r="A507" s="1" t="str">
        <x:v>PLAS</x:v>
      </x:c>
      <x:c r="B507" s="1" t="str">
        <x:v>10</x:v>
      </x:c>
      <x:c r="C507" s="1" t="str">
        <x:v>00180RWBBLU</x:v>
      </x:c>
      <x:c r="D507" s="1" t="str">
        <x:v>GOLDEN CHAMPION IND. LIMITED</x:v>
      </x:c>
      <x:c r="E507" s="7" t="n">
        <x:v>46303</x:v>
      </x:c>
      <x:c r="F507" s="8" t="n">
        <x:v>524</x:v>
      </x:c>
      <x:c r="G507" s="8" t="n">
        <x:v>0</x:v>
      </x:c>
      <x:c r="H507" s="8" t="n">
        <x:v>32</x:v>
      </x:c>
      <x:c r="I507" s="8" t="n">
        <x:v>0</x:v>
      </x:c>
      <x:c r="J507" s="8" t="n">
        <x:v>100</x:v>
      </x:c>
      <x:c r="K507" s="8" t="n">
        <x:v>1.47</x:v>
      </x:c>
      <x:c r="L507" s="8" t="n">
        <x:v>0</x:v>
      </x:c>
      <x:c r="M507" s="8" t="n">
        <x:v>0</x:v>
      </x:c>
      <x:c r="N507" s="8" t="n">
        <x:v>524</x:v>
      </x:c>
      <x:c r="O507" s="8" t="n">
        <x:v>0</x:v>
      </x:c>
      <x:c r="P507" s="8"/>
      <x:c r="Q507" s="9" t="n">
        <x:v>167.68</x:v>
      </x:c>
      <x:c r="R507" s="1" t="str">
        <x:v>Review receipt reconciliation or original PO baseline</x:v>
      </x:c>
      <x:c r="S507" s="1" t="str">
        <x:v>Plastic Product Information.csv</x:v>
      </x:c>
    </x:row>
    <x:row r="508" ht="21" customHeight="1">
      <x:c r="A508" s="1" t="str">
        <x:v>PLAS</x:v>
      </x:c>
      <x:c r="B508" s="1" t="str">
        <x:v>10</x:v>
      </x:c>
      <x:c r="C508" s="1" t="str">
        <x:v>00180RWBCLR</x:v>
      </x:c>
      <x:c r="D508" s="1" t="str">
        <x:v>GOLDEN CHAMPION IND. LIMITED</x:v>
      </x:c>
      <x:c r="E508" s="7" t="n">
        <x:v>46303</x:v>
      </x:c>
      <x:c r="F508" s="8" t="n">
        <x:v>616</x:v>
      </x:c>
      <x:c r="G508" s="8" t="n">
        <x:v>0</x:v>
      </x:c>
      <x:c r="H508" s="8" t="n">
        <x:v>41.25</x:v>
      </x:c>
      <x:c r="I508" s="8" t="n">
        <x:v>32.83</x:v>
      </x:c>
      <x:c r="J508" s="8" t="n">
        <x:v>100</x:v>
      </x:c>
      <x:c r="K508" s="8" t="n">
        <x:v>1.47</x:v>
      </x:c>
      <x:c r="L508" s="8" t="n">
        <x:v>0</x:v>
      </x:c>
      <x:c r="M508" s="8" t="n">
        <x:v>0</x:v>
      </x:c>
      <x:c r="N508" s="8" t="n">
        <x:v>616</x:v>
      </x:c>
      <x:c r="O508" s="8" t="n">
        <x:v>0</x:v>
      </x:c>
      <x:c r="P508" s="8" t="n">
        <x:v>28.06</x:v>
      </x:c>
      <x:c r="Q508" s="9" t="n">
        <x:v>254.1</x:v>
      </x:c>
      <x:c r="R508" s="1" t="str">
        <x:v>Review receipt reconciliation or original PO baseline</x:v>
      </x:c>
      <x:c r="S508" s="1" t="str">
        <x:v>Plastic Product Information.csv</x:v>
      </x:c>
    </x:row>
    <x:row r="509" ht="21" customHeight="1">
      <x:c r="A509" s="1" t="str">
        <x:v>PLAS</x:v>
      </x:c>
      <x:c r="B509" s="1" t="str">
        <x:v>10</x:v>
      </x:c>
      <x:c r="C509" s="1" t="str">
        <x:v>00180RWBFG</x:v>
      </x:c>
      <x:c r="D509" s="1" t="str">
        <x:v>GOLDEN CHAMPION IND. LIMITED</x:v>
      </x:c>
      <x:c r="E509" s="7" t="n">
        <x:v>46303</x:v>
      </x:c>
      <x:c r="F509" s="8" t="n">
        <x:v>910</x:v>
      </x:c>
      <x:c r="G509" s="8" t="n">
        <x:v>0</x:v>
      </x:c>
      <x:c r="H509" s="8" t="n">
        <x:v>41.25</x:v>
      </x:c>
      <x:c r="I509" s="8" t="n">
        <x:v>32.83</x:v>
      </x:c>
      <x:c r="J509" s="8" t="n">
        <x:v>100</x:v>
      </x:c>
      <x:c r="K509" s="8" t="n">
        <x:v>1.47</x:v>
      </x:c>
      <x:c r="L509" s="8" t="n">
        <x:v>0</x:v>
      </x:c>
      <x:c r="M509" s="8" t="n">
        <x:v>0</x:v>
      </x:c>
      <x:c r="N509" s="8" t="n">
        <x:v>910</x:v>
      </x:c>
      <x:c r="O509" s="8" t="n">
        <x:v>0</x:v>
      </x:c>
      <x:c r="P509" s="8" t="n">
        <x:v>28.06</x:v>
      </x:c>
      <x:c r="Q509" s="9" t="n">
        <x:v>375.375</x:v>
      </x:c>
      <x:c r="R509" s="1" t="str">
        <x:v>Review receipt reconciliation or original PO baseline</x:v>
      </x:c>
      <x:c r="S509" s="1" t="str">
        <x:v>Plastic Product Information.csv</x:v>
      </x:c>
    </x:row>
    <x:row r="510" ht="21" customHeight="1">
      <x:c r="A510" s="1" t="str">
        <x:v>PLAS</x:v>
      </x:c>
      <x:c r="B510" s="1" t="str">
        <x:v>10</x:v>
      </x:c>
      <x:c r="C510" s="1" t="str">
        <x:v>00180RWBMAR</x:v>
      </x:c>
      <x:c r="D510" s="1" t="str">
        <x:v>GOLDEN CHAMPION IND. LIMITED</x:v>
      </x:c>
      <x:c r="E510" s="7" t="n">
        <x:v>46303</x:v>
      </x:c>
      <x:c r="F510" s="8" t="n">
        <x:v>629</x:v>
      </x:c>
      <x:c r="G510" s="8" t="n">
        <x:v>0</x:v>
      </x:c>
      <x:c r="H510" s="8" t="n">
        <x:v>32</x:v>
      </x:c>
      <x:c r="I510" s="8" t="n">
        <x:v>0</x:v>
      </x:c>
      <x:c r="J510" s="8" t="n">
        <x:v>100</x:v>
      </x:c>
      <x:c r="K510" s="8" t="n">
        <x:v>1.47</x:v>
      </x:c>
      <x:c r="L510" s="8" t="n">
        <x:v>0</x:v>
      </x:c>
      <x:c r="M510" s="8" t="n">
        <x:v>0</x:v>
      </x:c>
      <x:c r="N510" s="8" t="n">
        <x:v>629</x:v>
      </x:c>
      <x:c r="O510" s="8" t="n">
        <x:v>0</x:v>
      </x:c>
      <x:c r="P510" s="8"/>
      <x:c r="Q510" s="9" t="n">
        <x:v>201.28</x:v>
      </x:c>
      <x:c r="R510" s="1" t="str">
        <x:v>Review receipt reconciliation or original PO baseline</x:v>
      </x:c>
      <x:c r="S510" s="1" t="str">
        <x:v>Plastic Product Information.csv</x:v>
      </x:c>
    </x:row>
    <x:row r="511" ht="21" customHeight="1">
      <x:c r="A511" s="1" t="str">
        <x:v>PLAS</x:v>
      </x:c>
      <x:c r="B511" s="1" t="str">
        <x:v>10</x:v>
      </x:c>
      <x:c r="C511" s="1" t="str">
        <x:v>00180RWBNAV</x:v>
      </x:c>
      <x:c r="D511" s="1" t="str">
        <x:v>GOLDEN CHAMPION IND. LIMITED</x:v>
      </x:c>
      <x:c r="E511" s="7" t="n">
        <x:v>46303</x:v>
      </x:c>
      <x:c r="F511" s="8" t="n">
        <x:v>670</x:v>
      </x:c>
      <x:c r="G511" s="8" t="n">
        <x:v>0</x:v>
      </x:c>
      <x:c r="H511" s="8" t="n">
        <x:v>41.25</x:v>
      </x:c>
      <x:c r="I511" s="8" t="n">
        <x:v>32.83</x:v>
      </x:c>
      <x:c r="J511" s="8" t="n">
        <x:v>100</x:v>
      </x:c>
      <x:c r="K511" s="8" t="n">
        <x:v>1.47</x:v>
      </x:c>
      <x:c r="L511" s="8" t="n">
        <x:v>0</x:v>
      </x:c>
      <x:c r="M511" s="8" t="n">
        <x:v>0</x:v>
      </x:c>
      <x:c r="N511" s="8" t="n">
        <x:v>670</x:v>
      </x:c>
      <x:c r="O511" s="8" t="n">
        <x:v>0</x:v>
      </x:c>
      <x:c r="P511" s="8" t="n">
        <x:v>28.06</x:v>
      </x:c>
      <x:c r="Q511" s="9" t="n">
        <x:v>276.375</x:v>
      </x:c>
      <x:c r="R511" s="1" t="str">
        <x:v>Review receipt reconciliation or original PO baseline</x:v>
      </x:c>
      <x:c r="S511" s="1" t="str">
        <x:v>Plastic Product Information.csv</x:v>
      </x:c>
    </x:row>
    <x:row r="512" ht="21" customHeight="1">
      <x:c r="A512" s="1" t="str">
        <x:v>PLAS</x:v>
      </x:c>
      <x:c r="B512" s="1" t="str">
        <x:v>10</x:v>
      </x:c>
      <x:c r="C512" s="1" t="str">
        <x:v>00180RWBRED</x:v>
      </x:c>
      <x:c r="D512" s="1" t="str">
        <x:v>GOLDEN CHAMPION IND. LIMITED</x:v>
      </x:c>
      <x:c r="E512" s="7" t="n">
        <x:v>46303</x:v>
      </x:c>
      <x:c r="F512" s="8" t="n">
        <x:v>711</x:v>
      </x:c>
      <x:c r="G512" s="8" t="n">
        <x:v>0</x:v>
      </x:c>
      <x:c r="H512" s="8" t="n">
        <x:v>41.25</x:v>
      </x:c>
      <x:c r="I512" s="8" t="n">
        <x:v>32.83</x:v>
      </x:c>
      <x:c r="J512" s="8" t="n">
        <x:v>100</x:v>
      </x:c>
      <x:c r="K512" s="8" t="n">
        <x:v>1.47</x:v>
      </x:c>
      <x:c r="L512" s="8" t="n">
        <x:v>0</x:v>
      </x:c>
      <x:c r="M512" s="8" t="n">
        <x:v>0</x:v>
      </x:c>
      <x:c r="N512" s="8" t="n">
        <x:v>711</x:v>
      </x:c>
      <x:c r="O512" s="8" t="n">
        <x:v>0</x:v>
      </x:c>
      <x:c r="P512" s="8" t="n">
        <x:v>28.06</x:v>
      </x:c>
      <x:c r="Q512" s="9" t="n">
        <x:v>293.2875</x:v>
      </x:c>
      <x:c r="R512" s="1" t="str">
        <x:v>Review receipt reconciliation or original PO baseline</x:v>
      </x:c>
      <x:c r="S512" s="1" t="str">
        <x:v>Plastic Product Information.csv</x:v>
      </x:c>
    </x:row>
    <x:row r="513" ht="21" customHeight="1">
      <x:c r="A513" s="1" t="str">
        <x:v>PLAS</x:v>
      </x:c>
      <x:c r="B513" s="1" t="str">
        <x:v>10</x:v>
      </x:c>
      <x:c r="C513" s="1" t="str">
        <x:v>00180RWBWHT</x:v>
      </x:c>
      <x:c r="D513" s="1" t="str">
        <x:v>GOLDEN CHAMPION IND. LIMITED</x:v>
      </x:c>
      <x:c r="E513" s="7" t="n">
        <x:v>46303</x:v>
      </x:c>
      <x:c r="F513" s="8" t="n">
        <x:v>1827</x:v>
      </x:c>
      <x:c r="G513" s="8" t="n">
        <x:v>0</x:v>
      </x:c>
      <x:c r="H513" s="8" t="n">
        <x:v>41.25</x:v>
      </x:c>
      <x:c r="I513" s="8" t="n">
        <x:v>32.83</x:v>
      </x:c>
      <x:c r="J513" s="8" t="n">
        <x:v>100</x:v>
      </x:c>
      <x:c r="K513" s="8" t="n">
        <x:v>1.47</x:v>
      </x:c>
      <x:c r="L513" s="8" t="n">
        <x:v>0</x:v>
      </x:c>
      <x:c r="M513" s="8" t="n">
        <x:v>0</x:v>
      </x:c>
      <x:c r="N513" s="8" t="n">
        <x:v>1827</x:v>
      </x:c>
      <x:c r="O513" s="8" t="n">
        <x:v>0</x:v>
      </x:c>
      <x:c r="P513" s="8" t="n">
        <x:v>28.06</x:v>
      </x:c>
      <x:c r="Q513" s="9" t="n">
        <x:v>753.6375</x:v>
      </x:c>
      <x:c r="R513" s="1" t="str">
        <x:v>Review receipt reconciliation or original PO baseline</x:v>
      </x:c>
      <x:c r="S513" s="1" t="str">
        <x:v>Plastic Product Information.csv</x:v>
      </x:c>
    </x:row>
    <x:row r="514" ht="21" customHeight="1">
      <x:c r="A514" s="1" t="str">
        <x:v>PLAS</x:v>
      </x:c>
      <x:c r="B514" s="1" t="str">
        <x:v>10</x:v>
      </x:c>
      <x:c r="C514" s="1" t="str">
        <x:v>00215RSLBRN</x:v>
      </x:c>
      <x:c r="D514" s="1" t="str">
        <x:v>GOLDEN CHAMPION IND. LIMITED</x:v>
      </x:c>
      <x:c r="E514" s="7" t="n">
        <x:v>46303</x:v>
      </x:c>
      <x:c r="F514" s="8" t="n">
        <x:v>1280</x:v>
      </x:c>
      <x:c r="G514" s="8" t="n">
        <x:v>0</x:v>
      </x:c>
      <x:c r="H514" s="8" t="n">
        <x:v>8.44</x:v>
      </x:c>
      <x:c r="I514" s="8" t="n">
        <x:v>0</x:v>
      </x:c>
      <x:c r="J514" s="8" t="n">
        <x:v>100</x:v>
      </x:c>
      <x:c r="K514" s="8" t="n">
        <x:v>1.47</x:v>
      </x:c>
      <x:c r="L514" s="8" t="n">
        <x:v>0</x:v>
      </x:c>
      <x:c r="M514" s="8" t="n">
        <x:v>0</x:v>
      </x:c>
      <x:c r="N514" s="8" t="n">
        <x:v>1280</x:v>
      </x:c>
      <x:c r="O514" s="8" t="n">
        <x:v>0</x:v>
      </x:c>
      <x:c r="P514" s="8"/>
      <x:c r="Q514" s="9" t="n">
        <x:v>108.032</x:v>
      </x:c>
      <x:c r="R514" s="1" t="str">
        <x:v>Review receipt reconciliation or original PO baseline</x:v>
      </x:c>
      <x:c r="S514" s="1" t="str">
        <x:v>Plastic Product Information.csv</x:v>
      </x:c>
    </x:row>
    <x:row r="515" ht="21" customHeight="1">
      <x:c r="A515" s="1" t="str">
        <x:v>PLAS</x:v>
      </x:c>
      <x:c r="B515" s="1" t="str">
        <x:v>10</x:v>
      </x:c>
      <x:c r="C515" s="1" t="str">
        <x:v>00215RSLFG</x:v>
      </x:c>
      <x:c r="D515" s="1" t="str">
        <x:v>GOLDEN CHAMPION IND. LIMITED</x:v>
      </x:c>
      <x:c r="E515" s="7" t="n">
        <x:v>46303</x:v>
      </x:c>
      <x:c r="F515" s="8" t="n">
        <x:v>1700</x:v>
      </x:c>
      <x:c r="G515" s="8" t="n">
        <x:v>0</x:v>
      </x:c>
      <x:c r="H515" s="8" t="n">
        <x:v>8.44</x:v>
      </x:c>
      <x:c r="I515" s="8" t="n">
        <x:v>8.11</x:v>
      </x:c>
      <x:c r="J515" s="8" t="n">
        <x:v>100</x:v>
      </x:c>
      <x:c r="K515" s="8" t="n">
        <x:v>1.47</x:v>
      </x:c>
      <x:c r="L515" s="8" t="n">
        <x:v>0</x:v>
      </x:c>
      <x:c r="M515" s="8" t="n">
        <x:v>0</x:v>
      </x:c>
      <x:c r="N515" s="8" t="n">
        <x:v>1700</x:v>
      </x:c>
      <x:c r="O515" s="8" t="n">
        <x:v>0</x:v>
      </x:c>
      <x:c r="P515" s="8" t="n">
        <x:v>6.93</x:v>
      </x:c>
      <x:c r="Q515" s="9" t="n">
        <x:v>143.48</x:v>
      </x:c>
      <x:c r="R515" s="1" t="str">
        <x:v>Review receipt reconciliation or original PO baseline</x:v>
      </x:c>
      <x:c r="S515" s="1" t="str">
        <x:v>Plastic Product Information.csv</x:v>
      </x:c>
    </x:row>
    <x:row r="516" ht="21" customHeight="1">
      <x:c r="A516" s="1" t="str">
        <x:v>PLAS</x:v>
      </x:c>
      <x:c r="B516" s="1" t="str">
        <x:v>10</x:v>
      </x:c>
      <x:c r="C516" s="1" t="str">
        <x:v>00215RSLMAR</x:v>
      </x:c>
      <x:c r="D516" s="1" t="str">
        <x:v>GOLDEN CHAMPION IND. LIMITED</x:v>
      </x:c>
      <x:c r="E516" s="7" t="n">
        <x:v>46303</x:v>
      </x:c>
      <x:c r="F516" s="8" t="n">
        <x:v>900</x:v>
      </x:c>
      <x:c r="G516" s="8" t="n">
        <x:v>0</x:v>
      </x:c>
      <x:c r="H516" s="8" t="n">
        <x:v>8.44</x:v>
      </x:c>
      <x:c r="I516" s="8" t="n">
        <x:v>8.11</x:v>
      </x:c>
      <x:c r="J516" s="8" t="n">
        <x:v>100</x:v>
      </x:c>
      <x:c r="K516" s="8" t="n">
        <x:v>1.47</x:v>
      </x:c>
      <x:c r="L516" s="8" t="n">
        <x:v>0</x:v>
      </x:c>
      <x:c r="M516" s="8" t="n">
        <x:v>0</x:v>
      </x:c>
      <x:c r="N516" s="8" t="n">
        <x:v>900</x:v>
      </x:c>
      <x:c r="O516" s="8" t="n">
        <x:v>0</x:v>
      </x:c>
      <x:c r="P516" s="8" t="n">
        <x:v>6.93</x:v>
      </x:c>
      <x:c r="Q516" s="9" t="n">
        <x:v>75.96000000000001</x:v>
      </x:c>
      <x:c r="R516" s="1" t="str">
        <x:v>Review receipt reconciliation or original PO baseline</x:v>
      </x:c>
      <x:c r="S516" s="1" t="str">
        <x:v>Plastic Product Information.csv</x:v>
      </x:c>
    </x:row>
    <x:row r="517" ht="21" customHeight="1">
      <x:c r="A517" s="1" t="str">
        <x:v>PLAS</x:v>
      </x:c>
      <x:c r="B517" s="1" t="str">
        <x:v>10</x:v>
      </x:c>
      <x:c r="C517" s="1" t="str">
        <x:v>00215RSLNAV</x:v>
      </x:c>
      <x:c r="D517" s="1" t="str">
        <x:v>GOLDEN CHAMPION IND. LIMITED</x:v>
      </x:c>
      <x:c r="E517" s="7" t="n">
        <x:v>46303</x:v>
      </x:c>
      <x:c r="F517" s="8" t="n">
        <x:v>1000</x:v>
      </x:c>
      <x:c r="G517" s="8" t="n">
        <x:v>0</x:v>
      </x:c>
      <x:c r="H517" s="8" t="n">
        <x:v>8.44</x:v>
      </x:c>
      <x:c r="I517" s="8" t="n">
        <x:v>8.11</x:v>
      </x:c>
      <x:c r="J517" s="8" t="n">
        <x:v>100</x:v>
      </x:c>
      <x:c r="K517" s="8" t="n">
        <x:v>1.47</x:v>
      </x:c>
      <x:c r="L517" s="8" t="n">
        <x:v>0</x:v>
      </x:c>
      <x:c r="M517" s="8" t="n">
        <x:v>0</x:v>
      </x:c>
      <x:c r="N517" s="8" t="n">
        <x:v>1000</x:v>
      </x:c>
      <x:c r="O517" s="8" t="n">
        <x:v>0</x:v>
      </x:c>
      <x:c r="P517" s="8" t="n">
        <x:v>6.93</x:v>
      </x:c>
      <x:c r="Q517" s="9" t="n">
        <x:v>84.4</x:v>
      </x:c>
      <x:c r="R517" s="1" t="str">
        <x:v>Review receipt reconciliation or original PO baseline</x:v>
      </x:c>
      <x:c r="S517" s="1" t="str">
        <x:v>Plastic Product Information.csv</x:v>
      </x:c>
    </x:row>
    <x:row r="518" ht="21" customHeight="1">
      <x:c r="A518" s="1" t="str">
        <x:v>PLAS</x:v>
      </x:c>
      <x:c r="B518" s="1" t="str">
        <x:v>10</x:v>
      </x:c>
      <x:c r="C518" s="1" t="str">
        <x:v>00215RSLRED</x:v>
      </x:c>
      <x:c r="D518" s="1" t="str">
        <x:v>GOLDEN CHAMPION IND. LIMITED</x:v>
      </x:c>
      <x:c r="E518" s="7" t="n">
        <x:v>46303</x:v>
      </x:c>
      <x:c r="F518" s="8" t="n">
        <x:v>1000</x:v>
      </x:c>
      <x:c r="G518" s="8" t="n">
        <x:v>0</x:v>
      </x:c>
      <x:c r="H518" s="8" t="n">
        <x:v>8.44</x:v>
      </x:c>
      <x:c r="I518" s="8" t="n">
        <x:v>8.11</x:v>
      </x:c>
      <x:c r="J518" s="8" t="n">
        <x:v>100</x:v>
      </x:c>
      <x:c r="K518" s="8" t="n">
        <x:v>1.47</x:v>
      </x:c>
      <x:c r="L518" s="8" t="n">
        <x:v>0</x:v>
      </x:c>
      <x:c r="M518" s="8" t="n">
        <x:v>0</x:v>
      </x:c>
      <x:c r="N518" s="8" t="n">
        <x:v>1000</x:v>
      </x:c>
      <x:c r="O518" s="8" t="n">
        <x:v>0</x:v>
      </x:c>
      <x:c r="P518" s="8" t="n">
        <x:v>6.93</x:v>
      </x:c>
      <x:c r="Q518" s="9" t="n">
        <x:v>84.4</x:v>
      </x:c>
      <x:c r="R518" s="1" t="str">
        <x:v>Review receipt reconciliation or original PO baseline</x:v>
      </x:c>
      <x:c r="S518" s="1" t="str">
        <x:v>Plastic Product Information.csv</x:v>
      </x:c>
    </x:row>
    <x:row r="519" ht="21" customHeight="1">
      <x:c r="A519" s="1" t="str">
        <x:v>PLAS</x:v>
      </x:c>
      <x:c r="B519" s="1" t="str">
        <x:v>10</x:v>
      </x:c>
      <x:c r="C519" s="1" t="str">
        <x:v>00215RSLWHT</x:v>
      </x:c>
      <x:c r="D519" s="1" t="str">
        <x:v>GOLDEN CHAMPION IND. LIMITED</x:v>
      </x:c>
      <x:c r="E519" s="7" t="n">
        <x:v>46303</x:v>
      </x:c>
      <x:c r="F519" s="8" t="n">
        <x:v>400</x:v>
      </x:c>
      <x:c r="G519" s="8" t="n">
        <x:v>0</x:v>
      </x:c>
      <x:c r="H519" s="8" t="n">
        <x:v>10.19</x:v>
      </x:c>
      <x:c r="I519" s="8" t="n">
        <x:v>8.11</x:v>
      </x:c>
      <x:c r="J519" s="8" t="n">
        <x:v>100</x:v>
      </x:c>
      <x:c r="K519" s="8" t="n">
        <x:v>1.47</x:v>
      </x:c>
      <x:c r="L519" s="8" t="n">
        <x:v>0</x:v>
      </x:c>
      <x:c r="M519" s="8" t="n">
        <x:v>0</x:v>
      </x:c>
      <x:c r="N519" s="8" t="n">
        <x:v>400</x:v>
      </x:c>
      <x:c r="O519" s="8" t="n">
        <x:v>0</x:v>
      </x:c>
      <x:c r="P519" s="8" t="n">
        <x:v>6.93</x:v>
      </x:c>
      <x:c r="Q519" s="9" t="n">
        <x:v>40.76</x:v>
      </x:c>
      <x:c r="R519" s="1" t="str">
        <x:v>Review receipt reconciliation or original PO baseline</x:v>
      </x:c>
      <x:c r="S519" s="1" t="str">
        <x:v>Plastic Product Information.csv</x:v>
      </x:c>
    </x:row>
    <x:row r="520" ht="21" customHeight="1">
      <x:c r="A520" s="1" t="str">
        <x:v>PLAS</x:v>
      </x:c>
      <x:c r="B520" s="1" t="str">
        <x:v>10</x:v>
      </x:c>
      <x:c r="C520" s="1" t="str">
        <x:v>00216RSLBLK</x:v>
      </x:c>
      <x:c r="D520" s="1" t="str">
        <x:v>GOLDEN CHAMPION IND. LIMITED</x:v>
      </x:c>
      <x:c r="E520" s="7" t="n">
        <x:v>46303</x:v>
      </x:c>
      <x:c r="F520" s="8" t="n">
        <x:v>1000</x:v>
      </x:c>
      <x:c r="G520" s="8" t="n">
        <x:v>0</x:v>
      </x:c>
      <x:c r="H520" s="8" t="n">
        <x:v>9</x:v>
      </x:c>
      <x:c r="I520" s="8" t="n">
        <x:v>0</x:v>
      </x:c>
      <x:c r="J520" s="8" t="n">
        <x:v>100</x:v>
      </x:c>
      <x:c r="K520" s="8" t="n">
        <x:v>1.47</x:v>
      </x:c>
      <x:c r="L520" s="8" t="n">
        <x:v>0</x:v>
      </x:c>
      <x:c r="M520" s="8" t="n">
        <x:v>0</x:v>
      </x:c>
      <x:c r="N520" s="8" t="n">
        <x:v>1000</x:v>
      </x:c>
      <x:c r="O520" s="8" t="n">
        <x:v>0</x:v>
      </x:c>
      <x:c r="P520" s="8"/>
      <x:c r="Q520" s="9" t="n">
        <x:v>90</x:v>
      </x:c>
      <x:c r="R520" s="1" t="str">
        <x:v>Review receipt reconciliation or original PO baseline</x:v>
      </x:c>
      <x:c r="S520" s="1" t="str">
        <x:v>Plastic Product Information.csv</x:v>
      </x:c>
    </x:row>
    <x:row r="521" ht="21" customHeight="1">
      <x:c r="A521" s="1" t="str">
        <x:v>PLAS</x:v>
      </x:c>
      <x:c r="B521" s="1" t="str">
        <x:v>10</x:v>
      </x:c>
      <x:c r="C521" s="1" t="str">
        <x:v>00221RSLWHT</x:v>
      </x:c>
      <x:c r="D521" s="1" t="str">
        <x:v>GOLDEN CHAMPION IND. LIMITED</x:v>
      </x:c>
      <x:c r="E521" s="7" t="n">
        <x:v>46303</x:v>
      </x:c>
      <x:c r="F521" s="8" t="n">
        <x:v>500</x:v>
      </x:c>
      <x:c r="G521" s="8" t="n">
        <x:v>0</x:v>
      </x:c>
      <x:c r="H521" s="8" t="n">
        <x:v>14.33</x:v>
      </x:c>
      <x:c r="I521" s="8" t="n">
        <x:v>11.41</x:v>
      </x:c>
      <x:c r="J521" s="8" t="n">
        <x:v>100</x:v>
      </x:c>
      <x:c r="K521" s="8" t="n">
        <x:v>1.47</x:v>
      </x:c>
      <x:c r="L521" s="8" t="n">
        <x:v>0</x:v>
      </x:c>
      <x:c r="M521" s="8" t="n">
        <x:v>0</x:v>
      </x:c>
      <x:c r="N521" s="8" t="n">
        <x:v>500</x:v>
      </x:c>
      <x:c r="O521" s="8" t="n">
        <x:v>0</x:v>
      </x:c>
      <x:c r="P521" s="8" t="n">
        <x:v>9.75</x:v>
      </x:c>
      <x:c r="Q521" s="9" t="n">
        <x:v>71.65</x:v>
      </x:c>
      <x:c r="R521" s="1" t="str">
        <x:v>Review receipt reconciliation or original PO baseline</x:v>
      </x:c>
      <x:c r="S521" s="1" t="str">
        <x:v>Plastic Product Information.csv</x:v>
      </x:c>
    </x:row>
    <x:row r="522" ht="21" customHeight="1">
      <x:c r="A522" s="1" t="str">
        <x:v>PLAS</x:v>
      </x:c>
      <x:c r="B522" s="1" t="str">
        <x:v>10</x:v>
      </x:c>
      <x:c r="C522" s="1" t="str">
        <x:v>01221RWBWHT</x:v>
      </x:c>
      <x:c r="D522" s="1" t="str">
        <x:v>GOLDEN CHAMPION IND. LIMITED</x:v>
      </x:c>
      <x:c r="E522" s="7" t="n">
        <x:v>46303</x:v>
      </x:c>
      <x:c r="F522" s="8" t="n">
        <x:v>13395</x:v>
      </x:c>
      <x:c r="G522" s="8" t="n">
        <x:v>0</x:v>
      </x:c>
      <x:c r="H522" s="8" t="n">
        <x:v>3.54</x:v>
      </x:c>
      <x:c r="I522" s="8" t="n">
        <x:v>2.82</x:v>
      </x:c>
      <x:c r="J522" s="8" t="n">
        <x:v>100</x:v>
      </x:c>
      <x:c r="K522" s="8" t="n">
        <x:v>1.47</x:v>
      </x:c>
      <x:c r="L522" s="8" t="n">
        <x:v>13395</x:v>
      </x:c>
      <x:c r="M522" s="8" t="n">
        <x:v>0</x:v>
      </x:c>
      <x:c r="N522" s="8" t="n">
        <x:v>0</x:v>
      </x:c>
      <x:c r="O522" s="8" t="n">
        <x:v>1</x:v>
      </x:c>
      <x:c r="P522" s="8" t="n">
        <x:v>2.41</x:v>
      </x:c>
      <x:c r="Q522" s="9" t="n">
        <x:v>474.18300000000005</x:v>
      </x:c>
      <x:c r="R522" s="1" t="str">
        <x:v>Classified</x:v>
      </x:c>
      <x:c r="S522" s="1" t="str">
        <x:v>Plastic Product Information.csv</x:v>
      </x:c>
    </x:row>
    <x:row r="523" ht="21" customHeight="1">
      <x:c r="A523" s="1" t="str">
        <x:v>PLAS</x:v>
      </x:c>
      <x:c r="B523" s="1" t="str">
        <x:v>10</x:v>
      </x:c>
      <x:c r="C523" s="1" t="str">
        <x:v>01280RWBBLK</x:v>
      </x:c>
      <x:c r="D523" s="1" t="str">
        <x:v>GOLDEN CHAMPION IND. LIMITED</x:v>
      </x:c>
      <x:c r="E523" s="7" t="n">
        <x:v>46303</x:v>
      </x:c>
      <x:c r="F523" s="8" t="n">
        <x:v>3747</x:v>
      </x:c>
      <x:c r="G523" s="8" t="n">
        <x:v>0</x:v>
      </x:c>
      <x:c r="H523" s="8" t="n">
        <x:v>13.86</x:v>
      </x:c>
      <x:c r="I523" s="8" t="n">
        <x:v>11.03</x:v>
      </x:c>
      <x:c r="J523" s="8" t="n">
        <x:v>100</x:v>
      </x:c>
      <x:c r="K523" s="8" t="n">
        <x:v>1.47</x:v>
      </x:c>
      <x:c r="L523" s="8" t="n">
        <x:v>3747</x:v>
      </x:c>
      <x:c r="M523" s="8" t="n">
        <x:v>0</x:v>
      </x:c>
      <x:c r="N523" s="8" t="n">
        <x:v>0</x:v>
      </x:c>
      <x:c r="O523" s="8" t="n">
        <x:v>1</x:v>
      </x:c>
      <x:c r="P523" s="8" t="n">
        <x:v>9.43</x:v>
      </x:c>
      <x:c r="Q523" s="9" t="n">
        <x:v>519.3342</x:v>
      </x:c>
      <x:c r="R523" s="1" t="str">
        <x:v>Classified</x:v>
      </x:c>
      <x:c r="S523" s="1" t="str">
        <x:v>Plastic Product Information.csv</x:v>
      </x:c>
    </x:row>
    <x:row r="524" ht="21" customHeight="1">
      <x:c r="A524" s="1" t="str">
        <x:v>PLAS</x:v>
      </x:c>
      <x:c r="B524" s="1" t="str">
        <x:v>10</x:v>
      </x:c>
      <x:c r="C524" s="1" t="str">
        <x:v>01280RWBBLU</x:v>
      </x:c>
      <x:c r="D524" s="1" t="str">
        <x:v>GOLDEN CHAMPION IND. LIMITED</x:v>
      </x:c>
      <x:c r="E524" s="7" t="n">
        <x:v>46303</x:v>
      </x:c>
      <x:c r="F524" s="8" t="n">
        <x:v>474</x:v>
      </x:c>
      <x:c r="G524" s="8" t="n">
        <x:v>0</x:v>
      </x:c>
      <x:c r="H524" s="8" t="n">
        <x:v>10.62</x:v>
      </x:c>
      <x:c r="I524" s="8" t="n">
        <x:v>0</x:v>
      </x:c>
      <x:c r="J524" s="8" t="n">
        <x:v>100</x:v>
      </x:c>
      <x:c r="K524" s="8" t="n">
        <x:v>1.47</x:v>
      </x:c>
      <x:c r="L524" s="8" t="n">
        <x:v>0</x:v>
      </x:c>
      <x:c r="M524" s="8" t="n">
        <x:v>0</x:v>
      </x:c>
      <x:c r="N524" s="8" t="n">
        <x:v>474</x:v>
      </x:c>
      <x:c r="O524" s="8" t="n">
        <x:v>0</x:v>
      </x:c>
      <x:c r="P524" s="8"/>
      <x:c r="Q524" s="9" t="n">
        <x:v>50.33879999999999</x:v>
      </x:c>
      <x:c r="R524" s="1" t="str">
        <x:v>Review receipt reconciliation or original PO baseline</x:v>
      </x:c>
      <x:c r="S524" s="1" t="str">
        <x:v>Plastic Product Information.csv</x:v>
      </x:c>
    </x:row>
    <x:row r="525" ht="21" customHeight="1">
      <x:c r="A525" s="1" t="str">
        <x:v>PLAS</x:v>
      </x:c>
      <x:c r="B525" s="1" t="str">
        <x:v>10</x:v>
      </x:c>
      <x:c r="C525" s="1" t="str">
        <x:v>01280RWBCLR</x:v>
      </x:c>
      <x:c r="D525" s="1" t="str">
        <x:v>GOLDEN CHAMPION IND. LIMITED</x:v>
      </x:c>
      <x:c r="E525" s="7" t="n">
        <x:v>46303</x:v>
      </x:c>
      <x:c r="F525" s="8" t="n">
        <x:v>1070</x:v>
      </x:c>
      <x:c r="G525" s="8" t="n">
        <x:v>0</x:v>
      </x:c>
      <x:c r="H525" s="8" t="n">
        <x:v>10.62</x:v>
      </x:c>
      <x:c r="I525" s="8" t="n">
        <x:v>0</x:v>
      </x:c>
      <x:c r="J525" s="8" t="n">
        <x:v>100</x:v>
      </x:c>
      <x:c r="K525" s="8" t="n">
        <x:v>1.47</x:v>
      </x:c>
      <x:c r="L525" s="8" t="n">
        <x:v>0</x:v>
      </x:c>
      <x:c r="M525" s="8" t="n">
        <x:v>0</x:v>
      </x:c>
      <x:c r="N525" s="8" t="n">
        <x:v>1070</x:v>
      </x:c>
      <x:c r="O525" s="8" t="n">
        <x:v>0</x:v>
      </x:c>
      <x:c r="P525" s="8"/>
      <x:c r="Q525" s="9" t="n">
        <x:v>113.634</x:v>
      </x:c>
      <x:c r="R525" s="1" t="str">
        <x:v>Review receipt reconciliation or original PO baseline</x:v>
      </x:c>
      <x:c r="S525" s="1" t="str">
        <x:v>Plastic Product Information.csv</x:v>
      </x:c>
    </x:row>
    <x:row r="526" ht="21" customHeight="1">
      <x:c r="A526" s="1" t="str">
        <x:v>PLAS</x:v>
      </x:c>
      <x:c r="B526" s="1" t="str">
        <x:v>10</x:v>
      </x:c>
      <x:c r="C526" s="1" t="str">
        <x:v>01280RWBFG</x:v>
      </x:c>
      <x:c r="D526" s="1" t="str">
        <x:v>GOLDEN CHAMPION IND. LIMITED</x:v>
      </x:c>
      <x:c r="E526" s="7" t="n">
        <x:v>46303</x:v>
      </x:c>
      <x:c r="F526" s="8" t="n">
        <x:v>1250</x:v>
      </x:c>
      <x:c r="G526" s="8" t="n">
        <x:v>0</x:v>
      </x:c>
      <x:c r="H526" s="8" t="n">
        <x:v>10.62</x:v>
      </x:c>
      <x:c r="I526" s="8" t="n">
        <x:v>0</x:v>
      </x:c>
      <x:c r="J526" s="8" t="n">
        <x:v>100</x:v>
      </x:c>
      <x:c r="K526" s="8" t="n">
        <x:v>1.47</x:v>
      </x:c>
      <x:c r="L526" s="8" t="n">
        <x:v>0</x:v>
      </x:c>
      <x:c r="M526" s="8" t="n">
        <x:v>0</x:v>
      </x:c>
      <x:c r="N526" s="8" t="n">
        <x:v>1250</x:v>
      </x:c>
      <x:c r="O526" s="8" t="n">
        <x:v>0</x:v>
      </x:c>
      <x:c r="P526" s="8"/>
      <x:c r="Q526" s="9" t="n">
        <x:v>132.74999999999997</x:v>
      </x:c>
      <x:c r="R526" s="1" t="str">
        <x:v>Review receipt reconciliation or original PO baseline</x:v>
      </x:c>
      <x:c r="S526" s="1" t="str">
        <x:v>Plastic Product Information.csv</x:v>
      </x:c>
    </x:row>
    <x:row r="527" ht="21" customHeight="1">
      <x:c r="A527" s="1" t="str">
        <x:v>PLAS</x:v>
      </x:c>
      <x:c r="B527" s="1" t="str">
        <x:v>10</x:v>
      </x:c>
      <x:c r="C527" s="1" t="str">
        <x:v>01280RWBMAR</x:v>
      </x:c>
      <x:c r="D527" s="1" t="str">
        <x:v>GOLDEN CHAMPION IND. LIMITED</x:v>
      </x:c>
      <x:c r="E527" s="7" t="n">
        <x:v>46303</x:v>
      </x:c>
      <x:c r="F527" s="8" t="n">
        <x:v>804</x:v>
      </x:c>
      <x:c r="G527" s="8" t="n">
        <x:v>0</x:v>
      </x:c>
      <x:c r="H527" s="8" t="n">
        <x:v>10.62</x:v>
      </x:c>
      <x:c r="I527" s="8" t="n">
        <x:v>0</x:v>
      </x:c>
      <x:c r="J527" s="8" t="n">
        <x:v>100</x:v>
      </x:c>
      <x:c r="K527" s="8" t="n">
        <x:v>1.47</x:v>
      </x:c>
      <x:c r="L527" s="8" t="n">
        <x:v>0</x:v>
      </x:c>
      <x:c r="M527" s="8" t="n">
        <x:v>0</x:v>
      </x:c>
      <x:c r="N527" s="8" t="n">
        <x:v>804</x:v>
      </x:c>
      <x:c r="O527" s="8" t="n">
        <x:v>0</x:v>
      </x:c>
      <x:c r="P527" s="8"/>
      <x:c r="Q527" s="9" t="n">
        <x:v>85.3848</x:v>
      </x:c>
      <x:c r="R527" s="1" t="str">
        <x:v>Review receipt reconciliation or original PO baseline</x:v>
      </x:c>
      <x:c r="S527" s="1" t="str">
        <x:v>Plastic Product Information.csv</x:v>
      </x:c>
    </x:row>
    <x:row r="528" ht="21" customHeight="1">
      <x:c r="A528" s="1" t="str">
        <x:v>PLAS</x:v>
      </x:c>
      <x:c r="B528" s="1" t="str">
        <x:v>10</x:v>
      </x:c>
      <x:c r="C528" s="1" t="str">
        <x:v>01280RWBNAV</x:v>
      </x:c>
      <x:c r="D528" s="1" t="str">
        <x:v>GOLDEN CHAMPION IND. LIMITED</x:v>
      </x:c>
      <x:c r="E528" s="7" t="n">
        <x:v>46303</x:v>
      </x:c>
      <x:c r="F528" s="8" t="n">
        <x:v>323</x:v>
      </x:c>
      <x:c r="G528" s="8" t="n">
        <x:v>0</x:v>
      </x:c>
      <x:c r="H528" s="8" t="n">
        <x:v>10.62</x:v>
      </x:c>
      <x:c r="I528" s="8" t="n">
        <x:v>11.03</x:v>
      </x:c>
      <x:c r="J528" s="8" t="n">
        <x:v>100</x:v>
      </x:c>
      <x:c r="K528" s="8" t="n">
        <x:v>1.47</x:v>
      </x:c>
      <x:c r="L528" s="8" t="n">
        <x:v>323</x:v>
      </x:c>
      <x:c r="M528" s="8" t="n">
        <x:v>0</x:v>
      </x:c>
      <x:c r="N528" s="8" t="n">
        <x:v>0</x:v>
      </x:c>
      <x:c r="O528" s="8" t="n">
        <x:v>1</x:v>
      </x:c>
      <x:c r="P528" s="8" t="n">
        <x:v>9.43</x:v>
      </x:c>
      <x:c r="Q528" s="9" t="n">
        <x:v>34.3026</x:v>
      </x:c>
      <x:c r="R528" s="1" t="str">
        <x:v>Classified</x:v>
      </x:c>
      <x:c r="S528" s="1" t="str">
        <x:v>Plastic Product Information.csv</x:v>
      </x:c>
    </x:row>
    <x:row r="529" ht="21" customHeight="1">
      <x:c r="A529" s="1" t="str">
        <x:v>PLAS</x:v>
      </x:c>
      <x:c r="B529" s="1" t="str">
        <x:v>10</x:v>
      </x:c>
      <x:c r="C529" s="1" t="str">
        <x:v>01280RWBRED</x:v>
      </x:c>
      <x:c r="D529" s="1" t="str">
        <x:v>GOLDEN CHAMPION IND. LIMITED</x:v>
      </x:c>
      <x:c r="E529" s="7" t="n">
        <x:v>46303</x:v>
      </x:c>
      <x:c r="F529" s="8" t="n">
        <x:v>2179</x:v>
      </x:c>
      <x:c r="G529" s="8" t="n">
        <x:v>0</x:v>
      </x:c>
      <x:c r="H529" s="8" t="n">
        <x:v>10.62</x:v>
      </x:c>
      <x:c r="I529" s="8" t="n">
        <x:v>0</x:v>
      </x:c>
      <x:c r="J529" s="8" t="n">
        <x:v>100</x:v>
      </x:c>
      <x:c r="K529" s="8" t="n">
        <x:v>1.47</x:v>
      </x:c>
      <x:c r="L529" s="8" t="n">
        <x:v>0</x:v>
      </x:c>
      <x:c r="M529" s="8" t="n">
        <x:v>0</x:v>
      </x:c>
      <x:c r="N529" s="8" t="n">
        <x:v>2179</x:v>
      </x:c>
      <x:c r="O529" s="8" t="n">
        <x:v>0</x:v>
      </x:c>
      <x:c r="P529" s="8"/>
      <x:c r="Q529" s="9" t="n">
        <x:v>231.4098</x:v>
      </x:c>
      <x:c r="R529" s="1" t="str">
        <x:v>Review receipt reconciliation or original PO baseline</x:v>
      </x:c>
      <x:c r="S529" s="1" t="str">
        <x:v>Plastic Product Information.csv</x:v>
      </x:c>
    </x:row>
    <x:row r="530" ht="21" customHeight="1">
      <x:c r="A530" s="1" t="str">
        <x:v>PLAS</x:v>
      </x:c>
      <x:c r="B530" s="1" t="str">
        <x:v>10</x:v>
      </x:c>
      <x:c r="C530" s="1" t="str">
        <x:v>01280RWBWHT</x:v>
      </x:c>
      <x:c r="D530" s="1" t="str">
        <x:v>GOLDEN CHAMPION IND. LIMITED</x:v>
      </x:c>
      <x:c r="E530" s="7" t="n">
        <x:v>46303</x:v>
      </x:c>
      <x:c r="F530" s="8" t="n">
        <x:v>518</x:v>
      </x:c>
      <x:c r="G530" s="8" t="n">
        <x:v>0</x:v>
      </x:c>
      <x:c r="H530" s="8" t="n">
        <x:v>13.86</x:v>
      </x:c>
      <x:c r="I530" s="8" t="n">
        <x:v>11.03</x:v>
      </x:c>
      <x:c r="J530" s="8" t="n">
        <x:v>100</x:v>
      </x:c>
      <x:c r="K530" s="8" t="n">
        <x:v>1.47</x:v>
      </x:c>
      <x:c r="L530" s="8" t="n">
        <x:v>518</x:v>
      </x:c>
      <x:c r="M530" s="8" t="n">
        <x:v>0</x:v>
      </x:c>
      <x:c r="N530" s="8" t="n">
        <x:v>0</x:v>
      </x:c>
      <x:c r="O530" s="8" t="n">
        <x:v>1</x:v>
      </x:c>
      <x:c r="P530" s="8" t="n">
        <x:v>9.43</x:v>
      </x:c>
      <x:c r="Q530" s="9" t="n">
        <x:v>71.7948</x:v>
      </x:c>
      <x:c r="R530" s="1" t="str">
        <x:v>Classified</x:v>
      </x:c>
      <x:c r="S530" s="1" t="str">
        <x:v>Plastic Product Information.csv</x:v>
      </x:c>
    </x:row>
    <x:row r="531" ht="21" customHeight="1">
      <x:c r="A531" s="1" t="str">
        <x:v>PLAS</x:v>
      </x:c>
      <x:c r="B531" s="1" t="str">
        <x:v>10</x:v>
      </x:c>
      <x:c r="C531" s="1" t="str">
        <x:v>01415RWBBLK</x:v>
      </x:c>
      <x:c r="D531" s="1" t="str">
        <x:v>GOLDEN CHAMPION IND. LIMITED</x:v>
      </x:c>
      <x:c r="E531" s="7" t="n">
        <x:v>46303</x:v>
      </x:c>
      <x:c r="F531" s="8" t="n">
        <x:v>9449</x:v>
      </x:c>
      <x:c r="G531" s="8" t="n">
        <x:v>0</x:v>
      </x:c>
      <x:c r="H531" s="8" t="n">
        <x:v>1.16</x:v>
      </x:c>
      <x:c r="I531" s="8" t="n">
        <x:v>0.92</x:v>
      </x:c>
      <x:c r="J531" s="8" t="n">
        <x:v>100</x:v>
      </x:c>
      <x:c r="K531" s="8" t="n">
        <x:v>1.47</x:v>
      </x:c>
      <x:c r="L531" s="8" t="n">
        <x:v>0</x:v>
      </x:c>
      <x:c r="M531" s="8" t="n">
        <x:v>0</x:v>
      </x:c>
      <x:c r="N531" s="8" t="n">
        <x:v>9449</x:v>
      </x:c>
      <x:c r="O531" s="8" t="n">
        <x:v>0</x:v>
      </x:c>
      <x:c r="P531" s="8" t="n">
        <x:v>0.79</x:v>
      </x:c>
      <x:c r="Q531" s="9" t="n">
        <x:v>109.6084</x:v>
      </x:c>
      <x:c r="R531" s="1" t="str">
        <x:v>Review receipt reconciliation or original PO baseline</x:v>
      </x:c>
      <x:c r="S531" s="1" t="str">
        <x:v>Plastic Product Information.csv</x:v>
      </x:c>
    </x:row>
    <x:row r="532" ht="21" customHeight="1">
      <x:c r="A532" s="1" t="str">
        <x:v>PLAS</x:v>
      </x:c>
      <x:c r="B532" s="1" t="str">
        <x:v>10</x:v>
      </x:c>
      <x:c r="C532" s="1" t="str">
        <x:v>01415RWBFG</x:v>
      </x:c>
      <x:c r="D532" s="1" t="str">
        <x:v>GOLDEN CHAMPION IND. LIMITED</x:v>
      </x:c>
      <x:c r="E532" s="7" t="n">
        <x:v>46303</x:v>
      </x:c>
      <x:c r="F532" s="8" t="n">
        <x:v>2595</x:v>
      </x:c>
      <x:c r="G532" s="8" t="n">
        <x:v>0</x:v>
      </x:c>
      <x:c r="H532" s="8" t="n">
        <x:v>0.83</x:v>
      </x:c>
      <x:c r="I532" s="8" t="n">
        <x:v>0.92</x:v>
      </x:c>
      <x:c r="J532" s="8" t="n">
        <x:v>100</x:v>
      </x:c>
      <x:c r="K532" s="8" t="n">
        <x:v>1.47</x:v>
      </x:c>
      <x:c r="L532" s="8" t="n">
        <x:v>0</x:v>
      </x:c>
      <x:c r="M532" s="8" t="n">
        <x:v>0</x:v>
      </x:c>
      <x:c r="N532" s="8" t="n">
        <x:v>2595</x:v>
      </x:c>
      <x:c r="O532" s="8" t="n">
        <x:v>0</x:v>
      </x:c>
      <x:c r="P532" s="8" t="n">
        <x:v>0.79</x:v>
      </x:c>
      <x:c r="Q532" s="9" t="n">
        <x:v>21.5385</x:v>
      </x:c>
      <x:c r="R532" s="1" t="str">
        <x:v>Review receipt reconciliation or original PO baseline</x:v>
      </x:c>
      <x:c r="S532" s="1" t="str">
        <x:v>Plastic Product Information.csv</x:v>
      </x:c>
    </x:row>
    <x:row r="533" ht="21" customHeight="1">
      <x:c r="A533" s="1" t="str">
        <x:v>PLAS</x:v>
      </x:c>
      <x:c r="B533" s="1" t="str">
        <x:v>10</x:v>
      </x:c>
      <x:c r="C533" s="1" t="str">
        <x:v>01415RWBMAR</x:v>
      </x:c>
      <x:c r="D533" s="1" t="str">
        <x:v>GOLDEN CHAMPION IND. LIMITED</x:v>
      </x:c>
      <x:c r="E533" s="7" t="n">
        <x:v>46303</x:v>
      </x:c>
      <x:c r="F533" s="8" t="n">
        <x:v>10000</x:v>
      </x:c>
      <x:c r="G533" s="8" t="n">
        <x:v>0</x:v>
      </x:c>
      <x:c r="H533" s="8" t="n">
        <x:v>0.83</x:v>
      </x:c>
      <x:c r="I533" s="8" t="n">
        <x:v>0.92</x:v>
      </x:c>
      <x:c r="J533" s="8" t="n">
        <x:v>100</x:v>
      </x:c>
      <x:c r="K533" s="8" t="n">
        <x:v>1.47</x:v>
      </x:c>
      <x:c r="L533" s="8" t="n">
        <x:v>0</x:v>
      </x:c>
      <x:c r="M533" s="8" t="n">
        <x:v>0</x:v>
      </x:c>
      <x:c r="N533" s="8" t="n">
        <x:v>10000</x:v>
      </x:c>
      <x:c r="O533" s="8" t="n">
        <x:v>0</x:v>
      </x:c>
      <x:c r="P533" s="8" t="n">
        <x:v>0.79</x:v>
      </x:c>
      <x:c r="Q533" s="9" t="n">
        <x:v>83</x:v>
      </x:c>
      <x:c r="R533" s="1" t="str">
        <x:v>Review receipt reconciliation or original PO baseline</x:v>
      </x:c>
      <x:c r="S533" s="1" t="str">
        <x:v>Plastic Product Information.csv</x:v>
      </x:c>
    </x:row>
    <x:row r="534" ht="21" customHeight="1">
      <x:c r="A534" s="1" t="str">
        <x:v>PLAS</x:v>
      </x:c>
      <x:c r="B534" s="1" t="str">
        <x:v>10</x:v>
      </x:c>
      <x:c r="C534" s="1" t="str">
        <x:v>01415RWBNAV</x:v>
      </x:c>
      <x:c r="D534" s="1" t="str">
        <x:v>GOLDEN CHAMPION IND. LIMITED</x:v>
      </x:c>
      <x:c r="E534" s="7" t="n">
        <x:v>46303</x:v>
      </x:c>
      <x:c r="F534" s="8" t="n">
        <x:v>6034</x:v>
      </x:c>
      <x:c r="G534" s="8" t="n">
        <x:v>0</x:v>
      </x:c>
      <x:c r="H534" s="8" t="n">
        <x:v>0.83</x:v>
      </x:c>
      <x:c r="I534" s="8" t="n">
        <x:v>0.92</x:v>
      </x:c>
      <x:c r="J534" s="8" t="n">
        <x:v>100</x:v>
      </x:c>
      <x:c r="K534" s="8" t="n">
        <x:v>1.47</x:v>
      </x:c>
      <x:c r="L534" s="8" t="n">
        <x:v>0</x:v>
      </x:c>
      <x:c r="M534" s="8" t="n">
        <x:v>0</x:v>
      </x:c>
      <x:c r="N534" s="8" t="n">
        <x:v>6034</x:v>
      </x:c>
      <x:c r="O534" s="8" t="n">
        <x:v>0</x:v>
      </x:c>
      <x:c r="P534" s="8" t="n">
        <x:v>0.79</x:v>
      </x:c>
      <x:c r="Q534" s="9" t="n">
        <x:v>50.08219999999999</x:v>
      </x:c>
      <x:c r="R534" s="1" t="str">
        <x:v>Review receipt reconciliation or original PO baseline</x:v>
      </x:c>
      <x:c r="S534" s="1" t="str">
        <x:v>Plastic Product Information.csv</x:v>
      </x:c>
    </x:row>
    <x:row r="535" ht="21" customHeight="1">
      <x:c r="A535" s="1" t="str">
        <x:v>PLAS</x:v>
      </x:c>
      <x:c r="B535" s="1" t="str">
        <x:v>10</x:v>
      </x:c>
      <x:c r="C535" s="1" t="str">
        <x:v>01415RWBWHT</x:v>
      </x:c>
      <x:c r="D535" s="1" t="str">
        <x:v>GOLDEN CHAMPION IND. LIMITED</x:v>
      </x:c>
      <x:c r="E535" s="7" t="n">
        <x:v>46303</x:v>
      </x:c>
      <x:c r="F535" s="8" t="n">
        <x:v>2000</x:v>
      </x:c>
      <x:c r="G535" s="8" t="n">
        <x:v>0</x:v>
      </x:c>
      <x:c r="H535" s="8" t="n">
        <x:v>1.16</x:v>
      </x:c>
      <x:c r="I535" s="8" t="n">
        <x:v>0.92</x:v>
      </x:c>
      <x:c r="J535" s="8" t="n">
        <x:v>100</x:v>
      </x:c>
      <x:c r="K535" s="8" t="n">
        <x:v>1.47</x:v>
      </x:c>
      <x:c r="L535" s="8" t="n">
        <x:v>0</x:v>
      </x:c>
      <x:c r="M535" s="8" t="n">
        <x:v>0</x:v>
      </x:c>
      <x:c r="N535" s="8" t="n">
        <x:v>2000</x:v>
      </x:c>
      <x:c r="O535" s="8" t="n">
        <x:v>0</x:v>
      </x:c>
      <x:c r="P535" s="8" t="n">
        <x:v>0.79</x:v>
      </x:c>
      <x:c r="Q535" s="9" t="n">
        <x:v>23.2</x:v>
      </x:c>
      <x:c r="R535" s="1" t="str">
        <x:v>Review receipt reconciliation or original PO baseline</x:v>
      </x:c>
      <x:c r="S535" s="1" t="str">
        <x:v>Plastic Product Information.csv</x:v>
      </x:c>
    </x:row>
    <x:row r="536" ht="21" customHeight="1">
      <x:c r="A536" s="1" t="str">
        <x:v>PLAS</x:v>
      </x:c>
      <x:c r="B536" s="1" t="str">
        <x:v>10</x:v>
      </x:c>
      <x:c r="C536" s="1" t="str">
        <x:v>01421RWBBLK</x:v>
      </x:c>
      <x:c r="D536" s="1" t="str">
        <x:v>GOLDEN CHAMPION IND. LIMITED</x:v>
      </x:c>
      <x:c r="E536" s="7" t="n">
        <x:v>46303</x:v>
      </x:c>
      <x:c r="F536" s="8" t="n">
        <x:v>1755</x:v>
      </x:c>
      <x:c r="G536" s="8" t="n">
        <x:v>0</x:v>
      </x:c>
      <x:c r="H536" s="8" t="n">
        <x:v>1.62</x:v>
      </x:c>
      <x:c r="I536" s="8" t="n">
        <x:v>1.29</x:v>
      </x:c>
      <x:c r="J536" s="8" t="n">
        <x:v>100</x:v>
      </x:c>
      <x:c r="K536" s="8" t="n">
        <x:v>1.47</x:v>
      </x:c>
      <x:c r="L536" s="8" t="n">
        <x:v>0</x:v>
      </x:c>
      <x:c r="M536" s="8" t="n">
        <x:v>0</x:v>
      </x:c>
      <x:c r="N536" s="8" t="n">
        <x:v>1755</x:v>
      </x:c>
      <x:c r="O536" s="8" t="n">
        <x:v>0</x:v>
      </x:c>
      <x:c r="P536" s="8" t="n">
        <x:v>1.1</x:v>
      </x:c>
      <x:c r="Q536" s="9" t="n">
        <x:v>28.431000000000004</x:v>
      </x:c>
      <x:c r="R536" s="1" t="str">
        <x:v>Review receipt reconciliation or original PO baseline</x:v>
      </x:c>
      <x:c r="S536" s="1" t="str">
        <x:v>Plastic Product Information.csv</x:v>
      </x:c>
    </x:row>
    <x:row r="537" ht="21" customHeight="1">
      <x:c r="A537" s="1" t="str">
        <x:v>PLAS</x:v>
      </x:c>
      <x:c r="B537" s="1" t="str">
        <x:v>10</x:v>
      </x:c>
      <x:c r="C537" s="1" t="str">
        <x:v>01421RWBWHT</x:v>
      </x:c>
      <x:c r="D537" s="1" t="str">
        <x:v>GOLDEN CHAMPION IND. LIMITED</x:v>
      </x:c>
      <x:c r="E537" s="7" t="n">
        <x:v>46303</x:v>
      </x:c>
      <x:c r="F537" s="8" t="n">
        <x:v>3643</x:v>
      </x:c>
      <x:c r="G537" s="8" t="n">
        <x:v>0</x:v>
      </x:c>
      <x:c r="H537" s="8" t="n">
        <x:v>1.62</x:v>
      </x:c>
      <x:c r="I537" s="8" t="n">
        <x:v>1.29</x:v>
      </x:c>
      <x:c r="J537" s="8" t="n">
        <x:v>100</x:v>
      </x:c>
      <x:c r="K537" s="8" t="n">
        <x:v>1.47</x:v>
      </x:c>
      <x:c r="L537" s="8" t="n">
        <x:v>0</x:v>
      </x:c>
      <x:c r="M537" s="8" t="n">
        <x:v>0</x:v>
      </x:c>
      <x:c r="N537" s="8" t="n">
        <x:v>3643</x:v>
      </x:c>
      <x:c r="O537" s="8" t="n">
        <x:v>0</x:v>
      </x:c>
      <x:c r="P537" s="8" t="n">
        <x:v>1.1</x:v>
      </x:c>
      <x:c r="Q537" s="9" t="n">
        <x:v>59.01660000000001</x:v>
      </x:c>
      <x:c r="R537" s="1" t="str">
        <x:v>Review receipt reconciliation or original PO baseline</x:v>
      </x:c>
      <x:c r="S537" s="1" t="str">
        <x:v>Plastic Product Information.csv</x:v>
      </x:c>
    </x:row>
    <x:row r="538" ht="21" customHeight="1">
      <x:c r="A538" s="1" t="str">
        <x:v>PLAS</x:v>
      </x:c>
      <x:c r="B538" s="1" t="str">
        <x:v>10</x:v>
      </x:c>
      <x:c r="C538" s="1" t="str">
        <x:v>01480RWBBLK</x:v>
      </x:c>
      <x:c r="D538" s="1" t="str">
        <x:v>GOLDEN CHAMPION IND. LIMITED</x:v>
      </x:c>
      <x:c r="E538" s="7" t="n">
        <x:v>46303</x:v>
      </x:c>
      <x:c r="F538" s="8" t="n">
        <x:v>3676</x:v>
      </x:c>
      <x:c r="G538" s="8" t="n">
        <x:v>0</x:v>
      </x:c>
      <x:c r="H538" s="8" t="n">
        <x:v>6.29</x:v>
      </x:c>
      <x:c r="I538" s="8" t="n">
        <x:v>5.01</x:v>
      </x:c>
      <x:c r="J538" s="8" t="n">
        <x:v>100</x:v>
      </x:c>
      <x:c r="K538" s="8" t="n">
        <x:v>1.47</x:v>
      </x:c>
      <x:c r="L538" s="8" t="n">
        <x:v>2176</x:v>
      </x:c>
      <x:c r="M538" s="8" t="n">
        <x:v>1500</x:v>
      </x:c>
      <x:c r="N538" s="8" t="n">
        <x:v>0</x:v>
      </x:c>
      <x:c r="O538" s="8" t="n">
        <x:v>1</x:v>
      </x:c>
      <x:c r="P538" s="8" t="n">
        <x:v>4.28</x:v>
      </x:c>
      <x:c r="Q538" s="9" t="n">
        <x:v>231.2204</x:v>
      </x:c>
      <x:c r="R538" s="1" t="str">
        <x:v>Classified</x:v>
      </x:c>
      <x:c r="S538" s="1" t="str">
        <x:v>Plastic Product Information.csv</x:v>
      </x:c>
    </x:row>
    <x:row r="539" ht="21" customHeight="1">
      <x:c r="A539" s="1" t="str">
        <x:v>PLAS</x:v>
      </x:c>
      <x:c r="B539" s="1" t="str">
        <x:v>10</x:v>
      </x:c>
      <x:c r="C539" s="1" t="str">
        <x:v>01480RWBBLU</x:v>
      </x:c>
      <x:c r="D539" s="1" t="str">
        <x:v>GOLDEN CHAMPION IND. LIMITED</x:v>
      </x:c>
      <x:c r="E539" s="7" t="n">
        <x:v>46303</x:v>
      </x:c>
      <x:c r="F539" s="8" t="n">
        <x:v>1207</x:v>
      </x:c>
      <x:c r="G539" s="8" t="n">
        <x:v>0</x:v>
      </x:c>
      <x:c r="H539" s="8" t="n">
        <x:v>4.65</x:v>
      </x:c>
      <x:c r="I539" s="8" t="n">
        <x:v>0</x:v>
      </x:c>
      <x:c r="J539" s="8" t="n">
        <x:v>100</x:v>
      </x:c>
      <x:c r="K539" s="8" t="n">
        <x:v>1.47</x:v>
      </x:c>
      <x:c r="L539" s="8" t="n">
        <x:v>0</x:v>
      </x:c>
      <x:c r="M539" s="8" t="n">
        <x:v>0</x:v>
      </x:c>
      <x:c r="N539" s="8" t="n">
        <x:v>1207</x:v>
      </x:c>
      <x:c r="O539" s="8" t="n">
        <x:v>0</x:v>
      </x:c>
      <x:c r="P539" s="8"/>
      <x:c r="Q539" s="9" t="n">
        <x:v>56.1255</x:v>
      </x:c>
      <x:c r="R539" s="1" t="str">
        <x:v>Review receipt reconciliation or original PO baseline</x:v>
      </x:c>
      <x:c r="S539" s="1" t="str">
        <x:v>Plastic Product Information.csv</x:v>
      </x:c>
    </x:row>
    <x:row r="540" ht="21" customHeight="1">
      <x:c r="A540" s="1" t="str">
        <x:v>PLAS</x:v>
      </x:c>
      <x:c r="B540" s="1" t="str">
        <x:v>10</x:v>
      </x:c>
      <x:c r="C540" s="1" t="str">
        <x:v>01480RWBFG</x:v>
      </x:c>
      <x:c r="D540" s="1" t="str">
        <x:v>GOLDEN CHAMPION IND. LIMITED</x:v>
      </x:c>
      <x:c r="E540" s="7" t="n">
        <x:v>46303</x:v>
      </x:c>
      <x:c r="F540" s="8" t="n">
        <x:v>787</x:v>
      </x:c>
      <x:c r="G540" s="8" t="n">
        <x:v>0</x:v>
      </x:c>
      <x:c r="H540" s="8" t="n">
        <x:v>4.65</x:v>
      </x:c>
      <x:c r="I540" s="8" t="n">
        <x:v>0</x:v>
      </x:c>
      <x:c r="J540" s="8" t="n">
        <x:v>100</x:v>
      </x:c>
      <x:c r="K540" s="8" t="n">
        <x:v>1.47</x:v>
      </x:c>
      <x:c r="L540" s="8" t="n">
        <x:v>0</x:v>
      </x:c>
      <x:c r="M540" s="8" t="n">
        <x:v>0</x:v>
      </x:c>
      <x:c r="N540" s="8" t="n">
        <x:v>787</x:v>
      </x:c>
      <x:c r="O540" s="8" t="n">
        <x:v>0</x:v>
      </x:c>
      <x:c r="P540" s="8"/>
      <x:c r="Q540" s="9" t="n">
        <x:v>36.5955</x:v>
      </x:c>
      <x:c r="R540" s="1" t="str">
        <x:v>Review receipt reconciliation or original PO baseline</x:v>
      </x:c>
      <x:c r="S540" s="1" t="str">
        <x:v>Plastic Product Information.csv</x:v>
      </x:c>
    </x:row>
    <x:row r="541" ht="21" customHeight="1">
      <x:c r="A541" s="1" t="str">
        <x:v>PLAS</x:v>
      </x:c>
      <x:c r="B541" s="1" t="str">
        <x:v>10</x:v>
      </x:c>
      <x:c r="C541" s="1" t="str">
        <x:v>01480RWBMAR</x:v>
      </x:c>
      <x:c r="D541" s="1" t="str">
        <x:v>GOLDEN CHAMPION IND. LIMITED</x:v>
      </x:c>
      <x:c r="E541" s="7" t="n">
        <x:v>46303</x:v>
      </x:c>
      <x:c r="F541" s="8" t="n">
        <x:v>628</x:v>
      </x:c>
      <x:c r="G541" s="8" t="n">
        <x:v>0</x:v>
      </x:c>
      <x:c r="H541" s="8" t="n">
        <x:v>4.65</x:v>
      </x:c>
      <x:c r="I541" s="8" t="n">
        <x:v>0</x:v>
      </x:c>
      <x:c r="J541" s="8" t="n">
        <x:v>100</x:v>
      </x:c>
      <x:c r="K541" s="8" t="n">
        <x:v>1.47</x:v>
      </x:c>
      <x:c r="L541" s="8" t="n">
        <x:v>0</x:v>
      </x:c>
      <x:c r="M541" s="8" t="n">
        <x:v>0</x:v>
      </x:c>
      <x:c r="N541" s="8" t="n">
        <x:v>628</x:v>
      </x:c>
      <x:c r="O541" s="8" t="n">
        <x:v>0</x:v>
      </x:c>
      <x:c r="P541" s="8"/>
      <x:c r="Q541" s="9" t="n">
        <x:v>29.202</x:v>
      </x:c>
      <x:c r="R541" s="1" t="str">
        <x:v>Review receipt reconciliation or original PO baseline</x:v>
      </x:c>
      <x:c r="S541" s="1" t="str">
        <x:v>Plastic Product Information.csv</x:v>
      </x:c>
    </x:row>
    <x:row r="542" ht="21" customHeight="1">
      <x:c r="A542" s="1" t="str">
        <x:v>PLAS</x:v>
      </x:c>
      <x:c r="B542" s="1" t="str">
        <x:v>10</x:v>
      </x:c>
      <x:c r="C542" s="1" t="str">
        <x:v>01480RWBNAV</x:v>
      </x:c>
      <x:c r="D542" s="1" t="str">
        <x:v>GOLDEN CHAMPION IND. LIMITED</x:v>
      </x:c>
      <x:c r="E542" s="7" t="n">
        <x:v>46303</x:v>
      </x:c>
      <x:c r="F542" s="8" t="n">
        <x:v>1885</x:v>
      </x:c>
      <x:c r="G542" s="8" t="n">
        <x:v>0</x:v>
      </x:c>
      <x:c r="H542" s="8" t="n">
        <x:v>4.65</x:v>
      </x:c>
      <x:c r="I542" s="8" t="n">
        <x:v>0</x:v>
      </x:c>
      <x:c r="J542" s="8" t="n">
        <x:v>100</x:v>
      </x:c>
      <x:c r="K542" s="8" t="n">
        <x:v>1.47</x:v>
      </x:c>
      <x:c r="L542" s="8" t="n">
        <x:v>0</x:v>
      </x:c>
      <x:c r="M542" s="8" t="n">
        <x:v>0</x:v>
      </x:c>
      <x:c r="N542" s="8" t="n">
        <x:v>1885</x:v>
      </x:c>
      <x:c r="O542" s="8" t="n">
        <x:v>0</x:v>
      </x:c>
      <x:c r="P542" s="8"/>
      <x:c r="Q542" s="9" t="n">
        <x:v>87.6525</x:v>
      </x:c>
      <x:c r="R542" s="1" t="str">
        <x:v>Review receipt reconciliation or original PO baseline</x:v>
      </x:c>
      <x:c r="S542" s="1" t="str">
        <x:v>Plastic Product Information.csv</x:v>
      </x:c>
    </x:row>
    <x:row r="543" ht="21" customHeight="1">
      <x:c r="A543" s="1" t="str">
        <x:v>PLAS</x:v>
      </x:c>
      <x:c r="B543" s="1" t="str">
        <x:v>10</x:v>
      </x:c>
      <x:c r="C543" s="1" t="str">
        <x:v>01480RWBRED</x:v>
      </x:c>
      <x:c r="D543" s="1" t="str">
        <x:v>GOLDEN CHAMPION IND. LIMITED</x:v>
      </x:c>
      <x:c r="E543" s="7" t="n">
        <x:v>46303</x:v>
      </x:c>
      <x:c r="F543" s="8" t="n">
        <x:v>1006</x:v>
      </x:c>
      <x:c r="G543" s="8" t="n">
        <x:v>0</x:v>
      </x:c>
      <x:c r="H543" s="8" t="n">
        <x:v>4.65</x:v>
      </x:c>
      <x:c r="I543" s="8" t="n">
        <x:v>0</x:v>
      </x:c>
      <x:c r="J543" s="8" t="n">
        <x:v>100</x:v>
      </x:c>
      <x:c r="K543" s="8" t="n">
        <x:v>1.47</x:v>
      </x:c>
      <x:c r="L543" s="8" t="n">
        <x:v>0</x:v>
      </x:c>
      <x:c r="M543" s="8" t="n">
        <x:v>0</x:v>
      </x:c>
      <x:c r="N543" s="8" t="n">
        <x:v>1006</x:v>
      </x:c>
      <x:c r="O543" s="8" t="n">
        <x:v>0</x:v>
      </x:c>
      <x:c r="P543" s="8"/>
      <x:c r="Q543" s="9" t="n">
        <x:v>46.779</x:v>
      </x:c>
      <x:c r="R543" s="1" t="str">
        <x:v>Review receipt reconciliation or original PO baseline</x:v>
      </x:c>
      <x:c r="S543" s="1" t="str">
        <x:v>Plastic Product Information.csv</x:v>
      </x:c>
    </x:row>
    <x:row r="544" ht="21" customHeight="1">
      <x:c r="A544" s="1" t="str">
        <x:v>PLAS</x:v>
      </x:c>
      <x:c r="B544" s="1" t="str">
        <x:v>10</x:v>
      </x:c>
      <x:c r="C544" s="1" t="str">
        <x:v>01480RWBWHT</x:v>
      </x:c>
      <x:c r="D544" s="1" t="str">
        <x:v>GOLDEN CHAMPION IND. LIMITED</x:v>
      </x:c>
      <x:c r="E544" s="7" t="n">
        <x:v>46303</x:v>
      </x:c>
      <x:c r="F544" s="8" t="n">
        <x:v>4309</x:v>
      </x:c>
      <x:c r="G544" s="8" t="n">
        <x:v>0</x:v>
      </x:c>
      <x:c r="H544" s="8" t="n">
        <x:v>6.29</x:v>
      </x:c>
      <x:c r="I544" s="8" t="n">
        <x:v>5.01</x:v>
      </x:c>
      <x:c r="J544" s="8" t="n">
        <x:v>100</x:v>
      </x:c>
      <x:c r="K544" s="8" t="n">
        <x:v>1.47</x:v>
      </x:c>
      <x:c r="L544" s="8" t="n">
        <x:v>0</x:v>
      </x:c>
      <x:c r="M544" s="8" t="n">
        <x:v>4309</x:v>
      </x:c>
      <x:c r="N544" s="8" t="n">
        <x:v>0</x:v>
      </x:c>
      <x:c r="O544" s="8" t="n">
        <x:v>1</x:v>
      </x:c>
      <x:c r="P544" s="8" t="n">
        <x:v>4.28</x:v>
      </x:c>
      <x:c r="Q544" s="9" t="n">
        <x:v>271.03610000000003</x:v>
      </x:c>
      <x:c r="R544" s="1" t="str">
        <x:v>Classified</x:v>
      </x:c>
      <x:c r="S544" s="1" t="str">
        <x:v>Plastic Product Information.csv</x:v>
      </x:c>
    </x:row>
    <x:row r="545" ht="21" customHeight="1">
      <x:c r="A545" s="1" t="str">
        <x:v>PLAS</x:v>
      </x:c>
      <x:c r="B545" s="1" t="str">
        <x:v>10</x:v>
      </x:c>
      <x:c r="C545" s="1" t="str">
        <x:v>03415RWBCLR</x:v>
      </x:c>
      <x:c r="D545" s="1" t="str">
        <x:v>GOLDEN CHAMPION IND. LIMITED</x:v>
      </x:c>
      <x:c r="E545" s="7" t="n">
        <x:v>46303</x:v>
      </x:c>
      <x:c r="F545" s="8" t="n">
        <x:v>2451</x:v>
      </x:c>
      <x:c r="G545" s="8" t="n">
        <x:v>0</x:v>
      </x:c>
      <x:c r="H545" s="8" t="n">
        <x:v>3.73</x:v>
      </x:c>
      <x:c r="I545" s="8" t="n">
        <x:v>3.5</x:v>
      </x:c>
      <x:c r="J545" s="8" t="n">
        <x:v>100</x:v>
      </x:c>
      <x:c r="K545" s="8" t="n">
        <x:v>1.47</x:v>
      </x:c>
      <x:c r="L545" s="8" t="n">
        <x:v>0</x:v>
      </x:c>
      <x:c r="M545" s="8" t="n">
        <x:v>0</x:v>
      </x:c>
      <x:c r="N545" s="8" t="n">
        <x:v>2451</x:v>
      </x:c>
      <x:c r="O545" s="8" t="n">
        <x:v>0</x:v>
      </x:c>
      <x:c r="P545" s="8" t="n">
        <x:v>2.99</x:v>
      </x:c>
      <x:c r="Q545" s="9" t="n">
        <x:v>91.42229999999999</x:v>
      </x:c>
      <x:c r="R545" s="1" t="str">
        <x:v>Review receipt reconciliation or original PO baseline</x:v>
      </x:c>
      <x:c r="S545" s="1" t="str">
        <x:v>Plastic Product Information.csv</x:v>
      </x:c>
    </x:row>
    <x:row r="546" ht="21" customHeight="1">
      <x:c r="A546" s="1" t="str">
        <x:v>PLAS</x:v>
      </x:c>
      <x:c r="B546" s="1" t="str">
        <x:v>10</x:v>
      </x:c>
      <x:c r="C546" s="1" t="str">
        <x:v>03416RWBBLK</x:v>
      </x:c>
      <x:c r="D546" s="1" t="str">
        <x:v>GOLDEN CHAMPION IND. LIMITED</x:v>
      </x:c>
      <x:c r="E546" s="7" t="n">
        <x:v>46303</x:v>
      </x:c>
      <x:c r="F546" s="8" t="n">
        <x:v>8600</x:v>
      </x:c>
      <x:c r="G546" s="8" t="n">
        <x:v>0</x:v>
      </x:c>
      <x:c r="H546" s="8" t="n">
        <x:v>4.72</x:v>
      </x:c>
      <x:c r="I546" s="8" t="n">
        <x:v>3.76</x:v>
      </x:c>
      <x:c r="J546" s="8" t="n">
        <x:v>100</x:v>
      </x:c>
      <x:c r="K546" s="8" t="n">
        <x:v>1.47</x:v>
      </x:c>
      <x:c r="L546" s="8" t="n">
        <x:v>0</x:v>
      </x:c>
      <x:c r="M546" s="8" t="n">
        <x:v>0</x:v>
      </x:c>
      <x:c r="N546" s="8" t="n">
        <x:v>8600</x:v>
      </x:c>
      <x:c r="O546" s="8" t="n">
        <x:v>0</x:v>
      </x:c>
      <x:c r="P546" s="8" t="n">
        <x:v>3.21</x:v>
      </x:c>
      <x:c r="Q546" s="9" t="n">
        <x:v>405.92</x:v>
      </x:c>
      <x:c r="R546" s="1" t="str">
        <x:v>Review receipt reconciliation or original PO baseline</x:v>
      </x:c>
      <x:c r="S546" s="1" t="str">
        <x:v>Plastic Product Information.csv</x:v>
      </x:c>
    </x:row>
    <x:row r="547" ht="21" customHeight="1">
      <x:c r="A547" s="1" t="str">
        <x:v>PLAS</x:v>
      </x:c>
      <x:c r="B547" s="1" t="str">
        <x:v>10</x:v>
      </x:c>
      <x:c r="C547" s="1" t="str">
        <x:v>03416RWBWHT</x:v>
      </x:c>
      <x:c r="D547" s="1" t="str">
        <x:v>GOLDEN CHAMPION IND. LIMITED</x:v>
      </x:c>
      <x:c r="E547" s="7" t="n">
        <x:v>46303</x:v>
      </x:c>
      <x:c r="F547" s="8" t="n">
        <x:v>1470</x:v>
      </x:c>
      <x:c r="G547" s="8" t="n">
        <x:v>0</x:v>
      </x:c>
      <x:c r="H547" s="8" t="n">
        <x:v>4.56</x:v>
      </x:c>
      <x:c r="I547" s="8" t="n">
        <x:v>0</x:v>
      </x:c>
      <x:c r="J547" s="8" t="n">
        <x:v>100</x:v>
      </x:c>
      <x:c r="K547" s="8" t="n">
        <x:v>1.47</x:v>
      </x:c>
      <x:c r="L547" s="8" t="n">
        <x:v>0</x:v>
      </x:c>
      <x:c r="M547" s="8" t="n">
        <x:v>0</x:v>
      </x:c>
      <x:c r="N547" s="8" t="n">
        <x:v>1470</x:v>
      </x:c>
      <x:c r="O547" s="8" t="n">
        <x:v>0</x:v>
      </x:c>
      <x:c r="P547" s="8"/>
      <x:c r="Q547" s="9" t="n">
        <x:v>67.032</x:v>
      </x:c>
      <x:c r="R547" s="1" t="str">
        <x:v>Review receipt reconciliation or original PO baseline</x:v>
      </x:c>
      <x:c r="S547" s="1" t="str">
        <x:v>Plastic Product Information.csv</x:v>
      </x:c>
    </x:row>
    <x:row r="548" ht="21" customHeight="1">
      <x:c r="A548" s="1" t="str">
        <x:v>PLAS</x:v>
      </x:c>
      <x:c r="B548" s="1" t="str">
        <x:v>10</x:v>
      </x:c>
      <x:c r="C548" s="1" t="str">
        <x:v>03480RWBBLK</x:v>
      </x:c>
      <x:c r="D548" s="1" t="str">
        <x:v>GOLDEN CHAMPION IND. LIMITED</x:v>
      </x:c>
      <x:c r="E548" s="7" t="n">
        <x:v>46303</x:v>
      </x:c>
      <x:c r="F548" s="8" t="n">
        <x:v>2033</x:v>
      </x:c>
      <x:c r="G548" s="8" t="n">
        <x:v>0</x:v>
      </x:c>
      <x:c r="H548" s="8" t="n">
        <x:v>24.52</x:v>
      </x:c>
      <x:c r="I548" s="8" t="n">
        <x:v>19.52</x:v>
      </x:c>
      <x:c r="J548" s="8" t="n">
        <x:v>100</x:v>
      </x:c>
      <x:c r="K548" s="8" t="n">
        <x:v>1.47</x:v>
      </x:c>
      <x:c r="L548" s="8" t="n">
        <x:v>433</x:v>
      </x:c>
      <x:c r="M548" s="8" t="n">
        <x:v>1600</x:v>
      </x:c>
      <x:c r="N548" s="8" t="n">
        <x:v>0</x:v>
      </x:c>
      <x:c r="O548" s="8" t="n">
        <x:v>1</x:v>
      </x:c>
      <x:c r="P548" s="8" t="n">
        <x:v>16.68</x:v>
      </x:c>
      <x:c r="Q548" s="9" t="n">
        <x:v>498.49159999999995</x:v>
      </x:c>
      <x:c r="R548" s="1" t="str">
        <x:v>Classified</x:v>
      </x:c>
      <x:c r="S548" s="1" t="str">
        <x:v>Plastic Product Information.csv</x:v>
      </x:c>
    </x:row>
    <x:row r="549" ht="21" customHeight="1">
      <x:c r="A549" s="1" t="str">
        <x:v>PLAS</x:v>
      </x:c>
      <x:c r="B549" s="1" t="str">
        <x:v>10</x:v>
      </x:c>
      <x:c r="C549" s="1" t="str">
        <x:v>03480RWBBLU</x:v>
      </x:c>
      <x:c r="D549" s="1" t="str">
        <x:v>GOLDEN CHAMPION IND. LIMITED</x:v>
      </x:c>
      <x:c r="E549" s="7" t="n">
        <x:v>46303</x:v>
      </x:c>
      <x:c r="F549" s="8" t="n">
        <x:v>206</x:v>
      </x:c>
      <x:c r="G549" s="8" t="n">
        <x:v>0</x:v>
      </x:c>
      <x:c r="H549" s="8" t="n">
        <x:v>19.12</x:v>
      </x:c>
      <x:c r="I549" s="8" t="n">
        <x:v>0</x:v>
      </x:c>
      <x:c r="J549" s="8" t="n">
        <x:v>100</x:v>
      </x:c>
      <x:c r="K549" s="8" t="n">
        <x:v>1.47</x:v>
      </x:c>
      <x:c r="L549" s="8" t="n">
        <x:v>0</x:v>
      </x:c>
      <x:c r="M549" s="8" t="n">
        <x:v>0</x:v>
      </x:c>
      <x:c r="N549" s="8" t="n">
        <x:v>206</x:v>
      </x:c>
      <x:c r="O549" s="8" t="n">
        <x:v>0</x:v>
      </x:c>
      <x:c r="P549" s="8"/>
      <x:c r="Q549" s="9" t="n">
        <x:v>39.3872</x:v>
      </x:c>
      <x:c r="R549" s="1" t="str">
        <x:v>Review receipt reconciliation or original PO baseline</x:v>
      </x:c>
      <x:c r="S549" s="1" t="str">
        <x:v>Plastic Product Information.csv</x:v>
      </x:c>
    </x:row>
    <x:row r="550" ht="21" customHeight="1">
      <x:c r="A550" s="1" t="str">
        <x:v>PLAS</x:v>
      </x:c>
      <x:c r="B550" s="1" t="str">
        <x:v>10</x:v>
      </x:c>
      <x:c r="C550" s="1" t="str">
        <x:v>03480RWBCLR</x:v>
      </x:c>
      <x:c r="D550" s="1" t="str">
        <x:v>GOLDEN CHAMPION IND. LIMITED</x:v>
      </x:c>
      <x:c r="E550" s="7" t="n">
        <x:v>46303</x:v>
      </x:c>
      <x:c r="F550" s="8" t="n">
        <x:v>904</x:v>
      </x:c>
      <x:c r="G550" s="8" t="n">
        <x:v>0</x:v>
      </x:c>
      <x:c r="H550" s="8" t="n">
        <x:v>24.52</x:v>
      </x:c>
      <x:c r="I550" s="8" t="n">
        <x:v>19.52</x:v>
      </x:c>
      <x:c r="J550" s="8" t="n">
        <x:v>100</x:v>
      </x:c>
      <x:c r="K550" s="8" t="n">
        <x:v>1.47</x:v>
      </x:c>
      <x:c r="L550" s="8" t="n">
        <x:v>0</x:v>
      </x:c>
      <x:c r="M550" s="8" t="n">
        <x:v>0</x:v>
      </x:c>
      <x:c r="N550" s="8" t="n">
        <x:v>904</x:v>
      </x:c>
      <x:c r="O550" s="8" t="n">
        <x:v>0</x:v>
      </x:c>
      <x:c r="P550" s="8" t="n">
        <x:v>16.68</x:v>
      </x:c>
      <x:c r="Q550" s="9" t="n">
        <x:v>221.6608</x:v>
      </x:c>
      <x:c r="R550" s="1" t="str">
        <x:v>Review receipt reconciliation or original PO baseline</x:v>
      </x:c>
      <x:c r="S550" s="1" t="str">
        <x:v>Plastic Product Information.csv</x:v>
      </x:c>
    </x:row>
    <x:row r="551" ht="21" customHeight="1">
      <x:c r="A551" s="1" t="str">
        <x:v>PLAS</x:v>
      </x:c>
      <x:c r="B551" s="1" t="str">
        <x:v>10</x:v>
      </x:c>
      <x:c r="C551" s="1" t="str">
        <x:v>03480RWBFG</x:v>
      </x:c>
      <x:c r="D551" s="1" t="str">
        <x:v>GOLDEN CHAMPION IND. LIMITED</x:v>
      </x:c>
      <x:c r="E551" s="7" t="n">
        <x:v>46303</x:v>
      </x:c>
      <x:c r="F551" s="8" t="n">
        <x:v>1410</x:v>
      </x:c>
      <x:c r="G551" s="8" t="n">
        <x:v>0</x:v>
      </x:c>
      <x:c r="H551" s="8" t="n">
        <x:v>24.52</x:v>
      </x:c>
      <x:c r="I551" s="8" t="n">
        <x:v>19.52</x:v>
      </x:c>
      <x:c r="J551" s="8" t="n">
        <x:v>100</x:v>
      </x:c>
      <x:c r="K551" s="8" t="n">
        <x:v>1.47</x:v>
      </x:c>
      <x:c r="L551" s="8" t="n">
        <x:v>1410</x:v>
      </x:c>
      <x:c r="M551" s="8" t="n">
        <x:v>0</x:v>
      </x:c>
      <x:c r="N551" s="8" t="n">
        <x:v>0</x:v>
      </x:c>
      <x:c r="O551" s="8" t="n">
        <x:v>1</x:v>
      </x:c>
      <x:c r="P551" s="8" t="n">
        <x:v>16.68</x:v>
      </x:c>
      <x:c r="Q551" s="9" t="n">
        <x:v>345.73199999999997</x:v>
      </x:c>
      <x:c r="R551" s="1" t="str">
        <x:v>Classified</x:v>
      </x:c>
      <x:c r="S551" s="1" t="str">
        <x:v>Plastic Product Information.csv</x:v>
      </x:c>
    </x:row>
    <x:row r="552" ht="21" customHeight="1">
      <x:c r="A552" s="1" t="str">
        <x:v>PLAS</x:v>
      </x:c>
      <x:c r="B552" s="1" t="str">
        <x:v>10</x:v>
      </x:c>
      <x:c r="C552" s="1" t="str">
        <x:v>03480RWBMAR</x:v>
      </x:c>
      <x:c r="D552" s="1" t="str">
        <x:v>GOLDEN CHAMPION IND. LIMITED</x:v>
      </x:c>
      <x:c r="E552" s="7" t="n">
        <x:v>46303</x:v>
      </x:c>
      <x:c r="F552" s="8" t="n">
        <x:v>382</x:v>
      </x:c>
      <x:c r="G552" s="8" t="n">
        <x:v>0</x:v>
      </x:c>
      <x:c r="H552" s="8" t="n">
        <x:v>19.12</x:v>
      </x:c>
      <x:c r="I552" s="8" t="n">
        <x:v>0</x:v>
      </x:c>
      <x:c r="J552" s="8" t="n">
        <x:v>100</x:v>
      </x:c>
      <x:c r="K552" s="8" t="n">
        <x:v>1.47</x:v>
      </x:c>
      <x:c r="L552" s="8" t="n">
        <x:v>0</x:v>
      </x:c>
      <x:c r="M552" s="8" t="n">
        <x:v>0</x:v>
      </x:c>
      <x:c r="N552" s="8" t="n">
        <x:v>382</x:v>
      </x:c>
      <x:c r="O552" s="8" t="n">
        <x:v>0</x:v>
      </x:c>
      <x:c r="P552" s="8"/>
      <x:c r="Q552" s="9" t="n">
        <x:v>73.03840000000001</x:v>
      </x:c>
      <x:c r="R552" s="1" t="str">
        <x:v>Review receipt reconciliation or original PO baseline</x:v>
      </x:c>
      <x:c r="S552" s="1" t="str">
        <x:v>Plastic Product Information.csv</x:v>
      </x:c>
    </x:row>
    <x:row r="553" ht="21" customHeight="1">
      <x:c r="A553" s="1" t="str">
        <x:v>PLAS</x:v>
      </x:c>
      <x:c r="B553" s="1" t="str">
        <x:v>10</x:v>
      </x:c>
      <x:c r="C553" s="1" t="str">
        <x:v>03480RWBNAV</x:v>
      </x:c>
      <x:c r="D553" s="1" t="str">
        <x:v>GOLDEN CHAMPION IND. LIMITED</x:v>
      </x:c>
      <x:c r="E553" s="7" t="n">
        <x:v>46303</x:v>
      </x:c>
      <x:c r="F553" s="8" t="n">
        <x:v>1098</x:v>
      </x:c>
      <x:c r="G553" s="8" t="n">
        <x:v>0</x:v>
      </x:c>
      <x:c r="H553" s="8" t="n">
        <x:v>24.52</x:v>
      </x:c>
      <x:c r="I553" s="8" t="n">
        <x:v>19.52</x:v>
      </x:c>
      <x:c r="J553" s="8" t="n">
        <x:v>100</x:v>
      </x:c>
      <x:c r="K553" s="8" t="n">
        <x:v>1.47</x:v>
      </x:c>
      <x:c r="L553" s="8" t="n">
        <x:v>1098</x:v>
      </x:c>
      <x:c r="M553" s="8" t="n">
        <x:v>0</x:v>
      </x:c>
      <x:c r="N553" s="8" t="n">
        <x:v>0</x:v>
      </x:c>
      <x:c r="O553" s="8" t="n">
        <x:v>1</x:v>
      </x:c>
      <x:c r="P553" s="8" t="n">
        <x:v>16.68</x:v>
      </x:c>
      <x:c r="Q553" s="9" t="n">
        <x:v>269.2296</x:v>
      </x:c>
      <x:c r="R553" s="1" t="str">
        <x:v>Classified</x:v>
      </x:c>
      <x:c r="S553" s="1" t="str">
        <x:v>Plastic Product Information.csv</x:v>
      </x:c>
    </x:row>
    <x:row r="554" ht="21" customHeight="1">
      <x:c r="A554" s="1" t="str">
        <x:v>PLAS</x:v>
      </x:c>
      <x:c r="B554" s="1" t="str">
        <x:v>10</x:v>
      </x:c>
      <x:c r="C554" s="1" t="str">
        <x:v>03480RWBRED</x:v>
      </x:c>
      <x:c r="D554" s="1" t="str">
        <x:v>GOLDEN CHAMPION IND. LIMITED</x:v>
      </x:c>
      <x:c r="E554" s="7" t="n">
        <x:v>46303</x:v>
      </x:c>
      <x:c r="F554" s="8" t="n">
        <x:v>522</x:v>
      </x:c>
      <x:c r="G554" s="8" t="n">
        <x:v>0</x:v>
      </x:c>
      <x:c r="H554" s="8" t="n">
        <x:v>19.12</x:v>
      </x:c>
      <x:c r="I554" s="8" t="n">
        <x:v>0</x:v>
      </x:c>
      <x:c r="J554" s="8" t="n">
        <x:v>100</x:v>
      </x:c>
      <x:c r="K554" s="8" t="n">
        <x:v>1.47</x:v>
      </x:c>
      <x:c r="L554" s="8" t="n">
        <x:v>0</x:v>
      </x:c>
      <x:c r="M554" s="8" t="n">
        <x:v>0</x:v>
      </x:c>
      <x:c r="N554" s="8" t="n">
        <x:v>522</x:v>
      </x:c>
      <x:c r="O554" s="8" t="n">
        <x:v>0</x:v>
      </x:c>
      <x:c r="P554" s="8"/>
      <x:c r="Q554" s="9" t="n">
        <x:v>99.80640000000001</x:v>
      </x:c>
      <x:c r="R554" s="1" t="str">
        <x:v>Review receipt reconciliation or original PO baseline</x:v>
      </x:c>
      <x:c r="S554" s="1" t="str">
        <x:v>Plastic Product Information.csv</x:v>
      </x:c>
    </x:row>
    <x:row r="555" ht="21" customHeight="1">
      <x:c r="A555" s="1" t="str">
        <x:v>PLAS</x:v>
      </x:c>
      <x:c r="B555" s="1" t="str">
        <x:v>10</x:v>
      </x:c>
      <x:c r="C555" s="1" t="str">
        <x:v>03480RWBWHT</x:v>
      </x:c>
      <x:c r="D555" s="1" t="str">
        <x:v>GOLDEN CHAMPION IND. LIMITED</x:v>
      </x:c>
      <x:c r="E555" s="7" t="n">
        <x:v>46303</x:v>
      </x:c>
      <x:c r="F555" s="8" t="n">
        <x:v>3094</x:v>
      </x:c>
      <x:c r="G555" s="8" t="n">
        <x:v>0</x:v>
      </x:c>
      <x:c r="H555" s="8" t="n">
        <x:v>24.52</x:v>
      </x:c>
      <x:c r="I555" s="8" t="n">
        <x:v>19.52</x:v>
      </x:c>
      <x:c r="J555" s="8" t="n">
        <x:v>100</x:v>
      </x:c>
      <x:c r="K555" s="8" t="n">
        <x:v>1.47</x:v>
      </x:c>
      <x:c r="L555" s="8" t="n">
        <x:v>2294</x:v>
      </x:c>
      <x:c r="M555" s="8" t="n">
        <x:v>800</x:v>
      </x:c>
      <x:c r="N555" s="8" t="n">
        <x:v>0</x:v>
      </x:c>
      <x:c r="O555" s="8" t="n">
        <x:v>1</x:v>
      </x:c>
      <x:c r="P555" s="8" t="n">
        <x:v>16.68</x:v>
      </x:c>
      <x:c r="Q555" s="9" t="n">
        <x:v>758.6488</x:v>
      </x:c>
      <x:c r="R555" s="1" t="str">
        <x:v>Classified</x:v>
      </x:c>
      <x:c r="S555" s="1" t="str">
        <x:v>Plastic Product Information.csv</x:v>
      </x:c>
    </x:row>
    <x:row r="556" ht="21" customHeight="1">
      <x:c r="A556" s="1" t="str">
        <x:v>PLAS</x:v>
      </x:c>
      <x:c r="B556" s="1" t="str">
        <x:v>10</x:v>
      </x:c>
      <x:c r="C556" s="1" t="str">
        <x:v>03815RWBBRN</x:v>
      </x:c>
      <x:c r="D556" s="1" t="str">
        <x:v>GOLDEN CHAMPION IND. LIMITED</x:v>
      </x:c>
      <x:c r="E556" s="7" t="n">
        <x:v>46303</x:v>
      </x:c>
      <x:c r="F556" s="8" t="n">
        <x:v>0</x:v>
      </x:c>
      <x:c r="G556" s="8" t="n">
        <x:v>0</x:v>
      </x:c>
      <x:c r="H556" s="8" t="n">
        <x:v>1.25</x:v>
      </x:c>
      <x:c r="I556" s="8" t="n">
        <x:v>0</x:v>
      </x:c>
      <x:c r="J556" s="8" t="n">
        <x:v>100</x:v>
      </x:c>
      <x:c r="K556" s="8" t="n">
        <x:v>1.47</x:v>
      </x:c>
      <x:c r="L556" s="8" t="n">
        <x:v>0</x:v>
      </x:c>
      <x:c r="M556" s="8" t="n">
        <x:v>0</x:v>
      </x:c>
      <x:c r="N556" s="8" t="n">
        <x:v>0</x:v>
      </x:c>
      <x:c r="O556" s="8" t="n">
        <x:v>0</x:v>
      </x:c>
      <x:c r="P556" s="8"/>
      <x:c r="Q556" s="9" t="n">
        <x:v>0</x:v>
      </x:c>
      <x:c r="R556" s="1" t="str">
        <x:v>Review receipt reconciliation or original PO baseline</x:v>
      </x:c>
      <x:c r="S556" s="1" t="str">
        <x:v>Plastic Product Information.csv</x:v>
      </x:c>
    </x:row>
    <x:row r="557" ht="21" customHeight="1">
      <x:c r="A557" s="1" t="str">
        <x:v>PLAS</x:v>
      </x:c>
      <x:c r="B557" s="1" t="str">
        <x:v>10</x:v>
      </x:c>
      <x:c r="C557" s="1" t="str">
        <x:v>03815RWBNAV</x:v>
      </x:c>
      <x:c r="D557" s="1" t="str">
        <x:v>GOLDEN CHAMPION IND. LIMITED</x:v>
      </x:c>
      <x:c r="E557" s="7" t="n">
        <x:v>46303</x:v>
      </x:c>
      <x:c r="F557" s="8" t="n">
        <x:v>12134</x:v>
      </x:c>
      <x:c r="G557" s="8" t="n">
        <x:v>0</x:v>
      </x:c>
      <x:c r="H557" s="8" t="n">
        <x:v>1.25</x:v>
      </x:c>
      <x:c r="I557" s="8" t="n">
        <x:v>1.29</x:v>
      </x:c>
      <x:c r="J557" s="8" t="n">
        <x:v>100</x:v>
      </x:c>
      <x:c r="K557" s="8" t="n">
        <x:v>1.47</x:v>
      </x:c>
      <x:c r="L557" s="8" t="n">
        <x:v>0</x:v>
      </x:c>
      <x:c r="M557" s="8" t="n">
        <x:v>0</x:v>
      </x:c>
      <x:c r="N557" s="8" t="n">
        <x:v>12134</x:v>
      </x:c>
      <x:c r="O557" s="8" t="n">
        <x:v>0</x:v>
      </x:c>
      <x:c r="P557" s="8" t="n">
        <x:v>1.1</x:v>
      </x:c>
      <x:c r="Q557" s="9" t="n">
        <x:v>151.675</x:v>
      </x:c>
      <x:c r="R557" s="1" t="str">
        <x:v>Review receipt reconciliation or original PO baseline</x:v>
      </x:c>
      <x:c r="S557" s="1" t="str">
        <x:v>Plastic Product Information.csv</x:v>
      </x:c>
    </x:row>
    <x:row r="558" ht="21" customHeight="1">
      <x:c r="A558" s="1" t="str">
        <x:v>PLAS</x:v>
      </x:c>
      <x:c r="B558" s="1" t="str">
        <x:v>10</x:v>
      </x:c>
      <x:c r="C558" s="1" t="str">
        <x:v>03880RWBBLK</x:v>
      </x:c>
      <x:c r="D558" s="1" t="str">
        <x:v>GOLDEN CHAMPION IND. LIMITED</x:v>
      </x:c>
      <x:c r="E558" s="7" t="n">
        <x:v>46303</x:v>
      </x:c>
      <x:c r="F558" s="8" t="n">
        <x:v>5366</x:v>
      </x:c>
      <x:c r="G558" s="8" t="n">
        <x:v>0</x:v>
      </x:c>
      <x:c r="H558" s="8" t="n">
        <x:v>9.07</x:v>
      </x:c>
      <x:c r="I558" s="8" t="n">
        <x:v>7.22</x:v>
      </x:c>
      <x:c r="J558" s="8" t="n">
        <x:v>100</x:v>
      </x:c>
      <x:c r="K558" s="8" t="n">
        <x:v>1.47</x:v>
      </x:c>
      <x:c r="L558" s="8" t="n">
        <x:v>0</x:v>
      </x:c>
      <x:c r="M558" s="8" t="n">
        <x:v>5366</x:v>
      </x:c>
      <x:c r="N558" s="8" t="n">
        <x:v>0</x:v>
      </x:c>
      <x:c r="O558" s="8" t="n">
        <x:v>1</x:v>
      </x:c>
      <x:c r="P558" s="8" t="n">
        <x:v>6.17</x:v>
      </x:c>
      <x:c r="Q558" s="9" t="n">
        <x:v>486.69620000000003</x:v>
      </x:c>
      <x:c r="R558" s="1" t="str">
        <x:v>Classified</x:v>
      </x:c>
      <x:c r="S558" s="1" t="str">
        <x:v>Plastic Product Information.csv</x:v>
      </x:c>
    </x:row>
    <x:row r="559" ht="21" customHeight="1">
      <x:c r="A559" s="1" t="str">
        <x:v>PLAS</x:v>
      </x:c>
      <x:c r="B559" s="1" t="str">
        <x:v>10</x:v>
      </x:c>
      <x:c r="C559" s="1" t="str">
        <x:v>03880RWBBLU</x:v>
      </x:c>
      <x:c r="D559" s="1" t="str">
        <x:v>GOLDEN CHAMPION IND. LIMITED</x:v>
      </x:c>
      <x:c r="E559" s="7" t="n">
        <x:v>46303</x:v>
      </x:c>
      <x:c r="F559" s="8" t="n">
        <x:v>1143</x:v>
      </x:c>
      <x:c r="G559" s="8" t="n">
        <x:v>0</x:v>
      </x:c>
      <x:c r="H559" s="8" t="n">
        <x:v>6.82</x:v>
      </x:c>
      <x:c r="I559" s="8" t="n">
        <x:v>0</x:v>
      </x:c>
      <x:c r="J559" s="8" t="n">
        <x:v>100</x:v>
      </x:c>
      <x:c r="K559" s="8" t="n">
        <x:v>1.47</x:v>
      </x:c>
      <x:c r="L559" s="8" t="n">
        <x:v>0</x:v>
      </x:c>
      <x:c r="M559" s="8" t="n">
        <x:v>0</x:v>
      </x:c>
      <x:c r="N559" s="8" t="n">
        <x:v>1143</x:v>
      </x:c>
      <x:c r="O559" s="8" t="n">
        <x:v>0</x:v>
      </x:c>
      <x:c r="P559" s="8"/>
      <x:c r="Q559" s="9" t="n">
        <x:v>77.9526</x:v>
      </x:c>
      <x:c r="R559" s="1" t="str">
        <x:v>Review receipt reconciliation or original PO baseline</x:v>
      </x:c>
      <x:c r="S559" s="1" t="str">
        <x:v>Plastic Product Information.csv</x:v>
      </x:c>
    </x:row>
    <x:row r="560" ht="21" customHeight="1">
      <x:c r="A560" s="1" t="str">
        <x:v>PLAS</x:v>
      </x:c>
      <x:c r="B560" s="1" t="str">
        <x:v>10</x:v>
      </x:c>
      <x:c r="C560" s="1" t="str">
        <x:v>03880RWBCLR</x:v>
      </x:c>
      <x:c r="D560" s="1" t="str">
        <x:v>GOLDEN CHAMPION IND. LIMITED</x:v>
      </x:c>
      <x:c r="E560" s="7" t="n">
        <x:v>46303</x:v>
      </x:c>
      <x:c r="F560" s="8" t="n">
        <x:v>1694</x:v>
      </x:c>
      <x:c r="G560" s="8" t="n">
        <x:v>0</x:v>
      </x:c>
      <x:c r="H560" s="8" t="n">
        <x:v>6.82</x:v>
      </x:c>
      <x:c r="I560" s="8" t="n">
        <x:v>0</x:v>
      </x:c>
      <x:c r="J560" s="8" t="n">
        <x:v>100</x:v>
      </x:c>
      <x:c r="K560" s="8" t="n">
        <x:v>1.47</x:v>
      </x:c>
      <x:c r="L560" s="8" t="n">
        <x:v>0</x:v>
      </x:c>
      <x:c r="M560" s="8" t="n">
        <x:v>0</x:v>
      </x:c>
      <x:c r="N560" s="8" t="n">
        <x:v>1694</x:v>
      </x:c>
      <x:c r="O560" s="8" t="n">
        <x:v>0</x:v>
      </x:c>
      <x:c r="P560" s="8"/>
      <x:c r="Q560" s="9" t="n">
        <x:v>115.5308</x:v>
      </x:c>
      <x:c r="R560" s="1" t="str">
        <x:v>Review receipt reconciliation or original PO baseline</x:v>
      </x:c>
      <x:c r="S560" s="1" t="str">
        <x:v>Plastic Product Information.csv</x:v>
      </x:c>
    </x:row>
    <x:row r="561" ht="21" customHeight="1">
      <x:c r="A561" s="1" t="str">
        <x:v>PLAS</x:v>
      </x:c>
      <x:c r="B561" s="1" t="str">
        <x:v>10</x:v>
      </x:c>
      <x:c r="C561" s="1" t="str">
        <x:v>03880RWBFG</x:v>
      </x:c>
      <x:c r="D561" s="1" t="str">
        <x:v>GOLDEN CHAMPION IND. LIMITED</x:v>
      </x:c>
      <x:c r="E561" s="7" t="n">
        <x:v>46303</x:v>
      </x:c>
      <x:c r="F561" s="8" t="n">
        <x:v>2539</x:v>
      </x:c>
      <x:c r="G561" s="8" t="n">
        <x:v>0</x:v>
      </x:c>
      <x:c r="H561" s="8" t="n">
        <x:v>6.82</x:v>
      </x:c>
      <x:c r="I561" s="8" t="n">
        <x:v>0</x:v>
      </x:c>
      <x:c r="J561" s="8" t="n">
        <x:v>100</x:v>
      </x:c>
      <x:c r="K561" s="8" t="n">
        <x:v>1.47</x:v>
      </x:c>
      <x:c r="L561" s="8" t="n">
        <x:v>0</x:v>
      </x:c>
      <x:c r="M561" s="8" t="n">
        <x:v>0</x:v>
      </x:c>
      <x:c r="N561" s="8" t="n">
        <x:v>2539</x:v>
      </x:c>
      <x:c r="O561" s="8" t="n">
        <x:v>0</x:v>
      </x:c>
      <x:c r="P561" s="8"/>
      <x:c r="Q561" s="9" t="n">
        <x:v>173.1598</x:v>
      </x:c>
      <x:c r="R561" s="1" t="str">
        <x:v>Review receipt reconciliation or original PO baseline</x:v>
      </x:c>
      <x:c r="S561" s="1" t="str">
        <x:v>Plastic Product Information.csv</x:v>
      </x:c>
    </x:row>
    <x:row r="562" ht="21" customHeight="1">
      <x:c r="A562" s="1" t="str">
        <x:v>PLAS</x:v>
      </x:c>
      <x:c r="B562" s="1" t="str">
        <x:v>10</x:v>
      </x:c>
      <x:c r="C562" s="1" t="str">
        <x:v>03880RWBMAR</x:v>
      </x:c>
      <x:c r="D562" s="1" t="str">
        <x:v>GOLDEN CHAMPION IND. LIMITED</x:v>
      </x:c>
      <x:c r="E562" s="7" t="n">
        <x:v>46303</x:v>
      </x:c>
      <x:c r="F562" s="8" t="n">
        <x:v>711</x:v>
      </x:c>
      <x:c r="G562" s="8" t="n">
        <x:v>0</x:v>
      </x:c>
      <x:c r="H562" s="8" t="n">
        <x:v>6.82</x:v>
      </x:c>
      <x:c r="I562" s="8" t="n">
        <x:v>0</x:v>
      </x:c>
      <x:c r="J562" s="8" t="n">
        <x:v>100</x:v>
      </x:c>
      <x:c r="K562" s="8" t="n">
        <x:v>1.47</x:v>
      </x:c>
      <x:c r="L562" s="8" t="n">
        <x:v>0</x:v>
      </x:c>
      <x:c r="M562" s="8" t="n">
        <x:v>0</x:v>
      </x:c>
      <x:c r="N562" s="8" t="n">
        <x:v>711</x:v>
      </x:c>
      <x:c r="O562" s="8" t="n">
        <x:v>0</x:v>
      </x:c>
      <x:c r="P562" s="8"/>
      <x:c r="Q562" s="9" t="n">
        <x:v>48.49020000000001</x:v>
      </x:c>
      <x:c r="R562" s="1" t="str">
        <x:v>Review receipt reconciliation or original PO baseline</x:v>
      </x:c>
      <x:c r="S562" s="1" t="str">
        <x:v>Plastic Product Information.csv</x:v>
      </x:c>
    </x:row>
    <x:row r="563" ht="21" customHeight="1">
      <x:c r="A563" s="1" t="str">
        <x:v>PLAS</x:v>
      </x:c>
      <x:c r="B563" s="1" t="str">
        <x:v>10</x:v>
      </x:c>
      <x:c r="C563" s="1" t="str">
        <x:v>03880RWBNAV</x:v>
      </x:c>
      <x:c r="D563" s="1" t="str">
        <x:v>GOLDEN CHAMPION IND. LIMITED</x:v>
      </x:c>
      <x:c r="E563" s="7" t="n">
        <x:v>46303</x:v>
      </x:c>
      <x:c r="F563" s="8" t="n">
        <x:v>919</x:v>
      </x:c>
      <x:c r="G563" s="8" t="n">
        <x:v>0</x:v>
      </x:c>
      <x:c r="H563" s="8" t="n">
        <x:v>9.07</x:v>
      </x:c>
      <x:c r="I563" s="8" t="n">
        <x:v>7.22</x:v>
      </x:c>
      <x:c r="J563" s="8" t="n">
        <x:v>100</x:v>
      </x:c>
      <x:c r="K563" s="8" t="n">
        <x:v>1.47</x:v>
      </x:c>
      <x:c r="L563" s="8" t="n">
        <x:v>0</x:v>
      </x:c>
      <x:c r="M563" s="8" t="n">
        <x:v>919</x:v>
      </x:c>
      <x:c r="N563" s="8" t="n">
        <x:v>0</x:v>
      </x:c>
      <x:c r="O563" s="8" t="n">
        <x:v>1</x:v>
      </x:c>
      <x:c r="P563" s="8" t="n">
        <x:v>6.17</x:v>
      </x:c>
      <x:c r="Q563" s="9" t="n">
        <x:v>83.3533</x:v>
      </x:c>
      <x:c r="R563" s="1" t="str">
        <x:v>Classified</x:v>
      </x:c>
      <x:c r="S563" s="1" t="str">
        <x:v>Plastic Product Information.csv</x:v>
      </x:c>
    </x:row>
    <x:row r="564" ht="21" customHeight="1">
      <x:c r="A564" s="1" t="str">
        <x:v>PLAS</x:v>
      </x:c>
      <x:c r="B564" s="1" t="str">
        <x:v>10</x:v>
      </x:c>
      <x:c r="C564" s="1" t="str">
        <x:v>03880RWBRED</x:v>
      </x:c>
      <x:c r="D564" s="1" t="str">
        <x:v>GOLDEN CHAMPION IND. LIMITED</x:v>
      </x:c>
      <x:c r="E564" s="7" t="n">
        <x:v>46303</x:v>
      </x:c>
      <x:c r="F564" s="8" t="n">
        <x:v>2122</x:v>
      </x:c>
      <x:c r="G564" s="8" t="n">
        <x:v>0</x:v>
      </x:c>
      <x:c r="H564" s="8" t="n">
        <x:v>6.82</x:v>
      </x:c>
      <x:c r="I564" s="8" t="n">
        <x:v>0</x:v>
      </x:c>
      <x:c r="J564" s="8" t="n">
        <x:v>100</x:v>
      </x:c>
      <x:c r="K564" s="8" t="n">
        <x:v>1.47</x:v>
      </x:c>
      <x:c r="L564" s="8" t="n">
        <x:v>0</x:v>
      </x:c>
      <x:c r="M564" s="8" t="n">
        <x:v>0</x:v>
      </x:c>
      <x:c r="N564" s="8" t="n">
        <x:v>2122</x:v>
      </x:c>
      <x:c r="O564" s="8" t="n">
        <x:v>0</x:v>
      </x:c>
      <x:c r="P564" s="8"/>
      <x:c r="Q564" s="9" t="n">
        <x:v>144.7204</x:v>
      </x:c>
      <x:c r="R564" s="1" t="str">
        <x:v>Review receipt reconciliation or original PO baseline</x:v>
      </x:c>
      <x:c r="S564" s="1" t="str">
        <x:v>Plastic Product Information.csv</x:v>
      </x:c>
    </x:row>
    <x:row r="565" ht="21" customHeight="1">
      <x:c r="A565" s="1" t="str">
        <x:v>PLAS</x:v>
      </x:c>
      <x:c r="B565" s="1" t="str">
        <x:v>10</x:v>
      </x:c>
      <x:c r="C565" s="1" t="str">
        <x:v>03880RWBWHT</x:v>
      </x:c>
      <x:c r="D565" s="1" t="str">
        <x:v>GOLDEN CHAMPION IND. LIMITED</x:v>
      </x:c>
      <x:c r="E565" s="7" t="n">
        <x:v>46303</x:v>
      </x:c>
      <x:c r="F565" s="8" t="n">
        <x:v>4302</x:v>
      </x:c>
      <x:c r="G565" s="8" t="n">
        <x:v>0</x:v>
      </x:c>
      <x:c r="H565" s="8" t="n">
        <x:v>9.07</x:v>
      </x:c>
      <x:c r="I565" s="8" t="n">
        <x:v>7.22</x:v>
      </x:c>
      <x:c r="J565" s="8" t="n">
        <x:v>100</x:v>
      </x:c>
      <x:c r="K565" s="8" t="n">
        <x:v>1.47</x:v>
      </x:c>
      <x:c r="L565" s="8" t="n">
        <x:v>2302</x:v>
      </x:c>
      <x:c r="M565" s="8" t="n">
        <x:v>2000</x:v>
      </x:c>
      <x:c r="N565" s="8" t="n">
        <x:v>0</x:v>
      </x:c>
      <x:c r="O565" s="8" t="n">
        <x:v>1</x:v>
      </x:c>
      <x:c r="P565" s="8" t="n">
        <x:v>6.17</x:v>
      </x:c>
      <x:c r="Q565" s="9" t="n">
        <x:v>390.1914</x:v>
      </x:c>
      <x:c r="R565" s="1" t="str">
        <x:v>Classified</x:v>
      </x:c>
      <x:c r="S565" s="1" t="str">
        <x:v>Plastic Product Information.csv</x:v>
      </x:c>
    </x:row>
    <x:row r="566" ht="21" customHeight="1">
      <x:c r="A566" s="1" t="str">
        <x:v>PLAS</x:v>
      </x:c>
      <x:c r="B566" s="1" t="str">
        <x:v>10</x:v>
      </x:c>
      <x:c r="C566" s="1" t="str">
        <x:v>05815RWBCLR</x:v>
      </x:c>
      <x:c r="D566" s="1" t="str">
        <x:v>GOLDEN CHAMPION IND. LIMITED</x:v>
      </x:c>
      <x:c r="E566" s="7" t="n">
        <x:v>46303</x:v>
      </x:c>
      <x:c r="F566" s="8" t="n">
        <x:v>3325</x:v>
      </x:c>
      <x:c r="G566" s="8" t="n">
        <x:v>0</x:v>
      </x:c>
      <x:c r="H566" s="8" t="n">
        <x:v>2.67</x:v>
      </x:c>
      <x:c r="I566" s="8" t="n">
        <x:v>2.46</x:v>
      </x:c>
      <x:c r="J566" s="8" t="n">
        <x:v>100</x:v>
      </x:c>
      <x:c r="K566" s="8" t="n">
        <x:v>1.47</x:v>
      </x:c>
      <x:c r="L566" s="8" t="n">
        <x:v>0</x:v>
      </x:c>
      <x:c r="M566" s="8" t="n">
        <x:v>0</x:v>
      </x:c>
      <x:c r="N566" s="8" t="n">
        <x:v>3325</x:v>
      </x:c>
      <x:c r="O566" s="8" t="n">
        <x:v>0</x:v>
      </x:c>
      <x:c r="P566" s="8" t="n">
        <x:v>2.1</x:v>
      </x:c>
      <x:c r="Q566" s="9" t="n">
        <x:v>88.7775</x:v>
      </x:c>
      <x:c r="R566" s="1" t="str">
        <x:v>Review receipt reconciliation or original PO baseline</x:v>
      </x:c>
      <x:c r="S566" s="1" t="str">
        <x:v>Plastic Product Information.csv</x:v>
      </x:c>
    </x:row>
    <x:row r="567" ht="21" customHeight="1">
      <x:c r="A567" s="1" t="str">
        <x:v>PLAS</x:v>
      </x:c>
      <x:c r="B567" s="1" t="str">
        <x:v>10</x:v>
      </x:c>
      <x:c r="C567" s="1" t="str">
        <x:v>05815RWBMAR</x:v>
      </x:c>
      <x:c r="D567" s="1" t="str">
        <x:v>GOLDEN CHAMPION IND. LIMITED</x:v>
      </x:c>
      <x:c r="E567" s="7" t="n">
        <x:v>46303</x:v>
      </x:c>
      <x:c r="F567" s="8" t="n">
        <x:v>4000</x:v>
      </x:c>
      <x:c r="G567" s="8" t="n">
        <x:v>0</x:v>
      </x:c>
      <x:c r="H567" s="8" t="n">
        <x:v>2.67</x:v>
      </x:c>
      <x:c r="I567" s="8" t="n">
        <x:v>2.46</x:v>
      </x:c>
      <x:c r="J567" s="8" t="n">
        <x:v>100</x:v>
      </x:c>
      <x:c r="K567" s="8" t="n">
        <x:v>1.47</x:v>
      </x:c>
      <x:c r="L567" s="8" t="n">
        <x:v>4000</x:v>
      </x:c>
      <x:c r="M567" s="8" t="n">
        <x:v>0</x:v>
      </x:c>
      <x:c r="N567" s="8" t="n">
        <x:v>0</x:v>
      </x:c>
      <x:c r="O567" s="8" t="n">
        <x:v>1</x:v>
      </x:c>
      <x:c r="P567" s="8" t="n">
        <x:v>2.1</x:v>
      </x:c>
      <x:c r="Q567" s="9" t="n">
        <x:v>106.8</x:v>
      </x:c>
      <x:c r="R567" s="1" t="str">
        <x:v>Classified</x:v>
      </x:c>
      <x:c r="S567" s="1" t="str">
        <x:v>Plastic Product Information.csv</x:v>
      </x:c>
    </x:row>
    <x:row r="568" ht="21" customHeight="1">
      <x:c r="A568" s="1" t="str">
        <x:v>PLAS</x:v>
      </x:c>
      <x:c r="B568" s="1" t="str">
        <x:v>10</x:v>
      </x:c>
      <x:c r="C568" s="1" t="str">
        <x:v>05880RWBBLK</x:v>
      </x:c>
      <x:c r="D568" s="1" t="str">
        <x:v>GOLDEN CHAMPION IND. LIMITED</x:v>
      </x:c>
      <x:c r="E568" s="7" t="n">
        <x:v>46303</x:v>
      </x:c>
      <x:c r="F568" s="8" t="n">
        <x:v>2859</x:v>
      </x:c>
      <x:c r="G568" s="8" t="n">
        <x:v>0</x:v>
      </x:c>
      <x:c r="H568" s="8" t="n">
        <x:v>17.26</x:v>
      </x:c>
      <x:c r="I568" s="8" t="n">
        <x:v>13.74</x:v>
      </x:c>
      <x:c r="J568" s="8" t="n">
        <x:v>100</x:v>
      </x:c>
      <x:c r="K568" s="8" t="n">
        <x:v>1.47</x:v>
      </x:c>
      <x:c r="L568" s="8" t="n">
        <x:v>2359</x:v>
      </x:c>
      <x:c r="M568" s="8" t="n">
        <x:v>500</x:v>
      </x:c>
      <x:c r="N568" s="8" t="n">
        <x:v>0</x:v>
      </x:c>
      <x:c r="O568" s="8" t="n">
        <x:v>1</x:v>
      </x:c>
      <x:c r="P568" s="8" t="n">
        <x:v>11.74</x:v>
      </x:c>
      <x:c r="Q568" s="9" t="n">
        <x:v>493.46340000000004</x:v>
      </x:c>
      <x:c r="R568" s="1" t="str">
        <x:v>Classified</x:v>
      </x:c>
      <x:c r="S568" s="1" t="str">
        <x:v>Plastic Product Information.csv</x:v>
      </x:c>
    </x:row>
    <x:row r="569" ht="21" customHeight="1">
      <x:c r="A569" s="1" t="str">
        <x:v>PLAS</x:v>
      </x:c>
      <x:c r="B569" s="1" t="str">
        <x:v>10</x:v>
      </x:c>
      <x:c r="C569" s="1" t="str">
        <x:v>05880RWBBLU</x:v>
      </x:c>
      <x:c r="D569" s="1" t="str">
        <x:v>GOLDEN CHAMPION IND. LIMITED</x:v>
      </x:c>
      <x:c r="E569" s="7" t="n">
        <x:v>46303</x:v>
      </x:c>
      <x:c r="F569" s="8" t="n">
        <x:v>462</x:v>
      </x:c>
      <x:c r="G569" s="8" t="n">
        <x:v>0</x:v>
      </x:c>
      <x:c r="H569" s="8" t="n">
        <x:v>13.52</x:v>
      </x:c>
      <x:c r="I569" s="8" t="n">
        <x:v>0</x:v>
      </x:c>
      <x:c r="J569" s="8" t="n">
        <x:v>100</x:v>
      </x:c>
      <x:c r="K569" s="8" t="n">
        <x:v>1.47</x:v>
      </x:c>
      <x:c r="L569" s="8" t="n">
        <x:v>0</x:v>
      </x:c>
      <x:c r="M569" s="8" t="n">
        <x:v>0</x:v>
      </x:c>
      <x:c r="N569" s="8" t="n">
        <x:v>462</x:v>
      </x:c>
      <x:c r="O569" s="8" t="n">
        <x:v>0</x:v>
      </x:c>
      <x:c r="P569" s="8"/>
      <x:c r="Q569" s="9" t="n">
        <x:v>62.4624</x:v>
      </x:c>
      <x:c r="R569" s="1" t="str">
        <x:v>Review receipt reconciliation or original PO baseline</x:v>
      </x:c>
      <x:c r="S569" s="1" t="str">
        <x:v>Plastic Product Information.csv</x:v>
      </x:c>
    </x:row>
    <x:row r="570" ht="21" customHeight="1">
      <x:c r="A570" s="1" t="str">
        <x:v>PLAS</x:v>
      </x:c>
      <x:c r="B570" s="1" t="str">
        <x:v>10</x:v>
      </x:c>
      <x:c r="C570" s="1" t="str">
        <x:v>05880RWBCLR</x:v>
      </x:c>
      <x:c r="D570" s="1" t="str">
        <x:v>GOLDEN CHAMPION IND. LIMITED</x:v>
      </x:c>
      <x:c r="E570" s="7" t="n">
        <x:v>46303</x:v>
      </x:c>
      <x:c r="F570" s="8" t="n">
        <x:v>966</x:v>
      </x:c>
      <x:c r="G570" s="8" t="n">
        <x:v>0</x:v>
      </x:c>
      <x:c r="H570" s="8" t="n">
        <x:v>17.26</x:v>
      </x:c>
      <x:c r="I570" s="8" t="n">
        <x:v>13.74</x:v>
      </x:c>
      <x:c r="J570" s="8" t="n">
        <x:v>100</x:v>
      </x:c>
      <x:c r="K570" s="8" t="n">
        <x:v>1.47</x:v>
      </x:c>
      <x:c r="L570" s="8" t="n">
        <x:v>966</x:v>
      </x:c>
      <x:c r="M570" s="8" t="n">
        <x:v>0</x:v>
      </x:c>
      <x:c r="N570" s="8" t="n">
        <x:v>0</x:v>
      </x:c>
      <x:c r="O570" s="8" t="n">
        <x:v>1</x:v>
      </x:c>
      <x:c r="P570" s="8" t="n">
        <x:v>11.74</x:v>
      </x:c>
      <x:c r="Q570" s="9" t="n">
        <x:v>166.73160000000001</x:v>
      </x:c>
      <x:c r="R570" s="1" t="str">
        <x:v>Classified</x:v>
      </x:c>
      <x:c r="S570" s="1" t="str">
        <x:v>Plastic Product Information.csv</x:v>
      </x:c>
    </x:row>
    <x:row r="571" ht="21" customHeight="1">
      <x:c r="A571" s="1" t="str">
        <x:v>PLAS</x:v>
      </x:c>
      <x:c r="B571" s="1" t="str">
        <x:v>10</x:v>
      </x:c>
      <x:c r="C571" s="1" t="str">
        <x:v>05880RWBFG</x:v>
      </x:c>
      <x:c r="D571" s="1" t="str">
        <x:v>GOLDEN CHAMPION IND. LIMITED</x:v>
      </x:c>
      <x:c r="E571" s="7" t="n">
        <x:v>46303</x:v>
      </x:c>
      <x:c r="F571" s="8" t="n">
        <x:v>305</x:v>
      </x:c>
      <x:c r="G571" s="8" t="n">
        <x:v>0</x:v>
      </x:c>
      <x:c r="H571" s="8" t="n">
        <x:v>13.52</x:v>
      </x:c>
      <x:c r="I571" s="8" t="n">
        <x:v>0</x:v>
      </x:c>
      <x:c r="J571" s="8" t="n">
        <x:v>100</x:v>
      </x:c>
      <x:c r="K571" s="8" t="n">
        <x:v>1.47</x:v>
      </x:c>
      <x:c r="L571" s="8" t="n">
        <x:v>0</x:v>
      </x:c>
      <x:c r="M571" s="8" t="n">
        <x:v>0</x:v>
      </x:c>
      <x:c r="N571" s="8" t="n">
        <x:v>305</x:v>
      </x:c>
      <x:c r="O571" s="8" t="n">
        <x:v>0</x:v>
      </x:c>
      <x:c r="P571" s="8"/>
      <x:c r="Q571" s="9" t="n">
        <x:v>41.236</x:v>
      </x:c>
      <x:c r="R571" s="1" t="str">
        <x:v>Review receipt reconciliation or original PO baseline</x:v>
      </x:c>
      <x:c r="S571" s="1" t="str">
        <x:v>Plastic Product Information.csv</x:v>
      </x:c>
    </x:row>
    <x:row r="572" ht="21" customHeight="1">
      <x:c r="A572" s="1" t="str">
        <x:v>PLAS</x:v>
      </x:c>
      <x:c r="B572" s="1" t="str">
        <x:v>10</x:v>
      </x:c>
      <x:c r="C572" s="1" t="str">
        <x:v>05880RWBMAR</x:v>
      </x:c>
      <x:c r="D572" s="1" t="str">
        <x:v>GOLDEN CHAMPION IND. LIMITED</x:v>
      </x:c>
      <x:c r="E572" s="7" t="n">
        <x:v>46303</x:v>
      </x:c>
      <x:c r="F572" s="8" t="n">
        <x:v>770</x:v>
      </x:c>
      <x:c r="G572" s="8" t="n">
        <x:v>0</x:v>
      </x:c>
      <x:c r="H572" s="8" t="n">
        <x:v>13.52</x:v>
      </x:c>
      <x:c r="I572" s="8" t="n">
        <x:v>0</x:v>
      </x:c>
      <x:c r="J572" s="8" t="n">
        <x:v>100</x:v>
      </x:c>
      <x:c r="K572" s="8" t="n">
        <x:v>1.47</x:v>
      </x:c>
      <x:c r="L572" s="8" t="n">
        <x:v>0</x:v>
      </x:c>
      <x:c r="M572" s="8" t="n">
        <x:v>0</x:v>
      </x:c>
      <x:c r="N572" s="8" t="n">
        <x:v>770</x:v>
      </x:c>
      <x:c r="O572" s="8" t="n">
        <x:v>0</x:v>
      </x:c>
      <x:c r="P572" s="8"/>
      <x:c r="Q572" s="9" t="n">
        <x:v>104.104</x:v>
      </x:c>
      <x:c r="R572" s="1" t="str">
        <x:v>Review receipt reconciliation or original PO baseline</x:v>
      </x:c>
      <x:c r="S572" s="1" t="str">
        <x:v>Plastic Product Information.csv</x:v>
      </x:c>
    </x:row>
    <x:row r="573" ht="21" customHeight="1">
      <x:c r="A573" s="1" t="str">
        <x:v>PLAS</x:v>
      </x:c>
      <x:c r="B573" s="1" t="str">
        <x:v>10</x:v>
      </x:c>
      <x:c r="C573" s="1" t="str">
        <x:v>05880RWBNAV</x:v>
      </x:c>
      <x:c r="D573" s="1" t="str">
        <x:v>GOLDEN CHAMPION IND. LIMITED</x:v>
      </x:c>
      <x:c r="E573" s="7" t="n">
        <x:v>46303</x:v>
      </x:c>
      <x:c r="F573" s="8" t="n">
        <x:v>475</x:v>
      </x:c>
      <x:c r="G573" s="8" t="n">
        <x:v>0</x:v>
      </x:c>
      <x:c r="H573" s="8" t="n">
        <x:v>17.26</x:v>
      </x:c>
      <x:c r="I573" s="8" t="n">
        <x:v>13.74</x:v>
      </x:c>
      <x:c r="J573" s="8" t="n">
        <x:v>100</x:v>
      </x:c>
      <x:c r="K573" s="8" t="n">
        <x:v>1.47</x:v>
      </x:c>
      <x:c r="L573" s="8" t="n">
        <x:v>0</x:v>
      </x:c>
      <x:c r="M573" s="8" t="n">
        <x:v>475</x:v>
      </x:c>
      <x:c r="N573" s="8" t="n">
        <x:v>0</x:v>
      </x:c>
      <x:c r="O573" s="8" t="n">
        <x:v>1</x:v>
      </x:c>
      <x:c r="P573" s="8" t="n">
        <x:v>11.74</x:v>
      </x:c>
      <x:c r="Q573" s="9" t="n">
        <x:v>81.985</x:v>
      </x:c>
      <x:c r="R573" s="1" t="str">
        <x:v>Classified</x:v>
      </x:c>
      <x:c r="S573" s="1" t="str">
        <x:v>Plastic Product Information.csv</x:v>
      </x:c>
    </x:row>
    <x:row r="574" ht="21" customHeight="1">
      <x:c r="A574" s="1" t="str">
        <x:v>PLAS</x:v>
      </x:c>
      <x:c r="B574" s="1" t="str">
        <x:v>10</x:v>
      </x:c>
      <x:c r="C574" s="1" t="str">
        <x:v>05880RWBRED</x:v>
      </x:c>
      <x:c r="D574" s="1" t="str">
        <x:v>GOLDEN CHAMPION IND. LIMITED</x:v>
      </x:c>
      <x:c r="E574" s="7" t="n">
        <x:v>46303</x:v>
      </x:c>
      <x:c r="F574" s="8" t="n">
        <x:v>577</x:v>
      </x:c>
      <x:c r="G574" s="8" t="n">
        <x:v>0</x:v>
      </x:c>
      <x:c r="H574" s="8" t="n">
        <x:v>17.26</x:v>
      </x:c>
      <x:c r="I574" s="8" t="n">
        <x:v>13.74</x:v>
      </x:c>
      <x:c r="J574" s="8" t="n">
        <x:v>100</x:v>
      </x:c>
      <x:c r="K574" s="8" t="n">
        <x:v>1.47</x:v>
      </x:c>
      <x:c r="L574" s="8" t="n">
        <x:v>0</x:v>
      </x:c>
      <x:c r="M574" s="8" t="n">
        <x:v>0</x:v>
      </x:c>
      <x:c r="N574" s="8" t="n">
        <x:v>577</x:v>
      </x:c>
      <x:c r="O574" s="8" t="n">
        <x:v>0</x:v>
      </x:c>
      <x:c r="P574" s="8" t="n">
        <x:v>11.74</x:v>
      </x:c>
      <x:c r="Q574" s="9" t="n">
        <x:v>99.59020000000001</x:v>
      </x:c>
      <x:c r="R574" s="1" t="str">
        <x:v>Review receipt reconciliation or original PO baseline</x:v>
      </x:c>
      <x:c r="S574" s="1" t="str">
        <x:v>Plastic Product Information.csv</x:v>
      </x:c>
    </x:row>
    <x:row r="575" ht="21" customHeight="1">
      <x:c r="A575" s="1" t="str">
        <x:v>PLAS</x:v>
      </x:c>
      <x:c r="B575" s="1" t="str">
        <x:v>10</x:v>
      </x:c>
      <x:c r="C575" s="1" t="str">
        <x:v>05880RWBWHT</x:v>
      </x:c>
      <x:c r="D575" s="1" t="str">
        <x:v>GOLDEN CHAMPION IND. LIMITED</x:v>
      </x:c>
      <x:c r="E575" s="7" t="n">
        <x:v>46303</x:v>
      </x:c>
      <x:c r="F575" s="8" t="n">
        <x:v>4137</x:v>
      </x:c>
      <x:c r="G575" s="8" t="n">
        <x:v>0</x:v>
      </x:c>
      <x:c r="H575" s="8" t="n">
        <x:v>17.26</x:v>
      </x:c>
      <x:c r="I575" s="8" t="n">
        <x:v>13.74</x:v>
      </x:c>
      <x:c r="J575" s="8" t="n">
        <x:v>100</x:v>
      </x:c>
      <x:c r="K575" s="8" t="n">
        <x:v>1.47</x:v>
      </x:c>
      <x:c r="L575" s="8" t="n">
        <x:v>0</x:v>
      </x:c>
      <x:c r="M575" s="8" t="n">
        <x:v>0</x:v>
      </x:c>
      <x:c r="N575" s="8" t="n">
        <x:v>4137</x:v>
      </x:c>
      <x:c r="O575" s="8" t="n">
        <x:v>0</x:v>
      </x:c>
      <x:c r="P575" s="8" t="n">
        <x:v>11.74</x:v>
      </x:c>
      <x:c r="Q575" s="9" t="n">
        <x:v>714.0462000000001</x:v>
      </x:c>
      <x:c r="R575" s="1" t="str">
        <x:v>Review receipt reconciliation or original PO baseline</x:v>
      </x:c>
      <x:c r="S575" s="1" t="str">
        <x:v>Plastic Product Information.csv</x:v>
      </x:c>
    </x:row>
    <x:row r="576" ht="21" customHeight="1">
      <x:c r="A576" s="1" t="str">
        <x:v>PLAS</x:v>
      </x:c>
      <x:c r="B576" s="1" t="str">
        <x:v>10</x:v>
      </x:c>
      <x:c r="C576" s="1" t="str">
        <x:v>07815ROVBLU</x:v>
      </x:c>
      <x:c r="D576" s="1" t="str">
        <x:v>GOLDEN CHAMPION IND. LIMITED</x:v>
      </x:c>
      <x:c r="E576" s="7" t="n">
        <x:v>46303</x:v>
      </x:c>
      <x:c r="F576" s="8" t="n">
        <x:v>2480</x:v>
      </x:c>
      <x:c r="G576" s="8" t="n">
        <x:v>0</x:v>
      </x:c>
      <x:c r="H576" s="8" t="n">
        <x:v>6.64</x:v>
      </x:c>
      <x:c r="I576" s="8" t="n">
        <x:v>5.29</x:v>
      </x:c>
      <x:c r="J576" s="8" t="n">
        <x:v>100</x:v>
      </x:c>
      <x:c r="K576" s="8" t="n">
        <x:v>1.47</x:v>
      </x:c>
      <x:c r="L576" s="8" t="n">
        <x:v>0</x:v>
      </x:c>
      <x:c r="M576" s="8" t="n">
        <x:v>0</x:v>
      </x:c>
      <x:c r="N576" s="8" t="n">
        <x:v>2480</x:v>
      </x:c>
      <x:c r="O576" s="8" t="n">
        <x:v>0</x:v>
      </x:c>
      <x:c r="P576" s="8" t="n">
        <x:v>4.52</x:v>
      </x:c>
      <x:c r="Q576" s="9" t="n">
        <x:v>164.672</x:v>
      </x:c>
      <x:c r="R576" s="1" t="str">
        <x:v>Review receipt reconciliation or original PO baseline</x:v>
      </x:c>
      <x:c r="S576" s="1" t="str">
        <x:v>Plastic Product Information.csv</x:v>
      </x:c>
    </x:row>
    <x:row r="577" ht="21" customHeight="1">
      <x:c r="A577" s="1" t="str">
        <x:v>PLAS</x:v>
      </x:c>
      <x:c r="B577" s="1" t="str">
        <x:v>10</x:v>
      </x:c>
      <x:c r="C577" s="1" t="str">
        <x:v>07815ROVBRN</x:v>
      </x:c>
      <x:c r="D577" s="1" t="str">
        <x:v>GOLDEN CHAMPION IND. LIMITED</x:v>
      </x:c>
      <x:c r="E577" s="7" t="n">
        <x:v>46303</x:v>
      </x:c>
      <x:c r="F577" s="8" t="n">
        <x:v>2140</x:v>
      </x:c>
      <x:c r="G577" s="8" t="n">
        <x:v>0</x:v>
      </x:c>
      <x:c r="H577" s="8" t="n">
        <x:v>6.64</x:v>
      </x:c>
      <x:c r="I577" s="8" t="n">
        <x:v>5.29</x:v>
      </x:c>
      <x:c r="J577" s="8" t="n">
        <x:v>100</x:v>
      </x:c>
      <x:c r="K577" s="8" t="n">
        <x:v>1.47</x:v>
      </x:c>
      <x:c r="L577" s="8" t="n">
        <x:v>0</x:v>
      </x:c>
      <x:c r="M577" s="8" t="n">
        <x:v>0</x:v>
      </x:c>
      <x:c r="N577" s="8" t="n">
        <x:v>2140</x:v>
      </x:c>
      <x:c r="O577" s="8" t="n">
        <x:v>0</x:v>
      </x:c>
      <x:c r="P577" s="8" t="n">
        <x:v>4.52</x:v>
      </x:c>
      <x:c r="Q577" s="9" t="n">
        <x:v>142.09599999999998</x:v>
      </x:c>
      <x:c r="R577" s="1" t="str">
        <x:v>Review receipt reconciliation or original PO baseline</x:v>
      </x:c>
      <x:c r="S577" s="1" t="str">
        <x:v>Plastic Product Information.csv</x:v>
      </x:c>
    </x:row>
    <x:row r="578" ht="21" customHeight="1">
      <x:c r="A578" s="1" t="str">
        <x:v>PLAS</x:v>
      </x:c>
      <x:c r="B578" s="1" t="str">
        <x:v>10</x:v>
      </x:c>
      <x:c r="C578" s="1" t="str">
        <x:v>07815ROVFG</x:v>
      </x:c>
      <x:c r="D578" s="1" t="str">
        <x:v>GOLDEN CHAMPION IND. LIMITED</x:v>
      </x:c>
      <x:c r="E578" s="7" t="n">
        <x:v>46303</x:v>
      </x:c>
      <x:c r="F578" s="8" t="n">
        <x:v>1650</x:v>
      </x:c>
      <x:c r="G578" s="8" t="n">
        <x:v>0</x:v>
      </x:c>
      <x:c r="H578" s="8" t="n">
        <x:v>6.64</x:v>
      </x:c>
      <x:c r="I578" s="8" t="n">
        <x:v>5.29</x:v>
      </x:c>
      <x:c r="J578" s="8" t="n">
        <x:v>100</x:v>
      </x:c>
      <x:c r="K578" s="8" t="n">
        <x:v>1.47</x:v>
      </x:c>
      <x:c r="L578" s="8" t="n">
        <x:v>0</x:v>
      </x:c>
      <x:c r="M578" s="8" t="n">
        <x:v>0</x:v>
      </x:c>
      <x:c r="N578" s="8" t="n">
        <x:v>1650</x:v>
      </x:c>
      <x:c r="O578" s="8" t="n">
        <x:v>0</x:v>
      </x:c>
      <x:c r="P578" s="8" t="n">
        <x:v>4.52</x:v>
      </x:c>
      <x:c r="Q578" s="9" t="n">
        <x:v>109.56</x:v>
      </x:c>
      <x:c r="R578" s="1" t="str">
        <x:v>Review receipt reconciliation or original PO baseline</x:v>
      </x:c>
      <x:c r="S578" s="1" t="str">
        <x:v>Plastic Product Information.csv</x:v>
      </x:c>
    </x:row>
    <x:row r="579" ht="21" customHeight="1">
      <x:c r="A579" s="1" t="str">
        <x:v>PLAS</x:v>
      </x:c>
      <x:c r="B579" s="1" t="str">
        <x:v>10</x:v>
      </x:c>
      <x:c r="C579" s="1" t="str">
        <x:v>07815ROVMAR</x:v>
      </x:c>
      <x:c r="D579" s="1" t="str">
        <x:v>GOLDEN CHAMPION IND. LIMITED</x:v>
      </x:c>
      <x:c r="E579" s="7" t="n">
        <x:v>46303</x:v>
      </x:c>
      <x:c r="F579" s="8" t="n">
        <x:v>1890</x:v>
      </x:c>
      <x:c r="G579" s="8" t="n">
        <x:v>0</x:v>
      </x:c>
      <x:c r="H579" s="8" t="n">
        <x:v>6.64</x:v>
      </x:c>
      <x:c r="I579" s="8" t="n">
        <x:v>5.29</x:v>
      </x:c>
      <x:c r="J579" s="8" t="n">
        <x:v>100</x:v>
      </x:c>
      <x:c r="K579" s="8" t="n">
        <x:v>1.47</x:v>
      </x:c>
      <x:c r="L579" s="8" t="n">
        <x:v>0</x:v>
      </x:c>
      <x:c r="M579" s="8" t="n">
        <x:v>0</x:v>
      </x:c>
      <x:c r="N579" s="8" t="n">
        <x:v>1890</x:v>
      </x:c>
      <x:c r="O579" s="8" t="n">
        <x:v>0</x:v>
      </x:c>
      <x:c r="P579" s="8" t="n">
        <x:v>4.52</x:v>
      </x:c>
      <x:c r="Q579" s="9" t="n">
        <x:v>125.496</x:v>
      </x:c>
      <x:c r="R579" s="1" t="str">
        <x:v>Review receipt reconciliation or original PO baseline</x:v>
      </x:c>
      <x:c r="S579" s="1" t="str">
        <x:v>Plastic Product Information.csv</x:v>
      </x:c>
    </x:row>
    <x:row r="580" ht="21" customHeight="1">
      <x:c r="A580" s="1" t="str">
        <x:v>PLAS</x:v>
      </x:c>
      <x:c r="B580" s="1" t="str">
        <x:v>10</x:v>
      </x:c>
      <x:c r="C580" s="1" t="str">
        <x:v>07815ROVNAV</x:v>
      </x:c>
      <x:c r="D580" s="1" t="str">
        <x:v>GOLDEN CHAMPION IND. LIMITED</x:v>
      </x:c>
      <x:c r="E580" s="7" t="n">
        <x:v>46303</x:v>
      </x:c>
      <x:c r="F580" s="8" t="n">
        <x:v>1580</x:v>
      </x:c>
      <x:c r="G580" s="8" t="n">
        <x:v>0</x:v>
      </x:c>
      <x:c r="H580" s="8" t="n">
        <x:v>6.64</x:v>
      </x:c>
      <x:c r="I580" s="8" t="n">
        <x:v>5.29</x:v>
      </x:c>
      <x:c r="J580" s="8" t="n">
        <x:v>100</x:v>
      </x:c>
      <x:c r="K580" s="8" t="n">
        <x:v>1.47</x:v>
      </x:c>
      <x:c r="L580" s="8" t="n">
        <x:v>0</x:v>
      </x:c>
      <x:c r="M580" s="8" t="n">
        <x:v>0</x:v>
      </x:c>
      <x:c r="N580" s="8" t="n">
        <x:v>1580</x:v>
      </x:c>
      <x:c r="O580" s="8" t="n">
        <x:v>0</x:v>
      </x:c>
      <x:c r="P580" s="8" t="n">
        <x:v>4.52</x:v>
      </x:c>
      <x:c r="Q580" s="9" t="n">
        <x:v>104.91199999999999</x:v>
      </x:c>
      <x:c r="R580" s="1" t="str">
        <x:v>Review receipt reconciliation or original PO baseline</x:v>
      </x:c>
      <x:c r="S580" s="1" t="str">
        <x:v>Plastic Product Information.csv</x:v>
      </x:c>
    </x:row>
    <x:row r="581" ht="21" customHeight="1">
      <x:c r="A581" s="1" t="str">
        <x:v>PLAS</x:v>
      </x:c>
      <x:c r="B581" s="1" t="str">
        <x:v>10</x:v>
      </x:c>
      <x:c r="C581" s="1" t="str">
        <x:v>07815ROVRED</x:v>
      </x:c>
      <x:c r="D581" s="1" t="str">
        <x:v>GOLDEN CHAMPION IND. LIMITED</x:v>
      </x:c>
      <x:c r="E581" s="7" t="n">
        <x:v>46303</x:v>
      </x:c>
      <x:c r="F581" s="8" t="n">
        <x:v>1365</x:v>
      </x:c>
      <x:c r="G581" s="8" t="n">
        <x:v>0</x:v>
      </x:c>
      <x:c r="H581" s="8" t="n">
        <x:v>6.64</x:v>
      </x:c>
      <x:c r="I581" s="8" t="n">
        <x:v>5.29</x:v>
      </x:c>
      <x:c r="J581" s="8" t="n">
        <x:v>100</x:v>
      </x:c>
      <x:c r="K581" s="8" t="n">
        <x:v>1.47</x:v>
      </x:c>
      <x:c r="L581" s="8" t="n">
        <x:v>0</x:v>
      </x:c>
      <x:c r="M581" s="8" t="n">
        <x:v>0</x:v>
      </x:c>
      <x:c r="N581" s="8" t="n">
        <x:v>1365</x:v>
      </x:c>
      <x:c r="O581" s="8" t="n">
        <x:v>0</x:v>
      </x:c>
      <x:c r="P581" s="8" t="n">
        <x:v>4.52</x:v>
      </x:c>
      <x:c r="Q581" s="9" t="n">
        <x:v>90.63600000000001</x:v>
      </x:c>
      <x:c r="R581" s="1" t="str">
        <x:v>Review receipt reconciliation or original PO baseline</x:v>
      </x:c>
      <x:c r="S581" s="1" t="str">
        <x:v>Plastic Product Information.csv</x:v>
      </x:c>
    </x:row>
    <x:row r="582" ht="21" customHeight="1">
      <x:c r="A582" s="1" t="str">
        <x:v>PLAS</x:v>
      </x:c>
      <x:c r="B582" s="1" t="str">
        <x:v>10</x:v>
      </x:c>
      <x:c r="C582" s="1" t="str">
        <x:v>07815ROVWHT</x:v>
      </x:c>
      <x:c r="D582" s="1" t="str">
        <x:v>GOLDEN CHAMPION IND. LIMITED</x:v>
      </x:c>
      <x:c r="E582" s="7" t="n">
        <x:v>46303</x:v>
      </x:c>
      <x:c r="F582" s="8" t="n">
        <x:v>2210</x:v>
      </x:c>
      <x:c r="G582" s="8" t="n">
        <x:v>0</x:v>
      </x:c>
      <x:c r="H582" s="8" t="n">
        <x:v>6.64</x:v>
      </x:c>
      <x:c r="I582" s="8" t="n">
        <x:v>5.29</x:v>
      </x:c>
      <x:c r="J582" s="8" t="n">
        <x:v>100</x:v>
      </x:c>
      <x:c r="K582" s="8" t="n">
        <x:v>1.47</x:v>
      </x:c>
      <x:c r="L582" s="8" t="n">
        <x:v>0</x:v>
      </x:c>
      <x:c r="M582" s="8" t="n">
        <x:v>0</x:v>
      </x:c>
      <x:c r="N582" s="8" t="n">
        <x:v>2210</x:v>
      </x:c>
      <x:c r="O582" s="8" t="n">
        <x:v>0</x:v>
      </x:c>
      <x:c r="P582" s="8" t="n">
        <x:v>4.52</x:v>
      </x:c>
      <x:c r="Q582" s="9" t="n">
        <x:v>146.744</x:v>
      </x:c>
      <x:c r="R582" s="1" t="str">
        <x:v>Review receipt reconciliation or original PO baseline</x:v>
      </x:c>
      <x:c r="S582" s="1" t="str">
        <x:v>Plastic Product Information.csv</x:v>
      </x:c>
    </x:row>
    <x:row r="583" ht="21" customHeight="1">
      <x:c r="A583" s="1" t="str">
        <x:v>PLAS</x:v>
      </x:c>
      <x:c r="B583" s="1" t="str">
        <x:v>10</x:v>
      </x:c>
      <x:c r="C583" s="1" t="str">
        <x:v>07815RWBCLR</x:v>
      </x:c>
      <x:c r="D583" s="1" t="str">
        <x:v>GOLDEN CHAMPION IND. LIMITED</x:v>
      </x:c>
      <x:c r="E583" s="7" t="n">
        <x:v>46303</x:v>
      </x:c>
      <x:c r="F583" s="8" t="n">
        <x:v>1169</x:v>
      </x:c>
      <x:c r="G583" s="8" t="n">
        <x:v>0</x:v>
      </x:c>
      <x:c r="H583" s="8" t="n">
        <x:v>4.66</x:v>
      </x:c>
      <x:c r="I583" s="8" t="n">
        <x:v>4.28</x:v>
      </x:c>
      <x:c r="J583" s="8" t="n">
        <x:v>100</x:v>
      </x:c>
      <x:c r="K583" s="8" t="n">
        <x:v>1.47</x:v>
      </x:c>
      <x:c r="L583" s="8" t="n">
        <x:v>0</x:v>
      </x:c>
      <x:c r="M583" s="8" t="n">
        <x:v>0</x:v>
      </x:c>
      <x:c r="N583" s="8" t="n">
        <x:v>1169</x:v>
      </x:c>
      <x:c r="O583" s="8" t="n">
        <x:v>0</x:v>
      </x:c>
      <x:c r="P583" s="8" t="n">
        <x:v>3.66</x:v>
      </x:c>
      <x:c r="Q583" s="9" t="n">
        <x:v>54.4754</x:v>
      </x:c>
      <x:c r="R583" s="1" t="str">
        <x:v>Review receipt reconciliation or original PO baseline</x:v>
      </x:c>
      <x:c r="S583" s="1" t="str">
        <x:v>Plastic Product Information.csv</x:v>
      </x:c>
    </x:row>
    <x:row r="584" ht="21" customHeight="1">
      <x:c r="A584" s="1" t="str">
        <x:v>PLAS</x:v>
      </x:c>
      <x:c r="B584" s="1" t="str">
        <x:v>10</x:v>
      </x:c>
      <x:c r="C584" s="1" t="str">
        <x:v>07815RWBRED</x:v>
      </x:c>
      <x:c r="D584" s="1" t="str">
        <x:v>GOLDEN CHAMPION IND. LIMITED</x:v>
      </x:c>
      <x:c r="E584" s="7" t="n">
        <x:v>46303</x:v>
      </x:c>
      <x:c r="F584" s="8" t="n">
        <x:v>1700</x:v>
      </x:c>
      <x:c r="G584" s="8" t="n">
        <x:v>0</x:v>
      </x:c>
      <x:c r="H584" s="8" t="n">
        <x:v>4.66</x:v>
      </x:c>
      <x:c r="I584" s="8" t="n">
        <x:v>4.28</x:v>
      </x:c>
      <x:c r="J584" s="8" t="n">
        <x:v>100</x:v>
      </x:c>
      <x:c r="K584" s="8" t="n">
        <x:v>1.47</x:v>
      </x:c>
      <x:c r="L584" s="8" t="n">
        <x:v>0</x:v>
      </x:c>
      <x:c r="M584" s="8" t="n">
        <x:v>0</x:v>
      </x:c>
      <x:c r="N584" s="8" t="n">
        <x:v>1700</x:v>
      </x:c>
      <x:c r="O584" s="8" t="n">
        <x:v>0</x:v>
      </x:c>
      <x:c r="P584" s="8" t="n">
        <x:v>3.66</x:v>
      </x:c>
      <x:c r="Q584" s="9" t="n">
        <x:v>79.22</x:v>
      </x:c>
      <x:c r="R584" s="1" t="str">
        <x:v>Review receipt reconciliation or original PO baseline</x:v>
      </x:c>
      <x:c r="S584" s="1" t="str">
        <x:v>Plastic Product Information.csv</x:v>
      </x:c>
    </x:row>
    <x:row r="585" ht="21" customHeight="1">
      <x:c r="A585" s="1" t="str">
        <x:v>PLAS</x:v>
      </x:c>
      <x:c r="B585" s="1" t="str">
        <x:v>10</x:v>
      </x:c>
      <x:c r="C585" s="1" t="str">
        <x:v>07821RWBWHT</x:v>
      </x:c>
      <x:c r="D585" s="1" t="str">
        <x:v>GOLDEN CHAMPION IND. LIMITED</x:v>
      </x:c>
      <x:c r="E585" s="7" t="n">
        <x:v>46303</x:v>
      </x:c>
      <x:c r="F585" s="8" t="n">
        <x:v>2150</x:v>
      </x:c>
      <x:c r="G585" s="8" t="n">
        <x:v>0</x:v>
      </x:c>
      <x:c r="H585" s="8" t="n">
        <x:v>7.59</x:v>
      </x:c>
      <x:c r="I585" s="8" t="n">
        <x:v>6.04</x:v>
      </x:c>
      <x:c r="J585" s="8" t="n">
        <x:v>100</x:v>
      </x:c>
      <x:c r="K585" s="8" t="n">
        <x:v>1.47</x:v>
      </x:c>
      <x:c r="L585" s="8" t="n">
        <x:v>2150</x:v>
      </x:c>
      <x:c r="M585" s="8" t="n">
        <x:v>0</x:v>
      </x:c>
      <x:c r="N585" s="8" t="n">
        <x:v>0</x:v>
      </x:c>
      <x:c r="O585" s="8" t="n">
        <x:v>1</x:v>
      </x:c>
      <x:c r="P585" s="8" t="n">
        <x:v>5.16</x:v>
      </x:c>
      <x:c r="Q585" s="9" t="n">
        <x:v>163.185</x:v>
      </x:c>
      <x:c r="R585" s="1" t="str">
        <x:v>Classified</x:v>
      </x:c>
      <x:c r="S585" s="1" t="str">
        <x:v>Plastic Product Information.csv</x:v>
      </x:c>
    </x:row>
    <x:row r="586" ht="21" customHeight="1">
      <x:c r="A586" s="1" t="str">
        <x:v>PLAS</x:v>
      </x:c>
      <x:c r="B586" s="1" t="str">
        <x:v>10</x:v>
      </x:c>
      <x:c r="C586" s="1" t="str">
        <x:v>07880RWBBLK</x:v>
      </x:c>
      <x:c r="D586" s="1" t="str">
        <x:v>GOLDEN CHAMPION IND. LIMITED</x:v>
      </x:c>
      <x:c r="E586" s="7" t="n">
        <x:v>46303</x:v>
      </x:c>
      <x:c r="F586" s="8" t="n">
        <x:v>1523</x:v>
      </x:c>
      <x:c r="G586" s="8" t="n">
        <x:v>0</x:v>
      </x:c>
      <x:c r="H586" s="8" t="n">
        <x:v>29.62</x:v>
      </x:c>
      <x:c r="I586" s="8" t="n">
        <x:v>23.58</x:v>
      </x:c>
      <x:c r="J586" s="8" t="n">
        <x:v>100</x:v>
      </x:c>
      <x:c r="K586" s="8" t="n">
        <x:v>1.47</x:v>
      </x:c>
      <x:c r="L586" s="8" t="n">
        <x:v>1223</x:v>
      </x:c>
      <x:c r="M586" s="8" t="n">
        <x:v>300</x:v>
      </x:c>
      <x:c r="N586" s="8" t="n">
        <x:v>0</x:v>
      </x:c>
      <x:c r="O586" s="8" t="n">
        <x:v>1</x:v>
      </x:c>
      <x:c r="P586" s="8" t="n">
        <x:v>20.15</x:v>
      </x:c>
      <x:c r="Q586" s="9" t="n">
        <x:v>451.11260000000004</x:v>
      </x:c>
      <x:c r="R586" s="1" t="str">
        <x:v>Classified</x:v>
      </x:c>
      <x:c r="S586" s="1" t="str">
        <x:v>Plastic Product Information.csv</x:v>
      </x:c>
    </x:row>
    <x:row r="587" ht="21" customHeight="1">
      <x:c r="A587" s="1" t="str">
        <x:v>PLAS</x:v>
      </x:c>
      <x:c r="B587" s="1" t="str">
        <x:v>10</x:v>
      </x:c>
      <x:c r="C587" s="1" t="str">
        <x:v>07880RWBBLU</x:v>
      </x:c>
      <x:c r="D587" s="1" t="str">
        <x:v>GOLDEN CHAMPION IND. LIMITED</x:v>
      </x:c>
      <x:c r="E587" s="7" t="n">
        <x:v>46303</x:v>
      </x:c>
      <x:c r="F587" s="8" t="n">
        <x:v>447</x:v>
      </x:c>
      <x:c r="G587" s="8" t="n">
        <x:v>0</x:v>
      </x:c>
      <x:c r="H587" s="8" t="n">
        <x:v>23.81</x:v>
      </x:c>
      <x:c r="I587" s="8" t="n">
        <x:v>0</x:v>
      </x:c>
      <x:c r="J587" s="8" t="n">
        <x:v>100</x:v>
      </x:c>
      <x:c r="K587" s="8" t="n">
        <x:v>1.47</x:v>
      </x:c>
      <x:c r="L587" s="8" t="n">
        <x:v>0</x:v>
      </x:c>
      <x:c r="M587" s="8" t="n">
        <x:v>0</x:v>
      </x:c>
      <x:c r="N587" s="8" t="n">
        <x:v>447</x:v>
      </x:c>
      <x:c r="O587" s="8" t="n">
        <x:v>0</x:v>
      </x:c>
      <x:c r="P587" s="8"/>
      <x:c r="Q587" s="9" t="n">
        <x:v>106.4307</x:v>
      </x:c>
      <x:c r="R587" s="1" t="str">
        <x:v>Review receipt reconciliation or original PO baseline</x:v>
      </x:c>
      <x:c r="S587" s="1" t="str">
        <x:v>Plastic Product Information.csv</x:v>
      </x:c>
    </x:row>
    <x:row r="588" ht="21" customHeight="1">
      <x:c r="A588" s="1" t="str">
        <x:v>PLAS</x:v>
      </x:c>
      <x:c r="B588" s="1" t="str">
        <x:v>10</x:v>
      </x:c>
      <x:c r="C588" s="1" t="str">
        <x:v>07880RWBCLR</x:v>
      </x:c>
      <x:c r="D588" s="1" t="str">
        <x:v>GOLDEN CHAMPION IND. LIMITED</x:v>
      </x:c>
      <x:c r="E588" s="7" t="n">
        <x:v>46303</x:v>
      </x:c>
      <x:c r="F588" s="8" t="n">
        <x:v>561</x:v>
      </x:c>
      <x:c r="G588" s="8" t="n">
        <x:v>0</x:v>
      </x:c>
      <x:c r="H588" s="8" t="n">
        <x:v>29.62</x:v>
      </x:c>
      <x:c r="I588" s="8" t="n">
        <x:v>23.58</x:v>
      </x:c>
      <x:c r="J588" s="8" t="n">
        <x:v>100</x:v>
      </x:c>
      <x:c r="K588" s="8" t="n">
        <x:v>1.47</x:v>
      </x:c>
      <x:c r="L588" s="8" t="n">
        <x:v>561</x:v>
      </x:c>
      <x:c r="M588" s="8" t="n">
        <x:v>0</x:v>
      </x:c>
      <x:c r="N588" s="8" t="n">
        <x:v>0</x:v>
      </x:c>
      <x:c r="O588" s="8" t="n">
        <x:v>1</x:v>
      </x:c>
      <x:c r="P588" s="8" t="n">
        <x:v>20.15</x:v>
      </x:c>
      <x:c r="Q588" s="9" t="n">
        <x:v>166.1682</x:v>
      </x:c>
      <x:c r="R588" s="1" t="str">
        <x:v>Classified</x:v>
      </x:c>
      <x:c r="S588" s="1" t="str">
        <x:v>Plastic Product Information.csv</x:v>
      </x:c>
    </x:row>
    <x:row r="589" ht="21" customHeight="1">
      <x:c r="A589" s="1" t="str">
        <x:v>PLAS</x:v>
      </x:c>
      <x:c r="B589" s="1" t="str">
        <x:v>10</x:v>
      </x:c>
      <x:c r="C589" s="1" t="str">
        <x:v>07880RWBFG</x:v>
      </x:c>
      <x:c r="D589" s="1" t="str">
        <x:v>GOLDEN CHAMPION IND. LIMITED</x:v>
      </x:c>
      <x:c r="E589" s="7" t="n">
        <x:v>46303</x:v>
      </x:c>
      <x:c r="F589" s="8" t="n">
        <x:v>528</x:v>
      </x:c>
      <x:c r="G589" s="8" t="n">
        <x:v>0</x:v>
      </x:c>
      <x:c r="H589" s="8" t="n">
        <x:v>29.62</x:v>
      </x:c>
      <x:c r="I589" s="8" t="n">
        <x:v>23.58</x:v>
      </x:c>
      <x:c r="J589" s="8" t="n">
        <x:v>100</x:v>
      </x:c>
      <x:c r="K589" s="8" t="n">
        <x:v>1.47</x:v>
      </x:c>
      <x:c r="L589" s="8" t="n">
        <x:v>528</x:v>
      </x:c>
      <x:c r="M589" s="8" t="n">
        <x:v>0</x:v>
      </x:c>
      <x:c r="N589" s="8" t="n">
        <x:v>0</x:v>
      </x:c>
      <x:c r="O589" s="8" t="n">
        <x:v>1</x:v>
      </x:c>
      <x:c r="P589" s="8" t="n">
        <x:v>20.15</x:v>
      </x:c>
      <x:c r="Q589" s="9" t="n">
        <x:v>156.39360000000002</x:v>
      </x:c>
      <x:c r="R589" s="1" t="str">
        <x:v>Classified</x:v>
      </x:c>
      <x:c r="S589" s="1" t="str">
        <x:v>Plastic Product Information.csv</x:v>
      </x:c>
    </x:row>
    <x:row r="590" ht="21" customHeight="1">
      <x:c r="A590" s="1" t="str">
        <x:v>PLAS</x:v>
      </x:c>
      <x:c r="B590" s="1" t="str">
        <x:v>10</x:v>
      </x:c>
      <x:c r="C590" s="1" t="str">
        <x:v>07880RWBMAR</x:v>
      </x:c>
      <x:c r="D590" s="1" t="str">
        <x:v>GOLDEN CHAMPION IND. LIMITED</x:v>
      </x:c>
      <x:c r="E590" s="7" t="n">
        <x:v>46303</x:v>
      </x:c>
      <x:c r="F590" s="8" t="n">
        <x:v>668</x:v>
      </x:c>
      <x:c r="G590" s="8" t="n">
        <x:v>0</x:v>
      </x:c>
      <x:c r="H590" s="8" t="n">
        <x:v>23.81</x:v>
      </x:c>
      <x:c r="I590" s="8" t="n">
        <x:v>23.58</x:v>
      </x:c>
      <x:c r="J590" s="8" t="n">
        <x:v>100</x:v>
      </x:c>
      <x:c r="K590" s="8" t="n">
        <x:v>1.47</x:v>
      </x:c>
      <x:c r="L590" s="8" t="n">
        <x:v>0</x:v>
      </x:c>
      <x:c r="M590" s="8" t="n">
        <x:v>0</x:v>
      </x:c>
      <x:c r="N590" s="8" t="n">
        <x:v>668</x:v>
      </x:c>
      <x:c r="O590" s="8" t="n">
        <x:v>0</x:v>
      </x:c>
      <x:c r="P590" s="8" t="n">
        <x:v>20.15</x:v>
      </x:c>
      <x:c r="Q590" s="9" t="n">
        <x:v>159.0508</x:v>
      </x:c>
      <x:c r="R590" s="1" t="str">
        <x:v>Review receipt reconciliation or original PO baseline</x:v>
      </x:c>
      <x:c r="S590" s="1" t="str">
        <x:v>Plastic Product Information.csv</x:v>
      </x:c>
    </x:row>
    <x:row r="591" ht="21" customHeight="1">
      <x:c r="A591" s="1" t="str">
        <x:v>PLAS</x:v>
      </x:c>
      <x:c r="B591" s="1" t="str">
        <x:v>10</x:v>
      </x:c>
      <x:c r="C591" s="1" t="str">
        <x:v>07880RWBNAV</x:v>
      </x:c>
      <x:c r="D591" s="1" t="str">
        <x:v>GOLDEN CHAMPION IND. LIMITED</x:v>
      </x:c>
      <x:c r="E591" s="7" t="n">
        <x:v>46303</x:v>
      </x:c>
      <x:c r="F591" s="8" t="n">
        <x:v>1097</x:v>
      </x:c>
      <x:c r="G591" s="8" t="n">
        <x:v>0</x:v>
      </x:c>
      <x:c r="H591" s="8" t="n">
        <x:v>29.62</x:v>
      </x:c>
      <x:c r="I591" s="8" t="n">
        <x:v>23.58</x:v>
      </x:c>
      <x:c r="J591" s="8" t="n">
        <x:v>100</x:v>
      </x:c>
      <x:c r="K591" s="8" t="n">
        <x:v>1.47</x:v>
      </x:c>
      <x:c r="L591" s="8" t="n">
        <x:v>1097</x:v>
      </x:c>
      <x:c r="M591" s="8" t="n">
        <x:v>0</x:v>
      </x:c>
      <x:c r="N591" s="8" t="n">
        <x:v>0</x:v>
      </x:c>
      <x:c r="O591" s="8" t="n">
        <x:v>1</x:v>
      </x:c>
      <x:c r="P591" s="8" t="n">
        <x:v>20.15</x:v>
      </x:c>
      <x:c r="Q591" s="9" t="n">
        <x:v>324.9314</x:v>
      </x:c>
      <x:c r="R591" s="1" t="str">
        <x:v>Classified</x:v>
      </x:c>
      <x:c r="S591" s="1" t="str">
        <x:v>Plastic Product Information.csv</x:v>
      </x:c>
    </x:row>
    <x:row r="592" ht="21" customHeight="1">
      <x:c r="A592" s="1" t="str">
        <x:v>PLAS</x:v>
      </x:c>
      <x:c r="B592" s="1" t="str">
        <x:v>10</x:v>
      </x:c>
      <x:c r="C592" s="1" t="str">
        <x:v>07880RWBRED</x:v>
      </x:c>
      <x:c r="D592" s="1" t="str">
        <x:v>GOLDEN CHAMPION IND. LIMITED</x:v>
      </x:c>
      <x:c r="E592" s="7" t="n">
        <x:v>46303</x:v>
      </x:c>
      <x:c r="F592" s="8" t="n">
        <x:v>646</x:v>
      </x:c>
      <x:c r="G592" s="8" t="n">
        <x:v>0</x:v>
      </x:c>
      <x:c r="H592" s="8" t="n">
        <x:v>23.81</x:v>
      </x:c>
      <x:c r="I592" s="8" t="n">
        <x:v>0</x:v>
      </x:c>
      <x:c r="J592" s="8" t="n">
        <x:v>100</x:v>
      </x:c>
      <x:c r="K592" s="8" t="n">
        <x:v>1.47</x:v>
      </x:c>
      <x:c r="L592" s="8" t="n">
        <x:v>0</x:v>
      </x:c>
      <x:c r="M592" s="8" t="n">
        <x:v>0</x:v>
      </x:c>
      <x:c r="N592" s="8" t="n">
        <x:v>646</x:v>
      </x:c>
      <x:c r="O592" s="8" t="n">
        <x:v>0</x:v>
      </x:c>
      <x:c r="P592" s="8"/>
      <x:c r="Q592" s="9" t="n">
        <x:v>153.81259999999997</x:v>
      </x:c>
      <x:c r="R592" s="1" t="str">
        <x:v>Review receipt reconciliation or original PO baseline</x:v>
      </x:c>
      <x:c r="S592" s="1" t="str">
        <x:v>Plastic Product Information.csv</x:v>
      </x:c>
    </x:row>
    <x:row r="593" ht="21" customHeight="1">
      <x:c r="A593" s="1" t="str">
        <x:v>PLAS</x:v>
      </x:c>
      <x:c r="B593" s="1" t="str">
        <x:v>10</x:v>
      </x:c>
      <x:c r="C593" s="1" t="str">
        <x:v>07880RWBWHT</x:v>
      </x:c>
      <x:c r="D593" s="1" t="str">
        <x:v>GOLDEN CHAMPION IND. LIMITED</x:v>
      </x:c>
      <x:c r="E593" s="7" t="n">
        <x:v>46303</x:v>
      </x:c>
      <x:c r="F593" s="8" t="n">
        <x:v>1370</x:v>
      </x:c>
      <x:c r="G593" s="8" t="n">
        <x:v>0</x:v>
      </x:c>
      <x:c r="H593" s="8" t="n">
        <x:v>29.62</x:v>
      </x:c>
      <x:c r="I593" s="8" t="n">
        <x:v>23.58</x:v>
      </x:c>
      <x:c r="J593" s="8" t="n">
        <x:v>100</x:v>
      </x:c>
      <x:c r="K593" s="8" t="n">
        <x:v>1.47</x:v>
      </x:c>
      <x:c r="L593" s="8" t="n">
        <x:v>470</x:v>
      </x:c>
      <x:c r="M593" s="8" t="n">
        <x:v>900</x:v>
      </x:c>
      <x:c r="N593" s="8" t="n">
        <x:v>0</x:v>
      </x:c>
      <x:c r="O593" s="8" t="n">
        <x:v>1</x:v>
      </x:c>
      <x:c r="P593" s="8" t="n">
        <x:v>20.15</x:v>
      </x:c>
      <x:c r="Q593" s="9" t="n">
        <x:v>405.79400000000004</x:v>
      </x:c>
      <x:c r="R593" s="1" t="str">
        <x:v>Classified</x:v>
      </x:c>
      <x:c r="S593" s="1" t="str">
        <x:v>Plastic Product Information.csv</x:v>
      </x:c>
    </x:row>
    <x:row r="594" ht="21" customHeight="1">
      <x:c r="A594" s="1" t="str">
        <x:v>PLAS</x:v>
      </x:c>
      <x:c r="B594" s="1" t="str">
        <x:v>10</x:v>
      </x:c>
      <x:c r="C594" s="1" t="str">
        <x:v>11215ROVBLU</x:v>
      </x:c>
      <x:c r="D594" s="1" t="str">
        <x:v>GOLDEN CHAMPION IND. LIMITED</x:v>
      </x:c>
      <x:c r="E594" s="7" t="n">
        <x:v>46303</x:v>
      </x:c>
      <x:c r="F594" s="8" t="n">
        <x:v>1500</x:v>
      </x:c>
      <x:c r="G594" s="8" t="n">
        <x:v>0</x:v>
      </x:c>
      <x:c r="H594" s="8" t="n">
        <x:v>9.28</x:v>
      </x:c>
      <x:c r="I594" s="8" t="n">
        <x:v>7.38</x:v>
      </x:c>
      <x:c r="J594" s="8" t="n">
        <x:v>100</x:v>
      </x:c>
      <x:c r="K594" s="8" t="n">
        <x:v>1.47</x:v>
      </x:c>
      <x:c r="L594" s="8" t="n">
        <x:v>0</x:v>
      </x:c>
      <x:c r="M594" s="8" t="n">
        <x:v>0</x:v>
      </x:c>
      <x:c r="N594" s="8" t="n">
        <x:v>1500</x:v>
      </x:c>
      <x:c r="O594" s="8" t="n">
        <x:v>0</x:v>
      </x:c>
      <x:c r="P594" s="8" t="n">
        <x:v>6.31</x:v>
      </x:c>
      <x:c r="Q594" s="9" t="n">
        <x:v>139.2</x:v>
      </x:c>
      <x:c r="R594" s="1" t="str">
        <x:v>Review receipt reconciliation or original PO baseline</x:v>
      </x:c>
      <x:c r="S594" s="1" t="str">
        <x:v>Plastic Product Information.csv</x:v>
      </x:c>
    </x:row>
    <x:row r="595" ht="21" customHeight="1">
      <x:c r="A595" s="1" t="str">
        <x:v>PLAS</x:v>
      </x:c>
      <x:c r="B595" s="1" t="str">
        <x:v>10</x:v>
      </x:c>
      <x:c r="C595" s="1" t="str">
        <x:v>11215ROVMAR</x:v>
      </x:c>
      <x:c r="D595" s="1" t="str">
        <x:v>GOLDEN CHAMPION IND. LIMITED</x:v>
      </x:c>
      <x:c r="E595" s="7" t="n">
        <x:v>46303</x:v>
      </x:c>
      <x:c r="F595" s="8" t="n">
        <x:v>2000</x:v>
      </x:c>
      <x:c r="G595" s="8" t="n">
        <x:v>0</x:v>
      </x:c>
      <x:c r="H595" s="8" t="n">
        <x:v>9.28</x:v>
      </x:c>
      <x:c r="I595" s="8" t="n">
        <x:v>7.38</x:v>
      </x:c>
      <x:c r="J595" s="8" t="n">
        <x:v>100</x:v>
      </x:c>
      <x:c r="K595" s="8" t="n">
        <x:v>1.47</x:v>
      </x:c>
      <x:c r="L595" s="8" t="n">
        <x:v>0</x:v>
      </x:c>
      <x:c r="M595" s="8" t="n">
        <x:v>0</x:v>
      </x:c>
      <x:c r="N595" s="8" t="n">
        <x:v>2000</x:v>
      </x:c>
      <x:c r="O595" s="8" t="n">
        <x:v>0</x:v>
      </x:c>
      <x:c r="P595" s="8" t="n">
        <x:v>6.31</x:v>
      </x:c>
      <x:c r="Q595" s="9" t="n">
        <x:v>185.6</x:v>
      </x:c>
      <x:c r="R595" s="1" t="str">
        <x:v>Review receipt reconciliation or original PO baseline</x:v>
      </x:c>
      <x:c r="S595" s="1" t="str">
        <x:v>Plastic Product Information.csv</x:v>
      </x:c>
    </x:row>
    <x:row r="596" ht="21" customHeight="1">
      <x:c r="A596" s="1" t="str">
        <x:v>PLAS</x:v>
      </x:c>
      <x:c r="B596" s="1" t="str">
        <x:v>10</x:v>
      </x:c>
      <x:c r="C596" s="1" t="str">
        <x:v>11215ROVRED</x:v>
      </x:c>
      <x:c r="D596" s="1" t="str">
        <x:v>GOLDEN CHAMPION IND. LIMITED</x:v>
      </x:c>
      <x:c r="E596" s="7" t="n">
        <x:v>46303</x:v>
      </x:c>
      <x:c r="F596" s="8" t="n">
        <x:v>2060</x:v>
      </x:c>
      <x:c r="G596" s="8" t="n">
        <x:v>0</x:v>
      </x:c>
      <x:c r="H596" s="8" t="n">
        <x:v>9.28</x:v>
      </x:c>
      <x:c r="I596" s="8" t="n">
        <x:v>7.38</x:v>
      </x:c>
      <x:c r="J596" s="8" t="n">
        <x:v>100</x:v>
      </x:c>
      <x:c r="K596" s="8" t="n">
        <x:v>1.47</x:v>
      </x:c>
      <x:c r="L596" s="8" t="n">
        <x:v>0</x:v>
      </x:c>
      <x:c r="M596" s="8" t="n">
        <x:v>0</x:v>
      </x:c>
      <x:c r="N596" s="8" t="n">
        <x:v>2060</x:v>
      </x:c>
      <x:c r="O596" s="8" t="n">
        <x:v>0</x:v>
      </x:c>
      <x:c r="P596" s="8" t="n">
        <x:v>6.31</x:v>
      </x:c>
      <x:c r="Q596" s="9" t="n">
        <x:v>191.168</x:v>
      </x:c>
      <x:c r="R596" s="1" t="str">
        <x:v>Review receipt reconciliation or original PO baseline</x:v>
      </x:c>
      <x:c r="S596" s="1" t="str">
        <x:v>Plastic Product Information.csv</x:v>
      </x:c>
    </x:row>
    <x:row r="597" ht="21" customHeight="1">
      <x:c r="A597" s="1" t="str">
        <x:v>PLAS</x:v>
      </x:c>
      <x:c r="B597" s="1" t="str">
        <x:v>10</x:v>
      </x:c>
      <x:c r="C597" s="1" t="str">
        <x:v>11215RSLBLU</x:v>
      </x:c>
      <x:c r="D597" s="1" t="str">
        <x:v>GOLDEN CHAMPION IND. LIMITED</x:v>
      </x:c>
      <x:c r="E597" s="7" t="n">
        <x:v>46303</x:v>
      </x:c>
      <x:c r="F597" s="8" t="n">
        <x:v>1000</x:v>
      </x:c>
      <x:c r="G597" s="8" t="n">
        <x:v>0</x:v>
      </x:c>
      <x:c r="H597" s="8" t="n">
        <x:v>7.01</x:v>
      </x:c>
      <x:c r="I597" s="8" t="n">
        <x:v>7.06</x:v>
      </x:c>
      <x:c r="J597" s="8" t="n">
        <x:v>100</x:v>
      </x:c>
      <x:c r="K597" s="8" t="n">
        <x:v>1.47</x:v>
      </x:c>
      <x:c r="L597" s="8" t="n">
        <x:v>0</x:v>
      </x:c>
      <x:c r="M597" s="8" t="n">
        <x:v>0</x:v>
      </x:c>
      <x:c r="N597" s="8" t="n">
        <x:v>1000</x:v>
      </x:c>
      <x:c r="O597" s="8" t="n">
        <x:v>0</x:v>
      </x:c>
      <x:c r="P597" s="8" t="n">
        <x:v>6.03</x:v>
      </x:c>
      <x:c r="Q597" s="9" t="n">
        <x:v>70.10000000000001</x:v>
      </x:c>
      <x:c r="R597" s="1" t="str">
        <x:v>Review receipt reconciliation or original PO baseline</x:v>
      </x:c>
      <x:c r="S597" s="1" t="str">
        <x:v>Plastic Product Information.csv</x:v>
      </x:c>
    </x:row>
    <x:row r="598" ht="21" customHeight="1">
      <x:c r="A598" s="1" t="str">
        <x:v>PLAS</x:v>
      </x:c>
      <x:c r="B598" s="1" t="str">
        <x:v>10</x:v>
      </x:c>
      <x:c r="C598" s="1" t="str">
        <x:v>11215RSLBRN</x:v>
      </x:c>
      <x:c r="D598" s="1" t="str">
        <x:v>GOLDEN CHAMPION IND. LIMITED</x:v>
      </x:c>
      <x:c r="E598" s="7" t="n">
        <x:v>46303</x:v>
      </x:c>
      <x:c r="F598" s="8" t="n">
        <x:v>3500</x:v>
      </x:c>
      <x:c r="G598" s="8" t="n">
        <x:v>0</x:v>
      </x:c>
      <x:c r="H598" s="8" t="n">
        <x:v>7.01</x:v>
      </x:c>
      <x:c r="I598" s="8" t="n">
        <x:v>0</x:v>
      </x:c>
      <x:c r="J598" s="8" t="n">
        <x:v>100</x:v>
      </x:c>
      <x:c r="K598" s="8" t="n">
        <x:v>1.47</x:v>
      </x:c>
      <x:c r="L598" s="8" t="n">
        <x:v>0</x:v>
      </x:c>
      <x:c r="M598" s="8" t="n">
        <x:v>0</x:v>
      </x:c>
      <x:c r="N598" s="8" t="n">
        <x:v>3500</x:v>
      </x:c>
      <x:c r="O598" s="8" t="n">
        <x:v>0</x:v>
      </x:c>
      <x:c r="P598" s="8"/>
      <x:c r="Q598" s="9" t="n">
        <x:v>245.35</x:v>
      </x:c>
      <x:c r="R598" s="1" t="str">
        <x:v>Review receipt reconciliation or original PO baseline</x:v>
      </x:c>
      <x:c r="S598" s="1" t="str">
        <x:v>Plastic Product Information.csv</x:v>
      </x:c>
    </x:row>
    <x:row r="599" ht="21" customHeight="1">
      <x:c r="A599" s="1" t="str">
        <x:v>PLAS</x:v>
      </x:c>
      <x:c r="B599" s="1" t="str">
        <x:v>10</x:v>
      </x:c>
      <x:c r="C599" s="1" t="str">
        <x:v>11215RSLFG</x:v>
      </x:c>
      <x:c r="D599" s="1" t="str">
        <x:v>GOLDEN CHAMPION IND. LIMITED</x:v>
      </x:c>
      <x:c r="E599" s="7" t="n">
        <x:v>46303</x:v>
      </x:c>
      <x:c r="F599" s="8" t="n">
        <x:v>700</x:v>
      </x:c>
      <x:c r="G599" s="8" t="n">
        <x:v>0</x:v>
      </x:c>
      <x:c r="H599" s="8" t="n">
        <x:v>7.01</x:v>
      </x:c>
      <x:c r="I599" s="8" t="n">
        <x:v>7.06</x:v>
      </x:c>
      <x:c r="J599" s="8" t="n">
        <x:v>100</x:v>
      </x:c>
      <x:c r="K599" s="8" t="n">
        <x:v>1.47</x:v>
      </x:c>
      <x:c r="L599" s="8" t="n">
        <x:v>0</x:v>
      </x:c>
      <x:c r="M599" s="8" t="n">
        <x:v>0</x:v>
      </x:c>
      <x:c r="N599" s="8" t="n">
        <x:v>700</x:v>
      </x:c>
      <x:c r="O599" s="8" t="n">
        <x:v>0</x:v>
      </x:c>
      <x:c r="P599" s="8" t="n">
        <x:v>6.03</x:v>
      </x:c>
      <x:c r="Q599" s="9" t="n">
        <x:v>49.07</x:v>
      </x:c>
      <x:c r="R599" s="1" t="str">
        <x:v>Review receipt reconciliation or original PO baseline</x:v>
      </x:c>
      <x:c r="S599" s="1" t="str">
        <x:v>Plastic Product Information.csv</x:v>
      </x:c>
    </x:row>
    <x:row r="600" ht="21" customHeight="1">
      <x:c r="A600" s="1" t="str">
        <x:v>PLAS</x:v>
      </x:c>
      <x:c r="B600" s="1" t="str">
        <x:v>10</x:v>
      </x:c>
      <x:c r="C600" s="1" t="str">
        <x:v>11215RSLMAR</x:v>
      </x:c>
      <x:c r="D600" s="1" t="str">
        <x:v>GOLDEN CHAMPION IND. LIMITED</x:v>
      </x:c>
      <x:c r="E600" s="7" t="n">
        <x:v>46303</x:v>
      </x:c>
      <x:c r="F600" s="8" t="n">
        <x:v>600</x:v>
      </x:c>
      <x:c r="G600" s="8" t="n">
        <x:v>0</x:v>
      </x:c>
      <x:c r="H600" s="8" t="n">
        <x:v>8.86</x:v>
      </x:c>
      <x:c r="I600" s="8" t="n">
        <x:v>7.06</x:v>
      </x:c>
      <x:c r="J600" s="8" t="n">
        <x:v>100</x:v>
      </x:c>
      <x:c r="K600" s="8" t="n">
        <x:v>1.47</x:v>
      </x:c>
      <x:c r="L600" s="8" t="n">
        <x:v>0</x:v>
      </x:c>
      <x:c r="M600" s="8" t="n">
        <x:v>0</x:v>
      </x:c>
      <x:c r="N600" s="8" t="n">
        <x:v>600</x:v>
      </x:c>
      <x:c r="O600" s="8" t="n">
        <x:v>0</x:v>
      </x:c>
      <x:c r="P600" s="8" t="n">
        <x:v>6.03</x:v>
      </x:c>
      <x:c r="Q600" s="9" t="n">
        <x:v>53.160000000000004</x:v>
      </x:c>
      <x:c r="R600" s="1" t="str">
        <x:v>Review receipt reconciliation or original PO baseline</x:v>
      </x:c>
      <x:c r="S600" s="1" t="str">
        <x:v>Plastic Product Information.csv</x:v>
      </x:c>
    </x:row>
    <x:row r="601" ht="21" customHeight="1">
      <x:c r="A601" s="1" t="str">
        <x:v>PLAS</x:v>
      </x:c>
      <x:c r="B601" s="1" t="str">
        <x:v>10</x:v>
      </x:c>
      <x:c r="C601" s="1" t="str">
        <x:v>11215RSLNAV</x:v>
      </x:c>
      <x:c r="D601" s="1" t="str">
        <x:v>GOLDEN CHAMPION IND. LIMITED</x:v>
      </x:c>
      <x:c r="E601" s="7" t="n">
        <x:v>46303</x:v>
      </x:c>
      <x:c r="F601" s="8" t="n">
        <x:v>850</x:v>
      </x:c>
      <x:c r="G601" s="8" t="n">
        <x:v>0</x:v>
      </x:c>
      <x:c r="H601" s="8" t="n">
        <x:v>7.01</x:v>
      </x:c>
      <x:c r="I601" s="8" t="n">
        <x:v>7.06</x:v>
      </x:c>
      <x:c r="J601" s="8" t="n">
        <x:v>100</x:v>
      </x:c>
      <x:c r="K601" s="8" t="n">
        <x:v>1.47</x:v>
      </x:c>
      <x:c r="L601" s="8" t="n">
        <x:v>0</x:v>
      </x:c>
      <x:c r="M601" s="8" t="n">
        <x:v>0</x:v>
      </x:c>
      <x:c r="N601" s="8" t="n">
        <x:v>850</x:v>
      </x:c>
      <x:c r="O601" s="8" t="n">
        <x:v>0</x:v>
      </x:c>
      <x:c r="P601" s="8" t="n">
        <x:v>6.03</x:v>
      </x:c>
      <x:c r="Q601" s="9" t="n">
        <x:v>59.585</x:v>
      </x:c>
      <x:c r="R601" s="1" t="str">
        <x:v>Review receipt reconciliation or original PO baseline</x:v>
      </x:c>
      <x:c r="S601" s="1" t="str">
        <x:v>Plastic Product Information.csv</x:v>
      </x:c>
    </x:row>
    <x:row r="602" ht="21" customHeight="1">
      <x:c r="A602" s="1" t="str">
        <x:v>PLAS</x:v>
      </x:c>
      <x:c r="B602" s="1" t="str">
        <x:v>10</x:v>
      </x:c>
      <x:c r="C602" s="1" t="str">
        <x:v>11215RSLRED</x:v>
      </x:c>
      <x:c r="D602" s="1" t="str">
        <x:v>GOLDEN CHAMPION IND. LIMITED</x:v>
      </x:c>
      <x:c r="E602" s="7" t="n">
        <x:v>46303</x:v>
      </x:c>
      <x:c r="F602" s="8" t="n">
        <x:v>1000</x:v>
      </x:c>
      <x:c r="G602" s="8" t="n">
        <x:v>0</x:v>
      </x:c>
      <x:c r="H602" s="8" t="n">
        <x:v>7.01</x:v>
      </x:c>
      <x:c r="I602" s="8" t="n">
        <x:v>7.06</x:v>
      </x:c>
      <x:c r="J602" s="8" t="n">
        <x:v>100</x:v>
      </x:c>
      <x:c r="K602" s="8" t="n">
        <x:v>1.47</x:v>
      </x:c>
      <x:c r="L602" s="8" t="n">
        <x:v>0</x:v>
      </x:c>
      <x:c r="M602" s="8" t="n">
        <x:v>0</x:v>
      </x:c>
      <x:c r="N602" s="8" t="n">
        <x:v>1000</x:v>
      </x:c>
      <x:c r="O602" s="8" t="n">
        <x:v>0</x:v>
      </x:c>
      <x:c r="P602" s="8" t="n">
        <x:v>6.03</x:v>
      </x:c>
      <x:c r="Q602" s="9" t="n">
        <x:v>70.10000000000001</x:v>
      </x:c>
      <x:c r="R602" s="1" t="str">
        <x:v>Review receipt reconciliation or original PO baseline</x:v>
      </x:c>
      <x:c r="S602" s="1" t="str">
        <x:v>Plastic Product Information.csv</x:v>
      </x:c>
    </x:row>
    <x:row r="603" ht="21" customHeight="1">
      <x:c r="A603" s="1" t="str">
        <x:v>PLAS</x:v>
      </x:c>
      <x:c r="B603" s="1" t="str">
        <x:v>10</x:v>
      </x:c>
      <x:c r="C603" s="1" t="str">
        <x:v>11216RSLBLU</x:v>
      </x:c>
      <x:c r="D603" s="1" t="str">
        <x:v>GOLDEN CHAMPION IND. LIMITED</x:v>
      </x:c>
      <x:c r="E603" s="7" t="n">
        <x:v>46303</x:v>
      </x:c>
      <x:c r="F603" s="8" t="n">
        <x:v>170</x:v>
      </x:c>
      <x:c r="G603" s="8" t="n">
        <x:v>0</x:v>
      </x:c>
      <x:c r="H603" s="8" t="n">
        <x:v>7.47</x:v>
      </x:c>
      <x:c r="I603" s="8" t="n">
        <x:v>0</x:v>
      </x:c>
      <x:c r="J603" s="8" t="n">
        <x:v>100</x:v>
      </x:c>
      <x:c r="K603" s="8" t="n">
        <x:v>1.47</x:v>
      </x:c>
      <x:c r="L603" s="8" t="n">
        <x:v>0</x:v>
      </x:c>
      <x:c r="M603" s="8" t="n">
        <x:v>0</x:v>
      </x:c>
      <x:c r="N603" s="8" t="n">
        <x:v>170</x:v>
      </x:c>
      <x:c r="O603" s="8" t="n">
        <x:v>0</x:v>
      </x:c>
      <x:c r="P603" s="8"/>
      <x:c r="Q603" s="9" t="n">
        <x:v>12.698999999999998</x:v>
      </x:c>
      <x:c r="R603" s="1" t="str">
        <x:v>Review receipt reconciliation or original PO baseline</x:v>
      </x:c>
      <x:c r="S603" s="1" t="str">
        <x:v>Plastic Product Information.csv</x:v>
      </x:c>
    </x:row>
    <x:row r="604" ht="21" customHeight="1">
      <x:c r="A604" s="1" t="str">
        <x:v>PLAS</x:v>
      </x:c>
      <x:c r="B604" s="1" t="str">
        <x:v>10</x:v>
      </x:c>
      <x:c r="C604" s="1" t="str">
        <x:v>11216RSLFG</x:v>
      </x:c>
      <x:c r="D604" s="1" t="str">
        <x:v>GOLDEN CHAMPION IND. LIMITED</x:v>
      </x:c>
      <x:c r="E604" s="7" t="n">
        <x:v>46303</x:v>
      </x:c>
      <x:c r="F604" s="8" t="n">
        <x:v>1000</x:v>
      </x:c>
      <x:c r="G604" s="8" t="n">
        <x:v>0</x:v>
      </x:c>
      <x:c r="H604" s="8" t="n">
        <x:v>7.47</x:v>
      </x:c>
      <x:c r="I604" s="8" t="n">
        <x:v>0</x:v>
      </x:c>
      <x:c r="J604" s="8" t="n">
        <x:v>100</x:v>
      </x:c>
      <x:c r="K604" s="8" t="n">
        <x:v>1.47</x:v>
      </x:c>
      <x:c r="L604" s="8" t="n">
        <x:v>0</x:v>
      </x:c>
      <x:c r="M604" s="8" t="n">
        <x:v>0</x:v>
      </x:c>
      <x:c r="N604" s="8" t="n">
        <x:v>1000</x:v>
      </x:c>
      <x:c r="O604" s="8" t="n">
        <x:v>0</x:v>
      </x:c>
      <x:c r="P604" s="8"/>
      <x:c r="Q604" s="9" t="n">
        <x:v>74.7</x:v>
      </x:c>
      <x:c r="R604" s="1" t="str">
        <x:v>Review receipt reconciliation or original PO baseline</x:v>
      </x:c>
      <x:c r="S604" s="1" t="str">
        <x:v>Plastic Product Information.csv</x:v>
      </x:c>
    </x:row>
    <x:row r="605" ht="21" customHeight="1">
      <x:c r="A605" s="1" t="str">
        <x:v>PLAS</x:v>
      </x:c>
      <x:c r="B605" s="1" t="str">
        <x:v>10</x:v>
      </x:c>
      <x:c r="C605" s="1" t="str">
        <x:v>11216RSLMAR</x:v>
      </x:c>
      <x:c r="D605" s="1" t="str">
        <x:v>GOLDEN CHAMPION IND. LIMITED</x:v>
      </x:c>
      <x:c r="E605" s="7" t="n">
        <x:v>46303</x:v>
      </x:c>
      <x:c r="F605" s="8" t="n">
        <x:v>1000</x:v>
      </x:c>
      <x:c r="G605" s="8" t="n">
        <x:v>0</x:v>
      </x:c>
      <x:c r="H605" s="8" t="n">
        <x:v>7.47</x:v>
      </x:c>
      <x:c r="I605" s="8" t="n">
        <x:v>0</x:v>
      </x:c>
      <x:c r="J605" s="8" t="n">
        <x:v>100</x:v>
      </x:c>
      <x:c r="K605" s="8" t="n">
        <x:v>1.47</x:v>
      </x:c>
      <x:c r="L605" s="8" t="n">
        <x:v>0</x:v>
      </x:c>
      <x:c r="M605" s="8" t="n">
        <x:v>0</x:v>
      </x:c>
      <x:c r="N605" s="8" t="n">
        <x:v>1000</x:v>
      </x:c>
      <x:c r="O605" s="8" t="n">
        <x:v>0</x:v>
      </x:c>
      <x:c r="P605" s="8"/>
      <x:c r="Q605" s="9" t="n">
        <x:v>74.7</x:v>
      </x:c>
      <x:c r="R605" s="1" t="str">
        <x:v>Review receipt reconciliation or original PO baseline</x:v>
      </x:c>
      <x:c r="S605" s="1" t="str">
        <x:v>Plastic Product Information.csv</x:v>
      </x:c>
    </x:row>
    <x:row r="606" ht="21" customHeight="1">
      <x:c r="A606" s="1" t="str">
        <x:v>PLAS</x:v>
      </x:c>
      <x:c r="B606" s="1" t="str">
        <x:v>10</x:v>
      </x:c>
      <x:c r="C606" s="1" t="str">
        <x:v>11216RSLNAV</x:v>
      </x:c>
      <x:c r="D606" s="1" t="str">
        <x:v>GOLDEN CHAMPION IND. LIMITED</x:v>
      </x:c>
      <x:c r="E606" s="7" t="n">
        <x:v>46303</x:v>
      </x:c>
      <x:c r="F606" s="8" t="n">
        <x:v>1000</x:v>
      </x:c>
      <x:c r="G606" s="8" t="n">
        <x:v>0</x:v>
      </x:c>
      <x:c r="H606" s="8" t="n">
        <x:v>7.47</x:v>
      </x:c>
      <x:c r="I606" s="8" t="n">
        <x:v>0</x:v>
      </x:c>
      <x:c r="J606" s="8" t="n">
        <x:v>100</x:v>
      </x:c>
      <x:c r="K606" s="8" t="n">
        <x:v>1.47</x:v>
      </x:c>
      <x:c r="L606" s="8" t="n">
        <x:v>0</x:v>
      </x:c>
      <x:c r="M606" s="8" t="n">
        <x:v>0</x:v>
      </x:c>
      <x:c r="N606" s="8" t="n">
        <x:v>1000</x:v>
      </x:c>
      <x:c r="O606" s="8" t="n">
        <x:v>0</x:v>
      </x:c>
      <x:c r="P606" s="8"/>
      <x:c r="Q606" s="9" t="n">
        <x:v>74.7</x:v>
      </x:c>
      <x:c r="R606" s="1" t="str">
        <x:v>Review receipt reconciliation or original PO baseline</x:v>
      </x:c>
      <x:c r="S606" s="1" t="str">
        <x:v>Plastic Product Information.csv</x:v>
      </x:c>
    </x:row>
    <x:row r="607" ht="21" customHeight="1">
      <x:c r="A607" s="1" t="str">
        <x:v>PLAS</x:v>
      </x:c>
      <x:c r="B607" s="1" t="str">
        <x:v>10</x:v>
      </x:c>
      <x:c r="C607" s="1" t="str">
        <x:v>11216RSLRED</x:v>
      </x:c>
      <x:c r="D607" s="1" t="str">
        <x:v>GOLDEN CHAMPION IND. LIMITED</x:v>
      </x:c>
      <x:c r="E607" s="7" t="n">
        <x:v>46303</x:v>
      </x:c>
      <x:c r="F607" s="8" t="n">
        <x:v>730</x:v>
      </x:c>
      <x:c r="G607" s="8" t="n">
        <x:v>0</x:v>
      </x:c>
      <x:c r="H607" s="8" t="n">
        <x:v>7.47</x:v>
      </x:c>
      <x:c r="I607" s="8" t="n">
        <x:v>0</x:v>
      </x:c>
      <x:c r="J607" s="8" t="n">
        <x:v>100</x:v>
      </x:c>
      <x:c r="K607" s="8" t="n">
        <x:v>1.47</x:v>
      </x:c>
      <x:c r="L607" s="8" t="n">
        <x:v>0</x:v>
      </x:c>
      <x:c r="M607" s="8" t="n">
        <x:v>0</x:v>
      </x:c>
      <x:c r="N607" s="8" t="n">
        <x:v>730</x:v>
      </x:c>
      <x:c r="O607" s="8" t="n">
        <x:v>0</x:v>
      </x:c>
      <x:c r="P607" s="8"/>
      <x:c r="Q607" s="9" t="n">
        <x:v>54.531</x:v>
      </x:c>
      <x:c r="R607" s="1" t="str">
        <x:v>Review receipt reconciliation or original PO baseline</x:v>
      </x:c>
      <x:c r="S607" s="1" t="str">
        <x:v>Plastic Product Information.csv</x:v>
      </x:c>
    </x:row>
    <x:row r="608" ht="21" customHeight="1">
      <x:c r="A608" s="1" t="str">
        <x:v>PLAS</x:v>
      </x:c>
      <x:c r="B608" s="1" t="str">
        <x:v>10</x:v>
      </x:c>
      <x:c r="C608" s="1" t="str">
        <x:v>11216RSLWHT</x:v>
      </x:c>
      <x:c r="D608" s="1" t="str">
        <x:v>GOLDEN CHAMPION IND. LIMITED</x:v>
      </x:c>
      <x:c r="E608" s="7" t="n">
        <x:v>46303</x:v>
      </x:c>
      <x:c r="F608" s="8" t="n">
        <x:v>6713</x:v>
      </x:c>
      <x:c r="G608" s="8" t="n">
        <x:v>0</x:v>
      </x:c>
      <x:c r="H608" s="8" t="n">
        <x:v>9.47</x:v>
      </x:c>
      <x:c r="I608" s="8" t="n">
        <x:v>7.53</x:v>
      </x:c>
      <x:c r="J608" s="8" t="n">
        <x:v>100</x:v>
      </x:c>
      <x:c r="K608" s="8" t="n">
        <x:v>1.47</x:v>
      </x:c>
      <x:c r="L608" s="8" t="n">
        <x:v>0</x:v>
      </x:c>
      <x:c r="M608" s="8" t="n">
        <x:v>0</x:v>
      </x:c>
      <x:c r="N608" s="8" t="n">
        <x:v>6713</x:v>
      </x:c>
      <x:c r="O608" s="8" t="n">
        <x:v>0</x:v>
      </x:c>
      <x:c r="P608" s="8" t="n">
        <x:v>6.44</x:v>
      </x:c>
      <x:c r="Q608" s="9" t="n">
        <x:v>635.7211000000001</x:v>
      </x:c>
      <x:c r="R608" s="1" t="str">
        <x:v>Review receipt reconciliation or original PO baseline</x:v>
      </x:c>
      <x:c r="S608" s="1" t="str">
        <x:v>Plastic Product Information.csv</x:v>
      </x:c>
    </x:row>
    <x:row r="609" ht="21" customHeight="1">
      <x:c r="A609" s="1" t="str">
        <x:v>PLAS</x:v>
      </x:c>
      <x:c r="B609" s="1" t="str">
        <x:v>10</x:v>
      </x:c>
      <x:c r="C609" s="1" t="str">
        <x:v>11221RSLCLR</x:v>
      </x:c>
      <x:c r="D609" s="1" t="str">
        <x:v>GOLDEN CHAMPION IND. LIMITED</x:v>
      </x:c>
      <x:c r="E609" s="7" t="n">
        <x:v>46303</x:v>
      </x:c>
      <x:c r="F609" s="8" t="n">
        <x:v>4250</x:v>
      </x:c>
      <x:c r="G609" s="8" t="n">
        <x:v>0</x:v>
      </x:c>
      <x:c r="H609" s="8" t="n">
        <x:v>11.04</x:v>
      </x:c>
      <x:c r="I609" s="8" t="n">
        <x:v>9.93</x:v>
      </x:c>
      <x:c r="J609" s="8" t="n">
        <x:v>100</x:v>
      </x:c>
      <x:c r="K609" s="8" t="n">
        <x:v>1.47</x:v>
      </x:c>
      <x:c r="L609" s="8" t="n">
        <x:v>0</x:v>
      </x:c>
      <x:c r="M609" s="8" t="n">
        <x:v>0</x:v>
      </x:c>
      <x:c r="N609" s="8" t="n">
        <x:v>4250</x:v>
      </x:c>
      <x:c r="O609" s="8" t="n">
        <x:v>0</x:v>
      </x:c>
      <x:c r="P609" s="8" t="n">
        <x:v>8.49</x:v>
      </x:c>
      <x:c r="Q609" s="9" t="n">
        <x:v>469.2</x:v>
      </x:c>
      <x:c r="R609" s="1" t="str">
        <x:v>Review receipt reconciliation or original PO baseline</x:v>
      </x:c>
      <x:c r="S609" s="1" t="str">
        <x:v>Plastic Product Information.csv</x:v>
      </x:c>
    </x:row>
    <x:row r="610" ht="21" customHeight="1">
      <x:c r="A610" s="1" t="str">
        <x:v>PLAS</x:v>
      </x:c>
      <x:c r="B610" s="1" t="str">
        <x:v>10</x:v>
      </x:c>
      <x:c r="C610" s="1" t="str">
        <x:v>11221RSLWHT</x:v>
      </x:c>
      <x:c r="D610" s="1" t="str">
        <x:v>GOLDEN CHAMPION IND. LIMITED</x:v>
      </x:c>
      <x:c r="E610" s="7" t="n">
        <x:v>46303</x:v>
      </x:c>
      <x:c r="F610" s="8" t="n">
        <x:v>600</x:v>
      </x:c>
      <x:c r="G610" s="8" t="n">
        <x:v>0</x:v>
      </x:c>
      <x:c r="H610" s="8" t="n">
        <x:v>12.48</x:v>
      </x:c>
      <x:c r="I610" s="8" t="n">
        <x:v>9.93</x:v>
      </x:c>
      <x:c r="J610" s="8" t="n">
        <x:v>100</x:v>
      </x:c>
      <x:c r="K610" s="8" t="n">
        <x:v>1.47</x:v>
      </x:c>
      <x:c r="L610" s="8" t="n">
        <x:v>0</x:v>
      </x:c>
      <x:c r="M610" s="8" t="n">
        <x:v>0</x:v>
      </x:c>
      <x:c r="N610" s="8" t="n">
        <x:v>600</x:v>
      </x:c>
      <x:c r="O610" s="8" t="n">
        <x:v>0</x:v>
      </x:c>
      <x:c r="P610" s="8" t="n">
        <x:v>8.49</x:v>
      </x:c>
      <x:c r="Q610" s="9" t="n">
        <x:v>74.88</x:v>
      </x:c>
      <x:c r="R610" s="1" t="str">
        <x:v>Review receipt reconciliation or original PO baseline</x:v>
      </x:c>
      <x:c r="S610" s="1" t="str">
        <x:v>Plastic Product Information.csv</x:v>
      </x:c>
    </x:row>
    <x:row r="611" ht="21" customHeight="1">
      <x:c r="A611" s="1" t="str">
        <x:v>PLAS</x:v>
      </x:c>
      <x:c r="B611" s="1" t="str">
        <x:v>10</x:v>
      </x:c>
      <x:c r="C611" s="1" t="str">
        <x:v>11280ROVBLK</x:v>
      </x:c>
      <x:c r="D611" s="1" t="str">
        <x:v>GOLDEN CHAMPION IND. LIMITED</x:v>
      </x:c>
      <x:c r="E611" s="7" t="n">
        <x:v>46303</x:v>
      </x:c>
      <x:c r="F611" s="8" t="n">
        <x:v>2630</x:v>
      </x:c>
      <x:c r="G611" s="8" t="n">
        <x:v>0</x:v>
      </x:c>
      <x:c r="H611" s="8" t="n">
        <x:v>49.54</x:v>
      </x:c>
      <x:c r="I611" s="8" t="n">
        <x:v>39.43</x:v>
      </x:c>
      <x:c r="J611" s="8" t="n">
        <x:v>100</x:v>
      </x:c>
      <x:c r="K611" s="8" t="n">
        <x:v>1.47</x:v>
      </x:c>
      <x:c r="L611" s="8" t="n">
        <x:v>0</x:v>
      </x:c>
      <x:c r="M611" s="8" t="n">
        <x:v>0</x:v>
      </x:c>
      <x:c r="N611" s="8" t="n">
        <x:v>2630</x:v>
      </x:c>
      <x:c r="O611" s="8" t="n">
        <x:v>0</x:v>
      </x:c>
      <x:c r="P611" s="8" t="n">
        <x:v>33.7</x:v>
      </x:c>
      <x:c r="Q611" s="9" t="n">
        <x:v>1302.902</x:v>
      </x:c>
      <x:c r="R611" s="1" t="str">
        <x:v>Review receipt reconciliation or original PO baseline</x:v>
      </x:c>
      <x:c r="S611" s="1" t="str">
        <x:v>Plastic Product Information.csv</x:v>
      </x:c>
    </x:row>
    <x:row r="612" ht="21" customHeight="1">
      <x:c r="A612" s="1" t="str">
        <x:v>PLAS</x:v>
      </x:c>
      <x:c r="B612" s="1" t="str">
        <x:v>10</x:v>
      </x:c>
      <x:c r="C612" s="1" t="str">
        <x:v>11280ROVBLU</x:v>
      </x:c>
      <x:c r="D612" s="1" t="str">
        <x:v>GOLDEN CHAMPION IND. LIMITED</x:v>
      </x:c>
      <x:c r="E612" s="7" t="n">
        <x:v>46303</x:v>
      </x:c>
      <x:c r="F612" s="8" t="n">
        <x:v>500</x:v>
      </x:c>
      <x:c r="G612" s="8" t="n">
        <x:v>0</x:v>
      </x:c>
      <x:c r="H612" s="8" t="n">
        <x:v>38.38</x:v>
      </x:c>
      <x:c r="I612" s="8" t="n">
        <x:v>39.43</x:v>
      </x:c>
      <x:c r="J612" s="8" t="n">
        <x:v>100</x:v>
      </x:c>
      <x:c r="K612" s="8" t="n">
        <x:v>1.47</x:v>
      </x:c>
      <x:c r="L612" s="8" t="n">
        <x:v>0</x:v>
      </x:c>
      <x:c r="M612" s="8" t="n">
        <x:v>0</x:v>
      </x:c>
      <x:c r="N612" s="8" t="n">
        <x:v>500</x:v>
      </x:c>
      <x:c r="O612" s="8" t="n">
        <x:v>0</x:v>
      </x:c>
      <x:c r="P612" s="8" t="n">
        <x:v>33.7</x:v>
      </x:c>
      <x:c r="Q612" s="9" t="n">
        <x:v>191.9</x:v>
      </x:c>
      <x:c r="R612" s="1" t="str">
        <x:v>Review receipt reconciliation or original PO baseline</x:v>
      </x:c>
      <x:c r="S612" s="1" t="str">
        <x:v>Plastic Product Information.csv</x:v>
      </x:c>
    </x:row>
    <x:row r="613" ht="21" customHeight="1">
      <x:c r="A613" s="1" t="str">
        <x:v>PLAS</x:v>
      </x:c>
      <x:c r="B613" s="1" t="str">
        <x:v>10</x:v>
      </x:c>
      <x:c r="C613" s="1" t="str">
        <x:v>11280ROVRED</x:v>
      </x:c>
      <x:c r="D613" s="1" t="str">
        <x:v>GOLDEN CHAMPION IND. LIMITED</x:v>
      </x:c>
      <x:c r="E613" s="7" t="n">
        <x:v>46303</x:v>
      </x:c>
      <x:c r="F613" s="8" t="n">
        <x:v>318</x:v>
      </x:c>
      <x:c r="G613" s="8" t="n">
        <x:v>0</x:v>
      </x:c>
      <x:c r="H613" s="8" t="n">
        <x:v>38.38</x:v>
      </x:c>
      <x:c r="I613" s="8" t="n">
        <x:v>39.43</x:v>
      </x:c>
      <x:c r="J613" s="8" t="n">
        <x:v>100</x:v>
      </x:c>
      <x:c r="K613" s="8" t="n">
        <x:v>1.47</x:v>
      </x:c>
      <x:c r="L613" s="8" t="n">
        <x:v>0</x:v>
      </x:c>
      <x:c r="M613" s="8" t="n">
        <x:v>0</x:v>
      </x:c>
      <x:c r="N613" s="8" t="n">
        <x:v>318</x:v>
      </x:c>
      <x:c r="O613" s="8" t="n">
        <x:v>0</x:v>
      </x:c>
      <x:c r="P613" s="8" t="n">
        <x:v>33.7</x:v>
      </x:c>
      <x:c r="Q613" s="9" t="n">
        <x:v>122.0484</x:v>
      </x:c>
      <x:c r="R613" s="1" t="str">
        <x:v>Review receipt reconciliation or original PO baseline</x:v>
      </x:c>
      <x:c r="S613" s="1" t="str">
        <x:v>Plastic Product Information.csv</x:v>
      </x:c>
    </x:row>
    <x:row r="614" ht="21" customHeight="1">
      <x:c r="A614" s="1" t="str">
        <x:v>PLAS</x:v>
      </x:c>
      <x:c r="B614" s="1" t="str">
        <x:v>10</x:v>
      </x:c>
      <x:c r="C614" s="1" t="str">
        <x:v>11280ROVWHT</x:v>
      </x:c>
      <x:c r="D614" s="1" t="str">
        <x:v>GOLDEN CHAMPION IND. LIMITED</x:v>
      </x:c>
      <x:c r="E614" s="7" t="n">
        <x:v>46303</x:v>
      </x:c>
      <x:c r="F614" s="8" t="n">
        <x:v>1293</x:v>
      </x:c>
      <x:c r="G614" s="8" t="n">
        <x:v>0</x:v>
      </x:c>
      <x:c r="H614" s="8" t="n">
        <x:v>49.54</x:v>
      </x:c>
      <x:c r="I614" s="8" t="n">
        <x:v>39.43</x:v>
      </x:c>
      <x:c r="J614" s="8" t="n">
        <x:v>100</x:v>
      </x:c>
      <x:c r="K614" s="8" t="n">
        <x:v>1.47</x:v>
      </x:c>
      <x:c r="L614" s="8" t="n">
        <x:v>0</x:v>
      </x:c>
      <x:c r="M614" s="8" t="n">
        <x:v>0</x:v>
      </x:c>
      <x:c r="N614" s="8" t="n">
        <x:v>1293</x:v>
      </x:c>
      <x:c r="O614" s="8" t="n">
        <x:v>0</x:v>
      </x:c>
      <x:c r="P614" s="8" t="n">
        <x:v>33.7</x:v>
      </x:c>
      <x:c r="Q614" s="9" t="n">
        <x:v>640.5522</x:v>
      </x:c>
      <x:c r="R614" s="1" t="str">
        <x:v>Review receipt reconciliation or original PO baseline</x:v>
      </x:c>
      <x:c r="S614" s="1" t="str">
        <x:v>Plastic Product Information.csv</x:v>
      </x:c>
    </x:row>
    <x:row r="615" ht="21" customHeight="1">
      <x:c r="A615" s="1" t="str">
        <x:v>PLAS</x:v>
      </x:c>
      <x:c r="B615" s="1" t="str">
        <x:v>10</x:v>
      </x:c>
      <x:c r="C615" s="1" t="str">
        <x:v>11415ROVBRN</x:v>
      </x:c>
      <x:c r="D615" s="1" t="str">
        <x:v>GOLDEN CHAMPION IND. LIMITED</x:v>
      </x:c>
      <x:c r="E615" s="7" t="n">
        <x:v>46303</x:v>
      </x:c>
      <x:c r="F615" s="8" t="n">
        <x:v>4000</x:v>
      </x:c>
      <x:c r="G615" s="8" t="n">
        <x:v>0</x:v>
      </x:c>
      <x:c r="H615" s="8" t="n">
        <x:v>8.83</x:v>
      </x:c>
      <x:c r="I615" s="8" t="n">
        <x:v>7.03</x:v>
      </x:c>
      <x:c r="J615" s="8" t="n">
        <x:v>100</x:v>
      </x:c>
      <x:c r="K615" s="8" t="n">
        <x:v>1.47</x:v>
      </x:c>
      <x:c r="L615" s="8" t="n">
        <x:v>4000</x:v>
      </x:c>
      <x:c r="M615" s="8" t="n">
        <x:v>0</x:v>
      </x:c>
      <x:c r="N615" s="8" t="n">
        <x:v>0</x:v>
      </x:c>
      <x:c r="O615" s="8" t="n">
        <x:v>1</x:v>
      </x:c>
      <x:c r="P615" s="8" t="n">
        <x:v>6.01</x:v>
      </x:c>
      <x:c r="Q615" s="9" t="n">
        <x:v>353.2</x:v>
      </x:c>
      <x:c r="R615" s="1" t="str">
        <x:v>Classified</x:v>
      </x:c>
      <x:c r="S615" s="1" t="str">
        <x:v>Plastic Product Information.csv</x:v>
      </x:c>
    </x:row>
    <x:row r="616" ht="21" customHeight="1">
      <x:c r="A616" s="1" t="str">
        <x:v>PLAS</x:v>
      </x:c>
      <x:c r="B616" s="1" t="str">
        <x:v>10</x:v>
      </x:c>
      <x:c r="C616" s="1" t="str">
        <x:v>11415ROVMAR</x:v>
      </x:c>
      <x:c r="D616" s="1" t="str">
        <x:v>GOLDEN CHAMPION IND. LIMITED</x:v>
      </x:c>
      <x:c r="E616" s="7" t="n">
        <x:v>46303</x:v>
      </x:c>
      <x:c r="F616" s="8" t="n">
        <x:v>3100</x:v>
      </x:c>
      <x:c r="G616" s="8" t="n">
        <x:v>0</x:v>
      </x:c>
      <x:c r="H616" s="8" t="n">
        <x:v>8.83</x:v>
      </x:c>
      <x:c r="I616" s="8" t="n">
        <x:v>7.03</x:v>
      </x:c>
      <x:c r="J616" s="8" t="n">
        <x:v>100</x:v>
      </x:c>
      <x:c r="K616" s="8" t="n">
        <x:v>1.47</x:v>
      </x:c>
      <x:c r="L616" s="8" t="n">
        <x:v>0</x:v>
      </x:c>
      <x:c r="M616" s="8" t="n">
        <x:v>0</x:v>
      </x:c>
      <x:c r="N616" s="8" t="n">
        <x:v>3100</x:v>
      </x:c>
      <x:c r="O616" s="8" t="n">
        <x:v>0</x:v>
      </x:c>
      <x:c r="P616" s="8" t="n">
        <x:v>6.01</x:v>
      </x:c>
      <x:c r="Q616" s="9" t="n">
        <x:v>273.73</x:v>
      </x:c>
      <x:c r="R616" s="1" t="str">
        <x:v>Review receipt reconciliation or original PO baseline</x:v>
      </x:c>
      <x:c r="S616" s="1" t="str">
        <x:v>Plastic Product Information.csv</x:v>
      </x:c>
    </x:row>
    <x:row r="617" ht="21" customHeight="1">
      <x:c r="A617" s="1" t="str">
        <x:v>PLAS</x:v>
      </x:c>
      <x:c r="B617" s="1" t="str">
        <x:v>10</x:v>
      </x:c>
      <x:c r="C617" s="1" t="str">
        <x:v>11415ROVNAV</x:v>
      </x:c>
      <x:c r="D617" s="1" t="str">
        <x:v>GOLDEN CHAMPION IND. LIMITED</x:v>
      </x:c>
      <x:c r="E617" s="7" t="n">
        <x:v>46303</x:v>
      </x:c>
      <x:c r="F617" s="8" t="n">
        <x:v>1500</x:v>
      </x:c>
      <x:c r="G617" s="8" t="n">
        <x:v>0</x:v>
      </x:c>
      <x:c r="H617" s="8" t="n">
        <x:v>8.83</x:v>
      </x:c>
      <x:c r="I617" s="8" t="n">
        <x:v>7.03</x:v>
      </x:c>
      <x:c r="J617" s="8" t="n">
        <x:v>100</x:v>
      </x:c>
      <x:c r="K617" s="8" t="n">
        <x:v>1.47</x:v>
      </x:c>
      <x:c r="L617" s="8" t="n">
        <x:v>0</x:v>
      </x:c>
      <x:c r="M617" s="8" t="n">
        <x:v>0</x:v>
      </x:c>
      <x:c r="N617" s="8" t="n">
        <x:v>1500</x:v>
      </x:c>
      <x:c r="O617" s="8" t="n">
        <x:v>0</x:v>
      </x:c>
      <x:c r="P617" s="8" t="n">
        <x:v>6.01</x:v>
      </x:c>
      <x:c r="Q617" s="9" t="n">
        <x:v>132.45</x:v>
      </x:c>
      <x:c r="R617" s="1" t="str">
        <x:v>Review receipt reconciliation or original PO baseline</x:v>
      </x:c>
      <x:c r="S617" s="1" t="str">
        <x:v>Plastic Product Information.csv</x:v>
      </x:c>
    </x:row>
    <x:row r="618" ht="21" customHeight="1">
      <x:c r="A618" s="1" t="str">
        <x:v>PLAS</x:v>
      </x:c>
      <x:c r="B618" s="1" t="str">
        <x:v>10</x:v>
      </x:c>
      <x:c r="C618" s="1" t="str">
        <x:v>11415ROVRED</x:v>
      </x:c>
      <x:c r="D618" s="1" t="str">
        <x:v>GOLDEN CHAMPION IND. LIMITED</x:v>
      </x:c>
      <x:c r="E618" s="7" t="n">
        <x:v>46303</x:v>
      </x:c>
      <x:c r="F618" s="8" t="n">
        <x:v>3500</x:v>
      </x:c>
      <x:c r="G618" s="8" t="n">
        <x:v>0</x:v>
      </x:c>
      <x:c r="H618" s="8" t="n">
        <x:v>8.83</x:v>
      </x:c>
      <x:c r="I618" s="8" t="n">
        <x:v>7.03</x:v>
      </x:c>
      <x:c r="J618" s="8" t="n">
        <x:v>100</x:v>
      </x:c>
      <x:c r="K618" s="8" t="n">
        <x:v>1.47</x:v>
      </x:c>
      <x:c r="L618" s="8" t="n">
        <x:v>0</x:v>
      </x:c>
      <x:c r="M618" s="8" t="n">
        <x:v>0</x:v>
      </x:c>
      <x:c r="N618" s="8" t="n">
        <x:v>3500</x:v>
      </x:c>
      <x:c r="O618" s="8" t="n">
        <x:v>0</x:v>
      </x:c>
      <x:c r="P618" s="8" t="n">
        <x:v>6.01</x:v>
      </x:c>
      <x:c r="Q618" s="9" t="n">
        <x:v>309.05</x:v>
      </x:c>
      <x:c r="R618" s="1" t="str">
        <x:v>Review receipt reconciliation or original PO baseline</x:v>
      </x:c>
      <x:c r="S618" s="1" t="str">
        <x:v>Plastic Product Information.csv</x:v>
      </x:c>
    </x:row>
    <x:row r="619" ht="21" customHeight="1">
      <x:c r="A619" s="1" t="str">
        <x:v>PLAS</x:v>
      </x:c>
      <x:c r="B619" s="1" t="str">
        <x:v>10</x:v>
      </x:c>
      <x:c r="C619" s="1" t="str">
        <x:v>11415RSLBLU</x:v>
      </x:c>
      <x:c r="D619" s="1" t="str">
        <x:v>GOLDEN CHAMPION IND. LIMITED</x:v>
      </x:c>
      <x:c r="E619" s="7" t="n">
        <x:v>46303</x:v>
      </x:c>
      <x:c r="F619" s="8" t="n">
        <x:v>0</x:v>
      </x:c>
      <x:c r="G619" s="8" t="n">
        <x:v>0</x:v>
      </x:c>
      <x:c r="H619" s="8" t="n">
        <x:v>6.07</x:v>
      </x:c>
      <x:c r="I619" s="8" t="n">
        <x:v>6.22</x:v>
      </x:c>
      <x:c r="J619" s="8" t="n">
        <x:v>100</x:v>
      </x:c>
      <x:c r="K619" s="8" t="n">
        <x:v>1.47</x:v>
      </x:c>
      <x:c r="L619" s="8" t="n">
        <x:v>0</x:v>
      </x:c>
      <x:c r="M619" s="8" t="n">
        <x:v>0</x:v>
      </x:c>
      <x:c r="N619" s="8" t="n">
        <x:v>0</x:v>
      </x:c>
      <x:c r="O619" s="8" t="n">
        <x:v>1</x:v>
      </x:c>
      <x:c r="P619" s="8" t="n">
        <x:v>5.32</x:v>
      </x:c>
      <x:c r="Q619" s="9" t="n">
        <x:v>0</x:v>
      </x:c>
      <x:c r="R619" s="1" t="str">
        <x:v>Classified</x:v>
      </x:c>
      <x:c r="S619" s="1" t="str">
        <x:v>Plastic Product Information.csv</x:v>
      </x:c>
    </x:row>
    <x:row r="620" ht="21" customHeight="1">
      <x:c r="A620" s="1" t="str">
        <x:v>PLAS</x:v>
      </x:c>
      <x:c r="B620" s="1" t="str">
        <x:v>10</x:v>
      </x:c>
      <x:c r="C620" s="1" t="str">
        <x:v>11415RSLBRN</x:v>
      </x:c>
      <x:c r="D620" s="1" t="str">
        <x:v>GOLDEN CHAMPION IND. LIMITED</x:v>
      </x:c>
      <x:c r="E620" s="7" t="n">
        <x:v>46303</x:v>
      </x:c>
      <x:c r="F620" s="8" t="n">
        <x:v>1250</x:v>
      </x:c>
      <x:c r="G620" s="8" t="n">
        <x:v>0</x:v>
      </x:c>
      <x:c r="H620" s="8" t="n">
        <x:v>6.07</x:v>
      </x:c>
      <x:c r="I620" s="8" t="n">
        <x:v>0</x:v>
      </x:c>
      <x:c r="J620" s="8" t="n">
        <x:v>100</x:v>
      </x:c>
      <x:c r="K620" s="8" t="n">
        <x:v>1.47</x:v>
      </x:c>
      <x:c r="L620" s="8" t="n">
        <x:v>0</x:v>
      </x:c>
      <x:c r="M620" s="8" t="n">
        <x:v>0</x:v>
      </x:c>
      <x:c r="N620" s="8" t="n">
        <x:v>1250</x:v>
      </x:c>
      <x:c r="O620" s="8" t="n">
        <x:v>0</x:v>
      </x:c>
      <x:c r="P620" s="8"/>
      <x:c r="Q620" s="9" t="n">
        <x:v>75.875</x:v>
      </x:c>
      <x:c r="R620" s="1" t="str">
        <x:v>Review receipt reconciliation or original PO baseline</x:v>
      </x:c>
      <x:c r="S620" s="1" t="str">
        <x:v>Plastic Product Information.csv</x:v>
      </x:c>
    </x:row>
    <x:row r="621" ht="21" customHeight="1">
      <x:c r="A621" s="1" t="str">
        <x:v>PLAS</x:v>
      </x:c>
      <x:c r="B621" s="1" t="str">
        <x:v>10</x:v>
      </x:c>
      <x:c r="C621" s="1" t="str">
        <x:v>11415RSLCLR</x:v>
      </x:c>
      <x:c r="D621" s="1" t="str">
        <x:v>GOLDEN CHAMPION IND. LIMITED</x:v>
      </x:c>
      <x:c r="E621" s="7" t="n">
        <x:v>46303</x:v>
      </x:c>
      <x:c r="F621" s="8" t="n">
        <x:v>2225</x:v>
      </x:c>
      <x:c r="G621" s="8" t="n">
        <x:v>0</x:v>
      </x:c>
      <x:c r="H621" s="8" t="n">
        <x:v>7.82</x:v>
      </x:c>
      <x:c r="I621" s="8" t="n">
        <x:v>6.22</x:v>
      </x:c>
      <x:c r="J621" s="8" t="n">
        <x:v>100</x:v>
      </x:c>
      <x:c r="K621" s="8" t="n">
        <x:v>1.47</x:v>
      </x:c>
      <x:c r="L621" s="8" t="n">
        <x:v>0</x:v>
      </x:c>
      <x:c r="M621" s="8" t="n">
        <x:v>0</x:v>
      </x:c>
      <x:c r="N621" s="8" t="n">
        <x:v>2225</x:v>
      </x:c>
      <x:c r="O621" s="8" t="n">
        <x:v>0</x:v>
      </x:c>
      <x:c r="P621" s="8" t="n">
        <x:v>5.32</x:v>
      </x:c>
      <x:c r="Q621" s="9" t="n">
        <x:v>173.995</x:v>
      </x:c>
      <x:c r="R621" s="1" t="str">
        <x:v>Review receipt reconciliation or original PO baseline</x:v>
      </x:c>
      <x:c r="S621" s="1" t="str">
        <x:v>Plastic Product Information.csv</x:v>
      </x:c>
    </x:row>
    <x:row r="622" ht="21" customHeight="1">
      <x:c r="A622" s="1" t="str">
        <x:v>PLAS</x:v>
      </x:c>
      <x:c r="B622" s="1" t="str">
        <x:v>10</x:v>
      </x:c>
      <x:c r="C622" s="1" t="str">
        <x:v>11415RSLFG</x:v>
      </x:c>
      <x:c r="D622" s="1" t="str">
        <x:v>GOLDEN CHAMPION IND. LIMITED</x:v>
      </x:c>
      <x:c r="E622" s="7" t="n">
        <x:v>46303</x:v>
      </x:c>
      <x:c r="F622" s="8" t="n">
        <x:v>1000</x:v>
      </x:c>
      <x:c r="G622" s="8" t="n">
        <x:v>0</x:v>
      </x:c>
      <x:c r="H622" s="8" t="n">
        <x:v>6.07</x:v>
      </x:c>
      <x:c r="I622" s="8" t="n">
        <x:v>6.22</x:v>
      </x:c>
      <x:c r="J622" s="8" t="n">
        <x:v>100</x:v>
      </x:c>
      <x:c r="K622" s="8" t="n">
        <x:v>1.47</x:v>
      </x:c>
      <x:c r="L622" s="8" t="n">
        <x:v>0</x:v>
      </x:c>
      <x:c r="M622" s="8" t="n">
        <x:v>0</x:v>
      </x:c>
      <x:c r="N622" s="8" t="n">
        <x:v>1000</x:v>
      </x:c>
      <x:c r="O622" s="8" t="n">
        <x:v>0</x:v>
      </x:c>
      <x:c r="P622" s="8" t="n">
        <x:v>5.32</x:v>
      </x:c>
      <x:c r="Q622" s="9" t="n">
        <x:v>60.7</x:v>
      </x:c>
      <x:c r="R622" s="1" t="str">
        <x:v>Review receipt reconciliation or original PO baseline</x:v>
      </x:c>
      <x:c r="S622" s="1" t="str">
        <x:v>Plastic Product Information.csv</x:v>
      </x:c>
    </x:row>
    <x:row r="623" ht="21" customHeight="1">
      <x:c r="A623" s="1" t="str">
        <x:v>PLAS</x:v>
      </x:c>
      <x:c r="B623" s="1" t="str">
        <x:v>10</x:v>
      </x:c>
      <x:c r="C623" s="1" t="str">
        <x:v>11415RSLMAR</x:v>
      </x:c>
      <x:c r="D623" s="1" t="str">
        <x:v>GOLDEN CHAMPION IND. LIMITED</x:v>
      </x:c>
      <x:c r="E623" s="7" t="n">
        <x:v>46303</x:v>
      </x:c>
      <x:c r="F623" s="8" t="n">
        <x:v>819</x:v>
      </x:c>
      <x:c r="G623" s="8" t="n">
        <x:v>0</x:v>
      </x:c>
      <x:c r="H623" s="8" t="n">
        <x:v>6.07</x:v>
      </x:c>
      <x:c r="I623" s="8" t="n">
        <x:v>6.22</x:v>
      </x:c>
      <x:c r="J623" s="8" t="n">
        <x:v>100</x:v>
      </x:c>
      <x:c r="K623" s="8" t="n">
        <x:v>1.47</x:v>
      </x:c>
      <x:c r="L623" s="8" t="n">
        <x:v>0</x:v>
      </x:c>
      <x:c r="M623" s="8" t="n">
        <x:v>0</x:v>
      </x:c>
      <x:c r="N623" s="8" t="n">
        <x:v>819</x:v>
      </x:c>
      <x:c r="O623" s="8" t="n">
        <x:v>0</x:v>
      </x:c>
      <x:c r="P623" s="8" t="n">
        <x:v>5.32</x:v>
      </x:c>
      <x:c r="Q623" s="9" t="n">
        <x:v>49.713300000000004</x:v>
      </x:c>
      <x:c r="R623" s="1" t="str">
        <x:v>Review receipt reconciliation or original PO baseline</x:v>
      </x:c>
      <x:c r="S623" s="1" t="str">
        <x:v>Plastic Product Information.csv</x:v>
      </x:c>
    </x:row>
    <x:row r="624" ht="21" customHeight="1">
      <x:c r="A624" s="1" t="str">
        <x:v>PLAS</x:v>
      </x:c>
      <x:c r="B624" s="1" t="str">
        <x:v>10</x:v>
      </x:c>
      <x:c r="C624" s="1" t="str">
        <x:v>11415RSLNAV</x:v>
      </x:c>
      <x:c r="D624" s="1" t="str">
        <x:v>GOLDEN CHAMPION IND. LIMITED</x:v>
      </x:c>
      <x:c r="E624" s="7" t="n">
        <x:v>46303</x:v>
      </x:c>
      <x:c r="F624" s="8" t="n">
        <x:v>650</x:v>
      </x:c>
      <x:c r="G624" s="8" t="n">
        <x:v>0</x:v>
      </x:c>
      <x:c r="H624" s="8" t="n">
        <x:v>6.07</x:v>
      </x:c>
      <x:c r="I624" s="8" t="n">
        <x:v>6.22</x:v>
      </x:c>
      <x:c r="J624" s="8" t="n">
        <x:v>100</x:v>
      </x:c>
      <x:c r="K624" s="8" t="n">
        <x:v>1.47</x:v>
      </x:c>
      <x:c r="L624" s="8" t="n">
        <x:v>0</x:v>
      </x:c>
      <x:c r="M624" s="8" t="n">
        <x:v>0</x:v>
      </x:c>
      <x:c r="N624" s="8" t="n">
        <x:v>650</x:v>
      </x:c>
      <x:c r="O624" s="8" t="n">
        <x:v>0</x:v>
      </x:c>
      <x:c r="P624" s="8" t="n">
        <x:v>5.32</x:v>
      </x:c>
      <x:c r="Q624" s="9" t="n">
        <x:v>39.455</x:v>
      </x:c>
      <x:c r="R624" s="1" t="str">
        <x:v>Review receipt reconciliation or original PO baseline</x:v>
      </x:c>
      <x:c r="S624" s="1" t="str">
        <x:v>Plastic Product Information.csv</x:v>
      </x:c>
    </x:row>
    <x:row r="625" ht="21" customHeight="1">
      <x:c r="A625" s="1" t="str">
        <x:v>PLAS</x:v>
      </x:c>
      <x:c r="B625" s="1" t="str">
        <x:v>10</x:v>
      </x:c>
      <x:c r="C625" s="1" t="str">
        <x:v>11415RSLRED</x:v>
      </x:c>
      <x:c r="D625" s="1" t="str">
        <x:v>GOLDEN CHAMPION IND. LIMITED</x:v>
      </x:c>
      <x:c r="E625" s="7" t="n">
        <x:v>46303</x:v>
      </x:c>
      <x:c r="F625" s="8" t="n">
        <x:v>500</x:v>
      </x:c>
      <x:c r="G625" s="8" t="n">
        <x:v>0</x:v>
      </x:c>
      <x:c r="H625" s="8" t="n">
        <x:v>6.07</x:v>
      </x:c>
      <x:c r="I625" s="8" t="n">
        <x:v>6.22</x:v>
      </x:c>
      <x:c r="J625" s="8" t="n">
        <x:v>100</x:v>
      </x:c>
      <x:c r="K625" s="8" t="n">
        <x:v>1.47</x:v>
      </x:c>
      <x:c r="L625" s="8" t="n">
        <x:v>0</x:v>
      </x:c>
      <x:c r="M625" s="8" t="n">
        <x:v>0</x:v>
      </x:c>
      <x:c r="N625" s="8" t="n">
        <x:v>500</x:v>
      </x:c>
      <x:c r="O625" s="8" t="n">
        <x:v>0</x:v>
      </x:c>
      <x:c r="P625" s="8" t="n">
        <x:v>5.32</x:v>
      </x:c>
      <x:c r="Q625" s="9" t="n">
        <x:v>30.35</x:v>
      </x:c>
      <x:c r="R625" s="1" t="str">
        <x:v>Review receipt reconciliation or original PO baseline</x:v>
      </x:c>
      <x:c r="S625" s="1" t="str">
        <x:v>Plastic Product Information.csv</x:v>
      </x:c>
    </x:row>
    <x:row r="626" ht="21" customHeight="1">
      <x:c r="A626" s="1" t="str">
        <x:v>PLAS</x:v>
      </x:c>
      <x:c r="B626" s="1" t="str">
        <x:v>10</x:v>
      </x:c>
      <x:c r="C626" s="1" t="str">
        <x:v>11415RSLWHT</x:v>
      </x:c>
      <x:c r="D626" s="1" t="str">
        <x:v>GOLDEN CHAMPION IND. LIMITED</x:v>
      </x:c>
      <x:c r="E626" s="7" t="n">
        <x:v>46303</x:v>
      </x:c>
      <x:c r="F626" s="8" t="n">
        <x:v>7050</x:v>
      </x:c>
      <x:c r="G626" s="8" t="n">
        <x:v>0</x:v>
      </x:c>
      <x:c r="H626" s="8" t="n">
        <x:v>7.82</x:v>
      </x:c>
      <x:c r="I626" s="8" t="n">
        <x:v>6.22</x:v>
      </x:c>
      <x:c r="J626" s="8" t="n">
        <x:v>100</x:v>
      </x:c>
      <x:c r="K626" s="8" t="n">
        <x:v>1.47</x:v>
      </x:c>
      <x:c r="L626" s="8" t="n">
        <x:v>7050</x:v>
      </x:c>
      <x:c r="M626" s="8" t="n">
        <x:v>0</x:v>
      </x:c>
      <x:c r="N626" s="8" t="n">
        <x:v>0</x:v>
      </x:c>
      <x:c r="O626" s="8" t="n">
        <x:v>1</x:v>
      </x:c>
      <x:c r="P626" s="8" t="n">
        <x:v>5.32</x:v>
      </x:c>
      <x:c r="Q626" s="9" t="n">
        <x:v>551.3100000000001</x:v>
      </x:c>
      <x:c r="R626" s="1" t="str">
        <x:v>Classified</x:v>
      </x:c>
      <x:c r="S626" s="1" t="str">
        <x:v>Plastic Product Information.csv</x:v>
      </x:c>
    </x:row>
    <x:row r="627" ht="21" customHeight="1">
      <x:c r="A627" s="1" t="str">
        <x:v>PLAS</x:v>
      </x:c>
      <x:c r="B627" s="1" t="str">
        <x:v>10</x:v>
      </x:c>
      <x:c r="C627" s="1" t="str">
        <x:v>11416RSLFG</x:v>
      </x:c>
      <x:c r="D627" s="1" t="str">
        <x:v>GOLDEN CHAMPION IND. LIMITED</x:v>
      </x:c>
      <x:c r="E627" s="7" t="n">
        <x:v>46303</x:v>
      </x:c>
      <x:c r="F627" s="8" t="n">
        <x:v>800</x:v>
      </x:c>
      <x:c r="G627" s="8" t="n">
        <x:v>0</x:v>
      </x:c>
      <x:c r="H627" s="8" t="n">
        <x:v>6.5</x:v>
      </x:c>
      <x:c r="I627" s="8" t="n">
        <x:v>0</x:v>
      </x:c>
      <x:c r="J627" s="8" t="n">
        <x:v>100</x:v>
      </x:c>
      <x:c r="K627" s="8" t="n">
        <x:v>1.47</x:v>
      </x:c>
      <x:c r="L627" s="8" t="n">
        <x:v>0</x:v>
      </x:c>
      <x:c r="M627" s="8" t="n">
        <x:v>0</x:v>
      </x:c>
      <x:c r="N627" s="8" t="n">
        <x:v>800</x:v>
      </x:c>
      <x:c r="O627" s="8" t="n">
        <x:v>0</x:v>
      </x:c>
      <x:c r="P627" s="8"/>
      <x:c r="Q627" s="9" t="n">
        <x:v>52</x:v>
      </x:c>
      <x:c r="R627" s="1" t="str">
        <x:v>Review receipt reconciliation or original PO baseline</x:v>
      </x:c>
      <x:c r="S627" s="1" t="str">
        <x:v>Plastic Product Information.csv</x:v>
      </x:c>
    </x:row>
    <x:row r="628" ht="21" customHeight="1">
      <x:c r="A628" s="1" t="str">
        <x:v>PLAS</x:v>
      </x:c>
      <x:c r="B628" s="1" t="str">
        <x:v>10</x:v>
      </x:c>
      <x:c r="C628" s="1" t="str">
        <x:v>11416RSLMAR</x:v>
      </x:c>
      <x:c r="D628" s="1" t="str">
        <x:v>GOLDEN CHAMPION IND. LIMITED</x:v>
      </x:c>
      <x:c r="E628" s="7" t="n">
        <x:v>46303</x:v>
      </x:c>
      <x:c r="F628" s="8" t="n">
        <x:v>1000</x:v>
      </x:c>
      <x:c r="G628" s="8" t="n">
        <x:v>0</x:v>
      </x:c>
      <x:c r="H628" s="8" t="n">
        <x:v>6.5</x:v>
      </x:c>
      <x:c r="I628" s="8" t="n">
        <x:v>0</x:v>
      </x:c>
      <x:c r="J628" s="8" t="n">
        <x:v>100</x:v>
      </x:c>
      <x:c r="K628" s="8" t="n">
        <x:v>1.47</x:v>
      </x:c>
      <x:c r="L628" s="8" t="n">
        <x:v>0</x:v>
      </x:c>
      <x:c r="M628" s="8" t="n">
        <x:v>0</x:v>
      </x:c>
      <x:c r="N628" s="8" t="n">
        <x:v>1000</x:v>
      </x:c>
      <x:c r="O628" s="8" t="n">
        <x:v>0</x:v>
      </x:c>
      <x:c r="P628" s="8"/>
      <x:c r="Q628" s="9" t="n">
        <x:v>65</x:v>
      </x:c>
      <x:c r="R628" s="1" t="str">
        <x:v>Review receipt reconciliation or original PO baseline</x:v>
      </x:c>
      <x:c r="S628" s="1" t="str">
        <x:v>Plastic Product Information.csv</x:v>
      </x:c>
    </x:row>
    <x:row r="629" ht="21" customHeight="1">
      <x:c r="A629" s="1" t="str">
        <x:v>PLAS</x:v>
      </x:c>
      <x:c r="B629" s="1" t="str">
        <x:v>10</x:v>
      </x:c>
      <x:c r="C629" s="1" t="str">
        <x:v>11416RSLNAV</x:v>
      </x:c>
      <x:c r="D629" s="1" t="str">
        <x:v>GOLDEN CHAMPION IND. LIMITED</x:v>
      </x:c>
      <x:c r="E629" s="7" t="n">
        <x:v>46303</x:v>
      </x:c>
      <x:c r="F629" s="8" t="n">
        <x:v>500</x:v>
      </x:c>
      <x:c r="G629" s="8" t="n">
        <x:v>0</x:v>
      </x:c>
      <x:c r="H629" s="8" t="n">
        <x:v>6.5</x:v>
      </x:c>
      <x:c r="I629" s="8" t="n">
        <x:v>0</x:v>
      </x:c>
      <x:c r="J629" s="8" t="n">
        <x:v>100</x:v>
      </x:c>
      <x:c r="K629" s="8" t="n">
        <x:v>1.47</x:v>
      </x:c>
      <x:c r="L629" s="8" t="n">
        <x:v>0</x:v>
      </x:c>
      <x:c r="M629" s="8" t="n">
        <x:v>0</x:v>
      </x:c>
      <x:c r="N629" s="8" t="n">
        <x:v>500</x:v>
      </x:c>
      <x:c r="O629" s="8" t="n">
        <x:v>0</x:v>
      </x:c>
      <x:c r="P629" s="8"/>
      <x:c r="Q629" s="9" t="n">
        <x:v>32.5</x:v>
      </x:c>
      <x:c r="R629" s="1" t="str">
        <x:v>Review receipt reconciliation or original PO baseline</x:v>
      </x:c>
      <x:c r="S629" s="1" t="str">
        <x:v>Plastic Product Information.csv</x:v>
      </x:c>
    </x:row>
    <x:row r="630" ht="21" customHeight="1">
      <x:c r="A630" s="1" t="str">
        <x:v>PLAS</x:v>
      </x:c>
      <x:c r="B630" s="1" t="str">
        <x:v>10</x:v>
      </x:c>
      <x:c r="C630" s="1" t="str">
        <x:v>11416RSLRED</x:v>
      </x:c>
      <x:c r="D630" s="1" t="str">
        <x:v>GOLDEN CHAMPION IND. LIMITED</x:v>
      </x:c>
      <x:c r="E630" s="7" t="n">
        <x:v>46303</x:v>
      </x:c>
      <x:c r="F630" s="8" t="n">
        <x:v>500</x:v>
      </x:c>
      <x:c r="G630" s="8" t="n">
        <x:v>0</x:v>
      </x:c>
      <x:c r="H630" s="8" t="n">
        <x:v>6.5</x:v>
      </x:c>
      <x:c r="I630" s="8" t="n">
        <x:v>0</x:v>
      </x:c>
      <x:c r="J630" s="8" t="n">
        <x:v>100</x:v>
      </x:c>
      <x:c r="K630" s="8" t="n">
        <x:v>1.47</x:v>
      </x:c>
      <x:c r="L630" s="8" t="n">
        <x:v>0</x:v>
      </x:c>
      <x:c r="M630" s="8" t="n">
        <x:v>0</x:v>
      </x:c>
      <x:c r="N630" s="8" t="n">
        <x:v>500</x:v>
      </x:c>
      <x:c r="O630" s="8" t="n">
        <x:v>0</x:v>
      </x:c>
      <x:c r="P630" s="8"/>
      <x:c r="Q630" s="9" t="n">
        <x:v>32.5</x:v>
      </x:c>
      <x:c r="R630" s="1" t="str">
        <x:v>Review receipt reconciliation or original PO baseline</x:v>
      </x:c>
      <x:c r="S630" s="1" t="str">
        <x:v>Plastic Product Information.csv</x:v>
      </x:c>
    </x:row>
    <x:row r="631" ht="21" customHeight="1">
      <x:c r="A631" s="1" t="str">
        <x:v>PLAS</x:v>
      </x:c>
      <x:c r="B631" s="1" t="str">
        <x:v>10</x:v>
      </x:c>
      <x:c r="C631" s="1" t="str">
        <x:v>11421RSLBLK</x:v>
      </x:c>
      <x:c r="D631" s="1" t="str">
        <x:v>GOLDEN CHAMPION IND. LIMITED</x:v>
      </x:c>
      <x:c r="E631" s="7" t="n">
        <x:v>46303</x:v>
      </x:c>
      <x:c r="F631" s="8" t="n">
        <x:v>6000</x:v>
      </x:c>
      <x:c r="G631" s="8" t="n">
        <x:v>0</x:v>
      </x:c>
      <x:c r="H631" s="8" t="n">
        <x:v>11.05</x:v>
      </x:c>
      <x:c r="I631" s="8" t="n">
        <x:v>8.8</x:v>
      </x:c>
      <x:c r="J631" s="8" t="n">
        <x:v>100</x:v>
      </x:c>
      <x:c r="K631" s="8" t="n">
        <x:v>1.47</x:v>
      </x:c>
      <x:c r="L631" s="8" t="n">
        <x:v>6000</x:v>
      </x:c>
      <x:c r="M631" s="8" t="n">
        <x:v>0</x:v>
      </x:c>
      <x:c r="N631" s="8" t="n">
        <x:v>0</x:v>
      </x:c>
      <x:c r="O631" s="8" t="n">
        <x:v>1</x:v>
      </x:c>
      <x:c r="P631" s="8" t="n">
        <x:v>7.52</x:v>
      </x:c>
      <x:c r="Q631" s="9" t="n">
        <x:v>663</x:v>
      </x:c>
      <x:c r="R631" s="1" t="str">
        <x:v>Classified</x:v>
      </x:c>
      <x:c r="S631" s="1" t="str">
        <x:v>Plastic Product Information.csv</x:v>
      </x:c>
    </x:row>
    <x:row r="632" ht="21" customHeight="1">
      <x:c r="A632" s="1" t="str">
        <x:v>PLAS</x:v>
      </x:c>
      <x:c r="B632" s="1" t="str">
        <x:v>10</x:v>
      </x:c>
      <x:c r="C632" s="1" t="str">
        <x:v>11480ROVRED</x:v>
      </x:c>
      <x:c r="D632" s="1" t="str">
        <x:v>GOLDEN CHAMPION IND. LIMITED</x:v>
      </x:c>
      <x:c r="E632" s="7" t="n">
        <x:v>46303</x:v>
      </x:c>
      <x:c r="F632" s="8" t="n">
        <x:v>600</x:v>
      </x:c>
      <x:c r="G632" s="8" t="n">
        <x:v>0</x:v>
      </x:c>
      <x:c r="H632" s="8" t="n">
        <x:v>36.81</x:v>
      </x:c>
      <x:c r="I632" s="8" t="n">
        <x:v>37.81</x:v>
      </x:c>
      <x:c r="J632" s="8" t="n">
        <x:v>100</x:v>
      </x:c>
      <x:c r="K632" s="8" t="n">
        <x:v>1.47</x:v>
      </x:c>
      <x:c r="L632" s="8" t="n">
        <x:v>0</x:v>
      </x:c>
      <x:c r="M632" s="8" t="n">
        <x:v>0</x:v>
      </x:c>
      <x:c r="N632" s="8" t="n">
        <x:v>600</x:v>
      </x:c>
      <x:c r="O632" s="8" t="n">
        <x:v>0</x:v>
      </x:c>
      <x:c r="P632" s="8" t="n">
        <x:v>32.32</x:v>
      </x:c>
      <x:c r="Q632" s="9" t="n">
        <x:v>220.86</x:v>
      </x:c>
      <x:c r="R632" s="1" t="str">
        <x:v>Review receipt reconciliation or original PO baseline</x:v>
      </x:c>
      <x:c r="S632" s="1" t="str">
        <x:v>Plastic Product Information.csv</x:v>
      </x:c>
    </x:row>
    <x:row r="633" ht="21" customHeight="1">
      <x:c r="A633" s="1" t="str">
        <x:v>PLAS</x:v>
      </x:c>
      <x:c r="B633" s="1" t="str">
        <x:v>10</x:v>
      </x:c>
      <x:c r="C633" s="1" t="str">
        <x:v>11480ROVWHT</x:v>
      </x:c>
      <x:c r="D633" s="1" t="str">
        <x:v>GOLDEN CHAMPION IND. LIMITED</x:v>
      </x:c>
      <x:c r="E633" s="7" t="n">
        <x:v>46303</x:v>
      </x:c>
      <x:c r="F633" s="8" t="n">
        <x:v>1378</x:v>
      </x:c>
      <x:c r="G633" s="8" t="n">
        <x:v>0</x:v>
      </x:c>
      <x:c r="H633" s="8" t="n">
        <x:v>47.51</x:v>
      </x:c>
      <x:c r="I633" s="8" t="n">
        <x:v>37.81</x:v>
      </x:c>
      <x:c r="J633" s="8" t="n">
        <x:v>100</x:v>
      </x:c>
      <x:c r="K633" s="8" t="n">
        <x:v>1.47</x:v>
      </x:c>
      <x:c r="L633" s="8" t="n">
        <x:v>0</x:v>
      </x:c>
      <x:c r="M633" s="8" t="n">
        <x:v>0</x:v>
      </x:c>
      <x:c r="N633" s="8" t="n">
        <x:v>1378</x:v>
      </x:c>
      <x:c r="O633" s="8" t="n">
        <x:v>0</x:v>
      </x:c>
      <x:c r="P633" s="8" t="n">
        <x:v>32.32</x:v>
      </x:c>
      <x:c r="Q633" s="9" t="n">
        <x:v>654.6878</x:v>
      </x:c>
      <x:c r="R633" s="1" t="str">
        <x:v>Review receipt reconciliation or original PO baseline</x:v>
      </x:c>
      <x:c r="S633" s="1" t="str">
        <x:v>Plastic Product Information.csv</x:v>
      </x:c>
    </x:row>
    <x:row r="634" ht="21" customHeight="1">
      <x:c r="A634" s="1" t="str">
        <x:v>PLAS</x:v>
      </x:c>
      <x:c r="B634" s="1" t="str">
        <x:v>10</x:v>
      </x:c>
      <x:c r="C634" s="1" t="str">
        <x:v>11815ROVBLU</x:v>
      </x:c>
      <x:c r="D634" s="1" t="str">
        <x:v>GOLDEN CHAMPION IND. LIMITED</x:v>
      </x:c>
      <x:c r="E634" s="7" t="n">
        <x:v>46303</x:v>
      </x:c>
      <x:c r="F634" s="8" t="n">
        <x:v>7000</x:v>
      </x:c>
      <x:c r="G634" s="8" t="n">
        <x:v>0</x:v>
      </x:c>
      <x:c r="H634" s="8" t="n">
        <x:v>8.41</x:v>
      </x:c>
      <x:c r="I634" s="8" t="n">
        <x:v>6.69</x:v>
      </x:c>
      <x:c r="J634" s="8" t="n">
        <x:v>100</x:v>
      </x:c>
      <x:c r="K634" s="8" t="n">
        <x:v>1.47</x:v>
      </x:c>
      <x:c r="L634" s="8" t="n">
        <x:v>7000</x:v>
      </x:c>
      <x:c r="M634" s="8" t="n">
        <x:v>0</x:v>
      </x:c>
      <x:c r="N634" s="8" t="n">
        <x:v>0</x:v>
      </x:c>
      <x:c r="O634" s="8" t="n">
        <x:v>1</x:v>
      </x:c>
      <x:c r="P634" s="8" t="n">
        <x:v>5.72</x:v>
      </x:c>
      <x:c r="Q634" s="9" t="n">
        <x:v>588.7</x:v>
      </x:c>
      <x:c r="R634" s="1" t="str">
        <x:v>Classified</x:v>
      </x:c>
      <x:c r="S634" s="1" t="str">
        <x:v>Plastic Product Information.csv</x:v>
      </x:c>
    </x:row>
    <x:row r="635" ht="21" customHeight="1">
      <x:c r="A635" s="1" t="str">
        <x:v>PLAS</x:v>
      </x:c>
      <x:c r="B635" s="1" t="str">
        <x:v>10</x:v>
      </x:c>
      <x:c r="C635" s="1" t="str">
        <x:v>11815ROVBRN</x:v>
      </x:c>
      <x:c r="D635" s="1" t="str">
        <x:v>GOLDEN CHAMPION IND. LIMITED</x:v>
      </x:c>
      <x:c r="E635" s="7" t="n">
        <x:v>46303</x:v>
      </x:c>
      <x:c r="F635" s="8" t="n">
        <x:v>6000</x:v>
      </x:c>
      <x:c r="G635" s="8" t="n">
        <x:v>0</x:v>
      </x:c>
      <x:c r="H635" s="8" t="n">
        <x:v>8.41</x:v>
      </x:c>
      <x:c r="I635" s="8" t="n">
        <x:v>6.69</x:v>
      </x:c>
      <x:c r="J635" s="8" t="n">
        <x:v>100</x:v>
      </x:c>
      <x:c r="K635" s="8" t="n">
        <x:v>1.47</x:v>
      </x:c>
      <x:c r="L635" s="8" t="n">
        <x:v>6000</x:v>
      </x:c>
      <x:c r="M635" s="8" t="n">
        <x:v>0</x:v>
      </x:c>
      <x:c r="N635" s="8" t="n">
        <x:v>0</x:v>
      </x:c>
      <x:c r="O635" s="8" t="n">
        <x:v>1</x:v>
      </x:c>
      <x:c r="P635" s="8" t="n">
        <x:v>5.72</x:v>
      </x:c>
      <x:c r="Q635" s="9" t="n">
        <x:v>504.6</x:v>
      </x:c>
      <x:c r="R635" s="1" t="str">
        <x:v>Classified</x:v>
      </x:c>
      <x:c r="S635" s="1" t="str">
        <x:v>Plastic Product Information.csv</x:v>
      </x:c>
    </x:row>
    <x:row r="636" ht="21" customHeight="1">
      <x:c r="A636" s="1" t="str">
        <x:v>PLAS</x:v>
      </x:c>
      <x:c r="B636" s="1" t="str">
        <x:v>10</x:v>
      </x:c>
      <x:c r="C636" s="1" t="str">
        <x:v>11815ROVNAV</x:v>
      </x:c>
      <x:c r="D636" s="1" t="str">
        <x:v>GOLDEN CHAMPION IND. LIMITED</x:v>
      </x:c>
      <x:c r="E636" s="7" t="n">
        <x:v>46303</x:v>
      </x:c>
      <x:c r="F636" s="8" t="n">
        <x:v>2730</x:v>
      </x:c>
      <x:c r="G636" s="8" t="n">
        <x:v>0</x:v>
      </x:c>
      <x:c r="H636" s="8" t="n">
        <x:v>8.41</x:v>
      </x:c>
      <x:c r="I636" s="8" t="n">
        <x:v>6.69</x:v>
      </x:c>
      <x:c r="J636" s="8" t="n">
        <x:v>100</x:v>
      </x:c>
      <x:c r="K636" s="8" t="n">
        <x:v>1.47</x:v>
      </x:c>
      <x:c r="L636" s="8" t="n">
        <x:v>0</x:v>
      </x:c>
      <x:c r="M636" s="8" t="n">
        <x:v>0</x:v>
      </x:c>
      <x:c r="N636" s="8" t="n">
        <x:v>2730</x:v>
      </x:c>
      <x:c r="O636" s="8" t="n">
        <x:v>0</x:v>
      </x:c>
      <x:c r="P636" s="8" t="n">
        <x:v>5.72</x:v>
      </x:c>
      <x:c r="Q636" s="9" t="n">
        <x:v>229.593</x:v>
      </x:c>
      <x:c r="R636" s="1" t="str">
        <x:v>Review receipt reconciliation or original PO baseline</x:v>
      </x:c>
      <x:c r="S636" s="1" t="str">
        <x:v>Plastic Product Information.csv</x:v>
      </x:c>
    </x:row>
    <x:row r="637" ht="21" customHeight="1">
      <x:c r="A637" s="1" t="str">
        <x:v>PLAS</x:v>
      </x:c>
      <x:c r="B637" s="1" t="str">
        <x:v>10</x:v>
      </x:c>
      <x:c r="C637" s="1" t="str">
        <x:v>11815ROVRED</x:v>
      </x:c>
      <x:c r="D637" s="1" t="str">
        <x:v>GOLDEN CHAMPION IND. LIMITED</x:v>
      </x:c>
      <x:c r="E637" s="7" t="n">
        <x:v>46303</x:v>
      </x:c>
      <x:c r="F637" s="8" t="n">
        <x:v>2500</x:v>
      </x:c>
      <x:c r="G637" s="8" t="n">
        <x:v>0</x:v>
      </x:c>
      <x:c r="H637" s="8" t="n">
        <x:v>8.41</x:v>
      </x:c>
      <x:c r="I637" s="8" t="n">
        <x:v>6.69</x:v>
      </x:c>
      <x:c r="J637" s="8" t="n">
        <x:v>100</x:v>
      </x:c>
      <x:c r="K637" s="8" t="n">
        <x:v>1.47</x:v>
      </x:c>
      <x:c r="L637" s="8" t="n">
        <x:v>0</x:v>
      </x:c>
      <x:c r="M637" s="8" t="n">
        <x:v>0</x:v>
      </x:c>
      <x:c r="N637" s="8" t="n">
        <x:v>2500</x:v>
      </x:c>
      <x:c r="O637" s="8" t="n">
        <x:v>0</x:v>
      </x:c>
      <x:c r="P637" s="8" t="n">
        <x:v>5.72</x:v>
      </x:c>
      <x:c r="Q637" s="9" t="n">
        <x:v>210.25</x:v>
      </x:c>
      <x:c r="R637" s="1" t="str">
        <x:v>Review receipt reconciliation or original PO baseline</x:v>
      </x:c>
      <x:c r="S637" s="1" t="str">
        <x:v>Plastic Product Information.csv</x:v>
      </x:c>
    </x:row>
    <x:row r="638" ht="21" customHeight="1">
      <x:c r="A638" s="1" t="str">
        <x:v>PLAS</x:v>
      </x:c>
      <x:c r="B638" s="1" t="str">
        <x:v>10</x:v>
      </x:c>
      <x:c r="C638" s="1" t="str">
        <x:v>11815ROVWHT</x:v>
      </x:c>
      <x:c r="D638" s="1" t="str">
        <x:v>GOLDEN CHAMPION IND. LIMITED</x:v>
      </x:c>
      <x:c r="E638" s="7" t="n">
        <x:v>46303</x:v>
      </x:c>
      <x:c r="F638" s="8" t="n">
        <x:v>5500</x:v>
      </x:c>
      <x:c r="G638" s="8" t="n">
        <x:v>0</x:v>
      </x:c>
      <x:c r="H638" s="8" t="n">
        <x:v>8.41</x:v>
      </x:c>
      <x:c r="I638" s="8" t="n">
        <x:v>6.69</x:v>
      </x:c>
      <x:c r="J638" s="8" t="n">
        <x:v>100</x:v>
      </x:c>
      <x:c r="K638" s="8" t="n">
        <x:v>1.47</x:v>
      </x:c>
      <x:c r="L638" s="8" t="n">
        <x:v>0</x:v>
      </x:c>
      <x:c r="M638" s="8" t="n">
        <x:v>0</x:v>
      </x:c>
      <x:c r="N638" s="8" t="n">
        <x:v>5500</x:v>
      </x:c>
      <x:c r="O638" s="8" t="n">
        <x:v>0</x:v>
      </x:c>
      <x:c r="P638" s="8" t="n">
        <x:v>5.72</x:v>
      </x:c>
      <x:c r="Q638" s="9" t="n">
        <x:v>462.55</x:v>
      </x:c>
      <x:c r="R638" s="1" t="str">
        <x:v>Review receipt reconciliation or original PO baseline</x:v>
      </x:c>
      <x:c r="S638" s="1" t="str">
        <x:v>Plastic Product Information.csv</x:v>
      </x:c>
    </x:row>
    <x:row r="639" ht="21" customHeight="1">
      <x:c r="A639" s="1" t="str">
        <x:v>PLAS</x:v>
      </x:c>
      <x:c r="B639" s="1" t="str">
        <x:v>10</x:v>
      </x:c>
      <x:c r="C639" s="1" t="str">
        <x:v>11815RWBBLK</x:v>
      </x:c>
      <x:c r="D639" s="1" t="str">
        <x:v>GOLDEN CHAMPION IND. LIMITED</x:v>
      </x:c>
      <x:c r="E639" s="7" t="n">
        <x:v>46303</x:v>
      </x:c>
      <x:c r="F639" s="8" t="n">
        <x:v>3982</x:v>
      </x:c>
      <x:c r="G639" s="8" t="n">
        <x:v>0</x:v>
      </x:c>
      <x:c r="H639" s="8" t="n">
        <x:v>8.82</x:v>
      </x:c>
      <x:c r="I639" s="8" t="n">
        <x:v>7.02</x:v>
      </x:c>
      <x:c r="J639" s="8" t="n">
        <x:v>100</x:v>
      </x:c>
      <x:c r="K639" s="8" t="n">
        <x:v>1.47</x:v>
      </x:c>
      <x:c r="L639" s="8" t="n">
        <x:v>0</x:v>
      </x:c>
      <x:c r="M639" s="8" t="n">
        <x:v>0</x:v>
      </x:c>
      <x:c r="N639" s="8" t="n">
        <x:v>3982</x:v>
      </x:c>
      <x:c r="O639" s="8" t="n">
        <x:v>0</x:v>
      </x:c>
      <x:c r="P639" s="8" t="n">
        <x:v>6</x:v>
      </x:c>
      <x:c r="Q639" s="9" t="n">
        <x:v>351.2124</x:v>
      </x:c>
      <x:c r="R639" s="1" t="str">
        <x:v>Review receipt reconciliation or original PO baseline</x:v>
      </x:c>
      <x:c r="S639" s="1" t="str">
        <x:v>Plastic Product Information.csv</x:v>
      </x:c>
    </x:row>
    <x:row r="640" ht="21" customHeight="1">
      <x:c r="A640" s="1" t="str">
        <x:v>PLAS</x:v>
      </x:c>
      <x:c r="B640" s="1" t="str">
        <x:v>10</x:v>
      </x:c>
      <x:c r="C640" s="1" t="str">
        <x:v>11815RWBFG</x:v>
      </x:c>
      <x:c r="D640" s="1" t="str">
        <x:v>GOLDEN CHAMPION IND. LIMITED</x:v>
      </x:c>
      <x:c r="E640" s="7" t="n">
        <x:v>46303</x:v>
      </x:c>
      <x:c r="F640" s="8" t="n">
        <x:v>18100</x:v>
      </x:c>
      <x:c r="G640" s="8" t="n">
        <x:v>0</x:v>
      </x:c>
      <x:c r="H640" s="8" t="n">
        <x:v>8.82</x:v>
      </x:c>
      <x:c r="I640" s="8" t="n">
        <x:v>7.02</x:v>
      </x:c>
      <x:c r="J640" s="8" t="n">
        <x:v>100</x:v>
      </x:c>
      <x:c r="K640" s="8" t="n">
        <x:v>1.47</x:v>
      </x:c>
      <x:c r="L640" s="8" t="n">
        <x:v>18100</x:v>
      </x:c>
      <x:c r="M640" s="8" t="n">
        <x:v>0</x:v>
      </x:c>
      <x:c r="N640" s="8" t="n">
        <x:v>0</x:v>
      </x:c>
      <x:c r="O640" s="8" t="n">
        <x:v>1</x:v>
      </x:c>
      <x:c r="P640" s="8" t="n">
        <x:v>6</x:v>
      </x:c>
      <x:c r="Q640" s="9" t="n">
        <x:v>1596.42</x:v>
      </x:c>
      <x:c r="R640" s="1" t="str">
        <x:v>Classified</x:v>
      </x:c>
      <x:c r="S640" s="1" t="str">
        <x:v>Plastic Product Information.csv</x:v>
      </x:c>
    </x:row>
    <x:row r="641" ht="21" customHeight="1">
      <x:c r="A641" s="1" t="str">
        <x:v>PLAS</x:v>
      </x:c>
      <x:c r="B641" s="1" t="str">
        <x:v>10</x:v>
      </x:c>
      <x:c r="C641" s="1" t="str">
        <x:v>11815RWBMAR</x:v>
      </x:c>
      <x:c r="D641" s="1" t="str">
        <x:v>GOLDEN CHAMPION IND. LIMITED</x:v>
      </x:c>
      <x:c r="E641" s="7" t="n">
        <x:v>46303</x:v>
      </x:c>
      <x:c r="F641" s="8" t="n">
        <x:v>1500</x:v>
      </x:c>
      <x:c r="G641" s="8" t="n">
        <x:v>0</x:v>
      </x:c>
      <x:c r="H641" s="8" t="n">
        <x:v>8.82</x:v>
      </x:c>
      <x:c r="I641" s="8" t="n">
        <x:v>7.02</x:v>
      </x:c>
      <x:c r="J641" s="8" t="n">
        <x:v>100</x:v>
      </x:c>
      <x:c r="K641" s="8" t="n">
        <x:v>1.47</x:v>
      </x:c>
      <x:c r="L641" s="8" t="n">
        <x:v>0</x:v>
      </x:c>
      <x:c r="M641" s="8" t="n">
        <x:v>0</x:v>
      </x:c>
      <x:c r="N641" s="8" t="n">
        <x:v>1500</x:v>
      </x:c>
      <x:c r="O641" s="8" t="n">
        <x:v>0</x:v>
      </x:c>
      <x:c r="P641" s="8" t="n">
        <x:v>6</x:v>
      </x:c>
      <x:c r="Q641" s="9" t="n">
        <x:v>132.3</x:v>
      </x:c>
      <x:c r="R641" s="1" t="str">
        <x:v>Review receipt reconciliation or original PO baseline</x:v>
      </x:c>
      <x:c r="S641" s="1" t="str">
        <x:v>Plastic Product Information.csv</x:v>
      </x:c>
    </x:row>
    <x:row r="642" ht="21" customHeight="1">
      <x:c r="A642" s="1" t="str">
        <x:v>PLAS</x:v>
      </x:c>
      <x:c r="B642" s="1" t="str">
        <x:v>10</x:v>
      </x:c>
      <x:c r="C642" s="1" t="str">
        <x:v>11815RWBNAV</x:v>
      </x:c>
      <x:c r="D642" s="1" t="str">
        <x:v>GOLDEN CHAMPION IND. LIMITED</x:v>
      </x:c>
      <x:c r="E642" s="7" t="n">
        <x:v>46303</x:v>
      </x:c>
      <x:c r="F642" s="8" t="n">
        <x:v>5000</x:v>
      </x:c>
      <x:c r="G642" s="8" t="n">
        <x:v>0</x:v>
      </x:c>
      <x:c r="H642" s="8" t="n">
        <x:v>8.82</x:v>
      </x:c>
      <x:c r="I642" s="8" t="n">
        <x:v>7.02</x:v>
      </x:c>
      <x:c r="J642" s="8" t="n">
        <x:v>100</x:v>
      </x:c>
      <x:c r="K642" s="8" t="n">
        <x:v>1.47</x:v>
      </x:c>
      <x:c r="L642" s="8" t="n">
        <x:v>0</x:v>
      </x:c>
      <x:c r="M642" s="8" t="n">
        <x:v>0</x:v>
      </x:c>
      <x:c r="N642" s="8" t="n">
        <x:v>5000</x:v>
      </x:c>
      <x:c r="O642" s="8" t="n">
        <x:v>0</x:v>
      </x:c>
      <x:c r="P642" s="8" t="n">
        <x:v>6</x:v>
      </x:c>
      <x:c r="Q642" s="9" t="n">
        <x:v>441</x:v>
      </x:c>
      <x:c r="R642" s="1" t="str">
        <x:v>Review receipt reconciliation or original PO baseline</x:v>
      </x:c>
      <x:c r="S642" s="1" t="str">
        <x:v>Plastic Product Information.csv</x:v>
      </x:c>
    </x:row>
    <x:row r="643" ht="21" customHeight="1">
      <x:c r="A643" s="1" t="str">
        <x:v>PLAS</x:v>
      </x:c>
      <x:c r="B643" s="1" t="str">
        <x:v>10</x:v>
      </x:c>
      <x:c r="C643" s="1" t="str">
        <x:v>11815RWBRED</x:v>
      </x:c>
      <x:c r="D643" s="1" t="str">
        <x:v>GOLDEN CHAMPION IND. LIMITED</x:v>
      </x:c>
      <x:c r="E643" s="7" t="n">
        <x:v>46303</x:v>
      </x:c>
      <x:c r="F643" s="8" t="n">
        <x:v>1000</x:v>
      </x:c>
      <x:c r="G643" s="8" t="n">
        <x:v>0</x:v>
      </x:c>
      <x:c r="H643" s="8" t="n">
        <x:v>8.82</x:v>
      </x:c>
      <x:c r="I643" s="8" t="n">
        <x:v>7.02</x:v>
      </x:c>
      <x:c r="J643" s="8" t="n">
        <x:v>100</x:v>
      </x:c>
      <x:c r="K643" s="8" t="n">
        <x:v>1.47</x:v>
      </x:c>
      <x:c r="L643" s="8" t="n">
        <x:v>0</x:v>
      </x:c>
      <x:c r="M643" s="8" t="n">
        <x:v>0</x:v>
      </x:c>
      <x:c r="N643" s="8" t="n">
        <x:v>1000</x:v>
      </x:c>
      <x:c r="O643" s="8" t="n">
        <x:v>0</x:v>
      </x:c>
      <x:c r="P643" s="8" t="n">
        <x:v>6</x:v>
      </x:c>
      <x:c r="Q643" s="9" t="n">
        <x:v>88.2</x:v>
      </x:c>
      <x:c r="R643" s="1" t="str">
        <x:v>Review receipt reconciliation or original PO baseline</x:v>
      </x:c>
      <x:c r="S643" s="1" t="str">
        <x:v>Plastic Product Information.csv</x:v>
      </x:c>
    </x:row>
    <x:row r="644" ht="21" customHeight="1">
      <x:c r="A644" s="1" t="str">
        <x:v>PLAS</x:v>
      </x:c>
      <x:c r="B644" s="1" t="str">
        <x:v>10</x:v>
      </x:c>
      <x:c r="C644" s="1" t="str">
        <x:v>11819RWBMAR</x:v>
      </x:c>
      <x:c r="D644" s="1" t="str">
        <x:v>GOLDEN CHAMPION IND. LIMITED</x:v>
      </x:c>
      <x:c r="E644" s="7" t="n">
        <x:v>46303</x:v>
      </x:c>
      <x:c r="F644" s="8" t="n">
        <x:v>1500</x:v>
      </x:c>
      <x:c r="G644" s="8" t="n">
        <x:v>0</x:v>
      </x:c>
      <x:c r="H644" s="8" t="n">
        <x:v>13.23</x:v>
      </x:c>
      <x:c r="I644" s="8" t="n">
        <x:v>10.53</x:v>
      </x:c>
      <x:c r="J644" s="8" t="n">
        <x:v>100</x:v>
      </x:c>
      <x:c r="K644" s="8" t="n">
        <x:v>1.47</x:v>
      </x:c>
      <x:c r="L644" s="8" t="n">
        <x:v>0</x:v>
      </x:c>
      <x:c r="M644" s="8" t="n">
        <x:v>0</x:v>
      </x:c>
      <x:c r="N644" s="8" t="n">
        <x:v>1500</x:v>
      </x:c>
      <x:c r="O644" s="8" t="n">
        <x:v>0</x:v>
      </x:c>
      <x:c r="P644" s="8" t="n">
        <x:v>9</x:v>
      </x:c>
      <x:c r="Q644" s="9" t="n">
        <x:v>198.45000000000002</x:v>
      </x:c>
      <x:c r="R644" s="1" t="str">
        <x:v>Review receipt reconciliation or original PO baseline</x:v>
      </x:c>
      <x:c r="S644" s="1" t="str">
        <x:v>Plastic Product Information.csv</x:v>
      </x:c>
    </x:row>
    <x:row r="645" ht="21" customHeight="1">
      <x:c r="A645" s="1" t="str">
        <x:v>PLAS</x:v>
      </x:c>
      <x:c r="B645" s="1" t="str">
        <x:v>10</x:v>
      </x:c>
      <x:c r="C645" s="1" t="str">
        <x:v>11880RWBBLK</x:v>
      </x:c>
      <x:c r="D645" s="1" t="str">
        <x:v>GOLDEN CHAMPION IND. LIMITED</x:v>
      </x:c>
      <x:c r="E645" s="7" t="n">
        <x:v>46303</x:v>
      </x:c>
      <x:c r="F645" s="8" t="n">
        <x:v>1102</x:v>
      </x:c>
      <x:c r="G645" s="8" t="n">
        <x:v>0</x:v>
      </x:c>
      <x:c r="H645" s="8" t="n">
        <x:v>49.47</x:v>
      </x:c>
      <x:c r="I645" s="8" t="n">
        <x:v>39.37</x:v>
      </x:c>
      <x:c r="J645" s="8" t="n">
        <x:v>100</x:v>
      </x:c>
      <x:c r="K645" s="8" t="n">
        <x:v>1.47</x:v>
      </x:c>
      <x:c r="L645" s="8" t="n">
        <x:v>702</x:v>
      </x:c>
      <x:c r="M645" s="8" t="n">
        <x:v>400</x:v>
      </x:c>
      <x:c r="N645" s="8" t="n">
        <x:v>0</x:v>
      </x:c>
      <x:c r="O645" s="8" t="n">
        <x:v>1</x:v>
      </x:c>
      <x:c r="P645" s="8" t="n">
        <x:v>33.65</x:v>
      </x:c>
      <x:c r="Q645" s="9" t="n">
        <x:v>545.1594</x:v>
      </x:c>
      <x:c r="R645" s="1" t="str">
        <x:v>Classified</x:v>
      </x:c>
      <x:c r="S645" s="1" t="str">
        <x:v>Plastic Product Information.csv</x:v>
      </x:c>
    </x:row>
    <x:row r="646" ht="21" customHeight="1">
      <x:c r="A646" s="1" t="str">
        <x:v>PLAS</x:v>
      </x:c>
      <x:c r="B646" s="1" t="str">
        <x:v>10</x:v>
      </x:c>
      <x:c r="C646" s="1" t="str">
        <x:v>11880RWBBLU</x:v>
      </x:c>
      <x:c r="D646" s="1" t="str">
        <x:v>GOLDEN CHAMPION IND. LIMITED</x:v>
      </x:c>
      <x:c r="E646" s="7" t="n">
        <x:v>46303</x:v>
      </x:c>
      <x:c r="F646" s="8" t="n">
        <x:v>614</x:v>
      </x:c>
      <x:c r="G646" s="8" t="n">
        <x:v>0</x:v>
      </x:c>
      <x:c r="H646" s="8" t="n">
        <x:v>39.01</x:v>
      </x:c>
      <x:c r="I646" s="8" t="n">
        <x:v>0</x:v>
      </x:c>
      <x:c r="J646" s="8" t="n">
        <x:v>100</x:v>
      </x:c>
      <x:c r="K646" s="8" t="n">
        <x:v>1.47</x:v>
      </x:c>
      <x:c r="L646" s="8" t="n">
        <x:v>0</x:v>
      </x:c>
      <x:c r="M646" s="8" t="n">
        <x:v>0</x:v>
      </x:c>
      <x:c r="N646" s="8" t="n">
        <x:v>614</x:v>
      </x:c>
      <x:c r="O646" s="8" t="n">
        <x:v>0</x:v>
      </x:c>
      <x:c r="P646" s="8"/>
      <x:c r="Q646" s="9" t="n">
        <x:v>239.5214</x:v>
      </x:c>
      <x:c r="R646" s="1" t="str">
        <x:v>Review receipt reconciliation or original PO baseline</x:v>
      </x:c>
      <x:c r="S646" s="1" t="str">
        <x:v>Plastic Product Information.csv</x:v>
      </x:c>
    </x:row>
    <x:row r="647" ht="21" customHeight="1">
      <x:c r="A647" s="1" t="str">
        <x:v>PLAS</x:v>
      </x:c>
      <x:c r="B647" s="1" t="str">
        <x:v>10</x:v>
      </x:c>
      <x:c r="C647" s="1" t="str">
        <x:v>11880RWBCLR</x:v>
      </x:c>
      <x:c r="D647" s="1" t="str">
        <x:v>GOLDEN CHAMPION IND. LIMITED</x:v>
      </x:c>
      <x:c r="E647" s="7" t="n">
        <x:v>46303</x:v>
      </x:c>
      <x:c r="F647" s="8" t="n">
        <x:v>730</x:v>
      </x:c>
      <x:c r="G647" s="8" t="n">
        <x:v>0</x:v>
      </x:c>
      <x:c r="H647" s="8" t="n">
        <x:v>49.47</x:v>
      </x:c>
      <x:c r="I647" s="8" t="n">
        <x:v>39.37</x:v>
      </x:c>
      <x:c r="J647" s="8" t="n">
        <x:v>100</x:v>
      </x:c>
      <x:c r="K647" s="8" t="n">
        <x:v>1.47</x:v>
      </x:c>
      <x:c r="L647" s="8" t="n">
        <x:v>0</x:v>
      </x:c>
      <x:c r="M647" s="8" t="n">
        <x:v>0</x:v>
      </x:c>
      <x:c r="N647" s="8" t="n">
        <x:v>730</x:v>
      </x:c>
      <x:c r="O647" s="8" t="n">
        <x:v>0</x:v>
      </x:c>
      <x:c r="P647" s="8" t="n">
        <x:v>33.65</x:v>
      </x:c>
      <x:c r="Q647" s="9" t="n">
        <x:v>361.131</x:v>
      </x:c>
      <x:c r="R647" s="1" t="str">
        <x:v>Review receipt reconciliation or original PO baseline</x:v>
      </x:c>
      <x:c r="S647" s="1" t="str">
        <x:v>Plastic Product Information.csv</x:v>
      </x:c>
    </x:row>
    <x:row r="648" ht="21" customHeight="1">
      <x:c r="A648" s="1" t="str">
        <x:v>PLAS</x:v>
      </x:c>
      <x:c r="B648" s="1" t="str">
        <x:v>10</x:v>
      </x:c>
      <x:c r="C648" s="1" t="str">
        <x:v>11880RWBFG</x:v>
      </x:c>
      <x:c r="D648" s="1" t="str">
        <x:v>GOLDEN CHAMPION IND. LIMITED</x:v>
      </x:c>
      <x:c r="E648" s="7" t="n">
        <x:v>46303</x:v>
      </x:c>
      <x:c r="F648" s="8" t="n">
        <x:v>3000</x:v>
      </x:c>
      <x:c r="G648" s="8" t="n">
        <x:v>0</x:v>
      </x:c>
      <x:c r="H648" s="8" t="n">
        <x:v>49.47</x:v>
      </x:c>
      <x:c r="I648" s="8" t="n">
        <x:v>39.37</x:v>
      </x:c>
      <x:c r="J648" s="8" t="n">
        <x:v>100</x:v>
      </x:c>
      <x:c r="K648" s="8" t="n">
        <x:v>1.47</x:v>
      </x:c>
      <x:c r="L648" s="8" t="n">
        <x:v>3000</x:v>
      </x:c>
      <x:c r="M648" s="8" t="n">
        <x:v>0</x:v>
      </x:c>
      <x:c r="N648" s="8" t="n">
        <x:v>0</x:v>
      </x:c>
      <x:c r="O648" s="8" t="n">
        <x:v>1</x:v>
      </x:c>
      <x:c r="P648" s="8" t="n">
        <x:v>33.65</x:v>
      </x:c>
      <x:c r="Q648" s="9" t="n">
        <x:v>1484.1000000000001</x:v>
      </x:c>
      <x:c r="R648" s="1" t="str">
        <x:v>Classified</x:v>
      </x:c>
      <x:c r="S648" s="1" t="str">
        <x:v>Plastic Product Information.csv</x:v>
      </x:c>
    </x:row>
    <x:row r="649" ht="21" customHeight="1">
      <x:c r="A649" s="1" t="str">
        <x:v>PLAS</x:v>
      </x:c>
      <x:c r="B649" s="1" t="str">
        <x:v>10</x:v>
      </x:c>
      <x:c r="C649" s="1" t="str">
        <x:v>11880RWBMAR</x:v>
      </x:c>
      <x:c r="D649" s="1" t="str">
        <x:v>GOLDEN CHAMPION IND. LIMITED</x:v>
      </x:c>
      <x:c r="E649" s="7" t="n">
        <x:v>46303</x:v>
      </x:c>
      <x:c r="F649" s="8" t="n">
        <x:v>500</x:v>
      </x:c>
      <x:c r="G649" s="8" t="n">
        <x:v>0</x:v>
      </x:c>
      <x:c r="H649" s="8" t="n">
        <x:v>39.01</x:v>
      </x:c>
      <x:c r="I649" s="8" t="n">
        <x:v>0</x:v>
      </x:c>
      <x:c r="J649" s="8" t="n">
        <x:v>100</x:v>
      </x:c>
      <x:c r="K649" s="8" t="n">
        <x:v>1.47</x:v>
      </x:c>
      <x:c r="L649" s="8" t="n">
        <x:v>0</x:v>
      </x:c>
      <x:c r="M649" s="8" t="n">
        <x:v>0</x:v>
      </x:c>
      <x:c r="N649" s="8" t="n">
        <x:v>500</x:v>
      </x:c>
      <x:c r="O649" s="8" t="n">
        <x:v>0</x:v>
      </x:c>
      <x:c r="P649" s="8"/>
      <x:c r="Q649" s="9" t="n">
        <x:v>195.05</x:v>
      </x:c>
      <x:c r="R649" s="1" t="str">
        <x:v>Review receipt reconciliation or original PO baseline</x:v>
      </x:c>
      <x:c r="S649" s="1" t="str">
        <x:v>Plastic Product Information.csv</x:v>
      </x:c>
    </x:row>
    <x:row r="650" ht="21" customHeight="1">
      <x:c r="A650" s="1" t="str">
        <x:v>PLAS</x:v>
      </x:c>
      <x:c r="B650" s="1" t="str">
        <x:v>10</x:v>
      </x:c>
      <x:c r="C650" s="1" t="str">
        <x:v>11880RWBNAV</x:v>
      </x:c>
      <x:c r="D650" s="1" t="str">
        <x:v>GOLDEN CHAMPION IND. LIMITED</x:v>
      </x:c>
      <x:c r="E650" s="7" t="n">
        <x:v>46303</x:v>
      </x:c>
      <x:c r="F650" s="8" t="n">
        <x:v>736</x:v>
      </x:c>
      <x:c r="G650" s="8" t="n">
        <x:v>0</x:v>
      </x:c>
      <x:c r="H650" s="8" t="n">
        <x:v>39.01</x:v>
      </x:c>
      <x:c r="I650" s="8" t="n">
        <x:v>0</x:v>
      </x:c>
      <x:c r="J650" s="8" t="n">
        <x:v>100</x:v>
      </x:c>
      <x:c r="K650" s="8" t="n">
        <x:v>1.47</x:v>
      </x:c>
      <x:c r="L650" s="8" t="n">
        <x:v>0</x:v>
      </x:c>
      <x:c r="M650" s="8" t="n">
        <x:v>0</x:v>
      </x:c>
      <x:c r="N650" s="8" t="n">
        <x:v>736</x:v>
      </x:c>
      <x:c r="O650" s="8" t="n">
        <x:v>0</x:v>
      </x:c>
      <x:c r="P650" s="8"/>
      <x:c r="Q650" s="9" t="n">
        <x:v>287.11359999999996</x:v>
      </x:c>
      <x:c r="R650" s="1" t="str">
        <x:v>Review receipt reconciliation or original PO baseline</x:v>
      </x:c>
      <x:c r="S650" s="1" t="str">
        <x:v>Plastic Product Information.csv</x:v>
      </x:c>
    </x:row>
    <x:row r="651" ht="21" customHeight="1">
      <x:c r="A651" s="1" t="str">
        <x:v>PLAS</x:v>
      </x:c>
      <x:c r="B651" s="1" t="str">
        <x:v>10</x:v>
      </x:c>
      <x:c r="C651" s="1" t="str">
        <x:v>11880RWBRED</x:v>
      </x:c>
      <x:c r="D651" s="1" t="str">
        <x:v>GOLDEN CHAMPION IND. LIMITED</x:v>
      </x:c>
      <x:c r="E651" s="7" t="n">
        <x:v>46303</x:v>
      </x:c>
      <x:c r="F651" s="8" t="n">
        <x:v>437</x:v>
      </x:c>
      <x:c r="G651" s="8" t="n">
        <x:v>0</x:v>
      </x:c>
      <x:c r="H651" s="8" t="n">
        <x:v>39.01</x:v>
      </x:c>
      <x:c r="I651" s="8" t="n">
        <x:v>0</x:v>
      </x:c>
      <x:c r="J651" s="8" t="n">
        <x:v>100</x:v>
      </x:c>
      <x:c r="K651" s="8" t="n">
        <x:v>1.47</x:v>
      </x:c>
      <x:c r="L651" s="8" t="n">
        <x:v>0</x:v>
      </x:c>
      <x:c r="M651" s="8" t="n">
        <x:v>0</x:v>
      </x:c>
      <x:c r="N651" s="8" t="n">
        <x:v>437</x:v>
      </x:c>
      <x:c r="O651" s="8" t="n">
        <x:v>0</x:v>
      </x:c>
      <x:c r="P651" s="8"/>
      <x:c r="Q651" s="9" t="n">
        <x:v>170.47369999999998</x:v>
      </x:c>
      <x:c r="R651" s="1" t="str">
        <x:v>Review receipt reconciliation or original PO baseline</x:v>
      </x:c>
      <x:c r="S651" s="1" t="str">
        <x:v>Plastic Product Information.csv</x:v>
      </x:c>
    </x:row>
    <x:row r="652" ht="21" customHeight="1">
      <x:c r="A652" s="1" t="str">
        <x:v>PLAS</x:v>
      </x:c>
      <x:c r="B652" s="1" t="str">
        <x:v>10</x:v>
      </x:c>
      <x:c r="C652" s="1" t="str">
        <x:v>11880RWBWHT</x:v>
      </x:c>
      <x:c r="D652" s="1" t="str">
        <x:v>GOLDEN CHAMPION IND. LIMITED</x:v>
      </x:c>
      <x:c r="E652" s="7" t="n">
        <x:v>46303</x:v>
      </x:c>
      <x:c r="F652" s="8" t="n">
        <x:v>1823</x:v>
      </x:c>
      <x:c r="G652" s="8" t="n">
        <x:v>0</x:v>
      </x:c>
      <x:c r="H652" s="8" t="n">
        <x:v>49.47</x:v>
      </x:c>
      <x:c r="I652" s="8" t="n">
        <x:v>39.37</x:v>
      </x:c>
      <x:c r="J652" s="8" t="n">
        <x:v>100</x:v>
      </x:c>
      <x:c r="K652" s="8" t="n">
        <x:v>1.47</x:v>
      </x:c>
      <x:c r="L652" s="8" t="n">
        <x:v>1423</x:v>
      </x:c>
      <x:c r="M652" s="8" t="n">
        <x:v>400</x:v>
      </x:c>
      <x:c r="N652" s="8" t="n">
        <x:v>0</x:v>
      </x:c>
      <x:c r="O652" s="8" t="n">
        <x:v>1</x:v>
      </x:c>
      <x:c r="P652" s="8" t="n">
        <x:v>33.65</x:v>
      </x:c>
      <x:c r="Q652" s="9" t="n">
        <x:v>901.8380999999999</x:v>
      </x:c>
      <x:c r="R652" s="1" t="str">
        <x:v>Classified</x:v>
      </x:c>
      <x:c r="S652" s="1" t="str">
        <x:v>Plastic Product Information.csv</x:v>
      </x:c>
    </x:row>
    <x:row r="653" ht="21" customHeight="1">
      <x:c r="A653" s="1" t="str">
        <x:v>PLAS</x:v>
      </x:c>
      <x:c r="B653" s="1" t="str">
        <x:v>10</x:v>
      </x:c>
      <x:c r="C653" s="1" t="str">
        <x:v>13415ROVMAR</x:v>
      </x:c>
      <x:c r="D653" s="1" t="str">
        <x:v>GOLDEN CHAMPION IND. LIMITED</x:v>
      </x:c>
      <x:c r="E653" s="7" t="n">
        <x:v>46303</x:v>
      </x:c>
      <x:c r="F653" s="8" t="n">
        <x:v>500</x:v>
      </x:c>
      <x:c r="G653" s="8" t="n">
        <x:v>0</x:v>
      </x:c>
      <x:c r="H653" s="8" t="n">
        <x:v>8.56</x:v>
      </x:c>
      <x:c r="I653" s="8" t="n">
        <x:v>0</x:v>
      </x:c>
      <x:c r="J653" s="8" t="n">
        <x:v>100</x:v>
      </x:c>
      <x:c r="K653" s="8" t="n">
        <x:v>1.47</x:v>
      </x:c>
      <x:c r="L653" s="8" t="n">
        <x:v>0</x:v>
      </x:c>
      <x:c r="M653" s="8" t="n">
        <x:v>0</x:v>
      </x:c>
      <x:c r="N653" s="8" t="n">
        <x:v>500</x:v>
      </x:c>
      <x:c r="O653" s="8" t="n">
        <x:v>0</x:v>
      </x:c>
      <x:c r="P653" s="8"/>
      <x:c r="Q653" s="9" t="n">
        <x:v>42.800000000000004</x:v>
      </x:c>
      <x:c r="R653" s="1" t="str">
        <x:v>Review receipt reconciliation or original PO baseline</x:v>
      </x:c>
      <x:c r="S653" s="1" t="str">
        <x:v>Plastic Product Information.csv</x:v>
      </x:c>
    </x:row>
    <x:row r="654" ht="21" customHeight="1">
      <x:c r="A654" s="1" t="str">
        <x:v>PLAS</x:v>
      </x:c>
      <x:c r="B654" s="1" t="str">
        <x:v>10</x:v>
      </x:c>
      <x:c r="C654" s="1" t="str">
        <x:v>13415ROVNAV</x:v>
      </x:c>
      <x:c r="D654" s="1" t="str">
        <x:v>GOLDEN CHAMPION IND. LIMITED</x:v>
      </x:c>
      <x:c r="E654" s="7" t="n">
        <x:v>46303</x:v>
      </x:c>
      <x:c r="F654" s="8" t="n">
        <x:v>690</x:v>
      </x:c>
      <x:c r="G654" s="8" t="n">
        <x:v>0</x:v>
      </x:c>
      <x:c r="H654" s="8" t="n">
        <x:v>8.56</x:v>
      </x:c>
      <x:c r="I654" s="8" t="n">
        <x:v>0</x:v>
      </x:c>
      <x:c r="J654" s="8" t="n">
        <x:v>100</x:v>
      </x:c>
      <x:c r="K654" s="8" t="n">
        <x:v>1.47</x:v>
      </x:c>
      <x:c r="L654" s="8" t="n">
        <x:v>0</x:v>
      </x:c>
      <x:c r="M654" s="8" t="n">
        <x:v>0</x:v>
      </x:c>
      <x:c r="N654" s="8" t="n">
        <x:v>690</x:v>
      </x:c>
      <x:c r="O654" s="8" t="n">
        <x:v>0</x:v>
      </x:c>
      <x:c r="P654" s="8"/>
      <x:c r="Q654" s="9" t="n">
        <x:v>59.06400000000001</x:v>
      </x:c>
      <x:c r="R654" s="1" t="str">
        <x:v>Review receipt reconciliation or original PO baseline</x:v>
      </x:c>
      <x:c r="S654" s="1" t="str">
        <x:v>Plastic Product Information.csv</x:v>
      </x:c>
    </x:row>
    <x:row r="655" ht="21" customHeight="1">
      <x:c r="A655" s="1" t="str">
        <x:v>PLAS</x:v>
      </x:c>
      <x:c r="B655" s="1" t="str">
        <x:v>10</x:v>
      </x:c>
      <x:c r="C655" s="1" t="str">
        <x:v>13415RSLBLU</x:v>
      </x:c>
      <x:c r="D655" s="1" t="str">
        <x:v>GOLDEN CHAMPION IND. LIMITED</x:v>
      </x:c>
      <x:c r="E655" s="7" t="n">
        <x:v>46303</x:v>
      </x:c>
      <x:c r="F655" s="8" t="n">
        <x:v>1000</x:v>
      </x:c>
      <x:c r="G655" s="8" t="n">
        <x:v>0</x:v>
      </x:c>
      <x:c r="H655" s="8" t="n">
        <x:v>8.1</x:v>
      </x:c>
      <x:c r="I655" s="8" t="n">
        <x:v>8</x:v>
      </x:c>
      <x:c r="J655" s="8" t="n">
        <x:v>100</x:v>
      </x:c>
      <x:c r="K655" s="8" t="n">
        <x:v>1.47</x:v>
      </x:c>
      <x:c r="L655" s="8" t="n">
        <x:v>0</x:v>
      </x:c>
      <x:c r="M655" s="8" t="n">
        <x:v>0</x:v>
      </x:c>
      <x:c r="N655" s="8" t="n">
        <x:v>1000</x:v>
      </x:c>
      <x:c r="O655" s="8" t="n">
        <x:v>0</x:v>
      </x:c>
      <x:c r="P655" s="8" t="n">
        <x:v>6.84</x:v>
      </x:c>
      <x:c r="Q655" s="9" t="n">
        <x:v>81</x:v>
      </x:c>
      <x:c r="R655" s="1" t="str">
        <x:v>Review receipt reconciliation or original PO baseline</x:v>
      </x:c>
      <x:c r="S655" s="1" t="str">
        <x:v>Plastic Product Information.csv</x:v>
      </x:c>
    </x:row>
    <x:row r="656" ht="21" customHeight="1">
      <x:c r="A656" s="1" t="str">
        <x:v>PLAS</x:v>
      </x:c>
      <x:c r="B656" s="1" t="str">
        <x:v>10</x:v>
      </x:c>
      <x:c r="C656" s="1" t="str">
        <x:v>13415RSLBRN</x:v>
      </x:c>
      <x:c r="D656" s="1" t="str">
        <x:v>GOLDEN CHAMPION IND. LIMITED</x:v>
      </x:c>
      <x:c r="E656" s="7" t="n">
        <x:v>46303</x:v>
      </x:c>
      <x:c r="F656" s="8" t="n">
        <x:v>2500</x:v>
      </x:c>
      <x:c r="G656" s="8" t="n">
        <x:v>0</x:v>
      </x:c>
      <x:c r="H656" s="8" t="n">
        <x:v>8.1</x:v>
      </x:c>
      <x:c r="I656" s="8" t="n">
        <x:v>0</x:v>
      </x:c>
      <x:c r="J656" s="8" t="n">
        <x:v>100</x:v>
      </x:c>
      <x:c r="K656" s="8" t="n">
        <x:v>1.47</x:v>
      </x:c>
      <x:c r="L656" s="8" t="n">
        <x:v>0</x:v>
      </x:c>
      <x:c r="M656" s="8" t="n">
        <x:v>0</x:v>
      </x:c>
      <x:c r="N656" s="8" t="n">
        <x:v>2500</x:v>
      </x:c>
      <x:c r="O656" s="8" t="n">
        <x:v>0</x:v>
      </x:c>
      <x:c r="P656" s="8"/>
      <x:c r="Q656" s="9" t="n">
        <x:v>202.5</x:v>
      </x:c>
      <x:c r="R656" s="1" t="str">
        <x:v>Review receipt reconciliation or original PO baseline</x:v>
      </x:c>
      <x:c r="S656" s="1" t="str">
        <x:v>Plastic Product Information.csv</x:v>
      </x:c>
    </x:row>
    <x:row r="657" ht="21" customHeight="1">
      <x:c r="A657" s="1" t="str">
        <x:v>PLAS</x:v>
      </x:c>
      <x:c r="B657" s="1" t="str">
        <x:v>10</x:v>
      </x:c>
      <x:c r="C657" s="1" t="str">
        <x:v>13415RSLCLR</x:v>
      </x:c>
      <x:c r="D657" s="1" t="str">
        <x:v>GOLDEN CHAMPION IND. LIMITED</x:v>
      </x:c>
      <x:c r="E657" s="7" t="n">
        <x:v>46303</x:v>
      </x:c>
      <x:c r="F657" s="8" t="n">
        <x:v>500</x:v>
      </x:c>
      <x:c r="G657" s="8" t="n">
        <x:v>0</x:v>
      </x:c>
      <x:c r="H657" s="8" t="n">
        <x:v>8.1</x:v>
      </x:c>
      <x:c r="I657" s="8" t="n">
        <x:v>8</x:v>
      </x:c>
      <x:c r="J657" s="8" t="n">
        <x:v>100</x:v>
      </x:c>
      <x:c r="K657" s="8" t="n">
        <x:v>1.47</x:v>
      </x:c>
      <x:c r="L657" s="8" t="n">
        <x:v>0</x:v>
      </x:c>
      <x:c r="M657" s="8" t="n">
        <x:v>0</x:v>
      </x:c>
      <x:c r="N657" s="8" t="n">
        <x:v>500</x:v>
      </x:c>
      <x:c r="O657" s="8" t="n">
        <x:v>0</x:v>
      </x:c>
      <x:c r="P657" s="8" t="n">
        <x:v>6.84</x:v>
      </x:c>
      <x:c r="Q657" s="9" t="n">
        <x:v>40.5</x:v>
      </x:c>
      <x:c r="R657" s="1" t="str">
        <x:v>Review receipt reconciliation or original PO baseline</x:v>
      </x:c>
      <x:c r="S657" s="1" t="str">
        <x:v>Plastic Product Information.csv</x:v>
      </x:c>
    </x:row>
    <x:row r="658" ht="21" customHeight="1">
      <x:c r="A658" s="1" t="str">
        <x:v>PLAS</x:v>
      </x:c>
      <x:c r="B658" s="1" t="str">
        <x:v>10</x:v>
      </x:c>
      <x:c r="C658" s="1" t="str">
        <x:v>13415RSLNAV</x:v>
      </x:c>
      <x:c r="D658" s="1" t="str">
        <x:v>GOLDEN CHAMPION IND. LIMITED</x:v>
      </x:c>
      <x:c r="E658" s="7" t="n">
        <x:v>46303</x:v>
      </x:c>
      <x:c r="F658" s="8" t="n">
        <x:v>1595</x:v>
      </x:c>
      <x:c r="G658" s="8" t="n">
        <x:v>0</x:v>
      </x:c>
      <x:c r="H658" s="8" t="n">
        <x:v>8.1</x:v>
      </x:c>
      <x:c r="I658" s="8" t="n">
        <x:v>8</x:v>
      </x:c>
      <x:c r="J658" s="8" t="n">
        <x:v>100</x:v>
      </x:c>
      <x:c r="K658" s="8" t="n">
        <x:v>1.47</x:v>
      </x:c>
      <x:c r="L658" s="8" t="n">
        <x:v>0</x:v>
      </x:c>
      <x:c r="M658" s="8" t="n">
        <x:v>0</x:v>
      </x:c>
      <x:c r="N658" s="8" t="n">
        <x:v>1595</x:v>
      </x:c>
      <x:c r="O658" s="8" t="n">
        <x:v>0</x:v>
      </x:c>
      <x:c r="P658" s="8" t="n">
        <x:v>6.84</x:v>
      </x:c>
      <x:c r="Q658" s="9" t="n">
        <x:v>129.195</x:v>
      </x:c>
      <x:c r="R658" s="1" t="str">
        <x:v>Review receipt reconciliation or original PO baseline</x:v>
      </x:c>
      <x:c r="S658" s="1" t="str">
        <x:v>Plastic Product Information.csv</x:v>
      </x:c>
    </x:row>
    <x:row r="659" ht="21" customHeight="1">
      <x:c r="A659" s="1" t="str">
        <x:v>PLAS</x:v>
      </x:c>
      <x:c r="B659" s="1" t="str">
        <x:v>10</x:v>
      </x:c>
      <x:c r="C659" s="1" t="str">
        <x:v>13416RSLBLK</x:v>
      </x:c>
      <x:c r="D659" s="1" t="str">
        <x:v>GOLDEN CHAMPION IND. LIMITED</x:v>
      </x:c>
      <x:c r="E659" s="7" t="n">
        <x:v>46303</x:v>
      </x:c>
      <x:c r="F659" s="8" t="n">
        <x:v>1300</x:v>
      </x:c>
      <x:c r="G659" s="8" t="n">
        <x:v>0</x:v>
      </x:c>
      <x:c r="H659" s="8" t="n">
        <x:v>8.66</x:v>
      </x:c>
      <x:c r="I659" s="8" t="n">
        <x:v>0</x:v>
      </x:c>
      <x:c r="J659" s="8" t="n">
        <x:v>100</x:v>
      </x:c>
      <x:c r="K659" s="8" t="n">
        <x:v>1.47</x:v>
      </x:c>
      <x:c r="L659" s="8" t="n">
        <x:v>0</x:v>
      </x:c>
      <x:c r="M659" s="8" t="n">
        <x:v>0</x:v>
      </x:c>
      <x:c r="N659" s="8" t="n">
        <x:v>1300</x:v>
      </x:c>
      <x:c r="O659" s="8" t="n">
        <x:v>0</x:v>
      </x:c>
      <x:c r="P659" s="8"/>
      <x:c r="Q659" s="9" t="n">
        <x:v>112.58</x:v>
      </x:c>
      <x:c r="R659" s="1" t="str">
        <x:v>Review receipt reconciliation or original PO baseline</x:v>
      </x:c>
      <x:c r="S659" s="1" t="str">
        <x:v>Plastic Product Information.csv</x:v>
      </x:c>
    </x:row>
    <x:row r="660" ht="21" customHeight="1">
      <x:c r="A660" s="1" t="str">
        <x:v>PLAS</x:v>
      </x:c>
      <x:c r="B660" s="1" t="str">
        <x:v>10</x:v>
      </x:c>
      <x:c r="C660" s="1" t="str">
        <x:v>13421RSLWHT</x:v>
      </x:c>
      <x:c r="D660" s="1" t="str">
        <x:v>GOLDEN CHAMPION IND. LIMITED</x:v>
      </x:c>
      <x:c r="E660" s="7" t="n">
        <x:v>46303</x:v>
      </x:c>
      <x:c r="F660" s="8" t="n">
        <x:v>1800</x:v>
      </x:c>
      <x:c r="G660" s="8" t="n">
        <x:v>0</x:v>
      </x:c>
      <x:c r="H660" s="8" t="n">
        <x:v>14.21</x:v>
      </x:c>
      <x:c r="I660" s="8" t="n">
        <x:v>11.31</x:v>
      </x:c>
      <x:c r="J660" s="8" t="n">
        <x:v>100</x:v>
      </x:c>
      <x:c r="K660" s="8" t="n">
        <x:v>1.47</x:v>
      </x:c>
      <x:c r="L660" s="8" t="n">
        <x:v>0</x:v>
      </x:c>
      <x:c r="M660" s="8" t="n">
        <x:v>0</x:v>
      </x:c>
      <x:c r="N660" s="8" t="n">
        <x:v>1800</x:v>
      </x:c>
      <x:c r="O660" s="8" t="n">
        <x:v>0</x:v>
      </x:c>
      <x:c r="P660" s="8" t="n">
        <x:v>9.67</x:v>
      </x:c>
      <x:c r="Q660" s="9" t="n">
        <x:v>255.78</x:v>
      </x:c>
      <x:c r="R660" s="1" t="str">
        <x:v>Review receipt reconciliation or original PO baseline</x:v>
      </x:c>
      <x:c r="S660" s="1" t="str">
        <x:v>Plastic Product Information.csv</x:v>
      </x:c>
    </x:row>
    <x:row r="661" ht="21" customHeight="1">
      <x:c r="A661" s="1" t="str">
        <x:v>PLAS</x:v>
      </x:c>
      <x:c r="B661" s="1" t="str">
        <x:v>10</x:v>
      </x:c>
      <x:c r="C661" s="1" t="str">
        <x:v>13480ROVBLK</x:v>
      </x:c>
      <x:c r="D661" s="1" t="str">
        <x:v>GOLDEN CHAMPION IND. LIMITED</x:v>
      </x:c>
      <x:c r="E661" s="7" t="n">
        <x:v>46303</x:v>
      </x:c>
      <x:c r="F661" s="8" t="n">
        <x:v>1674</x:v>
      </x:c>
      <x:c r="G661" s="8" t="n">
        <x:v>0</x:v>
      </x:c>
      <x:c r="H661" s="8" t="n">
        <x:v>49.34</x:v>
      </x:c>
      <x:c r="I661" s="8" t="n">
        <x:v>49.89</x:v>
      </x:c>
      <x:c r="J661" s="8" t="n">
        <x:v>100</x:v>
      </x:c>
      <x:c r="K661" s="8" t="n">
        <x:v>1.47</x:v>
      </x:c>
      <x:c r="L661" s="8" t="n">
        <x:v>0</x:v>
      </x:c>
      <x:c r="M661" s="8" t="n">
        <x:v>0</x:v>
      </x:c>
      <x:c r="N661" s="8" t="n">
        <x:v>1674</x:v>
      </x:c>
      <x:c r="O661" s="8" t="n">
        <x:v>0</x:v>
      </x:c>
      <x:c r="P661" s="8" t="n">
        <x:v>42.64</x:v>
      </x:c>
      <x:c r="Q661" s="9" t="n">
        <x:v>825.9516000000001</x:v>
      </x:c>
      <x:c r="R661" s="1" t="str">
        <x:v>Review receipt reconciliation or original PO baseline</x:v>
      </x:c>
      <x:c r="S661" s="1" t="str">
        <x:v>Plastic Product Information.csv</x:v>
      </x:c>
    </x:row>
    <x:row r="662" ht="21" customHeight="1">
      <x:c r="A662" s="1" t="str">
        <x:v>PLAS</x:v>
      </x:c>
      <x:c r="B662" s="1" t="str">
        <x:v>10</x:v>
      </x:c>
      <x:c r="C662" s="1" t="str">
        <x:v>13480ROVRED</x:v>
      </x:c>
      <x:c r="D662" s="1" t="str">
        <x:v>GOLDEN CHAMPION IND. LIMITED</x:v>
      </x:c>
      <x:c r="E662" s="7" t="n">
        <x:v>46303</x:v>
      </x:c>
      <x:c r="F662" s="8" t="n">
        <x:v>200</x:v>
      </x:c>
      <x:c r="G662" s="8" t="n">
        <x:v>0</x:v>
      </x:c>
      <x:c r="H662" s="8" t="n">
        <x:v>40.47</x:v>
      </x:c>
      <x:c r="I662" s="8" t="n">
        <x:v>0</x:v>
      </x:c>
      <x:c r="J662" s="8" t="n">
        <x:v>100</x:v>
      </x:c>
      <x:c r="K662" s="8" t="n">
        <x:v>1.47</x:v>
      </x:c>
      <x:c r="L662" s="8" t="n">
        <x:v>0</x:v>
      </x:c>
      <x:c r="M662" s="8" t="n">
        <x:v>0</x:v>
      </x:c>
      <x:c r="N662" s="8" t="n">
        <x:v>200</x:v>
      </x:c>
      <x:c r="O662" s="8" t="n">
        <x:v>0</x:v>
      </x:c>
      <x:c r="P662" s="8"/>
      <x:c r="Q662" s="9" t="n">
        <x:v>80.94</x:v>
      </x:c>
      <x:c r="R662" s="1" t="str">
        <x:v>Review receipt reconciliation or original PO baseline</x:v>
      </x:c>
      <x:c r="S662" s="1" t="str">
        <x:v>Plastic Product Information.csv</x:v>
      </x:c>
    </x:row>
    <x:row r="663" ht="21" customHeight="1">
      <x:c r="A663" s="1" t="str">
        <x:v>PLAS</x:v>
      </x:c>
      <x:c r="B663" s="1" t="str">
        <x:v>10</x:v>
      </x:c>
      <x:c r="C663" s="1" t="str">
        <x:v>51615RWBBLK</x:v>
      </x:c>
      <x:c r="D663" s="1" t="str">
        <x:v>GOLDEN CHAMPION IND. LIMITED</x:v>
      </x:c>
      <x:c r="E663" s="7" t="n">
        <x:v>46303</x:v>
      </x:c>
      <x:c r="F663" s="8" t="n">
        <x:v>11832</x:v>
      </x:c>
      <x:c r="G663" s="8" t="n">
        <x:v>0</x:v>
      </x:c>
      <x:c r="H663" s="8" t="n">
        <x:v>1.31</x:v>
      </x:c>
      <x:c r="I663" s="8" t="n">
        <x:v>1.04</x:v>
      </x:c>
      <x:c r="J663" s="8" t="n">
        <x:v>100</x:v>
      </x:c>
      <x:c r="K663" s="8" t="n">
        <x:v>1.47</x:v>
      </x:c>
      <x:c r="L663" s="8" t="n">
        <x:v>11832</x:v>
      </x:c>
      <x:c r="M663" s="8" t="n">
        <x:v>0</x:v>
      </x:c>
      <x:c r="N663" s="8" t="n">
        <x:v>0</x:v>
      </x:c>
      <x:c r="O663" s="8" t="n">
        <x:v>1</x:v>
      </x:c>
      <x:c r="P663" s="8" t="n">
        <x:v>0.89</x:v>
      </x:c>
      <x:c r="Q663" s="9" t="n">
        <x:v>154.9992</x:v>
      </x:c>
      <x:c r="R663" s="1" t="str">
        <x:v>Classified</x:v>
      </x:c>
      <x:c r="S663" s="1" t="str">
        <x:v>Plastic Product Information.csv</x:v>
      </x:c>
    </x:row>
    <x:row r="664" ht="21" customHeight="1">
      <x:c r="A664" s="1" t="str">
        <x:v>PLAS</x:v>
      </x:c>
      <x:c r="B664" s="1" t="str">
        <x:v>10</x:v>
      </x:c>
      <x:c r="C664" s="1" t="str">
        <x:v>51615RWBBLU</x:v>
      </x:c>
      <x:c r="D664" s="1" t="str">
        <x:v>GOLDEN CHAMPION IND. LIMITED</x:v>
      </x:c>
      <x:c r="E664" s="7" t="n">
        <x:v>46303</x:v>
      </x:c>
      <x:c r="F664" s="8" t="n">
        <x:v>4900</x:v>
      </x:c>
      <x:c r="G664" s="8" t="n">
        <x:v>0</x:v>
      </x:c>
      <x:c r="H664" s="8" t="n">
        <x:v>1.01</x:v>
      </x:c>
      <x:c r="I664" s="8" t="n">
        <x:v>1.04</x:v>
      </x:c>
      <x:c r="J664" s="8" t="n">
        <x:v>100</x:v>
      </x:c>
      <x:c r="K664" s="8" t="n">
        <x:v>1.47</x:v>
      </x:c>
      <x:c r="L664" s="8" t="n">
        <x:v>0</x:v>
      </x:c>
      <x:c r="M664" s="8" t="n">
        <x:v>0</x:v>
      </x:c>
      <x:c r="N664" s="8" t="n">
        <x:v>4900</x:v>
      </x:c>
      <x:c r="O664" s="8" t="n">
        <x:v>0</x:v>
      </x:c>
      <x:c r="P664" s="8" t="n">
        <x:v>0.89</x:v>
      </x:c>
      <x:c r="Q664" s="9" t="n">
        <x:v>49.49</x:v>
      </x:c>
      <x:c r="R664" s="1" t="str">
        <x:v>Review receipt reconciliation or original PO baseline</x:v>
      </x:c>
      <x:c r="S664" s="1" t="str">
        <x:v>Plastic Product Information.csv</x:v>
      </x:c>
    </x:row>
    <x:row r="665" ht="21" customHeight="1">
      <x:c r="A665" s="1" t="str">
        <x:v>PLAS</x:v>
      </x:c>
      <x:c r="B665" s="1" t="str">
        <x:v>10</x:v>
      </x:c>
      <x:c r="C665" s="1" t="str">
        <x:v>51615RWBBRN</x:v>
      </x:c>
      <x:c r="D665" s="1" t="str">
        <x:v>GOLDEN CHAMPION IND. LIMITED</x:v>
      </x:c>
      <x:c r="E665" s="7" t="n">
        <x:v>46303</x:v>
      </x:c>
      <x:c r="F665" s="8" t="n">
        <x:v>0</x:v>
      </x:c>
      <x:c r="G665" s="8" t="n">
        <x:v>0</x:v>
      </x:c>
      <x:c r="H665" s="8" t="n">
        <x:v>1.01</x:v>
      </x:c>
      <x:c r="I665" s="8" t="n">
        <x:v>0</x:v>
      </x:c>
      <x:c r="J665" s="8" t="n">
        <x:v>100</x:v>
      </x:c>
      <x:c r="K665" s="8" t="n">
        <x:v>1.47</x:v>
      </x:c>
      <x:c r="L665" s="8" t="n">
        <x:v>0</x:v>
      </x:c>
      <x:c r="M665" s="8" t="n">
        <x:v>0</x:v>
      </x:c>
      <x:c r="N665" s="8" t="n">
        <x:v>0</x:v>
      </x:c>
      <x:c r="O665" s="8" t="n">
        <x:v>0</x:v>
      </x:c>
      <x:c r="P665" s="8"/>
      <x:c r="Q665" s="9" t="n">
        <x:v>0</x:v>
      </x:c>
      <x:c r="R665" s="1" t="str">
        <x:v>Review receipt reconciliation or original PO baseline</x:v>
      </x:c>
      <x:c r="S665" s="1" t="str">
        <x:v>Plastic Product Information.csv</x:v>
      </x:c>
    </x:row>
    <x:row r="666" ht="21" customHeight="1">
      <x:c r="A666" s="1" t="str">
        <x:v>PLAS</x:v>
      </x:c>
      <x:c r="B666" s="1" t="str">
        <x:v>10</x:v>
      </x:c>
      <x:c r="C666" s="1" t="str">
        <x:v>51615RWBFG</x:v>
      </x:c>
      <x:c r="D666" s="1" t="str">
        <x:v>GOLDEN CHAMPION IND. LIMITED</x:v>
      </x:c>
      <x:c r="E666" s="7" t="n">
        <x:v>46303</x:v>
      </x:c>
      <x:c r="F666" s="8" t="n">
        <x:v>5600</x:v>
      </x:c>
      <x:c r="G666" s="8" t="n">
        <x:v>0</x:v>
      </x:c>
      <x:c r="H666" s="8" t="n">
        <x:v>1.01</x:v>
      </x:c>
      <x:c r="I666" s="8" t="n">
        <x:v>1.04</x:v>
      </x:c>
      <x:c r="J666" s="8" t="n">
        <x:v>100</x:v>
      </x:c>
      <x:c r="K666" s="8" t="n">
        <x:v>1.47</x:v>
      </x:c>
      <x:c r="L666" s="8" t="n">
        <x:v>0</x:v>
      </x:c>
      <x:c r="M666" s="8" t="n">
        <x:v>0</x:v>
      </x:c>
      <x:c r="N666" s="8" t="n">
        <x:v>5600</x:v>
      </x:c>
      <x:c r="O666" s="8" t="n">
        <x:v>0</x:v>
      </x:c>
      <x:c r="P666" s="8" t="n">
        <x:v>0.89</x:v>
      </x:c>
      <x:c r="Q666" s="9" t="n">
        <x:v>56.56</x:v>
      </x:c>
      <x:c r="R666" s="1" t="str">
        <x:v>Review receipt reconciliation or original PO baseline</x:v>
      </x:c>
      <x:c r="S666" s="1" t="str">
        <x:v>Plastic Product Information.csv</x:v>
      </x:c>
    </x:row>
    <x:row r="667" ht="21" customHeight="1">
      <x:c r="A667" s="1" t="str">
        <x:v>PLAS</x:v>
      </x:c>
      <x:c r="B667" s="1" t="str">
        <x:v>10</x:v>
      </x:c>
      <x:c r="C667" s="1" t="str">
        <x:v>51615RWBMAR</x:v>
      </x:c>
      <x:c r="D667" s="1" t="str">
        <x:v>GOLDEN CHAMPION IND. LIMITED</x:v>
      </x:c>
      <x:c r="E667" s="7" t="n">
        <x:v>46303</x:v>
      </x:c>
      <x:c r="F667" s="8" t="n">
        <x:v>8000</x:v>
      </x:c>
      <x:c r="G667" s="8" t="n">
        <x:v>0</x:v>
      </x:c>
      <x:c r="H667" s="8" t="n">
        <x:v>1.01</x:v>
      </x:c>
      <x:c r="I667" s="8" t="n">
        <x:v>1.04</x:v>
      </x:c>
      <x:c r="J667" s="8" t="n">
        <x:v>100</x:v>
      </x:c>
      <x:c r="K667" s="8" t="n">
        <x:v>1.47</x:v>
      </x:c>
      <x:c r="L667" s="8" t="n">
        <x:v>0</x:v>
      </x:c>
      <x:c r="M667" s="8" t="n">
        <x:v>0</x:v>
      </x:c>
      <x:c r="N667" s="8" t="n">
        <x:v>8000</x:v>
      </x:c>
      <x:c r="O667" s="8" t="n">
        <x:v>0</x:v>
      </x:c>
      <x:c r="P667" s="8" t="n">
        <x:v>0.89</x:v>
      </x:c>
      <x:c r="Q667" s="9" t="n">
        <x:v>80.8</x:v>
      </x:c>
      <x:c r="R667" s="1" t="str">
        <x:v>Review receipt reconciliation or original PO baseline</x:v>
      </x:c>
      <x:c r="S667" s="1" t="str">
        <x:v>Plastic Product Information.csv</x:v>
      </x:c>
    </x:row>
    <x:row r="668" ht="21" customHeight="1">
      <x:c r="A668" s="1" t="str">
        <x:v>PLAS</x:v>
      </x:c>
      <x:c r="B668" s="1" t="str">
        <x:v>10</x:v>
      </x:c>
      <x:c r="C668" s="1" t="str">
        <x:v>51615RWBNAV</x:v>
      </x:c>
      <x:c r="D668" s="1" t="str">
        <x:v>GOLDEN CHAMPION IND. LIMITED</x:v>
      </x:c>
      <x:c r="E668" s="7" t="n">
        <x:v>46303</x:v>
      </x:c>
      <x:c r="F668" s="8" t="n">
        <x:v>4100</x:v>
      </x:c>
      <x:c r="G668" s="8" t="n">
        <x:v>0</x:v>
      </x:c>
      <x:c r="H668" s="8" t="n">
        <x:v>1.01</x:v>
      </x:c>
      <x:c r="I668" s="8" t="n">
        <x:v>1.04</x:v>
      </x:c>
      <x:c r="J668" s="8" t="n">
        <x:v>100</x:v>
      </x:c>
      <x:c r="K668" s="8" t="n">
        <x:v>1.47</x:v>
      </x:c>
      <x:c r="L668" s="8" t="n">
        <x:v>0</x:v>
      </x:c>
      <x:c r="M668" s="8" t="n">
        <x:v>0</x:v>
      </x:c>
      <x:c r="N668" s="8" t="n">
        <x:v>4100</x:v>
      </x:c>
      <x:c r="O668" s="8" t="n">
        <x:v>0</x:v>
      </x:c>
      <x:c r="P668" s="8" t="n">
        <x:v>0.89</x:v>
      </x:c>
      <x:c r="Q668" s="9" t="n">
        <x:v>41.410000000000004</x:v>
      </x:c>
      <x:c r="R668" s="1" t="str">
        <x:v>Review receipt reconciliation or original PO baseline</x:v>
      </x:c>
      <x:c r="S668" s="1" t="str">
        <x:v>Plastic Product Information.csv</x:v>
      </x:c>
    </x:row>
    <x:row r="669" ht="21" customHeight="1">
      <x:c r="A669" s="1" t="str">
        <x:v>PLAS</x:v>
      </x:c>
      <x:c r="B669" s="1" t="str">
        <x:v>10</x:v>
      </x:c>
      <x:c r="C669" s="1" t="str">
        <x:v>51615RWBRED</x:v>
      </x:c>
      <x:c r="D669" s="1" t="str">
        <x:v>GOLDEN CHAMPION IND. LIMITED</x:v>
      </x:c>
      <x:c r="E669" s="7" t="n">
        <x:v>46303</x:v>
      </x:c>
      <x:c r="F669" s="8" t="n">
        <x:v>2000</x:v>
      </x:c>
      <x:c r="G669" s="8" t="n">
        <x:v>0</x:v>
      </x:c>
      <x:c r="H669" s="8" t="n">
        <x:v>1.01</x:v>
      </x:c>
      <x:c r="I669" s="8" t="n">
        <x:v>1.04</x:v>
      </x:c>
      <x:c r="J669" s="8" t="n">
        <x:v>100</x:v>
      </x:c>
      <x:c r="K669" s="8" t="n">
        <x:v>1.47</x:v>
      </x:c>
      <x:c r="L669" s="8" t="n">
        <x:v>0</x:v>
      </x:c>
      <x:c r="M669" s="8" t="n">
        <x:v>0</x:v>
      </x:c>
      <x:c r="N669" s="8" t="n">
        <x:v>2000</x:v>
      </x:c>
      <x:c r="O669" s="8" t="n">
        <x:v>0</x:v>
      </x:c>
      <x:c r="P669" s="8" t="n">
        <x:v>0.89</x:v>
      </x:c>
      <x:c r="Q669" s="9" t="n">
        <x:v>20.2</x:v>
      </x:c>
      <x:c r="R669" s="1" t="str">
        <x:v>Review receipt reconciliation or original PO baseline</x:v>
      </x:c>
      <x:c r="S669" s="1" t="str">
        <x:v>Plastic Product Information.csv</x:v>
      </x:c>
    </x:row>
    <x:row r="670" ht="21" customHeight="1">
      <x:c r="A670" s="1" t="str">
        <x:v>PLAS</x:v>
      </x:c>
      <x:c r="B670" s="1" t="str">
        <x:v>10</x:v>
      </x:c>
      <x:c r="C670" s="1" t="str">
        <x:v>51615RWBWHT</x:v>
      </x:c>
      <x:c r="D670" s="1" t="str">
        <x:v>GOLDEN CHAMPION IND. LIMITED</x:v>
      </x:c>
      <x:c r="E670" s="7" t="n">
        <x:v>46303</x:v>
      </x:c>
      <x:c r="F670" s="8" t="n">
        <x:v>3000</x:v>
      </x:c>
      <x:c r="G670" s="8" t="n">
        <x:v>0</x:v>
      </x:c>
      <x:c r="H670" s="8" t="n">
        <x:v>1.31</x:v>
      </x:c>
      <x:c r="I670" s="8" t="n">
        <x:v>1.04</x:v>
      </x:c>
      <x:c r="J670" s="8" t="n">
        <x:v>100</x:v>
      </x:c>
      <x:c r="K670" s="8" t="n">
        <x:v>1.47</x:v>
      </x:c>
      <x:c r="L670" s="8" t="n">
        <x:v>0</x:v>
      </x:c>
      <x:c r="M670" s="8" t="n">
        <x:v>0</x:v>
      </x:c>
      <x:c r="N670" s="8" t="n">
        <x:v>3000</x:v>
      </x:c>
      <x:c r="O670" s="8" t="n">
        <x:v>0</x:v>
      </x:c>
      <x:c r="P670" s="8" t="n">
        <x:v>0.89</x:v>
      </x:c>
      <x:c r="Q670" s="9" t="n">
        <x:v>39.300000000000004</x:v>
      </x:c>
      <x:c r="R670" s="1" t="str">
        <x:v>Review receipt reconciliation or original PO baseline</x:v>
      </x:c>
      <x:c r="S670" s="1" t="str">
        <x:v>Plastic Product Information.csv</x:v>
      </x:c>
    </x:row>
    <x:row r="671" ht="21" customHeight="1">
      <x:c r="A671" s="1" t="str">
        <x:v>PLAS</x:v>
      </x:c>
      <x:c r="B671" s="1" t="str">
        <x:v>10</x:v>
      </x:c>
      <x:c r="C671" s="1" t="str">
        <x:v>51617RWBBLK</x:v>
      </x:c>
      <x:c r="D671" s="1" t="str">
        <x:v>GOLDEN CHAMPION IND. LIMITED</x:v>
      </x:c>
      <x:c r="E671" s="7" t="n">
        <x:v>46303</x:v>
      </x:c>
      <x:c r="F671" s="8" t="n">
        <x:v>51900</x:v>
      </x:c>
      <x:c r="G671" s="8" t="n">
        <x:v>0</x:v>
      </x:c>
      <x:c r="H671" s="8" t="n">
        <x:v>1.23</x:v>
      </x:c>
      <x:c r="I671" s="8" t="n">
        <x:v>1.19</x:v>
      </x:c>
      <x:c r="J671" s="8" t="n">
        <x:v>100</x:v>
      </x:c>
      <x:c r="K671" s="8" t="n">
        <x:v>1.47</x:v>
      </x:c>
      <x:c r="L671" s="8" t="n">
        <x:v>0</x:v>
      </x:c>
      <x:c r="M671" s="8" t="n">
        <x:v>0</x:v>
      </x:c>
      <x:c r="N671" s="8" t="n">
        <x:v>51900</x:v>
      </x:c>
      <x:c r="O671" s="8" t="n">
        <x:v>0</x:v>
      </x:c>
      <x:c r="P671" s="8" t="n">
        <x:v>1.02</x:v>
      </x:c>
      <x:c r="Q671" s="9" t="n">
        <x:v>638.37</x:v>
      </x:c>
      <x:c r="R671" s="1" t="str">
        <x:v>Review receipt reconciliation or original PO baseline</x:v>
      </x:c>
      <x:c r="S671" s="1" t="str">
        <x:v>Plastic Product Information.csv</x:v>
      </x:c>
    </x:row>
    <x:row r="672" ht="21" customHeight="1">
      <x:c r="A672" s="1" t="str">
        <x:v>PLAS</x:v>
      </x:c>
      <x:c r="B672" s="1" t="str">
        <x:v>10</x:v>
      </x:c>
      <x:c r="C672" s="1" t="str">
        <x:v>51617RWBBLU</x:v>
      </x:c>
      <x:c r="D672" s="1" t="str">
        <x:v>GOLDEN CHAMPION IND. LIMITED</x:v>
      </x:c>
      <x:c r="E672" s="7" t="n">
        <x:v>46303</x:v>
      </x:c>
      <x:c r="F672" s="8" t="n">
        <x:v>26000</x:v>
      </x:c>
      <x:c r="G672" s="8" t="n">
        <x:v>0</x:v>
      </x:c>
      <x:c r="H672" s="8" t="n">
        <x:v>1</x:v>
      </x:c>
      <x:c r="I672" s="8" t="n">
        <x:v>0</x:v>
      </x:c>
      <x:c r="J672" s="8" t="n">
        <x:v>100</x:v>
      </x:c>
      <x:c r="K672" s="8" t="n">
        <x:v>1.47</x:v>
      </x:c>
      <x:c r="L672" s="8" t="n">
        <x:v>0</x:v>
      </x:c>
      <x:c r="M672" s="8" t="n">
        <x:v>0</x:v>
      </x:c>
      <x:c r="N672" s="8" t="n">
        <x:v>26000</x:v>
      </x:c>
      <x:c r="O672" s="8" t="n">
        <x:v>0</x:v>
      </x:c>
      <x:c r="P672" s="8"/>
      <x:c r="Q672" s="9" t="n">
        <x:v>260</x:v>
      </x:c>
      <x:c r="R672" s="1" t="str">
        <x:v>Review receipt reconciliation or original PO baseline</x:v>
      </x:c>
      <x:c r="S672" s="1" t="str">
        <x:v>Plastic Product Information.csv</x:v>
      </x:c>
    </x:row>
    <x:row r="673" ht="21" customHeight="1">
      <x:c r="A673" s="1" t="str">
        <x:v>PLAS</x:v>
      </x:c>
      <x:c r="B673" s="1" t="str">
        <x:v>10</x:v>
      </x:c>
      <x:c r="C673" s="1" t="str">
        <x:v>51621RWBWHT</x:v>
      </x:c>
      <x:c r="D673" s="1" t="str">
        <x:v>GOLDEN CHAMPION IND. LIMITED</x:v>
      </x:c>
      <x:c r="E673" s="7" t="n">
        <x:v>46303</x:v>
      </x:c>
      <x:c r="F673" s="8" t="n">
        <x:v>39970</x:v>
      </x:c>
      <x:c r="G673" s="8" t="n">
        <x:v>0</x:v>
      </x:c>
      <x:c r="H673" s="8" t="n">
        <x:v>1.88</x:v>
      </x:c>
      <x:c r="I673" s="8" t="n">
        <x:v>1.5</x:v>
      </x:c>
      <x:c r="J673" s="8" t="n">
        <x:v>100</x:v>
      </x:c>
      <x:c r="K673" s="8" t="n">
        <x:v>1.47</x:v>
      </x:c>
      <x:c r="L673" s="8" t="n">
        <x:v>0</x:v>
      </x:c>
      <x:c r="M673" s="8" t="n">
        <x:v>0</x:v>
      </x:c>
      <x:c r="N673" s="8" t="n">
        <x:v>39970</x:v>
      </x:c>
      <x:c r="O673" s="8" t="n">
        <x:v>0</x:v>
      </x:c>
      <x:c r="P673" s="8" t="n">
        <x:v>1.28</x:v>
      </x:c>
      <x:c r="Q673" s="9" t="n">
        <x:v>751.4359999999999</x:v>
      </x:c>
      <x:c r="R673" s="1" t="str">
        <x:v>Review receipt reconciliation or original PO baseline</x:v>
      </x:c>
      <x:c r="S673" s="1" t="str">
        <x:v>Plastic Product Information.csv</x:v>
      </x:c>
    </x:row>
    <x:row r="674" ht="21" customHeight="1">
      <x:c r="A674" s="1" t="str">
        <x:v>PLAS</x:v>
      </x:c>
      <x:c r="B674" s="1" t="str">
        <x:v>10</x:v>
      </x:c>
      <x:c r="C674" s="1" t="str">
        <x:v>51680RWBBLK</x:v>
      </x:c>
      <x:c r="D674" s="1" t="str">
        <x:v>GOLDEN CHAMPION IND. LIMITED</x:v>
      </x:c>
      <x:c r="E674" s="7" t="n">
        <x:v>46303</x:v>
      </x:c>
      <x:c r="F674" s="8" t="n">
        <x:v>4344</x:v>
      </x:c>
      <x:c r="G674" s="8" t="n">
        <x:v>0</x:v>
      </x:c>
      <x:c r="H674" s="8" t="n">
        <x:v>7.41</x:v>
      </x:c>
      <x:c r="I674" s="8" t="n">
        <x:v>5.9</x:v>
      </x:c>
      <x:c r="J674" s="8" t="n">
        <x:v>100</x:v>
      </x:c>
      <x:c r="K674" s="8" t="n">
        <x:v>1.47</x:v>
      </x:c>
      <x:c r="L674" s="8" t="n">
        <x:v>2844</x:v>
      </x:c>
      <x:c r="M674" s="8" t="n">
        <x:v>1500</x:v>
      </x:c>
      <x:c r="N674" s="8" t="n">
        <x:v>0</x:v>
      </x:c>
      <x:c r="O674" s="8" t="n">
        <x:v>1</x:v>
      </x:c>
      <x:c r="P674" s="8" t="n">
        <x:v>5.04</x:v>
      </x:c>
      <x:c r="Q674" s="9" t="n">
        <x:v>321.8904</x:v>
      </x:c>
      <x:c r="R674" s="1" t="str">
        <x:v>Classified</x:v>
      </x:c>
      <x:c r="S674" s="1" t="str">
        <x:v>Plastic Product Information.csv</x:v>
      </x:c>
    </x:row>
    <x:row r="675" ht="21" customHeight="1">
      <x:c r="A675" s="1" t="str">
        <x:v>PLAS</x:v>
      </x:c>
      <x:c r="B675" s="1" t="str">
        <x:v>10</x:v>
      </x:c>
      <x:c r="C675" s="1" t="str">
        <x:v>51680RWBCLR</x:v>
      </x:c>
      <x:c r="D675" s="1" t="str">
        <x:v>GOLDEN CHAMPION IND. LIMITED</x:v>
      </x:c>
      <x:c r="E675" s="7" t="n">
        <x:v>46303</x:v>
      </x:c>
      <x:c r="F675" s="8" t="n">
        <x:v>402</x:v>
      </x:c>
      <x:c r="G675" s="8" t="n">
        <x:v>0</x:v>
      </x:c>
      <x:c r="H675" s="8" t="n">
        <x:v>5.53</x:v>
      </x:c>
      <x:c r="I675" s="8" t="n">
        <x:v>0</x:v>
      </x:c>
      <x:c r="J675" s="8" t="n">
        <x:v>100</x:v>
      </x:c>
      <x:c r="K675" s="8" t="n">
        <x:v>1.47</x:v>
      </x:c>
      <x:c r="L675" s="8" t="n">
        <x:v>0</x:v>
      </x:c>
      <x:c r="M675" s="8" t="n">
        <x:v>0</x:v>
      </x:c>
      <x:c r="N675" s="8" t="n">
        <x:v>402</x:v>
      </x:c>
      <x:c r="O675" s="8" t="n">
        <x:v>0</x:v>
      </x:c>
      <x:c r="P675" s="8"/>
      <x:c r="Q675" s="9" t="n">
        <x:v>22.2306</x:v>
      </x:c>
      <x:c r="R675" s="1" t="str">
        <x:v>Review receipt reconciliation or original PO baseline</x:v>
      </x:c>
      <x:c r="S675" s="1" t="str">
        <x:v>Plastic Product Information.csv</x:v>
      </x:c>
    </x:row>
    <x:row r="676" ht="21" customHeight="1">
      <x:c r="A676" s="1" t="str">
        <x:v>PLAS</x:v>
      </x:c>
      <x:c r="B676" s="1" t="str">
        <x:v>10</x:v>
      </x:c>
      <x:c r="C676" s="1" t="str">
        <x:v>51680RWBFG</x:v>
      </x:c>
      <x:c r="D676" s="1" t="str">
        <x:v>GOLDEN CHAMPION IND. LIMITED</x:v>
      </x:c>
      <x:c r="E676" s="7" t="n">
        <x:v>46303</x:v>
      </x:c>
      <x:c r="F676" s="8" t="n">
        <x:v>2290</x:v>
      </x:c>
      <x:c r="G676" s="8" t="n">
        <x:v>0</x:v>
      </x:c>
      <x:c r="H676" s="8" t="n">
        <x:v>5.53</x:v>
      </x:c>
      <x:c r="I676" s="8" t="n">
        <x:v>0</x:v>
      </x:c>
      <x:c r="J676" s="8" t="n">
        <x:v>100</x:v>
      </x:c>
      <x:c r="K676" s="8" t="n">
        <x:v>1.47</x:v>
      </x:c>
      <x:c r="L676" s="8" t="n">
        <x:v>0</x:v>
      </x:c>
      <x:c r="M676" s="8" t="n">
        <x:v>0</x:v>
      </x:c>
      <x:c r="N676" s="8" t="n">
        <x:v>2290</x:v>
      </x:c>
      <x:c r="O676" s="8" t="n">
        <x:v>0</x:v>
      </x:c>
      <x:c r="P676" s="8"/>
      <x:c r="Q676" s="9" t="n">
        <x:v>126.63700000000001</x:v>
      </x:c>
      <x:c r="R676" s="1" t="str">
        <x:v>Review receipt reconciliation or original PO baseline</x:v>
      </x:c>
      <x:c r="S676" s="1" t="str">
        <x:v>Plastic Product Information.csv</x:v>
      </x:c>
    </x:row>
    <x:row r="677" ht="21" customHeight="1">
      <x:c r="A677" s="1" t="str">
        <x:v>PLAS</x:v>
      </x:c>
      <x:c r="B677" s="1" t="str">
        <x:v>10</x:v>
      </x:c>
      <x:c r="C677" s="1" t="str">
        <x:v>51680RWBMAR</x:v>
      </x:c>
      <x:c r="D677" s="1" t="str">
        <x:v>GOLDEN CHAMPION IND. LIMITED</x:v>
      </x:c>
      <x:c r="E677" s="7" t="n">
        <x:v>46303</x:v>
      </x:c>
      <x:c r="F677" s="8" t="n">
        <x:v>2348</x:v>
      </x:c>
      <x:c r="G677" s="8" t="n">
        <x:v>0</x:v>
      </x:c>
      <x:c r="H677" s="8" t="n">
        <x:v>5.53</x:v>
      </x:c>
      <x:c r="I677" s="8" t="n">
        <x:v>0</x:v>
      </x:c>
      <x:c r="J677" s="8" t="n">
        <x:v>100</x:v>
      </x:c>
      <x:c r="K677" s="8" t="n">
        <x:v>1.47</x:v>
      </x:c>
      <x:c r="L677" s="8" t="n">
        <x:v>0</x:v>
      </x:c>
      <x:c r="M677" s="8" t="n">
        <x:v>0</x:v>
      </x:c>
      <x:c r="N677" s="8" t="n">
        <x:v>2348</x:v>
      </x:c>
      <x:c r="O677" s="8" t="n">
        <x:v>0</x:v>
      </x:c>
      <x:c r="P677" s="8"/>
      <x:c r="Q677" s="9" t="n">
        <x:v>129.8444</x:v>
      </x:c>
      <x:c r="R677" s="1" t="str">
        <x:v>Review receipt reconciliation or original PO baseline</x:v>
      </x:c>
      <x:c r="S677" s="1" t="str">
        <x:v>Plastic Product Information.csv</x:v>
      </x:c>
    </x:row>
    <x:row r="678" ht="21" customHeight="1">
      <x:c r="A678" s="1" t="str">
        <x:v>PLAS</x:v>
      </x:c>
      <x:c r="B678" s="1" t="str">
        <x:v>10</x:v>
      </x:c>
      <x:c r="C678" s="1" t="str">
        <x:v>51680RWBNAV</x:v>
      </x:c>
      <x:c r="D678" s="1" t="str">
        <x:v>GOLDEN CHAMPION IND. LIMITED</x:v>
      </x:c>
      <x:c r="E678" s="7" t="n">
        <x:v>46303</x:v>
      </x:c>
      <x:c r="F678" s="8" t="n">
        <x:v>214</x:v>
      </x:c>
      <x:c r="G678" s="8" t="n">
        <x:v>0</x:v>
      </x:c>
      <x:c r="H678" s="8" t="n">
        <x:v>7.42</x:v>
      </x:c>
      <x:c r="I678" s="8" t="n">
        <x:v>5.91</x:v>
      </x:c>
      <x:c r="J678" s="8" t="n">
        <x:v>100</x:v>
      </x:c>
      <x:c r="K678" s="8" t="n">
        <x:v>1.47</x:v>
      </x:c>
      <x:c r="L678" s="8" t="n">
        <x:v>214</x:v>
      </x:c>
      <x:c r="M678" s="8" t="n">
        <x:v>0</x:v>
      </x:c>
      <x:c r="N678" s="8" t="n">
        <x:v>0</x:v>
      </x:c>
      <x:c r="O678" s="8" t="n">
        <x:v>1</x:v>
      </x:c>
      <x:c r="P678" s="8" t="n">
        <x:v>5.05</x:v>
      </x:c>
      <x:c r="Q678" s="9" t="n">
        <x:v>15.8788</x:v>
      </x:c>
      <x:c r="R678" s="1" t="str">
        <x:v>Classified</x:v>
      </x:c>
      <x:c r="S678" s="1" t="str">
        <x:v>Plastic Product Information.csv</x:v>
      </x:c>
    </x:row>
    <x:row r="679" ht="21" customHeight="1">
      <x:c r="A679" s="1" t="str">
        <x:v>PLAS</x:v>
      </x:c>
      <x:c r="B679" s="1" t="str">
        <x:v>10</x:v>
      </x:c>
      <x:c r="C679" s="1" t="str">
        <x:v>51680RWBRED</x:v>
      </x:c>
      <x:c r="D679" s="1" t="str">
        <x:v>GOLDEN CHAMPION IND. LIMITED</x:v>
      </x:c>
      <x:c r="E679" s="7" t="n">
        <x:v>46303</x:v>
      </x:c>
      <x:c r="F679" s="8" t="n">
        <x:v>2112</x:v>
      </x:c>
      <x:c r="G679" s="8" t="n">
        <x:v>0</x:v>
      </x:c>
      <x:c r="H679" s="8" t="n">
        <x:v>5.53</x:v>
      </x:c>
      <x:c r="I679" s="8" t="n">
        <x:v>0</x:v>
      </x:c>
      <x:c r="J679" s="8" t="n">
        <x:v>100</x:v>
      </x:c>
      <x:c r="K679" s="8" t="n">
        <x:v>1.47</x:v>
      </x:c>
      <x:c r="L679" s="8" t="n">
        <x:v>0</x:v>
      </x:c>
      <x:c r="M679" s="8" t="n">
        <x:v>0</x:v>
      </x:c>
      <x:c r="N679" s="8" t="n">
        <x:v>2112</x:v>
      </x:c>
      <x:c r="O679" s="8" t="n">
        <x:v>0</x:v>
      </x:c>
      <x:c r="P679" s="8"/>
      <x:c r="Q679" s="9" t="n">
        <x:v>116.79360000000001</x:v>
      </x:c>
      <x:c r="R679" s="1" t="str">
        <x:v>Review receipt reconciliation or original PO baseline</x:v>
      </x:c>
      <x:c r="S679" s="1" t="str">
        <x:v>Plastic Product Information.csv</x:v>
      </x:c>
    </x:row>
    <x:row r="680" ht="21" customHeight="1">
      <x:c r="A680" s="1" t="str">
        <x:v>PLAS</x:v>
      </x:c>
      <x:c r="B680" s="1" t="str">
        <x:v>10</x:v>
      </x:c>
      <x:c r="C680" s="1" t="str">
        <x:v>51680RWBWHT</x:v>
      </x:c>
      <x:c r="D680" s="1" t="str">
        <x:v>GOLDEN CHAMPION IND. LIMITED</x:v>
      </x:c>
      <x:c r="E680" s="7" t="n">
        <x:v>46303</x:v>
      </x:c>
      <x:c r="F680" s="8" t="n">
        <x:v>3088</x:v>
      </x:c>
      <x:c r="G680" s="8" t="n">
        <x:v>0</x:v>
      </x:c>
      <x:c r="H680" s="8" t="n">
        <x:v>7.41</x:v>
      </x:c>
      <x:c r="I680" s="8" t="n">
        <x:v>5.9</x:v>
      </x:c>
      <x:c r="J680" s="8" t="n">
        <x:v>100</x:v>
      </x:c>
      <x:c r="K680" s="8" t="n">
        <x:v>1.47</x:v>
      </x:c>
      <x:c r="L680" s="8" t="n">
        <x:v>3088</x:v>
      </x:c>
      <x:c r="M680" s="8" t="n">
        <x:v>0</x:v>
      </x:c>
      <x:c r="N680" s="8" t="n">
        <x:v>0</x:v>
      </x:c>
      <x:c r="O680" s="8" t="n">
        <x:v>1</x:v>
      </x:c>
      <x:c r="P680" s="8" t="n">
        <x:v>5.04</x:v>
      </x:c>
      <x:c r="Q680" s="9" t="n">
        <x:v>228.82080000000002</x:v>
      </x:c>
      <x:c r="R680" s="1" t="str">
        <x:v>Classified</x:v>
      </x:c>
      <x:c r="S680" s="1" t="str">
        <x:v>Plastic Product Information.csv</x:v>
      </x:c>
    </x:row>
    <x:row r="681" ht="21" customHeight="1">
      <x:c r="A681" s="1" t="str">
        <x:v>PLAS</x:v>
      </x:c>
      <x:c r="B681" s="1" t="str">
        <x:v>10</x:v>
      </x:c>
      <x:c r="C681" s="1" t="str">
        <x:v>71621RWBWHT</x:v>
      </x:c>
      <x:c r="D681" s="1" t="str">
        <x:v>GOLDEN CHAMPION IND. LIMITED</x:v>
      </x:c>
      <x:c r="E681" s="7" t="n">
        <x:v>46303</x:v>
      </x:c>
      <x:c r="F681" s="8" t="n">
        <x:v>2000</x:v>
      </x:c>
      <x:c r="G681" s="8" t="n">
        <x:v>0</x:v>
      </x:c>
      <x:c r="H681" s="8" t="n">
        <x:v>3.09</x:v>
      </x:c>
      <x:c r="I681" s="8" t="n">
        <x:v>2.46</x:v>
      </x:c>
      <x:c r="J681" s="8" t="n">
        <x:v>100</x:v>
      </x:c>
      <x:c r="K681" s="8" t="n">
        <x:v>1.47</x:v>
      </x:c>
      <x:c r="L681" s="8" t="n">
        <x:v>0</x:v>
      </x:c>
      <x:c r="M681" s="8" t="n">
        <x:v>0</x:v>
      </x:c>
      <x:c r="N681" s="8" t="n">
        <x:v>2000</x:v>
      </x:c>
      <x:c r="O681" s="8" t="n">
        <x:v>0</x:v>
      </x:c>
      <x:c r="P681" s="8" t="n">
        <x:v>2.1</x:v>
      </x:c>
      <x:c r="Q681" s="9" t="n">
        <x:v>61.800000000000004</x:v>
      </x:c>
      <x:c r="R681" s="1" t="str">
        <x:v>Review receipt reconciliation or original PO baseline</x:v>
      </x:c>
      <x:c r="S681" s="1" t="str">
        <x:v>Plastic Product Information.csv</x:v>
      </x:c>
    </x:row>
    <x:row r="682" ht="21" customHeight="1">
      <x:c r="A682" s="1" t="str">
        <x:v>PLAS</x:v>
      </x:c>
      <x:c r="B682" s="1" t="str">
        <x:v>10</x:v>
      </x:c>
      <x:c r="C682" s="1" t="str">
        <x:v>71680RWBBLK</x:v>
      </x:c>
      <x:c r="D682" s="1" t="str">
        <x:v>GOLDEN CHAMPION IND. LIMITED</x:v>
      </x:c>
      <x:c r="E682" s="7" t="n">
        <x:v>46303</x:v>
      </x:c>
      <x:c r="F682" s="8" t="n">
        <x:v>2368</x:v>
      </x:c>
      <x:c r="G682" s="8" t="n">
        <x:v>0</x:v>
      </x:c>
      <x:c r="H682" s="8" t="n">
        <x:v>12.26</x:v>
      </x:c>
      <x:c r="I682" s="8" t="n">
        <x:v>9.76</x:v>
      </x:c>
      <x:c r="J682" s="8" t="n">
        <x:v>100</x:v>
      </x:c>
      <x:c r="K682" s="8" t="n">
        <x:v>1.47</x:v>
      </x:c>
      <x:c r="L682" s="8" t="n">
        <x:v>2368</x:v>
      </x:c>
      <x:c r="M682" s="8" t="n">
        <x:v>0</x:v>
      </x:c>
      <x:c r="N682" s="8" t="n">
        <x:v>0</x:v>
      </x:c>
      <x:c r="O682" s="8" t="n">
        <x:v>1</x:v>
      </x:c>
      <x:c r="P682" s="8" t="n">
        <x:v>8.34</x:v>
      </x:c>
      <x:c r="Q682" s="9" t="n">
        <x:v>290.3168</x:v>
      </x:c>
      <x:c r="R682" s="1" t="str">
        <x:v>Classified</x:v>
      </x:c>
      <x:c r="S682" s="1" t="str">
        <x:v>Plastic Product Information.csv</x:v>
      </x:c>
    </x:row>
    <x:row r="683" ht="21" customHeight="1">
      <x:c r="A683" s="1" t="str">
        <x:v>PLAS</x:v>
      </x:c>
      <x:c r="B683" s="1" t="str">
        <x:v>10</x:v>
      </x:c>
      <x:c r="C683" s="1" t="str">
        <x:v>71680RWBBLU</x:v>
      </x:c>
      <x:c r="D683" s="1" t="str">
        <x:v>GOLDEN CHAMPION IND. LIMITED</x:v>
      </x:c>
      <x:c r="E683" s="7" t="n">
        <x:v>46303</x:v>
      </x:c>
      <x:c r="F683" s="8" t="n">
        <x:v>2998</x:v>
      </x:c>
      <x:c r="G683" s="8" t="n">
        <x:v>0</x:v>
      </x:c>
      <x:c r="H683" s="8" t="n">
        <x:v>9.24</x:v>
      </x:c>
      <x:c r="I683" s="8" t="n">
        <x:v>0</x:v>
      </x:c>
      <x:c r="J683" s="8" t="n">
        <x:v>100</x:v>
      </x:c>
      <x:c r="K683" s="8" t="n">
        <x:v>1.47</x:v>
      </x:c>
      <x:c r="L683" s="8" t="n">
        <x:v>0</x:v>
      </x:c>
      <x:c r="M683" s="8" t="n">
        <x:v>0</x:v>
      </x:c>
      <x:c r="N683" s="8" t="n">
        <x:v>2998</x:v>
      </x:c>
      <x:c r="O683" s="8" t="n">
        <x:v>0</x:v>
      </x:c>
      <x:c r="P683" s="8"/>
      <x:c r="Q683" s="9" t="n">
        <x:v>277.0152</x:v>
      </x:c>
      <x:c r="R683" s="1" t="str">
        <x:v>Review receipt reconciliation or original PO baseline</x:v>
      </x:c>
      <x:c r="S683" s="1" t="str">
        <x:v>Plastic Product Information.csv</x:v>
      </x:c>
    </x:row>
    <x:row r="684" ht="21" customHeight="1">
      <x:c r="A684" s="1" t="str">
        <x:v>PLAS</x:v>
      </x:c>
      <x:c r="B684" s="1" t="str">
        <x:v>10</x:v>
      </x:c>
      <x:c r="C684" s="1" t="str">
        <x:v>71680RWBCLR</x:v>
      </x:c>
      <x:c r="D684" s="1" t="str">
        <x:v>GOLDEN CHAMPION IND. LIMITED</x:v>
      </x:c>
      <x:c r="E684" s="7" t="n">
        <x:v>46303</x:v>
      </x:c>
      <x:c r="F684" s="8" t="n">
        <x:v>1592</x:v>
      </x:c>
      <x:c r="G684" s="8" t="n">
        <x:v>0</x:v>
      </x:c>
      <x:c r="H684" s="8" t="n">
        <x:v>9.24</x:v>
      </x:c>
      <x:c r="I684" s="8" t="n">
        <x:v>0</x:v>
      </x:c>
      <x:c r="J684" s="8" t="n">
        <x:v>100</x:v>
      </x:c>
      <x:c r="K684" s="8" t="n">
        <x:v>1.47</x:v>
      </x:c>
      <x:c r="L684" s="8" t="n">
        <x:v>0</x:v>
      </x:c>
      <x:c r="M684" s="8" t="n">
        <x:v>0</x:v>
      </x:c>
      <x:c r="N684" s="8" t="n">
        <x:v>1592</x:v>
      </x:c>
      <x:c r="O684" s="8" t="n">
        <x:v>0</x:v>
      </x:c>
      <x:c r="P684" s="8"/>
      <x:c r="Q684" s="9" t="n">
        <x:v>147.1008</x:v>
      </x:c>
      <x:c r="R684" s="1" t="str">
        <x:v>Review receipt reconciliation or original PO baseline</x:v>
      </x:c>
      <x:c r="S684" s="1" t="str">
        <x:v>Plastic Product Information.csv</x:v>
      </x:c>
    </x:row>
    <x:row r="685" ht="21" customHeight="1">
      <x:c r="A685" s="1" t="str">
        <x:v>PLAS</x:v>
      </x:c>
      <x:c r="B685" s="1" t="str">
        <x:v>10</x:v>
      </x:c>
      <x:c r="C685" s="1" t="str">
        <x:v>71680RWBFG</x:v>
      </x:c>
      <x:c r="D685" s="1" t="str">
        <x:v>GOLDEN CHAMPION IND. LIMITED</x:v>
      </x:c>
      <x:c r="E685" s="7" t="n">
        <x:v>46303</x:v>
      </x:c>
      <x:c r="F685" s="8" t="n">
        <x:v>1800</x:v>
      </x:c>
      <x:c r="G685" s="8" t="n">
        <x:v>0</x:v>
      </x:c>
      <x:c r="H685" s="8" t="n">
        <x:v>12.26</x:v>
      </x:c>
      <x:c r="I685" s="8" t="n">
        <x:v>9.76</x:v>
      </x:c>
      <x:c r="J685" s="8" t="n">
        <x:v>100</x:v>
      </x:c>
      <x:c r="K685" s="8" t="n">
        <x:v>1.47</x:v>
      </x:c>
      <x:c r="L685" s="8" t="n">
        <x:v>0</x:v>
      </x:c>
      <x:c r="M685" s="8" t="n">
        <x:v>0</x:v>
      </x:c>
      <x:c r="N685" s="8" t="n">
        <x:v>1800</x:v>
      </x:c>
      <x:c r="O685" s="8" t="n">
        <x:v>0</x:v>
      </x:c>
      <x:c r="P685" s="8" t="n">
        <x:v>8.34</x:v>
      </x:c>
      <x:c r="Q685" s="9" t="n">
        <x:v>220.68</x:v>
      </x:c>
      <x:c r="R685" s="1" t="str">
        <x:v>Review receipt reconciliation or original PO baseline</x:v>
      </x:c>
      <x:c r="S685" s="1" t="str">
        <x:v>Plastic Product Information.csv</x:v>
      </x:c>
    </x:row>
    <x:row r="686" ht="21" customHeight="1">
      <x:c r="A686" s="1" t="str">
        <x:v>PLAS</x:v>
      </x:c>
      <x:c r="B686" s="1" t="str">
        <x:v>10</x:v>
      </x:c>
      <x:c r="C686" s="1" t="str">
        <x:v>71680RWBMAR</x:v>
      </x:c>
      <x:c r="D686" s="1" t="str">
        <x:v>GOLDEN CHAMPION IND. LIMITED</x:v>
      </x:c>
      <x:c r="E686" s="7" t="n">
        <x:v>46303</x:v>
      </x:c>
      <x:c r="F686" s="8" t="n">
        <x:v>1335</x:v>
      </x:c>
      <x:c r="G686" s="8" t="n">
        <x:v>0</x:v>
      </x:c>
      <x:c r="H686" s="8" t="n">
        <x:v>9.24</x:v>
      </x:c>
      <x:c r="I686" s="8" t="n">
        <x:v>0</x:v>
      </x:c>
      <x:c r="J686" s="8" t="n">
        <x:v>100</x:v>
      </x:c>
      <x:c r="K686" s="8" t="n">
        <x:v>1.47</x:v>
      </x:c>
      <x:c r="L686" s="8" t="n">
        <x:v>0</x:v>
      </x:c>
      <x:c r="M686" s="8" t="n">
        <x:v>0</x:v>
      </x:c>
      <x:c r="N686" s="8" t="n">
        <x:v>1335</x:v>
      </x:c>
      <x:c r="O686" s="8" t="n">
        <x:v>0</x:v>
      </x:c>
      <x:c r="P686" s="8"/>
      <x:c r="Q686" s="9" t="n">
        <x:v>123.354</x:v>
      </x:c>
      <x:c r="R686" s="1" t="str">
        <x:v>Review receipt reconciliation or original PO baseline</x:v>
      </x:c>
      <x:c r="S686" s="1" t="str">
        <x:v>Plastic Product Information.csv</x:v>
      </x:c>
    </x:row>
    <x:row r="687" ht="21" customHeight="1">
      <x:c r="A687" s="1" t="str">
        <x:v>PLAS</x:v>
      </x:c>
      <x:c r="B687" s="1" t="str">
        <x:v>10</x:v>
      </x:c>
      <x:c r="C687" s="1" t="str">
        <x:v>71680RWBNAV</x:v>
      </x:c>
      <x:c r="D687" s="1" t="str">
        <x:v>GOLDEN CHAMPION IND. LIMITED</x:v>
      </x:c>
      <x:c r="E687" s="7" t="n">
        <x:v>46303</x:v>
      </x:c>
      <x:c r="F687" s="8" t="n">
        <x:v>582</x:v>
      </x:c>
      <x:c r="G687" s="8" t="n">
        <x:v>0</x:v>
      </x:c>
      <x:c r="H687" s="8" t="n">
        <x:v>9.24</x:v>
      </x:c>
      <x:c r="I687" s="8" t="n">
        <x:v>9.76</x:v>
      </x:c>
      <x:c r="J687" s="8" t="n">
        <x:v>100</x:v>
      </x:c>
      <x:c r="K687" s="8" t="n">
        <x:v>1.47</x:v>
      </x:c>
      <x:c r="L687" s="8" t="n">
        <x:v>582</x:v>
      </x:c>
      <x:c r="M687" s="8" t="n">
        <x:v>0</x:v>
      </x:c>
      <x:c r="N687" s="8" t="n">
        <x:v>0</x:v>
      </x:c>
      <x:c r="O687" s="8" t="n">
        <x:v>1</x:v>
      </x:c>
      <x:c r="P687" s="8" t="n">
        <x:v>8.34</x:v>
      </x:c>
      <x:c r="Q687" s="9" t="n">
        <x:v>53.7768</x:v>
      </x:c>
      <x:c r="R687" s="1" t="str">
        <x:v>Classified</x:v>
      </x:c>
      <x:c r="S687" s="1" t="str">
        <x:v>Plastic Product Information.csv</x:v>
      </x:c>
    </x:row>
    <x:row r="688" ht="21" customHeight="1">
      <x:c r="A688" s="1" t="str">
        <x:v>PLAS</x:v>
      </x:c>
      <x:c r="B688" s="1" t="str">
        <x:v>10</x:v>
      </x:c>
      <x:c r="C688" s="1" t="str">
        <x:v>71680RWBRED</x:v>
      </x:c>
      <x:c r="D688" s="1" t="str">
        <x:v>GOLDEN CHAMPION IND. LIMITED</x:v>
      </x:c>
      <x:c r="E688" s="7" t="n">
        <x:v>46303</x:v>
      </x:c>
      <x:c r="F688" s="8" t="n">
        <x:v>3611</x:v>
      </x:c>
      <x:c r="G688" s="8" t="n">
        <x:v>0</x:v>
      </x:c>
      <x:c r="H688" s="8" t="n">
        <x:v>9.24</x:v>
      </x:c>
      <x:c r="I688" s="8" t="n">
        <x:v>0</x:v>
      </x:c>
      <x:c r="J688" s="8" t="n">
        <x:v>100</x:v>
      </x:c>
      <x:c r="K688" s="8" t="n">
        <x:v>1.47</x:v>
      </x:c>
      <x:c r="L688" s="8" t="n">
        <x:v>0</x:v>
      </x:c>
      <x:c r="M688" s="8" t="n">
        <x:v>0</x:v>
      </x:c>
      <x:c r="N688" s="8" t="n">
        <x:v>3611</x:v>
      </x:c>
      <x:c r="O688" s="8" t="n">
        <x:v>0</x:v>
      </x:c>
      <x:c r="P688" s="8"/>
      <x:c r="Q688" s="9" t="n">
        <x:v>333.6564</x:v>
      </x:c>
      <x:c r="R688" s="1" t="str">
        <x:v>Review receipt reconciliation or original PO baseline</x:v>
      </x:c>
      <x:c r="S688" s="1" t="str">
        <x:v>Plastic Product Information.csv</x:v>
      </x:c>
    </x:row>
    <x:row r="689" ht="21" customHeight="1">
      <x:c r="A689" s="1" t="str">
        <x:v>PLAS</x:v>
      </x:c>
      <x:c r="B689" s="1" t="str">
        <x:v>10</x:v>
      </x:c>
      <x:c r="C689" s="1" t="str">
        <x:v>71680RWBWHT</x:v>
      </x:c>
      <x:c r="D689" s="1" t="str">
        <x:v>GOLDEN CHAMPION IND. LIMITED</x:v>
      </x:c>
      <x:c r="E689" s="7" t="n">
        <x:v>46303</x:v>
      </x:c>
      <x:c r="F689" s="8" t="n">
        <x:v>4044</x:v>
      </x:c>
      <x:c r="G689" s="8" t="n">
        <x:v>0</x:v>
      </x:c>
      <x:c r="H689" s="8" t="n">
        <x:v>12.26</x:v>
      </x:c>
      <x:c r="I689" s="8" t="n">
        <x:v>9.76</x:v>
      </x:c>
      <x:c r="J689" s="8" t="n">
        <x:v>100</x:v>
      </x:c>
      <x:c r="K689" s="8" t="n">
        <x:v>1.47</x:v>
      </x:c>
      <x:c r="L689" s="8" t="n">
        <x:v>4044</x:v>
      </x:c>
      <x:c r="M689" s="8" t="n">
        <x:v>0</x:v>
      </x:c>
      <x:c r="N689" s="8" t="n">
        <x:v>0</x:v>
      </x:c>
      <x:c r="O689" s="8" t="n">
        <x:v>1</x:v>
      </x:c>
      <x:c r="P689" s="8" t="n">
        <x:v>8.34</x:v>
      </x:c>
      <x:c r="Q689" s="9" t="n">
        <x:v>495.79440000000005</x:v>
      </x:c>
      <x:c r="R689" s="1" t="str">
        <x:v>Classified</x:v>
      </x:c>
      <x:c r="S689" s="1" t="str">
        <x:v>Plastic Product Information.csv</x:v>
      </x:c>
    </x:row>
    <x:row r="690" ht="21" customHeight="1">
      <x:c r="A690" s="1" t="str">
        <x:v>PLAS</x:v>
      </x:c>
      <x:c r="B690" s="1" t="str">
        <x:v>10</x:v>
      </x:c>
      <x:c r="C690" s="1" t="str">
        <x:v>91615RWBBRN</x:v>
      </x:c>
      <x:c r="D690" s="1" t="str">
        <x:v>GOLDEN CHAMPION IND. LIMITED</x:v>
      </x:c>
      <x:c r="E690" s="7" t="n">
        <x:v>46303</x:v>
      </x:c>
      <x:c r="F690" s="8" t="n">
        <x:v>4850</x:v>
      </x:c>
      <x:c r="G690" s="8" t="n">
        <x:v>0</x:v>
      </x:c>
      <x:c r="H690" s="8" t="n">
        <x:v>2.91</x:v>
      </x:c>
      <x:c r="I690" s="8" t="n">
        <x:v>2.32</x:v>
      </x:c>
      <x:c r="J690" s="8" t="n">
        <x:v>100</x:v>
      </x:c>
      <x:c r="K690" s="8" t="n">
        <x:v>1.47</x:v>
      </x:c>
      <x:c r="L690" s="8" t="n">
        <x:v>4850</x:v>
      </x:c>
      <x:c r="M690" s="8" t="n">
        <x:v>0</x:v>
      </x:c>
      <x:c r="N690" s="8" t="n">
        <x:v>0</x:v>
      </x:c>
      <x:c r="O690" s="8" t="n">
        <x:v>1</x:v>
      </x:c>
      <x:c r="P690" s="8" t="n">
        <x:v>1.98</x:v>
      </x:c>
      <x:c r="Q690" s="9" t="n">
        <x:v>141.135</x:v>
      </x:c>
      <x:c r="R690" s="1" t="str">
        <x:v>Classified</x:v>
      </x:c>
      <x:c r="S690" s="1" t="str">
        <x:v>Plastic Product Information.csv</x:v>
      </x:c>
    </x:row>
    <x:row r="691" ht="21" customHeight="1">
      <x:c r="A691" s="1" t="str">
        <x:v>PLAS</x:v>
      </x:c>
      <x:c r="B691" s="1" t="str">
        <x:v>10</x:v>
      </x:c>
      <x:c r="C691" s="1" t="str">
        <x:v>91615RWBCLR</x:v>
      </x:c>
      <x:c r="D691" s="1" t="str">
        <x:v>GOLDEN CHAMPION IND. LIMITED</x:v>
      </x:c>
      <x:c r="E691" s="7" t="n">
        <x:v>46303</x:v>
      </x:c>
      <x:c r="F691" s="8" t="n">
        <x:v>4086</x:v>
      </x:c>
      <x:c r="G691" s="8" t="n">
        <x:v>0</x:v>
      </x:c>
      <x:c r="H691" s="8" t="n">
        <x:v>2.46</x:v>
      </x:c>
      <x:c r="I691" s="8" t="n">
        <x:v>2.32</x:v>
      </x:c>
      <x:c r="J691" s="8" t="n">
        <x:v>100</x:v>
      </x:c>
      <x:c r="K691" s="8" t="n">
        <x:v>1.47</x:v>
      </x:c>
      <x:c r="L691" s="8" t="n">
        <x:v>0</x:v>
      </x:c>
      <x:c r="M691" s="8" t="n">
        <x:v>0</x:v>
      </x:c>
      <x:c r="N691" s="8" t="n">
        <x:v>4086</x:v>
      </x:c>
      <x:c r="O691" s="8" t="n">
        <x:v>0</x:v>
      </x:c>
      <x:c r="P691" s="8" t="n">
        <x:v>1.98</x:v>
      </x:c>
      <x:c r="Q691" s="9" t="n">
        <x:v>100.51559999999999</x:v>
      </x:c>
      <x:c r="R691" s="1" t="str">
        <x:v>Review receipt reconciliation or original PO baseline</x:v>
      </x:c>
      <x:c r="S691" s="1" t="str">
        <x:v>Plastic Product Information.csv</x:v>
      </x:c>
    </x:row>
    <x:row r="692" ht="21" customHeight="1">
      <x:c r="A692" s="1" t="str">
        <x:v>PLAS</x:v>
      </x:c>
      <x:c r="B692" s="1" t="str">
        <x:v>10</x:v>
      </x:c>
      <x:c r="C692" s="1" t="str">
        <x:v>91615RWBFG</x:v>
      </x:c>
      <x:c r="D692" s="1" t="str">
        <x:v>GOLDEN CHAMPION IND. LIMITED</x:v>
      </x:c>
      <x:c r="E692" s="7" t="n">
        <x:v>46303</x:v>
      </x:c>
      <x:c r="F692" s="8" t="n">
        <x:v>7500</x:v>
      </x:c>
      <x:c r="G692" s="8" t="n">
        <x:v>0</x:v>
      </x:c>
      <x:c r="H692" s="8" t="n">
        <x:v>2.91</x:v>
      </x:c>
      <x:c r="I692" s="8" t="n">
        <x:v>2.32</x:v>
      </x:c>
      <x:c r="J692" s="8" t="n">
        <x:v>100</x:v>
      </x:c>
      <x:c r="K692" s="8" t="n">
        <x:v>1.47</x:v>
      </x:c>
      <x:c r="L692" s="8" t="n">
        <x:v>7500</x:v>
      </x:c>
      <x:c r="M692" s="8" t="n">
        <x:v>0</x:v>
      </x:c>
      <x:c r="N692" s="8" t="n">
        <x:v>0</x:v>
      </x:c>
      <x:c r="O692" s="8" t="n">
        <x:v>1</x:v>
      </x:c>
      <x:c r="P692" s="8" t="n">
        <x:v>1.98</x:v>
      </x:c>
      <x:c r="Q692" s="9" t="n">
        <x:v>218.25</x:v>
      </x:c>
      <x:c r="R692" s="1" t="str">
        <x:v>Classified</x:v>
      </x:c>
      <x:c r="S692" s="1" t="str">
        <x:v>Plastic Product Information.csv</x:v>
      </x:c>
    </x:row>
    <x:row r="693" ht="21" customHeight="1">
      <x:c r="A693" s="1" t="str">
        <x:v>PLAS</x:v>
      </x:c>
      <x:c r="B693" s="1" t="str">
        <x:v>10</x:v>
      </x:c>
      <x:c r="C693" s="1" t="str">
        <x:v>91615RWBMAR</x:v>
      </x:c>
      <x:c r="D693" s="1" t="str">
        <x:v>GOLDEN CHAMPION IND. LIMITED</x:v>
      </x:c>
      <x:c r="E693" s="7" t="n">
        <x:v>46303</x:v>
      </x:c>
      <x:c r="F693" s="8" t="n">
        <x:v>6000</x:v>
      </x:c>
      <x:c r="G693" s="8" t="n">
        <x:v>0</x:v>
      </x:c>
      <x:c r="H693" s="8" t="n">
        <x:v>2.46</x:v>
      </x:c>
      <x:c r="I693" s="8" t="n">
        <x:v>2.32</x:v>
      </x:c>
      <x:c r="J693" s="8" t="n">
        <x:v>100</x:v>
      </x:c>
      <x:c r="K693" s="8" t="n">
        <x:v>1.47</x:v>
      </x:c>
      <x:c r="L693" s="8" t="n">
        <x:v>0</x:v>
      </x:c>
      <x:c r="M693" s="8" t="n">
        <x:v>0</x:v>
      </x:c>
      <x:c r="N693" s="8" t="n">
        <x:v>6000</x:v>
      </x:c>
      <x:c r="O693" s="8" t="n">
        <x:v>0</x:v>
      </x:c>
      <x:c r="P693" s="8" t="n">
        <x:v>1.98</x:v>
      </x:c>
      <x:c r="Q693" s="9" t="n">
        <x:v>147.6</x:v>
      </x:c>
      <x:c r="R693" s="1" t="str">
        <x:v>Review receipt reconciliation or original PO baseline</x:v>
      </x:c>
      <x:c r="S693" s="1" t="str">
        <x:v>Plastic Product Information.csv</x:v>
      </x:c>
    </x:row>
    <x:row r="694" ht="21" customHeight="1">
      <x:c r="A694" s="1" t="str">
        <x:v>PLAS</x:v>
      </x:c>
      <x:c r="B694" s="1" t="str">
        <x:v>10</x:v>
      </x:c>
      <x:c r="C694" s="1" t="str">
        <x:v>91621RWBWHT</x:v>
      </x:c>
      <x:c r="D694" s="1" t="str">
        <x:v>GOLDEN CHAMPION IND. LIMITED</x:v>
      </x:c>
      <x:c r="E694" s="7" t="n">
        <x:v>46303</x:v>
      </x:c>
      <x:c r="F694" s="8" t="n">
        <x:v>13436</x:v>
      </x:c>
      <x:c r="G694" s="8" t="n">
        <x:v>0</x:v>
      </x:c>
      <x:c r="H694" s="8" t="n">
        <x:v>4.1</x:v>
      </x:c>
      <x:c r="I694" s="8" t="n">
        <x:v>3.26</x:v>
      </x:c>
      <x:c r="J694" s="8" t="n">
        <x:v>100</x:v>
      </x:c>
      <x:c r="K694" s="8" t="n">
        <x:v>1.47</x:v>
      </x:c>
      <x:c r="L694" s="8" t="n">
        <x:v>13436</x:v>
      </x:c>
      <x:c r="M694" s="8" t="n">
        <x:v>0</x:v>
      </x:c>
      <x:c r="N694" s="8" t="n">
        <x:v>0</x:v>
      </x:c>
      <x:c r="O694" s="8" t="n">
        <x:v>1</x:v>
      </x:c>
      <x:c r="P694" s="8" t="n">
        <x:v>2.79</x:v>
      </x:c>
      <x:c r="Q694" s="9" t="n">
        <x:v>550.876</x:v>
      </x:c>
      <x:c r="R694" s="1" t="str">
        <x:v>Classified</x:v>
      </x:c>
      <x:c r="S694" s="1" t="str">
        <x:v>Plastic Product Information.csv</x:v>
      </x:c>
    </x:row>
    <x:row r="695" ht="21" customHeight="1">
      <x:c r="A695" s="1" t="str">
        <x:v>PLAS</x:v>
      </x:c>
      <x:c r="B695" s="1" t="str">
        <x:v>10</x:v>
      </x:c>
      <x:c r="C695" s="1" t="str">
        <x:v>91680RWBBLK</x:v>
      </x:c>
      <x:c r="D695" s="1" t="str">
        <x:v>GOLDEN CHAMPION IND. LIMITED</x:v>
      </x:c>
      <x:c r="E695" s="7" t="n">
        <x:v>46303</x:v>
      </x:c>
      <x:c r="F695" s="8" t="n">
        <x:v>1500</x:v>
      </x:c>
      <x:c r="G695" s="8" t="n">
        <x:v>0</x:v>
      </x:c>
      <x:c r="H695" s="8" t="n">
        <x:v>16.18</x:v>
      </x:c>
      <x:c r="I695" s="8" t="n">
        <x:v>12.88</x:v>
      </x:c>
      <x:c r="J695" s="8" t="n">
        <x:v>100</x:v>
      </x:c>
      <x:c r="K695" s="8" t="n">
        <x:v>1.47</x:v>
      </x:c>
      <x:c r="L695" s="8" t="n">
        <x:v>1000</x:v>
      </x:c>
      <x:c r="M695" s="8" t="n">
        <x:v>500</x:v>
      </x:c>
      <x:c r="N695" s="8" t="n">
        <x:v>0</x:v>
      </x:c>
      <x:c r="O695" s="8" t="n">
        <x:v>1</x:v>
      </x:c>
      <x:c r="P695" s="8" t="n">
        <x:v>11.01</x:v>
      </x:c>
      <x:c r="Q695" s="9" t="n">
        <x:v>242.70000000000002</x:v>
      </x:c>
      <x:c r="R695" s="1" t="str">
        <x:v>Classified</x:v>
      </x:c>
      <x:c r="S695" s="1" t="str">
        <x:v>Plastic Product Information.csv</x:v>
      </x:c>
    </x:row>
    <x:row r="696" ht="21" customHeight="1">
      <x:c r="A696" s="1" t="str">
        <x:v>PLAS</x:v>
      </x:c>
      <x:c r="B696" s="1" t="str">
        <x:v>10</x:v>
      </x:c>
      <x:c r="C696" s="1" t="str">
        <x:v>91680RWBBLU</x:v>
      </x:c>
      <x:c r="D696" s="1" t="str">
        <x:v>GOLDEN CHAMPION IND. LIMITED</x:v>
      </x:c>
      <x:c r="E696" s="7" t="n">
        <x:v>46303</x:v>
      </x:c>
      <x:c r="F696" s="8" t="n">
        <x:v>800</x:v>
      </x:c>
      <x:c r="G696" s="8" t="n">
        <x:v>0</x:v>
      </x:c>
      <x:c r="H696" s="8" t="n">
        <x:v>12.45</x:v>
      </x:c>
      <x:c r="I696" s="8" t="n">
        <x:v>0</x:v>
      </x:c>
      <x:c r="J696" s="8" t="n">
        <x:v>100</x:v>
      </x:c>
      <x:c r="K696" s="8" t="n">
        <x:v>1.47</x:v>
      </x:c>
      <x:c r="L696" s="8" t="n">
        <x:v>0</x:v>
      </x:c>
      <x:c r="M696" s="8" t="n">
        <x:v>0</x:v>
      </x:c>
      <x:c r="N696" s="8" t="n">
        <x:v>800</x:v>
      </x:c>
      <x:c r="O696" s="8" t="n">
        <x:v>0</x:v>
      </x:c>
      <x:c r="P696" s="8"/>
      <x:c r="Q696" s="9" t="n">
        <x:v>99.60000000000001</x:v>
      </x:c>
      <x:c r="R696" s="1" t="str">
        <x:v>Review receipt reconciliation or original PO baseline</x:v>
      </x:c>
      <x:c r="S696" s="1" t="str">
        <x:v>Plastic Product Information.csv</x:v>
      </x:c>
    </x:row>
    <x:row r="697" ht="21" customHeight="1">
      <x:c r="A697" s="1" t="str">
        <x:v>PLAS</x:v>
      </x:c>
      <x:c r="B697" s="1" t="str">
        <x:v>10</x:v>
      </x:c>
      <x:c r="C697" s="1" t="str">
        <x:v>91680RWBCLR</x:v>
      </x:c>
      <x:c r="D697" s="1" t="str">
        <x:v>GOLDEN CHAMPION IND. LIMITED</x:v>
      </x:c>
      <x:c r="E697" s="7" t="n">
        <x:v>46303</x:v>
      </x:c>
      <x:c r="F697" s="8" t="n">
        <x:v>574</x:v>
      </x:c>
      <x:c r="G697" s="8" t="n">
        <x:v>0</x:v>
      </x:c>
      <x:c r="H697" s="8" t="n">
        <x:v>16.18</x:v>
      </x:c>
      <x:c r="I697" s="8" t="n">
        <x:v>12.88</x:v>
      </x:c>
      <x:c r="J697" s="8" t="n">
        <x:v>100</x:v>
      </x:c>
      <x:c r="K697" s="8" t="n">
        <x:v>1.47</x:v>
      </x:c>
      <x:c r="L697" s="8" t="n">
        <x:v>574</x:v>
      </x:c>
      <x:c r="M697" s="8" t="n">
        <x:v>0</x:v>
      </x:c>
      <x:c r="N697" s="8" t="n">
        <x:v>0</x:v>
      </x:c>
      <x:c r="O697" s="8" t="n">
        <x:v>1</x:v>
      </x:c>
      <x:c r="P697" s="8" t="n">
        <x:v>11.01</x:v>
      </x:c>
      <x:c r="Q697" s="9" t="n">
        <x:v>92.8732</x:v>
      </x:c>
      <x:c r="R697" s="1" t="str">
        <x:v>Classified</x:v>
      </x:c>
      <x:c r="S697" s="1" t="str">
        <x:v>Plastic Product Information.csv</x:v>
      </x:c>
    </x:row>
    <x:row r="698" ht="21" customHeight="1">
      <x:c r="A698" s="1" t="str">
        <x:v>PLAS</x:v>
      </x:c>
      <x:c r="B698" s="1" t="str">
        <x:v>10</x:v>
      </x:c>
      <x:c r="C698" s="1" t="str">
        <x:v>91680RWBFG</x:v>
      </x:c>
      <x:c r="D698" s="1" t="str">
        <x:v>GOLDEN CHAMPION IND. LIMITED</x:v>
      </x:c>
      <x:c r="E698" s="7" t="n">
        <x:v>46303</x:v>
      </x:c>
      <x:c r="F698" s="8" t="n">
        <x:v>880</x:v>
      </x:c>
      <x:c r="G698" s="8" t="n">
        <x:v>0</x:v>
      </x:c>
      <x:c r="H698" s="8" t="n">
        <x:v>12.45</x:v>
      </x:c>
      <x:c r="I698" s="8" t="n">
        <x:v>0</x:v>
      </x:c>
      <x:c r="J698" s="8" t="n">
        <x:v>100</x:v>
      </x:c>
      <x:c r="K698" s="8" t="n">
        <x:v>1.47</x:v>
      </x:c>
      <x:c r="L698" s="8" t="n">
        <x:v>0</x:v>
      </x:c>
      <x:c r="M698" s="8" t="n">
        <x:v>0</x:v>
      </x:c>
      <x:c r="N698" s="8" t="n">
        <x:v>880</x:v>
      </x:c>
      <x:c r="O698" s="8" t="n">
        <x:v>0</x:v>
      </x:c>
      <x:c r="P698" s="8"/>
      <x:c r="Q698" s="9" t="n">
        <x:v>109.56</x:v>
      </x:c>
      <x:c r="R698" s="1" t="str">
        <x:v>Review receipt reconciliation or original PO baseline</x:v>
      </x:c>
      <x:c r="S698" s="1" t="str">
        <x:v>Plastic Product Information.csv</x:v>
      </x:c>
    </x:row>
    <x:row r="699" ht="21" customHeight="1">
      <x:c r="A699" s="1" t="str">
        <x:v>PLAS</x:v>
      </x:c>
      <x:c r="B699" s="1" t="str">
        <x:v>10</x:v>
      </x:c>
      <x:c r="C699" s="1" t="str">
        <x:v>91680RWBMAR</x:v>
      </x:c>
      <x:c r="D699" s="1" t="str">
        <x:v>GOLDEN CHAMPION IND. LIMITED</x:v>
      </x:c>
      <x:c r="E699" s="7" t="n">
        <x:v>46303</x:v>
      </x:c>
      <x:c r="F699" s="8" t="n">
        <x:v>1395</x:v>
      </x:c>
      <x:c r="G699" s="8" t="n">
        <x:v>0</x:v>
      </x:c>
      <x:c r="H699" s="8" t="n">
        <x:v>12.45</x:v>
      </x:c>
      <x:c r="I699" s="8" t="n">
        <x:v>0</x:v>
      </x:c>
      <x:c r="J699" s="8" t="n">
        <x:v>100</x:v>
      </x:c>
      <x:c r="K699" s="8" t="n">
        <x:v>1.47</x:v>
      </x:c>
      <x:c r="L699" s="8" t="n">
        <x:v>0</x:v>
      </x:c>
      <x:c r="M699" s="8" t="n">
        <x:v>0</x:v>
      </x:c>
      <x:c r="N699" s="8" t="n">
        <x:v>1395</x:v>
      </x:c>
      <x:c r="O699" s="8" t="n">
        <x:v>0</x:v>
      </x:c>
      <x:c r="P699" s="8"/>
      <x:c r="Q699" s="9" t="n">
        <x:v>173.6775</x:v>
      </x:c>
      <x:c r="R699" s="1" t="str">
        <x:v>Review receipt reconciliation or original PO baseline</x:v>
      </x:c>
      <x:c r="S699" s="1" t="str">
        <x:v>Plastic Product Information.csv</x:v>
      </x:c>
    </x:row>
    <x:row r="700" ht="21" customHeight="1">
      <x:c r="A700" s="1" t="str">
        <x:v>PLAS</x:v>
      </x:c>
      <x:c r="B700" s="1" t="str">
        <x:v>10</x:v>
      </x:c>
      <x:c r="C700" s="1" t="str">
        <x:v>91680RWBNAV</x:v>
      </x:c>
      <x:c r="D700" s="1" t="str">
        <x:v>GOLDEN CHAMPION IND. LIMITED</x:v>
      </x:c>
      <x:c r="E700" s="7" t="n">
        <x:v>46303</x:v>
      </x:c>
      <x:c r="F700" s="8" t="n">
        <x:v>536</x:v>
      </x:c>
      <x:c r="G700" s="8" t="n">
        <x:v>0</x:v>
      </x:c>
      <x:c r="H700" s="8" t="n">
        <x:v>12.45</x:v>
      </x:c>
      <x:c r="I700" s="8" t="n">
        <x:v>0</x:v>
      </x:c>
      <x:c r="J700" s="8" t="n">
        <x:v>100</x:v>
      </x:c>
      <x:c r="K700" s="8" t="n">
        <x:v>1.47</x:v>
      </x:c>
      <x:c r="L700" s="8" t="n">
        <x:v>0</x:v>
      </x:c>
      <x:c r="M700" s="8" t="n">
        <x:v>0</x:v>
      </x:c>
      <x:c r="N700" s="8" t="n">
        <x:v>536</x:v>
      </x:c>
      <x:c r="O700" s="8" t="n">
        <x:v>0</x:v>
      </x:c>
      <x:c r="P700" s="8"/>
      <x:c r="Q700" s="9" t="n">
        <x:v>66.732</x:v>
      </x:c>
      <x:c r="R700" s="1" t="str">
        <x:v>Review receipt reconciliation or original PO baseline</x:v>
      </x:c>
      <x:c r="S700" s="1" t="str">
        <x:v>Plastic Product Information.csv</x:v>
      </x:c>
    </x:row>
    <x:row r="701" ht="21" customHeight="1">
      <x:c r="A701" s="1" t="str">
        <x:v>PLAS</x:v>
      </x:c>
      <x:c r="B701" s="1" t="str">
        <x:v>10</x:v>
      </x:c>
      <x:c r="C701" s="1" t="str">
        <x:v>91680RWBRED</x:v>
      </x:c>
      <x:c r="D701" s="1" t="str">
        <x:v>GOLDEN CHAMPION IND. LIMITED</x:v>
      </x:c>
      <x:c r="E701" s="7" t="n">
        <x:v>46303</x:v>
      </x:c>
      <x:c r="F701" s="8" t="n">
        <x:v>921</x:v>
      </x:c>
      <x:c r="G701" s="8" t="n">
        <x:v>0</x:v>
      </x:c>
      <x:c r="H701" s="8" t="n">
        <x:v>12.45</x:v>
      </x:c>
      <x:c r="I701" s="8" t="n">
        <x:v>0</x:v>
      </x:c>
      <x:c r="J701" s="8" t="n">
        <x:v>100</x:v>
      </x:c>
      <x:c r="K701" s="8" t="n">
        <x:v>1.47</x:v>
      </x:c>
      <x:c r="L701" s="8" t="n">
        <x:v>0</x:v>
      </x:c>
      <x:c r="M701" s="8" t="n">
        <x:v>0</x:v>
      </x:c>
      <x:c r="N701" s="8" t="n">
        <x:v>921</x:v>
      </x:c>
      <x:c r="O701" s="8" t="n">
        <x:v>0</x:v>
      </x:c>
      <x:c r="P701" s="8"/>
      <x:c r="Q701" s="9" t="n">
        <x:v>114.66449999999999</x:v>
      </x:c>
      <x:c r="R701" s="1" t="str">
        <x:v>Review receipt reconciliation or original PO baseline</x:v>
      </x:c>
      <x:c r="S701" s="1" t="str">
        <x:v>Plastic Product Information.csv</x:v>
      </x:c>
    </x:row>
    <x:row r="702" ht="21" customHeight="1">
      <x:c r="A702" s="1" t="str">
        <x:v>PLAS</x:v>
      </x:c>
      <x:c r="B702" s="1" t="str">
        <x:v>10</x:v>
      </x:c>
      <x:c r="C702" s="1" t="str">
        <x:v>91680RWBWHT</x:v>
      </x:c>
      <x:c r="D702" s="1" t="str">
        <x:v>GOLDEN CHAMPION IND. LIMITED</x:v>
      </x:c>
      <x:c r="E702" s="7" t="n">
        <x:v>46303</x:v>
      </x:c>
      <x:c r="F702" s="8" t="n">
        <x:v>4351</x:v>
      </x:c>
      <x:c r="G702" s="8" t="n">
        <x:v>0</x:v>
      </x:c>
      <x:c r="H702" s="8" t="n">
        <x:v>16.18</x:v>
      </x:c>
      <x:c r="I702" s="8" t="n">
        <x:v>12.88</x:v>
      </x:c>
      <x:c r="J702" s="8" t="n">
        <x:v>100</x:v>
      </x:c>
      <x:c r="K702" s="8" t="n">
        <x:v>1.47</x:v>
      </x:c>
      <x:c r="L702" s="8" t="n">
        <x:v>4351</x:v>
      </x:c>
      <x:c r="M702" s="8" t="n">
        <x:v>0</x:v>
      </x:c>
      <x:c r="N702" s="8" t="n">
        <x:v>0</x:v>
      </x:c>
      <x:c r="O702" s="8" t="n">
        <x:v>1</x:v>
      </x:c>
      <x:c r="P702" s="8" t="n">
        <x:v>11.01</x:v>
      </x:c>
      <x:c r="Q702" s="9" t="n">
        <x:v>703.9917999999999</x:v>
      </x:c>
      <x:c r="R702" s="1" t="str">
        <x:v>Classified</x:v>
      </x:c>
      <x:c r="S702" s="1" t="str">
        <x:v>Plastic Product Information.csv</x:v>
      </x:c>
    </x:row>
    <x:row r="703" ht="21" customHeight="1">
      <x:c r="A703" s="1" t="str">
        <x:v>PLAS</x:v>
      </x:c>
      <x:c r="B703" s="1" t="str">
        <x:v>30</x:v>
      </x:c>
      <x:c r="C703" s="1" t="str">
        <x:v>00115RWBWHT</x:v>
      </x:c>
      <x:c r="D703" s="1" t="str">
        <x:v>GOLDEN CHAMPION IND. LIMITED</x:v>
      </x:c>
      <x:c r="E703" s="7" t="n">
        <x:v>46303</x:v>
      </x:c>
      <x:c r="F703" s="8" t="n">
        <x:v>1000</x:v>
      </x:c>
      <x:c r="G703" s="8" t="n">
        <x:v>0</x:v>
      </x:c>
      <x:c r="H703" s="8" t="n">
        <x:v>7.36</x:v>
      </x:c>
      <x:c r="I703" s="8" t="n">
        <x:v>5.86</x:v>
      </x:c>
      <x:c r="J703" s="8" t="n">
        <x:v>100</x:v>
      </x:c>
      <x:c r="K703" s="8" t="n">
        <x:v>1.47</x:v>
      </x:c>
      <x:c r="L703" s="8" t="n">
        <x:v>0</x:v>
      </x:c>
      <x:c r="M703" s="8" t="n">
        <x:v>0</x:v>
      </x:c>
      <x:c r="N703" s="8" t="n">
        <x:v>1000</x:v>
      </x:c>
      <x:c r="O703" s="8" t="n">
        <x:v>0</x:v>
      </x:c>
      <x:c r="P703" s="8" t="n">
        <x:v>5.01</x:v>
      </x:c>
      <x:c r="Q703" s="9" t="n">
        <x:v>73.60000000000001</x:v>
      </x:c>
      <x:c r="R703" s="1" t="str">
        <x:v>Review receipt reconciliation or original PO baseline</x:v>
      </x:c>
      <x:c r="S703" s="1" t="str">
        <x:v>Plastic Product Information.csv</x:v>
      </x:c>
    </x:row>
    <x:row r="704" ht="21" customHeight="1">
      <x:c r="A704" s="1" t="str">
        <x:v>PLAS</x:v>
      </x:c>
      <x:c r="B704" s="1" t="str">
        <x:v>30</x:v>
      </x:c>
      <x:c r="C704" s="1" t="str">
        <x:v>00119RWBFG</x:v>
      </x:c>
      <x:c r="D704" s="1" t="str">
        <x:v>GOLDEN CHAMPION IND. LIMITED</x:v>
      </x:c>
      <x:c r="E704" s="7" t="n">
        <x:v>46303</x:v>
      </x:c>
      <x:c r="F704" s="8" t="n">
        <x:v>750</x:v>
      </x:c>
      <x:c r="G704" s="8" t="n">
        <x:v>0</x:v>
      </x:c>
      <x:c r="H704" s="8" t="n">
        <x:v>10.54</x:v>
      </x:c>
      <x:c r="I704" s="8" t="n">
        <x:v>8.39</x:v>
      </x:c>
      <x:c r="J704" s="8" t="n">
        <x:v>100</x:v>
      </x:c>
      <x:c r="K704" s="8" t="n">
        <x:v>1.47</x:v>
      </x:c>
      <x:c r="L704" s="8" t="n">
        <x:v>0</x:v>
      </x:c>
      <x:c r="M704" s="8" t="n">
        <x:v>0</x:v>
      </x:c>
      <x:c r="N704" s="8" t="n">
        <x:v>750</x:v>
      </x:c>
      <x:c r="O704" s="8" t="n">
        <x:v>0</x:v>
      </x:c>
      <x:c r="P704" s="8" t="n">
        <x:v>7.17</x:v>
      </x:c>
      <x:c r="Q704" s="9" t="n">
        <x:v>79.05</x:v>
      </x:c>
      <x:c r="R704" s="1" t="str">
        <x:v>Review receipt reconciliation or original PO baseline</x:v>
      </x:c>
      <x:c r="S704" s="1" t="str">
        <x:v>Plastic Product Information.csv</x:v>
      </x:c>
    </x:row>
    <x:row r="705" ht="21" customHeight="1">
      <x:c r="A705" s="1" t="str">
        <x:v>PLAS</x:v>
      </x:c>
      <x:c r="B705" s="1" t="str">
        <x:v>30</x:v>
      </x:c>
      <x:c r="C705" s="1" t="str">
        <x:v>00119RWBMAR</x:v>
      </x:c>
      <x:c r="D705" s="1" t="str">
        <x:v>GOLDEN CHAMPION IND. LIMITED</x:v>
      </x:c>
      <x:c r="E705" s="7" t="n">
        <x:v>46303</x:v>
      </x:c>
      <x:c r="F705" s="8" t="n">
        <x:v>550</x:v>
      </x:c>
      <x:c r="G705" s="8" t="n">
        <x:v>0</x:v>
      </x:c>
      <x:c r="H705" s="8" t="n">
        <x:v>10.54</x:v>
      </x:c>
      <x:c r="I705" s="8" t="n">
        <x:v>8.39</x:v>
      </x:c>
      <x:c r="J705" s="8" t="n">
        <x:v>100</x:v>
      </x:c>
      <x:c r="K705" s="8" t="n">
        <x:v>1.47</x:v>
      </x:c>
      <x:c r="L705" s="8" t="n">
        <x:v>0</x:v>
      </x:c>
      <x:c r="M705" s="8" t="n">
        <x:v>0</x:v>
      </x:c>
      <x:c r="N705" s="8" t="n">
        <x:v>550</x:v>
      </x:c>
      <x:c r="O705" s="8" t="n">
        <x:v>0</x:v>
      </x:c>
      <x:c r="P705" s="8" t="n">
        <x:v>7.17</x:v>
      </x:c>
      <x:c r="Q705" s="9" t="n">
        <x:v>57.96999999999999</x:v>
      </x:c>
      <x:c r="R705" s="1" t="str">
        <x:v>Review receipt reconciliation or original PO baseline</x:v>
      </x:c>
      <x:c r="S705" s="1" t="str">
        <x:v>Plastic Product Information.csv</x:v>
      </x:c>
    </x:row>
    <x:row r="706" ht="21" customHeight="1">
      <x:c r="A706" s="1" t="str">
        <x:v>PLAS</x:v>
      </x:c>
      <x:c r="B706" s="1" t="str">
        <x:v>30</x:v>
      </x:c>
      <x:c r="C706" s="1" t="str">
        <x:v>00180RWBBLK</x:v>
      </x:c>
      <x:c r="D706" s="1" t="str">
        <x:v>GOLDEN CHAMPION IND. LIMITED</x:v>
      </x:c>
      <x:c r="E706" s="7" t="n">
        <x:v>46303</x:v>
      </x:c>
      <x:c r="F706" s="8" t="n">
        <x:v>0</x:v>
      </x:c>
      <x:c r="G706" s="8" t="n">
        <x:v>0</x:v>
      </x:c>
      <x:c r="H706" s="8" t="n">
        <x:v>41.25</x:v>
      </x:c>
      <x:c r="I706" s="8" t="n">
        <x:v>32.83</x:v>
      </x:c>
      <x:c r="J706" s="8" t="n">
        <x:v>100</x:v>
      </x:c>
      <x:c r="K706" s="8" t="n">
        <x:v>1.47</x:v>
      </x:c>
      <x:c r="L706" s="8" t="n">
        <x:v>0</x:v>
      </x:c>
      <x:c r="M706" s="8" t="n">
        <x:v>0</x:v>
      </x:c>
      <x:c r="N706" s="8" t="n">
        <x:v>0</x:v>
      </x:c>
      <x:c r="O706" s="8" t="n">
        <x:v>1</x:v>
      </x:c>
      <x:c r="P706" s="8" t="n">
        <x:v>28.06</x:v>
      </x:c>
      <x:c r="Q706" s="9" t="n">
        <x:v>0</x:v>
      </x:c>
      <x:c r="R706" s="1" t="str">
        <x:v>Classified</x:v>
      </x:c>
      <x:c r="S706" s="1" t="str">
        <x:v>Plastic Product Information.csv</x:v>
      </x:c>
    </x:row>
    <x:row r="707" ht="21" customHeight="1">
      <x:c r="A707" s="1" t="str">
        <x:v>PLAS</x:v>
      </x:c>
      <x:c r="B707" s="1" t="str">
        <x:v>30</x:v>
      </x:c>
      <x:c r="C707" s="1" t="str">
        <x:v>00180RWBWHT</x:v>
      </x:c>
      <x:c r="D707" s="1" t="str">
        <x:v>GOLDEN CHAMPION IND. LIMITED</x:v>
      </x:c>
      <x:c r="E707" s="7" t="n">
        <x:v>46303</x:v>
      </x:c>
      <x:c r="F707" s="8" t="n">
        <x:v>0</x:v>
      </x:c>
      <x:c r="G707" s="8" t="n">
        <x:v>0</x:v>
      </x:c>
      <x:c r="H707" s="8" t="n">
        <x:v>41.25</x:v>
      </x:c>
      <x:c r="I707" s="8" t="n">
        <x:v>32.83</x:v>
      </x:c>
      <x:c r="J707" s="8" t="n">
        <x:v>100</x:v>
      </x:c>
      <x:c r="K707" s="8" t="n">
        <x:v>1.47</x:v>
      </x:c>
      <x:c r="L707" s="8" t="n">
        <x:v>0</x:v>
      </x:c>
      <x:c r="M707" s="8" t="n">
        <x:v>0</x:v>
      </x:c>
      <x:c r="N707" s="8" t="n">
        <x:v>0</x:v>
      </x:c>
      <x:c r="O707" s="8" t="n">
        <x:v>1</x:v>
      </x:c>
      <x:c r="P707" s="8" t="n">
        <x:v>28.06</x:v>
      </x:c>
      <x:c r="Q707" s="9" t="n">
        <x:v>0</x:v>
      </x:c>
      <x:c r="R707" s="1" t="str">
        <x:v>Classified</x:v>
      </x:c>
      <x:c r="S707" s="1" t="str">
        <x:v>Plastic Product Information.csv</x:v>
      </x:c>
    </x:row>
    <x:row r="708" ht="21" customHeight="1">
      <x:c r="A708" s="1" t="str">
        <x:v>PLAS</x:v>
      </x:c>
      <x:c r="B708" s="1" t="str">
        <x:v>30</x:v>
      </x:c>
      <x:c r="C708" s="1" t="str">
        <x:v>00215RSLWHT</x:v>
      </x:c>
      <x:c r="D708" s="1" t="str">
        <x:v>GOLDEN CHAMPION IND. LIMITED</x:v>
      </x:c>
      <x:c r="E708" s="7" t="n">
        <x:v>46303</x:v>
      </x:c>
      <x:c r="F708" s="8" t="n">
        <x:v>500</x:v>
      </x:c>
      <x:c r="G708" s="8" t="n">
        <x:v>0</x:v>
      </x:c>
      <x:c r="H708" s="8" t="n">
        <x:v>10.19</x:v>
      </x:c>
      <x:c r="I708" s="8" t="n">
        <x:v>8.11</x:v>
      </x:c>
      <x:c r="J708" s="8" t="n">
        <x:v>100</x:v>
      </x:c>
      <x:c r="K708" s="8" t="n">
        <x:v>1.47</x:v>
      </x:c>
      <x:c r="L708" s="8" t="n">
        <x:v>0</x:v>
      </x:c>
      <x:c r="M708" s="8" t="n">
        <x:v>0</x:v>
      </x:c>
      <x:c r="N708" s="8" t="n">
        <x:v>500</x:v>
      </x:c>
      <x:c r="O708" s="8" t="n">
        <x:v>0</x:v>
      </x:c>
      <x:c r="P708" s="8" t="n">
        <x:v>6.93</x:v>
      </x:c>
      <x:c r="Q708" s="9" t="n">
        <x:v>50.95</x:v>
      </x:c>
      <x:c r="R708" s="1" t="str">
        <x:v>Review receipt reconciliation or original PO baseline</x:v>
      </x:c>
      <x:c r="S708" s="1" t="str">
        <x:v>Plastic Product Information.csv</x:v>
      </x:c>
    </x:row>
    <x:row r="709" ht="21" customHeight="1">
      <x:c r="A709" s="1" t="str">
        <x:v>PLAS</x:v>
      </x:c>
      <x:c r="B709" s="1" t="str">
        <x:v>30</x:v>
      </x:c>
      <x:c r="C709" s="1" t="str">
        <x:v>00219RSLBLU</x:v>
      </x:c>
      <x:c r="D709" s="1" t="str">
        <x:v>GOLDEN CHAMPION IND. LIMITED</x:v>
      </x:c>
      <x:c r="E709" s="7" t="n">
        <x:v>46303</x:v>
      </x:c>
      <x:c r="F709" s="8" t="n">
        <x:v>240</x:v>
      </x:c>
      <x:c r="G709" s="8" t="n">
        <x:v>0</x:v>
      </x:c>
      <x:c r="H709" s="8" t="n">
        <x:v>14.77</x:v>
      </x:c>
      <x:c r="I709" s="8" t="n">
        <x:v>11.76</x:v>
      </x:c>
      <x:c r="J709" s="8" t="n">
        <x:v>100</x:v>
      </x:c>
      <x:c r="K709" s="8" t="n">
        <x:v>1.47</x:v>
      </x:c>
      <x:c r="L709" s="8" t="n">
        <x:v>0</x:v>
      </x:c>
      <x:c r="M709" s="8" t="n">
        <x:v>0</x:v>
      </x:c>
      <x:c r="N709" s="8" t="n">
        <x:v>240</x:v>
      </x:c>
      <x:c r="O709" s="8" t="n">
        <x:v>0</x:v>
      </x:c>
      <x:c r="P709" s="8" t="n">
        <x:v>10.05</x:v>
      </x:c>
      <x:c r="Q709" s="9" t="n">
        <x:v>35.448</x:v>
      </x:c>
      <x:c r="R709" s="1" t="str">
        <x:v>Review receipt reconciliation or original PO baseline</x:v>
      </x:c>
      <x:c r="S709" s="1" t="str">
        <x:v>Plastic Product Information.csv</x:v>
      </x:c>
    </x:row>
    <x:row r="710" ht="21" customHeight="1">
      <x:c r="A710" s="1" t="str">
        <x:v>PLAS</x:v>
      </x:c>
      <x:c r="B710" s="1" t="str">
        <x:v>30</x:v>
      </x:c>
      <x:c r="C710" s="1" t="str">
        <x:v>00219RSLCLR</x:v>
      </x:c>
      <x:c r="D710" s="1" t="str">
        <x:v>GOLDEN CHAMPION IND. LIMITED</x:v>
      </x:c>
      <x:c r="E710" s="7" t="n">
        <x:v>46303</x:v>
      </x:c>
      <x:c r="F710" s="8" t="n">
        <x:v>240</x:v>
      </x:c>
      <x:c r="G710" s="8" t="n">
        <x:v>0</x:v>
      </x:c>
      <x:c r="H710" s="8" t="n">
        <x:v>14.77</x:v>
      </x:c>
      <x:c r="I710" s="8" t="n">
        <x:v>11.76</x:v>
      </x:c>
      <x:c r="J710" s="8" t="n">
        <x:v>100</x:v>
      </x:c>
      <x:c r="K710" s="8" t="n">
        <x:v>1.47</x:v>
      </x:c>
      <x:c r="L710" s="8" t="n">
        <x:v>0</x:v>
      </x:c>
      <x:c r="M710" s="8" t="n">
        <x:v>0</x:v>
      </x:c>
      <x:c r="N710" s="8" t="n">
        <x:v>240</x:v>
      </x:c>
      <x:c r="O710" s="8" t="n">
        <x:v>0</x:v>
      </x:c>
      <x:c r="P710" s="8" t="n">
        <x:v>10.05</x:v>
      </x:c>
      <x:c r="Q710" s="9" t="n">
        <x:v>35.448</x:v>
      </x:c>
      <x:c r="R710" s="1" t="str">
        <x:v>Review receipt reconciliation or original PO baseline</x:v>
      </x:c>
      <x:c r="S710" s="1" t="str">
        <x:v>Plastic Product Information.csv</x:v>
      </x:c>
    </x:row>
    <x:row r="711" ht="21" customHeight="1">
      <x:c r="A711" s="1" t="str">
        <x:v>PLAS</x:v>
      </x:c>
      <x:c r="B711" s="1" t="str">
        <x:v>30</x:v>
      </x:c>
      <x:c r="C711" s="1" t="str">
        <x:v>00219RSLFG</x:v>
      </x:c>
      <x:c r="D711" s="1" t="str">
        <x:v>GOLDEN CHAMPION IND. LIMITED</x:v>
      </x:c>
      <x:c r="E711" s="7" t="n">
        <x:v>46303</x:v>
      </x:c>
      <x:c r="F711" s="8" t="n">
        <x:v>240</x:v>
      </x:c>
      <x:c r="G711" s="8" t="n">
        <x:v>0</x:v>
      </x:c>
      <x:c r="H711" s="8" t="n">
        <x:v>14.77</x:v>
      </x:c>
      <x:c r="I711" s="8" t="n">
        <x:v>11.76</x:v>
      </x:c>
      <x:c r="J711" s="8" t="n">
        <x:v>100</x:v>
      </x:c>
      <x:c r="K711" s="8" t="n">
        <x:v>1.47</x:v>
      </x:c>
      <x:c r="L711" s="8" t="n">
        <x:v>0</x:v>
      </x:c>
      <x:c r="M711" s="8" t="n">
        <x:v>0</x:v>
      </x:c>
      <x:c r="N711" s="8" t="n">
        <x:v>240</x:v>
      </x:c>
      <x:c r="O711" s="8" t="n">
        <x:v>0</x:v>
      </x:c>
      <x:c r="P711" s="8" t="n">
        <x:v>10.05</x:v>
      </x:c>
      <x:c r="Q711" s="9" t="n">
        <x:v>35.448</x:v>
      </x:c>
      <x:c r="R711" s="1" t="str">
        <x:v>Review receipt reconciliation or original PO baseline</x:v>
      </x:c>
      <x:c r="S711" s="1" t="str">
        <x:v>Plastic Product Information.csv</x:v>
      </x:c>
    </x:row>
    <x:row r="712" ht="21" customHeight="1">
      <x:c r="A712" s="1" t="str">
        <x:v>PLAS</x:v>
      </x:c>
      <x:c r="B712" s="1" t="str">
        <x:v>30</x:v>
      </x:c>
      <x:c r="C712" s="1" t="str">
        <x:v>00219RSLMAR</x:v>
      </x:c>
      <x:c r="D712" s="1" t="str">
        <x:v>GOLDEN CHAMPION IND. LIMITED</x:v>
      </x:c>
      <x:c r="E712" s="7" t="n">
        <x:v>46303</x:v>
      </x:c>
      <x:c r="F712" s="8" t="n">
        <x:v>160</x:v>
      </x:c>
      <x:c r="G712" s="8" t="n">
        <x:v>0</x:v>
      </x:c>
      <x:c r="H712" s="8" t="n">
        <x:v>14.77</x:v>
      </x:c>
      <x:c r="I712" s="8" t="n">
        <x:v>11.76</x:v>
      </x:c>
      <x:c r="J712" s="8" t="n">
        <x:v>100</x:v>
      </x:c>
      <x:c r="K712" s="8" t="n">
        <x:v>1.47</x:v>
      </x:c>
      <x:c r="L712" s="8" t="n">
        <x:v>0</x:v>
      </x:c>
      <x:c r="M712" s="8" t="n">
        <x:v>0</x:v>
      </x:c>
      <x:c r="N712" s="8" t="n">
        <x:v>160</x:v>
      </x:c>
      <x:c r="O712" s="8" t="n">
        <x:v>0</x:v>
      </x:c>
      <x:c r="P712" s="8" t="n">
        <x:v>10.05</x:v>
      </x:c>
      <x:c r="Q712" s="9" t="n">
        <x:v>23.631999999999998</x:v>
      </x:c>
      <x:c r="R712" s="1" t="str">
        <x:v>Review receipt reconciliation or original PO baseline</x:v>
      </x:c>
      <x:c r="S712" s="1" t="str">
        <x:v>Plastic Product Information.csv</x:v>
      </x:c>
    </x:row>
    <x:row r="713" ht="21" customHeight="1">
      <x:c r="A713" s="1" t="str">
        <x:v>PLAS</x:v>
      </x:c>
      <x:c r="B713" s="1" t="str">
        <x:v>30</x:v>
      </x:c>
      <x:c r="C713" s="1" t="str">
        <x:v>01215RWBWHT</x:v>
      </x:c>
      <x:c r="D713" s="1" t="str">
        <x:v>GOLDEN CHAMPION IND. LIMITED</x:v>
      </x:c>
      <x:c r="E713" s="7" t="n">
        <x:v>46303</x:v>
      </x:c>
      <x:c r="F713" s="8" t="n">
        <x:v>4000</x:v>
      </x:c>
      <x:c r="G713" s="8" t="n">
        <x:v>0</x:v>
      </x:c>
      <x:c r="H713" s="8" t="n">
        <x:v>2.5</x:v>
      </x:c>
      <x:c r="I713" s="8" t="n">
        <x:v>1.99</x:v>
      </x:c>
      <x:c r="J713" s="8" t="n">
        <x:v>100</x:v>
      </x:c>
      <x:c r="K713" s="8" t="n">
        <x:v>1.47</x:v>
      </x:c>
      <x:c r="L713" s="8" t="n">
        <x:v>0</x:v>
      </x:c>
      <x:c r="M713" s="8" t="n">
        <x:v>0</x:v>
      </x:c>
      <x:c r="N713" s="8" t="n">
        <x:v>4000</x:v>
      </x:c>
      <x:c r="O713" s="8" t="n">
        <x:v>0</x:v>
      </x:c>
      <x:c r="P713" s="8" t="n">
        <x:v>1.7</x:v>
      </x:c>
      <x:c r="Q713" s="9" t="n">
        <x:v>100</x:v>
      </x:c>
      <x:c r="R713" s="1" t="str">
        <x:v>Review receipt reconciliation or original PO baseline</x:v>
      </x:c>
      <x:c r="S713" s="1" t="str">
        <x:v>Plastic Product Information.csv</x:v>
      </x:c>
    </x:row>
    <x:row r="714" ht="21" customHeight="1">
      <x:c r="A714" s="1" t="str">
        <x:v>PLAS</x:v>
      </x:c>
      <x:c r="B714" s="1" t="str">
        <x:v>30</x:v>
      </x:c>
      <x:c r="C714" s="1" t="str">
        <x:v>01219RWBRED</x:v>
      </x:c>
      <x:c r="D714" s="1" t="str">
        <x:v>GOLDEN CHAMPION IND. LIMITED</x:v>
      </x:c>
      <x:c r="E714" s="7" t="n">
        <x:v>46303</x:v>
      </x:c>
      <x:c r="F714" s="8" t="n">
        <x:v>900</x:v>
      </x:c>
      <x:c r="G714" s="8" t="n">
        <x:v>0</x:v>
      </x:c>
      <x:c r="H714" s="8" t="n">
        <x:v>3.6</x:v>
      </x:c>
      <x:c r="I714" s="8" t="n">
        <x:v>2.87</x:v>
      </x:c>
      <x:c r="J714" s="8" t="n">
        <x:v>100</x:v>
      </x:c>
      <x:c r="K714" s="8" t="n">
        <x:v>1.47</x:v>
      </x:c>
      <x:c r="L714" s="8" t="n">
        <x:v>0</x:v>
      </x:c>
      <x:c r="M714" s="8" t="n">
        <x:v>0</x:v>
      </x:c>
      <x:c r="N714" s="8" t="n">
        <x:v>900</x:v>
      </x:c>
      <x:c r="O714" s="8" t="n">
        <x:v>0</x:v>
      </x:c>
      <x:c r="P714" s="8" t="n">
        <x:v>2.45</x:v>
      </x:c>
      <x:c r="Q714" s="9" t="n">
        <x:v>32.4</x:v>
      </x:c>
      <x:c r="R714" s="1" t="str">
        <x:v>Review receipt reconciliation or original PO baseline</x:v>
      </x:c>
      <x:c r="S714" s="1" t="str">
        <x:v>Plastic Product Information.csv</x:v>
      </x:c>
    </x:row>
    <x:row r="715" ht="21" customHeight="1">
      <x:c r="A715" s="1" t="str">
        <x:v>PLAS</x:v>
      </x:c>
      <x:c r="B715" s="1" t="str">
        <x:v>30</x:v>
      </x:c>
      <x:c r="C715" s="1" t="str">
        <x:v>01280RWBBLK</x:v>
      </x:c>
      <x:c r="D715" s="1" t="str">
        <x:v>GOLDEN CHAMPION IND. LIMITED</x:v>
      </x:c>
      <x:c r="E715" s="7" t="n">
        <x:v>46303</x:v>
      </x:c>
      <x:c r="F715" s="8" t="n">
        <x:v>0</x:v>
      </x:c>
      <x:c r="G715" s="8" t="n">
        <x:v>0</x:v>
      </x:c>
      <x:c r="H715" s="8" t="n">
        <x:v>13.86</x:v>
      </x:c>
      <x:c r="I715" s="8" t="n">
        <x:v>11.03</x:v>
      </x:c>
      <x:c r="J715" s="8" t="n">
        <x:v>100</x:v>
      </x:c>
      <x:c r="K715" s="8" t="n">
        <x:v>1.47</x:v>
      </x:c>
      <x:c r="L715" s="8" t="n">
        <x:v>0</x:v>
      </x:c>
      <x:c r="M715" s="8" t="n">
        <x:v>0</x:v>
      </x:c>
      <x:c r="N715" s="8" t="n">
        <x:v>0</x:v>
      </x:c>
      <x:c r="O715" s="8" t="n">
        <x:v>1</x:v>
      </x:c>
      <x:c r="P715" s="8" t="n">
        <x:v>9.43</x:v>
      </x:c>
      <x:c r="Q715" s="9" t="n">
        <x:v>0</x:v>
      </x:c>
      <x:c r="R715" s="1" t="str">
        <x:v>Classified</x:v>
      </x:c>
      <x:c r="S715" s="1" t="str">
        <x:v>Plastic Product Information.csv</x:v>
      </x:c>
    </x:row>
    <x:row r="716" ht="21" customHeight="1">
      <x:c r="A716" s="1" t="str">
        <x:v>PLAS</x:v>
      </x:c>
      <x:c r="B716" s="1" t="str">
        <x:v>30</x:v>
      </x:c>
      <x:c r="C716" s="1" t="str">
        <x:v>01280RWBWHT</x:v>
      </x:c>
      <x:c r="D716" s="1" t="str">
        <x:v>GOLDEN CHAMPION IND. LIMITED</x:v>
      </x:c>
      <x:c r="E716" s="7" t="n">
        <x:v>46303</x:v>
      </x:c>
      <x:c r="F716" s="8" t="n">
        <x:v>0</x:v>
      </x:c>
      <x:c r="G716" s="8" t="n">
        <x:v>0</x:v>
      </x:c>
      <x:c r="H716" s="8" t="n">
        <x:v>13.86</x:v>
      </x:c>
      <x:c r="I716" s="8" t="n">
        <x:v>11.03</x:v>
      </x:c>
      <x:c r="J716" s="8" t="n">
        <x:v>100</x:v>
      </x:c>
      <x:c r="K716" s="8" t="n">
        <x:v>1.47</x:v>
      </x:c>
      <x:c r="L716" s="8" t="n">
        <x:v>0</x:v>
      </x:c>
      <x:c r="M716" s="8" t="n">
        <x:v>0</x:v>
      </x:c>
      <x:c r="N716" s="8" t="n">
        <x:v>0</x:v>
      </x:c>
      <x:c r="O716" s="8" t="n">
        <x:v>1</x:v>
      </x:c>
      <x:c r="P716" s="8" t="n">
        <x:v>9.43</x:v>
      </x:c>
      <x:c r="Q716" s="9" t="n">
        <x:v>0</x:v>
      </x:c>
      <x:c r="R716" s="1" t="str">
        <x:v>Classified</x:v>
      </x:c>
      <x:c r="S716" s="1" t="str">
        <x:v>Plastic Product Information.csv</x:v>
      </x:c>
    </x:row>
    <x:row r="717" ht="21" customHeight="1">
      <x:c r="A717" s="1" t="str">
        <x:v>PLAS</x:v>
      </x:c>
      <x:c r="B717" s="1" t="str">
        <x:v>30</x:v>
      </x:c>
      <x:c r="C717" s="1" t="str">
        <x:v>01415RWBBLK</x:v>
      </x:c>
      <x:c r="D717" s="1" t="str">
        <x:v>GOLDEN CHAMPION IND. LIMITED</x:v>
      </x:c>
      <x:c r="E717" s="7" t="n">
        <x:v>46303</x:v>
      </x:c>
      <x:c r="F717" s="8" t="n">
        <x:v>3500</x:v>
      </x:c>
      <x:c r="G717" s="8" t="n">
        <x:v>0</x:v>
      </x:c>
      <x:c r="H717" s="8" t="n">
        <x:v>1.16</x:v>
      </x:c>
      <x:c r="I717" s="8" t="n">
        <x:v>0.92</x:v>
      </x:c>
      <x:c r="J717" s="8" t="n">
        <x:v>100</x:v>
      </x:c>
      <x:c r="K717" s="8" t="n">
        <x:v>1.47</x:v>
      </x:c>
      <x:c r="L717" s="8" t="n">
        <x:v>0</x:v>
      </x:c>
      <x:c r="M717" s="8" t="n">
        <x:v>0</x:v>
      </x:c>
      <x:c r="N717" s="8" t="n">
        <x:v>3500</x:v>
      </x:c>
      <x:c r="O717" s="8" t="n">
        <x:v>0</x:v>
      </x:c>
      <x:c r="P717" s="8" t="n">
        <x:v>0.79</x:v>
      </x:c>
      <x:c r="Q717" s="9" t="n">
        <x:v>40.599999999999994</x:v>
      </x:c>
      <x:c r="R717" s="1" t="str">
        <x:v>Review receipt reconciliation or original PO baseline</x:v>
      </x:c>
      <x:c r="S717" s="1" t="str">
        <x:v>Plastic Product Information.csv</x:v>
      </x:c>
    </x:row>
    <x:row r="718" ht="21" customHeight="1">
      <x:c r="A718" s="1" t="str">
        <x:v>PLAS</x:v>
      </x:c>
      <x:c r="B718" s="1" t="str">
        <x:v>30</x:v>
      </x:c>
      <x:c r="C718" s="1" t="str">
        <x:v>01415RWBWHT</x:v>
      </x:c>
      <x:c r="D718" s="1" t="str">
        <x:v>GOLDEN CHAMPION IND. LIMITED</x:v>
      </x:c>
      <x:c r="E718" s="7" t="n">
        <x:v>46303</x:v>
      </x:c>
      <x:c r="F718" s="8" t="n">
        <x:v>0</x:v>
      </x:c>
      <x:c r="G718" s="8" t="n">
        <x:v>0</x:v>
      </x:c>
      <x:c r="H718" s="8" t="n">
        <x:v>1.16</x:v>
      </x:c>
      <x:c r="I718" s="8" t="n">
        <x:v>0.92</x:v>
      </x:c>
      <x:c r="J718" s="8" t="n">
        <x:v>100</x:v>
      </x:c>
      <x:c r="K718" s="8" t="n">
        <x:v>1.47</x:v>
      </x:c>
      <x:c r="L718" s="8" t="n">
        <x:v>0</x:v>
      </x:c>
      <x:c r="M718" s="8" t="n">
        <x:v>0</x:v>
      </x:c>
      <x:c r="N718" s="8" t="n">
        <x:v>0</x:v>
      </x:c>
      <x:c r="O718" s="8" t="n">
        <x:v>1</x:v>
      </x:c>
      <x:c r="P718" s="8" t="n">
        <x:v>0.79</x:v>
      </x:c>
      <x:c r="Q718" s="9" t="n">
        <x:v>0</x:v>
      </x:c>
      <x:c r="R718" s="1" t="str">
        <x:v>Classified</x:v>
      </x:c>
      <x:c r="S718" s="1" t="str">
        <x:v>Plastic Product Information.csv</x:v>
      </x:c>
    </x:row>
    <x:row r="719" ht="21" customHeight="1">
      <x:c r="A719" s="1" t="str">
        <x:v>PLAS</x:v>
      </x:c>
      <x:c r="B719" s="1" t="str">
        <x:v>30</x:v>
      </x:c>
      <x:c r="C719" s="1" t="str">
        <x:v>01419RWBBLU</x:v>
      </x:c>
      <x:c r="D719" s="1" t="str">
        <x:v>GOLDEN CHAMPION IND. LIMITED</x:v>
      </x:c>
      <x:c r="E719" s="7" t="n">
        <x:v>46303</x:v>
      </x:c>
      <x:c r="F719" s="8" t="n">
        <x:v>100</x:v>
      </x:c>
      <x:c r="G719" s="8" t="n">
        <x:v>0</x:v>
      </x:c>
      <x:c r="H719" s="8" t="n">
        <x:v>1.81</x:v>
      </x:c>
      <x:c r="I719" s="8" t="n">
        <x:v>1.44</x:v>
      </x:c>
      <x:c r="J719" s="8" t="n">
        <x:v>100</x:v>
      </x:c>
      <x:c r="K719" s="8" t="n">
        <x:v>1.47</x:v>
      </x:c>
      <x:c r="L719" s="8" t="n">
        <x:v>0</x:v>
      </x:c>
      <x:c r="M719" s="8" t="n">
        <x:v>0</x:v>
      </x:c>
      <x:c r="N719" s="8" t="n">
        <x:v>100</x:v>
      </x:c>
      <x:c r="O719" s="8" t="n">
        <x:v>0</x:v>
      </x:c>
      <x:c r="P719" s="8" t="n">
        <x:v>1.23</x:v>
      </x:c>
      <x:c r="Q719" s="9" t="n">
        <x:v>1.81</x:v>
      </x:c>
      <x:c r="R719" s="1" t="str">
        <x:v>Review receipt reconciliation or original PO baseline</x:v>
      </x:c>
      <x:c r="S719" s="1" t="str">
        <x:v>Plastic Product Information.csv</x:v>
      </x:c>
    </x:row>
    <x:row r="720" ht="21" customHeight="1">
      <x:c r="A720" s="1" t="str">
        <x:v>PLAS</x:v>
      </x:c>
      <x:c r="B720" s="1" t="str">
        <x:v>30</x:v>
      </x:c>
      <x:c r="C720" s="1" t="str">
        <x:v>01419RWBMAR</x:v>
      </x:c>
      <x:c r="D720" s="1" t="str">
        <x:v>GOLDEN CHAMPION IND. LIMITED</x:v>
      </x:c>
      <x:c r="E720" s="7" t="n">
        <x:v>46303</x:v>
      </x:c>
      <x:c r="F720" s="8" t="n">
        <x:v>2000</x:v>
      </x:c>
      <x:c r="G720" s="8" t="n">
        <x:v>0</x:v>
      </x:c>
      <x:c r="H720" s="8" t="n">
        <x:v>1.81</x:v>
      </x:c>
      <x:c r="I720" s="8" t="n">
        <x:v>1.44</x:v>
      </x:c>
      <x:c r="J720" s="8" t="n">
        <x:v>100</x:v>
      </x:c>
      <x:c r="K720" s="8" t="n">
        <x:v>1.47</x:v>
      </x:c>
      <x:c r="L720" s="8" t="n">
        <x:v>0</x:v>
      </x:c>
      <x:c r="M720" s="8" t="n">
        <x:v>0</x:v>
      </x:c>
      <x:c r="N720" s="8" t="n">
        <x:v>2000</x:v>
      </x:c>
      <x:c r="O720" s="8" t="n">
        <x:v>0</x:v>
      </x:c>
      <x:c r="P720" s="8" t="n">
        <x:v>1.23</x:v>
      </x:c>
      <x:c r="Q720" s="9" t="n">
        <x:v>36.2</x:v>
      </x:c>
      <x:c r="R720" s="1" t="str">
        <x:v>Review receipt reconciliation or original PO baseline</x:v>
      </x:c>
      <x:c r="S720" s="1" t="str">
        <x:v>Plastic Product Information.csv</x:v>
      </x:c>
    </x:row>
    <x:row r="721" ht="21" customHeight="1">
      <x:c r="A721" s="1" t="str">
        <x:v>PLAS</x:v>
      </x:c>
      <x:c r="B721" s="1" t="str">
        <x:v>30</x:v>
      </x:c>
      <x:c r="C721" s="1" t="str">
        <x:v>01419RWBRED</x:v>
      </x:c>
      <x:c r="D721" s="1" t="str">
        <x:v>GOLDEN CHAMPION IND. LIMITED</x:v>
      </x:c>
      <x:c r="E721" s="7" t="n">
        <x:v>46303</x:v>
      </x:c>
      <x:c r="F721" s="8" t="n">
        <x:v>1500</x:v>
      </x:c>
      <x:c r="G721" s="8" t="n">
        <x:v>0</x:v>
      </x:c>
      <x:c r="H721" s="8" t="n">
        <x:v>1.81</x:v>
      </x:c>
      <x:c r="I721" s="8" t="n">
        <x:v>1.44</x:v>
      </x:c>
      <x:c r="J721" s="8" t="n">
        <x:v>100</x:v>
      </x:c>
      <x:c r="K721" s="8" t="n">
        <x:v>1.47</x:v>
      </x:c>
      <x:c r="L721" s="8" t="n">
        <x:v>0</x:v>
      </x:c>
      <x:c r="M721" s="8" t="n">
        <x:v>0</x:v>
      </x:c>
      <x:c r="N721" s="8" t="n">
        <x:v>1500</x:v>
      </x:c>
      <x:c r="O721" s="8" t="n">
        <x:v>0</x:v>
      </x:c>
      <x:c r="P721" s="8" t="n">
        <x:v>1.23</x:v>
      </x:c>
      <x:c r="Q721" s="9" t="n">
        <x:v>27.150000000000002</x:v>
      </x:c>
      <x:c r="R721" s="1" t="str">
        <x:v>Review receipt reconciliation or original PO baseline</x:v>
      </x:c>
      <x:c r="S721" s="1" t="str">
        <x:v>Plastic Product Information.csv</x:v>
      </x:c>
    </x:row>
    <x:row r="722" ht="21" customHeight="1">
      <x:c r="A722" s="1" t="str">
        <x:v>PLAS</x:v>
      </x:c>
      <x:c r="B722" s="1" t="str">
        <x:v>30</x:v>
      </x:c>
      <x:c r="C722" s="1" t="str">
        <x:v>01480RWBBLK</x:v>
      </x:c>
      <x:c r="D722" s="1" t="str">
        <x:v>GOLDEN CHAMPION IND. LIMITED</x:v>
      </x:c>
      <x:c r="E722" s="7" t="n">
        <x:v>46303</x:v>
      </x:c>
      <x:c r="F722" s="8" t="n">
        <x:v>0</x:v>
      </x:c>
      <x:c r="G722" s="8" t="n">
        <x:v>0</x:v>
      </x:c>
      <x:c r="H722" s="8" t="n">
        <x:v>6.29</x:v>
      </x:c>
      <x:c r="I722" s="8" t="n">
        <x:v>5.01</x:v>
      </x:c>
      <x:c r="J722" s="8" t="n">
        <x:v>100</x:v>
      </x:c>
      <x:c r="K722" s="8" t="n">
        <x:v>1.47</x:v>
      </x:c>
      <x:c r="L722" s="8" t="n">
        <x:v>0</x:v>
      </x:c>
      <x:c r="M722" s="8" t="n">
        <x:v>0</x:v>
      </x:c>
      <x:c r="N722" s="8" t="n">
        <x:v>0</x:v>
      </x:c>
      <x:c r="O722" s="8" t="n">
        <x:v>1</x:v>
      </x:c>
      <x:c r="P722" s="8" t="n">
        <x:v>4.28</x:v>
      </x:c>
      <x:c r="Q722" s="9" t="n">
        <x:v>0</x:v>
      </x:c>
      <x:c r="R722" s="1" t="str">
        <x:v>Classified</x:v>
      </x:c>
      <x:c r="S722" s="1" t="str">
        <x:v>Plastic Product Information.csv</x:v>
      </x:c>
    </x:row>
    <x:row r="723" ht="21" customHeight="1">
      <x:c r="A723" s="1" t="str">
        <x:v>PLAS</x:v>
      </x:c>
      <x:c r="B723" s="1" t="str">
        <x:v>30</x:v>
      </x:c>
      <x:c r="C723" s="1" t="str">
        <x:v>01480RWBWHT</x:v>
      </x:c>
      <x:c r="D723" s="1" t="str">
        <x:v>GOLDEN CHAMPION IND. LIMITED</x:v>
      </x:c>
      <x:c r="E723" s="7" t="n">
        <x:v>46303</x:v>
      </x:c>
      <x:c r="F723" s="8" t="n">
        <x:v>0</x:v>
      </x:c>
      <x:c r="G723" s="8" t="n">
        <x:v>0</x:v>
      </x:c>
      <x:c r="H723" s="8" t="n">
        <x:v>6.29</x:v>
      </x:c>
      <x:c r="I723" s="8" t="n">
        <x:v>5.01</x:v>
      </x:c>
      <x:c r="J723" s="8" t="n">
        <x:v>100</x:v>
      </x:c>
      <x:c r="K723" s="8" t="n">
        <x:v>1.47</x:v>
      </x:c>
      <x:c r="L723" s="8" t="n">
        <x:v>0</x:v>
      </x:c>
      <x:c r="M723" s="8" t="n">
        <x:v>0</x:v>
      </x:c>
      <x:c r="N723" s="8" t="n">
        <x:v>0</x:v>
      </x:c>
      <x:c r="O723" s="8" t="n">
        <x:v>1</x:v>
      </x:c>
      <x:c r="P723" s="8" t="n">
        <x:v>4.28</x:v>
      </x:c>
      <x:c r="Q723" s="9" t="n">
        <x:v>0</x:v>
      </x:c>
      <x:c r="R723" s="1" t="str">
        <x:v>Classified</x:v>
      </x:c>
      <x:c r="S723" s="1" t="str">
        <x:v>Plastic Product Information.csv</x:v>
      </x:c>
    </x:row>
    <x:row r="724" ht="21" customHeight="1">
      <x:c r="A724" s="1" t="str">
        <x:v>PLAS</x:v>
      </x:c>
      <x:c r="B724" s="1" t="str">
        <x:v>30</x:v>
      </x:c>
      <x:c r="C724" s="1" t="str">
        <x:v>03415RWBWHT</x:v>
      </x:c>
      <x:c r="D724" s="1" t="str">
        <x:v>GOLDEN CHAMPION IND. LIMITED</x:v>
      </x:c>
      <x:c r="E724" s="7" t="n">
        <x:v>46303</x:v>
      </x:c>
      <x:c r="F724" s="8" t="n">
        <x:v>1000</x:v>
      </x:c>
      <x:c r="G724" s="8" t="n">
        <x:v>0</x:v>
      </x:c>
      <x:c r="H724" s="8" t="n">
        <x:v>4.4</x:v>
      </x:c>
      <x:c r="I724" s="8" t="n">
        <x:v>3.5</x:v>
      </x:c>
      <x:c r="J724" s="8" t="n">
        <x:v>100</x:v>
      </x:c>
      <x:c r="K724" s="8" t="n">
        <x:v>1.47</x:v>
      </x:c>
      <x:c r="L724" s="8" t="n">
        <x:v>0</x:v>
      </x:c>
      <x:c r="M724" s="8" t="n">
        <x:v>0</x:v>
      </x:c>
      <x:c r="N724" s="8" t="n">
        <x:v>1000</x:v>
      </x:c>
      <x:c r="O724" s="8" t="n">
        <x:v>0</x:v>
      </x:c>
      <x:c r="P724" s="8" t="n">
        <x:v>2.99</x:v>
      </x:c>
      <x:c r="Q724" s="9" t="n">
        <x:v>44</x:v>
      </x:c>
      <x:c r="R724" s="1" t="str">
        <x:v>Review receipt reconciliation or original PO baseline</x:v>
      </x:c>
      <x:c r="S724" s="1" t="str">
        <x:v>Plastic Product Information.csv</x:v>
      </x:c>
    </x:row>
    <x:row r="725" ht="21" customHeight="1">
      <x:c r="A725" s="1" t="str">
        <x:v>PLAS</x:v>
      </x:c>
      <x:c r="B725" s="1" t="str">
        <x:v>30</x:v>
      </x:c>
      <x:c r="C725" s="1" t="str">
        <x:v>03480RWBBLK</x:v>
      </x:c>
      <x:c r="D725" s="1" t="str">
        <x:v>GOLDEN CHAMPION IND. LIMITED</x:v>
      </x:c>
      <x:c r="E725" s="7" t="n">
        <x:v>46303</x:v>
      </x:c>
      <x:c r="F725" s="8" t="n">
        <x:v>0</x:v>
      </x:c>
      <x:c r="G725" s="8" t="n">
        <x:v>0</x:v>
      </x:c>
      <x:c r="H725" s="8" t="n">
        <x:v>24.52</x:v>
      </x:c>
      <x:c r="I725" s="8" t="n">
        <x:v>19.52</x:v>
      </x:c>
      <x:c r="J725" s="8" t="n">
        <x:v>100</x:v>
      </x:c>
      <x:c r="K725" s="8" t="n">
        <x:v>1.47</x:v>
      </x:c>
      <x:c r="L725" s="8" t="n">
        <x:v>0</x:v>
      </x:c>
      <x:c r="M725" s="8" t="n">
        <x:v>0</x:v>
      </x:c>
      <x:c r="N725" s="8" t="n">
        <x:v>0</x:v>
      </x:c>
      <x:c r="O725" s="8" t="n">
        <x:v>1</x:v>
      </x:c>
      <x:c r="P725" s="8" t="n">
        <x:v>16.68</x:v>
      </x:c>
      <x:c r="Q725" s="9" t="n">
        <x:v>0</x:v>
      </x:c>
      <x:c r="R725" s="1" t="str">
        <x:v>Classified</x:v>
      </x:c>
      <x:c r="S725" s="1" t="str">
        <x:v>Plastic Product Information.csv</x:v>
      </x:c>
    </x:row>
    <x:row r="726" ht="21" customHeight="1">
      <x:c r="A726" s="1" t="str">
        <x:v>PLAS</x:v>
      </x:c>
      <x:c r="B726" s="1" t="str">
        <x:v>30</x:v>
      </x:c>
      <x:c r="C726" s="1" t="str">
        <x:v>03480RWBWHT</x:v>
      </x:c>
      <x:c r="D726" s="1" t="str">
        <x:v>GOLDEN CHAMPION IND. LIMITED</x:v>
      </x:c>
      <x:c r="E726" s="7" t="n">
        <x:v>46303</x:v>
      </x:c>
      <x:c r="F726" s="8" t="n">
        <x:v>0</x:v>
      </x:c>
      <x:c r="G726" s="8" t="n">
        <x:v>0</x:v>
      </x:c>
      <x:c r="H726" s="8" t="n">
        <x:v>24.52</x:v>
      </x:c>
      <x:c r="I726" s="8" t="n">
        <x:v>19.52</x:v>
      </x:c>
      <x:c r="J726" s="8" t="n">
        <x:v>100</x:v>
      </x:c>
      <x:c r="K726" s="8" t="n">
        <x:v>1.47</x:v>
      </x:c>
      <x:c r="L726" s="8" t="n">
        <x:v>0</x:v>
      </x:c>
      <x:c r="M726" s="8" t="n">
        <x:v>0</x:v>
      </x:c>
      <x:c r="N726" s="8" t="n">
        <x:v>0</x:v>
      </x:c>
      <x:c r="O726" s="8" t="n">
        <x:v>1</x:v>
      </x:c>
      <x:c r="P726" s="8" t="n">
        <x:v>16.68</x:v>
      </x:c>
      <x:c r="Q726" s="9" t="n">
        <x:v>0</x:v>
      </x:c>
      <x:c r="R726" s="1" t="str">
        <x:v>Classified</x:v>
      </x:c>
      <x:c r="S726" s="1" t="str">
        <x:v>Plastic Product Information.csv</x:v>
      </x:c>
    </x:row>
    <x:row r="727" ht="21" customHeight="1">
      <x:c r="A727" s="1" t="str">
        <x:v>PLAS</x:v>
      </x:c>
      <x:c r="B727" s="1" t="str">
        <x:v>30</x:v>
      </x:c>
      <x:c r="C727" s="1" t="str">
        <x:v>03815RWBWHT</x:v>
      </x:c>
      <x:c r="D727" s="1" t="str">
        <x:v>GOLDEN CHAMPION IND. LIMITED</x:v>
      </x:c>
      <x:c r="E727" s="7" t="n">
        <x:v>46303</x:v>
      </x:c>
      <x:c r="F727" s="8" t="n">
        <x:v>1500</x:v>
      </x:c>
      <x:c r="G727" s="8" t="n">
        <x:v>0</x:v>
      </x:c>
      <x:c r="H727" s="8" t="n">
        <x:v>1.62</x:v>
      </x:c>
      <x:c r="I727" s="8" t="n">
        <x:v>1.29</x:v>
      </x:c>
      <x:c r="J727" s="8" t="n">
        <x:v>100</x:v>
      </x:c>
      <x:c r="K727" s="8" t="n">
        <x:v>1.47</x:v>
      </x:c>
      <x:c r="L727" s="8" t="n">
        <x:v>0</x:v>
      </x:c>
      <x:c r="M727" s="8" t="n">
        <x:v>0</x:v>
      </x:c>
      <x:c r="N727" s="8" t="n">
        <x:v>1500</x:v>
      </x:c>
      <x:c r="O727" s="8" t="n">
        <x:v>0</x:v>
      </x:c>
      <x:c r="P727" s="8" t="n">
        <x:v>1.1</x:v>
      </x:c>
      <x:c r="Q727" s="9" t="n">
        <x:v>24.3</x:v>
      </x:c>
      <x:c r="R727" s="1" t="str">
        <x:v>Review receipt reconciliation or original PO baseline</x:v>
      </x:c>
      <x:c r="S727" s="1" t="str">
        <x:v>Plastic Product Information.csv</x:v>
      </x:c>
    </x:row>
    <x:row r="728" ht="21" customHeight="1">
      <x:c r="A728" s="1" t="str">
        <x:v>PLAS</x:v>
      </x:c>
      <x:c r="B728" s="1" t="str">
        <x:v>30</x:v>
      </x:c>
      <x:c r="C728" s="1" t="str">
        <x:v>03880RWBBLK</x:v>
      </x:c>
      <x:c r="D728" s="1" t="str">
        <x:v>GOLDEN CHAMPION IND. LIMITED</x:v>
      </x:c>
      <x:c r="E728" s="7" t="n">
        <x:v>46303</x:v>
      </x:c>
      <x:c r="F728" s="8" t="n">
        <x:v>0</x:v>
      </x:c>
      <x:c r="G728" s="8" t="n">
        <x:v>0</x:v>
      </x:c>
      <x:c r="H728" s="8" t="n">
        <x:v>9.07</x:v>
      </x:c>
      <x:c r="I728" s="8" t="n">
        <x:v>7.22</x:v>
      </x:c>
      <x:c r="J728" s="8" t="n">
        <x:v>100</x:v>
      </x:c>
      <x:c r="K728" s="8" t="n">
        <x:v>1.47</x:v>
      </x:c>
      <x:c r="L728" s="8" t="n">
        <x:v>0</x:v>
      </x:c>
      <x:c r="M728" s="8" t="n">
        <x:v>0</x:v>
      </x:c>
      <x:c r="N728" s="8" t="n">
        <x:v>0</x:v>
      </x:c>
      <x:c r="O728" s="8" t="n">
        <x:v>1</x:v>
      </x:c>
      <x:c r="P728" s="8" t="n">
        <x:v>6.17</x:v>
      </x:c>
      <x:c r="Q728" s="9" t="n">
        <x:v>0</x:v>
      </x:c>
      <x:c r="R728" s="1" t="str">
        <x:v>Classified</x:v>
      </x:c>
      <x:c r="S728" s="1" t="str">
        <x:v>Plastic Product Information.csv</x:v>
      </x:c>
    </x:row>
    <x:row r="729" ht="21" customHeight="1">
      <x:c r="A729" s="1" t="str">
        <x:v>PLAS</x:v>
      </x:c>
      <x:c r="B729" s="1" t="str">
        <x:v>30</x:v>
      </x:c>
      <x:c r="C729" s="1" t="str">
        <x:v>03880RWBWHT</x:v>
      </x:c>
      <x:c r="D729" s="1" t="str">
        <x:v>GOLDEN CHAMPION IND. LIMITED</x:v>
      </x:c>
      <x:c r="E729" s="7" t="n">
        <x:v>46303</x:v>
      </x:c>
      <x:c r="F729" s="8" t="n">
        <x:v>0</x:v>
      </x:c>
      <x:c r="G729" s="8" t="n">
        <x:v>0</x:v>
      </x:c>
      <x:c r="H729" s="8" t="n">
        <x:v>9.07</x:v>
      </x:c>
      <x:c r="I729" s="8" t="n">
        <x:v>7.22</x:v>
      </x:c>
      <x:c r="J729" s="8" t="n">
        <x:v>100</x:v>
      </x:c>
      <x:c r="K729" s="8" t="n">
        <x:v>1.47</x:v>
      </x:c>
      <x:c r="L729" s="8" t="n">
        <x:v>0</x:v>
      </x:c>
      <x:c r="M729" s="8" t="n">
        <x:v>0</x:v>
      </x:c>
      <x:c r="N729" s="8" t="n">
        <x:v>0</x:v>
      </x:c>
      <x:c r="O729" s="8" t="n">
        <x:v>1</x:v>
      </x:c>
      <x:c r="P729" s="8" t="n">
        <x:v>6.17</x:v>
      </x:c>
      <x:c r="Q729" s="9" t="n">
        <x:v>0</x:v>
      </x:c>
      <x:c r="R729" s="1" t="str">
        <x:v>Classified</x:v>
      </x:c>
      <x:c r="S729" s="1" t="str">
        <x:v>Plastic Product Information.csv</x:v>
      </x:c>
    </x:row>
    <x:row r="730" ht="21" customHeight="1">
      <x:c r="A730" s="1" t="str">
        <x:v>PLAS</x:v>
      </x:c>
      <x:c r="B730" s="1" t="str">
        <x:v>30</x:v>
      </x:c>
      <x:c r="C730" s="1" t="str">
        <x:v>05815RWBWHT</x:v>
      </x:c>
      <x:c r="D730" s="1" t="str">
        <x:v>GOLDEN CHAMPION IND. LIMITED</x:v>
      </x:c>
      <x:c r="E730" s="7" t="n">
        <x:v>46303</x:v>
      </x:c>
      <x:c r="F730" s="8" t="n">
        <x:v>2000</x:v>
      </x:c>
      <x:c r="G730" s="8" t="n">
        <x:v>0</x:v>
      </x:c>
      <x:c r="H730" s="8" t="n">
        <x:v>3.09</x:v>
      </x:c>
      <x:c r="I730" s="8" t="n">
        <x:v>2.46</x:v>
      </x:c>
      <x:c r="J730" s="8" t="n">
        <x:v>100</x:v>
      </x:c>
      <x:c r="K730" s="8" t="n">
        <x:v>1.47</x:v>
      </x:c>
      <x:c r="L730" s="8" t="n">
        <x:v>0</x:v>
      </x:c>
      <x:c r="M730" s="8" t="n">
        <x:v>0</x:v>
      </x:c>
      <x:c r="N730" s="8" t="n">
        <x:v>2000</x:v>
      </x:c>
      <x:c r="O730" s="8" t="n">
        <x:v>0</x:v>
      </x:c>
      <x:c r="P730" s="8" t="n">
        <x:v>2.1</x:v>
      </x:c>
      <x:c r="Q730" s="9" t="n">
        <x:v>61.800000000000004</x:v>
      </x:c>
      <x:c r="R730" s="1" t="str">
        <x:v>Review receipt reconciliation or original PO baseline</x:v>
      </x:c>
      <x:c r="S730" s="1" t="str">
        <x:v>Plastic Product Information.csv</x:v>
      </x:c>
    </x:row>
    <x:row r="731" ht="21" customHeight="1">
      <x:c r="A731" s="1" t="str">
        <x:v>PLAS</x:v>
      </x:c>
      <x:c r="B731" s="1" t="str">
        <x:v>30</x:v>
      </x:c>
      <x:c r="C731" s="1" t="str">
        <x:v>05819RWBRED</x:v>
      </x:c>
      <x:c r="D731" s="1" t="str">
        <x:v>GOLDEN CHAMPION IND. LIMITED</x:v>
      </x:c>
      <x:c r="E731" s="7" t="n">
        <x:v>46303</x:v>
      </x:c>
      <x:c r="F731" s="8" t="n">
        <x:v>800</x:v>
      </x:c>
      <x:c r="G731" s="8" t="n">
        <x:v>0</x:v>
      </x:c>
      <x:c r="H731" s="8" t="n">
        <x:v>4.56</x:v>
      </x:c>
      <x:c r="I731" s="8" t="n">
        <x:v>3.63</x:v>
      </x:c>
      <x:c r="J731" s="8" t="n">
        <x:v>100</x:v>
      </x:c>
      <x:c r="K731" s="8" t="n">
        <x:v>1.47</x:v>
      </x:c>
      <x:c r="L731" s="8" t="n">
        <x:v>0</x:v>
      </x:c>
      <x:c r="M731" s="8" t="n">
        <x:v>0</x:v>
      </x:c>
      <x:c r="N731" s="8" t="n">
        <x:v>800</x:v>
      </x:c>
      <x:c r="O731" s="8" t="n">
        <x:v>0</x:v>
      </x:c>
      <x:c r="P731" s="8" t="n">
        <x:v>3.1</x:v>
      </x:c>
      <x:c r="Q731" s="9" t="n">
        <x:v>36.48</x:v>
      </x:c>
      <x:c r="R731" s="1" t="str">
        <x:v>Review receipt reconciliation or original PO baseline</x:v>
      </x:c>
      <x:c r="S731" s="1" t="str">
        <x:v>Plastic Product Information.csv</x:v>
      </x:c>
    </x:row>
    <x:row r="732" ht="21" customHeight="1">
      <x:c r="A732" s="1" t="str">
        <x:v>PLAS</x:v>
      </x:c>
      <x:c r="B732" s="1" t="str">
        <x:v>30</x:v>
      </x:c>
      <x:c r="C732" s="1" t="str">
        <x:v>05880RWBBLK</x:v>
      </x:c>
      <x:c r="D732" s="1" t="str">
        <x:v>GOLDEN CHAMPION IND. LIMITED</x:v>
      </x:c>
      <x:c r="E732" s="7" t="n">
        <x:v>46303</x:v>
      </x:c>
      <x:c r="F732" s="8" t="n">
        <x:v>0</x:v>
      </x:c>
      <x:c r="G732" s="8" t="n">
        <x:v>0</x:v>
      </x:c>
      <x:c r="H732" s="8" t="n">
        <x:v>17.26</x:v>
      </x:c>
      <x:c r="I732" s="8" t="n">
        <x:v>13.74</x:v>
      </x:c>
      <x:c r="J732" s="8" t="n">
        <x:v>100</x:v>
      </x:c>
      <x:c r="K732" s="8" t="n">
        <x:v>1.47</x:v>
      </x:c>
      <x:c r="L732" s="8" t="n">
        <x:v>0</x:v>
      </x:c>
      <x:c r="M732" s="8" t="n">
        <x:v>0</x:v>
      </x:c>
      <x:c r="N732" s="8" t="n">
        <x:v>0</x:v>
      </x:c>
      <x:c r="O732" s="8" t="n">
        <x:v>1</x:v>
      </x:c>
      <x:c r="P732" s="8" t="n">
        <x:v>11.74</x:v>
      </x:c>
      <x:c r="Q732" s="9" t="n">
        <x:v>0</x:v>
      </x:c>
      <x:c r="R732" s="1" t="str">
        <x:v>Classified</x:v>
      </x:c>
      <x:c r="S732" s="1" t="str">
        <x:v>Plastic Product Information.csv</x:v>
      </x:c>
    </x:row>
    <x:row r="733" ht="21" customHeight="1">
      <x:c r="A733" s="1" t="str">
        <x:v>PLAS</x:v>
      </x:c>
      <x:c r="B733" s="1" t="str">
        <x:v>30</x:v>
      </x:c>
      <x:c r="C733" s="1" t="str">
        <x:v>05880RWBWHT</x:v>
      </x:c>
      <x:c r="D733" s="1" t="str">
        <x:v>GOLDEN CHAMPION IND. LIMITED</x:v>
      </x:c>
      <x:c r="E733" s="7" t="n">
        <x:v>46303</x:v>
      </x:c>
      <x:c r="F733" s="8" t="n">
        <x:v>0</x:v>
      </x:c>
      <x:c r="G733" s="8" t="n">
        <x:v>0</x:v>
      </x:c>
      <x:c r="H733" s="8" t="n">
        <x:v>17.26</x:v>
      </x:c>
      <x:c r="I733" s="8" t="n">
        <x:v>13.74</x:v>
      </x:c>
      <x:c r="J733" s="8" t="n">
        <x:v>100</x:v>
      </x:c>
      <x:c r="K733" s="8" t="n">
        <x:v>1.47</x:v>
      </x:c>
      <x:c r="L733" s="8" t="n">
        <x:v>0</x:v>
      </x:c>
      <x:c r="M733" s="8" t="n">
        <x:v>0</x:v>
      </x:c>
      <x:c r="N733" s="8" t="n">
        <x:v>0</x:v>
      </x:c>
      <x:c r="O733" s="8" t="n">
        <x:v>1</x:v>
      </x:c>
      <x:c r="P733" s="8" t="n">
        <x:v>11.74</x:v>
      </x:c>
      <x:c r="Q733" s="9" t="n">
        <x:v>0</x:v>
      </x:c>
      <x:c r="R733" s="1" t="str">
        <x:v>Classified</x:v>
      </x:c>
      <x:c r="S733" s="1" t="str">
        <x:v>Plastic Product Information.csv</x:v>
      </x:c>
    </x:row>
    <x:row r="734" ht="21" customHeight="1">
      <x:c r="A734" s="1" t="str">
        <x:v>PLAS</x:v>
      </x:c>
      <x:c r="B734" s="1" t="str">
        <x:v>30</x:v>
      </x:c>
      <x:c r="C734" s="1" t="str">
        <x:v>07815RWBBLK</x:v>
      </x:c>
      <x:c r="D734" s="1" t="str">
        <x:v>GOLDEN CHAMPION IND. LIMITED</x:v>
      </x:c>
      <x:c r="E734" s="7" t="n">
        <x:v>46303</x:v>
      </x:c>
      <x:c r="F734" s="8" t="n">
        <x:v>400</x:v>
      </x:c>
      <x:c r="G734" s="8" t="n">
        <x:v>0</x:v>
      </x:c>
      <x:c r="H734" s="8" t="n">
        <x:v>5.38</x:v>
      </x:c>
      <x:c r="I734" s="8" t="n">
        <x:v>4.28</x:v>
      </x:c>
      <x:c r="J734" s="8" t="n">
        <x:v>100</x:v>
      </x:c>
      <x:c r="K734" s="8" t="n">
        <x:v>1.47</x:v>
      </x:c>
      <x:c r="L734" s="8" t="n">
        <x:v>0</x:v>
      </x:c>
      <x:c r="M734" s="8" t="n">
        <x:v>0</x:v>
      </x:c>
      <x:c r="N734" s="8" t="n">
        <x:v>400</x:v>
      </x:c>
      <x:c r="O734" s="8" t="n">
        <x:v>0</x:v>
      </x:c>
      <x:c r="P734" s="8" t="n">
        <x:v>3.66</x:v>
      </x:c>
      <x:c r="Q734" s="9" t="n">
        <x:v>21.52</x:v>
      </x:c>
      <x:c r="R734" s="1" t="str">
        <x:v>Review receipt reconciliation or original PO baseline</x:v>
      </x:c>
      <x:c r="S734" s="1" t="str">
        <x:v>Plastic Product Information.csv</x:v>
      </x:c>
    </x:row>
    <x:row r="735" ht="21" customHeight="1">
      <x:c r="A735" s="1" t="str">
        <x:v>PLAS</x:v>
      </x:c>
      <x:c r="B735" s="1" t="str">
        <x:v>30</x:v>
      </x:c>
      <x:c r="C735" s="1" t="str">
        <x:v>07815RWBWHT</x:v>
      </x:c>
      <x:c r="D735" s="1" t="str">
        <x:v>GOLDEN CHAMPION IND. LIMITED</x:v>
      </x:c>
      <x:c r="E735" s="7" t="n">
        <x:v>46303</x:v>
      </x:c>
      <x:c r="F735" s="8" t="n">
        <x:v>500</x:v>
      </x:c>
      <x:c r="G735" s="8" t="n">
        <x:v>0</x:v>
      </x:c>
      <x:c r="H735" s="8" t="n">
        <x:v>5.38</x:v>
      </x:c>
      <x:c r="I735" s="8" t="n">
        <x:v>4.28</x:v>
      </x:c>
      <x:c r="J735" s="8" t="n">
        <x:v>100</x:v>
      </x:c>
      <x:c r="K735" s="8" t="n">
        <x:v>1.47</x:v>
      </x:c>
      <x:c r="L735" s="8" t="n">
        <x:v>0</x:v>
      </x:c>
      <x:c r="M735" s="8" t="n">
        <x:v>0</x:v>
      </x:c>
      <x:c r="N735" s="8" t="n">
        <x:v>500</x:v>
      </x:c>
      <x:c r="O735" s="8" t="n">
        <x:v>0</x:v>
      </x:c>
      <x:c r="P735" s="8" t="n">
        <x:v>3.66</x:v>
      </x:c>
      <x:c r="Q735" s="9" t="n">
        <x:v>26.900000000000002</x:v>
      </x:c>
      <x:c r="R735" s="1" t="str">
        <x:v>Review receipt reconciliation or original PO baseline</x:v>
      </x:c>
      <x:c r="S735" s="1" t="str">
        <x:v>Plastic Product Information.csv</x:v>
      </x:c>
    </x:row>
    <x:row r="736" ht="21" customHeight="1">
      <x:c r="A736" s="1" t="str">
        <x:v>PLAS</x:v>
      </x:c>
      <x:c r="B736" s="1" t="str">
        <x:v>30</x:v>
      </x:c>
      <x:c r="C736" s="1" t="str">
        <x:v>07819RWBCLR</x:v>
      </x:c>
      <x:c r="D736" s="1" t="str">
        <x:v>GOLDEN CHAMPION IND. LIMITED</x:v>
      </x:c>
      <x:c r="E736" s="7" t="n">
        <x:v>46303</x:v>
      </x:c>
      <x:c r="F736" s="8" t="n">
        <x:v>1300</x:v>
      </x:c>
      <x:c r="G736" s="8" t="n">
        <x:v>0</x:v>
      </x:c>
      <x:c r="H736" s="8" t="n">
        <x:v>7.97</x:v>
      </x:c>
      <x:c r="I736" s="8" t="n">
        <x:v>6.34</x:v>
      </x:c>
      <x:c r="J736" s="8" t="n">
        <x:v>100</x:v>
      </x:c>
      <x:c r="K736" s="8" t="n">
        <x:v>1.47</x:v>
      </x:c>
      <x:c r="L736" s="8" t="n">
        <x:v>0</x:v>
      </x:c>
      <x:c r="M736" s="8" t="n">
        <x:v>0</x:v>
      </x:c>
      <x:c r="N736" s="8" t="n">
        <x:v>1300</x:v>
      </x:c>
      <x:c r="O736" s="8" t="n">
        <x:v>0</x:v>
      </x:c>
      <x:c r="P736" s="8" t="n">
        <x:v>5.42</x:v>
      </x:c>
      <x:c r="Q736" s="9" t="n">
        <x:v>103.61</x:v>
      </x:c>
      <x:c r="R736" s="1" t="str">
        <x:v>Review receipt reconciliation or original PO baseline</x:v>
      </x:c>
      <x:c r="S736" s="1" t="str">
        <x:v>Plastic Product Information.csv</x:v>
      </x:c>
    </x:row>
    <x:row r="737" ht="21" customHeight="1">
      <x:c r="A737" s="1" t="str">
        <x:v>PLAS</x:v>
      </x:c>
      <x:c r="B737" s="1" t="str">
        <x:v>30</x:v>
      </x:c>
      <x:c r="C737" s="1" t="str">
        <x:v>07819RWBNAV</x:v>
      </x:c>
      <x:c r="D737" s="1" t="str">
        <x:v>GOLDEN CHAMPION IND. LIMITED</x:v>
      </x:c>
      <x:c r="E737" s="7" t="n">
        <x:v>46303</x:v>
      </x:c>
      <x:c r="F737" s="8" t="n">
        <x:v>400</x:v>
      </x:c>
      <x:c r="G737" s="8" t="n">
        <x:v>0</x:v>
      </x:c>
      <x:c r="H737" s="8" t="n">
        <x:v>7.97</x:v>
      </x:c>
      <x:c r="I737" s="8" t="n">
        <x:v>6.34</x:v>
      </x:c>
      <x:c r="J737" s="8" t="n">
        <x:v>100</x:v>
      </x:c>
      <x:c r="K737" s="8" t="n">
        <x:v>1.47</x:v>
      </x:c>
      <x:c r="L737" s="8" t="n">
        <x:v>0</x:v>
      </x:c>
      <x:c r="M737" s="8" t="n">
        <x:v>0</x:v>
      </x:c>
      <x:c r="N737" s="8" t="n">
        <x:v>400</x:v>
      </x:c>
      <x:c r="O737" s="8" t="n">
        <x:v>0</x:v>
      </x:c>
      <x:c r="P737" s="8" t="n">
        <x:v>5.42</x:v>
      </x:c>
      <x:c r="Q737" s="9" t="n">
        <x:v>31.88</x:v>
      </x:c>
      <x:c r="R737" s="1" t="str">
        <x:v>Review receipt reconciliation or original PO baseline</x:v>
      </x:c>
      <x:c r="S737" s="1" t="str">
        <x:v>Plastic Product Information.csv</x:v>
      </x:c>
    </x:row>
    <x:row r="738" ht="21" customHeight="1">
      <x:c r="A738" s="1" t="str">
        <x:v>PLAS</x:v>
      </x:c>
      <x:c r="B738" s="1" t="str">
        <x:v>30</x:v>
      </x:c>
      <x:c r="C738" s="1" t="str">
        <x:v>07819RWBRED</x:v>
      </x:c>
      <x:c r="D738" s="1" t="str">
        <x:v>GOLDEN CHAMPION IND. LIMITED</x:v>
      </x:c>
      <x:c r="E738" s="7" t="n">
        <x:v>46303</x:v>
      </x:c>
      <x:c r="F738" s="8" t="n">
        <x:v>800</x:v>
      </x:c>
      <x:c r="G738" s="8" t="n">
        <x:v>0</x:v>
      </x:c>
      <x:c r="H738" s="8" t="n">
        <x:v>7.97</x:v>
      </x:c>
      <x:c r="I738" s="8" t="n">
        <x:v>6.34</x:v>
      </x:c>
      <x:c r="J738" s="8" t="n">
        <x:v>100</x:v>
      </x:c>
      <x:c r="K738" s="8" t="n">
        <x:v>1.47</x:v>
      </x:c>
      <x:c r="L738" s="8" t="n">
        <x:v>0</x:v>
      </x:c>
      <x:c r="M738" s="8" t="n">
        <x:v>0</x:v>
      </x:c>
      <x:c r="N738" s="8" t="n">
        <x:v>800</x:v>
      </x:c>
      <x:c r="O738" s="8" t="n">
        <x:v>0</x:v>
      </x:c>
      <x:c r="P738" s="8" t="n">
        <x:v>5.42</x:v>
      </x:c>
      <x:c r="Q738" s="9" t="n">
        <x:v>63.76</x:v>
      </x:c>
      <x:c r="R738" s="1" t="str">
        <x:v>Review receipt reconciliation or original PO baseline</x:v>
      </x:c>
      <x:c r="S738" s="1" t="str">
        <x:v>Plastic Product Information.csv</x:v>
      </x:c>
    </x:row>
    <x:row r="739" ht="21" customHeight="1">
      <x:c r="A739" s="1" t="str">
        <x:v>PLAS</x:v>
      </x:c>
      <x:c r="B739" s="1" t="str">
        <x:v>30</x:v>
      </x:c>
      <x:c r="C739" s="1" t="str">
        <x:v>07880RWBBLK</x:v>
      </x:c>
      <x:c r="D739" s="1" t="str">
        <x:v>GOLDEN CHAMPION IND. LIMITED</x:v>
      </x:c>
      <x:c r="E739" s="7" t="n">
        <x:v>46303</x:v>
      </x:c>
      <x:c r="F739" s="8" t="n">
        <x:v>0</x:v>
      </x:c>
      <x:c r="G739" s="8" t="n">
        <x:v>0</x:v>
      </x:c>
      <x:c r="H739" s="8" t="n">
        <x:v>29.62</x:v>
      </x:c>
      <x:c r="I739" s="8" t="n">
        <x:v>23.58</x:v>
      </x:c>
      <x:c r="J739" s="8" t="n">
        <x:v>100</x:v>
      </x:c>
      <x:c r="K739" s="8" t="n">
        <x:v>1.47</x:v>
      </x:c>
      <x:c r="L739" s="8" t="n">
        <x:v>0</x:v>
      </x:c>
      <x:c r="M739" s="8" t="n">
        <x:v>0</x:v>
      </x:c>
      <x:c r="N739" s="8" t="n">
        <x:v>0</x:v>
      </x:c>
      <x:c r="O739" s="8" t="n">
        <x:v>1</x:v>
      </x:c>
      <x:c r="P739" s="8" t="n">
        <x:v>20.15</x:v>
      </x:c>
      <x:c r="Q739" s="9" t="n">
        <x:v>0</x:v>
      </x:c>
      <x:c r="R739" s="1" t="str">
        <x:v>Classified</x:v>
      </x:c>
      <x:c r="S739" s="1" t="str">
        <x:v>Plastic Product Information.csv</x:v>
      </x:c>
    </x:row>
    <x:row r="740" ht="21" customHeight="1">
      <x:c r="A740" s="1" t="str">
        <x:v>PLAS</x:v>
      </x:c>
      <x:c r="B740" s="1" t="str">
        <x:v>30</x:v>
      </x:c>
      <x:c r="C740" s="1" t="str">
        <x:v>07880RWBWHT</x:v>
      </x:c>
      <x:c r="D740" s="1" t="str">
        <x:v>GOLDEN CHAMPION IND. LIMITED</x:v>
      </x:c>
      <x:c r="E740" s="7" t="n">
        <x:v>46303</x:v>
      </x:c>
      <x:c r="F740" s="8" t="n">
        <x:v>0</x:v>
      </x:c>
      <x:c r="G740" s="8" t="n">
        <x:v>0</x:v>
      </x:c>
      <x:c r="H740" s="8" t="n">
        <x:v>29.62</x:v>
      </x:c>
      <x:c r="I740" s="8" t="n">
        <x:v>23.58</x:v>
      </x:c>
      <x:c r="J740" s="8" t="n">
        <x:v>100</x:v>
      </x:c>
      <x:c r="K740" s="8" t="n">
        <x:v>1.47</x:v>
      </x:c>
      <x:c r="L740" s="8" t="n">
        <x:v>0</x:v>
      </x:c>
      <x:c r="M740" s="8" t="n">
        <x:v>0</x:v>
      </x:c>
      <x:c r="N740" s="8" t="n">
        <x:v>0</x:v>
      </x:c>
      <x:c r="O740" s="8" t="n">
        <x:v>1</x:v>
      </x:c>
      <x:c r="P740" s="8" t="n">
        <x:v>20.15</x:v>
      </x:c>
      <x:c r="Q740" s="9" t="n">
        <x:v>0</x:v>
      </x:c>
      <x:c r="R740" s="1" t="str">
        <x:v>Classified</x:v>
      </x:c>
      <x:c r="S740" s="1" t="str">
        <x:v>Plastic Product Information.csv</x:v>
      </x:c>
    </x:row>
    <x:row r="741" ht="21" customHeight="1">
      <x:c r="A741" s="1" t="str">
        <x:v>PLAS</x:v>
      </x:c>
      <x:c r="B741" s="1" t="str">
        <x:v>30</x:v>
      </x:c>
      <x:c r="C741" s="1" t="str">
        <x:v>11215RSLBLK</x:v>
      </x:c>
      <x:c r="D741" s="1" t="str">
        <x:v>GOLDEN CHAMPION IND. LIMITED</x:v>
      </x:c>
      <x:c r="E741" s="7" t="n">
        <x:v>46303</x:v>
      </x:c>
      <x:c r="F741" s="8" t="n">
        <x:v>500</x:v>
      </x:c>
      <x:c r="G741" s="8" t="n">
        <x:v>0</x:v>
      </x:c>
      <x:c r="H741" s="8" t="n">
        <x:v>8.86</x:v>
      </x:c>
      <x:c r="I741" s="8" t="n">
        <x:v>7.06</x:v>
      </x:c>
      <x:c r="J741" s="8" t="n">
        <x:v>100</x:v>
      </x:c>
      <x:c r="K741" s="8" t="n">
        <x:v>1.47</x:v>
      </x:c>
      <x:c r="L741" s="8" t="n">
        <x:v>0</x:v>
      </x:c>
      <x:c r="M741" s="8" t="n">
        <x:v>0</x:v>
      </x:c>
      <x:c r="N741" s="8" t="n">
        <x:v>500</x:v>
      </x:c>
      <x:c r="O741" s="8" t="n">
        <x:v>0</x:v>
      </x:c>
      <x:c r="P741" s="8" t="n">
        <x:v>6.03</x:v>
      </x:c>
      <x:c r="Q741" s="9" t="n">
        <x:v>44.300000000000004</x:v>
      </x:c>
      <x:c r="R741" s="1" t="str">
        <x:v>Review receipt reconciliation or original PO baseline</x:v>
      </x:c>
      <x:c r="S741" s="1" t="str">
        <x:v>Plastic Product Information.csv</x:v>
      </x:c>
    </x:row>
    <x:row r="742" ht="21" customHeight="1">
      <x:c r="A742" s="1" t="str">
        <x:v>PLAS</x:v>
      </x:c>
      <x:c r="B742" s="1" t="str">
        <x:v>30</x:v>
      </x:c>
      <x:c r="C742" s="1" t="str">
        <x:v>11215RSLWHT</x:v>
      </x:c>
      <x:c r="D742" s="1" t="str">
        <x:v>GOLDEN CHAMPION IND. LIMITED</x:v>
      </x:c>
      <x:c r="E742" s="7" t="n">
        <x:v>46303</x:v>
      </x:c>
      <x:c r="F742" s="8" t="n">
        <x:v>500</x:v>
      </x:c>
      <x:c r="G742" s="8" t="n">
        <x:v>0</x:v>
      </x:c>
      <x:c r="H742" s="8" t="n">
        <x:v>8.86</x:v>
      </x:c>
      <x:c r="I742" s="8" t="n">
        <x:v>7.06</x:v>
      </x:c>
      <x:c r="J742" s="8" t="n">
        <x:v>100</x:v>
      </x:c>
      <x:c r="K742" s="8" t="n">
        <x:v>1.47</x:v>
      </x:c>
      <x:c r="L742" s="8" t="n">
        <x:v>0</x:v>
      </x:c>
      <x:c r="M742" s="8" t="n">
        <x:v>0</x:v>
      </x:c>
      <x:c r="N742" s="8" t="n">
        <x:v>500</x:v>
      </x:c>
      <x:c r="O742" s="8" t="n">
        <x:v>0</x:v>
      </x:c>
      <x:c r="P742" s="8" t="n">
        <x:v>6.03</x:v>
      </x:c>
      <x:c r="Q742" s="9" t="n">
        <x:v>44.300000000000004</x:v>
      </x:c>
      <x:c r="R742" s="1" t="str">
        <x:v>Review receipt reconciliation or original PO baseline</x:v>
      </x:c>
      <x:c r="S742" s="1" t="str">
        <x:v>Plastic Product Information.csv</x:v>
      </x:c>
    </x:row>
    <x:row r="743" ht="21" customHeight="1">
      <x:c r="A743" s="1" t="str">
        <x:v>PLAS</x:v>
      </x:c>
      <x:c r="B743" s="1" t="str">
        <x:v>30</x:v>
      </x:c>
      <x:c r="C743" s="1" t="str">
        <x:v>11219RSLBLU</x:v>
      </x:c>
      <x:c r="D743" s="1" t="str">
        <x:v>GOLDEN CHAMPION IND. LIMITED</x:v>
      </x:c>
      <x:c r="E743" s="7" t="n">
        <x:v>46303</x:v>
      </x:c>
      <x:c r="F743" s="8" t="n">
        <x:v>250</x:v>
      </x:c>
      <x:c r="G743" s="8" t="n">
        <x:v>0</x:v>
      </x:c>
      <x:c r="H743" s="8" t="n">
        <x:v>12.98</x:v>
      </x:c>
      <x:c r="I743" s="8" t="n">
        <x:v>10.33</x:v>
      </x:c>
      <x:c r="J743" s="8" t="n">
        <x:v>100</x:v>
      </x:c>
      <x:c r="K743" s="8" t="n">
        <x:v>1.47</x:v>
      </x:c>
      <x:c r="L743" s="8" t="n">
        <x:v>0</x:v>
      </x:c>
      <x:c r="M743" s="8" t="n">
        <x:v>0</x:v>
      </x:c>
      <x:c r="N743" s="8" t="n">
        <x:v>250</x:v>
      </x:c>
      <x:c r="O743" s="8" t="n">
        <x:v>0</x:v>
      </x:c>
      <x:c r="P743" s="8" t="n">
        <x:v>8.83</x:v>
      </x:c>
      <x:c r="Q743" s="9" t="n">
        <x:v>32.45</x:v>
      </x:c>
      <x:c r="R743" s="1" t="str">
        <x:v>Review receipt reconciliation or original PO baseline</x:v>
      </x:c>
      <x:c r="S743" s="1" t="str">
        <x:v>Plastic Product Information.csv</x:v>
      </x:c>
    </x:row>
    <x:row r="744" ht="21" customHeight="1">
      <x:c r="A744" s="1" t="str">
        <x:v>PLAS</x:v>
      </x:c>
      <x:c r="B744" s="1" t="str">
        <x:v>30</x:v>
      </x:c>
      <x:c r="C744" s="1" t="str">
        <x:v>11219RSLCLR</x:v>
      </x:c>
      <x:c r="D744" s="1" t="str">
        <x:v>GOLDEN CHAMPION IND. LIMITED</x:v>
      </x:c>
      <x:c r="E744" s="7" t="n">
        <x:v>46303</x:v>
      </x:c>
      <x:c r="F744" s="8" t="n">
        <x:v>650</x:v>
      </x:c>
      <x:c r="G744" s="8" t="n">
        <x:v>0</x:v>
      </x:c>
      <x:c r="H744" s="8" t="n">
        <x:v>12.98</x:v>
      </x:c>
      <x:c r="I744" s="8" t="n">
        <x:v>10.33</x:v>
      </x:c>
      <x:c r="J744" s="8" t="n">
        <x:v>100</x:v>
      </x:c>
      <x:c r="K744" s="8" t="n">
        <x:v>1.47</x:v>
      </x:c>
      <x:c r="L744" s="8" t="n">
        <x:v>0</x:v>
      </x:c>
      <x:c r="M744" s="8" t="n">
        <x:v>0</x:v>
      </x:c>
      <x:c r="N744" s="8" t="n">
        <x:v>650</x:v>
      </x:c>
      <x:c r="O744" s="8" t="n">
        <x:v>0</x:v>
      </x:c>
      <x:c r="P744" s="8" t="n">
        <x:v>8.83</x:v>
      </x:c>
      <x:c r="Q744" s="9" t="n">
        <x:v>84.37</x:v>
      </x:c>
      <x:c r="R744" s="1" t="str">
        <x:v>Review receipt reconciliation or original PO baseline</x:v>
      </x:c>
      <x:c r="S744" s="1" t="str">
        <x:v>Plastic Product Information.csv</x:v>
      </x:c>
    </x:row>
    <x:row r="745" ht="21" customHeight="1">
      <x:c r="A745" s="1" t="str">
        <x:v>PLAS</x:v>
      </x:c>
      <x:c r="B745" s="1" t="str">
        <x:v>30</x:v>
      </x:c>
      <x:c r="C745" s="1" t="str">
        <x:v>11219RSLFG</x:v>
      </x:c>
      <x:c r="D745" s="1" t="str">
        <x:v>GOLDEN CHAMPION IND. LIMITED</x:v>
      </x:c>
      <x:c r="E745" s="7" t="n">
        <x:v>46303</x:v>
      </x:c>
      <x:c r="F745" s="8" t="n">
        <x:v>250</x:v>
      </x:c>
      <x:c r="G745" s="8" t="n">
        <x:v>0</x:v>
      </x:c>
      <x:c r="H745" s="8" t="n">
        <x:v>12.98</x:v>
      </x:c>
      <x:c r="I745" s="8" t="n">
        <x:v>10.33</x:v>
      </x:c>
      <x:c r="J745" s="8" t="n">
        <x:v>100</x:v>
      </x:c>
      <x:c r="K745" s="8" t="n">
        <x:v>1.47</x:v>
      </x:c>
      <x:c r="L745" s="8" t="n">
        <x:v>0</x:v>
      </x:c>
      <x:c r="M745" s="8" t="n">
        <x:v>0</x:v>
      </x:c>
      <x:c r="N745" s="8" t="n">
        <x:v>250</x:v>
      </x:c>
      <x:c r="O745" s="8" t="n">
        <x:v>0</x:v>
      </x:c>
      <x:c r="P745" s="8" t="n">
        <x:v>8.83</x:v>
      </x:c>
      <x:c r="Q745" s="9" t="n">
        <x:v>32.45</x:v>
      </x:c>
      <x:c r="R745" s="1" t="str">
        <x:v>Review receipt reconciliation or original PO baseline</x:v>
      </x:c>
      <x:c r="S745" s="1" t="str">
        <x:v>Plastic Product Information.csv</x:v>
      </x:c>
    </x:row>
    <x:row r="746" ht="21" customHeight="1">
      <x:c r="A746" s="1" t="str">
        <x:v>PLAS</x:v>
      </x:c>
      <x:c r="B746" s="1" t="str">
        <x:v>30</x:v>
      </x:c>
      <x:c r="C746" s="1" t="str">
        <x:v>11219RSLMAR</x:v>
      </x:c>
      <x:c r="D746" s="1" t="str">
        <x:v>GOLDEN CHAMPION IND. LIMITED</x:v>
      </x:c>
      <x:c r="E746" s="7" t="n">
        <x:v>46303</x:v>
      </x:c>
      <x:c r="F746" s="8" t="n">
        <x:v>400</x:v>
      </x:c>
      <x:c r="G746" s="8" t="n">
        <x:v>0</x:v>
      </x:c>
      <x:c r="H746" s="8" t="n">
        <x:v>12.98</x:v>
      </x:c>
      <x:c r="I746" s="8" t="n">
        <x:v>10.33</x:v>
      </x:c>
      <x:c r="J746" s="8" t="n">
        <x:v>100</x:v>
      </x:c>
      <x:c r="K746" s="8" t="n">
        <x:v>1.47</x:v>
      </x:c>
      <x:c r="L746" s="8" t="n">
        <x:v>0</x:v>
      </x:c>
      <x:c r="M746" s="8" t="n">
        <x:v>0</x:v>
      </x:c>
      <x:c r="N746" s="8" t="n">
        <x:v>400</x:v>
      </x:c>
      <x:c r="O746" s="8" t="n">
        <x:v>0</x:v>
      </x:c>
      <x:c r="P746" s="8" t="n">
        <x:v>8.83</x:v>
      </x:c>
      <x:c r="Q746" s="9" t="n">
        <x:v>51.92</x:v>
      </x:c>
      <x:c r="R746" s="1" t="str">
        <x:v>Review receipt reconciliation or original PO baseline</x:v>
      </x:c>
      <x:c r="S746" s="1" t="str">
        <x:v>Plastic Product Information.csv</x:v>
      </x:c>
    </x:row>
    <x:row r="747" ht="21" customHeight="1">
      <x:c r="A747" s="1" t="str">
        <x:v>PLAS</x:v>
      </x:c>
      <x:c r="B747" s="1" t="str">
        <x:v>30</x:v>
      </x:c>
      <x:c r="C747" s="1" t="str">
        <x:v>11415RSLBLK</x:v>
      </x:c>
      <x:c r="D747" s="1" t="str">
        <x:v>GOLDEN CHAMPION IND. LIMITED</x:v>
      </x:c>
      <x:c r="E747" s="7" t="n">
        <x:v>46303</x:v>
      </x:c>
      <x:c r="F747" s="8" t="n">
        <x:v>450</x:v>
      </x:c>
      <x:c r="G747" s="8" t="n">
        <x:v>0</x:v>
      </x:c>
      <x:c r="H747" s="8" t="n">
        <x:v>7.82</x:v>
      </x:c>
      <x:c r="I747" s="8" t="n">
        <x:v>6.22</x:v>
      </x:c>
      <x:c r="J747" s="8" t="n">
        <x:v>100</x:v>
      </x:c>
      <x:c r="K747" s="8" t="n">
        <x:v>1.47</x:v>
      </x:c>
      <x:c r="L747" s="8" t="n">
        <x:v>0</x:v>
      </x:c>
      <x:c r="M747" s="8" t="n">
        <x:v>0</x:v>
      </x:c>
      <x:c r="N747" s="8" t="n">
        <x:v>450</x:v>
      </x:c>
      <x:c r="O747" s="8" t="n">
        <x:v>0</x:v>
      </x:c>
      <x:c r="P747" s="8" t="n">
        <x:v>5.32</x:v>
      </x:c>
      <x:c r="Q747" s="9" t="n">
        <x:v>35.19</x:v>
      </x:c>
      <x:c r="R747" s="1" t="str">
        <x:v>Review receipt reconciliation or original PO baseline</x:v>
      </x:c>
      <x:c r="S747" s="1" t="str">
        <x:v>Plastic Product Information.csv</x:v>
      </x:c>
    </x:row>
    <x:row r="748" ht="21" customHeight="1">
      <x:c r="A748" s="1" t="str">
        <x:v>PLAS</x:v>
      </x:c>
      <x:c r="B748" s="1" t="str">
        <x:v>30</x:v>
      </x:c>
      <x:c r="C748" s="1" t="str">
        <x:v>11415RSLWHT</x:v>
      </x:c>
      <x:c r="D748" s="1" t="str">
        <x:v>GOLDEN CHAMPION IND. LIMITED</x:v>
      </x:c>
      <x:c r="E748" s="7" t="n">
        <x:v>46303</x:v>
      </x:c>
      <x:c r="F748" s="8" t="n">
        <x:v>500</x:v>
      </x:c>
      <x:c r="G748" s="8" t="n">
        <x:v>0</x:v>
      </x:c>
      <x:c r="H748" s="8" t="n">
        <x:v>7.82</x:v>
      </x:c>
      <x:c r="I748" s="8" t="n">
        <x:v>6.22</x:v>
      </x:c>
      <x:c r="J748" s="8" t="n">
        <x:v>100</x:v>
      </x:c>
      <x:c r="K748" s="8" t="n">
        <x:v>1.47</x:v>
      </x:c>
      <x:c r="L748" s="8" t="n">
        <x:v>0</x:v>
      </x:c>
      <x:c r="M748" s="8" t="n">
        <x:v>0</x:v>
      </x:c>
      <x:c r="N748" s="8" t="n">
        <x:v>500</x:v>
      </x:c>
      <x:c r="O748" s="8" t="n">
        <x:v>0</x:v>
      </x:c>
      <x:c r="P748" s="8" t="n">
        <x:v>5.32</x:v>
      </x:c>
      <x:c r="Q748" s="9" t="n">
        <x:v>39.1</x:v>
      </x:c>
      <x:c r="R748" s="1" t="str">
        <x:v>Review receipt reconciliation or original PO baseline</x:v>
      </x:c>
      <x:c r="S748" s="1" t="str">
        <x:v>Plastic Product Information.csv</x:v>
      </x:c>
    </x:row>
    <x:row r="749" ht="21" customHeight="1">
      <x:c r="A749" s="1" t="str">
        <x:v>PLAS</x:v>
      </x:c>
      <x:c r="B749" s="1" t="str">
        <x:v>30</x:v>
      </x:c>
      <x:c r="C749" s="1" t="str">
        <x:v>11419RSLBLU</x:v>
      </x:c>
      <x:c r="D749" s="1" t="str">
        <x:v>GOLDEN CHAMPION IND. LIMITED</x:v>
      </x:c>
      <x:c r="E749" s="7" t="n">
        <x:v>46303</x:v>
      </x:c>
      <x:c r="F749" s="8" t="n">
        <x:v>500</x:v>
      </x:c>
      <x:c r="G749" s="8" t="n">
        <x:v>0</x:v>
      </x:c>
      <x:c r="H749" s="8" t="n">
        <x:v>11.1</x:v>
      </x:c>
      <x:c r="I749" s="8" t="n">
        <x:v>8.83</x:v>
      </x:c>
      <x:c r="J749" s="8" t="n">
        <x:v>100</x:v>
      </x:c>
      <x:c r="K749" s="8" t="n">
        <x:v>1.47</x:v>
      </x:c>
      <x:c r="L749" s="8" t="n">
        <x:v>0</x:v>
      </x:c>
      <x:c r="M749" s="8" t="n">
        <x:v>0</x:v>
      </x:c>
      <x:c r="N749" s="8" t="n">
        <x:v>500</x:v>
      </x:c>
      <x:c r="O749" s="8" t="n">
        <x:v>0</x:v>
      </x:c>
      <x:c r="P749" s="8" t="n">
        <x:v>7.55</x:v>
      </x:c>
      <x:c r="Q749" s="9" t="n">
        <x:v>55.5</x:v>
      </x:c>
      <x:c r="R749" s="1" t="str">
        <x:v>Review receipt reconciliation or original PO baseline</x:v>
      </x:c>
      <x:c r="S749" s="1" t="str">
        <x:v>Plastic Product Information.csv</x:v>
      </x:c>
    </x:row>
    <x:row r="750" ht="21" customHeight="1">
      <x:c r="A750" s="1" t="str">
        <x:v>PLAS</x:v>
      </x:c>
      <x:c r="B750" s="1" t="str">
        <x:v>30</x:v>
      </x:c>
      <x:c r="C750" s="1" t="str">
        <x:v>11419RSLCLR</x:v>
      </x:c>
      <x:c r="D750" s="1" t="str">
        <x:v>GOLDEN CHAMPION IND. LIMITED</x:v>
      </x:c>
      <x:c r="E750" s="7" t="n">
        <x:v>46303</x:v>
      </x:c>
      <x:c r="F750" s="8" t="n">
        <x:v>600</x:v>
      </x:c>
      <x:c r="G750" s="8" t="n">
        <x:v>0</x:v>
      </x:c>
      <x:c r="H750" s="8" t="n">
        <x:v>11.1</x:v>
      </x:c>
      <x:c r="I750" s="8" t="n">
        <x:v>8.83</x:v>
      </x:c>
      <x:c r="J750" s="8" t="n">
        <x:v>100</x:v>
      </x:c>
      <x:c r="K750" s="8" t="n">
        <x:v>1.47</x:v>
      </x:c>
      <x:c r="L750" s="8" t="n">
        <x:v>0</x:v>
      </x:c>
      <x:c r="M750" s="8" t="n">
        <x:v>0</x:v>
      </x:c>
      <x:c r="N750" s="8" t="n">
        <x:v>600</x:v>
      </x:c>
      <x:c r="O750" s="8" t="n">
        <x:v>0</x:v>
      </x:c>
      <x:c r="P750" s="8" t="n">
        <x:v>7.55</x:v>
      </x:c>
      <x:c r="Q750" s="9" t="n">
        <x:v>66.6</x:v>
      </x:c>
      <x:c r="R750" s="1" t="str">
        <x:v>Review receipt reconciliation or original PO baseline</x:v>
      </x:c>
      <x:c r="S750" s="1" t="str">
        <x:v>Plastic Product Information.csv</x:v>
      </x:c>
    </x:row>
    <x:row r="751" ht="21" customHeight="1">
      <x:c r="A751" s="1" t="str">
        <x:v>PLAS</x:v>
      </x:c>
      <x:c r="B751" s="1" t="str">
        <x:v>30</x:v>
      </x:c>
      <x:c r="C751" s="1" t="str">
        <x:v>11419RSLFG</x:v>
      </x:c>
      <x:c r="D751" s="1" t="str">
        <x:v>GOLDEN CHAMPION IND. LIMITED</x:v>
      </x:c>
      <x:c r="E751" s="7" t="n">
        <x:v>46303</x:v>
      </x:c>
      <x:c r="F751" s="8" t="n">
        <x:v>350</x:v>
      </x:c>
      <x:c r="G751" s="8" t="n">
        <x:v>0</x:v>
      </x:c>
      <x:c r="H751" s="8" t="n">
        <x:v>11.1</x:v>
      </x:c>
      <x:c r="I751" s="8" t="n">
        <x:v>8.83</x:v>
      </x:c>
      <x:c r="J751" s="8" t="n">
        <x:v>100</x:v>
      </x:c>
      <x:c r="K751" s="8" t="n">
        <x:v>1.47</x:v>
      </x:c>
      <x:c r="L751" s="8" t="n">
        <x:v>0</x:v>
      </x:c>
      <x:c r="M751" s="8" t="n">
        <x:v>0</x:v>
      </x:c>
      <x:c r="N751" s="8" t="n">
        <x:v>350</x:v>
      </x:c>
      <x:c r="O751" s="8" t="n">
        <x:v>0</x:v>
      </x:c>
      <x:c r="P751" s="8" t="n">
        <x:v>7.55</x:v>
      </x:c>
      <x:c r="Q751" s="9" t="n">
        <x:v>38.85</x:v>
      </x:c>
      <x:c r="R751" s="1" t="str">
        <x:v>Review receipt reconciliation or original PO baseline</x:v>
      </x:c>
      <x:c r="S751" s="1" t="str">
        <x:v>Plastic Product Information.csv</x:v>
      </x:c>
    </x:row>
    <x:row r="752" ht="21" customHeight="1">
      <x:c r="A752" s="1" t="str">
        <x:v>PLAS</x:v>
      </x:c>
      <x:c r="B752" s="1" t="str">
        <x:v>30</x:v>
      </x:c>
      <x:c r="C752" s="1" t="str">
        <x:v>11419RSLMAR</x:v>
      </x:c>
      <x:c r="D752" s="1" t="str">
        <x:v>GOLDEN CHAMPION IND. LIMITED</x:v>
      </x:c>
      <x:c r="E752" s="7" t="n">
        <x:v>46303</x:v>
      </x:c>
      <x:c r="F752" s="8" t="n">
        <x:v>600</x:v>
      </x:c>
      <x:c r="G752" s="8" t="n">
        <x:v>0</x:v>
      </x:c>
      <x:c r="H752" s="8" t="n">
        <x:v>11.1</x:v>
      </x:c>
      <x:c r="I752" s="8" t="n">
        <x:v>8.83</x:v>
      </x:c>
      <x:c r="J752" s="8" t="n">
        <x:v>100</x:v>
      </x:c>
      <x:c r="K752" s="8" t="n">
        <x:v>1.47</x:v>
      </x:c>
      <x:c r="L752" s="8" t="n">
        <x:v>0</x:v>
      </x:c>
      <x:c r="M752" s="8" t="n">
        <x:v>0</x:v>
      </x:c>
      <x:c r="N752" s="8" t="n">
        <x:v>600</x:v>
      </x:c>
      <x:c r="O752" s="8" t="n">
        <x:v>0</x:v>
      </x:c>
      <x:c r="P752" s="8" t="n">
        <x:v>7.55</x:v>
      </x:c>
      <x:c r="Q752" s="9" t="n">
        <x:v>66.6</x:v>
      </x:c>
      <x:c r="R752" s="1" t="str">
        <x:v>Review receipt reconciliation or original PO baseline</x:v>
      </x:c>
      <x:c r="S752" s="1" t="str">
        <x:v>Plastic Product Information.csv</x:v>
      </x:c>
    </x:row>
    <x:row r="753" ht="21" customHeight="1">
      <x:c r="A753" s="1" t="str">
        <x:v>PLAS</x:v>
      </x:c>
      <x:c r="B753" s="1" t="str">
        <x:v>30</x:v>
      </x:c>
      <x:c r="C753" s="1" t="str">
        <x:v>11419RSLNAV</x:v>
      </x:c>
      <x:c r="D753" s="1" t="str">
        <x:v>GOLDEN CHAMPION IND. LIMITED</x:v>
      </x:c>
      <x:c r="E753" s="7" t="n">
        <x:v>46303</x:v>
      </x:c>
      <x:c r="F753" s="8" t="n">
        <x:v>550</x:v>
      </x:c>
      <x:c r="G753" s="8" t="n">
        <x:v>0</x:v>
      </x:c>
      <x:c r="H753" s="8" t="n">
        <x:v>11.1</x:v>
      </x:c>
      <x:c r="I753" s="8" t="n">
        <x:v>8.83</x:v>
      </x:c>
      <x:c r="J753" s="8" t="n">
        <x:v>100</x:v>
      </x:c>
      <x:c r="K753" s="8" t="n">
        <x:v>1.47</x:v>
      </x:c>
      <x:c r="L753" s="8" t="n">
        <x:v>0</x:v>
      </x:c>
      <x:c r="M753" s="8" t="n">
        <x:v>0</x:v>
      </x:c>
      <x:c r="N753" s="8" t="n">
        <x:v>550</x:v>
      </x:c>
      <x:c r="O753" s="8" t="n">
        <x:v>0</x:v>
      </x:c>
      <x:c r="P753" s="8" t="n">
        <x:v>7.55</x:v>
      </x:c>
      <x:c r="Q753" s="9" t="n">
        <x:v>61.050000000000004</x:v>
      </x:c>
      <x:c r="R753" s="1" t="str">
        <x:v>Review receipt reconciliation or original PO baseline</x:v>
      </x:c>
      <x:c r="S753" s="1" t="str">
        <x:v>Plastic Product Information.csv</x:v>
      </x:c>
    </x:row>
    <x:row r="754" ht="21" customHeight="1">
      <x:c r="A754" s="1" t="str">
        <x:v>PLAS</x:v>
      </x:c>
      <x:c r="B754" s="1" t="str">
        <x:v>30</x:v>
      </x:c>
      <x:c r="C754" s="1" t="str">
        <x:v>11419RSLRED</x:v>
      </x:c>
      <x:c r="D754" s="1" t="str">
        <x:v>GOLDEN CHAMPION IND. LIMITED</x:v>
      </x:c>
      <x:c r="E754" s="7" t="n">
        <x:v>46303</x:v>
      </x:c>
      <x:c r="F754" s="8" t="n">
        <x:v>1100</x:v>
      </x:c>
      <x:c r="G754" s="8" t="n">
        <x:v>0</x:v>
      </x:c>
      <x:c r="H754" s="8" t="n">
        <x:v>11.1</x:v>
      </x:c>
      <x:c r="I754" s="8" t="n">
        <x:v>8.83</x:v>
      </x:c>
      <x:c r="J754" s="8" t="n">
        <x:v>100</x:v>
      </x:c>
      <x:c r="K754" s="8" t="n">
        <x:v>1.47</x:v>
      </x:c>
      <x:c r="L754" s="8" t="n">
        <x:v>0</x:v>
      </x:c>
      <x:c r="M754" s="8" t="n">
        <x:v>0</x:v>
      </x:c>
      <x:c r="N754" s="8" t="n">
        <x:v>1100</x:v>
      </x:c>
      <x:c r="O754" s="8" t="n">
        <x:v>0</x:v>
      </x:c>
      <x:c r="P754" s="8" t="n">
        <x:v>7.55</x:v>
      </x:c>
      <x:c r="Q754" s="9" t="n">
        <x:v>122.10000000000001</x:v>
      </x:c>
      <x:c r="R754" s="1" t="str">
        <x:v>Review receipt reconciliation or original PO baseline</x:v>
      </x:c>
      <x:c r="S754" s="1" t="str">
        <x:v>Plastic Product Information.csv</x:v>
      </x:c>
    </x:row>
    <x:row r="755" ht="21" customHeight="1">
      <x:c r="A755" s="1" t="str">
        <x:v>PLAS</x:v>
      </x:c>
      <x:c r="B755" s="1" t="str">
        <x:v>30</x:v>
      </x:c>
      <x:c r="C755" s="1" t="str">
        <x:v>11815RWBBLK</x:v>
      </x:c>
      <x:c r="D755" s="1" t="str">
        <x:v>GOLDEN CHAMPION IND. LIMITED</x:v>
      </x:c>
      <x:c r="E755" s="7" t="n">
        <x:v>46303</x:v>
      </x:c>
      <x:c r="F755" s="8" t="n">
        <x:v>800</x:v>
      </x:c>
      <x:c r="G755" s="8" t="n">
        <x:v>0</x:v>
      </x:c>
      <x:c r="H755" s="8" t="n">
        <x:v>8.82</x:v>
      </x:c>
      <x:c r="I755" s="8" t="n">
        <x:v>7.02</x:v>
      </x:c>
      <x:c r="J755" s="8" t="n">
        <x:v>100</x:v>
      </x:c>
      <x:c r="K755" s="8" t="n">
        <x:v>1.47</x:v>
      </x:c>
      <x:c r="L755" s="8" t="n">
        <x:v>0</x:v>
      </x:c>
      <x:c r="M755" s="8" t="n">
        <x:v>0</x:v>
      </x:c>
      <x:c r="N755" s="8" t="n">
        <x:v>800</x:v>
      </x:c>
      <x:c r="O755" s="8" t="n">
        <x:v>0</x:v>
      </x:c>
      <x:c r="P755" s="8" t="n">
        <x:v>6</x:v>
      </x:c>
      <x:c r="Q755" s="9" t="n">
        <x:v>70.56</x:v>
      </x:c>
      <x:c r="R755" s="1" t="str">
        <x:v>Review receipt reconciliation or original PO baseline</x:v>
      </x:c>
      <x:c r="S755" s="1" t="str">
        <x:v>Plastic Product Information.csv</x:v>
      </x:c>
    </x:row>
    <x:row r="756" ht="21" customHeight="1">
      <x:c r="A756" s="1" t="str">
        <x:v>PLAS</x:v>
      </x:c>
      <x:c r="B756" s="1" t="str">
        <x:v>30</x:v>
      </x:c>
      <x:c r="C756" s="1" t="str">
        <x:v>11815RWBWHT</x:v>
      </x:c>
      <x:c r="D756" s="1" t="str">
        <x:v>GOLDEN CHAMPION IND. LIMITED</x:v>
      </x:c>
      <x:c r="E756" s="7" t="n">
        <x:v>46303</x:v>
      </x:c>
      <x:c r="F756" s="8" t="n">
        <x:v>1000</x:v>
      </x:c>
      <x:c r="G756" s="8" t="n">
        <x:v>0</x:v>
      </x:c>
      <x:c r="H756" s="8" t="n">
        <x:v>8.82</x:v>
      </x:c>
      <x:c r="I756" s="8" t="n">
        <x:v>7.02</x:v>
      </x:c>
      <x:c r="J756" s="8" t="n">
        <x:v>100</x:v>
      </x:c>
      <x:c r="K756" s="8" t="n">
        <x:v>1.47</x:v>
      </x:c>
      <x:c r="L756" s="8" t="n">
        <x:v>0</x:v>
      </x:c>
      <x:c r="M756" s="8" t="n">
        <x:v>0</x:v>
      </x:c>
      <x:c r="N756" s="8" t="n">
        <x:v>1000</x:v>
      </x:c>
      <x:c r="O756" s="8" t="n">
        <x:v>0</x:v>
      </x:c>
      <x:c r="P756" s="8" t="n">
        <x:v>6</x:v>
      </x:c>
      <x:c r="Q756" s="9" t="n">
        <x:v>88.2</x:v>
      </x:c>
      <x:c r="R756" s="1" t="str">
        <x:v>Review receipt reconciliation or original PO baseline</x:v>
      </x:c>
      <x:c r="S756" s="1" t="str">
        <x:v>Plastic Product Information.csv</x:v>
      </x:c>
    </x:row>
    <x:row r="757" ht="21" customHeight="1">
      <x:c r="A757" s="1" t="str">
        <x:v>PLAS</x:v>
      </x:c>
      <x:c r="B757" s="1" t="str">
        <x:v>30</x:v>
      </x:c>
      <x:c r="C757" s="1" t="str">
        <x:v>11819RWBBLU</x:v>
      </x:c>
      <x:c r="D757" s="1" t="str">
        <x:v>GOLDEN CHAMPION IND. LIMITED</x:v>
      </x:c>
      <x:c r="E757" s="7" t="n">
        <x:v>46303</x:v>
      </x:c>
      <x:c r="F757" s="8" t="n">
        <x:v>200</x:v>
      </x:c>
      <x:c r="G757" s="8" t="n">
        <x:v>0</x:v>
      </x:c>
      <x:c r="H757" s="8" t="n">
        <x:v>13.23</x:v>
      </x:c>
      <x:c r="I757" s="8" t="n">
        <x:v>10.53</x:v>
      </x:c>
      <x:c r="J757" s="8" t="n">
        <x:v>100</x:v>
      </x:c>
      <x:c r="K757" s="8" t="n">
        <x:v>1.47</x:v>
      </x:c>
      <x:c r="L757" s="8" t="n">
        <x:v>0</x:v>
      </x:c>
      <x:c r="M757" s="8" t="n">
        <x:v>0</x:v>
      </x:c>
      <x:c r="N757" s="8" t="n">
        <x:v>200</x:v>
      </x:c>
      <x:c r="O757" s="8" t="n">
        <x:v>0</x:v>
      </x:c>
      <x:c r="P757" s="8" t="n">
        <x:v>9</x:v>
      </x:c>
      <x:c r="Q757" s="9" t="n">
        <x:v>26.46</x:v>
      </x:c>
      <x:c r="R757" s="1" t="str">
        <x:v>Review receipt reconciliation or original PO baseline</x:v>
      </x:c>
      <x:c r="S757" s="1" t="str">
        <x:v>Plastic Product Information.csv</x:v>
      </x:c>
    </x:row>
    <x:row r="758" ht="21" customHeight="1">
      <x:c r="A758" s="1" t="str">
        <x:v>PLAS</x:v>
      </x:c>
      <x:c r="B758" s="1" t="str">
        <x:v>30</x:v>
      </x:c>
      <x:c r="C758" s="1" t="str">
        <x:v>11819RWBFG</x:v>
      </x:c>
      <x:c r="D758" s="1" t="str">
        <x:v>GOLDEN CHAMPION IND. LIMITED</x:v>
      </x:c>
      <x:c r="E758" s="7" t="n">
        <x:v>46303</x:v>
      </x:c>
      <x:c r="F758" s="8" t="n">
        <x:v>850</x:v>
      </x:c>
      <x:c r="G758" s="8" t="n">
        <x:v>0</x:v>
      </x:c>
      <x:c r="H758" s="8" t="n">
        <x:v>13.23</x:v>
      </x:c>
      <x:c r="I758" s="8" t="n">
        <x:v>10.53</x:v>
      </x:c>
      <x:c r="J758" s="8" t="n">
        <x:v>100</x:v>
      </x:c>
      <x:c r="K758" s="8" t="n">
        <x:v>1.47</x:v>
      </x:c>
      <x:c r="L758" s="8" t="n">
        <x:v>0</x:v>
      </x:c>
      <x:c r="M758" s="8" t="n">
        <x:v>0</x:v>
      </x:c>
      <x:c r="N758" s="8" t="n">
        <x:v>850</x:v>
      </x:c>
      <x:c r="O758" s="8" t="n">
        <x:v>0</x:v>
      </x:c>
      <x:c r="P758" s="8" t="n">
        <x:v>9</x:v>
      </x:c>
      <x:c r="Q758" s="9" t="n">
        <x:v>112.455</x:v>
      </x:c>
      <x:c r="R758" s="1" t="str">
        <x:v>Review receipt reconciliation or original PO baseline</x:v>
      </x:c>
      <x:c r="S758" s="1" t="str">
        <x:v>Plastic Product Information.csv</x:v>
      </x:c>
    </x:row>
    <x:row r="759" ht="21" customHeight="1">
      <x:c r="A759" s="1" t="str">
        <x:v>PLAS</x:v>
      </x:c>
      <x:c r="B759" s="1" t="str">
        <x:v>30</x:v>
      </x:c>
      <x:c r="C759" s="1" t="str">
        <x:v>11819RWBMAR</x:v>
      </x:c>
      <x:c r="D759" s="1" t="str">
        <x:v>GOLDEN CHAMPION IND. LIMITED</x:v>
      </x:c>
      <x:c r="E759" s="7" t="n">
        <x:v>46303</x:v>
      </x:c>
      <x:c r="F759" s="8" t="n">
        <x:v>900</x:v>
      </x:c>
      <x:c r="G759" s="8" t="n">
        <x:v>0</x:v>
      </x:c>
      <x:c r="H759" s="8" t="n">
        <x:v>13.23</x:v>
      </x:c>
      <x:c r="I759" s="8" t="n">
        <x:v>10.53</x:v>
      </x:c>
      <x:c r="J759" s="8" t="n">
        <x:v>100</x:v>
      </x:c>
      <x:c r="K759" s="8" t="n">
        <x:v>1.47</x:v>
      </x:c>
      <x:c r="L759" s="8" t="n">
        <x:v>0</x:v>
      </x:c>
      <x:c r="M759" s="8" t="n">
        <x:v>0</x:v>
      </x:c>
      <x:c r="N759" s="8" t="n">
        <x:v>900</x:v>
      </x:c>
      <x:c r="O759" s="8" t="n">
        <x:v>0</x:v>
      </x:c>
      <x:c r="P759" s="8" t="n">
        <x:v>9</x:v>
      </x:c>
      <x:c r="Q759" s="9" t="n">
        <x:v>119.07000000000001</x:v>
      </x:c>
      <x:c r="R759" s="1" t="str">
        <x:v>Review receipt reconciliation or original PO baseline</x:v>
      </x:c>
      <x:c r="S759" s="1" t="str">
        <x:v>Plastic Product Information.csv</x:v>
      </x:c>
    </x:row>
    <x:row r="760" ht="21" customHeight="1">
      <x:c r="A760" s="1" t="str">
        <x:v>PLAS</x:v>
      </x:c>
      <x:c r="B760" s="1" t="str">
        <x:v>30</x:v>
      </x:c>
      <x:c r="C760" s="1" t="str">
        <x:v>11819RWBNAV</x:v>
      </x:c>
      <x:c r="D760" s="1" t="str">
        <x:v>GOLDEN CHAMPION IND. LIMITED</x:v>
      </x:c>
      <x:c r="E760" s="7" t="n">
        <x:v>46303</x:v>
      </x:c>
      <x:c r="F760" s="8" t="n">
        <x:v>1000</x:v>
      </x:c>
      <x:c r="G760" s="8" t="n">
        <x:v>0</x:v>
      </x:c>
      <x:c r="H760" s="8" t="n">
        <x:v>13.23</x:v>
      </x:c>
      <x:c r="I760" s="8" t="n">
        <x:v>10.53</x:v>
      </x:c>
      <x:c r="J760" s="8" t="n">
        <x:v>100</x:v>
      </x:c>
      <x:c r="K760" s="8" t="n">
        <x:v>1.47</x:v>
      </x:c>
      <x:c r="L760" s="8" t="n">
        <x:v>0</x:v>
      </x:c>
      <x:c r="M760" s="8" t="n">
        <x:v>0</x:v>
      </x:c>
      <x:c r="N760" s="8" t="n">
        <x:v>1000</x:v>
      </x:c>
      <x:c r="O760" s="8" t="n">
        <x:v>0</x:v>
      </x:c>
      <x:c r="P760" s="8" t="n">
        <x:v>9</x:v>
      </x:c>
      <x:c r="Q760" s="9" t="n">
        <x:v>132.3</x:v>
      </x:c>
      <x:c r="R760" s="1" t="str">
        <x:v>Review receipt reconciliation or original PO baseline</x:v>
      </x:c>
      <x:c r="S760" s="1" t="str">
        <x:v>Plastic Product Information.csv</x:v>
      </x:c>
    </x:row>
    <x:row r="761" ht="21" customHeight="1">
      <x:c r="A761" s="1" t="str">
        <x:v>PLAS</x:v>
      </x:c>
      <x:c r="B761" s="1" t="str">
        <x:v>30</x:v>
      </x:c>
      <x:c r="C761" s="1" t="str">
        <x:v>11880RWBBLK</x:v>
      </x:c>
      <x:c r="D761" s="1" t="str">
        <x:v>GOLDEN CHAMPION IND. LIMITED</x:v>
      </x:c>
      <x:c r="E761" s="7" t="n">
        <x:v>46303</x:v>
      </x:c>
      <x:c r="F761" s="8" t="n">
        <x:v>0</x:v>
      </x:c>
      <x:c r="G761" s="8" t="n">
        <x:v>0</x:v>
      </x:c>
      <x:c r="H761" s="8" t="n">
        <x:v>49.47</x:v>
      </x:c>
      <x:c r="I761" s="8" t="n">
        <x:v>39.37</x:v>
      </x:c>
      <x:c r="J761" s="8" t="n">
        <x:v>100</x:v>
      </x:c>
      <x:c r="K761" s="8" t="n">
        <x:v>1.47</x:v>
      </x:c>
      <x:c r="L761" s="8" t="n">
        <x:v>0</x:v>
      </x:c>
      <x:c r="M761" s="8" t="n">
        <x:v>0</x:v>
      </x:c>
      <x:c r="N761" s="8" t="n">
        <x:v>0</x:v>
      </x:c>
      <x:c r="O761" s="8" t="n">
        <x:v>1</x:v>
      </x:c>
      <x:c r="P761" s="8" t="n">
        <x:v>33.65</x:v>
      </x:c>
      <x:c r="Q761" s="9" t="n">
        <x:v>0</x:v>
      </x:c>
      <x:c r="R761" s="1" t="str">
        <x:v>Classified</x:v>
      </x:c>
      <x:c r="S761" s="1" t="str">
        <x:v>Plastic Product Information.csv</x:v>
      </x:c>
    </x:row>
    <x:row r="762" ht="21" customHeight="1">
      <x:c r="A762" s="1" t="str">
        <x:v>PLAS</x:v>
      </x:c>
      <x:c r="B762" s="1" t="str">
        <x:v>30</x:v>
      </x:c>
      <x:c r="C762" s="1" t="str">
        <x:v>11880RWBWHT</x:v>
      </x:c>
      <x:c r="D762" s="1" t="str">
        <x:v>GOLDEN CHAMPION IND. LIMITED</x:v>
      </x:c>
      <x:c r="E762" s="7" t="n">
        <x:v>46303</x:v>
      </x:c>
      <x:c r="F762" s="8" t="n">
        <x:v>0</x:v>
      </x:c>
      <x:c r="G762" s="8" t="n">
        <x:v>0</x:v>
      </x:c>
      <x:c r="H762" s="8" t="n">
        <x:v>49.47</x:v>
      </x:c>
      <x:c r="I762" s="8" t="n">
        <x:v>39.37</x:v>
      </x:c>
      <x:c r="J762" s="8" t="n">
        <x:v>100</x:v>
      </x:c>
      <x:c r="K762" s="8" t="n">
        <x:v>1.47</x:v>
      </x:c>
      <x:c r="L762" s="8" t="n">
        <x:v>0</x:v>
      </x:c>
      <x:c r="M762" s="8" t="n">
        <x:v>0</x:v>
      </x:c>
      <x:c r="N762" s="8" t="n">
        <x:v>0</x:v>
      </x:c>
      <x:c r="O762" s="8" t="n">
        <x:v>1</x:v>
      </x:c>
      <x:c r="P762" s="8" t="n">
        <x:v>33.65</x:v>
      </x:c>
      <x:c r="Q762" s="9" t="n">
        <x:v>0</x:v>
      </x:c>
      <x:c r="R762" s="1" t="str">
        <x:v>Classified</x:v>
      </x:c>
      <x:c r="S762" s="1" t="str">
        <x:v>Plastic Product Information.csv</x:v>
      </x:c>
    </x:row>
    <x:row r="763" ht="21" customHeight="1">
      <x:c r="A763" s="1" t="str">
        <x:v>PLAS</x:v>
      </x:c>
      <x:c r="B763" s="1" t="str">
        <x:v>30</x:v>
      </x:c>
      <x:c r="C763" s="1" t="str">
        <x:v>13415RSLBLK</x:v>
      </x:c>
      <x:c r="D763" s="1" t="str">
        <x:v>GOLDEN CHAMPION IND. LIMITED</x:v>
      </x:c>
      <x:c r="E763" s="7" t="n">
        <x:v>46303</x:v>
      </x:c>
      <x:c r="F763" s="8" t="n">
        <x:v>500</x:v>
      </x:c>
      <x:c r="G763" s="8" t="n">
        <x:v>0</x:v>
      </x:c>
      <x:c r="H763" s="8" t="n">
        <x:v>10.05</x:v>
      </x:c>
      <x:c r="I763" s="8" t="n">
        <x:v>8</x:v>
      </x:c>
      <x:c r="J763" s="8" t="n">
        <x:v>100</x:v>
      </x:c>
      <x:c r="K763" s="8" t="n">
        <x:v>1.47</x:v>
      </x:c>
      <x:c r="L763" s="8" t="n">
        <x:v>0</x:v>
      </x:c>
      <x:c r="M763" s="8" t="n">
        <x:v>0</x:v>
      </x:c>
      <x:c r="N763" s="8" t="n">
        <x:v>500</x:v>
      </x:c>
      <x:c r="O763" s="8" t="n">
        <x:v>0</x:v>
      </x:c>
      <x:c r="P763" s="8" t="n">
        <x:v>6.84</x:v>
      </x:c>
      <x:c r="Q763" s="9" t="n">
        <x:v>50.25</x:v>
      </x:c>
      <x:c r="R763" s="1" t="str">
        <x:v>Review receipt reconciliation or original PO baseline</x:v>
      </x:c>
      <x:c r="S763" s="1" t="str">
        <x:v>Plastic Product Information.csv</x:v>
      </x:c>
    </x:row>
    <x:row r="764" ht="21" customHeight="1">
      <x:c r="A764" s="1" t="str">
        <x:v>PLAS</x:v>
      </x:c>
      <x:c r="B764" s="1" t="str">
        <x:v>30</x:v>
      </x:c>
      <x:c r="C764" s="1" t="str">
        <x:v>13415RSLWHT</x:v>
      </x:c>
      <x:c r="D764" s="1" t="str">
        <x:v>GOLDEN CHAMPION IND. LIMITED</x:v>
      </x:c>
      <x:c r="E764" s="7" t="n">
        <x:v>46303</x:v>
      </x:c>
      <x:c r="F764" s="8" t="n">
        <x:v>800</x:v>
      </x:c>
      <x:c r="G764" s="8" t="n">
        <x:v>0</x:v>
      </x:c>
      <x:c r="H764" s="8" t="n">
        <x:v>10.05</x:v>
      </x:c>
      <x:c r="I764" s="8" t="n">
        <x:v>8</x:v>
      </x:c>
      <x:c r="J764" s="8" t="n">
        <x:v>100</x:v>
      </x:c>
      <x:c r="K764" s="8" t="n">
        <x:v>1.47</x:v>
      </x:c>
      <x:c r="L764" s="8" t="n">
        <x:v>0</x:v>
      </x:c>
      <x:c r="M764" s="8" t="n">
        <x:v>0</x:v>
      </x:c>
      <x:c r="N764" s="8" t="n">
        <x:v>800</x:v>
      </x:c>
      <x:c r="O764" s="8" t="n">
        <x:v>0</x:v>
      </x:c>
      <x:c r="P764" s="8" t="n">
        <x:v>6.84</x:v>
      </x:c>
      <x:c r="Q764" s="9" t="n">
        <x:v>80.4</x:v>
      </x:c>
      <x:c r="R764" s="1" t="str">
        <x:v>Review receipt reconciliation or original PO baseline</x:v>
      </x:c>
      <x:c r="S764" s="1" t="str">
        <x:v>Plastic Product Information.csv</x:v>
      </x:c>
    </x:row>
    <x:row r="765" ht="21" customHeight="1">
      <x:c r="A765" s="1" t="str">
        <x:v>PLAS</x:v>
      </x:c>
      <x:c r="B765" s="1" t="str">
        <x:v>30</x:v>
      </x:c>
      <x:c r="C765" s="1" t="str">
        <x:v>13419RSLBLU</x:v>
      </x:c>
      <x:c r="D765" s="1" t="str">
        <x:v>GOLDEN CHAMPION IND. LIMITED</x:v>
      </x:c>
      <x:c r="E765" s="7" t="n">
        <x:v>46303</x:v>
      </x:c>
      <x:c r="F765" s="8" t="n">
        <x:v>350</x:v>
      </x:c>
      <x:c r="G765" s="8" t="n">
        <x:v>0</x:v>
      </x:c>
      <x:c r="H765" s="8" t="n">
        <x:v>14.57</x:v>
      </x:c>
      <x:c r="I765" s="8" t="n">
        <x:v>11.59</x:v>
      </x:c>
      <x:c r="J765" s="8" t="n">
        <x:v>100</x:v>
      </x:c>
      <x:c r="K765" s="8" t="n">
        <x:v>1.47</x:v>
      </x:c>
      <x:c r="L765" s="8" t="n">
        <x:v>0</x:v>
      </x:c>
      <x:c r="M765" s="8" t="n">
        <x:v>0</x:v>
      </x:c>
      <x:c r="N765" s="8" t="n">
        <x:v>350</x:v>
      </x:c>
      <x:c r="O765" s="8" t="n">
        <x:v>0</x:v>
      </x:c>
      <x:c r="P765" s="8" t="n">
        <x:v>9.91</x:v>
      </x:c>
      <x:c r="Q765" s="9" t="n">
        <x:v>50.995000000000005</x:v>
      </x:c>
      <x:c r="R765" s="1" t="str">
        <x:v>Review receipt reconciliation or original PO baseline</x:v>
      </x:c>
      <x:c r="S765" s="1" t="str">
        <x:v>Plastic Product Information.csv</x:v>
      </x:c>
    </x:row>
    <x:row r="766" ht="21" customHeight="1">
      <x:c r="A766" s="1" t="str">
        <x:v>PLAS</x:v>
      </x:c>
      <x:c r="B766" s="1" t="str">
        <x:v>30</x:v>
      </x:c>
      <x:c r="C766" s="1" t="str">
        <x:v>13419RSLCLR</x:v>
      </x:c>
      <x:c r="D766" s="1" t="str">
        <x:v>GOLDEN CHAMPION IND. LIMITED</x:v>
      </x:c>
      <x:c r="E766" s="7" t="n">
        <x:v>46303</x:v>
      </x:c>
      <x:c r="F766" s="8" t="n">
        <x:v>500</x:v>
      </x:c>
      <x:c r="G766" s="8" t="n">
        <x:v>0</x:v>
      </x:c>
      <x:c r="H766" s="8" t="n">
        <x:v>14.57</x:v>
      </x:c>
      <x:c r="I766" s="8" t="n">
        <x:v>11.59</x:v>
      </x:c>
      <x:c r="J766" s="8" t="n">
        <x:v>100</x:v>
      </x:c>
      <x:c r="K766" s="8" t="n">
        <x:v>1.47</x:v>
      </x:c>
      <x:c r="L766" s="8" t="n">
        <x:v>0</x:v>
      </x:c>
      <x:c r="M766" s="8" t="n">
        <x:v>0</x:v>
      </x:c>
      <x:c r="N766" s="8" t="n">
        <x:v>500</x:v>
      </x:c>
      <x:c r="O766" s="8" t="n">
        <x:v>0</x:v>
      </x:c>
      <x:c r="P766" s="8" t="n">
        <x:v>9.91</x:v>
      </x:c>
      <x:c r="Q766" s="9" t="n">
        <x:v>72.85000000000001</x:v>
      </x:c>
      <x:c r="R766" s="1" t="str">
        <x:v>Review receipt reconciliation or original PO baseline</x:v>
      </x:c>
      <x:c r="S766" s="1" t="str">
        <x:v>Plastic Product Information.csv</x:v>
      </x:c>
    </x:row>
    <x:row r="767" ht="21" customHeight="1">
      <x:c r="A767" s="1" t="str">
        <x:v>PLAS</x:v>
      </x:c>
      <x:c r="B767" s="1" t="str">
        <x:v>30</x:v>
      </x:c>
      <x:c r="C767" s="1" t="str">
        <x:v>13419RSLFG</x:v>
      </x:c>
      <x:c r="D767" s="1" t="str">
        <x:v>GOLDEN CHAMPION IND. LIMITED</x:v>
      </x:c>
      <x:c r="E767" s="7" t="n">
        <x:v>46303</x:v>
      </x:c>
      <x:c r="F767" s="8" t="n">
        <x:v>400</x:v>
      </x:c>
      <x:c r="G767" s="8" t="n">
        <x:v>0</x:v>
      </x:c>
      <x:c r="H767" s="8" t="n">
        <x:v>14.57</x:v>
      </x:c>
      <x:c r="I767" s="8" t="n">
        <x:v>11.59</x:v>
      </x:c>
      <x:c r="J767" s="8" t="n">
        <x:v>100</x:v>
      </x:c>
      <x:c r="K767" s="8" t="n">
        <x:v>1.47</x:v>
      </x:c>
      <x:c r="L767" s="8" t="n">
        <x:v>0</x:v>
      </x:c>
      <x:c r="M767" s="8" t="n">
        <x:v>0</x:v>
      </x:c>
      <x:c r="N767" s="8" t="n">
        <x:v>400</x:v>
      </x:c>
      <x:c r="O767" s="8" t="n">
        <x:v>0</x:v>
      </x:c>
      <x:c r="P767" s="8" t="n">
        <x:v>9.91</x:v>
      </x:c>
      <x:c r="Q767" s="9" t="n">
        <x:v>58.28</x:v>
      </x:c>
      <x:c r="R767" s="1" t="str">
        <x:v>Review receipt reconciliation or original PO baseline</x:v>
      </x:c>
      <x:c r="S767" s="1" t="str">
        <x:v>Plastic Product Information.csv</x:v>
      </x:c>
    </x:row>
    <x:row r="768" ht="21" customHeight="1">
      <x:c r="A768" s="1" t="str">
        <x:v>PLAS</x:v>
      </x:c>
      <x:c r="B768" s="1" t="str">
        <x:v>30</x:v>
      </x:c>
      <x:c r="C768" s="1" t="str">
        <x:v>13419RSLMAR</x:v>
      </x:c>
      <x:c r="D768" s="1" t="str">
        <x:v>GOLDEN CHAMPION IND. LIMITED</x:v>
      </x:c>
      <x:c r="E768" s="7" t="n">
        <x:v>46303</x:v>
      </x:c>
      <x:c r="F768" s="8" t="n">
        <x:v>500</x:v>
      </x:c>
      <x:c r="G768" s="8" t="n">
        <x:v>0</x:v>
      </x:c>
      <x:c r="H768" s="8" t="n">
        <x:v>14.57</x:v>
      </x:c>
      <x:c r="I768" s="8" t="n">
        <x:v>11.59</x:v>
      </x:c>
      <x:c r="J768" s="8" t="n">
        <x:v>100</x:v>
      </x:c>
      <x:c r="K768" s="8" t="n">
        <x:v>1.47</x:v>
      </x:c>
      <x:c r="L768" s="8" t="n">
        <x:v>0</x:v>
      </x:c>
      <x:c r="M768" s="8" t="n">
        <x:v>0</x:v>
      </x:c>
      <x:c r="N768" s="8" t="n">
        <x:v>500</x:v>
      </x:c>
      <x:c r="O768" s="8" t="n">
        <x:v>0</x:v>
      </x:c>
      <x:c r="P768" s="8" t="n">
        <x:v>9.91</x:v>
      </x:c>
      <x:c r="Q768" s="9" t="n">
        <x:v>72.85000000000001</x:v>
      </x:c>
      <x:c r="R768" s="1" t="str">
        <x:v>Review receipt reconciliation or original PO baseline</x:v>
      </x:c>
      <x:c r="S768" s="1" t="str">
        <x:v>Plastic Product Information.csv</x:v>
      </x:c>
    </x:row>
    <x:row r="769" ht="21" customHeight="1">
      <x:c r="A769" s="1" t="str">
        <x:v>PLAS</x:v>
      </x:c>
      <x:c r="B769" s="1" t="str">
        <x:v>30</x:v>
      </x:c>
      <x:c r="C769" s="1" t="str">
        <x:v>51615RWBBLK</x:v>
      </x:c>
      <x:c r="D769" s="1" t="str">
        <x:v>GOLDEN CHAMPION IND. LIMITED</x:v>
      </x:c>
      <x:c r="E769" s="7" t="n">
        <x:v>46303</x:v>
      </x:c>
      <x:c r="F769" s="8" t="n">
        <x:v>1700</x:v>
      </x:c>
      <x:c r="G769" s="8" t="n">
        <x:v>0</x:v>
      </x:c>
      <x:c r="H769" s="8" t="n">
        <x:v>1.31</x:v>
      </x:c>
      <x:c r="I769" s="8" t="n">
        <x:v>1.04</x:v>
      </x:c>
      <x:c r="J769" s="8" t="n">
        <x:v>100</x:v>
      </x:c>
      <x:c r="K769" s="8" t="n">
        <x:v>1.47</x:v>
      </x:c>
      <x:c r="L769" s="8" t="n">
        <x:v>0</x:v>
      </x:c>
      <x:c r="M769" s="8" t="n">
        <x:v>0</x:v>
      </x:c>
      <x:c r="N769" s="8" t="n">
        <x:v>1700</x:v>
      </x:c>
      <x:c r="O769" s="8" t="n">
        <x:v>0</x:v>
      </x:c>
      <x:c r="P769" s="8" t="n">
        <x:v>0.89</x:v>
      </x:c>
      <x:c r="Q769" s="9" t="n">
        <x:v>22.27</x:v>
      </x:c>
      <x:c r="R769" s="1" t="str">
        <x:v>Review receipt reconciliation or original PO baseline</x:v>
      </x:c>
      <x:c r="S769" s="1" t="str">
        <x:v>Plastic Product Information.csv</x:v>
      </x:c>
    </x:row>
    <x:row r="770" ht="21" customHeight="1">
      <x:c r="A770" s="1" t="str">
        <x:v>PLAS</x:v>
      </x:c>
      <x:c r="B770" s="1" t="str">
        <x:v>30</x:v>
      </x:c>
      <x:c r="C770" s="1" t="str">
        <x:v>51615RWBWHT</x:v>
      </x:c>
      <x:c r="D770" s="1" t="str">
        <x:v>GOLDEN CHAMPION IND. LIMITED</x:v>
      </x:c>
      <x:c r="E770" s="7" t="n">
        <x:v>46303</x:v>
      </x:c>
      <x:c r="F770" s="8" t="n">
        <x:v>0</x:v>
      </x:c>
      <x:c r="G770" s="8" t="n">
        <x:v>0</x:v>
      </x:c>
      <x:c r="H770" s="8" t="n">
        <x:v>1.31</x:v>
      </x:c>
      <x:c r="I770" s="8" t="n">
        <x:v>1.04</x:v>
      </x:c>
      <x:c r="J770" s="8" t="n">
        <x:v>100</x:v>
      </x:c>
      <x:c r="K770" s="8" t="n">
        <x:v>1.47</x:v>
      </x:c>
      <x:c r="L770" s="8" t="n">
        <x:v>0</x:v>
      </x:c>
      <x:c r="M770" s="8" t="n">
        <x:v>0</x:v>
      </x:c>
      <x:c r="N770" s="8" t="n">
        <x:v>0</x:v>
      </x:c>
      <x:c r="O770" s="8" t="n">
        <x:v>1</x:v>
      </x:c>
      <x:c r="P770" s="8" t="n">
        <x:v>0.89</x:v>
      </x:c>
      <x:c r="Q770" s="9" t="n">
        <x:v>0</x:v>
      </x:c>
      <x:c r="R770" s="1" t="str">
        <x:v>Classified</x:v>
      </x:c>
      <x:c r="S770" s="1" t="str">
        <x:v>Plastic Product Information.csv</x:v>
      </x:c>
    </x:row>
    <x:row r="771" ht="21" customHeight="1">
      <x:c r="A771" s="1" t="str">
        <x:v>PLAS</x:v>
      </x:c>
      <x:c r="B771" s="1" t="str">
        <x:v>30</x:v>
      </x:c>
      <x:c r="C771" s="1" t="str">
        <x:v>51619RWBBLU</x:v>
      </x:c>
      <x:c r="D771" s="1" t="str">
        <x:v>GOLDEN CHAMPION IND. LIMITED</x:v>
      </x:c>
      <x:c r="E771" s="7" t="n">
        <x:v>46303</x:v>
      </x:c>
      <x:c r="F771" s="8" t="n">
        <x:v>1000</x:v>
      </x:c>
      <x:c r="G771" s="8" t="n">
        <x:v>0</x:v>
      </x:c>
      <x:c r="H771" s="8" t="n">
        <x:v>2.16</x:v>
      </x:c>
      <x:c r="I771" s="8" t="n">
        <x:v>1.72</x:v>
      </x:c>
      <x:c r="J771" s="8" t="n">
        <x:v>100</x:v>
      </x:c>
      <x:c r="K771" s="8" t="n">
        <x:v>1.47</x:v>
      </x:c>
      <x:c r="L771" s="8" t="n">
        <x:v>0</x:v>
      </x:c>
      <x:c r="M771" s="8" t="n">
        <x:v>0</x:v>
      </x:c>
      <x:c r="N771" s="8" t="n">
        <x:v>1000</x:v>
      </x:c>
      <x:c r="O771" s="8" t="n">
        <x:v>0</x:v>
      </x:c>
      <x:c r="P771" s="8" t="n">
        <x:v>1.47</x:v>
      </x:c>
      <x:c r="Q771" s="9" t="n">
        <x:v>21.6</x:v>
      </x:c>
      <x:c r="R771" s="1" t="str">
        <x:v>Review receipt reconciliation or original PO baseline</x:v>
      </x:c>
      <x:c r="S771" s="1" t="str">
        <x:v>Plastic Product Information.csv</x:v>
      </x:c>
    </x:row>
    <x:row r="772" ht="21" customHeight="1">
      <x:c r="A772" s="1" t="str">
        <x:v>PLAS</x:v>
      </x:c>
      <x:c r="B772" s="1" t="str">
        <x:v>30</x:v>
      </x:c>
      <x:c r="C772" s="1" t="str">
        <x:v>51619RWBCLR</x:v>
      </x:c>
      <x:c r="D772" s="1" t="str">
        <x:v>GOLDEN CHAMPION IND. LIMITED</x:v>
      </x:c>
      <x:c r="E772" s="7" t="n">
        <x:v>46303</x:v>
      </x:c>
      <x:c r="F772" s="8" t="n">
        <x:v>900</x:v>
      </x:c>
      <x:c r="G772" s="8" t="n">
        <x:v>0</x:v>
      </x:c>
      <x:c r="H772" s="8" t="n">
        <x:v>2.16</x:v>
      </x:c>
      <x:c r="I772" s="8" t="n">
        <x:v>1.72</x:v>
      </x:c>
      <x:c r="J772" s="8" t="n">
        <x:v>100</x:v>
      </x:c>
      <x:c r="K772" s="8" t="n">
        <x:v>1.47</x:v>
      </x:c>
      <x:c r="L772" s="8" t="n">
        <x:v>0</x:v>
      </x:c>
      <x:c r="M772" s="8" t="n">
        <x:v>0</x:v>
      </x:c>
      <x:c r="N772" s="8" t="n">
        <x:v>900</x:v>
      </x:c>
      <x:c r="O772" s="8" t="n">
        <x:v>0</x:v>
      </x:c>
      <x:c r="P772" s="8" t="n">
        <x:v>1.47</x:v>
      </x:c>
      <x:c r="Q772" s="9" t="n">
        <x:v>19.44</x:v>
      </x:c>
      <x:c r="R772" s="1" t="str">
        <x:v>Review receipt reconciliation or original PO baseline</x:v>
      </x:c>
      <x:c r="S772" s="1" t="str">
        <x:v>Plastic Product Information.csv</x:v>
      </x:c>
    </x:row>
    <x:row r="773" ht="21" customHeight="1">
      <x:c r="A773" s="1" t="str">
        <x:v>PLAS</x:v>
      </x:c>
      <x:c r="B773" s="1" t="str">
        <x:v>30</x:v>
      </x:c>
      <x:c r="C773" s="1" t="str">
        <x:v>51619RWBRED</x:v>
      </x:c>
      <x:c r="D773" s="1" t="str">
        <x:v>GOLDEN CHAMPION IND. LIMITED</x:v>
      </x:c>
      <x:c r="E773" s="7" t="n">
        <x:v>46303</x:v>
      </x:c>
      <x:c r="F773" s="8" t="n">
        <x:v>300</x:v>
      </x:c>
      <x:c r="G773" s="8" t="n">
        <x:v>0</x:v>
      </x:c>
      <x:c r="H773" s="8" t="n">
        <x:v>2.16</x:v>
      </x:c>
      <x:c r="I773" s="8" t="n">
        <x:v>1.72</x:v>
      </x:c>
      <x:c r="J773" s="8" t="n">
        <x:v>100</x:v>
      </x:c>
      <x:c r="K773" s="8" t="n">
        <x:v>1.47</x:v>
      </x:c>
      <x:c r="L773" s="8" t="n">
        <x:v>0</x:v>
      </x:c>
      <x:c r="M773" s="8" t="n">
        <x:v>0</x:v>
      </x:c>
      <x:c r="N773" s="8" t="n">
        <x:v>300</x:v>
      </x:c>
      <x:c r="O773" s="8" t="n">
        <x:v>0</x:v>
      </x:c>
      <x:c r="P773" s="8" t="n">
        <x:v>1.47</x:v>
      </x:c>
      <x:c r="Q773" s="9" t="n">
        <x:v>6.48</x:v>
      </x:c>
      <x:c r="R773" s="1" t="str">
        <x:v>Review receipt reconciliation or original PO baseline</x:v>
      </x:c>
      <x:c r="S773" s="1" t="str">
        <x:v>Plastic Product Information.csv</x:v>
      </x:c>
    </x:row>
    <x:row r="774" ht="21" customHeight="1">
      <x:c r="A774" s="1" t="str">
        <x:v>PLAS</x:v>
      </x:c>
      <x:c r="B774" s="1" t="str">
        <x:v>30</x:v>
      </x:c>
      <x:c r="C774" s="1" t="str">
        <x:v>51680RWBBLK</x:v>
      </x:c>
      <x:c r="D774" s="1" t="str">
        <x:v>GOLDEN CHAMPION IND. LIMITED</x:v>
      </x:c>
      <x:c r="E774" s="7" t="n">
        <x:v>46303</x:v>
      </x:c>
      <x:c r="F774" s="8" t="n">
        <x:v>0</x:v>
      </x:c>
      <x:c r="G774" s="8" t="n">
        <x:v>0</x:v>
      </x:c>
      <x:c r="H774" s="8" t="n">
        <x:v>7.41</x:v>
      </x:c>
      <x:c r="I774" s="8" t="n">
        <x:v>5.9</x:v>
      </x:c>
      <x:c r="J774" s="8" t="n">
        <x:v>100</x:v>
      </x:c>
      <x:c r="K774" s="8" t="n">
        <x:v>1.47</x:v>
      </x:c>
      <x:c r="L774" s="8" t="n">
        <x:v>0</x:v>
      </x:c>
      <x:c r="M774" s="8" t="n">
        <x:v>0</x:v>
      </x:c>
      <x:c r="N774" s="8" t="n">
        <x:v>0</x:v>
      </x:c>
      <x:c r="O774" s="8" t="n">
        <x:v>1</x:v>
      </x:c>
      <x:c r="P774" s="8" t="n">
        <x:v>5.04</x:v>
      </x:c>
      <x:c r="Q774" s="9" t="n">
        <x:v>0</x:v>
      </x:c>
      <x:c r="R774" s="1" t="str">
        <x:v>Classified</x:v>
      </x:c>
      <x:c r="S774" s="1" t="str">
        <x:v>Plastic Product Information.csv</x:v>
      </x:c>
    </x:row>
    <x:row r="775" ht="21" customHeight="1">
      <x:c r="A775" s="1" t="str">
        <x:v>PLAS</x:v>
      </x:c>
      <x:c r="B775" s="1" t="str">
        <x:v>30</x:v>
      </x:c>
      <x:c r="C775" s="1" t="str">
        <x:v>51680RWBWHT</x:v>
      </x:c>
      <x:c r="D775" s="1" t="str">
        <x:v>GOLDEN CHAMPION IND. LIMITED</x:v>
      </x:c>
      <x:c r="E775" s="7" t="n">
        <x:v>46303</x:v>
      </x:c>
      <x:c r="F775" s="8" t="n">
        <x:v>0</x:v>
      </x:c>
      <x:c r="G775" s="8" t="n">
        <x:v>0</x:v>
      </x:c>
      <x:c r="H775" s="8" t="n">
        <x:v>7.41</x:v>
      </x:c>
      <x:c r="I775" s="8" t="n">
        <x:v>5.9</x:v>
      </x:c>
      <x:c r="J775" s="8" t="n">
        <x:v>100</x:v>
      </x:c>
      <x:c r="K775" s="8" t="n">
        <x:v>1.47</x:v>
      </x:c>
      <x:c r="L775" s="8" t="n">
        <x:v>0</x:v>
      </x:c>
      <x:c r="M775" s="8" t="n">
        <x:v>0</x:v>
      </x:c>
      <x:c r="N775" s="8" t="n">
        <x:v>0</x:v>
      </x:c>
      <x:c r="O775" s="8" t="n">
        <x:v>1</x:v>
      </x:c>
      <x:c r="P775" s="8" t="n">
        <x:v>5.04</x:v>
      </x:c>
      <x:c r="Q775" s="9" t="n">
        <x:v>0</x:v>
      </x:c>
      <x:c r="R775" s="1" t="str">
        <x:v>Classified</x:v>
      </x:c>
      <x:c r="S775" s="1" t="str">
        <x:v>Plastic Product Information.csv</x:v>
      </x:c>
    </x:row>
    <x:row r="776" ht="21" customHeight="1">
      <x:c r="A776" s="1" t="str">
        <x:v>PLAS</x:v>
      </x:c>
      <x:c r="B776" s="1" t="str">
        <x:v>30</x:v>
      </x:c>
      <x:c r="C776" s="1" t="str">
        <x:v>71615RWBWHT</x:v>
      </x:c>
      <x:c r="D776" s="1" t="str">
        <x:v>GOLDEN CHAMPION IND. LIMITED</x:v>
      </x:c>
      <x:c r="E776" s="7" t="n">
        <x:v>46303</x:v>
      </x:c>
      <x:c r="F776" s="8" t="n">
        <x:v>5000</x:v>
      </x:c>
      <x:c r="G776" s="8" t="n">
        <x:v>0</x:v>
      </x:c>
      <x:c r="H776" s="8" t="n">
        <x:v>2.19</x:v>
      </x:c>
      <x:c r="I776" s="8" t="n">
        <x:v>1.74</x:v>
      </x:c>
      <x:c r="J776" s="8" t="n">
        <x:v>100</x:v>
      </x:c>
      <x:c r="K776" s="8" t="n">
        <x:v>1.47</x:v>
      </x:c>
      <x:c r="L776" s="8" t="n">
        <x:v>0</x:v>
      </x:c>
      <x:c r="M776" s="8" t="n">
        <x:v>0</x:v>
      </x:c>
      <x:c r="N776" s="8" t="n">
        <x:v>5000</x:v>
      </x:c>
      <x:c r="O776" s="8" t="n">
        <x:v>0</x:v>
      </x:c>
      <x:c r="P776" s="8" t="n">
        <x:v>1.49</x:v>
      </x:c>
      <x:c r="Q776" s="9" t="n">
        <x:v>109.5</x:v>
      </x:c>
      <x:c r="R776" s="1" t="str">
        <x:v>Review receipt reconciliation or original PO baseline</x:v>
      </x:c>
      <x:c r="S776" s="1" t="str">
        <x:v>Plastic Product Information.csv</x:v>
      </x:c>
    </x:row>
    <x:row r="777" ht="21" customHeight="1">
      <x:c r="A777" s="1" t="str">
        <x:v>PLAS</x:v>
      </x:c>
      <x:c r="B777" s="1" t="str">
        <x:v>30</x:v>
      </x:c>
      <x:c r="C777" s="1" t="str">
        <x:v>71619RWBBLU</x:v>
      </x:c>
      <x:c r="D777" s="1" t="str">
        <x:v>GOLDEN CHAMPION IND. LIMITED</x:v>
      </x:c>
      <x:c r="E777" s="7" t="n">
        <x:v>46303</x:v>
      </x:c>
      <x:c r="F777" s="8" t="n">
        <x:v>1900</x:v>
      </x:c>
      <x:c r="G777" s="8" t="n">
        <x:v>0</x:v>
      </x:c>
      <x:c r="H777" s="8" t="n">
        <x:v>3.15</x:v>
      </x:c>
      <x:c r="I777" s="8" t="n">
        <x:v>2.5</x:v>
      </x:c>
      <x:c r="J777" s="8" t="n">
        <x:v>100</x:v>
      </x:c>
      <x:c r="K777" s="8" t="n">
        <x:v>1.47</x:v>
      </x:c>
      <x:c r="L777" s="8" t="n">
        <x:v>0</x:v>
      </x:c>
      <x:c r="M777" s="8" t="n">
        <x:v>0</x:v>
      </x:c>
      <x:c r="N777" s="8" t="n">
        <x:v>1900</x:v>
      </x:c>
      <x:c r="O777" s="8" t="n">
        <x:v>0</x:v>
      </x:c>
      <x:c r="P777" s="8" t="n">
        <x:v>2.14</x:v>
      </x:c>
      <x:c r="Q777" s="9" t="n">
        <x:v>59.85</x:v>
      </x:c>
      <x:c r="R777" s="1" t="str">
        <x:v>Review receipt reconciliation or original PO baseline</x:v>
      </x:c>
      <x:c r="S777" s="1" t="str">
        <x:v>Plastic Product Information.csv</x:v>
      </x:c>
    </x:row>
    <x:row r="778" ht="21" customHeight="1">
      <x:c r="A778" s="1" t="str">
        <x:v>PLAS</x:v>
      </x:c>
      <x:c r="B778" s="1" t="str">
        <x:v>30</x:v>
      </x:c>
      <x:c r="C778" s="1" t="str">
        <x:v>71680RWBBLK</x:v>
      </x:c>
      <x:c r="D778" s="1" t="str">
        <x:v>GOLDEN CHAMPION IND. LIMITED</x:v>
      </x:c>
      <x:c r="E778" s="7" t="n">
        <x:v>46303</x:v>
      </x:c>
      <x:c r="F778" s="8" t="n">
        <x:v>0</x:v>
      </x:c>
      <x:c r="G778" s="8" t="n">
        <x:v>0</x:v>
      </x:c>
      <x:c r="H778" s="8" t="n">
        <x:v>12.26</x:v>
      </x:c>
      <x:c r="I778" s="8" t="n">
        <x:v>9.76</x:v>
      </x:c>
      <x:c r="J778" s="8" t="n">
        <x:v>100</x:v>
      </x:c>
      <x:c r="K778" s="8" t="n">
        <x:v>1.47</x:v>
      </x:c>
      <x:c r="L778" s="8" t="n">
        <x:v>0</x:v>
      </x:c>
      <x:c r="M778" s="8" t="n">
        <x:v>0</x:v>
      </x:c>
      <x:c r="N778" s="8" t="n">
        <x:v>0</x:v>
      </x:c>
      <x:c r="O778" s="8" t="n">
        <x:v>1</x:v>
      </x:c>
      <x:c r="P778" s="8" t="n">
        <x:v>8.34</x:v>
      </x:c>
      <x:c r="Q778" s="9" t="n">
        <x:v>0</x:v>
      </x:c>
      <x:c r="R778" s="1" t="str">
        <x:v>Classified</x:v>
      </x:c>
      <x:c r="S778" s="1" t="str">
        <x:v>Plastic Product Information.csv</x:v>
      </x:c>
    </x:row>
    <x:row r="779" ht="21" customHeight="1">
      <x:c r="A779" s="1" t="str">
        <x:v>PLAS</x:v>
      </x:c>
      <x:c r="B779" s="1" t="str">
        <x:v>30</x:v>
      </x:c>
      <x:c r="C779" s="1" t="str">
        <x:v>71680RWBWHT</x:v>
      </x:c>
      <x:c r="D779" s="1" t="str">
        <x:v>GOLDEN CHAMPION IND. LIMITED</x:v>
      </x:c>
      <x:c r="E779" s="7" t="n">
        <x:v>46303</x:v>
      </x:c>
      <x:c r="F779" s="8" t="n">
        <x:v>0</x:v>
      </x:c>
      <x:c r="G779" s="8" t="n">
        <x:v>0</x:v>
      </x:c>
      <x:c r="H779" s="8" t="n">
        <x:v>12.26</x:v>
      </x:c>
      <x:c r="I779" s="8" t="n">
        <x:v>9.76</x:v>
      </x:c>
      <x:c r="J779" s="8" t="n">
        <x:v>100</x:v>
      </x:c>
      <x:c r="K779" s="8" t="n">
        <x:v>1.47</x:v>
      </x:c>
      <x:c r="L779" s="8" t="n">
        <x:v>0</x:v>
      </x:c>
      <x:c r="M779" s="8" t="n">
        <x:v>0</x:v>
      </x:c>
      <x:c r="N779" s="8" t="n">
        <x:v>0</x:v>
      </x:c>
      <x:c r="O779" s="8" t="n">
        <x:v>1</x:v>
      </x:c>
      <x:c r="P779" s="8" t="n">
        <x:v>8.34</x:v>
      </x:c>
      <x:c r="Q779" s="9" t="n">
        <x:v>0</x:v>
      </x:c>
      <x:c r="R779" s="1" t="str">
        <x:v>Classified</x:v>
      </x:c>
      <x:c r="S779" s="1" t="str">
        <x:v>Plastic Product Information.csv</x:v>
      </x:c>
    </x:row>
    <x:row r="780" ht="21" customHeight="1">
      <x:c r="A780" s="1" t="str">
        <x:v>PLAS</x:v>
      </x:c>
      <x:c r="B780" s="1" t="str">
        <x:v>30</x:v>
      </x:c>
      <x:c r="C780" s="1" t="str">
        <x:v>91615RWBBLK</x:v>
      </x:c>
      <x:c r="D780" s="1" t="str">
        <x:v>GOLDEN CHAMPION IND. LIMITED</x:v>
      </x:c>
      <x:c r="E780" s="7" t="n">
        <x:v>46303</x:v>
      </x:c>
      <x:c r="F780" s="8" t="n">
        <x:v>1800</x:v>
      </x:c>
      <x:c r="G780" s="8" t="n">
        <x:v>0</x:v>
      </x:c>
      <x:c r="H780" s="8" t="n">
        <x:v>2.91</x:v>
      </x:c>
      <x:c r="I780" s="8" t="n">
        <x:v>2.32</x:v>
      </x:c>
      <x:c r="J780" s="8" t="n">
        <x:v>100</x:v>
      </x:c>
      <x:c r="K780" s="8" t="n">
        <x:v>1.47</x:v>
      </x:c>
      <x:c r="L780" s="8" t="n">
        <x:v>0</x:v>
      </x:c>
      <x:c r="M780" s="8" t="n">
        <x:v>0</x:v>
      </x:c>
      <x:c r="N780" s="8" t="n">
        <x:v>1800</x:v>
      </x:c>
      <x:c r="O780" s="8" t="n">
        <x:v>0</x:v>
      </x:c>
      <x:c r="P780" s="8" t="n">
        <x:v>1.98</x:v>
      </x:c>
      <x:c r="Q780" s="9" t="n">
        <x:v>52.38</x:v>
      </x:c>
      <x:c r="R780" s="1" t="str">
        <x:v>Review receipt reconciliation or original PO baseline</x:v>
      </x:c>
      <x:c r="S780" s="1" t="str">
        <x:v>Plastic Product Information.csv</x:v>
      </x:c>
    </x:row>
    <x:row r="781" ht="21" customHeight="1">
      <x:c r="A781" s="1" t="str">
        <x:v>PLAS</x:v>
      </x:c>
      <x:c r="B781" s="1" t="str">
        <x:v>30</x:v>
      </x:c>
      <x:c r="C781" s="1" t="str">
        <x:v>91615RWBWHT</x:v>
      </x:c>
      <x:c r="D781" s="1" t="str">
        <x:v>GOLDEN CHAMPION IND. LIMITED</x:v>
      </x:c>
      <x:c r="E781" s="7" t="n">
        <x:v>46303</x:v>
      </x:c>
      <x:c r="F781" s="8" t="n">
        <x:v>1500</x:v>
      </x:c>
      <x:c r="G781" s="8" t="n">
        <x:v>0</x:v>
      </x:c>
      <x:c r="H781" s="8" t="n">
        <x:v>2.91</x:v>
      </x:c>
      <x:c r="I781" s="8" t="n">
        <x:v>2.32</x:v>
      </x:c>
      <x:c r="J781" s="8" t="n">
        <x:v>100</x:v>
      </x:c>
      <x:c r="K781" s="8" t="n">
        <x:v>1.47</x:v>
      </x:c>
      <x:c r="L781" s="8" t="n">
        <x:v>0</x:v>
      </x:c>
      <x:c r="M781" s="8" t="n">
        <x:v>0</x:v>
      </x:c>
      <x:c r="N781" s="8" t="n">
        <x:v>1500</x:v>
      </x:c>
      <x:c r="O781" s="8" t="n">
        <x:v>0</x:v>
      </x:c>
      <x:c r="P781" s="8" t="n">
        <x:v>1.98</x:v>
      </x:c>
      <x:c r="Q781" s="9" t="n">
        <x:v>43.65</x:v>
      </x:c>
      <x:c r="R781" s="1" t="str">
        <x:v>Review receipt reconciliation or original PO baseline</x:v>
      </x:c>
      <x:c r="S781" s="1" t="str">
        <x:v>Plastic Product Information.csv</x:v>
      </x:c>
    </x:row>
    <x:row r="782" ht="21" customHeight="1">
      <x:c r="A782" s="1" t="str">
        <x:v>PLAS</x:v>
      </x:c>
      <x:c r="B782" s="1" t="str">
        <x:v>30</x:v>
      </x:c>
      <x:c r="C782" s="1" t="str">
        <x:v>91619RWBBLU</x:v>
      </x:c>
      <x:c r="D782" s="1" t="str">
        <x:v>GOLDEN CHAMPION IND. LIMITED</x:v>
      </x:c>
      <x:c r="E782" s="7" t="n">
        <x:v>46303</x:v>
      </x:c>
      <x:c r="F782" s="8" t="n">
        <x:v>1900</x:v>
      </x:c>
      <x:c r="G782" s="8" t="n">
        <x:v>0</x:v>
      </x:c>
      <x:c r="H782" s="8" t="n">
        <x:v>4.28</x:v>
      </x:c>
      <x:c r="I782" s="8" t="n">
        <x:v>3.4</x:v>
      </x:c>
      <x:c r="J782" s="8" t="n">
        <x:v>100</x:v>
      </x:c>
      <x:c r="K782" s="8" t="n">
        <x:v>1.47</x:v>
      </x:c>
      <x:c r="L782" s="8" t="n">
        <x:v>0</x:v>
      </x:c>
      <x:c r="M782" s="8" t="n">
        <x:v>0</x:v>
      </x:c>
      <x:c r="N782" s="8" t="n">
        <x:v>1900</x:v>
      </x:c>
      <x:c r="O782" s="8" t="n">
        <x:v>0</x:v>
      </x:c>
      <x:c r="P782" s="8" t="n">
        <x:v>2.91</x:v>
      </x:c>
      <x:c r="Q782" s="9" t="n">
        <x:v>81.32000000000001</x:v>
      </x:c>
      <x:c r="R782" s="1" t="str">
        <x:v>Review receipt reconciliation or original PO baseline</x:v>
      </x:c>
      <x:c r="S782" s="1" t="str">
        <x:v>Plastic Product Information.csv</x:v>
      </x:c>
    </x:row>
    <x:row r="783" ht="21" customHeight="1">
      <x:c r="A783" s="1" t="str">
        <x:v>PLAS</x:v>
      </x:c>
      <x:c r="B783" s="1" t="str">
        <x:v>30</x:v>
      </x:c>
      <x:c r="C783" s="1" t="str">
        <x:v>91619RWBCLR</x:v>
      </x:c>
      <x:c r="D783" s="1" t="str">
        <x:v>GOLDEN CHAMPION IND. LIMITED</x:v>
      </x:c>
      <x:c r="E783" s="7" t="n">
        <x:v>46303</x:v>
      </x:c>
      <x:c r="F783" s="8" t="n">
        <x:v>2000</x:v>
      </x:c>
      <x:c r="G783" s="8" t="n">
        <x:v>0</x:v>
      </x:c>
      <x:c r="H783" s="8" t="n">
        <x:v>4.28</x:v>
      </x:c>
      <x:c r="I783" s="8" t="n">
        <x:v>3.4</x:v>
      </x:c>
      <x:c r="J783" s="8" t="n">
        <x:v>100</x:v>
      </x:c>
      <x:c r="K783" s="8" t="n">
        <x:v>1.47</x:v>
      </x:c>
      <x:c r="L783" s="8" t="n">
        <x:v>0</x:v>
      </x:c>
      <x:c r="M783" s="8" t="n">
        <x:v>0</x:v>
      </x:c>
      <x:c r="N783" s="8" t="n">
        <x:v>2000</x:v>
      </x:c>
      <x:c r="O783" s="8" t="n">
        <x:v>0</x:v>
      </x:c>
      <x:c r="P783" s="8" t="n">
        <x:v>2.91</x:v>
      </x:c>
      <x:c r="Q783" s="9" t="n">
        <x:v>85.60000000000001</x:v>
      </x:c>
      <x:c r="R783" s="1" t="str">
        <x:v>Review receipt reconciliation or original PO baseline</x:v>
      </x:c>
      <x:c r="S783" s="1" t="str">
        <x:v>Plastic Product Information.csv</x:v>
      </x:c>
    </x:row>
    <x:row r="784" ht="21" customHeight="1">
      <x:c r="A784" s="1" t="str">
        <x:v>PLAS</x:v>
      </x:c>
      <x:c r="B784" s="1" t="str">
        <x:v>30</x:v>
      </x:c>
      <x:c r="C784" s="1" t="str">
        <x:v>91619RWBFG</x:v>
      </x:c>
      <x:c r="D784" s="1" t="str">
        <x:v>GOLDEN CHAMPION IND. LIMITED</x:v>
      </x:c>
      <x:c r="E784" s="7" t="n">
        <x:v>46303</x:v>
      </x:c>
      <x:c r="F784" s="8" t="n">
        <x:v>500</x:v>
      </x:c>
      <x:c r="G784" s="8" t="n">
        <x:v>0</x:v>
      </x:c>
      <x:c r="H784" s="8" t="n">
        <x:v>4.28</x:v>
      </x:c>
      <x:c r="I784" s="8" t="n">
        <x:v>3.4</x:v>
      </x:c>
      <x:c r="J784" s="8" t="n">
        <x:v>100</x:v>
      </x:c>
      <x:c r="K784" s="8" t="n">
        <x:v>1.47</x:v>
      </x:c>
      <x:c r="L784" s="8" t="n">
        <x:v>0</x:v>
      </x:c>
      <x:c r="M784" s="8" t="n">
        <x:v>0</x:v>
      </x:c>
      <x:c r="N784" s="8" t="n">
        <x:v>500</x:v>
      </x:c>
      <x:c r="O784" s="8" t="n">
        <x:v>0</x:v>
      </x:c>
      <x:c r="P784" s="8" t="n">
        <x:v>2.91</x:v>
      </x:c>
      <x:c r="Q784" s="9" t="n">
        <x:v>21.400000000000002</x:v>
      </x:c>
      <x:c r="R784" s="1" t="str">
        <x:v>Review receipt reconciliation or original PO baseline</x:v>
      </x:c>
      <x:c r="S784" s="1" t="str">
        <x:v>Plastic Product Information.csv</x:v>
      </x:c>
    </x:row>
    <x:row r="785" ht="21" customHeight="1">
      <x:c r="A785" s="1" t="str">
        <x:v>PLAS</x:v>
      </x:c>
      <x:c r="B785" s="1" t="str">
        <x:v>30</x:v>
      </x:c>
      <x:c r="C785" s="1" t="str">
        <x:v>91680RWBBLK</x:v>
      </x:c>
      <x:c r="D785" s="1" t="str">
        <x:v>GOLDEN CHAMPION IND. LIMITED</x:v>
      </x:c>
      <x:c r="E785" s="7" t="n">
        <x:v>46303</x:v>
      </x:c>
      <x:c r="F785" s="8" t="n">
        <x:v>0</x:v>
      </x:c>
      <x:c r="G785" s="8" t="n">
        <x:v>0</x:v>
      </x:c>
      <x:c r="H785" s="8" t="n">
        <x:v>16.18</x:v>
      </x:c>
      <x:c r="I785" s="8" t="n">
        <x:v>12.88</x:v>
      </x:c>
      <x:c r="J785" s="8" t="n">
        <x:v>100</x:v>
      </x:c>
      <x:c r="K785" s="8" t="n">
        <x:v>1.47</x:v>
      </x:c>
      <x:c r="L785" s="8" t="n">
        <x:v>0</x:v>
      </x:c>
      <x:c r="M785" s="8" t="n">
        <x:v>0</x:v>
      </x:c>
      <x:c r="N785" s="8" t="n">
        <x:v>0</x:v>
      </x:c>
      <x:c r="O785" s="8" t="n">
        <x:v>1</x:v>
      </x:c>
      <x:c r="P785" s="8" t="n">
        <x:v>11.01</x:v>
      </x:c>
      <x:c r="Q785" s="9" t="n">
        <x:v>0</x:v>
      </x:c>
      <x:c r="R785" s="1" t="str">
        <x:v>Classified</x:v>
      </x:c>
      <x:c r="S785" s="1" t="str">
        <x:v>Plastic Product Information.csv</x:v>
      </x:c>
    </x:row>
    <x:row r="786" ht="21" customHeight="1">
      <x:c r="A786" s="1" t="str">
        <x:v>PLAS</x:v>
      </x:c>
      <x:c r="B786" s="1" t="str">
        <x:v>30</x:v>
      </x:c>
      <x:c r="C786" s="1" t="str">
        <x:v>91680RWBWHT</x:v>
      </x:c>
      <x:c r="D786" s="1" t="str">
        <x:v>GOLDEN CHAMPION IND. LIMITED</x:v>
      </x:c>
      <x:c r="E786" s="7" t="n">
        <x:v>46303</x:v>
      </x:c>
      <x:c r="F786" s="8" t="n">
        <x:v>0</x:v>
      </x:c>
      <x:c r="G786" s="8" t="n">
        <x:v>0</x:v>
      </x:c>
      <x:c r="H786" s="8" t="n">
        <x:v>16.18</x:v>
      </x:c>
      <x:c r="I786" s="8" t="n">
        <x:v>12.88</x:v>
      </x:c>
      <x:c r="J786" s="8" t="n">
        <x:v>100</x:v>
      </x:c>
      <x:c r="K786" s="8" t="n">
        <x:v>1.47</x:v>
      </x:c>
      <x:c r="L786" s="8" t="n">
        <x:v>0</x:v>
      </x:c>
      <x:c r="M786" s="8" t="n">
        <x:v>0</x:v>
      </x:c>
      <x:c r="N786" s="8" t="n">
        <x:v>0</x:v>
      </x:c>
      <x:c r="O786" s="8" t="n">
        <x:v>1</x:v>
      </x:c>
      <x:c r="P786" s="8" t="n">
        <x:v>11.01</x:v>
      </x:c>
      <x:c r="Q786" s="9" t="n">
        <x:v>0</x:v>
      </x:c>
      <x:c r="R786" s="1" t="str">
        <x:v>Classified</x:v>
      </x:c>
      <x:c r="S786" s="1" t="str">
        <x:v>Plastic Product Information.csv</x:v>
      </x:c>
    </x:row>
    <x:row r="787" ht="21" customHeight="1">
      <x:c r="A787" s="1" t="str">
        <x:v>PLAS</x:v>
      </x:c>
      <x:c r="B787" s="1" t="str">
        <x:v>60</x:v>
      </x:c>
      <x:c r="C787" s="1" t="str">
        <x:v>00115RWBBLK</x:v>
      </x:c>
      <x:c r="D787" s="1" t="str">
        <x:v>GOLDEN CHAMPION IND. LIMITED</x:v>
      </x:c>
      <x:c r="E787" s="7" t="n">
        <x:v>46303</x:v>
      </x:c>
      <x:c r="F787" s="8" t="n">
        <x:v>500</x:v>
      </x:c>
      <x:c r="G787" s="8" t="n">
        <x:v>0</x:v>
      </x:c>
      <x:c r="H787" s="8" t="n">
        <x:v>7.36</x:v>
      </x:c>
      <x:c r="I787" s="8" t="n">
        <x:v>5.86</x:v>
      </x:c>
      <x:c r="J787" s="8" t="n">
        <x:v>100</x:v>
      </x:c>
      <x:c r="K787" s="8" t="n">
        <x:v>1.47</x:v>
      </x:c>
      <x:c r="L787" s="8" t="n">
        <x:v>0</x:v>
      </x:c>
      <x:c r="M787" s="8" t="n">
        <x:v>0</x:v>
      </x:c>
      <x:c r="N787" s="8" t="n">
        <x:v>500</x:v>
      </x:c>
      <x:c r="O787" s="8" t="n">
        <x:v>0</x:v>
      </x:c>
      <x:c r="P787" s="8" t="n">
        <x:v>5.01</x:v>
      </x:c>
      <x:c r="Q787" s="9" t="n">
        <x:v>36.800000000000004</x:v>
      </x:c>
      <x:c r="R787" s="1" t="str">
        <x:v>Review receipt reconciliation or original PO baseline</x:v>
      </x:c>
      <x:c r="S787" s="1" t="str">
        <x:v>Plastic Product Information.csv</x:v>
      </x:c>
    </x:row>
    <x:row r="788" ht="21" customHeight="1">
      <x:c r="A788" s="1" t="str">
        <x:v>PLAS</x:v>
      </x:c>
      <x:c r="B788" s="1" t="str">
        <x:v>60</x:v>
      </x:c>
      <x:c r="C788" s="1" t="str">
        <x:v>00119RWBCLR</x:v>
      </x:c>
      <x:c r="D788" s="1" t="str">
        <x:v>GOLDEN CHAMPION IND. LIMITED</x:v>
      </x:c>
      <x:c r="E788" s="7" t="n">
        <x:v>46303</x:v>
      </x:c>
      <x:c r="F788" s="8" t="n">
        <x:v>500</x:v>
      </x:c>
      <x:c r="G788" s="8" t="n">
        <x:v>0</x:v>
      </x:c>
      <x:c r="H788" s="8" t="n">
        <x:v>10.54</x:v>
      </x:c>
      <x:c r="I788" s="8" t="n">
        <x:v>8.39</x:v>
      </x:c>
      <x:c r="J788" s="8" t="n">
        <x:v>100</x:v>
      </x:c>
      <x:c r="K788" s="8" t="n">
        <x:v>1.47</x:v>
      </x:c>
      <x:c r="L788" s="8" t="n">
        <x:v>0</x:v>
      </x:c>
      <x:c r="M788" s="8" t="n">
        <x:v>0</x:v>
      </x:c>
      <x:c r="N788" s="8" t="n">
        <x:v>500</x:v>
      </x:c>
      <x:c r="O788" s="8" t="n">
        <x:v>0</x:v>
      </x:c>
      <x:c r="P788" s="8" t="n">
        <x:v>7.17</x:v>
      </x:c>
      <x:c r="Q788" s="9" t="n">
        <x:v>52.7</x:v>
      </x:c>
      <x:c r="R788" s="1" t="str">
        <x:v>Review receipt reconciliation or original PO baseline</x:v>
      </x:c>
      <x:c r="S788" s="1" t="str">
        <x:v>Plastic Product Information.csv</x:v>
      </x:c>
    </x:row>
    <x:row r="789" ht="21" customHeight="1">
      <x:c r="A789" s="1" t="str">
        <x:v>PLAS</x:v>
      </x:c>
      <x:c r="B789" s="1" t="str">
        <x:v>60</x:v>
      </x:c>
      <x:c r="C789" s="1" t="str">
        <x:v>00119RWBRED</x:v>
      </x:c>
      <x:c r="D789" s="1" t="str">
        <x:v>GOLDEN CHAMPION IND. LIMITED</x:v>
      </x:c>
      <x:c r="E789" s="7" t="n">
        <x:v>46303</x:v>
      </x:c>
      <x:c r="F789" s="8" t="n">
        <x:v>300</x:v>
      </x:c>
      <x:c r="G789" s="8" t="n">
        <x:v>0</x:v>
      </x:c>
      <x:c r="H789" s="8" t="n">
        <x:v>10.54</x:v>
      </x:c>
      <x:c r="I789" s="8" t="n">
        <x:v>8.39</x:v>
      </x:c>
      <x:c r="J789" s="8" t="n">
        <x:v>100</x:v>
      </x:c>
      <x:c r="K789" s="8" t="n">
        <x:v>1.47</x:v>
      </x:c>
      <x:c r="L789" s="8" t="n">
        <x:v>0</x:v>
      </x:c>
      <x:c r="M789" s="8" t="n">
        <x:v>0</x:v>
      </x:c>
      <x:c r="N789" s="8" t="n">
        <x:v>300</x:v>
      </x:c>
      <x:c r="O789" s="8" t="n">
        <x:v>0</x:v>
      </x:c>
      <x:c r="P789" s="8" t="n">
        <x:v>7.17</x:v>
      </x:c>
      <x:c r="Q789" s="9" t="n">
        <x:v>31.619999999999997</x:v>
      </x:c>
      <x:c r="R789" s="1" t="str">
        <x:v>Review receipt reconciliation or original PO baseline</x:v>
      </x:c>
      <x:c r="S789" s="1" t="str">
        <x:v>Plastic Product Information.csv</x:v>
      </x:c>
    </x:row>
    <x:row r="790" ht="21" customHeight="1">
      <x:c r="A790" s="1" t="str">
        <x:v>PLAS</x:v>
      </x:c>
      <x:c r="B790" s="1" t="str">
        <x:v>60</x:v>
      </x:c>
      <x:c r="C790" s="1" t="str">
        <x:v>00180RWBBLK</x:v>
      </x:c>
      <x:c r="D790" s="1" t="str">
        <x:v>GOLDEN CHAMPION IND. LIMITED</x:v>
      </x:c>
      <x:c r="E790" s="7" t="n">
        <x:v>46303</x:v>
      </x:c>
      <x:c r="F790" s="8" t="n">
        <x:v>857</x:v>
      </x:c>
      <x:c r="G790" s="8" t="n">
        <x:v>0</x:v>
      </x:c>
      <x:c r="H790" s="8" t="n">
        <x:v>41.25</x:v>
      </x:c>
      <x:c r="I790" s="8" t="n">
        <x:v>32.83</x:v>
      </x:c>
      <x:c r="J790" s="8" t="n">
        <x:v>100</x:v>
      </x:c>
      <x:c r="K790" s="8" t="n">
        <x:v>1.47</x:v>
      </x:c>
      <x:c r="L790" s="8" t="n">
        <x:v>0</x:v>
      </x:c>
      <x:c r="M790" s="8" t="n">
        <x:v>0</x:v>
      </x:c>
      <x:c r="N790" s="8" t="n">
        <x:v>857</x:v>
      </x:c>
      <x:c r="O790" s="8" t="n">
        <x:v>0</x:v>
      </x:c>
      <x:c r="P790" s="8" t="n">
        <x:v>28.06</x:v>
      </x:c>
      <x:c r="Q790" s="9" t="n">
        <x:v>353.5125</x:v>
      </x:c>
      <x:c r="R790" s="1" t="str">
        <x:v>Review receipt reconciliation or original PO baseline</x:v>
      </x:c>
      <x:c r="S790" s="1" t="str">
        <x:v>Plastic Product Information.csv</x:v>
      </x:c>
    </x:row>
    <x:row r="791" ht="21" customHeight="1">
      <x:c r="A791" s="1" t="str">
        <x:v>PLAS</x:v>
      </x:c>
      <x:c r="B791" s="1" t="str">
        <x:v>60</x:v>
      </x:c>
      <x:c r="C791" s="1" t="str">
        <x:v>00180RWBWHT</x:v>
      </x:c>
      <x:c r="D791" s="1" t="str">
        <x:v>GOLDEN CHAMPION IND. LIMITED</x:v>
      </x:c>
      <x:c r="E791" s="7" t="n">
        <x:v>46303</x:v>
      </x:c>
      <x:c r="F791" s="8" t="n">
        <x:v>904</x:v>
      </x:c>
      <x:c r="G791" s="8" t="n">
        <x:v>0</x:v>
      </x:c>
      <x:c r="H791" s="8" t="n">
        <x:v>41.25</x:v>
      </x:c>
      <x:c r="I791" s="8" t="n">
        <x:v>32.83</x:v>
      </x:c>
      <x:c r="J791" s="8" t="n">
        <x:v>100</x:v>
      </x:c>
      <x:c r="K791" s="8" t="n">
        <x:v>1.47</x:v>
      </x:c>
      <x:c r="L791" s="8" t="n">
        <x:v>0</x:v>
      </x:c>
      <x:c r="M791" s="8" t="n">
        <x:v>0</x:v>
      </x:c>
      <x:c r="N791" s="8" t="n">
        <x:v>904</x:v>
      </x:c>
      <x:c r="O791" s="8" t="n">
        <x:v>0</x:v>
      </x:c>
      <x:c r="P791" s="8" t="n">
        <x:v>28.06</x:v>
      </x:c>
      <x:c r="Q791" s="9" t="n">
        <x:v>372.90000000000003</x:v>
      </x:c>
      <x:c r="R791" s="1" t="str">
        <x:v>Review receipt reconciliation or original PO baseline</x:v>
      </x:c>
      <x:c r="S791" s="1" t="str">
        <x:v>Plastic Product Information.csv</x:v>
      </x:c>
    </x:row>
    <x:row r="792" ht="21" customHeight="1">
      <x:c r="A792" s="1" t="str">
        <x:v>PLAS</x:v>
      </x:c>
      <x:c r="B792" s="1" t="str">
        <x:v>60</x:v>
      </x:c>
      <x:c r="C792" s="1" t="str">
        <x:v>00215RSLBLK</x:v>
      </x:c>
      <x:c r="D792" s="1" t="str">
        <x:v>GOLDEN CHAMPION IND. LIMITED</x:v>
      </x:c>
      <x:c r="E792" s="7" t="n">
        <x:v>46303</x:v>
      </x:c>
      <x:c r="F792" s="8" t="n">
        <x:v>660</x:v>
      </x:c>
      <x:c r="G792" s="8" t="n">
        <x:v>0</x:v>
      </x:c>
      <x:c r="H792" s="8" t="n">
        <x:v>10.19</x:v>
      </x:c>
      <x:c r="I792" s="8" t="n">
        <x:v>8.11</x:v>
      </x:c>
      <x:c r="J792" s="8" t="n">
        <x:v>100</x:v>
      </x:c>
      <x:c r="K792" s="8" t="n">
        <x:v>1.47</x:v>
      </x:c>
      <x:c r="L792" s="8" t="n">
        <x:v>0</x:v>
      </x:c>
      <x:c r="M792" s="8" t="n">
        <x:v>0</x:v>
      </x:c>
      <x:c r="N792" s="8" t="n">
        <x:v>660</x:v>
      </x:c>
      <x:c r="O792" s="8" t="n">
        <x:v>0</x:v>
      </x:c>
      <x:c r="P792" s="8" t="n">
        <x:v>6.93</x:v>
      </x:c>
      <x:c r="Q792" s="9" t="n">
        <x:v>67.25399999999999</x:v>
      </x:c>
      <x:c r="R792" s="1" t="str">
        <x:v>Review receipt reconciliation or original PO baseline</x:v>
      </x:c>
      <x:c r="S792" s="1" t="str">
        <x:v>Plastic Product Information.csv</x:v>
      </x:c>
    </x:row>
    <x:row r="793" ht="21" customHeight="1">
      <x:c r="A793" s="1" t="str">
        <x:v>PLAS</x:v>
      </x:c>
      <x:c r="B793" s="1" t="str">
        <x:v>60</x:v>
      </x:c>
      <x:c r="C793" s="1" t="str">
        <x:v>00215RSLWHT</x:v>
      </x:c>
      <x:c r="D793" s="1" t="str">
        <x:v>GOLDEN CHAMPION IND. LIMITED</x:v>
      </x:c>
      <x:c r="E793" s="7" t="n">
        <x:v>46303</x:v>
      </x:c>
      <x:c r="F793" s="8" t="n">
        <x:v>500</x:v>
      </x:c>
      <x:c r="G793" s="8" t="n">
        <x:v>0</x:v>
      </x:c>
      <x:c r="H793" s="8" t="n">
        <x:v>10.19</x:v>
      </x:c>
      <x:c r="I793" s="8" t="n">
        <x:v>8.11</x:v>
      </x:c>
      <x:c r="J793" s="8" t="n">
        <x:v>100</x:v>
      </x:c>
      <x:c r="K793" s="8" t="n">
        <x:v>1.47</x:v>
      </x:c>
      <x:c r="L793" s="8" t="n">
        <x:v>0</x:v>
      </x:c>
      <x:c r="M793" s="8" t="n">
        <x:v>0</x:v>
      </x:c>
      <x:c r="N793" s="8" t="n">
        <x:v>500</x:v>
      </x:c>
      <x:c r="O793" s="8" t="n">
        <x:v>0</x:v>
      </x:c>
      <x:c r="P793" s="8" t="n">
        <x:v>6.93</x:v>
      </x:c>
      <x:c r="Q793" s="9" t="n">
        <x:v>50.95</x:v>
      </x:c>
      <x:c r="R793" s="1" t="str">
        <x:v>Review receipt reconciliation or original PO baseline</x:v>
      </x:c>
      <x:c r="S793" s="1" t="str">
        <x:v>Plastic Product Information.csv</x:v>
      </x:c>
    </x:row>
    <x:row r="794" ht="21" customHeight="1">
      <x:c r="A794" s="1" t="str">
        <x:v>PLAS</x:v>
      </x:c>
      <x:c r="B794" s="1" t="str">
        <x:v>60</x:v>
      </x:c>
      <x:c r="C794" s="1" t="str">
        <x:v>00219RSLBLU</x:v>
      </x:c>
      <x:c r="D794" s="1" t="str">
        <x:v>GOLDEN CHAMPION IND. LIMITED</x:v>
      </x:c>
      <x:c r="E794" s="7" t="n">
        <x:v>46303</x:v>
      </x:c>
      <x:c r="F794" s="8" t="n">
        <x:v>160</x:v>
      </x:c>
      <x:c r="G794" s="8" t="n">
        <x:v>0</x:v>
      </x:c>
      <x:c r="H794" s="8" t="n">
        <x:v>14.77</x:v>
      </x:c>
      <x:c r="I794" s="8" t="n">
        <x:v>11.76</x:v>
      </x:c>
      <x:c r="J794" s="8" t="n">
        <x:v>100</x:v>
      </x:c>
      <x:c r="K794" s="8" t="n">
        <x:v>1.47</x:v>
      </x:c>
      <x:c r="L794" s="8" t="n">
        <x:v>0</x:v>
      </x:c>
      <x:c r="M794" s="8" t="n">
        <x:v>0</x:v>
      </x:c>
      <x:c r="N794" s="8" t="n">
        <x:v>160</x:v>
      </x:c>
      <x:c r="O794" s="8" t="n">
        <x:v>0</x:v>
      </x:c>
      <x:c r="P794" s="8" t="n">
        <x:v>10.05</x:v>
      </x:c>
      <x:c r="Q794" s="9" t="n">
        <x:v>23.631999999999998</x:v>
      </x:c>
      <x:c r="R794" s="1" t="str">
        <x:v>Review receipt reconciliation or original PO baseline</x:v>
      </x:c>
      <x:c r="S794" s="1" t="str">
        <x:v>Plastic Product Information.csv</x:v>
      </x:c>
    </x:row>
    <x:row r="795" ht="21" customHeight="1">
      <x:c r="A795" s="1" t="str">
        <x:v>PLAS</x:v>
      </x:c>
      <x:c r="B795" s="1" t="str">
        <x:v>60</x:v>
      </x:c>
      <x:c r="C795" s="1" t="str">
        <x:v>00219RSLCLR</x:v>
      </x:c>
      <x:c r="D795" s="1" t="str">
        <x:v>GOLDEN CHAMPION IND. LIMITED</x:v>
      </x:c>
      <x:c r="E795" s="7" t="n">
        <x:v>46303</x:v>
      </x:c>
      <x:c r="F795" s="8" t="n">
        <x:v>400</x:v>
      </x:c>
      <x:c r="G795" s="8" t="n">
        <x:v>0</x:v>
      </x:c>
      <x:c r="H795" s="8" t="n">
        <x:v>14.77</x:v>
      </x:c>
      <x:c r="I795" s="8" t="n">
        <x:v>11.76</x:v>
      </x:c>
      <x:c r="J795" s="8" t="n">
        <x:v>100</x:v>
      </x:c>
      <x:c r="K795" s="8" t="n">
        <x:v>1.47</x:v>
      </x:c>
      <x:c r="L795" s="8" t="n">
        <x:v>0</x:v>
      </x:c>
      <x:c r="M795" s="8" t="n">
        <x:v>0</x:v>
      </x:c>
      <x:c r="N795" s="8" t="n">
        <x:v>400</x:v>
      </x:c>
      <x:c r="O795" s="8" t="n">
        <x:v>0</x:v>
      </x:c>
      <x:c r="P795" s="8" t="n">
        <x:v>10.05</x:v>
      </x:c>
      <x:c r="Q795" s="9" t="n">
        <x:v>59.08</x:v>
      </x:c>
      <x:c r="R795" s="1" t="str">
        <x:v>Review receipt reconciliation or original PO baseline</x:v>
      </x:c>
      <x:c r="S795" s="1" t="str">
        <x:v>Plastic Product Information.csv</x:v>
      </x:c>
    </x:row>
    <x:row r="796" ht="21" customHeight="1">
      <x:c r="A796" s="1" t="str">
        <x:v>PLAS</x:v>
      </x:c>
      <x:c r="B796" s="1" t="str">
        <x:v>60</x:v>
      </x:c>
      <x:c r="C796" s="1" t="str">
        <x:v>00219RSLFG</x:v>
      </x:c>
      <x:c r="D796" s="1" t="str">
        <x:v>GOLDEN CHAMPION IND. LIMITED</x:v>
      </x:c>
      <x:c r="E796" s="7" t="n">
        <x:v>46303</x:v>
      </x:c>
      <x:c r="F796" s="8" t="n">
        <x:v>120</x:v>
      </x:c>
      <x:c r="G796" s="8" t="n">
        <x:v>0</x:v>
      </x:c>
      <x:c r="H796" s="8" t="n">
        <x:v>14.77</x:v>
      </x:c>
      <x:c r="I796" s="8" t="n">
        <x:v>11.76</x:v>
      </x:c>
      <x:c r="J796" s="8" t="n">
        <x:v>100</x:v>
      </x:c>
      <x:c r="K796" s="8" t="n">
        <x:v>1.47</x:v>
      </x:c>
      <x:c r="L796" s="8" t="n">
        <x:v>0</x:v>
      </x:c>
      <x:c r="M796" s="8" t="n">
        <x:v>0</x:v>
      </x:c>
      <x:c r="N796" s="8" t="n">
        <x:v>120</x:v>
      </x:c>
      <x:c r="O796" s="8" t="n">
        <x:v>0</x:v>
      </x:c>
      <x:c r="P796" s="8" t="n">
        <x:v>10.05</x:v>
      </x:c>
      <x:c r="Q796" s="9" t="n">
        <x:v>17.724</x:v>
      </x:c>
      <x:c r="R796" s="1" t="str">
        <x:v>Review receipt reconciliation or original PO baseline</x:v>
      </x:c>
      <x:c r="S796" s="1" t="str">
        <x:v>Plastic Product Information.csv</x:v>
      </x:c>
    </x:row>
    <x:row r="797" ht="21" customHeight="1">
      <x:c r="A797" s="1" t="str">
        <x:v>PLAS</x:v>
      </x:c>
      <x:c r="B797" s="1" t="str">
        <x:v>60</x:v>
      </x:c>
      <x:c r="C797" s="1" t="str">
        <x:v>00219RSLRED</x:v>
      </x:c>
      <x:c r="D797" s="1" t="str">
        <x:v>GOLDEN CHAMPION IND. LIMITED</x:v>
      </x:c>
      <x:c r="E797" s="7" t="n">
        <x:v>46303</x:v>
      </x:c>
      <x:c r="F797" s="8" t="n">
        <x:v>1120</x:v>
      </x:c>
      <x:c r="G797" s="8" t="n">
        <x:v>0</x:v>
      </x:c>
      <x:c r="H797" s="8" t="n">
        <x:v>14.77</x:v>
      </x:c>
      <x:c r="I797" s="8" t="n">
        <x:v>11.76</x:v>
      </x:c>
      <x:c r="J797" s="8" t="n">
        <x:v>100</x:v>
      </x:c>
      <x:c r="K797" s="8" t="n">
        <x:v>1.47</x:v>
      </x:c>
      <x:c r="L797" s="8" t="n">
        <x:v>0</x:v>
      </x:c>
      <x:c r="M797" s="8" t="n">
        <x:v>0</x:v>
      </x:c>
      <x:c r="N797" s="8" t="n">
        <x:v>1120</x:v>
      </x:c>
      <x:c r="O797" s="8" t="n">
        <x:v>0</x:v>
      </x:c>
      <x:c r="P797" s="8" t="n">
        <x:v>10.05</x:v>
      </x:c>
      <x:c r="Q797" s="9" t="n">
        <x:v>165.42399999999998</x:v>
      </x:c>
      <x:c r="R797" s="1" t="str">
        <x:v>Review receipt reconciliation or original PO baseline</x:v>
      </x:c>
      <x:c r="S797" s="1" t="str">
        <x:v>Plastic Product Information.csv</x:v>
      </x:c>
    </x:row>
    <x:row r="798" ht="21" customHeight="1">
      <x:c r="A798" s="1" t="str">
        <x:v>PLAS</x:v>
      </x:c>
      <x:c r="B798" s="1" t="str">
        <x:v>60</x:v>
      </x:c>
      <x:c r="C798" s="1" t="str">
        <x:v>01215RWBBLK</x:v>
      </x:c>
      <x:c r="D798" s="1" t="str">
        <x:v>GOLDEN CHAMPION IND. LIMITED</x:v>
      </x:c>
      <x:c r="E798" s="7" t="n">
        <x:v>46303</x:v>
      </x:c>
      <x:c r="F798" s="8" t="n">
        <x:v>2000</x:v>
      </x:c>
      <x:c r="G798" s="8" t="n">
        <x:v>0</x:v>
      </x:c>
      <x:c r="H798" s="8" t="n">
        <x:v>2.5</x:v>
      </x:c>
      <x:c r="I798" s="8" t="n">
        <x:v>1.99</x:v>
      </x:c>
      <x:c r="J798" s="8" t="n">
        <x:v>100</x:v>
      </x:c>
      <x:c r="K798" s="8" t="n">
        <x:v>1.47</x:v>
      </x:c>
      <x:c r="L798" s="8" t="n">
        <x:v>0</x:v>
      </x:c>
      <x:c r="M798" s="8" t="n">
        <x:v>0</x:v>
      </x:c>
      <x:c r="N798" s="8" t="n">
        <x:v>2000</x:v>
      </x:c>
      <x:c r="O798" s="8" t="n">
        <x:v>0</x:v>
      </x:c>
      <x:c r="P798" s="8" t="n">
        <x:v>1.7</x:v>
      </x:c>
      <x:c r="Q798" s="9" t="n">
        <x:v>50</x:v>
      </x:c>
      <x:c r="R798" s="1" t="str">
        <x:v>Review receipt reconciliation or original PO baseline</x:v>
      </x:c>
      <x:c r="S798" s="1" t="str">
        <x:v>Plastic Product Information.csv</x:v>
      </x:c>
    </x:row>
    <x:row r="799" ht="21" customHeight="1">
      <x:c r="A799" s="1" t="str">
        <x:v>PLAS</x:v>
      </x:c>
      <x:c r="B799" s="1" t="str">
        <x:v>60</x:v>
      </x:c>
      <x:c r="C799" s="1" t="str">
        <x:v>01219RWBRED</x:v>
      </x:c>
      <x:c r="D799" s="1" t="str">
        <x:v>GOLDEN CHAMPION IND. LIMITED</x:v>
      </x:c>
      <x:c r="E799" s="7" t="n">
        <x:v>46303</x:v>
      </x:c>
      <x:c r="F799" s="8" t="n">
        <x:v>1100</x:v>
      </x:c>
      <x:c r="G799" s="8" t="n">
        <x:v>0</x:v>
      </x:c>
      <x:c r="H799" s="8" t="n">
        <x:v>3.6</x:v>
      </x:c>
      <x:c r="I799" s="8" t="n">
        <x:v>2.87</x:v>
      </x:c>
      <x:c r="J799" s="8" t="n">
        <x:v>100</x:v>
      </x:c>
      <x:c r="K799" s="8" t="n">
        <x:v>1.47</x:v>
      </x:c>
      <x:c r="L799" s="8" t="n">
        <x:v>0</x:v>
      </x:c>
      <x:c r="M799" s="8" t="n">
        <x:v>0</x:v>
      </x:c>
      <x:c r="N799" s="8" t="n">
        <x:v>1100</x:v>
      </x:c>
      <x:c r="O799" s="8" t="n">
        <x:v>0</x:v>
      </x:c>
      <x:c r="P799" s="8" t="n">
        <x:v>2.45</x:v>
      </x:c>
      <x:c r="Q799" s="9" t="n">
        <x:v>39.6</x:v>
      </x:c>
      <x:c r="R799" s="1" t="str">
        <x:v>Review receipt reconciliation or original PO baseline</x:v>
      </x:c>
      <x:c r="S799" s="1" t="str">
        <x:v>Plastic Product Information.csv</x:v>
      </x:c>
    </x:row>
    <x:row r="800" ht="21" customHeight="1">
      <x:c r="A800" s="1" t="str">
        <x:v>PLAS</x:v>
      </x:c>
      <x:c r="B800" s="1" t="str">
        <x:v>60</x:v>
      </x:c>
      <x:c r="C800" s="1" t="str">
        <x:v>01280RWBBLK</x:v>
      </x:c>
      <x:c r="D800" s="1" t="str">
        <x:v>GOLDEN CHAMPION IND. LIMITED</x:v>
      </x:c>
      <x:c r="E800" s="7" t="n">
        <x:v>46303</x:v>
      </x:c>
      <x:c r="F800" s="8" t="n">
        <x:v>2347</x:v>
      </x:c>
      <x:c r="G800" s="8" t="n">
        <x:v>0</x:v>
      </x:c>
      <x:c r="H800" s="8" t="n">
        <x:v>13.86</x:v>
      </x:c>
      <x:c r="I800" s="8" t="n">
        <x:v>11.03</x:v>
      </x:c>
      <x:c r="J800" s="8" t="n">
        <x:v>100</x:v>
      </x:c>
      <x:c r="K800" s="8" t="n">
        <x:v>1.47</x:v>
      </x:c>
      <x:c r="L800" s="8" t="n">
        <x:v>0</x:v>
      </x:c>
      <x:c r="M800" s="8" t="n">
        <x:v>0</x:v>
      </x:c>
      <x:c r="N800" s="8" t="n">
        <x:v>2347</x:v>
      </x:c>
      <x:c r="O800" s="8" t="n">
        <x:v>0</x:v>
      </x:c>
      <x:c r="P800" s="8" t="n">
        <x:v>9.43</x:v>
      </x:c>
      <x:c r="Q800" s="9" t="n">
        <x:v>325.2942</x:v>
      </x:c>
      <x:c r="R800" s="1" t="str">
        <x:v>Review receipt reconciliation or original PO baseline</x:v>
      </x:c>
      <x:c r="S800" s="1" t="str">
        <x:v>Plastic Product Information.csv</x:v>
      </x:c>
    </x:row>
    <x:row r="801" ht="21" customHeight="1">
      <x:c r="A801" s="1" t="str">
        <x:v>PLAS</x:v>
      </x:c>
      <x:c r="B801" s="1" t="str">
        <x:v>60</x:v>
      </x:c>
      <x:c r="C801" s="1" t="str">
        <x:v>01280RWBWHT</x:v>
      </x:c>
      <x:c r="D801" s="1" t="str">
        <x:v>GOLDEN CHAMPION IND. LIMITED</x:v>
      </x:c>
      <x:c r="E801" s="7" t="n">
        <x:v>46303</x:v>
      </x:c>
      <x:c r="F801" s="8" t="n">
        <x:v>800</x:v>
      </x:c>
      <x:c r="G801" s="8" t="n">
        <x:v>0</x:v>
      </x:c>
      <x:c r="H801" s="8" t="n">
        <x:v>13.86</x:v>
      </x:c>
      <x:c r="I801" s="8" t="n">
        <x:v>11.03</x:v>
      </x:c>
      <x:c r="J801" s="8" t="n">
        <x:v>100</x:v>
      </x:c>
      <x:c r="K801" s="8" t="n">
        <x:v>1.47</x:v>
      </x:c>
      <x:c r="L801" s="8" t="n">
        <x:v>0</x:v>
      </x:c>
      <x:c r="M801" s="8" t="n">
        <x:v>0</x:v>
      </x:c>
      <x:c r="N801" s="8" t="n">
        <x:v>800</x:v>
      </x:c>
      <x:c r="O801" s="8" t="n">
        <x:v>0</x:v>
      </x:c>
      <x:c r="P801" s="8" t="n">
        <x:v>9.43</x:v>
      </x:c>
      <x:c r="Q801" s="9" t="n">
        <x:v>110.88</x:v>
      </x:c>
      <x:c r="R801" s="1" t="str">
        <x:v>Review receipt reconciliation or original PO baseline</x:v>
      </x:c>
      <x:c r="S801" s="1" t="str">
        <x:v>Plastic Product Information.csv</x:v>
      </x:c>
    </x:row>
    <x:row r="802" ht="21" customHeight="1">
      <x:c r="A802" s="1" t="str">
        <x:v>PLAS</x:v>
      </x:c>
      <x:c r="B802" s="1" t="str">
        <x:v>60</x:v>
      </x:c>
      <x:c r="C802" s="1" t="str">
        <x:v>01415RWBBLK</x:v>
      </x:c>
      <x:c r="D802" s="1" t="str">
        <x:v>GOLDEN CHAMPION IND. LIMITED</x:v>
      </x:c>
      <x:c r="E802" s="7" t="n">
        <x:v>46303</x:v>
      </x:c>
      <x:c r="F802" s="8" t="n">
        <x:v>6300</x:v>
      </x:c>
      <x:c r="G802" s="8" t="n">
        <x:v>0</x:v>
      </x:c>
      <x:c r="H802" s="8" t="n">
        <x:v>1.16</x:v>
      </x:c>
      <x:c r="I802" s="8" t="n">
        <x:v>0.92</x:v>
      </x:c>
      <x:c r="J802" s="8" t="n">
        <x:v>100</x:v>
      </x:c>
      <x:c r="K802" s="8" t="n">
        <x:v>1.47</x:v>
      </x:c>
      <x:c r="L802" s="8" t="n">
        <x:v>0</x:v>
      </x:c>
      <x:c r="M802" s="8" t="n">
        <x:v>0</x:v>
      </x:c>
      <x:c r="N802" s="8" t="n">
        <x:v>6300</x:v>
      </x:c>
      <x:c r="O802" s="8" t="n">
        <x:v>0</x:v>
      </x:c>
      <x:c r="P802" s="8" t="n">
        <x:v>0.79</x:v>
      </x:c>
      <x:c r="Q802" s="9" t="n">
        <x:v>73.08</x:v>
      </x:c>
      <x:c r="R802" s="1" t="str">
        <x:v>Review receipt reconciliation or original PO baseline</x:v>
      </x:c>
      <x:c r="S802" s="1" t="str">
        <x:v>Plastic Product Information.csv</x:v>
      </x:c>
    </x:row>
    <x:row r="803" ht="21" customHeight="1">
      <x:c r="A803" s="1" t="str">
        <x:v>PLAS</x:v>
      </x:c>
      <x:c r="B803" s="1" t="str">
        <x:v>60</x:v>
      </x:c>
      <x:c r="C803" s="1" t="str">
        <x:v>01415RWBWHT</x:v>
      </x:c>
      <x:c r="D803" s="1" t="str">
        <x:v>GOLDEN CHAMPION IND. LIMITED</x:v>
      </x:c>
      <x:c r="E803" s="7" t="n">
        <x:v>46303</x:v>
      </x:c>
      <x:c r="F803" s="8" t="n">
        <x:v>0</x:v>
      </x:c>
      <x:c r="G803" s="8" t="n">
        <x:v>0</x:v>
      </x:c>
      <x:c r="H803" s="8" t="n">
        <x:v>1.16</x:v>
      </x:c>
      <x:c r="I803" s="8" t="n">
        <x:v>0.92</x:v>
      </x:c>
      <x:c r="J803" s="8" t="n">
        <x:v>100</x:v>
      </x:c>
      <x:c r="K803" s="8" t="n">
        <x:v>1.47</x:v>
      </x:c>
      <x:c r="L803" s="8" t="n">
        <x:v>0</x:v>
      </x:c>
      <x:c r="M803" s="8" t="n">
        <x:v>0</x:v>
      </x:c>
      <x:c r="N803" s="8" t="n">
        <x:v>0</x:v>
      </x:c>
      <x:c r="O803" s="8" t="n">
        <x:v>1</x:v>
      </x:c>
      <x:c r="P803" s="8" t="n">
        <x:v>0.79</x:v>
      </x:c>
      <x:c r="Q803" s="9" t="n">
        <x:v>0</x:v>
      </x:c>
      <x:c r="R803" s="1" t="str">
        <x:v>Classified</x:v>
      </x:c>
      <x:c r="S803" s="1" t="str">
        <x:v>Plastic Product Information.csv</x:v>
      </x:c>
    </x:row>
    <x:row r="804" ht="21" customHeight="1">
      <x:c r="A804" s="1" t="str">
        <x:v>PLAS</x:v>
      </x:c>
      <x:c r="B804" s="1" t="str">
        <x:v>60</x:v>
      </x:c>
      <x:c r="C804" s="1" t="str">
        <x:v>01480RWBBLK</x:v>
      </x:c>
      <x:c r="D804" s="1" t="str">
        <x:v>GOLDEN CHAMPION IND. LIMITED</x:v>
      </x:c>
      <x:c r="E804" s="7" t="n">
        <x:v>46303</x:v>
      </x:c>
      <x:c r="F804" s="8" t="n">
        <x:v>1323</x:v>
      </x:c>
      <x:c r="G804" s="8" t="n">
        <x:v>0</x:v>
      </x:c>
      <x:c r="H804" s="8" t="n">
        <x:v>6.29</x:v>
      </x:c>
      <x:c r="I804" s="8" t="n">
        <x:v>5.01</x:v>
      </x:c>
      <x:c r="J804" s="8" t="n">
        <x:v>100</x:v>
      </x:c>
      <x:c r="K804" s="8" t="n">
        <x:v>1.47</x:v>
      </x:c>
      <x:c r="L804" s="8" t="n">
        <x:v>0</x:v>
      </x:c>
      <x:c r="M804" s="8" t="n">
        <x:v>0</x:v>
      </x:c>
      <x:c r="N804" s="8" t="n">
        <x:v>1323</x:v>
      </x:c>
      <x:c r="O804" s="8" t="n">
        <x:v>0</x:v>
      </x:c>
      <x:c r="P804" s="8" t="n">
        <x:v>4.28</x:v>
      </x:c>
      <x:c r="Q804" s="9" t="n">
        <x:v>83.2167</x:v>
      </x:c>
      <x:c r="R804" s="1" t="str">
        <x:v>Review receipt reconciliation or original PO baseline</x:v>
      </x:c>
      <x:c r="S804" s="1" t="str">
        <x:v>Plastic Product Information.csv</x:v>
      </x:c>
    </x:row>
    <x:row r="805" ht="21" customHeight="1">
      <x:c r="A805" s="1" t="str">
        <x:v>PLAS</x:v>
      </x:c>
      <x:c r="B805" s="1" t="str">
        <x:v>60</x:v>
      </x:c>
      <x:c r="C805" s="1" t="str">
        <x:v>01480RWBWHT</x:v>
      </x:c>
      <x:c r="D805" s="1" t="str">
        <x:v>GOLDEN CHAMPION IND. LIMITED</x:v>
      </x:c>
      <x:c r="E805" s="7" t="n">
        <x:v>46303</x:v>
      </x:c>
      <x:c r="F805" s="8" t="n">
        <x:v>2166</x:v>
      </x:c>
      <x:c r="G805" s="8" t="n">
        <x:v>0</x:v>
      </x:c>
      <x:c r="H805" s="8" t="n">
        <x:v>6.29</x:v>
      </x:c>
      <x:c r="I805" s="8" t="n">
        <x:v>5.01</x:v>
      </x:c>
      <x:c r="J805" s="8" t="n">
        <x:v>100</x:v>
      </x:c>
      <x:c r="K805" s="8" t="n">
        <x:v>1.47</x:v>
      </x:c>
      <x:c r="L805" s="8" t="n">
        <x:v>0</x:v>
      </x:c>
      <x:c r="M805" s="8" t="n">
        <x:v>0</x:v>
      </x:c>
      <x:c r="N805" s="8" t="n">
        <x:v>2166</x:v>
      </x:c>
      <x:c r="O805" s="8" t="n">
        <x:v>0</x:v>
      </x:c>
      <x:c r="P805" s="8" t="n">
        <x:v>4.28</x:v>
      </x:c>
      <x:c r="Q805" s="9" t="n">
        <x:v>136.2414</x:v>
      </x:c>
      <x:c r="R805" s="1" t="str">
        <x:v>Review receipt reconciliation or original PO baseline</x:v>
      </x:c>
      <x:c r="S805" s="1" t="str">
        <x:v>Plastic Product Information.csv</x:v>
      </x:c>
    </x:row>
    <x:row r="806" ht="21" customHeight="1">
      <x:c r="A806" s="1" t="str">
        <x:v>PLAS</x:v>
      </x:c>
      <x:c r="B806" s="1" t="str">
        <x:v>60</x:v>
      </x:c>
      <x:c r="C806" s="1" t="str">
        <x:v>03415RWBBLK</x:v>
      </x:c>
      <x:c r="D806" s="1" t="str">
        <x:v>GOLDEN CHAMPION IND. LIMITED</x:v>
      </x:c>
      <x:c r="E806" s="7" t="n">
        <x:v>46303</x:v>
      </x:c>
      <x:c r="F806" s="8" t="n">
        <x:v>2300</x:v>
      </x:c>
      <x:c r="G806" s="8" t="n">
        <x:v>0</x:v>
      </x:c>
      <x:c r="H806" s="8" t="n">
        <x:v>4.4</x:v>
      </x:c>
      <x:c r="I806" s="8" t="n">
        <x:v>3.5</x:v>
      </x:c>
      <x:c r="J806" s="8" t="n">
        <x:v>100</x:v>
      </x:c>
      <x:c r="K806" s="8" t="n">
        <x:v>1.47</x:v>
      </x:c>
      <x:c r="L806" s="8" t="n">
        <x:v>0</x:v>
      </x:c>
      <x:c r="M806" s="8" t="n">
        <x:v>0</x:v>
      </x:c>
      <x:c r="N806" s="8" t="n">
        <x:v>2300</x:v>
      </x:c>
      <x:c r="O806" s="8" t="n">
        <x:v>0</x:v>
      </x:c>
      <x:c r="P806" s="8" t="n">
        <x:v>2.99</x:v>
      </x:c>
      <x:c r="Q806" s="9" t="n">
        <x:v>101.2</x:v>
      </x:c>
      <x:c r="R806" s="1" t="str">
        <x:v>Review receipt reconciliation or original PO baseline</x:v>
      </x:c>
      <x:c r="S806" s="1" t="str">
        <x:v>Plastic Product Information.csv</x:v>
      </x:c>
    </x:row>
    <x:row r="807" ht="21" customHeight="1">
      <x:c r="A807" s="1" t="str">
        <x:v>PLAS</x:v>
      </x:c>
      <x:c r="B807" s="1" t="str">
        <x:v>60</x:v>
      </x:c>
      <x:c r="C807" s="1" t="str">
        <x:v>03419RWBCLR</x:v>
      </x:c>
      <x:c r="D807" s="1" t="str">
        <x:v>GOLDEN CHAMPION IND. LIMITED</x:v>
      </x:c>
      <x:c r="E807" s="7" t="n">
        <x:v>46303</x:v>
      </x:c>
      <x:c r="F807" s="8" t="n">
        <x:v>1800</x:v>
      </x:c>
      <x:c r="G807" s="8" t="n">
        <x:v>0</x:v>
      </x:c>
      <x:c r="H807" s="8" t="n">
        <x:v>6.25</x:v>
      </x:c>
      <x:c r="I807" s="8" t="n">
        <x:v>4.97</x:v>
      </x:c>
      <x:c r="J807" s="8" t="n">
        <x:v>100</x:v>
      </x:c>
      <x:c r="K807" s="8" t="n">
        <x:v>1.47</x:v>
      </x:c>
      <x:c r="L807" s="8" t="n">
        <x:v>0</x:v>
      </x:c>
      <x:c r="M807" s="8" t="n">
        <x:v>0</x:v>
      </x:c>
      <x:c r="N807" s="8" t="n">
        <x:v>1800</x:v>
      </x:c>
      <x:c r="O807" s="8" t="n">
        <x:v>0</x:v>
      </x:c>
      <x:c r="P807" s="8" t="n">
        <x:v>4.25</x:v>
      </x:c>
      <x:c r="Q807" s="9" t="n">
        <x:v>112.5</x:v>
      </x:c>
      <x:c r="R807" s="1" t="str">
        <x:v>Review receipt reconciliation or original PO baseline</x:v>
      </x:c>
      <x:c r="S807" s="1" t="str">
        <x:v>Plastic Product Information.csv</x:v>
      </x:c>
    </x:row>
    <x:row r="808" ht="21" customHeight="1">
      <x:c r="A808" s="1" t="str">
        <x:v>PLAS</x:v>
      </x:c>
      <x:c r="B808" s="1" t="str">
        <x:v>60</x:v>
      </x:c>
      <x:c r="C808" s="1" t="str">
        <x:v>03419RWBFG</x:v>
      </x:c>
      <x:c r="D808" s="1" t="str">
        <x:v>GOLDEN CHAMPION IND. LIMITED</x:v>
      </x:c>
      <x:c r="E808" s="7" t="n">
        <x:v>46303</x:v>
      </x:c>
      <x:c r="F808" s="8" t="n">
        <x:v>1000</x:v>
      </x:c>
      <x:c r="G808" s="8" t="n">
        <x:v>0</x:v>
      </x:c>
      <x:c r="H808" s="8" t="n">
        <x:v>6.25</x:v>
      </x:c>
      <x:c r="I808" s="8" t="n">
        <x:v>4.97</x:v>
      </x:c>
      <x:c r="J808" s="8" t="n">
        <x:v>100</x:v>
      </x:c>
      <x:c r="K808" s="8" t="n">
        <x:v>1.47</x:v>
      </x:c>
      <x:c r="L808" s="8" t="n">
        <x:v>0</x:v>
      </x:c>
      <x:c r="M808" s="8" t="n">
        <x:v>0</x:v>
      </x:c>
      <x:c r="N808" s="8" t="n">
        <x:v>1000</x:v>
      </x:c>
      <x:c r="O808" s="8" t="n">
        <x:v>0</x:v>
      </x:c>
      <x:c r="P808" s="8" t="n">
        <x:v>4.25</x:v>
      </x:c>
      <x:c r="Q808" s="9" t="n">
        <x:v>62.5</x:v>
      </x:c>
      <x:c r="R808" s="1" t="str">
        <x:v>Review receipt reconciliation or original PO baseline</x:v>
      </x:c>
      <x:c r="S808" s="1" t="str">
        <x:v>Plastic Product Information.csv</x:v>
      </x:c>
    </x:row>
    <x:row r="809" ht="21" customHeight="1">
      <x:c r="A809" s="1" t="str">
        <x:v>PLAS</x:v>
      </x:c>
      <x:c r="B809" s="1" t="str">
        <x:v>60</x:v>
      </x:c>
      <x:c r="C809" s="1" t="str">
        <x:v>03419RWBMAR</x:v>
      </x:c>
      <x:c r="D809" s="1" t="str">
        <x:v>GOLDEN CHAMPION IND. LIMITED</x:v>
      </x:c>
      <x:c r="E809" s="7" t="n">
        <x:v>46303</x:v>
      </x:c>
      <x:c r="F809" s="8" t="n">
        <x:v>800</x:v>
      </x:c>
      <x:c r="G809" s="8" t="n">
        <x:v>0</x:v>
      </x:c>
      <x:c r="H809" s="8" t="n">
        <x:v>6.25</x:v>
      </x:c>
      <x:c r="I809" s="8" t="n">
        <x:v>4.97</x:v>
      </x:c>
      <x:c r="J809" s="8" t="n">
        <x:v>100</x:v>
      </x:c>
      <x:c r="K809" s="8" t="n">
        <x:v>1.47</x:v>
      </x:c>
      <x:c r="L809" s="8" t="n">
        <x:v>0</x:v>
      </x:c>
      <x:c r="M809" s="8" t="n">
        <x:v>0</x:v>
      </x:c>
      <x:c r="N809" s="8" t="n">
        <x:v>800</x:v>
      </x:c>
      <x:c r="O809" s="8" t="n">
        <x:v>0</x:v>
      </x:c>
      <x:c r="P809" s="8" t="n">
        <x:v>4.25</x:v>
      </x:c>
      <x:c r="Q809" s="9" t="n">
        <x:v>50</x:v>
      </x:c>
      <x:c r="R809" s="1" t="str">
        <x:v>Review receipt reconciliation or original PO baseline</x:v>
      </x:c>
      <x:c r="S809" s="1" t="str">
        <x:v>Plastic Product Information.csv</x:v>
      </x:c>
    </x:row>
    <x:row r="810" ht="21" customHeight="1">
      <x:c r="A810" s="1" t="str">
        <x:v>PLAS</x:v>
      </x:c>
      <x:c r="B810" s="1" t="str">
        <x:v>60</x:v>
      </x:c>
      <x:c r="C810" s="1" t="str">
        <x:v>03419RWBRED</x:v>
      </x:c>
      <x:c r="D810" s="1" t="str">
        <x:v>GOLDEN CHAMPION IND. LIMITED</x:v>
      </x:c>
      <x:c r="E810" s="7" t="n">
        <x:v>46303</x:v>
      </x:c>
      <x:c r="F810" s="8" t="n">
        <x:v>300</x:v>
      </x:c>
      <x:c r="G810" s="8" t="n">
        <x:v>0</x:v>
      </x:c>
      <x:c r="H810" s="8" t="n">
        <x:v>6.25</x:v>
      </x:c>
      <x:c r="I810" s="8" t="n">
        <x:v>4.97</x:v>
      </x:c>
      <x:c r="J810" s="8" t="n">
        <x:v>100</x:v>
      </x:c>
      <x:c r="K810" s="8" t="n">
        <x:v>1.47</x:v>
      </x:c>
      <x:c r="L810" s="8" t="n">
        <x:v>0</x:v>
      </x:c>
      <x:c r="M810" s="8" t="n">
        <x:v>0</x:v>
      </x:c>
      <x:c r="N810" s="8" t="n">
        <x:v>300</x:v>
      </x:c>
      <x:c r="O810" s="8" t="n">
        <x:v>0</x:v>
      </x:c>
      <x:c r="P810" s="8" t="n">
        <x:v>4.25</x:v>
      </x:c>
      <x:c r="Q810" s="9" t="n">
        <x:v>18.75</x:v>
      </x:c>
      <x:c r="R810" s="1" t="str">
        <x:v>Review receipt reconciliation or original PO baseline</x:v>
      </x:c>
      <x:c r="S810" s="1" t="str">
        <x:v>Plastic Product Information.csv</x:v>
      </x:c>
    </x:row>
    <x:row r="811" ht="21" customHeight="1">
      <x:c r="A811" s="1" t="str">
        <x:v>PLAS</x:v>
      </x:c>
      <x:c r="B811" s="1" t="str">
        <x:v>60</x:v>
      </x:c>
      <x:c r="C811" s="1" t="str">
        <x:v>03480RWBBLK</x:v>
      </x:c>
      <x:c r="D811" s="1" t="str">
        <x:v>GOLDEN CHAMPION IND. LIMITED</x:v>
      </x:c>
      <x:c r="E811" s="7" t="n">
        <x:v>46303</x:v>
      </x:c>
      <x:c r="F811" s="8" t="n">
        <x:v>1133</x:v>
      </x:c>
      <x:c r="G811" s="8" t="n">
        <x:v>0</x:v>
      </x:c>
      <x:c r="H811" s="8" t="n">
        <x:v>24.52</x:v>
      </x:c>
      <x:c r="I811" s="8" t="n">
        <x:v>19.52</x:v>
      </x:c>
      <x:c r="J811" s="8" t="n">
        <x:v>100</x:v>
      </x:c>
      <x:c r="K811" s="8" t="n">
        <x:v>1.47</x:v>
      </x:c>
      <x:c r="L811" s="8" t="n">
        <x:v>0</x:v>
      </x:c>
      <x:c r="M811" s="8" t="n">
        <x:v>0</x:v>
      </x:c>
      <x:c r="N811" s="8" t="n">
        <x:v>1133</x:v>
      </x:c>
      <x:c r="O811" s="8" t="n">
        <x:v>0</x:v>
      </x:c>
      <x:c r="P811" s="8" t="n">
        <x:v>16.68</x:v>
      </x:c>
      <x:c r="Q811" s="9" t="n">
        <x:v>277.8116</x:v>
      </x:c>
      <x:c r="R811" s="1" t="str">
        <x:v>Review receipt reconciliation or original PO baseline</x:v>
      </x:c>
      <x:c r="S811" s="1" t="str">
        <x:v>Plastic Product Information.csv</x:v>
      </x:c>
    </x:row>
    <x:row r="812" ht="21" customHeight="1">
      <x:c r="A812" s="1" t="str">
        <x:v>PLAS</x:v>
      </x:c>
      <x:c r="B812" s="1" t="str">
        <x:v>60</x:v>
      </x:c>
      <x:c r="C812" s="1" t="str">
        <x:v>03480RWBWHT</x:v>
      </x:c>
      <x:c r="D812" s="1" t="str">
        <x:v>GOLDEN CHAMPION IND. LIMITED</x:v>
      </x:c>
      <x:c r="E812" s="7" t="n">
        <x:v>46303</x:v>
      </x:c>
      <x:c r="F812" s="8" t="n">
        <x:v>1250</x:v>
      </x:c>
      <x:c r="G812" s="8" t="n">
        <x:v>0</x:v>
      </x:c>
      <x:c r="H812" s="8" t="n">
        <x:v>24.52</x:v>
      </x:c>
      <x:c r="I812" s="8" t="n">
        <x:v>19.52</x:v>
      </x:c>
      <x:c r="J812" s="8" t="n">
        <x:v>100</x:v>
      </x:c>
      <x:c r="K812" s="8" t="n">
        <x:v>1.47</x:v>
      </x:c>
      <x:c r="L812" s="8" t="n">
        <x:v>0</x:v>
      </x:c>
      <x:c r="M812" s="8" t="n">
        <x:v>0</x:v>
      </x:c>
      <x:c r="N812" s="8" t="n">
        <x:v>1250</x:v>
      </x:c>
      <x:c r="O812" s="8" t="n">
        <x:v>0</x:v>
      </x:c>
      <x:c r="P812" s="8" t="n">
        <x:v>16.68</x:v>
      </x:c>
      <x:c r="Q812" s="9" t="n">
        <x:v>306.5</x:v>
      </x:c>
      <x:c r="R812" s="1" t="str">
        <x:v>Review receipt reconciliation or original PO baseline</x:v>
      </x:c>
      <x:c r="S812" s="1" t="str">
        <x:v>Plastic Product Information.csv</x:v>
      </x:c>
    </x:row>
    <x:row r="813" ht="21" customHeight="1">
      <x:c r="A813" s="1" t="str">
        <x:v>PLAS</x:v>
      </x:c>
      <x:c r="B813" s="1" t="str">
        <x:v>60</x:v>
      </x:c>
      <x:c r="C813" s="1" t="str">
        <x:v>03815RWBBLK</x:v>
      </x:c>
      <x:c r="D813" s="1" t="str">
        <x:v>GOLDEN CHAMPION IND. LIMITED</x:v>
      </x:c>
      <x:c r="E813" s="7" t="n">
        <x:v>46303</x:v>
      </x:c>
      <x:c r="F813" s="8" t="n">
        <x:v>1400</x:v>
      </x:c>
      <x:c r="G813" s="8" t="n">
        <x:v>0</x:v>
      </x:c>
      <x:c r="H813" s="8" t="n">
        <x:v>1.62</x:v>
      </x:c>
      <x:c r="I813" s="8" t="n">
        <x:v>1.29</x:v>
      </x:c>
      <x:c r="J813" s="8" t="n">
        <x:v>100</x:v>
      </x:c>
      <x:c r="K813" s="8" t="n">
        <x:v>1.47</x:v>
      </x:c>
      <x:c r="L813" s="8" t="n">
        <x:v>0</x:v>
      </x:c>
      <x:c r="M813" s="8" t="n">
        <x:v>0</x:v>
      </x:c>
      <x:c r="N813" s="8" t="n">
        <x:v>1400</x:v>
      </x:c>
      <x:c r="O813" s="8" t="n">
        <x:v>0</x:v>
      </x:c>
      <x:c r="P813" s="8" t="n">
        <x:v>1.1</x:v>
      </x:c>
      <x:c r="Q813" s="9" t="n">
        <x:v>22.68</x:v>
      </x:c>
      <x:c r="R813" s="1" t="str">
        <x:v>Review receipt reconciliation or original PO baseline</x:v>
      </x:c>
      <x:c r="S813" s="1" t="str">
        <x:v>Plastic Product Information.csv</x:v>
      </x:c>
    </x:row>
    <x:row r="814" ht="21" customHeight="1">
      <x:c r="A814" s="1" t="str">
        <x:v>PLAS</x:v>
      </x:c>
      <x:c r="B814" s="1" t="str">
        <x:v>60</x:v>
      </x:c>
      <x:c r="C814" s="1" t="str">
        <x:v>03815RWBWHT</x:v>
      </x:c>
      <x:c r="D814" s="1" t="str">
        <x:v>GOLDEN CHAMPION IND. LIMITED</x:v>
      </x:c>
      <x:c r="E814" s="7" t="n">
        <x:v>46303</x:v>
      </x:c>
      <x:c r="F814" s="8" t="n">
        <x:v>1800</x:v>
      </x:c>
      <x:c r="G814" s="8" t="n">
        <x:v>0</x:v>
      </x:c>
      <x:c r="H814" s="8" t="n">
        <x:v>1.62</x:v>
      </x:c>
      <x:c r="I814" s="8" t="n">
        <x:v>1.29</x:v>
      </x:c>
      <x:c r="J814" s="8" t="n">
        <x:v>100</x:v>
      </x:c>
      <x:c r="K814" s="8" t="n">
        <x:v>1.47</x:v>
      </x:c>
      <x:c r="L814" s="8" t="n">
        <x:v>0</x:v>
      </x:c>
      <x:c r="M814" s="8" t="n">
        <x:v>0</x:v>
      </x:c>
      <x:c r="N814" s="8" t="n">
        <x:v>1800</x:v>
      </x:c>
      <x:c r="O814" s="8" t="n">
        <x:v>0</x:v>
      </x:c>
      <x:c r="P814" s="8" t="n">
        <x:v>1.1</x:v>
      </x:c>
      <x:c r="Q814" s="9" t="n">
        <x:v>29.16</x:v>
      </x:c>
      <x:c r="R814" s="1" t="str">
        <x:v>Review receipt reconciliation or original PO baseline</x:v>
      </x:c>
      <x:c r="S814" s="1" t="str">
        <x:v>Plastic Product Information.csv</x:v>
      </x:c>
    </x:row>
    <x:row r="815" ht="21" customHeight="1">
      <x:c r="A815" s="1" t="str">
        <x:v>PLAS</x:v>
      </x:c>
      <x:c r="B815" s="1" t="str">
        <x:v>60</x:v>
      </x:c>
      <x:c r="C815" s="1" t="str">
        <x:v>03880RWBBLK</x:v>
      </x:c>
      <x:c r="D815" s="1" t="str">
        <x:v>GOLDEN CHAMPION IND. LIMITED</x:v>
      </x:c>
      <x:c r="E815" s="7" t="n">
        <x:v>46303</x:v>
      </x:c>
      <x:c r="F815" s="8" t="n">
        <x:v>4000</x:v>
      </x:c>
      <x:c r="G815" s="8" t="n">
        <x:v>0</x:v>
      </x:c>
      <x:c r="H815" s="8" t="n">
        <x:v>9.07</x:v>
      </x:c>
      <x:c r="I815" s="8" t="n">
        <x:v>7.22</x:v>
      </x:c>
      <x:c r="J815" s="8" t="n">
        <x:v>100</x:v>
      </x:c>
      <x:c r="K815" s="8" t="n">
        <x:v>1.47</x:v>
      </x:c>
      <x:c r="L815" s="8" t="n">
        <x:v>0</x:v>
      </x:c>
      <x:c r="M815" s="8" t="n">
        <x:v>0</x:v>
      </x:c>
      <x:c r="N815" s="8" t="n">
        <x:v>4000</x:v>
      </x:c>
      <x:c r="O815" s="8" t="n">
        <x:v>0</x:v>
      </x:c>
      <x:c r="P815" s="8" t="n">
        <x:v>6.17</x:v>
      </x:c>
      <x:c r="Q815" s="9" t="n">
        <x:v>362.8</x:v>
      </x:c>
      <x:c r="R815" s="1" t="str">
        <x:v>Review receipt reconciliation or original PO baseline</x:v>
      </x:c>
      <x:c r="S815" s="1" t="str">
        <x:v>Plastic Product Information.csv</x:v>
      </x:c>
    </x:row>
    <x:row r="816" ht="21" customHeight="1">
      <x:c r="A816" s="1" t="str">
        <x:v>PLAS</x:v>
      </x:c>
      <x:c r="B816" s="1" t="str">
        <x:v>60</x:v>
      </x:c>
      <x:c r="C816" s="1" t="str">
        <x:v>03880RWBWHT</x:v>
      </x:c>
      <x:c r="D816" s="1" t="str">
        <x:v>GOLDEN CHAMPION IND. LIMITED</x:v>
      </x:c>
      <x:c r="E816" s="7" t="n">
        <x:v>46303</x:v>
      </x:c>
      <x:c r="F816" s="8" t="n">
        <x:v>1312</x:v>
      </x:c>
      <x:c r="G816" s="8" t="n">
        <x:v>0</x:v>
      </x:c>
      <x:c r="H816" s="8" t="n">
        <x:v>9.07</x:v>
      </x:c>
      <x:c r="I816" s="8" t="n">
        <x:v>7.22</x:v>
      </x:c>
      <x:c r="J816" s="8" t="n">
        <x:v>100</x:v>
      </x:c>
      <x:c r="K816" s="8" t="n">
        <x:v>1.47</x:v>
      </x:c>
      <x:c r="L816" s="8" t="n">
        <x:v>0</x:v>
      </x:c>
      <x:c r="M816" s="8" t="n">
        <x:v>0</x:v>
      </x:c>
      <x:c r="N816" s="8" t="n">
        <x:v>1312</x:v>
      </x:c>
      <x:c r="O816" s="8" t="n">
        <x:v>0</x:v>
      </x:c>
      <x:c r="P816" s="8" t="n">
        <x:v>6.17</x:v>
      </x:c>
      <x:c r="Q816" s="9" t="n">
        <x:v>118.9984</x:v>
      </x:c>
      <x:c r="R816" s="1" t="str">
        <x:v>Review receipt reconciliation or original PO baseline</x:v>
      </x:c>
      <x:c r="S816" s="1" t="str">
        <x:v>Plastic Product Information.csv</x:v>
      </x:c>
    </x:row>
    <x:row r="817" ht="21" customHeight="1">
      <x:c r="A817" s="1" t="str">
        <x:v>PLAS</x:v>
      </x:c>
      <x:c r="B817" s="1" t="str">
        <x:v>60</x:v>
      </x:c>
      <x:c r="C817" s="1" t="str">
        <x:v>05815RWBBLK</x:v>
      </x:c>
      <x:c r="D817" s="1" t="str">
        <x:v>GOLDEN CHAMPION IND. LIMITED</x:v>
      </x:c>
      <x:c r="E817" s="7" t="n">
        <x:v>46303</x:v>
      </x:c>
      <x:c r="F817" s="8" t="n">
        <x:v>1900</x:v>
      </x:c>
      <x:c r="G817" s="8" t="n">
        <x:v>0</x:v>
      </x:c>
      <x:c r="H817" s="8" t="n">
        <x:v>3.09</x:v>
      </x:c>
      <x:c r="I817" s="8" t="n">
        <x:v>2.46</x:v>
      </x:c>
      <x:c r="J817" s="8" t="n">
        <x:v>100</x:v>
      </x:c>
      <x:c r="K817" s="8" t="n">
        <x:v>1.47</x:v>
      </x:c>
      <x:c r="L817" s="8" t="n">
        <x:v>0</x:v>
      </x:c>
      <x:c r="M817" s="8" t="n">
        <x:v>0</x:v>
      </x:c>
      <x:c r="N817" s="8" t="n">
        <x:v>1900</x:v>
      </x:c>
      <x:c r="O817" s="8" t="n">
        <x:v>0</x:v>
      </x:c>
      <x:c r="P817" s="8" t="n">
        <x:v>2.1</x:v>
      </x:c>
      <x:c r="Q817" s="9" t="n">
        <x:v>58.71</x:v>
      </x:c>
      <x:c r="R817" s="1" t="str">
        <x:v>Review receipt reconciliation or original PO baseline</x:v>
      </x:c>
      <x:c r="S817" s="1" t="str">
        <x:v>Plastic Product Information.csv</x:v>
      </x:c>
    </x:row>
    <x:row r="818" ht="21" customHeight="1">
      <x:c r="A818" s="1" t="str">
        <x:v>PLAS</x:v>
      </x:c>
      <x:c r="B818" s="1" t="str">
        <x:v>60</x:v>
      </x:c>
      <x:c r="C818" s="1" t="str">
        <x:v>05815RWBWHT</x:v>
      </x:c>
      <x:c r="D818" s="1" t="str">
        <x:v>GOLDEN CHAMPION IND. LIMITED</x:v>
      </x:c>
      <x:c r="E818" s="7" t="n">
        <x:v>46303</x:v>
      </x:c>
      <x:c r="F818" s="8" t="n">
        <x:v>2000</x:v>
      </x:c>
      <x:c r="G818" s="8" t="n">
        <x:v>0</x:v>
      </x:c>
      <x:c r="H818" s="8" t="n">
        <x:v>3.09</x:v>
      </x:c>
      <x:c r="I818" s="8" t="n">
        <x:v>2.46</x:v>
      </x:c>
      <x:c r="J818" s="8" t="n">
        <x:v>100</x:v>
      </x:c>
      <x:c r="K818" s="8" t="n">
        <x:v>1.47</x:v>
      </x:c>
      <x:c r="L818" s="8" t="n">
        <x:v>0</x:v>
      </x:c>
      <x:c r="M818" s="8" t="n">
        <x:v>0</x:v>
      </x:c>
      <x:c r="N818" s="8" t="n">
        <x:v>2000</x:v>
      </x:c>
      <x:c r="O818" s="8" t="n">
        <x:v>0</x:v>
      </x:c>
      <x:c r="P818" s="8" t="n">
        <x:v>2.1</x:v>
      </x:c>
      <x:c r="Q818" s="9" t="n">
        <x:v>61.800000000000004</x:v>
      </x:c>
      <x:c r="R818" s="1" t="str">
        <x:v>Review receipt reconciliation or original PO baseline</x:v>
      </x:c>
      <x:c r="S818" s="1" t="str">
        <x:v>Plastic Product Information.csv</x:v>
      </x:c>
    </x:row>
    <x:row r="819" ht="21" customHeight="1">
      <x:c r="A819" s="1" t="str">
        <x:v>PLAS</x:v>
      </x:c>
      <x:c r="B819" s="1" t="str">
        <x:v>60</x:v>
      </x:c>
      <x:c r="C819" s="1" t="str">
        <x:v>05819RWBRED</x:v>
      </x:c>
      <x:c r="D819" s="1" t="str">
        <x:v>GOLDEN CHAMPION IND. LIMITED</x:v>
      </x:c>
      <x:c r="E819" s="7" t="n">
        <x:v>46303</x:v>
      </x:c>
      <x:c r="F819" s="8" t="n">
        <x:v>1200</x:v>
      </x:c>
      <x:c r="G819" s="8" t="n">
        <x:v>0</x:v>
      </x:c>
      <x:c r="H819" s="8" t="n">
        <x:v>4.56</x:v>
      </x:c>
      <x:c r="I819" s="8" t="n">
        <x:v>3.63</x:v>
      </x:c>
      <x:c r="J819" s="8" t="n">
        <x:v>100</x:v>
      </x:c>
      <x:c r="K819" s="8" t="n">
        <x:v>1.47</x:v>
      </x:c>
      <x:c r="L819" s="8" t="n">
        <x:v>0</x:v>
      </x:c>
      <x:c r="M819" s="8" t="n">
        <x:v>0</x:v>
      </x:c>
      <x:c r="N819" s="8" t="n">
        <x:v>1200</x:v>
      </x:c>
      <x:c r="O819" s="8" t="n">
        <x:v>0</x:v>
      </x:c>
      <x:c r="P819" s="8" t="n">
        <x:v>3.1</x:v>
      </x:c>
      <x:c r="Q819" s="9" t="n">
        <x:v>54.71999999999999</x:v>
      </x:c>
      <x:c r="R819" s="1" t="str">
        <x:v>Review receipt reconciliation or original PO baseline</x:v>
      </x:c>
      <x:c r="S819" s="1" t="str">
        <x:v>Plastic Product Information.csv</x:v>
      </x:c>
    </x:row>
    <x:row r="820" ht="21" customHeight="1">
      <x:c r="A820" s="1" t="str">
        <x:v>PLAS</x:v>
      </x:c>
      <x:c r="B820" s="1" t="str">
        <x:v>60</x:v>
      </x:c>
      <x:c r="C820" s="1" t="str">
        <x:v>05880RWBBLK</x:v>
      </x:c>
      <x:c r="D820" s="1" t="str">
        <x:v>GOLDEN CHAMPION IND. LIMITED</x:v>
      </x:c>
      <x:c r="E820" s="7" t="n">
        <x:v>46303</x:v>
      </x:c>
      <x:c r="F820" s="8" t="n">
        <x:v>1500</x:v>
      </x:c>
      <x:c r="G820" s="8" t="n">
        <x:v>0</x:v>
      </x:c>
      <x:c r="H820" s="8" t="n">
        <x:v>17.26</x:v>
      </x:c>
      <x:c r="I820" s="8" t="n">
        <x:v>13.74</x:v>
      </x:c>
      <x:c r="J820" s="8" t="n">
        <x:v>100</x:v>
      </x:c>
      <x:c r="K820" s="8" t="n">
        <x:v>1.47</x:v>
      </x:c>
      <x:c r="L820" s="8" t="n">
        <x:v>0</x:v>
      </x:c>
      <x:c r="M820" s="8" t="n">
        <x:v>0</x:v>
      </x:c>
      <x:c r="N820" s="8" t="n">
        <x:v>1500</x:v>
      </x:c>
      <x:c r="O820" s="8" t="n">
        <x:v>0</x:v>
      </x:c>
      <x:c r="P820" s="8" t="n">
        <x:v>11.74</x:v>
      </x:c>
      <x:c r="Q820" s="9" t="n">
        <x:v>258.90000000000003</x:v>
      </x:c>
      <x:c r="R820" s="1" t="str">
        <x:v>Review receipt reconciliation or original PO baseline</x:v>
      </x:c>
      <x:c r="S820" s="1" t="str">
        <x:v>Plastic Product Information.csv</x:v>
      </x:c>
    </x:row>
    <x:row r="821" ht="21" customHeight="1">
      <x:c r="A821" s="1" t="str">
        <x:v>PLAS</x:v>
      </x:c>
      <x:c r="B821" s="1" t="str">
        <x:v>60</x:v>
      </x:c>
      <x:c r="C821" s="1" t="str">
        <x:v>05880RWBWHT</x:v>
      </x:c>
      <x:c r="D821" s="1" t="str">
        <x:v>GOLDEN CHAMPION IND. LIMITED</x:v>
      </x:c>
      <x:c r="E821" s="7" t="n">
        <x:v>46303</x:v>
      </x:c>
      <x:c r="F821" s="8" t="n">
        <x:v>2091</x:v>
      </x:c>
      <x:c r="G821" s="8" t="n">
        <x:v>0</x:v>
      </x:c>
      <x:c r="H821" s="8" t="n">
        <x:v>17.26</x:v>
      </x:c>
      <x:c r="I821" s="8" t="n">
        <x:v>13.74</x:v>
      </x:c>
      <x:c r="J821" s="8" t="n">
        <x:v>100</x:v>
      </x:c>
      <x:c r="K821" s="8" t="n">
        <x:v>1.47</x:v>
      </x:c>
      <x:c r="L821" s="8" t="n">
        <x:v>0</x:v>
      </x:c>
      <x:c r="M821" s="8" t="n">
        <x:v>0</x:v>
      </x:c>
      <x:c r="N821" s="8" t="n">
        <x:v>2091</x:v>
      </x:c>
      <x:c r="O821" s="8" t="n">
        <x:v>0</x:v>
      </x:c>
      <x:c r="P821" s="8" t="n">
        <x:v>11.74</x:v>
      </x:c>
      <x:c r="Q821" s="9" t="n">
        <x:v>360.9066</x:v>
      </x:c>
      <x:c r="R821" s="1" t="str">
        <x:v>Review receipt reconciliation or original PO baseline</x:v>
      </x:c>
      <x:c r="S821" s="1" t="str">
        <x:v>Plastic Product Information.csv</x:v>
      </x:c>
    </x:row>
    <x:row r="822" ht="21" customHeight="1">
      <x:c r="A822" s="1" t="str">
        <x:v>PLAS</x:v>
      </x:c>
      <x:c r="B822" s="1" t="str">
        <x:v>60</x:v>
      </x:c>
      <x:c r="C822" s="1" t="str">
        <x:v>07815RWBBLK</x:v>
      </x:c>
      <x:c r="D822" s="1" t="str">
        <x:v>GOLDEN CHAMPION IND. LIMITED</x:v>
      </x:c>
      <x:c r="E822" s="7" t="n">
        <x:v>46303</x:v>
      </x:c>
      <x:c r="F822" s="8" t="n">
        <x:v>500</x:v>
      </x:c>
      <x:c r="G822" s="8" t="n">
        <x:v>0</x:v>
      </x:c>
      <x:c r="H822" s="8" t="n">
        <x:v>5.38</x:v>
      </x:c>
      <x:c r="I822" s="8" t="n">
        <x:v>4.28</x:v>
      </x:c>
      <x:c r="J822" s="8" t="n">
        <x:v>100</x:v>
      </x:c>
      <x:c r="K822" s="8" t="n">
        <x:v>1.47</x:v>
      </x:c>
      <x:c r="L822" s="8" t="n">
        <x:v>0</x:v>
      </x:c>
      <x:c r="M822" s="8" t="n">
        <x:v>0</x:v>
      </x:c>
      <x:c r="N822" s="8" t="n">
        <x:v>500</x:v>
      </x:c>
      <x:c r="O822" s="8" t="n">
        <x:v>0</x:v>
      </x:c>
      <x:c r="P822" s="8" t="n">
        <x:v>3.66</x:v>
      </x:c>
      <x:c r="Q822" s="9" t="n">
        <x:v>26.900000000000002</x:v>
      </x:c>
      <x:c r="R822" s="1" t="str">
        <x:v>Review receipt reconciliation or original PO baseline</x:v>
      </x:c>
      <x:c r="S822" s="1" t="str">
        <x:v>Plastic Product Information.csv</x:v>
      </x:c>
    </x:row>
    <x:row r="823" ht="21" customHeight="1">
      <x:c r="A823" s="1" t="str">
        <x:v>PLAS</x:v>
      </x:c>
      <x:c r="B823" s="1" t="str">
        <x:v>60</x:v>
      </x:c>
      <x:c r="C823" s="1" t="str">
        <x:v>07815RWBWHT</x:v>
      </x:c>
      <x:c r="D823" s="1" t="str">
        <x:v>GOLDEN CHAMPION IND. LIMITED</x:v>
      </x:c>
      <x:c r="E823" s="7" t="n">
        <x:v>46303</x:v>
      </x:c>
      <x:c r="F823" s="8" t="n">
        <x:v>500</x:v>
      </x:c>
      <x:c r="G823" s="8" t="n">
        <x:v>0</x:v>
      </x:c>
      <x:c r="H823" s="8" t="n">
        <x:v>5.38</x:v>
      </x:c>
      <x:c r="I823" s="8" t="n">
        <x:v>4.28</x:v>
      </x:c>
      <x:c r="J823" s="8" t="n">
        <x:v>100</x:v>
      </x:c>
      <x:c r="K823" s="8" t="n">
        <x:v>1.47</x:v>
      </x:c>
      <x:c r="L823" s="8" t="n">
        <x:v>0</x:v>
      </x:c>
      <x:c r="M823" s="8" t="n">
        <x:v>0</x:v>
      </x:c>
      <x:c r="N823" s="8" t="n">
        <x:v>500</x:v>
      </x:c>
      <x:c r="O823" s="8" t="n">
        <x:v>0</x:v>
      </x:c>
      <x:c r="P823" s="8" t="n">
        <x:v>3.66</x:v>
      </x:c>
      <x:c r="Q823" s="9" t="n">
        <x:v>26.900000000000002</x:v>
      </x:c>
      <x:c r="R823" s="1" t="str">
        <x:v>Review receipt reconciliation or original PO baseline</x:v>
      </x:c>
      <x:c r="S823" s="1" t="str">
        <x:v>Plastic Product Information.csv</x:v>
      </x:c>
    </x:row>
    <x:row r="824" ht="21" customHeight="1">
      <x:c r="A824" s="1" t="str">
        <x:v>PLAS</x:v>
      </x:c>
      <x:c r="B824" s="1" t="str">
        <x:v>60</x:v>
      </x:c>
      <x:c r="C824" s="1" t="str">
        <x:v>07819RWBCLR</x:v>
      </x:c>
      <x:c r="D824" s="1" t="str">
        <x:v>GOLDEN CHAMPION IND. LIMITED</x:v>
      </x:c>
      <x:c r="E824" s="7" t="n">
        <x:v>46303</x:v>
      </x:c>
      <x:c r="F824" s="8" t="n">
        <x:v>1400</x:v>
      </x:c>
      <x:c r="G824" s="8" t="n">
        <x:v>0</x:v>
      </x:c>
      <x:c r="H824" s="8" t="n">
        <x:v>7.97</x:v>
      </x:c>
      <x:c r="I824" s="8" t="n">
        <x:v>6.34</x:v>
      </x:c>
      <x:c r="J824" s="8" t="n">
        <x:v>100</x:v>
      </x:c>
      <x:c r="K824" s="8" t="n">
        <x:v>1.47</x:v>
      </x:c>
      <x:c r="L824" s="8" t="n">
        <x:v>0</x:v>
      </x:c>
      <x:c r="M824" s="8" t="n">
        <x:v>0</x:v>
      </x:c>
      <x:c r="N824" s="8" t="n">
        <x:v>1400</x:v>
      </x:c>
      <x:c r="O824" s="8" t="n">
        <x:v>0</x:v>
      </x:c>
      <x:c r="P824" s="8" t="n">
        <x:v>5.42</x:v>
      </x:c>
      <x:c r="Q824" s="9" t="n">
        <x:v>111.58</x:v>
      </x:c>
      <x:c r="R824" s="1" t="str">
        <x:v>Review receipt reconciliation or original PO baseline</x:v>
      </x:c>
      <x:c r="S824" s="1" t="str">
        <x:v>Plastic Product Information.csv</x:v>
      </x:c>
    </x:row>
    <x:row r="825" ht="21" customHeight="1">
      <x:c r="A825" s="1" t="str">
        <x:v>PLAS</x:v>
      </x:c>
      <x:c r="B825" s="1" t="str">
        <x:v>60</x:v>
      </x:c>
      <x:c r="C825" s="1" t="str">
        <x:v>07819RWBFG</x:v>
      </x:c>
      <x:c r="D825" s="1" t="str">
        <x:v>GOLDEN CHAMPION IND. LIMITED</x:v>
      </x:c>
      <x:c r="E825" s="7" t="n">
        <x:v>46303</x:v>
      </x:c>
      <x:c r="F825" s="8" t="n">
        <x:v>1400</x:v>
      </x:c>
      <x:c r="G825" s="8" t="n">
        <x:v>0</x:v>
      </x:c>
      <x:c r="H825" s="8" t="n">
        <x:v>7.97</x:v>
      </x:c>
      <x:c r="I825" s="8" t="n">
        <x:v>6.34</x:v>
      </x:c>
      <x:c r="J825" s="8" t="n">
        <x:v>100</x:v>
      </x:c>
      <x:c r="K825" s="8" t="n">
        <x:v>1.47</x:v>
      </x:c>
      <x:c r="L825" s="8" t="n">
        <x:v>0</x:v>
      </x:c>
      <x:c r="M825" s="8" t="n">
        <x:v>0</x:v>
      </x:c>
      <x:c r="N825" s="8" t="n">
        <x:v>1400</x:v>
      </x:c>
      <x:c r="O825" s="8" t="n">
        <x:v>0</x:v>
      </x:c>
      <x:c r="P825" s="8" t="n">
        <x:v>5.42</x:v>
      </x:c>
      <x:c r="Q825" s="9" t="n">
        <x:v>111.58</x:v>
      </x:c>
      <x:c r="R825" s="1" t="str">
        <x:v>Review receipt reconciliation or original PO baseline</x:v>
      </x:c>
      <x:c r="S825" s="1" t="str">
        <x:v>Plastic Product Information.csv</x:v>
      </x:c>
    </x:row>
    <x:row r="826" ht="21" customHeight="1">
      <x:c r="A826" s="1" t="str">
        <x:v>PLAS</x:v>
      </x:c>
      <x:c r="B826" s="1" t="str">
        <x:v>60</x:v>
      </x:c>
      <x:c r="C826" s="1" t="str">
        <x:v>07819RWBRED</x:v>
      </x:c>
      <x:c r="D826" s="1" t="str">
        <x:v>GOLDEN CHAMPION IND. LIMITED</x:v>
      </x:c>
      <x:c r="E826" s="7" t="n">
        <x:v>46303</x:v>
      </x:c>
      <x:c r="F826" s="8" t="n">
        <x:v>300</x:v>
      </x:c>
      <x:c r="G826" s="8" t="n">
        <x:v>0</x:v>
      </x:c>
      <x:c r="H826" s="8" t="n">
        <x:v>7.97</x:v>
      </x:c>
      <x:c r="I826" s="8" t="n">
        <x:v>6.34</x:v>
      </x:c>
      <x:c r="J826" s="8" t="n">
        <x:v>100</x:v>
      </x:c>
      <x:c r="K826" s="8" t="n">
        <x:v>1.47</x:v>
      </x:c>
      <x:c r="L826" s="8" t="n">
        <x:v>0</x:v>
      </x:c>
      <x:c r="M826" s="8" t="n">
        <x:v>0</x:v>
      </x:c>
      <x:c r="N826" s="8" t="n">
        <x:v>300</x:v>
      </x:c>
      <x:c r="O826" s="8" t="n">
        <x:v>0</x:v>
      </x:c>
      <x:c r="P826" s="8" t="n">
        <x:v>5.42</x:v>
      </x:c>
      <x:c r="Q826" s="9" t="n">
        <x:v>23.91</x:v>
      </x:c>
      <x:c r="R826" s="1" t="str">
        <x:v>Review receipt reconciliation or original PO baseline</x:v>
      </x:c>
      <x:c r="S826" s="1" t="str">
        <x:v>Plastic Product Information.csv</x:v>
      </x:c>
    </x:row>
    <x:row r="827" ht="21" customHeight="1">
      <x:c r="A827" s="1" t="str">
        <x:v>PLAS</x:v>
      </x:c>
      <x:c r="B827" s="1" t="str">
        <x:v>60</x:v>
      </x:c>
      <x:c r="C827" s="1" t="str">
        <x:v>07880RWBBLK</x:v>
      </x:c>
      <x:c r="D827" s="1" t="str">
        <x:v>GOLDEN CHAMPION IND. LIMITED</x:v>
      </x:c>
      <x:c r="E827" s="7" t="n">
        <x:v>46303</x:v>
      </x:c>
      <x:c r="F827" s="8" t="n">
        <x:v>983</x:v>
      </x:c>
      <x:c r="G827" s="8" t="n">
        <x:v>0</x:v>
      </x:c>
      <x:c r="H827" s="8" t="n">
        <x:v>29.62</x:v>
      </x:c>
      <x:c r="I827" s="8" t="n">
        <x:v>23.58</x:v>
      </x:c>
      <x:c r="J827" s="8" t="n">
        <x:v>100</x:v>
      </x:c>
      <x:c r="K827" s="8" t="n">
        <x:v>1.47</x:v>
      </x:c>
      <x:c r="L827" s="8" t="n">
        <x:v>0</x:v>
      </x:c>
      <x:c r="M827" s="8" t="n">
        <x:v>0</x:v>
      </x:c>
      <x:c r="N827" s="8" t="n">
        <x:v>983</x:v>
      </x:c>
      <x:c r="O827" s="8" t="n">
        <x:v>0</x:v>
      </x:c>
      <x:c r="P827" s="8" t="n">
        <x:v>20.15</x:v>
      </x:c>
      <x:c r="Q827" s="9" t="n">
        <x:v>291.1646</x:v>
      </x:c>
      <x:c r="R827" s="1" t="str">
        <x:v>Review receipt reconciliation or original PO baseline</x:v>
      </x:c>
      <x:c r="S827" s="1" t="str">
        <x:v>Plastic Product Information.csv</x:v>
      </x:c>
    </x:row>
    <x:row r="828" ht="21" customHeight="1">
      <x:c r="A828" s="1" t="str">
        <x:v>PLAS</x:v>
      </x:c>
      <x:c r="B828" s="1" t="str">
        <x:v>60</x:v>
      </x:c>
      <x:c r="C828" s="1" t="str">
        <x:v>07880RWBWHT</x:v>
      </x:c>
      <x:c r="D828" s="1" t="str">
        <x:v>GOLDEN CHAMPION IND. LIMITED</x:v>
      </x:c>
      <x:c r="E828" s="7" t="n">
        <x:v>46303</x:v>
      </x:c>
      <x:c r="F828" s="8" t="n">
        <x:v>950</x:v>
      </x:c>
      <x:c r="G828" s="8" t="n">
        <x:v>0</x:v>
      </x:c>
      <x:c r="H828" s="8" t="n">
        <x:v>29.62</x:v>
      </x:c>
      <x:c r="I828" s="8" t="n">
        <x:v>23.58</x:v>
      </x:c>
      <x:c r="J828" s="8" t="n">
        <x:v>100</x:v>
      </x:c>
      <x:c r="K828" s="8" t="n">
        <x:v>1.47</x:v>
      </x:c>
      <x:c r="L828" s="8" t="n">
        <x:v>0</x:v>
      </x:c>
      <x:c r="M828" s="8" t="n">
        <x:v>0</x:v>
      </x:c>
      <x:c r="N828" s="8" t="n">
        <x:v>950</x:v>
      </x:c>
      <x:c r="O828" s="8" t="n">
        <x:v>0</x:v>
      </x:c>
      <x:c r="P828" s="8" t="n">
        <x:v>20.15</x:v>
      </x:c>
      <x:c r="Q828" s="9" t="n">
        <x:v>281.39</x:v>
      </x:c>
      <x:c r="R828" s="1" t="str">
        <x:v>Review receipt reconciliation or original PO baseline</x:v>
      </x:c>
      <x:c r="S828" s="1" t="str">
        <x:v>Plastic Product Information.csv</x:v>
      </x:c>
    </x:row>
    <x:row r="829" ht="21" customHeight="1">
      <x:c r="A829" s="1" t="str">
        <x:v>PLAS</x:v>
      </x:c>
      <x:c r="B829" s="1" t="str">
        <x:v>60</x:v>
      </x:c>
      <x:c r="C829" s="1" t="str">
        <x:v>11215RSLBLK</x:v>
      </x:c>
      <x:c r="D829" s="1" t="str">
        <x:v>GOLDEN CHAMPION IND. LIMITED</x:v>
      </x:c>
      <x:c r="E829" s="7" t="n">
        <x:v>46303</x:v>
      </x:c>
      <x:c r="F829" s="8" t="n">
        <x:v>476</x:v>
      </x:c>
      <x:c r="G829" s="8" t="n">
        <x:v>0</x:v>
      </x:c>
      <x:c r="H829" s="8" t="n">
        <x:v>8.86</x:v>
      </x:c>
      <x:c r="I829" s="8" t="n">
        <x:v>7.06</x:v>
      </x:c>
      <x:c r="J829" s="8" t="n">
        <x:v>100</x:v>
      </x:c>
      <x:c r="K829" s="8" t="n">
        <x:v>1.47</x:v>
      </x:c>
      <x:c r="L829" s="8" t="n">
        <x:v>0</x:v>
      </x:c>
      <x:c r="M829" s="8" t="n">
        <x:v>0</x:v>
      </x:c>
      <x:c r="N829" s="8" t="n">
        <x:v>476</x:v>
      </x:c>
      <x:c r="O829" s="8" t="n">
        <x:v>0</x:v>
      </x:c>
      <x:c r="P829" s="8" t="n">
        <x:v>6.03</x:v>
      </x:c>
      <x:c r="Q829" s="9" t="n">
        <x:v>42.1736</x:v>
      </x:c>
      <x:c r="R829" s="1" t="str">
        <x:v>Review receipt reconciliation or original PO baseline</x:v>
      </x:c>
      <x:c r="S829" s="1" t="str">
        <x:v>Plastic Product Information.csv</x:v>
      </x:c>
    </x:row>
    <x:row r="830" ht="21" customHeight="1">
      <x:c r="A830" s="1" t="str">
        <x:v>PLAS</x:v>
      </x:c>
      <x:c r="B830" s="1" t="str">
        <x:v>60</x:v>
      </x:c>
      <x:c r="C830" s="1" t="str">
        <x:v>11215RSLWHT</x:v>
      </x:c>
      <x:c r="D830" s="1" t="str">
        <x:v>GOLDEN CHAMPION IND. LIMITED</x:v>
      </x:c>
      <x:c r="E830" s="7" t="n">
        <x:v>46303</x:v>
      </x:c>
      <x:c r="F830" s="8" t="n">
        <x:v>1000</x:v>
      </x:c>
      <x:c r="G830" s="8" t="n">
        <x:v>0</x:v>
      </x:c>
      <x:c r="H830" s="8" t="n">
        <x:v>8.86</x:v>
      </x:c>
      <x:c r="I830" s="8" t="n">
        <x:v>7.06</x:v>
      </x:c>
      <x:c r="J830" s="8" t="n">
        <x:v>100</x:v>
      </x:c>
      <x:c r="K830" s="8" t="n">
        <x:v>1.47</x:v>
      </x:c>
      <x:c r="L830" s="8" t="n">
        <x:v>0</x:v>
      </x:c>
      <x:c r="M830" s="8" t="n">
        <x:v>0</x:v>
      </x:c>
      <x:c r="N830" s="8" t="n">
        <x:v>1000</x:v>
      </x:c>
      <x:c r="O830" s="8" t="n">
        <x:v>0</x:v>
      </x:c>
      <x:c r="P830" s="8" t="n">
        <x:v>6.03</x:v>
      </x:c>
      <x:c r="Q830" s="9" t="n">
        <x:v>88.60000000000001</x:v>
      </x:c>
      <x:c r="R830" s="1" t="str">
        <x:v>Review receipt reconciliation or original PO baseline</x:v>
      </x:c>
      <x:c r="S830" s="1" t="str">
        <x:v>Plastic Product Information.csv</x:v>
      </x:c>
    </x:row>
    <x:row r="831" ht="21" customHeight="1">
      <x:c r="A831" s="1" t="str">
        <x:v>PLAS</x:v>
      </x:c>
      <x:c r="B831" s="1" t="str">
        <x:v>60</x:v>
      </x:c>
      <x:c r="C831" s="1" t="str">
        <x:v>11219RSLBLU</x:v>
      </x:c>
      <x:c r="D831" s="1" t="str">
        <x:v>GOLDEN CHAMPION IND. LIMITED</x:v>
      </x:c>
      <x:c r="E831" s="7" t="n">
        <x:v>46303</x:v>
      </x:c>
      <x:c r="F831" s="8" t="n">
        <x:v>650</x:v>
      </x:c>
      <x:c r="G831" s="8" t="n">
        <x:v>0</x:v>
      </x:c>
      <x:c r="H831" s="8" t="n">
        <x:v>12.98</x:v>
      </x:c>
      <x:c r="I831" s="8" t="n">
        <x:v>10.33</x:v>
      </x:c>
      <x:c r="J831" s="8" t="n">
        <x:v>100</x:v>
      </x:c>
      <x:c r="K831" s="8" t="n">
        <x:v>1.47</x:v>
      </x:c>
      <x:c r="L831" s="8" t="n">
        <x:v>0</x:v>
      </x:c>
      <x:c r="M831" s="8" t="n">
        <x:v>0</x:v>
      </x:c>
      <x:c r="N831" s="8" t="n">
        <x:v>650</x:v>
      </x:c>
      <x:c r="O831" s="8" t="n">
        <x:v>0</x:v>
      </x:c>
      <x:c r="P831" s="8" t="n">
        <x:v>8.83</x:v>
      </x:c>
      <x:c r="Q831" s="9" t="n">
        <x:v>84.37</x:v>
      </x:c>
      <x:c r="R831" s="1" t="str">
        <x:v>Review receipt reconciliation or original PO baseline</x:v>
      </x:c>
      <x:c r="S831" s="1" t="str">
        <x:v>Plastic Product Information.csv</x:v>
      </x:c>
    </x:row>
    <x:row r="832" ht="21" customHeight="1">
      <x:c r="A832" s="1" t="str">
        <x:v>PLAS</x:v>
      </x:c>
      <x:c r="B832" s="1" t="str">
        <x:v>60</x:v>
      </x:c>
      <x:c r="C832" s="1" t="str">
        <x:v>11219RSLCLR</x:v>
      </x:c>
      <x:c r="D832" s="1" t="str">
        <x:v>GOLDEN CHAMPION IND. LIMITED</x:v>
      </x:c>
      <x:c r="E832" s="7" t="n">
        <x:v>46303</x:v>
      </x:c>
      <x:c r="F832" s="8" t="n">
        <x:v>300</x:v>
      </x:c>
      <x:c r="G832" s="8" t="n">
        <x:v>0</x:v>
      </x:c>
      <x:c r="H832" s="8" t="n">
        <x:v>12.98</x:v>
      </x:c>
      <x:c r="I832" s="8" t="n">
        <x:v>10.33</x:v>
      </x:c>
      <x:c r="J832" s="8" t="n">
        <x:v>100</x:v>
      </x:c>
      <x:c r="K832" s="8" t="n">
        <x:v>1.47</x:v>
      </x:c>
      <x:c r="L832" s="8" t="n">
        <x:v>0</x:v>
      </x:c>
      <x:c r="M832" s="8" t="n">
        <x:v>0</x:v>
      </x:c>
      <x:c r="N832" s="8" t="n">
        <x:v>300</x:v>
      </x:c>
      <x:c r="O832" s="8" t="n">
        <x:v>0</x:v>
      </x:c>
      <x:c r="P832" s="8" t="n">
        <x:v>8.83</x:v>
      </x:c>
      <x:c r="Q832" s="9" t="n">
        <x:v>38.94</x:v>
      </x:c>
      <x:c r="R832" s="1" t="str">
        <x:v>Review receipt reconciliation or original PO baseline</x:v>
      </x:c>
      <x:c r="S832" s="1" t="str">
        <x:v>Plastic Product Information.csv</x:v>
      </x:c>
    </x:row>
    <x:row r="833" ht="21" customHeight="1">
      <x:c r="A833" s="1" t="str">
        <x:v>PLAS</x:v>
      </x:c>
      <x:c r="B833" s="1" t="str">
        <x:v>60</x:v>
      </x:c>
      <x:c r="C833" s="1" t="str">
        <x:v>11219RSLFG</x:v>
      </x:c>
      <x:c r="D833" s="1" t="str">
        <x:v>GOLDEN CHAMPION IND. LIMITED</x:v>
      </x:c>
      <x:c r="E833" s="7" t="n">
        <x:v>46303</x:v>
      </x:c>
      <x:c r="F833" s="8" t="n">
        <x:v>450</x:v>
      </x:c>
      <x:c r="G833" s="8" t="n">
        <x:v>0</x:v>
      </x:c>
      <x:c r="H833" s="8" t="n">
        <x:v>12.98</x:v>
      </x:c>
      <x:c r="I833" s="8" t="n">
        <x:v>10.33</x:v>
      </x:c>
      <x:c r="J833" s="8" t="n">
        <x:v>100</x:v>
      </x:c>
      <x:c r="K833" s="8" t="n">
        <x:v>1.47</x:v>
      </x:c>
      <x:c r="L833" s="8" t="n">
        <x:v>0</x:v>
      </x:c>
      <x:c r="M833" s="8" t="n">
        <x:v>0</x:v>
      </x:c>
      <x:c r="N833" s="8" t="n">
        <x:v>450</x:v>
      </x:c>
      <x:c r="O833" s="8" t="n">
        <x:v>0</x:v>
      </x:c>
      <x:c r="P833" s="8" t="n">
        <x:v>8.83</x:v>
      </x:c>
      <x:c r="Q833" s="9" t="n">
        <x:v>58.410000000000004</x:v>
      </x:c>
      <x:c r="R833" s="1" t="str">
        <x:v>Review receipt reconciliation or original PO baseline</x:v>
      </x:c>
      <x:c r="S833" s="1" t="str">
        <x:v>Plastic Product Information.csv</x:v>
      </x:c>
    </x:row>
    <x:row r="834" ht="21" customHeight="1">
      <x:c r="A834" s="1" t="str">
        <x:v>PLAS</x:v>
      </x:c>
      <x:c r="B834" s="1" t="str">
        <x:v>60</x:v>
      </x:c>
      <x:c r="C834" s="1" t="str">
        <x:v>11219RSLMAR</x:v>
      </x:c>
      <x:c r="D834" s="1" t="str">
        <x:v>GOLDEN CHAMPION IND. LIMITED</x:v>
      </x:c>
      <x:c r="E834" s="7" t="n">
        <x:v>46303</x:v>
      </x:c>
      <x:c r="F834" s="8" t="n">
        <x:v>500</x:v>
      </x:c>
      <x:c r="G834" s="8" t="n">
        <x:v>0</x:v>
      </x:c>
      <x:c r="H834" s="8" t="n">
        <x:v>12.98</x:v>
      </x:c>
      <x:c r="I834" s="8" t="n">
        <x:v>10.33</x:v>
      </x:c>
      <x:c r="J834" s="8" t="n">
        <x:v>100</x:v>
      </x:c>
      <x:c r="K834" s="8" t="n">
        <x:v>1.47</x:v>
      </x:c>
      <x:c r="L834" s="8" t="n">
        <x:v>0</x:v>
      </x:c>
      <x:c r="M834" s="8" t="n">
        <x:v>0</x:v>
      </x:c>
      <x:c r="N834" s="8" t="n">
        <x:v>500</x:v>
      </x:c>
      <x:c r="O834" s="8" t="n">
        <x:v>0</x:v>
      </x:c>
      <x:c r="P834" s="8" t="n">
        <x:v>8.83</x:v>
      </x:c>
      <x:c r="Q834" s="9" t="n">
        <x:v>64.9</x:v>
      </x:c>
      <x:c r="R834" s="1" t="str">
        <x:v>Review receipt reconciliation or original PO baseline</x:v>
      </x:c>
      <x:c r="S834" s="1" t="str">
        <x:v>Plastic Product Information.csv</x:v>
      </x:c>
    </x:row>
    <x:row r="835" ht="21" customHeight="1">
      <x:c r="A835" s="1" t="str">
        <x:v>PLAS</x:v>
      </x:c>
      <x:c r="B835" s="1" t="str">
        <x:v>60</x:v>
      </x:c>
      <x:c r="C835" s="1" t="str">
        <x:v>11415RSLBLK</x:v>
      </x:c>
      <x:c r="D835" s="1" t="str">
        <x:v>GOLDEN CHAMPION IND. LIMITED</x:v>
      </x:c>
      <x:c r="E835" s="7" t="n">
        <x:v>46303</x:v>
      </x:c>
      <x:c r="F835" s="8" t="n">
        <x:v>500</x:v>
      </x:c>
      <x:c r="G835" s="8" t="n">
        <x:v>0</x:v>
      </x:c>
      <x:c r="H835" s="8" t="n">
        <x:v>7.82</x:v>
      </x:c>
      <x:c r="I835" s="8" t="n">
        <x:v>6.22</x:v>
      </x:c>
      <x:c r="J835" s="8" t="n">
        <x:v>100</x:v>
      </x:c>
      <x:c r="K835" s="8" t="n">
        <x:v>1.47</x:v>
      </x:c>
      <x:c r="L835" s="8" t="n">
        <x:v>0</x:v>
      </x:c>
      <x:c r="M835" s="8" t="n">
        <x:v>0</x:v>
      </x:c>
      <x:c r="N835" s="8" t="n">
        <x:v>500</x:v>
      </x:c>
      <x:c r="O835" s="8" t="n">
        <x:v>0</x:v>
      </x:c>
      <x:c r="P835" s="8" t="n">
        <x:v>5.32</x:v>
      </x:c>
      <x:c r="Q835" s="9" t="n">
        <x:v>39.1</x:v>
      </x:c>
      <x:c r="R835" s="1" t="str">
        <x:v>Review receipt reconciliation or original PO baseline</x:v>
      </x:c>
      <x:c r="S835" s="1" t="str">
        <x:v>Plastic Product Information.csv</x:v>
      </x:c>
    </x:row>
    <x:row r="836" ht="21" customHeight="1">
      <x:c r="A836" s="1" t="str">
        <x:v>PLAS</x:v>
      </x:c>
      <x:c r="B836" s="1" t="str">
        <x:v>60</x:v>
      </x:c>
      <x:c r="C836" s="1" t="str">
        <x:v>11415RSLWHT</x:v>
      </x:c>
      <x:c r="D836" s="1" t="str">
        <x:v>GOLDEN CHAMPION IND. LIMITED</x:v>
      </x:c>
      <x:c r="E836" s="7" t="n">
        <x:v>46303</x:v>
      </x:c>
      <x:c r="F836" s="8" t="n">
        <x:v>500</x:v>
      </x:c>
      <x:c r="G836" s="8" t="n">
        <x:v>0</x:v>
      </x:c>
      <x:c r="H836" s="8" t="n">
        <x:v>7.82</x:v>
      </x:c>
      <x:c r="I836" s="8" t="n">
        <x:v>6.22</x:v>
      </x:c>
      <x:c r="J836" s="8" t="n">
        <x:v>100</x:v>
      </x:c>
      <x:c r="K836" s="8" t="n">
        <x:v>1.47</x:v>
      </x:c>
      <x:c r="L836" s="8" t="n">
        <x:v>0</x:v>
      </x:c>
      <x:c r="M836" s="8" t="n">
        <x:v>0</x:v>
      </x:c>
      <x:c r="N836" s="8" t="n">
        <x:v>500</x:v>
      </x:c>
      <x:c r="O836" s="8" t="n">
        <x:v>0</x:v>
      </x:c>
      <x:c r="P836" s="8" t="n">
        <x:v>5.32</x:v>
      </x:c>
      <x:c r="Q836" s="9" t="n">
        <x:v>39.1</x:v>
      </x:c>
      <x:c r="R836" s="1" t="str">
        <x:v>Review receipt reconciliation or original PO baseline</x:v>
      </x:c>
      <x:c r="S836" s="1" t="str">
        <x:v>Plastic Product Information.csv</x:v>
      </x:c>
    </x:row>
    <x:row r="837" ht="21" customHeight="1">
      <x:c r="A837" s="1" t="str">
        <x:v>PLAS</x:v>
      </x:c>
      <x:c r="B837" s="1" t="str">
        <x:v>60</x:v>
      </x:c>
      <x:c r="C837" s="1" t="str">
        <x:v>11419RSLBLU</x:v>
      </x:c>
      <x:c r="D837" s="1" t="str">
        <x:v>GOLDEN CHAMPION IND. LIMITED</x:v>
      </x:c>
      <x:c r="E837" s="7" t="n">
        <x:v>46303</x:v>
      </x:c>
      <x:c r="F837" s="8" t="n">
        <x:v>400</x:v>
      </x:c>
      <x:c r="G837" s="8" t="n">
        <x:v>0</x:v>
      </x:c>
      <x:c r="H837" s="8" t="n">
        <x:v>11.1</x:v>
      </x:c>
      <x:c r="I837" s="8" t="n">
        <x:v>8.83</x:v>
      </x:c>
      <x:c r="J837" s="8" t="n">
        <x:v>100</x:v>
      </x:c>
      <x:c r="K837" s="8" t="n">
        <x:v>1.47</x:v>
      </x:c>
      <x:c r="L837" s="8" t="n">
        <x:v>0</x:v>
      </x:c>
      <x:c r="M837" s="8" t="n">
        <x:v>0</x:v>
      </x:c>
      <x:c r="N837" s="8" t="n">
        <x:v>400</x:v>
      </x:c>
      <x:c r="O837" s="8" t="n">
        <x:v>0</x:v>
      </x:c>
      <x:c r="P837" s="8" t="n">
        <x:v>7.55</x:v>
      </x:c>
      <x:c r="Q837" s="9" t="n">
        <x:v>44.4</x:v>
      </x:c>
      <x:c r="R837" s="1" t="str">
        <x:v>Review receipt reconciliation or original PO baseline</x:v>
      </x:c>
      <x:c r="S837" s="1" t="str">
        <x:v>Plastic Product Information.csv</x:v>
      </x:c>
    </x:row>
    <x:row r="838" ht="21" customHeight="1">
      <x:c r="A838" s="1" t="str">
        <x:v>PLAS</x:v>
      </x:c>
      <x:c r="B838" s="1" t="str">
        <x:v>60</x:v>
      </x:c>
      <x:c r="C838" s="1" t="str">
        <x:v>11419RSLCLR</x:v>
      </x:c>
      <x:c r="D838" s="1" t="str">
        <x:v>GOLDEN CHAMPION IND. LIMITED</x:v>
      </x:c>
      <x:c r="E838" s="7" t="n">
        <x:v>46303</x:v>
      </x:c>
      <x:c r="F838" s="8" t="n">
        <x:v>400</x:v>
      </x:c>
      <x:c r="G838" s="8" t="n">
        <x:v>0</x:v>
      </x:c>
      <x:c r="H838" s="8" t="n">
        <x:v>11.1</x:v>
      </x:c>
      <x:c r="I838" s="8" t="n">
        <x:v>8.83</x:v>
      </x:c>
      <x:c r="J838" s="8" t="n">
        <x:v>100</x:v>
      </x:c>
      <x:c r="K838" s="8" t="n">
        <x:v>1.47</x:v>
      </x:c>
      <x:c r="L838" s="8" t="n">
        <x:v>0</x:v>
      </x:c>
      <x:c r="M838" s="8" t="n">
        <x:v>0</x:v>
      </x:c>
      <x:c r="N838" s="8" t="n">
        <x:v>400</x:v>
      </x:c>
      <x:c r="O838" s="8" t="n">
        <x:v>0</x:v>
      </x:c>
      <x:c r="P838" s="8" t="n">
        <x:v>7.55</x:v>
      </x:c>
      <x:c r="Q838" s="9" t="n">
        <x:v>44.4</x:v>
      </x:c>
      <x:c r="R838" s="1" t="str">
        <x:v>Review receipt reconciliation or original PO baseline</x:v>
      </x:c>
      <x:c r="S838" s="1" t="str">
        <x:v>Plastic Product Information.csv</x:v>
      </x:c>
    </x:row>
    <x:row r="839" ht="21" customHeight="1">
      <x:c r="A839" s="1" t="str">
        <x:v>PLAS</x:v>
      </x:c>
      <x:c r="B839" s="1" t="str">
        <x:v>60</x:v>
      </x:c>
      <x:c r="C839" s="1" t="str">
        <x:v>11419RSLRED</x:v>
      </x:c>
      <x:c r="D839" s="1" t="str">
        <x:v>GOLDEN CHAMPION IND. LIMITED</x:v>
      </x:c>
      <x:c r="E839" s="7" t="n">
        <x:v>46303</x:v>
      </x:c>
      <x:c r="F839" s="8" t="n">
        <x:v>700</x:v>
      </x:c>
      <x:c r="G839" s="8" t="n">
        <x:v>0</x:v>
      </x:c>
      <x:c r="H839" s="8" t="n">
        <x:v>11.1</x:v>
      </x:c>
      <x:c r="I839" s="8" t="n">
        <x:v>8.83</x:v>
      </x:c>
      <x:c r="J839" s="8" t="n">
        <x:v>100</x:v>
      </x:c>
      <x:c r="K839" s="8" t="n">
        <x:v>1.47</x:v>
      </x:c>
      <x:c r="L839" s="8" t="n">
        <x:v>0</x:v>
      </x:c>
      <x:c r="M839" s="8" t="n">
        <x:v>0</x:v>
      </x:c>
      <x:c r="N839" s="8" t="n">
        <x:v>700</x:v>
      </x:c>
      <x:c r="O839" s="8" t="n">
        <x:v>0</x:v>
      </x:c>
      <x:c r="P839" s="8" t="n">
        <x:v>7.55</x:v>
      </x:c>
      <x:c r="Q839" s="9" t="n">
        <x:v>77.7</x:v>
      </x:c>
      <x:c r="R839" s="1" t="str">
        <x:v>Review receipt reconciliation or original PO baseline</x:v>
      </x:c>
      <x:c r="S839" s="1" t="str">
        <x:v>Plastic Product Information.csv</x:v>
      </x:c>
    </x:row>
    <x:row r="840" ht="21" customHeight="1">
      <x:c r="A840" s="1" t="str">
        <x:v>PLAS</x:v>
      </x:c>
      <x:c r="B840" s="1" t="str">
        <x:v>60</x:v>
      </x:c>
      <x:c r="C840" s="1" t="str">
        <x:v>11815RWBBLK</x:v>
      </x:c>
      <x:c r="D840" s="1" t="str">
        <x:v>GOLDEN CHAMPION IND. LIMITED</x:v>
      </x:c>
      <x:c r="E840" s="7" t="n">
        <x:v>46303</x:v>
      </x:c>
      <x:c r="F840" s="8" t="n">
        <x:v>1000</x:v>
      </x:c>
      <x:c r="G840" s="8" t="n">
        <x:v>0</x:v>
      </x:c>
      <x:c r="H840" s="8" t="n">
        <x:v>8.82</x:v>
      </x:c>
      <x:c r="I840" s="8" t="n">
        <x:v>7.02</x:v>
      </x:c>
      <x:c r="J840" s="8" t="n">
        <x:v>100</x:v>
      </x:c>
      <x:c r="K840" s="8" t="n">
        <x:v>1.47</x:v>
      </x:c>
      <x:c r="L840" s="8" t="n">
        <x:v>0</x:v>
      </x:c>
      <x:c r="M840" s="8" t="n">
        <x:v>0</x:v>
      </x:c>
      <x:c r="N840" s="8" t="n">
        <x:v>1000</x:v>
      </x:c>
      <x:c r="O840" s="8" t="n">
        <x:v>0</x:v>
      </x:c>
      <x:c r="P840" s="8" t="n">
        <x:v>6</x:v>
      </x:c>
      <x:c r="Q840" s="9" t="n">
        <x:v>88.2</x:v>
      </x:c>
      <x:c r="R840" s="1" t="str">
        <x:v>Review receipt reconciliation or original PO baseline</x:v>
      </x:c>
      <x:c r="S840" s="1" t="str">
        <x:v>Plastic Product Information.csv</x:v>
      </x:c>
    </x:row>
    <x:row r="841" ht="21" customHeight="1">
      <x:c r="A841" s="1" t="str">
        <x:v>PLAS</x:v>
      </x:c>
      <x:c r="B841" s="1" t="str">
        <x:v>60</x:v>
      </x:c>
      <x:c r="C841" s="1" t="str">
        <x:v>11815RWBWHT</x:v>
      </x:c>
      <x:c r="D841" s="1" t="str">
        <x:v>GOLDEN CHAMPION IND. LIMITED</x:v>
      </x:c>
      <x:c r="E841" s="7" t="n">
        <x:v>46303</x:v>
      </x:c>
      <x:c r="F841" s="8" t="n">
        <x:v>1000</x:v>
      </x:c>
      <x:c r="G841" s="8" t="n">
        <x:v>0</x:v>
      </x:c>
      <x:c r="H841" s="8" t="n">
        <x:v>8.82</x:v>
      </x:c>
      <x:c r="I841" s="8" t="n">
        <x:v>7.02</x:v>
      </x:c>
      <x:c r="J841" s="8" t="n">
        <x:v>100</x:v>
      </x:c>
      <x:c r="K841" s="8" t="n">
        <x:v>1.47</x:v>
      </x:c>
      <x:c r="L841" s="8" t="n">
        <x:v>0</x:v>
      </x:c>
      <x:c r="M841" s="8" t="n">
        <x:v>0</x:v>
      </x:c>
      <x:c r="N841" s="8" t="n">
        <x:v>1000</x:v>
      </x:c>
      <x:c r="O841" s="8" t="n">
        <x:v>0</x:v>
      </x:c>
      <x:c r="P841" s="8" t="n">
        <x:v>6</x:v>
      </x:c>
      <x:c r="Q841" s="9" t="n">
        <x:v>88.2</x:v>
      </x:c>
      <x:c r="R841" s="1" t="str">
        <x:v>Review receipt reconciliation or original PO baseline</x:v>
      </x:c>
      <x:c r="S841" s="1" t="str">
        <x:v>Plastic Product Information.csv</x:v>
      </x:c>
    </x:row>
    <x:row r="842" ht="21" customHeight="1">
      <x:c r="A842" s="1" t="str">
        <x:v>PLAS</x:v>
      </x:c>
      <x:c r="B842" s="1" t="str">
        <x:v>60</x:v>
      </x:c>
      <x:c r="C842" s="1" t="str">
        <x:v>11819RWBBLU</x:v>
      </x:c>
      <x:c r="D842" s="1" t="str">
        <x:v>GOLDEN CHAMPION IND. LIMITED</x:v>
      </x:c>
      <x:c r="E842" s="7" t="n">
        <x:v>46303</x:v>
      </x:c>
      <x:c r="F842" s="8" t="n">
        <x:v>600</x:v>
      </x:c>
      <x:c r="G842" s="8" t="n">
        <x:v>0</x:v>
      </x:c>
      <x:c r="H842" s="8" t="n">
        <x:v>13.23</x:v>
      </x:c>
      <x:c r="I842" s="8" t="n">
        <x:v>10.53</x:v>
      </x:c>
      <x:c r="J842" s="8" t="n">
        <x:v>100</x:v>
      </x:c>
      <x:c r="K842" s="8" t="n">
        <x:v>1.47</x:v>
      </x:c>
      <x:c r="L842" s="8" t="n">
        <x:v>0</x:v>
      </x:c>
      <x:c r="M842" s="8" t="n">
        <x:v>0</x:v>
      </x:c>
      <x:c r="N842" s="8" t="n">
        <x:v>600</x:v>
      </x:c>
      <x:c r="O842" s="8" t="n">
        <x:v>0</x:v>
      </x:c>
      <x:c r="P842" s="8" t="n">
        <x:v>9</x:v>
      </x:c>
      <x:c r="Q842" s="9" t="n">
        <x:v>79.38</x:v>
      </x:c>
      <x:c r="R842" s="1" t="str">
        <x:v>Review receipt reconciliation or original PO baseline</x:v>
      </x:c>
      <x:c r="S842" s="1" t="str">
        <x:v>Plastic Product Information.csv</x:v>
      </x:c>
    </x:row>
    <x:row r="843" ht="21" customHeight="1">
      <x:c r="A843" s="1" t="str">
        <x:v>PLAS</x:v>
      </x:c>
      <x:c r="B843" s="1" t="str">
        <x:v>60</x:v>
      </x:c>
      <x:c r="C843" s="1" t="str">
        <x:v>11819RWBCLR</x:v>
      </x:c>
      <x:c r="D843" s="1" t="str">
        <x:v>GOLDEN CHAMPION IND. LIMITED</x:v>
      </x:c>
      <x:c r="E843" s="7" t="n">
        <x:v>46303</x:v>
      </x:c>
      <x:c r="F843" s="8" t="n">
        <x:v>350</x:v>
      </x:c>
      <x:c r="G843" s="8" t="n">
        <x:v>0</x:v>
      </x:c>
      <x:c r="H843" s="8" t="n">
        <x:v>13.23</x:v>
      </x:c>
      <x:c r="I843" s="8" t="n">
        <x:v>10.53</x:v>
      </x:c>
      <x:c r="J843" s="8" t="n">
        <x:v>100</x:v>
      </x:c>
      <x:c r="K843" s="8" t="n">
        <x:v>1.47</x:v>
      </x:c>
      <x:c r="L843" s="8" t="n">
        <x:v>0</x:v>
      </x:c>
      <x:c r="M843" s="8" t="n">
        <x:v>0</x:v>
      </x:c>
      <x:c r="N843" s="8" t="n">
        <x:v>350</x:v>
      </x:c>
      <x:c r="O843" s="8" t="n">
        <x:v>0</x:v>
      </x:c>
      <x:c r="P843" s="8" t="n">
        <x:v>9</x:v>
      </x:c>
      <x:c r="Q843" s="9" t="n">
        <x:v>46.305</x:v>
      </x:c>
      <x:c r="R843" s="1" t="str">
        <x:v>Review receipt reconciliation or original PO baseline</x:v>
      </x:c>
      <x:c r="S843" s="1" t="str">
        <x:v>Plastic Product Information.csv</x:v>
      </x:c>
    </x:row>
    <x:row r="844" ht="21" customHeight="1">
      <x:c r="A844" s="1" t="str">
        <x:v>PLAS</x:v>
      </x:c>
      <x:c r="B844" s="1" t="str">
        <x:v>60</x:v>
      </x:c>
      <x:c r="C844" s="1" t="str">
        <x:v>11819RWBFG</x:v>
      </x:c>
      <x:c r="D844" s="1" t="str">
        <x:v>GOLDEN CHAMPION IND. LIMITED</x:v>
      </x:c>
      <x:c r="E844" s="7" t="n">
        <x:v>46303</x:v>
      </x:c>
      <x:c r="F844" s="8" t="n">
        <x:v>900</x:v>
      </x:c>
      <x:c r="G844" s="8" t="n">
        <x:v>0</x:v>
      </x:c>
      <x:c r="H844" s="8" t="n">
        <x:v>13.23</x:v>
      </x:c>
      <x:c r="I844" s="8" t="n">
        <x:v>10.53</x:v>
      </x:c>
      <x:c r="J844" s="8" t="n">
        <x:v>100</x:v>
      </x:c>
      <x:c r="K844" s="8" t="n">
        <x:v>1.47</x:v>
      </x:c>
      <x:c r="L844" s="8" t="n">
        <x:v>0</x:v>
      </x:c>
      <x:c r="M844" s="8" t="n">
        <x:v>0</x:v>
      </x:c>
      <x:c r="N844" s="8" t="n">
        <x:v>900</x:v>
      </x:c>
      <x:c r="O844" s="8" t="n">
        <x:v>0</x:v>
      </x:c>
      <x:c r="P844" s="8" t="n">
        <x:v>9</x:v>
      </x:c>
      <x:c r="Q844" s="9" t="n">
        <x:v>119.07000000000001</x:v>
      </x:c>
      <x:c r="R844" s="1" t="str">
        <x:v>Review receipt reconciliation or original PO baseline</x:v>
      </x:c>
      <x:c r="S844" s="1" t="str">
        <x:v>Plastic Product Information.csv</x:v>
      </x:c>
    </x:row>
    <x:row r="845" ht="21" customHeight="1">
      <x:c r="A845" s="1" t="str">
        <x:v>PLAS</x:v>
      </x:c>
      <x:c r="B845" s="1" t="str">
        <x:v>60</x:v>
      </x:c>
      <x:c r="C845" s="1" t="str">
        <x:v>11819RWBMAR</x:v>
      </x:c>
      <x:c r="D845" s="1" t="str">
        <x:v>GOLDEN CHAMPION IND. LIMITED</x:v>
      </x:c>
      <x:c r="E845" s="7" t="n">
        <x:v>46303</x:v>
      </x:c>
      <x:c r="F845" s="8" t="n">
        <x:v>850</x:v>
      </x:c>
      <x:c r="G845" s="8" t="n">
        <x:v>0</x:v>
      </x:c>
      <x:c r="H845" s="8" t="n">
        <x:v>13.23</x:v>
      </x:c>
      <x:c r="I845" s="8" t="n">
        <x:v>10.53</x:v>
      </x:c>
      <x:c r="J845" s="8" t="n">
        <x:v>100</x:v>
      </x:c>
      <x:c r="K845" s="8" t="n">
        <x:v>1.47</x:v>
      </x:c>
      <x:c r="L845" s="8" t="n">
        <x:v>0</x:v>
      </x:c>
      <x:c r="M845" s="8" t="n">
        <x:v>0</x:v>
      </x:c>
      <x:c r="N845" s="8" t="n">
        <x:v>850</x:v>
      </x:c>
      <x:c r="O845" s="8" t="n">
        <x:v>0</x:v>
      </x:c>
      <x:c r="P845" s="8" t="n">
        <x:v>9</x:v>
      </x:c>
      <x:c r="Q845" s="9" t="n">
        <x:v>112.455</x:v>
      </x:c>
      <x:c r="R845" s="1" t="str">
        <x:v>Review receipt reconciliation or original PO baseline</x:v>
      </x:c>
      <x:c r="S845" s="1" t="str">
        <x:v>Plastic Product Information.csv</x:v>
      </x:c>
    </x:row>
    <x:row r="846" ht="21" customHeight="1">
      <x:c r="A846" s="1" t="str">
        <x:v>PLAS</x:v>
      </x:c>
      <x:c r="B846" s="1" t="str">
        <x:v>60</x:v>
      </x:c>
      <x:c r="C846" s="1" t="str">
        <x:v>11819RWBNAV</x:v>
      </x:c>
      <x:c r="D846" s="1" t="str">
        <x:v>GOLDEN CHAMPION IND. LIMITED</x:v>
      </x:c>
      <x:c r="E846" s="7" t="n">
        <x:v>46303</x:v>
      </x:c>
      <x:c r="F846" s="8" t="n">
        <x:v>200</x:v>
      </x:c>
      <x:c r="G846" s="8" t="n">
        <x:v>0</x:v>
      </x:c>
      <x:c r="H846" s="8" t="n">
        <x:v>13.23</x:v>
      </x:c>
      <x:c r="I846" s="8" t="n">
        <x:v>10.53</x:v>
      </x:c>
      <x:c r="J846" s="8" t="n">
        <x:v>100</x:v>
      </x:c>
      <x:c r="K846" s="8" t="n">
        <x:v>1.47</x:v>
      </x:c>
      <x:c r="L846" s="8" t="n">
        <x:v>0</x:v>
      </x:c>
      <x:c r="M846" s="8" t="n">
        <x:v>0</x:v>
      </x:c>
      <x:c r="N846" s="8" t="n">
        <x:v>200</x:v>
      </x:c>
      <x:c r="O846" s="8" t="n">
        <x:v>0</x:v>
      </x:c>
      <x:c r="P846" s="8" t="n">
        <x:v>9</x:v>
      </x:c>
      <x:c r="Q846" s="9" t="n">
        <x:v>26.46</x:v>
      </x:c>
      <x:c r="R846" s="1" t="str">
        <x:v>Review receipt reconciliation or original PO baseline</x:v>
      </x:c>
      <x:c r="S846" s="1" t="str">
        <x:v>Plastic Product Information.csv</x:v>
      </x:c>
    </x:row>
    <x:row r="847" ht="21" customHeight="1">
      <x:c r="A847" s="1" t="str">
        <x:v>PLAS</x:v>
      </x:c>
      <x:c r="B847" s="1" t="str">
        <x:v>60</x:v>
      </x:c>
      <x:c r="C847" s="1" t="str">
        <x:v>11819RWBRED</x:v>
      </x:c>
      <x:c r="D847" s="1" t="str">
        <x:v>GOLDEN CHAMPION IND. LIMITED</x:v>
      </x:c>
      <x:c r="E847" s="7" t="n">
        <x:v>46303</x:v>
      </x:c>
      <x:c r="F847" s="8" t="n">
        <x:v>450</x:v>
      </x:c>
      <x:c r="G847" s="8" t="n">
        <x:v>0</x:v>
      </x:c>
      <x:c r="H847" s="8" t="n">
        <x:v>13.23</x:v>
      </x:c>
      <x:c r="I847" s="8" t="n">
        <x:v>10.53</x:v>
      </x:c>
      <x:c r="J847" s="8" t="n">
        <x:v>100</x:v>
      </x:c>
      <x:c r="K847" s="8" t="n">
        <x:v>1.47</x:v>
      </x:c>
      <x:c r="L847" s="8" t="n">
        <x:v>0</x:v>
      </x:c>
      <x:c r="M847" s="8" t="n">
        <x:v>0</x:v>
      </x:c>
      <x:c r="N847" s="8" t="n">
        <x:v>450</x:v>
      </x:c>
      <x:c r="O847" s="8" t="n">
        <x:v>0</x:v>
      </x:c>
      <x:c r="P847" s="8" t="n">
        <x:v>9</x:v>
      </x:c>
      <x:c r="Q847" s="9" t="n">
        <x:v>59.535000000000004</x:v>
      </x:c>
      <x:c r="R847" s="1" t="str">
        <x:v>Review receipt reconciliation or original PO baseline</x:v>
      </x:c>
      <x:c r="S847" s="1" t="str">
        <x:v>Plastic Product Information.csv</x:v>
      </x:c>
    </x:row>
    <x:row r="848" ht="21" customHeight="1">
      <x:c r="A848" s="1" t="str">
        <x:v>PLAS</x:v>
      </x:c>
      <x:c r="B848" s="1" t="str">
        <x:v>60</x:v>
      </x:c>
      <x:c r="C848" s="1" t="str">
        <x:v>11880RWBBLK</x:v>
      </x:c>
      <x:c r="D848" s="1" t="str">
        <x:v>GOLDEN CHAMPION IND. LIMITED</x:v>
      </x:c>
      <x:c r="E848" s="7" t="n">
        <x:v>46303</x:v>
      </x:c>
      <x:c r="F848" s="8" t="n">
        <x:v>974</x:v>
      </x:c>
      <x:c r="G848" s="8" t="n">
        <x:v>0</x:v>
      </x:c>
      <x:c r="H848" s="8" t="n">
        <x:v>49.47</x:v>
      </x:c>
      <x:c r="I848" s="8" t="n">
        <x:v>39.37</x:v>
      </x:c>
      <x:c r="J848" s="8" t="n">
        <x:v>100</x:v>
      </x:c>
      <x:c r="K848" s="8" t="n">
        <x:v>1.47</x:v>
      </x:c>
      <x:c r="L848" s="8" t="n">
        <x:v>0</x:v>
      </x:c>
      <x:c r="M848" s="8" t="n">
        <x:v>0</x:v>
      </x:c>
      <x:c r="N848" s="8" t="n">
        <x:v>974</x:v>
      </x:c>
      <x:c r="O848" s="8" t="n">
        <x:v>0</x:v>
      </x:c>
      <x:c r="P848" s="8" t="n">
        <x:v>33.65</x:v>
      </x:c>
      <x:c r="Q848" s="9" t="n">
        <x:v>481.8378</x:v>
      </x:c>
      <x:c r="R848" s="1" t="str">
        <x:v>Review receipt reconciliation or original PO baseline</x:v>
      </x:c>
      <x:c r="S848" s="1" t="str">
        <x:v>Plastic Product Information.csv</x:v>
      </x:c>
    </x:row>
    <x:row r="849" ht="21" customHeight="1">
      <x:c r="A849" s="1" t="str">
        <x:v>PLAS</x:v>
      </x:c>
      <x:c r="B849" s="1" t="str">
        <x:v>60</x:v>
      </x:c>
      <x:c r="C849" s="1" t="str">
        <x:v>11880RWBWHT</x:v>
      </x:c>
      <x:c r="D849" s="1" t="str">
        <x:v>GOLDEN CHAMPION IND. LIMITED</x:v>
      </x:c>
      <x:c r="E849" s="7" t="n">
        <x:v>46303</x:v>
      </x:c>
      <x:c r="F849" s="8" t="n">
        <x:v>733</x:v>
      </x:c>
      <x:c r="G849" s="8" t="n">
        <x:v>0</x:v>
      </x:c>
      <x:c r="H849" s="8" t="n">
        <x:v>49.47</x:v>
      </x:c>
      <x:c r="I849" s="8" t="n">
        <x:v>39.37</x:v>
      </x:c>
      <x:c r="J849" s="8" t="n">
        <x:v>100</x:v>
      </x:c>
      <x:c r="K849" s="8" t="n">
        <x:v>1.47</x:v>
      </x:c>
      <x:c r="L849" s="8" t="n">
        <x:v>0</x:v>
      </x:c>
      <x:c r="M849" s="8" t="n">
        <x:v>0</x:v>
      </x:c>
      <x:c r="N849" s="8" t="n">
        <x:v>733</x:v>
      </x:c>
      <x:c r="O849" s="8" t="n">
        <x:v>0</x:v>
      </x:c>
      <x:c r="P849" s="8" t="n">
        <x:v>33.65</x:v>
      </x:c>
      <x:c r="Q849" s="9" t="n">
        <x:v>362.61510000000004</x:v>
      </x:c>
      <x:c r="R849" s="1" t="str">
        <x:v>Review receipt reconciliation or original PO baseline</x:v>
      </x:c>
      <x:c r="S849" s="1" t="str">
        <x:v>Plastic Product Information.csv</x:v>
      </x:c>
    </x:row>
    <x:row r="850" ht="21" customHeight="1">
      <x:c r="A850" s="1" t="str">
        <x:v>PLAS</x:v>
      </x:c>
      <x:c r="B850" s="1" t="str">
        <x:v>60</x:v>
      </x:c>
      <x:c r="C850" s="1" t="str">
        <x:v>13415RSLBLK</x:v>
      </x:c>
      <x:c r="D850" s="1" t="str">
        <x:v>GOLDEN CHAMPION IND. LIMITED</x:v>
      </x:c>
      <x:c r="E850" s="7" t="n">
        <x:v>46303</x:v>
      </x:c>
      <x:c r="F850" s="8" t="n">
        <x:v>600</x:v>
      </x:c>
      <x:c r="G850" s="8" t="n">
        <x:v>0</x:v>
      </x:c>
      <x:c r="H850" s="8" t="n">
        <x:v>10.05</x:v>
      </x:c>
      <x:c r="I850" s="8" t="n">
        <x:v>8</x:v>
      </x:c>
      <x:c r="J850" s="8" t="n">
        <x:v>100</x:v>
      </x:c>
      <x:c r="K850" s="8" t="n">
        <x:v>1.47</x:v>
      </x:c>
      <x:c r="L850" s="8" t="n">
        <x:v>0</x:v>
      </x:c>
      <x:c r="M850" s="8" t="n">
        <x:v>0</x:v>
      </x:c>
      <x:c r="N850" s="8" t="n">
        <x:v>600</x:v>
      </x:c>
      <x:c r="O850" s="8" t="n">
        <x:v>0</x:v>
      </x:c>
      <x:c r="P850" s="8" t="n">
        <x:v>6.84</x:v>
      </x:c>
      <x:c r="Q850" s="9" t="n">
        <x:v>60.300000000000004</x:v>
      </x:c>
      <x:c r="R850" s="1" t="str">
        <x:v>Review receipt reconciliation or original PO baseline</x:v>
      </x:c>
      <x:c r="S850" s="1" t="str">
        <x:v>Plastic Product Information.csv</x:v>
      </x:c>
    </x:row>
    <x:row r="851" ht="21" customHeight="1">
      <x:c r="A851" s="1" t="str">
        <x:v>PLAS</x:v>
      </x:c>
      <x:c r="B851" s="1" t="str">
        <x:v>60</x:v>
      </x:c>
      <x:c r="C851" s="1" t="str">
        <x:v>13415RSLWHT</x:v>
      </x:c>
      <x:c r="D851" s="1" t="str">
        <x:v>GOLDEN CHAMPION IND. LIMITED</x:v>
      </x:c>
      <x:c r="E851" s="7" t="n">
        <x:v>46303</x:v>
      </x:c>
      <x:c r="F851" s="8" t="n">
        <x:v>500</x:v>
      </x:c>
      <x:c r="G851" s="8" t="n">
        <x:v>0</x:v>
      </x:c>
      <x:c r="H851" s="8" t="n">
        <x:v>10.05</x:v>
      </x:c>
      <x:c r="I851" s="8" t="n">
        <x:v>8</x:v>
      </x:c>
      <x:c r="J851" s="8" t="n">
        <x:v>100</x:v>
      </x:c>
      <x:c r="K851" s="8" t="n">
        <x:v>1.47</x:v>
      </x:c>
      <x:c r="L851" s="8" t="n">
        <x:v>0</x:v>
      </x:c>
      <x:c r="M851" s="8" t="n">
        <x:v>0</x:v>
      </x:c>
      <x:c r="N851" s="8" t="n">
        <x:v>500</x:v>
      </x:c>
      <x:c r="O851" s="8" t="n">
        <x:v>0</x:v>
      </x:c>
      <x:c r="P851" s="8" t="n">
        <x:v>6.84</x:v>
      </x:c>
      <x:c r="Q851" s="9" t="n">
        <x:v>50.25</x:v>
      </x:c>
      <x:c r="R851" s="1" t="str">
        <x:v>Review receipt reconciliation or original PO baseline</x:v>
      </x:c>
      <x:c r="S851" s="1" t="str">
        <x:v>Plastic Product Information.csv</x:v>
      </x:c>
    </x:row>
    <x:row r="852" ht="21" customHeight="1">
      <x:c r="A852" s="1" t="str">
        <x:v>PLAS</x:v>
      </x:c>
      <x:c r="B852" s="1" t="str">
        <x:v>60</x:v>
      </x:c>
      <x:c r="C852" s="1" t="str">
        <x:v>13419RSLCLR</x:v>
      </x:c>
      <x:c r="D852" s="1" t="str">
        <x:v>GOLDEN CHAMPION IND. LIMITED</x:v>
      </x:c>
      <x:c r="E852" s="7" t="n">
        <x:v>46303</x:v>
      </x:c>
      <x:c r="F852" s="8" t="n">
        <x:v>1000</x:v>
      </x:c>
      <x:c r="G852" s="8" t="n">
        <x:v>0</x:v>
      </x:c>
      <x:c r="H852" s="8" t="n">
        <x:v>14.57</x:v>
      </x:c>
      <x:c r="I852" s="8" t="n">
        <x:v>11.59</x:v>
      </x:c>
      <x:c r="J852" s="8" t="n">
        <x:v>100</x:v>
      </x:c>
      <x:c r="K852" s="8" t="n">
        <x:v>1.47</x:v>
      </x:c>
      <x:c r="L852" s="8" t="n">
        <x:v>0</x:v>
      </x:c>
      <x:c r="M852" s="8" t="n">
        <x:v>0</x:v>
      </x:c>
      <x:c r="N852" s="8" t="n">
        <x:v>1000</x:v>
      </x:c>
      <x:c r="O852" s="8" t="n">
        <x:v>0</x:v>
      </x:c>
      <x:c r="P852" s="8" t="n">
        <x:v>9.91</x:v>
      </x:c>
      <x:c r="Q852" s="9" t="n">
        <x:v>145.70000000000002</x:v>
      </x:c>
      <x:c r="R852" s="1" t="str">
        <x:v>Review receipt reconciliation or original PO baseline</x:v>
      </x:c>
      <x:c r="S852" s="1" t="str">
        <x:v>Plastic Product Information.csv</x:v>
      </x:c>
    </x:row>
    <x:row r="853" ht="21" customHeight="1">
      <x:c r="A853" s="1" t="str">
        <x:v>PLAS</x:v>
      </x:c>
      <x:c r="B853" s="1" t="str">
        <x:v>60</x:v>
      </x:c>
      <x:c r="C853" s="1" t="str">
        <x:v>13419RSLFG</x:v>
      </x:c>
      <x:c r="D853" s="1" t="str">
        <x:v>GOLDEN CHAMPION IND. LIMITED</x:v>
      </x:c>
      <x:c r="E853" s="7" t="n">
        <x:v>46303</x:v>
      </x:c>
      <x:c r="F853" s="8" t="n">
        <x:v>650</x:v>
      </x:c>
      <x:c r="G853" s="8" t="n">
        <x:v>0</x:v>
      </x:c>
      <x:c r="H853" s="8" t="n">
        <x:v>14.57</x:v>
      </x:c>
      <x:c r="I853" s="8" t="n">
        <x:v>11.59</x:v>
      </x:c>
      <x:c r="J853" s="8" t="n">
        <x:v>100</x:v>
      </x:c>
      <x:c r="K853" s="8" t="n">
        <x:v>1.47</x:v>
      </x:c>
      <x:c r="L853" s="8" t="n">
        <x:v>0</x:v>
      </x:c>
      <x:c r="M853" s="8" t="n">
        <x:v>0</x:v>
      </x:c>
      <x:c r="N853" s="8" t="n">
        <x:v>650</x:v>
      </x:c>
      <x:c r="O853" s="8" t="n">
        <x:v>0</x:v>
      </x:c>
      <x:c r="P853" s="8" t="n">
        <x:v>9.91</x:v>
      </x:c>
      <x:c r="Q853" s="9" t="n">
        <x:v>94.705</x:v>
      </x:c>
      <x:c r="R853" s="1" t="str">
        <x:v>Review receipt reconciliation or original PO baseline</x:v>
      </x:c>
      <x:c r="S853" s="1" t="str">
        <x:v>Plastic Product Information.csv</x:v>
      </x:c>
    </x:row>
    <x:row r="854" ht="21" customHeight="1">
      <x:c r="A854" s="1" t="str">
        <x:v>PLAS</x:v>
      </x:c>
      <x:c r="B854" s="1" t="str">
        <x:v>60</x:v>
      </x:c>
      <x:c r="C854" s="1" t="str">
        <x:v>13419RSLMAR</x:v>
      </x:c>
      <x:c r="D854" s="1" t="str">
        <x:v>GOLDEN CHAMPION IND. LIMITED</x:v>
      </x:c>
      <x:c r="E854" s="7" t="n">
        <x:v>46303</x:v>
      </x:c>
      <x:c r="F854" s="8" t="n">
        <x:v>550</x:v>
      </x:c>
      <x:c r="G854" s="8" t="n">
        <x:v>0</x:v>
      </x:c>
      <x:c r="H854" s="8" t="n">
        <x:v>14.57</x:v>
      </x:c>
      <x:c r="I854" s="8" t="n">
        <x:v>11.59</x:v>
      </x:c>
      <x:c r="J854" s="8" t="n">
        <x:v>100</x:v>
      </x:c>
      <x:c r="K854" s="8" t="n">
        <x:v>1.47</x:v>
      </x:c>
      <x:c r="L854" s="8" t="n">
        <x:v>0</x:v>
      </x:c>
      <x:c r="M854" s="8" t="n">
        <x:v>0</x:v>
      </x:c>
      <x:c r="N854" s="8" t="n">
        <x:v>550</x:v>
      </x:c>
      <x:c r="O854" s="8" t="n">
        <x:v>0</x:v>
      </x:c>
      <x:c r="P854" s="8" t="n">
        <x:v>9.91</x:v>
      </x:c>
      <x:c r="Q854" s="9" t="n">
        <x:v>80.135</x:v>
      </x:c>
      <x:c r="R854" s="1" t="str">
        <x:v>Review receipt reconciliation or original PO baseline</x:v>
      </x:c>
      <x:c r="S854" s="1" t="str">
        <x:v>Plastic Product Information.csv</x:v>
      </x:c>
    </x:row>
    <x:row r="855" ht="21" customHeight="1">
      <x:c r="A855" s="1" t="str">
        <x:v>PLAS</x:v>
      </x:c>
      <x:c r="B855" s="1" t="str">
        <x:v>60</x:v>
      </x:c>
      <x:c r="C855" s="1" t="str">
        <x:v>13419RSLRED</x:v>
      </x:c>
      <x:c r="D855" s="1" t="str">
        <x:v>GOLDEN CHAMPION IND. LIMITED</x:v>
      </x:c>
      <x:c r="E855" s="7" t="n">
        <x:v>46303</x:v>
      </x:c>
      <x:c r="F855" s="8" t="n">
        <x:v>500</x:v>
      </x:c>
      <x:c r="G855" s="8" t="n">
        <x:v>0</x:v>
      </x:c>
      <x:c r="H855" s="8" t="n">
        <x:v>14.57</x:v>
      </x:c>
      <x:c r="I855" s="8" t="n">
        <x:v>11.59</x:v>
      </x:c>
      <x:c r="J855" s="8" t="n">
        <x:v>100</x:v>
      </x:c>
      <x:c r="K855" s="8" t="n">
        <x:v>1.47</x:v>
      </x:c>
      <x:c r="L855" s="8" t="n">
        <x:v>0</x:v>
      </x:c>
      <x:c r="M855" s="8" t="n">
        <x:v>0</x:v>
      </x:c>
      <x:c r="N855" s="8" t="n">
        <x:v>500</x:v>
      </x:c>
      <x:c r="O855" s="8" t="n">
        <x:v>0</x:v>
      </x:c>
      <x:c r="P855" s="8" t="n">
        <x:v>9.91</x:v>
      </x:c>
      <x:c r="Q855" s="9" t="n">
        <x:v>72.85000000000001</x:v>
      </x:c>
      <x:c r="R855" s="1" t="str">
        <x:v>Review receipt reconciliation or original PO baseline</x:v>
      </x:c>
      <x:c r="S855" s="1" t="str">
        <x:v>Plastic Product Information.csv</x:v>
      </x:c>
    </x:row>
    <x:row r="856" ht="21" customHeight="1">
      <x:c r="A856" s="1" t="str">
        <x:v>PLAS</x:v>
      </x:c>
      <x:c r="B856" s="1" t="str">
        <x:v>60</x:v>
      </x:c>
      <x:c r="C856" s="1" t="str">
        <x:v>51615RWBBLK</x:v>
      </x:c>
      <x:c r="D856" s="1" t="str">
        <x:v>GOLDEN CHAMPION IND. LIMITED</x:v>
      </x:c>
      <x:c r="E856" s="7" t="n">
        <x:v>46303</x:v>
      </x:c>
      <x:c r="F856" s="8" t="n">
        <x:v>4337</x:v>
      </x:c>
      <x:c r="G856" s="8" t="n">
        <x:v>0</x:v>
      </x:c>
      <x:c r="H856" s="8" t="n">
        <x:v>1.31</x:v>
      </x:c>
      <x:c r="I856" s="8" t="n">
        <x:v>1.04</x:v>
      </x:c>
      <x:c r="J856" s="8" t="n">
        <x:v>100</x:v>
      </x:c>
      <x:c r="K856" s="8" t="n">
        <x:v>1.47</x:v>
      </x:c>
      <x:c r="L856" s="8" t="n">
        <x:v>0</x:v>
      </x:c>
      <x:c r="M856" s="8" t="n">
        <x:v>0</x:v>
      </x:c>
      <x:c r="N856" s="8" t="n">
        <x:v>4337</x:v>
      </x:c>
      <x:c r="O856" s="8" t="n">
        <x:v>0</x:v>
      </x:c>
      <x:c r="P856" s="8" t="n">
        <x:v>0.89</x:v>
      </x:c>
      <x:c r="Q856" s="9" t="n">
        <x:v>56.8147</x:v>
      </x:c>
      <x:c r="R856" s="1" t="str">
        <x:v>Review receipt reconciliation or original PO baseline</x:v>
      </x:c>
      <x:c r="S856" s="1" t="str">
        <x:v>Plastic Product Information.csv</x:v>
      </x:c>
    </x:row>
    <x:row r="857" ht="21" customHeight="1">
      <x:c r="A857" s="1" t="str">
        <x:v>PLAS</x:v>
      </x:c>
      <x:c r="B857" s="1" t="str">
        <x:v>60</x:v>
      </x:c>
      <x:c r="C857" s="1" t="str">
        <x:v>51615RWBWHT</x:v>
      </x:c>
      <x:c r="D857" s="1" t="str">
        <x:v>GOLDEN CHAMPION IND. LIMITED</x:v>
      </x:c>
      <x:c r="E857" s="7" t="n">
        <x:v>46303</x:v>
      </x:c>
      <x:c r="F857" s="8" t="n">
        <x:v>0</x:v>
      </x:c>
      <x:c r="G857" s="8" t="n">
        <x:v>0</x:v>
      </x:c>
      <x:c r="H857" s="8" t="n">
        <x:v>1.31</x:v>
      </x:c>
      <x:c r="I857" s="8" t="n">
        <x:v>1.04</x:v>
      </x:c>
      <x:c r="J857" s="8" t="n">
        <x:v>100</x:v>
      </x:c>
      <x:c r="K857" s="8" t="n">
        <x:v>1.47</x:v>
      </x:c>
      <x:c r="L857" s="8" t="n">
        <x:v>0</x:v>
      </x:c>
      <x:c r="M857" s="8" t="n">
        <x:v>0</x:v>
      </x:c>
      <x:c r="N857" s="8" t="n">
        <x:v>0</x:v>
      </x:c>
      <x:c r="O857" s="8" t="n">
        <x:v>1</x:v>
      </x:c>
      <x:c r="P857" s="8" t="n">
        <x:v>0.89</x:v>
      </x:c>
      <x:c r="Q857" s="9" t="n">
        <x:v>0</x:v>
      </x:c>
      <x:c r="R857" s="1" t="str">
        <x:v>Classified</x:v>
      </x:c>
      <x:c r="S857" s="1" t="str">
        <x:v>Plastic Product Information.csv</x:v>
      </x:c>
    </x:row>
    <x:row r="858" ht="21" customHeight="1">
      <x:c r="A858" s="1" t="str">
        <x:v>PLAS</x:v>
      </x:c>
      <x:c r="B858" s="1" t="str">
        <x:v>60</x:v>
      </x:c>
      <x:c r="C858" s="1" t="str">
        <x:v>51680RWBBLK</x:v>
      </x:c>
      <x:c r="D858" s="1" t="str">
        <x:v>GOLDEN CHAMPION IND. LIMITED</x:v>
      </x:c>
      <x:c r="E858" s="7" t="n">
        <x:v>46303</x:v>
      </x:c>
      <x:c r="F858" s="8" t="n">
        <x:v>2966</x:v>
      </x:c>
      <x:c r="G858" s="8" t="n">
        <x:v>0</x:v>
      </x:c>
      <x:c r="H858" s="8" t="n">
        <x:v>7.41</x:v>
      </x:c>
      <x:c r="I858" s="8" t="n">
        <x:v>5.9</x:v>
      </x:c>
      <x:c r="J858" s="8" t="n">
        <x:v>100</x:v>
      </x:c>
      <x:c r="K858" s="8" t="n">
        <x:v>1.47</x:v>
      </x:c>
      <x:c r="L858" s="8" t="n">
        <x:v>0</x:v>
      </x:c>
      <x:c r="M858" s="8" t="n">
        <x:v>0</x:v>
      </x:c>
      <x:c r="N858" s="8" t="n">
        <x:v>2966</x:v>
      </x:c>
      <x:c r="O858" s="8" t="n">
        <x:v>0</x:v>
      </x:c>
      <x:c r="P858" s="8" t="n">
        <x:v>5.04</x:v>
      </x:c>
      <x:c r="Q858" s="9" t="n">
        <x:v>219.78060000000002</x:v>
      </x:c>
      <x:c r="R858" s="1" t="str">
        <x:v>Review receipt reconciliation or original PO baseline</x:v>
      </x:c>
      <x:c r="S858" s="1" t="str">
        <x:v>Plastic Product Information.csv</x:v>
      </x:c>
    </x:row>
    <x:row r="859" ht="21" customHeight="1">
      <x:c r="A859" s="1" t="str">
        <x:v>PLAS</x:v>
      </x:c>
      <x:c r="B859" s="1" t="str">
        <x:v>60</x:v>
      </x:c>
      <x:c r="C859" s="1" t="str">
        <x:v>51680RWBWHT</x:v>
      </x:c>
      <x:c r="D859" s="1" t="str">
        <x:v>GOLDEN CHAMPION IND. LIMITED</x:v>
      </x:c>
      <x:c r="E859" s="7" t="n">
        <x:v>46303</x:v>
      </x:c>
      <x:c r="F859" s="8" t="n">
        <x:v>1959</x:v>
      </x:c>
      <x:c r="G859" s="8" t="n">
        <x:v>0</x:v>
      </x:c>
      <x:c r="H859" s="8" t="n">
        <x:v>7.41</x:v>
      </x:c>
      <x:c r="I859" s="8" t="n">
        <x:v>5.9</x:v>
      </x:c>
      <x:c r="J859" s="8" t="n">
        <x:v>100</x:v>
      </x:c>
      <x:c r="K859" s="8" t="n">
        <x:v>1.47</x:v>
      </x:c>
      <x:c r="L859" s="8" t="n">
        <x:v>0</x:v>
      </x:c>
      <x:c r="M859" s="8" t="n">
        <x:v>0</x:v>
      </x:c>
      <x:c r="N859" s="8" t="n">
        <x:v>1959</x:v>
      </x:c>
      <x:c r="O859" s="8" t="n">
        <x:v>0</x:v>
      </x:c>
      <x:c r="P859" s="8" t="n">
        <x:v>5.04</x:v>
      </x:c>
      <x:c r="Q859" s="9" t="n">
        <x:v>145.1619</x:v>
      </x:c>
      <x:c r="R859" s="1" t="str">
        <x:v>Review receipt reconciliation or original PO baseline</x:v>
      </x:c>
      <x:c r="S859" s="1" t="str">
        <x:v>Plastic Product Information.csv</x:v>
      </x:c>
    </x:row>
    <x:row r="860" ht="21" customHeight="1">
      <x:c r="A860" s="1" t="str">
        <x:v>PLAS</x:v>
      </x:c>
      <x:c r="B860" s="1" t="str">
        <x:v>60</x:v>
      </x:c>
      <x:c r="C860" s="1" t="str">
        <x:v>71615RWBWHT</x:v>
      </x:c>
      <x:c r="D860" s="1" t="str">
        <x:v>GOLDEN CHAMPION IND. LIMITED</x:v>
      </x:c>
      <x:c r="E860" s="7" t="n">
        <x:v>46303</x:v>
      </x:c>
      <x:c r="F860" s="8" t="n">
        <x:v>7000</x:v>
      </x:c>
      <x:c r="G860" s="8" t="n">
        <x:v>0</x:v>
      </x:c>
      <x:c r="H860" s="8" t="n">
        <x:v>2.19</x:v>
      </x:c>
      <x:c r="I860" s="8" t="n">
        <x:v>1.74</x:v>
      </x:c>
      <x:c r="J860" s="8" t="n">
        <x:v>100</x:v>
      </x:c>
      <x:c r="K860" s="8" t="n">
        <x:v>1.47</x:v>
      </x:c>
      <x:c r="L860" s="8" t="n">
        <x:v>0</x:v>
      </x:c>
      <x:c r="M860" s="8" t="n">
        <x:v>0</x:v>
      </x:c>
      <x:c r="N860" s="8" t="n">
        <x:v>7000</x:v>
      </x:c>
      <x:c r="O860" s="8" t="n">
        <x:v>0</x:v>
      </x:c>
      <x:c r="P860" s="8" t="n">
        <x:v>1.49</x:v>
      </x:c>
      <x:c r="Q860" s="9" t="n">
        <x:v>153.3</x:v>
      </x:c>
      <x:c r="R860" s="1" t="str">
        <x:v>Review receipt reconciliation or original PO baseline</x:v>
      </x:c>
      <x:c r="S860" s="1" t="str">
        <x:v>Plastic Product Information.csv</x:v>
      </x:c>
    </x:row>
    <x:row r="861" ht="21" customHeight="1">
      <x:c r="A861" s="1" t="str">
        <x:v>PLAS</x:v>
      </x:c>
      <x:c r="B861" s="1" t="str">
        <x:v>60</x:v>
      </x:c>
      <x:c r="C861" s="1" t="str">
        <x:v>71619RWBRED</x:v>
      </x:c>
      <x:c r="D861" s="1" t="str">
        <x:v>GOLDEN CHAMPION IND. LIMITED</x:v>
      </x:c>
      <x:c r="E861" s="7" t="n">
        <x:v>46303</x:v>
      </x:c>
      <x:c r="F861" s="8" t="n">
        <x:v>2500</x:v>
      </x:c>
      <x:c r="G861" s="8" t="n">
        <x:v>0</x:v>
      </x:c>
      <x:c r="H861" s="8" t="n">
        <x:v>3.15</x:v>
      </x:c>
      <x:c r="I861" s="8" t="n">
        <x:v>2.5</x:v>
      </x:c>
      <x:c r="J861" s="8" t="n">
        <x:v>100</x:v>
      </x:c>
      <x:c r="K861" s="8" t="n">
        <x:v>1.47</x:v>
      </x:c>
      <x:c r="L861" s="8" t="n">
        <x:v>0</x:v>
      </x:c>
      <x:c r="M861" s="8" t="n">
        <x:v>0</x:v>
      </x:c>
      <x:c r="N861" s="8" t="n">
        <x:v>2500</x:v>
      </x:c>
      <x:c r="O861" s="8" t="n">
        <x:v>0</x:v>
      </x:c>
      <x:c r="P861" s="8" t="n">
        <x:v>2.14</x:v>
      </x:c>
      <x:c r="Q861" s="9" t="n">
        <x:v>78.75</x:v>
      </x:c>
      <x:c r="R861" s="1" t="str">
        <x:v>Review receipt reconciliation or original PO baseline</x:v>
      </x:c>
      <x:c r="S861" s="1" t="str">
        <x:v>Plastic Product Information.csv</x:v>
      </x:c>
    </x:row>
    <x:row r="862" ht="21" customHeight="1">
      <x:c r="A862" s="1" t="str">
        <x:v>PLAS</x:v>
      </x:c>
      <x:c r="B862" s="1" t="str">
        <x:v>60</x:v>
      </x:c>
      <x:c r="C862" s="1" t="str">
        <x:v>71680RWBBLK</x:v>
      </x:c>
      <x:c r="D862" s="1" t="str">
        <x:v>GOLDEN CHAMPION IND. LIMITED</x:v>
      </x:c>
      <x:c r="E862" s="7" t="n">
        <x:v>46303</x:v>
      </x:c>
      <x:c r="F862" s="8" t="n">
        <x:v>1841</x:v>
      </x:c>
      <x:c r="G862" s="8" t="n">
        <x:v>0</x:v>
      </x:c>
      <x:c r="H862" s="8" t="n">
        <x:v>12.26</x:v>
      </x:c>
      <x:c r="I862" s="8" t="n">
        <x:v>9.76</x:v>
      </x:c>
      <x:c r="J862" s="8" t="n">
        <x:v>100</x:v>
      </x:c>
      <x:c r="K862" s="8" t="n">
        <x:v>1.47</x:v>
      </x:c>
      <x:c r="L862" s="8" t="n">
        <x:v>0</x:v>
      </x:c>
      <x:c r="M862" s="8" t="n">
        <x:v>0</x:v>
      </x:c>
      <x:c r="N862" s="8" t="n">
        <x:v>1841</x:v>
      </x:c>
      <x:c r="O862" s="8" t="n">
        <x:v>0</x:v>
      </x:c>
      <x:c r="P862" s="8" t="n">
        <x:v>8.34</x:v>
      </x:c>
      <x:c r="Q862" s="9" t="n">
        <x:v>225.7066</x:v>
      </x:c>
      <x:c r="R862" s="1" t="str">
        <x:v>Review receipt reconciliation or original PO baseline</x:v>
      </x:c>
      <x:c r="S862" s="1" t="str">
        <x:v>Plastic Product Information.csv</x:v>
      </x:c>
    </x:row>
    <x:row r="863" ht="21" customHeight="1">
      <x:c r="A863" s="1" t="str">
        <x:v>PLAS</x:v>
      </x:c>
      <x:c r="B863" s="1" t="str">
        <x:v>60</x:v>
      </x:c>
      <x:c r="C863" s="1" t="str">
        <x:v>71680RWBWHT</x:v>
      </x:c>
      <x:c r="D863" s="1" t="str">
        <x:v>GOLDEN CHAMPION IND. LIMITED</x:v>
      </x:c>
      <x:c r="E863" s="7" t="n">
        <x:v>46303</x:v>
      </x:c>
      <x:c r="F863" s="8" t="n">
        <x:v>2756</x:v>
      </x:c>
      <x:c r="G863" s="8" t="n">
        <x:v>0</x:v>
      </x:c>
      <x:c r="H863" s="8" t="n">
        <x:v>12.26</x:v>
      </x:c>
      <x:c r="I863" s="8" t="n">
        <x:v>9.76</x:v>
      </x:c>
      <x:c r="J863" s="8" t="n">
        <x:v>100</x:v>
      </x:c>
      <x:c r="K863" s="8" t="n">
        <x:v>1.47</x:v>
      </x:c>
      <x:c r="L863" s="8" t="n">
        <x:v>0</x:v>
      </x:c>
      <x:c r="M863" s="8" t="n">
        <x:v>0</x:v>
      </x:c>
      <x:c r="N863" s="8" t="n">
        <x:v>2756</x:v>
      </x:c>
      <x:c r="O863" s="8" t="n">
        <x:v>0</x:v>
      </x:c>
      <x:c r="P863" s="8" t="n">
        <x:v>8.34</x:v>
      </x:c>
      <x:c r="Q863" s="9" t="n">
        <x:v>337.8856</x:v>
      </x:c>
      <x:c r="R863" s="1" t="str">
        <x:v>Review receipt reconciliation or original PO baseline</x:v>
      </x:c>
      <x:c r="S863" s="1" t="str">
        <x:v>Plastic Product Information.csv</x:v>
      </x:c>
    </x:row>
    <x:row r="864" ht="21" customHeight="1">
      <x:c r="A864" s="1" t="str">
        <x:v>PLAS</x:v>
      </x:c>
      <x:c r="B864" s="1" t="str">
        <x:v>60</x:v>
      </x:c>
      <x:c r="C864" s="1" t="str">
        <x:v>91615RWBBLK</x:v>
      </x:c>
      <x:c r="D864" s="1" t="str">
        <x:v>GOLDEN CHAMPION IND. LIMITED</x:v>
      </x:c>
      <x:c r="E864" s="7" t="n">
        <x:v>46303</x:v>
      </x:c>
      <x:c r="F864" s="8" t="n">
        <x:v>2000</x:v>
      </x:c>
      <x:c r="G864" s="8" t="n">
        <x:v>0</x:v>
      </x:c>
      <x:c r="H864" s="8" t="n">
        <x:v>2.91</x:v>
      </x:c>
      <x:c r="I864" s="8" t="n">
        <x:v>2.32</x:v>
      </x:c>
      <x:c r="J864" s="8" t="n">
        <x:v>100</x:v>
      </x:c>
      <x:c r="K864" s="8" t="n">
        <x:v>1.47</x:v>
      </x:c>
      <x:c r="L864" s="8" t="n">
        <x:v>0</x:v>
      </x:c>
      <x:c r="M864" s="8" t="n">
        <x:v>0</x:v>
      </x:c>
      <x:c r="N864" s="8" t="n">
        <x:v>2000</x:v>
      </x:c>
      <x:c r="O864" s="8" t="n">
        <x:v>0</x:v>
      </x:c>
      <x:c r="P864" s="8" t="n">
        <x:v>1.98</x:v>
      </x:c>
      <x:c r="Q864" s="9" t="n">
        <x:v>58.2</x:v>
      </x:c>
      <x:c r="R864" s="1" t="str">
        <x:v>Review receipt reconciliation or original PO baseline</x:v>
      </x:c>
      <x:c r="S864" s="1" t="str">
        <x:v>Plastic Product Information.csv</x:v>
      </x:c>
    </x:row>
    <x:row r="865" ht="21" customHeight="1">
      <x:c r="A865" s="1" t="str">
        <x:v>PLAS</x:v>
      </x:c>
      <x:c r="B865" s="1" t="str">
        <x:v>60</x:v>
      </x:c>
      <x:c r="C865" s="1" t="str">
        <x:v>91615RWBWHT</x:v>
      </x:c>
      <x:c r="D865" s="1" t="str">
        <x:v>GOLDEN CHAMPION IND. LIMITED</x:v>
      </x:c>
      <x:c r="E865" s="7" t="n">
        <x:v>46303</x:v>
      </x:c>
      <x:c r="F865" s="8" t="n">
        <x:v>1500</x:v>
      </x:c>
      <x:c r="G865" s="8" t="n">
        <x:v>0</x:v>
      </x:c>
      <x:c r="H865" s="8" t="n">
        <x:v>2.91</x:v>
      </x:c>
      <x:c r="I865" s="8" t="n">
        <x:v>2.32</x:v>
      </x:c>
      <x:c r="J865" s="8" t="n">
        <x:v>100</x:v>
      </x:c>
      <x:c r="K865" s="8" t="n">
        <x:v>1.47</x:v>
      </x:c>
      <x:c r="L865" s="8" t="n">
        <x:v>0</x:v>
      </x:c>
      <x:c r="M865" s="8" t="n">
        <x:v>0</x:v>
      </x:c>
      <x:c r="N865" s="8" t="n">
        <x:v>1500</x:v>
      </x:c>
      <x:c r="O865" s="8" t="n">
        <x:v>0</x:v>
      </x:c>
      <x:c r="P865" s="8" t="n">
        <x:v>1.98</x:v>
      </x:c>
      <x:c r="Q865" s="9" t="n">
        <x:v>43.65</x:v>
      </x:c>
      <x:c r="R865" s="1" t="str">
        <x:v>Review receipt reconciliation or original PO baseline</x:v>
      </x:c>
      <x:c r="S865" s="1" t="str">
        <x:v>Plastic Product Information.csv</x:v>
      </x:c>
    </x:row>
    <x:row r="866" ht="21" customHeight="1">
      <x:c r="A866" s="1" t="str">
        <x:v>PLAS</x:v>
      </x:c>
      <x:c r="B866" s="1" t="str">
        <x:v>60</x:v>
      </x:c>
      <x:c r="C866" s="1" t="str">
        <x:v>91619RWBCLR</x:v>
      </x:c>
      <x:c r="D866" s="1" t="str">
        <x:v>GOLDEN CHAMPION IND. LIMITED</x:v>
      </x:c>
      <x:c r="E866" s="7" t="n">
        <x:v>46303</x:v>
      </x:c>
      <x:c r="F866" s="8" t="n">
        <x:v>1800</x:v>
      </x:c>
      <x:c r="G866" s="8" t="n">
        <x:v>0</x:v>
      </x:c>
      <x:c r="H866" s="8" t="n">
        <x:v>4.28</x:v>
      </x:c>
      <x:c r="I866" s="8" t="n">
        <x:v>3.4</x:v>
      </x:c>
      <x:c r="J866" s="8" t="n">
        <x:v>100</x:v>
      </x:c>
      <x:c r="K866" s="8" t="n">
        <x:v>1.47</x:v>
      </x:c>
      <x:c r="L866" s="8" t="n">
        <x:v>0</x:v>
      </x:c>
      <x:c r="M866" s="8" t="n">
        <x:v>0</x:v>
      </x:c>
      <x:c r="N866" s="8" t="n">
        <x:v>1800</x:v>
      </x:c>
      <x:c r="O866" s="8" t="n">
        <x:v>0</x:v>
      </x:c>
      <x:c r="P866" s="8" t="n">
        <x:v>2.91</x:v>
      </x:c>
      <x:c r="Q866" s="9" t="n">
        <x:v>77.04</x:v>
      </x:c>
      <x:c r="R866" s="1" t="str">
        <x:v>Review receipt reconciliation or original PO baseline</x:v>
      </x:c>
      <x:c r="S866" s="1" t="str">
        <x:v>Plastic Product Information.csv</x:v>
      </x:c>
    </x:row>
    <x:row r="867" ht="21" customHeight="1">
      <x:c r="A867" s="1" t="str">
        <x:v>PLAS</x:v>
      </x:c>
      <x:c r="B867" s="1" t="str">
        <x:v>60</x:v>
      </x:c>
      <x:c r="C867" s="1" t="str">
        <x:v>91680RWBBLK</x:v>
      </x:c>
      <x:c r="D867" s="1" t="str">
        <x:v>GOLDEN CHAMPION IND. LIMITED</x:v>
      </x:c>
      <x:c r="E867" s="7" t="n">
        <x:v>46303</x:v>
      </x:c>
      <x:c r="F867" s="8" t="n">
        <x:v>1000</x:v>
      </x:c>
      <x:c r="G867" s="8" t="n">
        <x:v>0</x:v>
      </x:c>
      <x:c r="H867" s="8" t="n">
        <x:v>16.18</x:v>
      </x:c>
      <x:c r="I867" s="8" t="n">
        <x:v>12.88</x:v>
      </x:c>
      <x:c r="J867" s="8" t="n">
        <x:v>100</x:v>
      </x:c>
      <x:c r="K867" s="8" t="n">
        <x:v>1.47</x:v>
      </x:c>
      <x:c r="L867" s="8" t="n">
        <x:v>0</x:v>
      </x:c>
      <x:c r="M867" s="8" t="n">
        <x:v>0</x:v>
      </x:c>
      <x:c r="N867" s="8" t="n">
        <x:v>1000</x:v>
      </x:c>
      <x:c r="O867" s="8" t="n">
        <x:v>0</x:v>
      </x:c>
      <x:c r="P867" s="8" t="n">
        <x:v>11.01</x:v>
      </x:c>
      <x:c r="Q867" s="9" t="n">
        <x:v>161.8</x:v>
      </x:c>
      <x:c r="R867" s="1" t="str">
        <x:v>Review receipt reconciliation or original PO baseline</x:v>
      </x:c>
      <x:c r="S867" s="1" t="str">
        <x:v>Plastic Product Information.csv</x:v>
      </x:c>
    </x:row>
    <x:row r="868" ht="21" customHeight="1">
      <x:c r="A868" s="1" t="str">
        <x:v>PLAS</x:v>
      </x:c>
      <x:c r="B868" s="1" t="str">
        <x:v>60</x:v>
      </x:c>
      <x:c r="C868" s="1" t="str">
        <x:v>91680RWBWHT</x:v>
      </x:c>
      <x:c r="D868" s="1" t="str">
        <x:v>GOLDEN CHAMPION IND. LIMITED</x:v>
      </x:c>
      <x:c r="E868" s="7" t="n">
        <x:v>46303</x:v>
      </x:c>
      <x:c r="F868" s="8" t="n">
        <x:v>2299</x:v>
      </x:c>
      <x:c r="G868" s="8" t="n">
        <x:v>0</x:v>
      </x:c>
      <x:c r="H868" s="8" t="n">
        <x:v>16.18</x:v>
      </x:c>
      <x:c r="I868" s="8" t="n">
        <x:v>12.88</x:v>
      </x:c>
      <x:c r="J868" s="8" t="n">
        <x:v>100</x:v>
      </x:c>
      <x:c r="K868" s="8" t="n">
        <x:v>1.47</x:v>
      </x:c>
      <x:c r="L868" s="8" t="n">
        <x:v>0</x:v>
      </x:c>
      <x:c r="M868" s="8" t="n">
        <x:v>0</x:v>
      </x:c>
      <x:c r="N868" s="8" t="n">
        <x:v>2299</x:v>
      </x:c>
      <x:c r="O868" s="8" t="n">
        <x:v>0</x:v>
      </x:c>
      <x:c r="P868" s="8" t="n">
        <x:v>11.01</x:v>
      </x:c>
      <x:c r="Q868" s="9" t="n">
        <x:v>371.9782</x:v>
      </x:c>
      <x:c r="R868" s="1" t="str">
        <x:v>Review receipt reconciliation or original PO baseline</x:v>
      </x:c>
      <x:c r="S868" s="1" t="str">
        <x:v>Plastic Product Information.csv</x:v>
      </x:c>
    </x:row>
    <x:row r="869" ht="21" customHeight="1">
      <x:c r="A869" s="1" t="str">
        <x:v>FILM</x:v>
      </x:c>
      <x:c r="B869" s="1" t="str">
        <x:v>10</x:v>
      </x:c>
      <x:c r="C869" s="1" t="str">
        <x:v>2550015C1</x:v>
      </x:c>
      <x:c r="D869" s="1" t="str">
        <x:v>**PAY ACH** POLYPLEX USA LLC</x:v>
      </x:c>
      <x:c r="E869" s="7" t="n">
        <x:v>46304</x:v>
      </x:c>
      <x:c r="F869" s="8" t="n">
        <x:v>8486</x:v>
      </x:c>
      <x:c r="G869" s="8" t="n">
        <x:v>2361</x:v>
      </x:c>
      <x:c r="H869" s="8" t="n">
        <x:v>13.5</x:v>
      </x:c>
      <x:c r="I869" s="8" t="n">
        <x:v>16.2</x:v>
      </x:c>
      <x:c r="J869" s="8" t="n">
        <x:v>1</x:v>
      </x:c>
      <x:c r="K869" s="8" t="n">
        <x:v>1</x:v>
      </x:c>
      <x:c r="L869" s="8" t="n">
        <x:v>566</x:v>
      </x:c>
      <x:c r="M869" s="8" t="n">
        <x:v>7920</x:v>
      </x:c>
      <x:c r="N869" s="8" t="n">
        <x:v>0</x:v>
      </x:c>
      <x:c r="O869" s="8" t="n">
        <x:v>1</x:v>
      </x:c>
      <x:c r="P869" s="8" t="n">
        <x:v>13.5</x:v>
      </x:c>
      <x:c r="Q869" s="9" t="n">
        <x:v>114561</x:v>
      </x:c>
      <x:c r="R869" s="1" t="str">
        <x:v>Classified</x:v>
      </x:c>
      <x:c r="S869" s="1" t="str">
        <x:v>FilmInventory Data.csv</x:v>
      </x:c>
    </x:row>
    <x:row r="870" ht="21" customHeight="1">
      <x:c r="A870" s="1" t="str">
        <x:v>FILM</x:v>
      </x:c>
      <x:c r="B870" s="1" t="str">
        <x:v>10</x:v>
      </x:c>
      <x:c r="C870" s="1" t="str">
        <x:v>2750015C1</x:v>
      </x:c>
      <x:c r="D870" s="1" t="str">
        <x:v>**PAY ACH** POLYPLEX USA LLC</x:v>
      </x:c>
      <x:c r="E870" s="7" t="n">
        <x:v>46304</x:v>
      </x:c>
      <x:c r="F870" s="8" t="n">
        <x:v>1868</x:v>
      </x:c>
      <x:c r="G870" s="8" t="n">
        <x:v>699.58</x:v>
      </x:c>
      <x:c r="H870" s="8" t="n">
        <x:v>14.58</x:v>
      </x:c>
      <x:c r="I870" s="8" t="n">
        <x:v>17.5</x:v>
      </x:c>
      <x:c r="J870" s="8" t="n">
        <x:v>1</x:v>
      </x:c>
      <x:c r="K870" s="8" t="n">
        <x:v>1</x:v>
      </x:c>
      <x:c r="L870" s="8" t="n">
        <x:v>0</x:v>
      </x:c>
      <x:c r="M870" s="8" t="n">
        <x:v>1868</x:v>
      </x:c>
      <x:c r="N870" s="8" t="n">
        <x:v>0</x:v>
      </x:c>
      <x:c r="O870" s="8" t="n">
        <x:v>1</x:v>
      </x:c>
      <x:c r="P870" s="8" t="n">
        <x:v>14.58</x:v>
      </x:c>
      <x:c r="Q870" s="9" t="n">
        <x:v>27264.6</x:v>
      </x:c>
      <x:c r="R870" s="1" t="str">
        <x:v>Classified</x:v>
      </x:c>
      <x:c r="S870" s="1" t="str">
        <x:v>FilmInventory Data.csv</x:v>
      </x:c>
    </x:row>
    <x:row r="871" ht="21" customHeight="1">
      <x:c r="A871" s="1" t="str">
        <x:v>FILM</x:v>
      </x:c>
      <x:c r="B871" s="1" t="str">
        <x:v>10</x:v>
      </x:c>
      <x:c r="C871" s="1" t="str">
        <x:v>252503C1</x:v>
      </x:c>
      <x:c r="D871" s="1" t="str">
        <x:v>**PAY ACH** POLYPLEX USA LLC</x:v>
      </x:c>
      <x:c r="E871" s="7" t="n">
        <x:v>46304</x:v>
      </x:c>
      <x:c r="F871" s="8" t="n">
        <x:v>1014</x:v>
      </x:c>
      <x:c r="G871" s="8" t="n">
        <x:v>659</x:v>
      </x:c>
      <x:c r="H871" s="8" t="n">
        <x:v>14.63</x:v>
      </x:c>
      <x:c r="I871" s="8" t="n">
        <x:v>17.55</x:v>
      </x:c>
      <x:c r="J871" s="8" t="n">
        <x:v>1</x:v>
      </x:c>
      <x:c r="K871" s="8" t="n">
        <x:v>1</x:v>
      </x:c>
      <x:c r="L871" s="8" t="n">
        <x:v>0</x:v>
      </x:c>
      <x:c r="M871" s="8" t="n">
        <x:v>1014</x:v>
      </x:c>
      <x:c r="N871" s="8" t="n">
        <x:v>0</x:v>
      </x:c>
      <x:c r="O871" s="8" t="n">
        <x:v>1</x:v>
      </x:c>
      <x:c r="P871" s="8" t="n">
        <x:v>14.63</x:v>
      </x:c>
      <x:c r="Q871" s="9" t="n">
        <x:v>14834.820000000002</x:v>
      </x:c>
      <x:c r="R871" s="1" t="str">
        <x:v>Classified</x:v>
      </x:c>
      <x:c r="S871" s="1" t="str">
        <x:v>FilmInventory Data.csv</x:v>
      </x:c>
    </x:row>
    <x:row r="872" ht="21" customHeight="1">
      <x:c r="A872" s="1" t="str">
        <x:v>FILM</x:v>
      </x:c>
      <x:c r="B872" s="1" t="str">
        <x:v>30</x:v>
      </x:c>
      <x:c r="C872" s="1" t="str">
        <x:v>2550015C1</x:v>
      </x:c>
      <x:c r="D872" s="1" t="str">
        <x:v>**PAY ACH** POLYPLEX USA LLC</x:v>
      </x:c>
      <x:c r="E872" s="7" t="n">
        <x:v>46304</x:v>
      </x:c>
      <x:c r="F872" s="8" t="n">
        <x:v>5195</x:v>
      </x:c>
      <x:c r="G872" s="8" t="n">
        <x:v>542.33</x:v>
      </x:c>
      <x:c r="H872" s="8" t="n">
        <x:v>13.5</x:v>
      </x:c>
      <x:c r="I872" s="8" t="n">
        <x:v>16.2</x:v>
      </x:c>
      <x:c r="J872" s="8" t="n">
        <x:v>1</x:v>
      </x:c>
      <x:c r="K872" s="8" t="n">
        <x:v>1</x:v>
      </x:c>
      <x:c r="L872" s="8" t="n">
        <x:v>2435</x:v>
      </x:c>
      <x:c r="M872" s="8" t="n">
        <x:v>2760</x:v>
      </x:c>
      <x:c r="N872" s="8" t="n">
        <x:v>0</x:v>
      </x:c>
      <x:c r="O872" s="8" t="n">
        <x:v>1</x:v>
      </x:c>
      <x:c r="P872" s="8" t="n">
        <x:v>13.5</x:v>
      </x:c>
      <x:c r="Q872" s="9" t="n">
        <x:v>70132.5</x:v>
      </x:c>
      <x:c r="R872" s="1" t="str">
        <x:v>Classified</x:v>
      </x:c>
      <x:c r="S872" s="1" t="str">
        <x:v>FilmInventory Data.csv</x:v>
      </x:c>
    </x:row>
    <x:row r="873" ht="21" customHeight="1">
      <x:c r="A873" s="1" t="str">
        <x:v>FILM</x:v>
      </x:c>
      <x:c r="B873" s="1" t="str">
        <x:v>60</x:v>
      </x:c>
      <x:c r="C873" s="1" t="str">
        <x:v>2550015C1</x:v>
      </x:c>
      <x:c r="D873" s="1" t="str">
        <x:v>**PAY ACH** POLYPLEX USA LLC</x:v>
      </x:c>
      <x:c r="E873" s="7" t="n">
        <x:v>46304</x:v>
      </x:c>
      <x:c r="F873" s="8" t="n">
        <x:v>2718</x:v>
      </x:c>
      <x:c r="G873" s="8" t="n">
        <x:v>536.33</x:v>
      </x:c>
      <x:c r="H873" s="8" t="n">
        <x:v>13.5</x:v>
      </x:c>
      <x:c r="I873" s="8" t="n">
        <x:v>16.2</x:v>
      </x:c>
      <x:c r="J873" s="8" t="n">
        <x:v>1</x:v>
      </x:c>
      <x:c r="K873" s="8" t="n">
        <x:v>1</x:v>
      </x:c>
      <x:c r="L873" s="8" t="n">
        <x:v>1758</x:v>
      </x:c>
      <x:c r="M873" s="8" t="n">
        <x:v>960</x:v>
      </x:c>
      <x:c r="N873" s="8" t="n">
        <x:v>0</x:v>
      </x:c>
      <x:c r="O873" s="8" t="n">
        <x:v>1</x:v>
      </x:c>
      <x:c r="P873" s="8" t="n">
        <x:v>13.5</x:v>
      </x:c>
      <x:c r="Q873" s="9" t="n">
        <x:v>36706.5</x:v>
      </x:c>
      <x:c r="R873" s="1" t="str">
        <x:v>Classified</x:v>
      </x:c>
      <x:c r="S873" s="1" t="str">
        <x:v>FilmInventory Data.csv</x:v>
      </x:c>
    </x:row>
    <x:row r="874" ht="21" customHeight="1">
      <x:c r="A874" s="1" t="str">
        <x:v>FILM</x:v>
      </x:c>
      <x:c r="B874" s="1" t="str">
        <x:v>10</x:v>
      </x:c>
      <x:c r="C874" s="1" t="str">
        <x:v>272503C1</x:v>
      </x:c>
      <x:c r="D874" s="1" t="str">
        <x:v>**PAY ACH** POLYPLEX USA LLC</x:v>
      </x:c>
      <x:c r="E874" s="7" t="n">
        <x:v>46304</x:v>
      </x:c>
      <x:c r="F874" s="8" t="n">
        <x:v>716</x:v>
      </x:c>
      <x:c r="G874" s="8" t="n">
        <x:v>326.33</x:v>
      </x:c>
      <x:c r="H874" s="8" t="n">
        <x:v>15.8</x:v>
      </x:c>
      <x:c r="I874" s="8" t="n">
        <x:v>18.95</x:v>
      </x:c>
      <x:c r="J874" s="8" t="n">
        <x:v>1</x:v>
      </x:c>
      <x:c r="K874" s="8" t="n">
        <x:v>1</x:v>
      </x:c>
      <x:c r="L874" s="8" t="n">
        <x:v>0</x:v>
      </x:c>
      <x:c r="M874" s="8" t="n">
        <x:v>716</x:v>
      </x:c>
      <x:c r="N874" s="8" t="n">
        <x:v>0</x:v>
      </x:c>
      <x:c r="O874" s="8" t="n">
        <x:v>1</x:v>
      </x:c>
      <x:c r="P874" s="8" t="n">
        <x:v>15.8</x:v>
      </x:c>
      <x:c r="Q874" s="9" t="n">
        <x:v>11312.800000000001</x:v>
      </x:c>
      <x:c r="R874" s="1" t="str">
        <x:v>Classified</x:v>
      </x:c>
      <x:c r="S874" s="1" t="str">
        <x:v>FilmInventory Data.csv</x:v>
      </x:c>
    </x:row>
    <x:row r="875" ht="21" customHeight="1">
      <x:c r="A875" s="1" t="str">
        <x:v>FILM</x:v>
      </x:c>
      <x:c r="B875" s="1" t="str">
        <x:v>30</x:v>
      </x:c>
      <x:c r="C875" s="1" t="str">
        <x:v>2750015C1</x:v>
      </x:c>
      <x:c r="D875" s="1" t="str">
        <x:v>**PAY ACH** POLYPLEX USA LLC</x:v>
      </x:c>
      <x:c r="E875" s="7" t="n">
        <x:v>46304</x:v>
      </x:c>
      <x:c r="F875" s="8" t="n">
        <x:v>527</x:v>
      </x:c>
      <x:c r="G875" s="8" t="n">
        <x:v>231.33</x:v>
      </x:c>
      <x:c r="H875" s="8" t="n">
        <x:v>14.58</x:v>
      </x:c>
      <x:c r="I875" s="8" t="n">
        <x:v>17.5</x:v>
      </x:c>
      <x:c r="J875" s="8" t="n">
        <x:v>1</x:v>
      </x:c>
      <x:c r="K875" s="8" t="n">
        <x:v>1</x:v>
      </x:c>
      <x:c r="L875" s="8" t="n">
        <x:v>47</x:v>
      </x:c>
      <x:c r="M875" s="8" t="n">
        <x:v>480</x:v>
      </x:c>
      <x:c r="N875" s="8" t="n">
        <x:v>0</x:v>
      </x:c>
      <x:c r="O875" s="8" t="n">
        <x:v>1</x:v>
      </x:c>
      <x:c r="P875" s="8" t="n">
        <x:v>14.58</x:v>
      </x:c>
      <x:c r="Q875" s="9" t="n">
        <x:v>7683.66</x:v>
      </x:c>
      <x:c r="R875" s="1" t="str">
        <x:v>Classified</x:v>
      </x:c>
      <x:c r="S875" s="1" t="str">
        <x:v>FilmInventory Data.csv</x:v>
      </x:c>
    </x:row>
    <x:row r="876" ht="21" customHeight="1">
      <x:c r="A876" s="1" t="str">
        <x:v>FILM</x:v>
      </x:c>
      <x:c r="B876" s="1" t="str">
        <x:v>60</x:v>
      </x:c>
      <x:c r="C876" s="1" t="str">
        <x:v>2750015C1</x:v>
      </x:c>
      <x:c r="D876" s="1" t="str">
        <x:v>**PAY ACH** POLYPLEX USA LLC</x:v>
      </x:c>
      <x:c r="E876" s="7" t="n">
        <x:v>46304</x:v>
      </x:c>
      <x:c r="F876" s="8" t="n">
        <x:v>1122</x:v>
      </x:c>
      <x:c r="G876" s="8" t="n">
        <x:v>180.5</x:v>
      </x:c>
      <x:c r="H876" s="8" t="n">
        <x:v>14.58</x:v>
      </x:c>
      <x:c r="I876" s="8" t="n">
        <x:v>17.5</x:v>
      </x:c>
      <x:c r="J876" s="8" t="n">
        <x:v>1</x:v>
      </x:c>
      <x:c r="K876" s="8" t="n">
        <x:v>1</x:v>
      </x:c>
      <x:c r="L876" s="8" t="n">
        <x:v>162</x:v>
      </x:c>
      <x:c r="M876" s="8" t="n">
        <x:v>960</x:v>
      </x:c>
      <x:c r="N876" s="8" t="n">
        <x:v>0</x:v>
      </x:c>
      <x:c r="O876" s="8" t="n">
        <x:v>1</x:v>
      </x:c>
      <x:c r="P876" s="8" t="n">
        <x:v>14.58</x:v>
      </x:c>
      <x:c r="Q876" s="9" t="n">
        <x:v>16358.76</x:v>
      </x:c>
      <x:c r="R876" s="1" t="str">
        <x:v>Classified</x:v>
      </x:c>
      <x:c r="S876" s="1" t="str">
        <x:v>FilmInventory Data.csv</x:v>
      </x:c>
    </x:row>
    <x:row r="877" ht="21" customHeight="1">
      <x:c r="A877" s="1" t="str">
        <x:v>FILM</x:v>
      </x:c>
      <x:c r="B877" s="1" t="str">
        <x:v>30</x:v>
      </x:c>
      <x:c r="C877" s="1" t="str">
        <x:v>272503C1</x:v>
      </x:c>
      <x:c r="D877" s="1" t="str">
        <x:v>**PAY ACH** POLYPLEX USA LLC</x:v>
      </x:c>
      <x:c r="E877" s="7" t="n">
        <x:v>46304</x:v>
      </x:c>
      <x:c r="F877" s="8" t="n">
        <x:v>356</x:v>
      </x:c>
      <x:c r="G877" s="8" t="n">
        <x:v>160</x:v>
      </x:c>
      <x:c r="H877" s="8" t="n">
        <x:v>15.8</x:v>
      </x:c>
      <x:c r="I877" s="8" t="n">
        <x:v>18.95</x:v>
      </x:c>
      <x:c r="J877" s="8" t="n">
        <x:v>1</x:v>
      </x:c>
      <x:c r="K877" s="8" t="n">
        <x:v>1</x:v>
      </x:c>
      <x:c r="L877" s="8" t="n">
        <x:v>0</x:v>
      </x:c>
      <x:c r="M877" s="8" t="n">
        <x:v>356</x:v>
      </x:c>
      <x:c r="N877" s="8" t="n">
        <x:v>0</x:v>
      </x:c>
      <x:c r="O877" s="8" t="n">
        <x:v>1</x:v>
      </x:c>
      <x:c r="P877" s="8" t="n">
        <x:v>15.8</x:v>
      </x:c>
      <x:c r="Q877" s="9" t="n">
        <x:v>5656.400000000001</x:v>
      </x:c>
      <x:c r="R877" s="1" t="str">
        <x:v>Classified</x:v>
      </x:c>
      <x:c r="S877" s="1" t="str">
        <x:v>FilmInventory Data.csv</x:v>
      </x:c>
    </x:row>
    <x:row r="878" ht="21" customHeight="1">
      <x:c r="A878" s="1" t="str">
        <x:v>FILM</x:v>
      </x:c>
      <x:c r="B878" s="1" t="str">
        <x:v>30</x:v>
      </x:c>
      <x:c r="C878" s="1" t="str">
        <x:v>252503C1</x:v>
      </x:c>
      <x:c r="D878" s="1" t="str">
        <x:v>**PAY ACH** POLYPLEX USA LLC</x:v>
      </x:c>
      <x:c r="E878" s="7" t="n">
        <x:v>46304</x:v>
      </x:c>
      <x:c r="F878" s="8" t="n">
        <x:v>440</x:v>
      </x:c>
      <x:c r="G878" s="8" t="n">
        <x:v>122.67</x:v>
      </x:c>
      <x:c r="H878" s="8" t="n">
        <x:v>14.63</x:v>
      </x:c>
      <x:c r="I878" s="8" t="n">
        <x:v>17.55</x:v>
      </x:c>
      <x:c r="J878" s="8" t="n">
        <x:v>1</x:v>
      </x:c>
      <x:c r="K878" s="8" t="n">
        <x:v>1</x:v>
      </x:c>
      <x:c r="L878" s="8" t="n">
        <x:v>80</x:v>
      </x:c>
      <x:c r="M878" s="8" t="n">
        <x:v>360</x:v>
      </x:c>
      <x:c r="N878" s="8" t="n">
        <x:v>0</x:v>
      </x:c>
      <x:c r="O878" s="8" t="n">
        <x:v>1</x:v>
      </x:c>
      <x:c r="P878" s="8" t="n">
        <x:v>14.63</x:v>
      </x:c>
      <x:c r="Q878" s="9" t="n">
        <x:v>6437.200000000001</x:v>
      </x:c>
      <x:c r="R878" s="1" t="str">
        <x:v>Classified</x:v>
      </x:c>
      <x:c r="S878" s="1" t="str">
        <x:v>FilmInventory Data.csv</x:v>
      </x:c>
    </x:row>
    <x:row r="879" ht="21" customHeight="1">
      <x:c r="A879" s="1" t="str">
        <x:v>FILM</x:v>
      </x:c>
      <x:c r="B879" s="1" t="str">
        <x:v>60</x:v>
      </x:c>
      <x:c r="C879" s="1" t="str">
        <x:v>252503C1</x:v>
      </x:c>
      <x:c r="D879" s="1" t="str">
        <x:v>**PAY ACH** POLYPLEX USA LLC</x:v>
      </x:c>
      <x:c r="E879" s="7" t="n">
        <x:v>46304</x:v>
      </x:c>
      <x:c r="F879" s="8" t="n">
        <x:v>291</x:v>
      </x:c>
      <x:c r="G879" s="8" t="n">
        <x:v>112.25</x:v>
      </x:c>
      <x:c r="H879" s="8" t="n">
        <x:v>14.63</x:v>
      </x:c>
      <x:c r="I879" s="8" t="n">
        <x:v>17.55</x:v>
      </x:c>
      <x:c r="J879" s="8" t="n">
        <x:v>1</x:v>
      </x:c>
      <x:c r="K879" s="8" t="n">
        <x:v>1</x:v>
      </x:c>
      <x:c r="L879" s="8" t="n">
        <x:v>171</x:v>
      </x:c>
      <x:c r="M879" s="8" t="n">
        <x:v>120</x:v>
      </x:c>
      <x:c r="N879" s="8" t="n">
        <x:v>0</x:v>
      </x:c>
      <x:c r="O879" s="8" t="n">
        <x:v>1</x:v>
      </x:c>
      <x:c r="P879" s="8" t="n">
        <x:v>14.63</x:v>
      </x:c>
      <x:c r="Q879" s="9" t="n">
        <x:v>4403.63</x:v>
      </x:c>
      <x:c r="R879" s="1" t="str">
        <x:v>Classified</x:v>
      </x:c>
      <x:c r="S879" s="1" t="str">
        <x:v>FilmInventory Data.csv</x:v>
      </x:c>
    </x:row>
    <x:row r="880" ht="21" customHeight="1">
      <x:c r="A880" s="1" t="str">
        <x:v>FILM</x:v>
      </x:c>
      <x:c r="B880" s="1" t="str">
        <x:v>60</x:v>
      </x:c>
      <x:c r="C880" s="1" t="str">
        <x:v>272503C1</x:v>
      </x:c>
      <x:c r="D880" s="1" t="str">
        <x:v>**PAY ACH** POLYPLEX USA LLC</x:v>
      </x:c>
      <x:c r="E880" s="7" t="n">
        <x:v>46304</x:v>
      </x:c>
      <x:c r="F880" s="8" t="n">
        <x:v>552</x:v>
      </x:c>
      <x:c r="G880" s="8" t="n">
        <x:v>95.67</x:v>
      </x:c>
      <x:c r="H880" s="8" t="n">
        <x:v>15.8</x:v>
      </x:c>
      <x:c r="I880" s="8" t="n">
        <x:v>18.95</x:v>
      </x:c>
      <x:c r="J880" s="8" t="n">
        <x:v>1</x:v>
      </x:c>
      <x:c r="K880" s="8" t="n">
        <x:v>1</x:v>
      </x:c>
      <x:c r="L880" s="8" t="n">
        <x:v>0</x:v>
      </x:c>
      <x:c r="M880" s="8" t="n">
        <x:v>552</x:v>
      </x:c>
      <x:c r="N880" s="8" t="n">
        <x:v>0</x:v>
      </x:c>
      <x:c r="O880" s="8" t="n">
        <x:v>1</x:v>
      </x:c>
      <x:c r="P880" s="8" t="n">
        <x:v>15.8</x:v>
      </x:c>
      <x:c r="Q880" s="9" t="n">
        <x:v>8721.6</x:v>
      </x:c>
      <x:c r="R880" s="1" t="str">
        <x:v>Classified</x:v>
      </x:c>
      <x:c r="S880" s="1" t="str">
        <x:v>FilmInventory Data.csv</x:v>
      </x:c>
    </x:row>
    <x:row r="881" ht="21" customHeight="1">
      <x:c r="A881" s="1" t="str">
        <x:v>FILM</x:v>
      </x:c>
      <x:c r="B881" s="1" t="str">
        <x:v>10</x:v>
      </x:c>
      <x:c r="C881" s="1" t="str">
        <x:v>PR272503C1</x:v>
      </x:c>
      <x:c r="D881" s="1" t="str">
        <x:v>**PAY ACH** POLYPLEX USA LLC</x:v>
      </x:c>
      <x:c r="E881" s="7" t="n">
        <x:v>46304</x:v>
      </x:c>
      <x:c r="F881" s="8" t="n">
        <x:v>1409</x:v>
      </x:c>
      <x:c r="G881" s="8" t="n">
        <x:v>90</x:v>
      </x:c>
      <x:c r="H881" s="8" t="n">
        <x:v>18.23</x:v>
      </x:c>
      <x:c r="I881" s="8" t="n">
        <x:v>21.87</x:v>
      </x:c>
      <x:c r="J881" s="8" t="n">
        <x:v>1</x:v>
      </x:c>
      <x:c r="K881" s="8" t="n">
        <x:v>1</x:v>
      </x:c>
      <x:c r="L881" s="8" t="n">
        <x:v>1409</x:v>
      </x:c>
      <x:c r="M881" s="8" t="n">
        <x:v>0</x:v>
      </x:c>
      <x:c r="N881" s="8" t="n">
        <x:v>0</x:v>
      </x:c>
      <x:c r="O881" s="8" t="n">
        <x:v>1</x:v>
      </x:c>
      <x:c r="P881" s="8" t="n">
        <x:v>18.23</x:v>
      </x:c>
      <x:c r="Q881" s="9" t="n">
        <x:v>25686.07</x:v>
      </x:c>
      <x:c r="R881" s="1" t="str">
        <x:v>Classified</x:v>
      </x:c>
      <x:c r="S881" s="1" t="str">
        <x:v>FilmInventory Data.csv</x:v>
      </x:c>
    </x:row>
    <x:row r="882" ht="21" customHeight="1">
      <x:c r="A882" s="1" t="str">
        <x:v>FILM</x:v>
      </x:c>
      <x:c r="B882" s="1" t="str">
        <x:v>10</x:v>
      </x:c>
      <x:c r="C882" s="1" t="str">
        <x:v>SG25500C1</x:v>
      </x:c>
      <x:c r="D882" s="1" t="str">
        <x:v>**PAY ACH** POLYPLEX USA LLC</x:v>
      </x:c>
      <x:c r="E882" s="7" t="n">
        <x:v>46304</x:v>
      </x:c>
      <x:c r="F882" s="8" t="n">
        <x:v>780</x:v>
      </x:c>
      <x:c r="G882" s="8" t="n">
        <x:v>84.67</x:v>
      </x:c>
      <x:c r="H882" s="8" t="n">
        <x:v>12.3</x:v>
      </x:c>
      <x:c r="I882" s="8" t="n">
        <x:v>14.85</x:v>
      </x:c>
      <x:c r="J882" s="8" t="n">
        <x:v>1</x:v>
      </x:c>
      <x:c r="K882" s="8" t="n">
        <x:v>1</x:v>
      </x:c>
      <x:c r="L882" s="8" t="n">
        <x:v>780</x:v>
      </x:c>
      <x:c r="M882" s="8" t="n">
        <x:v>0</x:v>
      </x:c>
      <x:c r="N882" s="8" t="n">
        <x:v>0</x:v>
      </x:c>
      <x:c r="O882" s="8" t="n">
        <x:v>1</x:v>
      </x:c>
      <x:c r="P882" s="8" t="n">
        <x:v>12.3</x:v>
      </x:c>
      <x:c r="Q882" s="9" t="n">
        <x:v>9594</x:v>
      </x:c>
      <x:c r="R882" s="1" t="str">
        <x:v>Classified</x:v>
      </x:c>
      <x:c r="S882" s="1" t="str">
        <x:v>FilmInventory Data.csv</x:v>
      </x:c>
    </x:row>
    <x:row r="883" ht="21" customHeight="1">
      <x:c r="A883" s="1" t="str">
        <x:v>FILM</x:v>
      </x:c>
      <x:c r="B883" s="1" t="str">
        <x:v>10</x:v>
      </x:c>
      <x:c r="C883" s="1" t="str">
        <x:v>252005C1</x:v>
      </x:c>
      <x:c r="D883" s="1" t="str">
        <x:v>**PAY ACH** POLYPLEX USA LLC</x:v>
      </x:c>
      <x:c r="E883" s="7" t="n">
        <x:v>46304</x:v>
      </x:c>
      <x:c r="F883" s="8" t="n">
        <x:v>264</x:v>
      </x:c>
      <x:c r="G883" s="8" t="n">
        <x:v>71.25</x:v>
      </x:c>
      <x:c r="H883" s="8" t="n">
        <x:v>21.18</x:v>
      </x:c>
      <x:c r="I883" s="8" t="n">
        <x:v>25.44</x:v>
      </x:c>
      <x:c r="J883" s="8" t="n">
        <x:v>1</x:v>
      </x:c>
      <x:c r="K883" s="8" t="n">
        <x:v>1</x:v>
      </x:c>
      <x:c r="L883" s="8" t="n">
        <x:v>48</x:v>
      </x:c>
      <x:c r="M883" s="8" t="n">
        <x:v>216</x:v>
      </x:c>
      <x:c r="N883" s="8" t="n">
        <x:v>0</x:v>
      </x:c>
      <x:c r="O883" s="8" t="n">
        <x:v>1</x:v>
      </x:c>
      <x:c r="P883" s="8" t="n">
        <x:v>21.18</x:v>
      </x:c>
      <x:c r="Q883" s="9" t="n">
        <x:v>5591.5199999999995</x:v>
      </x:c>
      <x:c r="R883" s="1" t="str">
        <x:v>Classified</x:v>
      </x:c>
      <x:c r="S883" s="1" t="str">
        <x:v>FilmInventory Data.csv</x:v>
      </x:c>
    </x:row>
    <x:row r="884" ht="21" customHeight="1">
      <x:c r="A884" s="1" t="str">
        <x:v>FILM</x:v>
      </x:c>
      <x:c r="B884" s="1" t="str">
        <x:v>10</x:v>
      </x:c>
      <x:c r="C884" s="1" t="str">
        <x:v>272005C1</x:v>
      </x:c>
      <x:c r="D884" s="1" t="str">
        <x:v>**PAY ACH** POLYPLEX USA LLC</x:v>
      </x:c>
      <x:c r="E884" s="7" t="n">
        <x:v>46304</x:v>
      </x:c>
      <x:c r="F884" s="8" t="n">
        <x:v>145</x:v>
      </x:c>
      <x:c r="G884" s="8" t="n">
        <x:v>67.58</x:v>
      </x:c>
      <x:c r="H884" s="8" t="n">
        <x:v>22.87</x:v>
      </x:c>
      <x:c r="I884" s="8" t="n">
        <x:v>27.48</x:v>
      </x:c>
      <x:c r="J884" s="8" t="n">
        <x:v>1</x:v>
      </x:c>
      <x:c r="K884" s="8" t="n">
        <x:v>1</x:v>
      </x:c>
      <x:c r="L884" s="8" t="n">
        <x:v>0</x:v>
      </x:c>
      <x:c r="M884" s="8" t="n">
        <x:v>145</x:v>
      </x:c>
      <x:c r="N884" s="8" t="n">
        <x:v>0</x:v>
      </x:c>
      <x:c r="O884" s="8" t="n">
        <x:v>1</x:v>
      </x:c>
      <x:c r="P884" s="8" t="n">
        <x:v>22.87</x:v>
      </x:c>
      <x:c r="Q884" s="9" t="n">
        <x:v>3316.15</x:v>
      </x:c>
      <x:c r="R884" s="1" t="str">
        <x:v>Classified</x:v>
      </x:c>
      <x:c r="S884" s="1" t="str">
        <x:v>FilmInventory Data.csv</x:v>
      </x:c>
    </x:row>
    <x:row r="885" ht="21" customHeight="1">
      <x:c r="A885" s="1" t="str">
        <x:v>FILM</x:v>
      </x:c>
      <x:c r="B885" s="1" t="str">
        <x:v>60</x:v>
      </x:c>
      <x:c r="C885" s="1" t="str">
        <x:v>252005C1</x:v>
      </x:c>
      <x:c r="D885" s="1" t="str">
        <x:v>**PAY ACH** POLYPLEX USA LLC</x:v>
      </x:c>
      <x:c r="E885" s="7" t="n">
        <x:v>46304</x:v>
      </x:c>
      <x:c r="F885" s="8" t="n">
        <x:v>398</x:v>
      </x:c>
      <x:c r="G885" s="8" t="n">
        <x:v>62.92</x:v>
      </x:c>
      <x:c r="H885" s="8" t="n">
        <x:v>21.18</x:v>
      </x:c>
      <x:c r="I885" s="8" t="n">
        <x:v>25.44</x:v>
      </x:c>
      <x:c r="J885" s="8" t="n">
        <x:v>1</x:v>
      </x:c>
      <x:c r="K885" s="8" t="n">
        <x:v>1</x:v>
      </x:c>
      <x:c r="L885" s="8" t="n">
        <x:v>38</x:v>
      </x:c>
      <x:c r="M885" s="8" t="n">
        <x:v>360</x:v>
      </x:c>
      <x:c r="N885" s="8" t="n">
        <x:v>0</x:v>
      </x:c>
      <x:c r="O885" s="8" t="n">
        <x:v>1</x:v>
      </x:c>
      <x:c r="P885" s="8" t="n">
        <x:v>21.18</x:v>
      </x:c>
      <x:c r="Q885" s="9" t="n">
        <x:v>8429.64</x:v>
      </x:c>
      <x:c r="R885" s="1" t="str">
        <x:v>Classified</x:v>
      </x:c>
      <x:c r="S885" s="1" t="str">
        <x:v>FilmInventory Data.csv</x:v>
      </x:c>
    </x:row>
    <x:row r="886" ht="21" customHeight="1">
      <x:c r="A886" s="1" t="str">
        <x:v>FILM</x:v>
      </x:c>
      <x:c r="B886" s="1" t="str">
        <x:v>10</x:v>
      </x:c>
      <x:c r="C886" s="1" t="str">
        <x:v>PR252503C1</x:v>
      </x:c>
      <x:c r="D886" s="1" t="str">
        <x:v>**PAY ACH** POLYPLEX USA LLC</x:v>
      </x:c>
      <x:c r="E886" s="7" t="n">
        <x:v>46304</x:v>
      </x:c>
      <x:c r="F886" s="8" t="n">
        <x:v>126</x:v>
      </x:c>
      <x:c r="G886" s="8" t="n">
        <x:v>46.67</x:v>
      </x:c>
      <x:c r="H886" s="8" t="n">
        <x:v>16.88</x:v>
      </x:c>
      <x:c r="I886" s="8" t="n">
        <x:v>20.25</x:v>
      </x:c>
      <x:c r="J886" s="8" t="n">
        <x:v>1</x:v>
      </x:c>
      <x:c r="K886" s="8" t="n">
        <x:v>1</x:v>
      </x:c>
      <x:c r="L886" s="8" t="n">
        <x:v>126</x:v>
      </x:c>
      <x:c r="M886" s="8" t="n">
        <x:v>0</x:v>
      </x:c>
      <x:c r="N886" s="8" t="n">
        <x:v>0</x:v>
      </x:c>
      <x:c r="O886" s="8" t="n">
        <x:v>1</x:v>
      </x:c>
      <x:c r="P886" s="8" t="n">
        <x:v>16.88</x:v>
      </x:c>
      <x:c r="Q886" s="9" t="n">
        <x:v>2143.7599999999998</x:v>
      </x:c>
      <x:c r="R886" s="1" t="str">
        <x:v>Classified</x:v>
      </x:c>
      <x:c r="S886" s="1" t="str">
        <x:v>FilmInventory Data.csv</x:v>
      </x:c>
    </x:row>
    <x:row r="887" ht="21" customHeight="1">
      <x:c r="A887" s="1" t="str">
        <x:v>FILM</x:v>
      </x:c>
      <x:c r="B887" s="1" t="str">
        <x:v>30</x:v>
      </x:c>
      <x:c r="C887" s="1" t="str">
        <x:v>272005C1</x:v>
      </x:c>
      <x:c r="D887" s="1" t="str">
        <x:v>**PAY ACH** POLYPLEX USA LLC</x:v>
      </x:c>
      <x:c r="E887" s="7" t="n">
        <x:v>46304</x:v>
      </x:c>
      <x:c r="F887" s="8" t="n">
        <x:v>192</x:v>
      </x:c>
      <x:c r="G887" s="8" t="n">
        <x:v>40.83</x:v>
      </x:c>
      <x:c r="H887" s="8" t="n">
        <x:v>22.87</x:v>
      </x:c>
      <x:c r="I887" s="8" t="n">
        <x:v>27.48</x:v>
      </x:c>
      <x:c r="J887" s="8" t="n">
        <x:v>1</x:v>
      </x:c>
      <x:c r="K887" s="8" t="n">
        <x:v>1</x:v>
      </x:c>
      <x:c r="L887" s="8" t="n">
        <x:v>48</x:v>
      </x:c>
      <x:c r="M887" s="8" t="n">
        <x:v>144</x:v>
      </x:c>
      <x:c r="N887" s="8" t="n">
        <x:v>0</x:v>
      </x:c>
      <x:c r="O887" s="8" t="n">
        <x:v>1</x:v>
      </x:c>
      <x:c r="P887" s="8" t="n">
        <x:v>22.87</x:v>
      </x:c>
      <x:c r="Q887" s="9" t="n">
        <x:v>4574</x:v>
      </x:c>
      <x:c r="R887" s="1" t="str">
        <x:v>Classified</x:v>
      </x:c>
      <x:c r="S887" s="1" t="str">
        <x:v>FilmInventory Data.csv</x:v>
      </x:c>
    </x:row>
    <x:row r="888" ht="21" customHeight="1">
      <x:c r="A888" s="1" t="str">
        <x:v>FILM</x:v>
      </x:c>
      <x:c r="B888" s="1" t="str">
        <x:v>10</x:v>
      </x:c>
      <x:c r="C888" s="1" t="str">
        <x:v>182005C1</x:v>
      </x:c>
      <x:c r="D888" s="1" t="str">
        <x:v>**PAY ACH** POLYPLEX USA LLC</x:v>
      </x:c>
      <x:c r="E888" s="7" t="n">
        <x:v>46304</x:v>
      </x:c>
      <x:c r="F888" s="8" t="n">
        <x:v>80</x:v>
      </x:c>
      <x:c r="G888" s="8" t="n">
        <x:v>38.33</x:v>
      </x:c>
      <x:c r="H888" s="8" t="n">
        <x:v>15.25</x:v>
      </x:c>
      <x:c r="I888" s="8" t="n">
        <x:v>18.32</x:v>
      </x:c>
      <x:c r="J888" s="8" t="n">
        <x:v>1</x:v>
      </x:c>
      <x:c r="K888" s="8" t="n">
        <x:v>1</x:v>
      </x:c>
      <x:c r="L888" s="8" t="n">
        <x:v>0</x:v>
      </x:c>
      <x:c r="M888" s="8" t="n">
        <x:v>80</x:v>
      </x:c>
      <x:c r="N888" s="8" t="n">
        <x:v>0</x:v>
      </x:c>
      <x:c r="O888" s="8" t="n">
        <x:v>1</x:v>
      </x:c>
      <x:c r="P888" s="8" t="n">
        <x:v>15.25</x:v>
      </x:c>
      <x:c r="Q888" s="9" t="n">
        <x:v>1250.5</x:v>
      </x:c>
      <x:c r="R888" s="1" t="str">
        <x:v>Classified</x:v>
      </x:c>
      <x:c r="S888" s="1" t="str">
        <x:v>FilmInventory Data.csv</x:v>
      </x:c>
    </x:row>
    <x:row r="889" ht="21" customHeight="1">
      <x:c r="A889" s="1" t="str">
        <x:v>FILM</x:v>
      </x:c>
      <x:c r="B889" s="1" t="str">
        <x:v>60</x:v>
      </x:c>
      <x:c r="C889" s="1" t="str">
        <x:v>272005C1</x:v>
      </x:c>
      <x:c r="D889" s="1" t="str">
        <x:v>**PAY ACH** POLYPLEX USA LLC</x:v>
      </x:c>
      <x:c r="E889" s="7" t="n">
        <x:v>46304</x:v>
      </x:c>
      <x:c r="F889" s="8" t="n">
        <x:v>168</x:v>
      </x:c>
      <x:c r="G889" s="8" t="n">
        <x:v>37.83</x:v>
      </x:c>
      <x:c r="H889" s="8" t="n">
        <x:v>22.87</x:v>
      </x:c>
      <x:c r="I889" s="8" t="n">
        <x:v>27.48</x:v>
      </x:c>
      <x:c r="J889" s="8" t="n">
        <x:v>1</x:v>
      </x:c>
      <x:c r="K889" s="8" t="n">
        <x:v>1</x:v>
      </x:c>
      <x:c r="L889" s="8" t="n">
        <x:v>0</x:v>
      </x:c>
      <x:c r="M889" s="8" t="n">
        <x:v>168</x:v>
      </x:c>
      <x:c r="N889" s="8" t="n">
        <x:v>0</x:v>
      </x:c>
      <x:c r="O889" s="8" t="n">
        <x:v>1</x:v>
      </x:c>
      <x:c r="P889" s="8" t="n">
        <x:v>22.87</x:v>
      </x:c>
      <x:c r="Q889" s="9" t="n">
        <x:v>3842.1600000000003</x:v>
      </x:c>
      <x:c r="R889" s="1" t="str">
        <x:v>Classified</x:v>
      </x:c>
      <x:c r="S889" s="1" t="str">
        <x:v>FilmInventory Data.csv</x:v>
      </x:c>
    </x:row>
    <x:row r="890" ht="21" customHeight="1">
      <x:c r="A890" s="1" t="str">
        <x:v>FILM</x:v>
      </x:c>
      <x:c r="B890" s="1" t="str">
        <x:v>30</x:v>
      </x:c>
      <x:c r="C890" s="1" t="str">
        <x:v>SG25500C1</x:v>
      </x:c>
      <x:c r="D890" s="1" t="str">
        <x:v>**PAY ACH** POLYPLEX USA LLC</x:v>
      </x:c>
      <x:c r="E890" s="7" t="n">
        <x:v>46304</x:v>
      </x:c>
      <x:c r="F890" s="8" t="n">
        <x:v>218</x:v>
      </x:c>
      <x:c r="G890" s="8" t="n">
        <x:v>36</x:v>
      </x:c>
      <x:c r="H890" s="8" t="n">
        <x:v>12.3</x:v>
      </x:c>
      <x:c r="I890" s="8" t="n">
        <x:v>14.85</x:v>
      </x:c>
      <x:c r="J890" s="8" t="n">
        <x:v>1</x:v>
      </x:c>
      <x:c r="K890" s="8" t="n">
        <x:v>1</x:v>
      </x:c>
      <x:c r="L890" s="8" t="n">
        <x:v>218</x:v>
      </x:c>
      <x:c r="M890" s="8" t="n">
        <x:v>0</x:v>
      </x:c>
      <x:c r="N890" s="8" t="n">
        <x:v>0</x:v>
      </x:c>
      <x:c r="O890" s="8" t="n">
        <x:v>1</x:v>
      </x:c>
      <x:c r="P890" s="8" t="n">
        <x:v>12.3</x:v>
      </x:c>
      <x:c r="Q890" s="9" t="n">
        <x:v>2681.4</x:v>
      </x:c>
      <x:c r="R890" s="1" t="str">
        <x:v>Classified</x:v>
      </x:c>
      <x:c r="S890" s="1" t="str">
        <x:v>FilmInventory Data.csv</x:v>
      </x:c>
    </x:row>
    <x:row r="891" ht="21" customHeight="1">
      <x:c r="A891" s="1" t="str">
        <x:v>FILM</x:v>
      </x:c>
      <x:c r="B891" s="1" t="str">
        <x:v>10</x:v>
      </x:c>
      <x:c r="C891" s="1" t="str">
        <x:v>2550017C1</x:v>
      </x:c>
      <x:c r="D891" s="1" t="str">
        <x:v>**PAY ACH** POLYPLEX USA LLC</x:v>
      </x:c>
      <x:c r="E891" s="7" t="n">
        <x:v>46304</x:v>
      </x:c>
      <x:c r="F891" s="8" t="n">
        <x:v>84</x:v>
      </x:c>
      <x:c r="G891" s="8" t="n">
        <x:v>32.5</x:v>
      </x:c>
      <x:c r="H891" s="8" t="n">
        <x:v>19.35</x:v>
      </x:c>
      <x:c r="I891" s="8" t="n">
        <x:v>23.35</x:v>
      </x:c>
      <x:c r="J891" s="8" t="n">
        <x:v>1</x:v>
      </x:c>
      <x:c r="K891" s="8" t="n">
        <x:v>1</x:v>
      </x:c>
      <x:c r="L891" s="8" t="n">
        <x:v>0</x:v>
      </x:c>
      <x:c r="M891" s="8" t="n">
        <x:v>84</x:v>
      </x:c>
      <x:c r="N891" s="8" t="n">
        <x:v>0</x:v>
      </x:c>
      <x:c r="O891" s="8" t="n">
        <x:v>1</x:v>
      </x:c>
      <x:c r="P891" s="8" t="n">
        <x:v>19.35</x:v>
      </x:c>
      <x:c r="Q891" s="9" t="n">
        <x:v>1625.4</x:v>
      </x:c>
      <x:c r="R891" s="1" t="str">
        <x:v>Classified</x:v>
      </x:c>
      <x:c r="S891" s="1" t="str">
        <x:v>FilmInventory Data.csv</x:v>
      </x:c>
    </x:row>
    <x:row r="892" ht="21" customHeight="1">
      <x:c r="A892" s="1" t="str">
        <x:v>FILM</x:v>
      </x:c>
      <x:c r="B892" s="1" t="str">
        <x:v>10</x:v>
      </x:c>
      <x:c r="C892" s="1" t="str">
        <x:v>122005C1</x:v>
      </x:c>
      <x:c r="D892" s="1" t="str">
        <x:v>**PAY ACH** POLYPLEX USA LLC</x:v>
      </x:c>
      <x:c r="E892" s="7" t="n">
        <x:v>46304</x:v>
      </x:c>
      <x:c r="F892" s="8" t="n">
        <x:v>112</x:v>
      </x:c>
      <x:c r="G892" s="8" t="n">
        <x:v>31</x:v>
      </x:c>
      <x:c r="H892" s="8" t="n">
        <x:v>10.17</x:v>
      </x:c>
      <x:c r="I892" s="8" t="n">
        <x:v>12.21</x:v>
      </x:c>
      <x:c r="J892" s="8" t="n">
        <x:v>1</x:v>
      </x:c>
      <x:c r="K892" s="8" t="n">
        <x:v>1</x:v>
      </x:c>
      <x:c r="L892" s="8" t="n">
        <x:v>0</x:v>
      </x:c>
      <x:c r="M892" s="8" t="n">
        <x:v>112</x:v>
      </x:c>
      <x:c r="N892" s="8" t="n">
        <x:v>0</x:v>
      </x:c>
      <x:c r="O892" s="8" t="n">
        <x:v>1</x:v>
      </x:c>
      <x:c r="P892" s="8" t="n">
        <x:v>10.17</x:v>
      </x:c>
      <x:c r="Q892" s="9" t="n">
        <x:v>1139.04</x:v>
      </x:c>
      <x:c r="R892" s="1" t="str">
        <x:v>Classified</x:v>
      </x:c>
      <x:c r="S892" s="1" t="str">
        <x:v>FilmInventory Data.csv</x:v>
      </x:c>
    </x:row>
    <x:row r="893" ht="21" customHeight="1">
      <x:c r="A893" s="1" t="str">
        <x:v>FILM</x:v>
      </x:c>
      <x:c r="B893" s="1" t="str">
        <x:v>30</x:v>
      </x:c>
      <x:c r="C893" s="1" t="str">
        <x:v>1850015C1</x:v>
      </x:c>
      <x:c r="D893" s="1" t="str">
        <x:v>**PAY ACH** POLYPLEX USA LLC</x:v>
      </x:c>
      <x:c r="E893" s="7" t="n">
        <x:v>46304</x:v>
      </x:c>
      <x:c r="F893" s="8" t="n">
        <x:v>42</x:v>
      </x:c>
      <x:c r="G893" s="8" t="n">
        <x:v>30</x:v>
      </x:c>
      <x:c r="H893" s="8" t="n">
        <x:v>9.72</x:v>
      </x:c>
      <x:c r="I893" s="8" t="n">
        <x:v>11.66</x:v>
      </x:c>
      <x:c r="J893" s="8" t="n">
        <x:v>1</x:v>
      </x:c>
      <x:c r="K893" s="8" t="n">
        <x:v>1</x:v>
      </x:c>
      <x:c r="L893" s="8" t="n">
        <x:v>0</x:v>
      </x:c>
      <x:c r="M893" s="8" t="n">
        <x:v>42</x:v>
      </x:c>
      <x:c r="N893" s="8" t="n">
        <x:v>0</x:v>
      </x:c>
      <x:c r="O893" s="8" t="n">
        <x:v>1</x:v>
      </x:c>
      <x:c r="P893" s="8" t="n">
        <x:v>9.72</x:v>
      </x:c>
      <x:c r="Q893" s="9" t="n">
        <x:v>408.24</x:v>
      </x:c>
      <x:c r="R893" s="1" t="str">
        <x:v>Classified</x:v>
      </x:c>
      <x:c r="S893" s="1" t="str">
        <x:v>FilmInventory Data.csv</x:v>
      </x:c>
    </x:row>
    <x:row r="894" ht="21" customHeight="1">
      <x:c r="A894" s="1" t="str">
        <x:v>FILM</x:v>
      </x:c>
      <x:c r="B894" s="1" t="str">
        <x:v>30</x:v>
      </x:c>
      <x:c r="C894" s="1" t="str">
        <x:v>252005C1</x:v>
      </x:c>
      <x:c r="D894" s="1" t="str">
        <x:v>**PAY ACH** POLYPLEX USA LLC</x:v>
      </x:c>
      <x:c r="E894" s="7" t="n">
        <x:v>46304</x:v>
      </x:c>
      <x:c r="F894" s="8" t="n">
        <x:v>142</x:v>
      </x:c>
      <x:c r="G894" s="8" t="n">
        <x:v>30</x:v>
      </x:c>
      <x:c r="H894" s="8" t="n">
        <x:v>21.18</x:v>
      </x:c>
      <x:c r="I894" s="8" t="n">
        <x:v>25.44</x:v>
      </x:c>
      <x:c r="J894" s="8" t="n">
        <x:v>1</x:v>
      </x:c>
      <x:c r="K894" s="8" t="n">
        <x:v>1</x:v>
      </x:c>
      <x:c r="L894" s="8" t="n">
        <x:v>70</x:v>
      </x:c>
      <x:c r="M894" s="8" t="n">
        <x:v>72</x:v>
      </x:c>
      <x:c r="N894" s="8" t="n">
        <x:v>0</x:v>
      </x:c>
      <x:c r="O894" s="8" t="n">
        <x:v>1</x:v>
      </x:c>
      <x:c r="P894" s="8" t="n">
        <x:v>21.18</x:v>
      </x:c>
      <x:c r="Q894" s="9" t="n">
        <x:v>3049.92</x:v>
      </x:c>
      <x:c r="R894" s="1" t="str">
        <x:v>Classified</x:v>
      </x:c>
      <x:c r="S894" s="1" t="str">
        <x:v>FilmInventory Data.csv</x:v>
      </x:c>
    </x:row>
    <x:row r="895" ht="21" customHeight="1">
      <x:c r="A895" s="1" t="str">
        <x:v>FILM</x:v>
      </x:c>
      <x:c r="B895" s="1" t="str">
        <x:v>10</x:v>
      </x:c>
      <x:c r="C895" s="1" t="str">
        <x:v>HLA123G</x:v>
      </x:c>
      <x:c r="D895" s="1" t="str">
        <x:v>MARTIN YALE INDUSTRIES</x:v>
      </x:c>
      <x:c r="E895" s="7" t="n">
        <x:v>46304</x:v>
      </x:c>
      <x:c r="F895" s="8" t="n">
        <x:v>134</x:v>
      </x:c>
      <x:c r="G895" s="8" t="n">
        <x:v>29.33</x:v>
      </x:c>
      <x:c r="H895" s="8" t="n">
        <x:v>65.98</x:v>
      </x:c>
      <x:c r="I895" s="8" t="n">
        <x:v>65.98</x:v>
      </x:c>
      <x:c r="J895" s="8" t="n">
        <x:v>1</x:v>
      </x:c>
      <x:c r="K895" s="8" t="n">
        <x:v>1</x:v>
      </x:c>
      <x:c r="L895" s="8" t="n">
        <x:v>0</x:v>
      </x:c>
      <x:c r="M895" s="8" t="n">
        <x:v>0</x:v>
      </x:c>
      <x:c r="N895" s="8" t="n">
        <x:v>134</x:v>
      </x:c>
      <x:c r="O895" s="8" t="n">
        <x:v>0</x:v>
      </x:c>
      <x:c r="P895" s="8"/>
      <x:c r="Q895" s="9" t="n">
        <x:v>8841.32</x:v>
      </x:c>
      <x:c r="R895" s="1" t="str">
        <x:v>Review receipt reconciliation or original PO baseline</x:v>
      </x:c>
      <x:c r="S895" s="1" t="str">
        <x:v>FilmInventory Data.csv</x:v>
      </x:c>
    </x:row>
    <x:row r="896" ht="21" customHeight="1">
      <x:c r="A896" s="1" t="str">
        <x:v>FILM</x:v>
      </x:c>
      <x:c r="B896" s="1" t="str">
        <x:v>60</x:v>
      </x:c>
      <x:c r="C896" s="1" t="str">
        <x:v>PR272503C1</x:v>
      </x:c>
      <x:c r="D896" s="1" t="str">
        <x:v>**PAY ACH** POLYPLEX USA LLC</x:v>
      </x:c>
      <x:c r="E896" s="7" t="n">
        <x:v>46304</x:v>
      </x:c>
      <x:c r="F896" s="8" t="n">
        <x:v>878</x:v>
      </x:c>
      <x:c r="G896" s="8" t="n">
        <x:v>26</x:v>
      </x:c>
      <x:c r="H896" s="8" t="n">
        <x:v>18.23</x:v>
      </x:c>
      <x:c r="I896" s="8" t="n">
        <x:v>21.87</x:v>
      </x:c>
      <x:c r="J896" s="8" t="n">
        <x:v>1</x:v>
      </x:c>
      <x:c r="K896" s="8" t="n">
        <x:v>1</x:v>
      </x:c>
      <x:c r="L896" s="8" t="n">
        <x:v>878</x:v>
      </x:c>
      <x:c r="M896" s="8" t="n">
        <x:v>0</x:v>
      </x:c>
      <x:c r="N896" s="8" t="n">
        <x:v>0</x:v>
      </x:c>
      <x:c r="O896" s="8" t="n">
        <x:v>1</x:v>
      </x:c>
      <x:c r="P896" s="8" t="n">
        <x:v>18.23</x:v>
      </x:c>
      <x:c r="Q896" s="9" t="n">
        <x:v>16005.94</x:v>
      </x:c>
      <x:c r="R896" s="1" t="str">
        <x:v>Classified</x:v>
      </x:c>
      <x:c r="S896" s="1" t="str">
        <x:v>FilmInventory Data.csv</x:v>
      </x:c>
    </x:row>
    <x:row r="897" ht="21" customHeight="1">
      <x:c r="A897" s="1" t="str">
        <x:v>FILM</x:v>
      </x:c>
      <x:c r="B897" s="1" t="str">
        <x:v>60</x:v>
      </x:c>
      <x:c r="C897" s="1" t="str">
        <x:v>2750017C1</x:v>
      </x:c>
      <x:c r="D897" s="1" t="str">
        <x:v>**PAY ACH** POLYPLEX USA LLC</x:v>
      </x:c>
      <x:c r="E897" s="7" t="n">
        <x:v>46304</x:v>
      </x:c>
      <x:c r="F897" s="8" t="n">
        <x:v>297</x:v>
      </x:c>
      <x:c r="G897" s="8" t="n">
        <x:v>25.33</x:v>
      </x:c>
      <x:c r="H897" s="8" t="n">
        <x:v>20.9</x:v>
      </x:c>
      <x:c r="I897" s="8" t="n">
        <x:v>25.11</x:v>
      </x:c>
      <x:c r="J897" s="8" t="n">
        <x:v>1</x:v>
      </x:c>
      <x:c r="K897" s="8" t="n">
        <x:v>1</x:v>
      </x:c>
      <x:c r="L897" s="8" t="n">
        <x:v>117</x:v>
      </x:c>
      <x:c r="M897" s="8" t="n">
        <x:v>180</x:v>
      </x:c>
      <x:c r="N897" s="8" t="n">
        <x:v>0</x:v>
      </x:c>
      <x:c r="O897" s="8" t="n">
        <x:v>1</x:v>
      </x:c>
      <x:c r="P897" s="8" t="n">
        <x:v>20.9</x:v>
      </x:c>
      <x:c r="Q897" s="9" t="n">
        <x:v>6207.299999999999</x:v>
      </x:c>
      <x:c r="R897" s="1" t="str">
        <x:v>Classified</x:v>
      </x:c>
      <x:c r="S897" s="1" t="str">
        <x:v>FilmInventory Data.csv</x:v>
      </x:c>
    </x:row>
    <x:row r="898" ht="21" customHeight="1">
      <x:c r="A898" s="1" t="str">
        <x:v>FILM</x:v>
      </x:c>
      <x:c r="B898" s="1" t="str">
        <x:v>60</x:v>
      </x:c>
      <x:c r="C898" s="1" t="str">
        <x:v>182005C1</x:v>
      </x:c>
      <x:c r="D898" s="1" t="str">
        <x:v>**PAY ACH** POLYPLEX USA LLC</x:v>
      </x:c>
      <x:c r="E898" s="7" t="n">
        <x:v>46304</x:v>
      </x:c>
      <x:c r="F898" s="8" t="n">
        <x:v>146</x:v>
      </x:c>
      <x:c r="G898" s="8" t="n">
        <x:v>24.92</x:v>
      </x:c>
      <x:c r="H898" s="8" t="n">
        <x:v>15.25</x:v>
      </x:c>
      <x:c r="I898" s="8" t="n">
        <x:v>18.32</x:v>
      </x:c>
      <x:c r="J898" s="8" t="n">
        <x:v>1</x:v>
      </x:c>
      <x:c r="K898" s="8" t="n">
        <x:v>1</x:v>
      </x:c>
      <x:c r="L898" s="8" t="n">
        <x:v>74</x:v>
      </x:c>
      <x:c r="M898" s="8" t="n">
        <x:v>72</x:v>
      </x:c>
      <x:c r="N898" s="8" t="n">
        <x:v>0</x:v>
      </x:c>
      <x:c r="O898" s="8" t="n">
        <x:v>1</x:v>
      </x:c>
      <x:c r="P898" s="8" t="n">
        <x:v>15.25</x:v>
      </x:c>
      <x:c r="Q898" s="9" t="n">
        <x:v>2226.5</x:v>
      </x:c>
      <x:c r="R898" s="1" t="str">
        <x:v>Classified</x:v>
      </x:c>
      <x:c r="S898" s="1" t="str">
        <x:v>FilmInventory Data.csv</x:v>
      </x:c>
    </x:row>
    <x:row r="899" ht="21" customHeight="1">
      <x:c r="A899" s="1" t="str">
        <x:v>FILM</x:v>
      </x:c>
      <x:c r="B899" s="1" t="str">
        <x:v>30</x:v>
      </x:c>
      <x:c r="C899" s="1" t="str">
        <x:v>182005C1</x:v>
      </x:c>
      <x:c r="D899" s="1" t="str">
        <x:v>**PAY ACH** POLYPLEX USA LLC</x:v>
      </x:c>
      <x:c r="E899" s="7" t="n">
        <x:v>46304</x:v>
      </x:c>
      <x:c r="F899" s="8" t="n">
        <x:v>72</x:v>
      </x:c>
      <x:c r="G899" s="8" t="n">
        <x:v>24</x:v>
      </x:c>
      <x:c r="H899" s="8" t="n">
        <x:v>15.25</x:v>
      </x:c>
      <x:c r="I899" s="8" t="n">
        <x:v>18.32</x:v>
      </x:c>
      <x:c r="J899" s="8" t="n">
        <x:v>1</x:v>
      </x:c>
      <x:c r="K899" s="8" t="n">
        <x:v>1</x:v>
      </x:c>
      <x:c r="L899" s="8" t="n">
        <x:v>72</x:v>
      </x:c>
      <x:c r="M899" s="8" t="n">
        <x:v>0</x:v>
      </x:c>
      <x:c r="N899" s="8" t="n">
        <x:v>0</x:v>
      </x:c>
      <x:c r="O899" s="8" t="n">
        <x:v>1</x:v>
      </x:c>
      <x:c r="P899" s="8" t="n">
        <x:v>15.25</x:v>
      </x:c>
      <x:c r="Q899" s="9" t="n">
        <x:v>1098</x:v>
      </x:c>
      <x:c r="R899" s="1" t="str">
        <x:v>Classified</x:v>
      </x:c>
      <x:c r="S899" s="1" t="str">
        <x:v>FilmInventory Data.csv</x:v>
      </x:c>
    </x:row>
    <x:row r="900" ht="21" customHeight="1">
      <x:c r="A900" s="1" t="str">
        <x:v>FILM</x:v>
      </x:c>
      <x:c r="B900" s="1" t="str">
        <x:v>60</x:v>
      </x:c>
      <x:c r="C900" s="1" t="str">
        <x:v>PR252503C1</x:v>
      </x:c>
      <x:c r="D900" s="1" t="str">
        <x:v>**PAY ACH** POLYPLEX USA LLC</x:v>
      </x:c>
      <x:c r="E900" s="7" t="n">
        <x:v>46304</x:v>
      </x:c>
      <x:c r="F900" s="8" t="n">
        <x:v>57</x:v>
      </x:c>
      <x:c r="G900" s="8" t="n">
        <x:v>23.33</x:v>
      </x:c>
      <x:c r="H900" s="8" t="n">
        <x:v>16.88</x:v>
      </x:c>
      <x:c r="I900" s="8" t="n">
        <x:v>20.25</x:v>
      </x:c>
      <x:c r="J900" s="8" t="n">
        <x:v>1</x:v>
      </x:c>
      <x:c r="K900" s="8" t="n">
        <x:v>1</x:v>
      </x:c>
      <x:c r="L900" s="8" t="n">
        <x:v>57</x:v>
      </x:c>
      <x:c r="M900" s="8" t="n">
        <x:v>0</x:v>
      </x:c>
      <x:c r="N900" s="8" t="n">
        <x:v>0</x:v>
      </x:c>
      <x:c r="O900" s="8" t="n">
        <x:v>1</x:v>
      </x:c>
      <x:c r="P900" s="8" t="n">
        <x:v>16.88</x:v>
      </x:c>
      <x:c r="Q900" s="9" t="n">
        <x:v>962.16</x:v>
      </x:c>
      <x:c r="R900" s="1" t="str">
        <x:v>Classified</x:v>
      </x:c>
      <x:c r="S900" s="1" t="str">
        <x:v>FilmInventory Data.csv</x:v>
      </x:c>
    </x:row>
    <x:row r="901" ht="21" customHeight="1">
      <x:c r="A901" s="1" t="str">
        <x:v>FILM</x:v>
      </x:c>
      <x:c r="B901" s="1" t="str">
        <x:v>10</x:v>
      </x:c>
      <x:c r="C901" s="1" t="str">
        <x:v>182503C1</x:v>
      </x:c>
      <x:c r="D901" s="1" t="str">
        <x:v>**PAY ACH** POLYPLEX USA LLC</x:v>
      </x:c>
      <x:c r="E901" s="7" t="n">
        <x:v>46304</x:v>
      </x:c>
      <x:c r="F901" s="8" t="n">
        <x:v>87</x:v>
      </x:c>
      <x:c r="G901" s="8" t="n">
        <x:v>19.75</x:v>
      </x:c>
      <x:c r="H901" s="8" t="n">
        <x:v>10.53</x:v>
      </x:c>
      <x:c r="I901" s="8" t="n">
        <x:v>12.64</x:v>
      </x:c>
      <x:c r="J901" s="8" t="n">
        <x:v>1</x:v>
      </x:c>
      <x:c r="K901" s="8" t="n">
        <x:v>1</x:v>
      </x:c>
      <x:c r="L901" s="8" t="n">
        <x:v>87</x:v>
      </x:c>
      <x:c r="M901" s="8" t="n">
        <x:v>0</x:v>
      </x:c>
      <x:c r="N901" s="8" t="n">
        <x:v>0</x:v>
      </x:c>
      <x:c r="O901" s="8" t="n">
        <x:v>1</x:v>
      </x:c>
      <x:c r="P901" s="8" t="n">
        <x:v>10.53</x:v>
      </x:c>
      <x:c r="Q901" s="9" t="n">
        <x:v>916.1099999999999</x:v>
      </x:c>
      <x:c r="R901" s="1" t="str">
        <x:v>Classified</x:v>
      </x:c>
      <x:c r="S901" s="1" t="str">
        <x:v>FilmInventory Data.csv</x:v>
      </x:c>
    </x:row>
    <x:row r="902" ht="21" customHeight="1">
      <x:c r="A902" s="1" t="str">
        <x:v>FILM</x:v>
      </x:c>
      <x:c r="B902" s="1" t="str">
        <x:v>10</x:v>
      </x:c>
      <x:c r="C902" s="1" t="str">
        <x:v>382005C3</x:v>
      </x:c>
      <x:c r="D902" s="1" t="str">
        <x:v>**PAY ACH** POLYPLEX USA LLC</x:v>
      </x:c>
      <x:c r="E902" s="7" t="n">
        <x:v>46304</x:v>
      </x:c>
      <x:c r="F902" s="8" t="n">
        <x:v>58</x:v>
      </x:c>
      <x:c r="G902" s="8" t="n">
        <x:v>17.92</x:v>
      </x:c>
      <x:c r="H902" s="8" t="n">
        <x:v>32.19</x:v>
      </x:c>
      <x:c r="I902" s="8" t="n">
        <x:v>38.67</x:v>
      </x:c>
      <x:c r="J902" s="8" t="n">
        <x:v>1</x:v>
      </x:c>
      <x:c r="K902" s="8" t="n">
        <x:v>1</x:v>
      </x:c>
      <x:c r="L902" s="8" t="n">
        <x:v>8</x:v>
      </x:c>
      <x:c r="M902" s="8" t="n">
        <x:v>50</x:v>
      </x:c>
      <x:c r="N902" s="8" t="n">
        <x:v>0</x:v>
      </x:c>
      <x:c r="O902" s="8" t="n">
        <x:v>1</x:v>
      </x:c>
      <x:c r="P902" s="8" t="n">
        <x:v>32.19</x:v>
      </x:c>
      <x:c r="Q902" s="9" t="n">
        <x:v>1867.02</x:v>
      </x:c>
      <x:c r="R902" s="1" t="str">
        <x:v>Classified</x:v>
      </x:c>
      <x:c r="S902" s="1" t="str">
        <x:v>FilmInventory Data.csv</x:v>
      </x:c>
    </x:row>
    <x:row r="903" ht="21" customHeight="1">
      <x:c r="A903" s="1" t="str">
        <x:v>FILM</x:v>
      </x:c>
      <x:c r="B903" s="1" t="str">
        <x:v>30</x:v>
      </x:c>
      <x:c r="C903" s="1" t="str">
        <x:v>2750017C1</x:v>
      </x:c>
      <x:c r="D903" s="1" t="str">
        <x:v>**PAY ACH** POLYPLEX USA LLC</x:v>
      </x:c>
      <x:c r="E903" s="7" t="n">
        <x:v>46304</x:v>
      </x:c>
      <x:c r="F903" s="8" t="n">
        <x:v>10</x:v>
      </x:c>
      <x:c r="G903" s="8" t="n">
        <x:v>17.17</x:v>
      </x:c>
      <x:c r="H903" s="8" t="n">
        <x:v>20.9</x:v>
      </x:c>
      <x:c r="I903" s="8" t="n">
        <x:v>25.11</x:v>
      </x:c>
      <x:c r="J903" s="8" t="n">
        <x:v>1</x:v>
      </x:c>
      <x:c r="K903" s="8" t="n">
        <x:v>1</x:v>
      </x:c>
      <x:c r="L903" s="8" t="n">
        <x:v>10</x:v>
      </x:c>
      <x:c r="M903" s="8" t="n">
        <x:v>0</x:v>
      </x:c>
      <x:c r="N903" s="8" t="n">
        <x:v>0</x:v>
      </x:c>
      <x:c r="O903" s="8" t="n">
        <x:v>1</x:v>
      </x:c>
      <x:c r="P903" s="8" t="n">
        <x:v>20.9</x:v>
      </x:c>
      <x:c r="Q903" s="9" t="n">
        <x:v>209</x:v>
      </x:c>
      <x:c r="R903" s="1" t="str">
        <x:v>Classified</x:v>
      </x:c>
      <x:c r="S903" s="1" t="str">
        <x:v>FilmInventory Data.csv</x:v>
      </x:c>
    </x:row>
    <x:row r="904" ht="21" customHeight="1">
      <x:c r="A904" s="1" t="str">
        <x:v>FILM</x:v>
      </x:c>
      <x:c r="B904" s="1" t="str">
        <x:v>60</x:v>
      </x:c>
      <x:c r="C904" s="1" t="str">
        <x:v>182503C1</x:v>
      </x:c>
      <x:c r="D904" s="1" t="str">
        <x:v>**PAY ACH** POLYPLEX USA LLC</x:v>
      </x:c>
      <x:c r="E904" s="7" t="n">
        <x:v>46304</x:v>
      </x:c>
      <x:c r="F904" s="8" t="n">
        <x:v>186</x:v>
      </x:c>
      <x:c r="G904" s="8" t="n">
        <x:v>16.33</x:v>
      </x:c>
      <x:c r="H904" s="8" t="n">
        <x:v>10.53</x:v>
      </x:c>
      <x:c r="I904" s="8" t="n">
        <x:v>12.64</x:v>
      </x:c>
      <x:c r="J904" s="8" t="n">
        <x:v>1</x:v>
      </x:c>
      <x:c r="K904" s="8" t="n">
        <x:v>1</x:v>
      </x:c>
      <x:c r="L904" s="8" t="n">
        <x:v>186</x:v>
      </x:c>
      <x:c r="M904" s="8" t="n">
        <x:v>0</x:v>
      </x:c>
      <x:c r="N904" s="8" t="n">
        <x:v>0</x:v>
      </x:c>
      <x:c r="O904" s="8" t="n">
        <x:v>1</x:v>
      </x:c>
      <x:c r="P904" s="8" t="n">
        <x:v>10.53</x:v>
      </x:c>
      <x:c r="Q904" s="9" t="n">
        <x:v>1958.58</x:v>
      </x:c>
      <x:c r="R904" s="1" t="str">
        <x:v>Classified</x:v>
      </x:c>
      <x:c r="S904" s="1" t="str">
        <x:v>FilmInventory Data.csv</x:v>
      </x:c>
    </x:row>
    <x:row r="905" ht="21" customHeight="1">
      <x:c r="A905" s="1" t="str">
        <x:v>FILM</x:v>
      </x:c>
      <x:c r="B905" s="1" t="str">
        <x:v>10</x:v>
      </x:c>
      <x:c r="C905" s="1" t="str">
        <x:v>1210010C1</x:v>
      </x:c>
      <x:c r="D905" s="1" t="str">
        <x:v>**PAY ACH** POLYPLEX USA LLC</x:v>
      </x:c>
      <x:c r="E905" s="7" t="n">
        <x:v>46304</x:v>
      </x:c>
      <x:c r="F905" s="8" t="n">
        <x:v>103</x:v>
      </x:c>
      <x:c r="G905" s="8" t="n">
        <x:v>15.17</x:v>
      </x:c>
      <x:c r="H905" s="8" t="n">
        <x:v>11.38</x:v>
      </x:c>
      <x:c r="I905" s="8" t="n">
        <x:v>13.66</x:v>
      </x:c>
      <x:c r="J905" s="8" t="n">
        <x:v>1</x:v>
      </x:c>
      <x:c r="K905" s="8" t="n">
        <x:v>1</x:v>
      </x:c>
      <x:c r="L905" s="8" t="n">
        <x:v>0</x:v>
      </x:c>
      <x:c r="M905" s="8" t="n">
        <x:v>103</x:v>
      </x:c>
      <x:c r="N905" s="8" t="n">
        <x:v>0</x:v>
      </x:c>
      <x:c r="O905" s="8" t="n">
        <x:v>1</x:v>
      </x:c>
      <x:c r="P905" s="8" t="n">
        <x:v>11.38</x:v>
      </x:c>
      <x:c r="Q905" s="9" t="n">
        <x:v>1172.14</x:v>
      </x:c>
      <x:c r="R905" s="1" t="str">
        <x:v>Classified</x:v>
      </x:c>
      <x:c r="S905" s="1" t="str">
        <x:v>FilmInventory Data.csv</x:v>
      </x:c>
    </x:row>
    <x:row r="906" ht="21" customHeight="1">
      <x:c r="A906" s="1" t="str">
        <x:v>FILM</x:v>
      </x:c>
      <x:c r="B906" s="1" t="str">
        <x:v>30</x:v>
      </x:c>
      <x:c r="C906" s="1" t="str">
        <x:v>ST252503M1</x:v>
      </x:c>
      <x:c r="D906" s="1" t="str">
        <x:v>**PAY ACH** POLYPLEX USA LLC</x:v>
      </x:c>
      <x:c r="E906" s="7" t="n">
        <x:v>46304</x:v>
      </x:c>
      <x:c r="F906" s="8" t="n">
        <x:v>158</x:v>
      </x:c>
      <x:c r="G906" s="8" t="n">
        <x:v>14.67</x:v>
      </x:c>
      <x:c r="H906" s="8" t="n">
        <x:v>40.88</x:v>
      </x:c>
      <x:c r="I906" s="8" t="n">
        <x:v>49.05</x:v>
      </x:c>
      <x:c r="J906" s="8" t="n">
        <x:v>1</x:v>
      </x:c>
      <x:c r="K906" s="8" t="n">
        <x:v>1</x:v>
      </x:c>
      <x:c r="L906" s="8" t="n">
        <x:v>158</x:v>
      </x:c>
      <x:c r="M906" s="8" t="n">
        <x:v>0</x:v>
      </x:c>
      <x:c r="N906" s="8" t="n">
        <x:v>0</x:v>
      </x:c>
      <x:c r="O906" s="8" t="n">
        <x:v>1</x:v>
      </x:c>
      <x:c r="P906" s="8" t="n">
        <x:v>40.88</x:v>
      </x:c>
      <x:c r="Q906" s="9" t="n">
        <x:v>6459.04</x:v>
      </x:c>
      <x:c r="R906" s="1" t="str">
        <x:v>Classified</x:v>
      </x:c>
      <x:c r="S906" s="1" t="str">
        <x:v>FilmInventory Data.csv</x:v>
      </x:c>
    </x:row>
    <x:row r="907" ht="21" customHeight="1">
      <x:c r="A907" s="1" t="str">
        <x:v>FILM</x:v>
      </x:c>
      <x:c r="B907" s="1" t="str">
        <x:v>10</x:v>
      </x:c>
      <x:c r="C907" s="1" t="str">
        <x:v>1850015C1</x:v>
      </x:c>
      <x:c r="D907" s="1" t="str">
        <x:v>**PAY ACH** POLYPLEX USA LLC</x:v>
      </x:c>
      <x:c r="E907" s="7" t="n">
        <x:v>46304</x:v>
      </x:c>
      <x:c r="F907" s="8" t="n">
        <x:v>307</x:v>
      </x:c>
      <x:c r="G907" s="8" t="n">
        <x:v>14.5</x:v>
      </x:c>
      <x:c r="H907" s="8" t="n">
        <x:v>9.72</x:v>
      </x:c>
      <x:c r="I907" s="8" t="n">
        <x:v>11.66</x:v>
      </x:c>
      <x:c r="J907" s="8" t="n">
        <x:v>1</x:v>
      </x:c>
      <x:c r="K907" s="8" t="n">
        <x:v>1</x:v>
      </x:c>
      <x:c r="L907" s="8" t="n">
        <x:v>187</x:v>
      </x:c>
      <x:c r="M907" s="8" t="n">
        <x:v>120</x:v>
      </x:c>
      <x:c r="N907" s="8" t="n">
        <x:v>0</x:v>
      </x:c>
      <x:c r="O907" s="8" t="n">
        <x:v>1</x:v>
      </x:c>
      <x:c r="P907" s="8" t="n">
        <x:v>9.72</x:v>
      </x:c>
      <x:c r="Q907" s="9" t="n">
        <x:v>2984.0400000000004</x:v>
      </x:c>
      <x:c r="R907" s="1" t="str">
        <x:v>Classified</x:v>
      </x:c>
      <x:c r="S907" s="1" t="str">
        <x:v>FilmInventory Data.csv</x:v>
      </x:c>
    </x:row>
    <x:row r="908" ht="21" customHeight="1">
      <x:c r="A908" s="1" t="str">
        <x:v>FILM</x:v>
      </x:c>
      <x:c r="B908" s="1" t="str">
        <x:v>60</x:v>
      </x:c>
      <x:c r="C908" s="1" t="str">
        <x:v>122005C1</x:v>
      </x:c>
      <x:c r="D908" s="1" t="str">
        <x:v>**PAY ACH** POLYPLEX USA LLC</x:v>
      </x:c>
      <x:c r="E908" s="7" t="n">
        <x:v>46304</x:v>
      </x:c>
      <x:c r="F908" s="8" t="n">
        <x:v>53</x:v>
      </x:c>
      <x:c r="G908" s="8" t="n">
        <x:v>14.17</x:v>
      </x:c>
      <x:c r="H908" s="8" t="n">
        <x:v>10.17</x:v>
      </x:c>
      <x:c r="I908" s="8" t="n">
        <x:v>12.21</x:v>
      </x:c>
      <x:c r="J908" s="8" t="n">
        <x:v>1</x:v>
      </x:c>
      <x:c r="K908" s="8" t="n">
        <x:v>1</x:v>
      </x:c>
      <x:c r="L908" s="8" t="n">
        <x:v>53</x:v>
      </x:c>
      <x:c r="M908" s="8" t="n">
        <x:v>0</x:v>
      </x:c>
      <x:c r="N908" s="8" t="n">
        <x:v>0</x:v>
      </x:c>
      <x:c r="O908" s="8" t="n">
        <x:v>1</x:v>
      </x:c>
      <x:c r="P908" s="8" t="n">
        <x:v>10.17</x:v>
      </x:c>
      <x:c r="Q908" s="9" t="n">
        <x:v>539.01</x:v>
      </x:c>
      <x:c r="R908" s="1" t="str">
        <x:v>Classified</x:v>
      </x:c>
      <x:c r="S908" s="1" t="str">
        <x:v>FilmInventory Data.csv</x:v>
      </x:c>
    </x:row>
    <x:row r="909" ht="21" customHeight="1">
      <x:c r="A909" s="1" t="str">
        <x:v>FILM</x:v>
      </x:c>
      <x:c r="B909" s="1" t="str">
        <x:v>10</x:v>
      </x:c>
      <x:c r="C909" s="1" t="str">
        <x:v>PR122503C1</x:v>
      </x:c>
      <x:c r="D909" s="1" t="str">
        <x:v>**PAY ACH** POLYPLEX USA LLC</x:v>
      </x:c>
      <x:c r="E909" s="7" t="n">
        <x:v>46304</x:v>
      </x:c>
      <x:c r="F909" s="8" t="n">
        <x:v>96</x:v>
      </x:c>
      <x:c r="G909" s="8" t="n">
        <x:v>14</x:v>
      </x:c>
      <x:c r="H909" s="8" t="n">
        <x:v>8.1</x:v>
      </x:c>
      <x:c r="I909" s="8" t="n">
        <x:v>9.72</x:v>
      </x:c>
      <x:c r="J909" s="8" t="n">
        <x:v>1</x:v>
      </x:c>
      <x:c r="K909" s="8" t="n">
        <x:v>1</x:v>
      </x:c>
      <x:c r="L909" s="8" t="n">
        <x:v>96</x:v>
      </x:c>
      <x:c r="M909" s="8" t="n">
        <x:v>0</x:v>
      </x:c>
      <x:c r="N909" s="8" t="n">
        <x:v>0</x:v>
      </x:c>
      <x:c r="O909" s="8" t="n">
        <x:v>1</x:v>
      </x:c>
      <x:c r="P909" s="8" t="n">
        <x:v>8.1</x:v>
      </x:c>
      <x:c r="Q909" s="9" t="n">
        <x:v>777.5999999999999</x:v>
      </x:c>
      <x:c r="R909" s="1" t="str">
        <x:v>Classified</x:v>
      </x:c>
      <x:c r="S909" s="1" t="str">
        <x:v>FilmInventory Data.csv</x:v>
      </x:c>
    </x:row>
    <x:row r="910" ht="21" customHeight="1">
      <x:c r="A910" s="1" t="str">
        <x:v>FILM</x:v>
      </x:c>
      <x:c r="B910" s="1" t="str">
        <x:v>10</x:v>
      </x:c>
      <x:c r="C910" s="1" t="str">
        <x:v>2510010C1</x:v>
      </x:c>
      <x:c r="D910" s="1" t="str">
        <x:v>**PAY ACH** POLYPLEX USA LLC</x:v>
      </x:c>
      <x:c r="E910" s="7" t="n">
        <x:v>46304</x:v>
      </x:c>
      <x:c r="F910" s="8" t="n">
        <x:v>1</x:v>
      </x:c>
      <x:c r="G910" s="8" t="n">
        <x:v>13.33</x:v>
      </x:c>
      <x:c r="H910" s="8" t="n">
        <x:v>23.7</x:v>
      </x:c>
      <x:c r="I910" s="8" t="n">
        <x:v>28.44</x:v>
      </x:c>
      <x:c r="J910" s="8" t="n">
        <x:v>1</x:v>
      </x:c>
      <x:c r="K910" s="8" t="n">
        <x:v>1</x:v>
      </x:c>
      <x:c r="L910" s="8" t="n">
        <x:v>1</x:v>
      </x:c>
      <x:c r="M910" s="8" t="n">
        <x:v>0</x:v>
      </x:c>
      <x:c r="N910" s="8" t="n">
        <x:v>0</x:v>
      </x:c>
      <x:c r="O910" s="8" t="n">
        <x:v>1</x:v>
      </x:c>
      <x:c r="P910" s="8" t="n">
        <x:v>23.7</x:v>
      </x:c>
      <x:c r="Q910" s="9" t="n">
        <x:v>23.7</x:v>
      </x:c>
      <x:c r="R910" s="1" t="str">
        <x:v>Classified</x:v>
      </x:c>
      <x:c r="S910" s="1" t="str">
        <x:v>FilmInventory Data.csv</x:v>
      </x:c>
    </x:row>
    <x:row r="911" ht="21" customHeight="1">
      <x:c r="A911" s="1" t="str">
        <x:v>FILM</x:v>
      </x:c>
      <x:c r="B911" s="1" t="str">
        <x:v>30</x:v>
      </x:c>
      <x:c r="C911" s="1" t="str">
        <x:v>382005C3</x:v>
      </x:c>
      <x:c r="D911" s="1" t="str">
        <x:v>**PAY ACH** POLYPLEX USA LLC</x:v>
      </x:c>
      <x:c r="E911" s="7" t="n">
        <x:v>46304</x:v>
      </x:c>
      <x:c r="F911" s="8" t="n">
        <x:v>56</x:v>
      </x:c>
      <x:c r="G911" s="8" t="n">
        <x:v>12.33</x:v>
      </x:c>
      <x:c r="H911" s="8" t="n">
        <x:v>32.19</x:v>
      </x:c>
      <x:c r="I911" s="8" t="n">
        <x:v>38.67</x:v>
      </x:c>
      <x:c r="J911" s="8" t="n">
        <x:v>1</x:v>
      </x:c>
      <x:c r="K911" s="8" t="n">
        <x:v>1</x:v>
      </x:c>
      <x:c r="L911" s="8" t="n">
        <x:v>6</x:v>
      </x:c>
      <x:c r="M911" s="8" t="n">
        <x:v>50</x:v>
      </x:c>
      <x:c r="N911" s="8" t="n">
        <x:v>0</x:v>
      </x:c>
      <x:c r="O911" s="8" t="n">
        <x:v>1</x:v>
      </x:c>
      <x:c r="P911" s="8" t="n">
        <x:v>32.19</x:v>
      </x:c>
      <x:c r="Q911" s="9" t="n">
        <x:v>1834.83</x:v>
      </x:c>
      <x:c r="R911" s="1" t="str">
        <x:v>Classified</x:v>
      </x:c>
      <x:c r="S911" s="1" t="str">
        <x:v>FilmInventory Data.csv</x:v>
      </x:c>
    </x:row>
    <x:row r="912" ht="21" customHeight="1">
      <x:c r="A912" s="1" t="str">
        <x:v>FILM</x:v>
      </x:c>
      <x:c r="B912" s="1" t="str">
        <x:v>30</x:v>
      </x:c>
      <x:c r="C912" s="1" t="str">
        <x:v>2550015C2</x:v>
      </x:c>
      <x:c r="D912" s="1" t="str">
        <x:v>**PAY ACH** POLYPLEX USA LLC</x:v>
      </x:c>
      <x:c r="E912" s="7" t="n">
        <x:v>46304</x:v>
      </x:c>
      <x:c r="F912" s="8" t="n">
        <x:v>8</x:v>
      </x:c>
      <x:c r="G912" s="8" t="n">
        <x:v>12.17</x:v>
      </x:c>
      <x:c r="H912" s="8" t="n">
        <x:v>13.5</x:v>
      </x:c>
      <x:c r="I912" s="8" t="n">
        <x:v>16.2</x:v>
      </x:c>
      <x:c r="J912" s="8" t="n">
        <x:v>1</x:v>
      </x:c>
      <x:c r="K912" s="8" t="n">
        <x:v>1</x:v>
      </x:c>
      <x:c r="L912" s="8" t="n">
        <x:v>8</x:v>
      </x:c>
      <x:c r="M912" s="8" t="n">
        <x:v>0</x:v>
      </x:c>
      <x:c r="N912" s="8" t="n">
        <x:v>0</x:v>
      </x:c>
      <x:c r="O912" s="8" t="n">
        <x:v>1</x:v>
      </x:c>
      <x:c r="P912" s="8" t="n">
        <x:v>13.5</x:v>
      </x:c>
      <x:c r="Q912" s="9" t="n">
        <x:v>108</x:v>
      </x:c>
      <x:c r="R912" s="1" t="str">
        <x:v>Classified</x:v>
      </x:c>
      <x:c r="S912" s="1" t="str">
        <x:v>FilmInventory Data.csv</x:v>
      </x:c>
    </x:row>
    <x:row r="913" ht="21" customHeight="1">
      <x:c r="A913" s="1" t="str">
        <x:v>FILM</x:v>
      </x:c>
      <x:c r="B913" s="1" t="str">
        <x:v>10</x:v>
      </x:c>
      <x:c r="C913" s="1" t="str">
        <x:v>2710010C1</x:v>
      </x:c>
      <x:c r="D913" s="1" t="str">
        <x:v>**PAY ACH** POLYPLEX USA LLC</x:v>
      </x:c>
      <x:c r="E913" s="7" t="n">
        <x:v>46304</x:v>
      </x:c>
      <x:c r="F913" s="8" t="n">
        <x:v>88</x:v>
      </x:c>
      <x:c r="G913" s="8" t="n">
        <x:v>12</x:v>
      </x:c>
      <x:c r="H913" s="8" t="n">
        <x:v>25.6</x:v>
      </x:c>
      <x:c r="I913" s="8" t="n">
        <x:v>30.72</x:v>
      </x:c>
      <x:c r="J913" s="8" t="n">
        <x:v>1</x:v>
      </x:c>
      <x:c r="K913" s="8" t="n">
        <x:v>1</x:v>
      </x:c>
      <x:c r="L913" s="8" t="n">
        <x:v>16</x:v>
      </x:c>
      <x:c r="M913" s="8" t="n">
        <x:v>72</x:v>
      </x:c>
      <x:c r="N913" s="8" t="n">
        <x:v>0</x:v>
      </x:c>
      <x:c r="O913" s="8" t="n">
        <x:v>1</x:v>
      </x:c>
      <x:c r="P913" s="8" t="n">
        <x:v>25.6</x:v>
      </x:c>
      <x:c r="Q913" s="9" t="n">
        <x:v>2252.8</x:v>
      </x:c>
      <x:c r="R913" s="1" t="str">
        <x:v>Classified</x:v>
      </x:c>
      <x:c r="S913" s="1" t="str">
        <x:v>FilmInventory Data.csv</x:v>
      </x:c>
    </x:row>
    <x:row r="914" ht="21" customHeight="1">
      <x:c r="A914" s="1" t="str">
        <x:v>FILM</x:v>
      </x:c>
      <x:c r="B914" s="1" t="str">
        <x:v>30</x:v>
      </x:c>
      <x:c r="C914" s="1" t="str">
        <x:v>2550017C1</x:v>
      </x:c>
      <x:c r="D914" s="1" t="str">
        <x:v>**PAY ACH** POLYPLEX USA LLC</x:v>
      </x:c>
      <x:c r="E914" s="7" t="n">
        <x:v>46304</x:v>
      </x:c>
      <x:c r="F914" s="8" t="n">
        <x:v>44</x:v>
      </x:c>
      <x:c r="G914" s="8" t="n">
        <x:v>11.33</x:v>
      </x:c>
      <x:c r="H914" s="8" t="n">
        <x:v>19.35</x:v>
      </x:c>
      <x:c r="I914" s="8" t="n">
        <x:v>23.35</x:v>
      </x:c>
      <x:c r="J914" s="8" t="n">
        <x:v>1</x:v>
      </x:c>
      <x:c r="K914" s="8" t="n">
        <x:v>1</x:v>
      </x:c>
      <x:c r="L914" s="8" t="n">
        <x:v>44</x:v>
      </x:c>
      <x:c r="M914" s="8" t="n">
        <x:v>0</x:v>
      </x:c>
      <x:c r="N914" s="8" t="n">
        <x:v>0</x:v>
      </x:c>
      <x:c r="O914" s="8" t="n">
        <x:v>1</x:v>
      </x:c>
      <x:c r="P914" s="8" t="n">
        <x:v>19.35</x:v>
      </x:c>
      <x:c r="Q914" s="9" t="n">
        <x:v>851.4000000000001</x:v>
      </x:c>
      <x:c r="R914" s="1" t="str">
        <x:v>Classified</x:v>
      </x:c>
      <x:c r="S914" s="1" t="str">
        <x:v>FilmInventory Data.csv</x:v>
      </x:c>
    </x:row>
    <x:row r="915" ht="21" customHeight="1">
      <x:c r="A915" s="1" t="str">
        <x:v>FILM</x:v>
      </x:c>
      <x:c r="B915" s="1" t="str">
        <x:v>60</x:v>
      </x:c>
      <x:c r="C915" s="1" t="str">
        <x:v>2510010C1</x:v>
      </x:c>
      <x:c r="D915" s="1" t="str">
        <x:v>**PAY ACH** POLYPLEX USA LLC</x:v>
      </x:c>
      <x:c r="E915" s="7" t="n">
        <x:v>46304</x:v>
      </x:c>
      <x:c r="F915" s="8" t="n">
        <x:v>55</x:v>
      </x:c>
      <x:c r="G915" s="8" t="n">
        <x:v>11.33</x:v>
      </x:c>
      <x:c r="H915" s="8" t="n">
        <x:v>23.7</x:v>
      </x:c>
      <x:c r="I915" s="8" t="n">
        <x:v>28.44</x:v>
      </x:c>
      <x:c r="J915" s="8" t="n">
        <x:v>1</x:v>
      </x:c>
      <x:c r="K915" s="8" t="n">
        <x:v>1</x:v>
      </x:c>
      <x:c r="L915" s="8" t="n">
        <x:v>0</x:v>
      </x:c>
      <x:c r="M915" s="8" t="n">
        <x:v>55</x:v>
      </x:c>
      <x:c r="N915" s="8" t="n">
        <x:v>0</x:v>
      </x:c>
      <x:c r="O915" s="8" t="n">
        <x:v>1</x:v>
      </x:c>
      <x:c r="P915" s="8" t="n">
        <x:v>23.7</x:v>
      </x:c>
      <x:c r="Q915" s="9" t="n">
        <x:v>1303.5</x:v>
      </x:c>
      <x:c r="R915" s="1" t="str">
        <x:v>Classified</x:v>
      </x:c>
      <x:c r="S915" s="1" t="str">
        <x:v>FilmInventory Data.csv</x:v>
      </x:c>
    </x:row>
    <x:row r="916" ht="21" customHeight="1">
      <x:c r="A916" s="1" t="str">
        <x:v>FILM</x:v>
      </x:c>
      <x:c r="B916" s="1" t="str">
        <x:v>60</x:v>
      </x:c>
      <x:c r="C916" s="1" t="str">
        <x:v>1810010C1</x:v>
      </x:c>
      <x:c r="D916" s="1" t="str">
        <x:v>**PAY ACH** POLYPLEX USA LLC</x:v>
      </x:c>
      <x:c r="E916" s="7" t="n">
        <x:v>46304</x:v>
      </x:c>
      <x:c r="F916" s="8" t="n">
        <x:v>86</x:v>
      </x:c>
      <x:c r="G916" s="8" t="n">
        <x:v>10.83</x:v>
      </x:c>
      <x:c r="H916" s="8" t="n">
        <x:v>17.06</x:v>
      </x:c>
      <x:c r="I916" s="8" t="n">
        <x:v>20.47</x:v>
      </x:c>
      <x:c r="J916" s="8" t="n">
        <x:v>1</x:v>
      </x:c>
      <x:c r="K916" s="8" t="n">
        <x:v>1</x:v>
      </x:c>
      <x:c r="L916" s="8" t="n">
        <x:v>86</x:v>
      </x:c>
      <x:c r="M916" s="8" t="n">
        <x:v>0</x:v>
      </x:c>
      <x:c r="N916" s="8" t="n">
        <x:v>0</x:v>
      </x:c>
      <x:c r="O916" s="8" t="n">
        <x:v>1</x:v>
      </x:c>
      <x:c r="P916" s="8" t="n">
        <x:v>17.06</x:v>
      </x:c>
      <x:c r="Q916" s="9" t="n">
        <x:v>1467.1599999999999</x:v>
      </x:c>
      <x:c r="R916" s="1" t="str">
        <x:v>Classified</x:v>
      </x:c>
      <x:c r="S916" s="1" t="str">
        <x:v>FilmInventory Data.csv</x:v>
      </x:c>
    </x:row>
    <x:row r="917" ht="21" customHeight="1">
      <x:c r="A917" s="1" t="str">
        <x:v>FILM</x:v>
      </x:c>
      <x:c r="B917" s="1" t="str">
        <x:v>10</x:v>
      </x:c>
      <x:c r="C917" s="1" t="str">
        <x:v>1250010C3</x:v>
      </x:c>
      <x:c r="D917" s="1" t="str">
        <x:v>**PAY ACH** POLYPLEX USA LLC</x:v>
      </x:c>
      <x:c r="E917" s="7" t="n">
        <x:v>46304</x:v>
      </x:c>
      <x:c r="F917" s="8" t="n">
        <x:v>54</x:v>
      </x:c>
      <x:c r="G917" s="8" t="n">
        <x:v>10.67</x:v>
      </x:c>
      <x:c r="H917" s="8" t="n">
        <x:v>56.88</x:v>
      </x:c>
      <x:c r="I917" s="8" t="n">
        <x:v>68.26</x:v>
      </x:c>
      <x:c r="J917" s="8" t="n">
        <x:v>1</x:v>
      </x:c>
      <x:c r="K917" s="8" t="n">
        <x:v>1</x:v>
      </x:c>
      <x:c r="L917" s="8" t="n">
        <x:v>0</x:v>
      </x:c>
      <x:c r="M917" s="8" t="n">
        <x:v>54</x:v>
      </x:c>
      <x:c r="N917" s="8" t="n">
        <x:v>0</x:v>
      </x:c>
      <x:c r="O917" s="8" t="n">
        <x:v>1</x:v>
      </x:c>
      <x:c r="P917" s="8" t="n">
        <x:v>56.88</x:v>
      </x:c>
      <x:c r="Q917" s="9" t="n">
        <x:v>3071.52</x:v>
      </x:c>
      <x:c r="R917" s="1" t="str">
        <x:v>Classified</x:v>
      </x:c>
      <x:c r="S917" s="1" t="str">
        <x:v>FilmInventory Data.csv</x:v>
      </x:c>
    </x:row>
    <x:row r="918" ht="21" customHeight="1">
      <x:c r="A918" s="1" t="str">
        <x:v>FILM</x:v>
      </x:c>
      <x:c r="B918" s="1" t="str">
        <x:v>60</x:v>
      </x:c>
      <x:c r="C918" s="1" t="str">
        <x:v>SG25500C1</x:v>
      </x:c>
      <x:c r="D918" s="1" t="str">
        <x:v>**PAY ACH** POLYPLEX USA LLC</x:v>
      </x:c>
      <x:c r="E918" s="7" t="n">
        <x:v>46304</x:v>
      </x:c>
      <x:c r="F918" s="8" t="n">
        <x:v>524</x:v>
      </x:c>
      <x:c r="G918" s="8" t="n">
        <x:v>10.33</x:v>
      </x:c>
      <x:c r="H918" s="8" t="n">
        <x:v>12.3</x:v>
      </x:c>
      <x:c r="I918" s="8" t="n">
        <x:v>14.85</x:v>
      </x:c>
      <x:c r="J918" s="8" t="n">
        <x:v>1</x:v>
      </x:c>
      <x:c r="K918" s="8" t="n">
        <x:v>1</x:v>
      </x:c>
      <x:c r="L918" s="8" t="n">
        <x:v>524</x:v>
      </x:c>
      <x:c r="M918" s="8" t="n">
        <x:v>0</x:v>
      </x:c>
      <x:c r="N918" s="8" t="n">
        <x:v>0</x:v>
      </x:c>
      <x:c r="O918" s="8" t="n">
        <x:v>1</x:v>
      </x:c>
      <x:c r="P918" s="8" t="n">
        <x:v>12.3</x:v>
      </x:c>
      <x:c r="Q918" s="9" t="n">
        <x:v>6445.200000000001</x:v>
      </x:c>
      <x:c r="R918" s="1" t="str">
        <x:v>Classified</x:v>
      </x:c>
      <x:c r="S918" s="1" t="str">
        <x:v>FilmInventory Data.csv</x:v>
      </x:c>
    </x:row>
    <x:row r="919" ht="21" customHeight="1">
      <x:c r="A919" s="1" t="str">
        <x:v>FILM</x:v>
      </x:c>
      <x:c r="B919" s="1" t="str">
        <x:v>60</x:v>
      </x:c>
      <x:c r="C919" s="1" t="str">
        <x:v>2550017C1</x:v>
      </x:c>
      <x:c r="D919" s="1" t="str">
        <x:v>**PAY ACH** POLYPLEX USA LLC</x:v>
      </x:c>
      <x:c r="E919" s="7" t="n">
        <x:v>46304</x:v>
      </x:c>
      <x:c r="F919" s="8" t="n">
        <x:v>172</x:v>
      </x:c>
      <x:c r="G919" s="8" t="n">
        <x:v>9.83</x:v>
      </x:c>
      <x:c r="H919" s="8" t="n">
        <x:v>19.35</x:v>
      </x:c>
      <x:c r="I919" s="8" t="n">
        <x:v>23.35</x:v>
      </x:c>
      <x:c r="J919" s="8" t="n">
        <x:v>1</x:v>
      </x:c>
      <x:c r="K919" s="8" t="n">
        <x:v>1</x:v>
      </x:c>
      <x:c r="L919" s="8" t="n">
        <x:v>172</x:v>
      </x:c>
      <x:c r="M919" s="8" t="n">
        <x:v>0</x:v>
      </x:c>
      <x:c r="N919" s="8" t="n">
        <x:v>0</x:v>
      </x:c>
      <x:c r="O919" s="8" t="n">
        <x:v>1</x:v>
      </x:c>
      <x:c r="P919" s="8" t="n">
        <x:v>19.35</x:v>
      </x:c>
      <x:c r="Q919" s="9" t="n">
        <x:v>3328.2000000000003</x:v>
      </x:c>
      <x:c r="R919" s="1" t="str">
        <x:v>Classified</x:v>
      </x:c>
      <x:c r="S919" s="1" t="str">
        <x:v>FilmInventory Data.csv</x:v>
      </x:c>
    </x:row>
    <x:row r="920" ht="21" customHeight="1">
      <x:c r="A920" s="1" t="str">
        <x:v>FILM</x:v>
      </x:c>
      <x:c r="B920" s="1" t="str">
        <x:v>10</x:v>
      </x:c>
      <x:c r="C920" s="1" t="str">
        <x:v>132005C1</x:v>
      </x:c>
      <x:c r="D920" s="1" t="str">
        <x:v>**PAY ACH** POLYPLEX USA LLC</x:v>
      </x:c>
      <x:c r="E920" s="7" t="n">
        <x:v>46304</x:v>
      </x:c>
      <x:c r="F920" s="8" t="n">
        <x:v>0</x:v>
      </x:c>
      <x:c r="G920" s="8" t="n">
        <x:v>9.67</x:v>
      </x:c>
      <x:c r="H920" s="8" t="n">
        <x:v>7.61</x:v>
      </x:c>
      <x:c r="I920" s="8" t="n">
        <x:v>0</x:v>
      </x:c>
      <x:c r="J920" s="8" t="n">
        <x:v>1</x:v>
      </x:c>
      <x:c r="K920" s="8" t="n">
        <x:v>1</x:v>
      </x:c>
      <x:c r="L920" s="8" t="n">
        <x:v>0</x:v>
      </x:c>
      <x:c r="M920" s="8" t="n">
        <x:v>0</x:v>
      </x:c>
      <x:c r="N920" s="8" t="n">
        <x:v>0</x:v>
      </x:c>
      <x:c r="O920" s="8" t="n">
        <x:v>0</x:v>
      </x:c>
      <x:c r="P920" s="8"/>
      <x:c r="Q920" s="9" t="n">
        <x:v>0</x:v>
      </x:c>
      <x:c r="R920" s="1" t="str">
        <x:v>Review receipt reconciliation or original PO baseline</x:v>
      </x:c>
      <x:c r="S920" s="1" t="str">
        <x:v>FilmInventory Data.csv</x:v>
      </x:c>
    </x:row>
    <x:row r="921" ht="21" customHeight="1">
      <x:c r="A921" s="1" t="str">
        <x:v>FILM</x:v>
      </x:c>
      <x:c r="B921" s="1" t="str">
        <x:v>10</x:v>
      </x:c>
      <x:c r="C921" s="1" t="str">
        <x:v>1810010C1</x:v>
      </x:c>
      <x:c r="D921" s="1" t="str">
        <x:v>**PAY ACH** POLYPLEX USA LLC</x:v>
      </x:c>
      <x:c r="E921" s="7" t="n">
        <x:v>46304</x:v>
      </x:c>
      <x:c r="F921" s="8" t="n">
        <x:v>80</x:v>
      </x:c>
      <x:c r="G921" s="8" t="n">
        <x:v>9.67</x:v>
      </x:c>
      <x:c r="H921" s="8" t="n">
        <x:v>17.06</x:v>
      </x:c>
      <x:c r="I921" s="8" t="n">
        <x:v>20.47</x:v>
      </x:c>
      <x:c r="J921" s="8" t="n">
        <x:v>1</x:v>
      </x:c>
      <x:c r="K921" s="8" t="n">
        <x:v>1</x:v>
      </x:c>
      <x:c r="L921" s="8" t="n">
        <x:v>80</x:v>
      </x:c>
      <x:c r="M921" s="8" t="n">
        <x:v>0</x:v>
      </x:c>
      <x:c r="N921" s="8" t="n">
        <x:v>0</x:v>
      </x:c>
      <x:c r="O921" s="8" t="n">
        <x:v>1</x:v>
      </x:c>
      <x:c r="P921" s="8" t="n">
        <x:v>17.06</x:v>
      </x:c>
      <x:c r="Q921" s="9" t="n">
        <x:v>1364.8</x:v>
      </x:c>
      <x:c r="R921" s="1" t="str">
        <x:v>Classified</x:v>
      </x:c>
      <x:c r="S921" s="1" t="str">
        <x:v>FilmInventory Data.csv</x:v>
      </x:c>
    </x:row>
    <x:row r="922" ht="21" customHeight="1">
      <x:c r="A922" s="1" t="str">
        <x:v>FILM</x:v>
      </x:c>
      <x:c r="B922" s="1" t="str">
        <x:v>10</x:v>
      </x:c>
      <x:c r="C922" s="1" t="str">
        <x:v>ST252503M1</x:v>
      </x:c>
      <x:c r="D922" s="1" t="str">
        <x:v>**PAY ACH** POLYPLEX USA LLC</x:v>
      </x:c>
      <x:c r="E922" s="7" t="n">
        <x:v>46304</x:v>
      </x:c>
      <x:c r="F922" s="8" t="n">
        <x:v>75</x:v>
      </x:c>
      <x:c r="G922" s="8" t="n">
        <x:v>9.67</x:v>
      </x:c>
      <x:c r="H922" s="8" t="n">
        <x:v>40.88</x:v>
      </x:c>
      <x:c r="I922" s="8" t="n">
        <x:v>49.05</x:v>
      </x:c>
      <x:c r="J922" s="8" t="n">
        <x:v>1</x:v>
      </x:c>
      <x:c r="K922" s="8" t="n">
        <x:v>1</x:v>
      </x:c>
      <x:c r="L922" s="8" t="n">
        <x:v>75</x:v>
      </x:c>
      <x:c r="M922" s="8" t="n">
        <x:v>0</x:v>
      </x:c>
      <x:c r="N922" s="8" t="n">
        <x:v>0</x:v>
      </x:c>
      <x:c r="O922" s="8" t="n">
        <x:v>1</x:v>
      </x:c>
      <x:c r="P922" s="8" t="n">
        <x:v>40.88</x:v>
      </x:c>
      <x:c r="Q922" s="9" t="n">
        <x:v>3066</x:v>
      </x:c>
      <x:c r="R922" s="1" t="str">
        <x:v>Classified</x:v>
      </x:c>
      <x:c r="S922" s="1" t="str">
        <x:v>FilmInventory Data.csv</x:v>
      </x:c>
    </x:row>
    <x:row r="923" ht="21" customHeight="1">
      <x:c r="A923" s="1" t="str">
        <x:v>FILM</x:v>
      </x:c>
      <x:c r="B923" s="1" t="str">
        <x:v>10</x:v>
      </x:c>
      <x:c r="C923" s="1" t="str">
        <x:v>182503C2</x:v>
      </x:c>
      <x:c r="D923" s="1" t="str">
        <x:v>**PAY ACH** POLYPLEX USA LLC</x:v>
      </x:c>
      <x:c r="E923" s="7" t="n">
        <x:v>46304</x:v>
      </x:c>
      <x:c r="F923" s="8" t="n">
        <x:v>82</x:v>
      </x:c>
      <x:c r="G923" s="8" t="n">
        <x:v>9.33</x:v>
      </x:c>
      <x:c r="H923" s="8" t="n">
        <x:v>10.53</x:v>
      </x:c>
      <x:c r="I923" s="8" t="n">
        <x:v>12.64</x:v>
      </x:c>
      <x:c r="J923" s="8" t="n">
        <x:v>1</x:v>
      </x:c>
      <x:c r="K923" s="8" t="n">
        <x:v>1</x:v>
      </x:c>
      <x:c r="L923" s="8" t="n">
        <x:v>18</x:v>
      </x:c>
      <x:c r="M923" s="8" t="n">
        <x:v>64</x:v>
      </x:c>
      <x:c r="N923" s="8" t="n">
        <x:v>0</x:v>
      </x:c>
      <x:c r="O923" s="8" t="n">
        <x:v>1</x:v>
      </x:c>
      <x:c r="P923" s="8" t="n">
        <x:v>10.53</x:v>
      </x:c>
      <x:c r="Q923" s="9" t="n">
        <x:v>863.4599999999999</x:v>
      </x:c>
      <x:c r="R923" s="1" t="str">
        <x:v>Classified</x:v>
      </x:c>
      <x:c r="S923" s="1" t="str">
        <x:v>FilmInventory Data.csv</x:v>
      </x:c>
    </x:row>
    <x:row r="924" ht="21" customHeight="1">
      <x:c r="A924" s="1" t="str">
        <x:v>FILM</x:v>
      </x:c>
      <x:c r="B924" s="1" t="str">
        <x:v>10</x:v>
      </x:c>
      <x:c r="C924" s="1" t="str">
        <x:v>ST2550017M1</x:v>
      </x:c>
      <x:c r="D924" s="1" t="str">
        <x:v>**PAY ACH** POLYPLEX USA LLC</x:v>
      </x:c>
      <x:c r="E924" s="7" t="n">
        <x:v>46304</x:v>
      </x:c>
      <x:c r="F924" s="8" t="n">
        <x:v>158</x:v>
      </x:c>
      <x:c r="G924" s="8" t="n">
        <x:v>9</x:v>
      </x:c>
      <x:c r="H924" s="8" t="n">
        <x:v>63</x:v>
      </x:c>
      <x:c r="I924" s="8" t="n">
        <x:v>75.6</x:v>
      </x:c>
      <x:c r="J924" s="8" t="n">
        <x:v>1</x:v>
      </x:c>
      <x:c r="K924" s="8" t="n">
        <x:v>1</x:v>
      </x:c>
      <x:c r="L924" s="8" t="n">
        <x:v>68</x:v>
      </x:c>
      <x:c r="M924" s="8" t="n">
        <x:v>90</x:v>
      </x:c>
      <x:c r="N924" s="8" t="n">
        <x:v>0</x:v>
      </x:c>
      <x:c r="O924" s="8" t="n">
        <x:v>1</x:v>
      </x:c>
      <x:c r="P924" s="8" t="n">
        <x:v>63</x:v>
      </x:c>
      <x:c r="Q924" s="9" t="n">
        <x:v>9954</x:v>
      </x:c>
      <x:c r="R924" s="1" t="str">
        <x:v>Classified</x:v>
      </x:c>
      <x:c r="S924" s="1" t="str">
        <x:v>FilmInventory Data.csv</x:v>
      </x:c>
    </x:row>
    <x:row r="925" ht="21" customHeight="1">
      <x:c r="A925" s="1" t="str">
        <x:v>FILM</x:v>
      </x:c>
      <x:c r="B925" s="1" t="str">
        <x:v>60</x:v>
      </x:c>
      <x:c r="C925" s="1" t="str">
        <x:v>122503C1</x:v>
      </x:c>
      <x:c r="D925" s="1" t="str">
        <x:v>**PAY ACH** POLYPLEX USA LLC</x:v>
      </x:c>
      <x:c r="E925" s="7" t="n">
        <x:v>46304</x:v>
      </x:c>
      <x:c r="F925" s="8" t="n">
        <x:v>218</x:v>
      </x:c>
      <x:c r="G925" s="8" t="n">
        <x:v>8.67</x:v>
      </x:c>
      <x:c r="H925" s="8" t="n">
        <x:v>7.02</x:v>
      </x:c>
      <x:c r="I925" s="8" t="n">
        <x:v>8.42</x:v>
      </x:c>
      <x:c r="J925" s="8" t="n">
        <x:v>1</x:v>
      </x:c>
      <x:c r="K925" s="8" t="n">
        <x:v>1</x:v>
      </x:c>
      <x:c r="L925" s="8" t="n">
        <x:v>218</x:v>
      </x:c>
      <x:c r="M925" s="8" t="n">
        <x:v>0</x:v>
      </x:c>
      <x:c r="N925" s="8" t="n">
        <x:v>0</x:v>
      </x:c>
      <x:c r="O925" s="8" t="n">
        <x:v>1</x:v>
      </x:c>
      <x:c r="P925" s="8" t="n">
        <x:v>7.02</x:v>
      </x:c>
      <x:c r="Q925" s="9" t="n">
        <x:v>1530.36</x:v>
      </x:c>
      <x:c r="R925" s="1" t="str">
        <x:v>Classified</x:v>
      </x:c>
      <x:c r="S925" s="1" t="str">
        <x:v>FilmInventory Data.csv</x:v>
      </x:c>
    </x:row>
    <x:row r="926" ht="21" customHeight="1">
      <x:c r="A926" s="1" t="str">
        <x:v>FILM</x:v>
      </x:c>
      <x:c r="B926" s="1" t="str">
        <x:v>60</x:v>
      </x:c>
      <x:c r="C926" s="1" t="str">
        <x:v>182503C2</x:v>
      </x:c>
      <x:c r="D926" s="1" t="str">
        <x:v>**PAY ACH** POLYPLEX USA LLC</x:v>
      </x:c>
      <x:c r="E926" s="7" t="n">
        <x:v>46304</x:v>
      </x:c>
      <x:c r="F926" s="8" t="n">
        <x:v>94</x:v>
      </x:c>
      <x:c r="G926" s="8" t="n">
        <x:v>8.33</x:v>
      </x:c>
      <x:c r="H926" s="8" t="n">
        <x:v>10.53</x:v>
      </x:c>
      <x:c r="I926" s="8" t="n">
        <x:v>12.64</x:v>
      </x:c>
      <x:c r="J926" s="8" t="n">
        <x:v>1</x:v>
      </x:c>
      <x:c r="K926" s="8" t="n">
        <x:v>1</x:v>
      </x:c>
      <x:c r="L926" s="8" t="n">
        <x:v>30</x:v>
      </x:c>
      <x:c r="M926" s="8" t="n">
        <x:v>64</x:v>
      </x:c>
      <x:c r="N926" s="8" t="n">
        <x:v>0</x:v>
      </x:c>
      <x:c r="O926" s="8" t="n">
        <x:v>1</x:v>
      </x:c>
      <x:c r="P926" s="8" t="n">
        <x:v>10.53</x:v>
      </x:c>
      <x:c r="Q926" s="9" t="n">
        <x:v>989.8199999999999</x:v>
      </x:c>
      <x:c r="R926" s="1" t="str">
        <x:v>Classified</x:v>
      </x:c>
      <x:c r="S926" s="1" t="str">
        <x:v>FilmInventory Data.csv</x:v>
      </x:c>
    </x:row>
    <x:row r="927" ht="21" customHeight="1">
      <x:c r="A927" s="1" t="str">
        <x:v>FILM</x:v>
      </x:c>
      <x:c r="B927" s="1" t="str">
        <x:v>10</x:v>
      </x:c>
      <x:c r="C927" s="1" t="str">
        <x:v>PR432503C3</x:v>
      </x:c>
      <x:c r="D927" s="1" t="str">
        <x:v>**PAY ACH** POLYPLEX USA LLC</x:v>
      </x:c>
      <x:c r="E927" s="7" t="n">
        <x:v>46304</x:v>
      </x:c>
      <x:c r="F927" s="8" t="n">
        <x:v>28</x:v>
      </x:c>
      <x:c r="G927" s="8" t="n">
        <x:v>7.83</x:v>
      </x:c>
      <x:c r="H927" s="8" t="n">
        <x:v>29.03</x:v>
      </x:c>
      <x:c r="I927" s="8" t="n">
        <x:v>34.83</x:v>
      </x:c>
      <x:c r="J927" s="8" t="n">
        <x:v>1</x:v>
      </x:c>
      <x:c r="K927" s="8" t="n">
        <x:v>1</x:v>
      </x:c>
      <x:c r="L927" s="8" t="n">
        <x:v>0</x:v>
      </x:c>
      <x:c r="M927" s="8" t="n">
        <x:v>28</x:v>
      </x:c>
      <x:c r="N927" s="8" t="n">
        <x:v>0</x:v>
      </x:c>
      <x:c r="O927" s="8" t="n">
        <x:v>1</x:v>
      </x:c>
      <x:c r="P927" s="8" t="n">
        <x:v>29.03</x:v>
      </x:c>
      <x:c r="Q927" s="9" t="n">
        <x:v>812.84</x:v>
      </x:c>
      <x:c r="R927" s="1" t="str">
        <x:v>Classified</x:v>
      </x:c>
      <x:c r="S927" s="1" t="str">
        <x:v>FilmInventory Data.csv</x:v>
      </x:c>
    </x:row>
    <x:row r="928" ht="21" customHeight="1">
      <x:c r="A928" s="1" t="str">
        <x:v>FILM</x:v>
      </x:c>
      <x:c r="B928" s="1" t="str">
        <x:v>10</x:v>
      </x:c>
      <x:c r="C928" s="1" t="str">
        <x:v>122503C1</x:v>
      </x:c>
      <x:c r="D928" s="1" t="str">
        <x:v>**PAY ACH** POLYPLEX USA LLC</x:v>
      </x:c>
      <x:c r="E928" s="7" t="n">
        <x:v>46304</x:v>
      </x:c>
      <x:c r="F928" s="8" t="n">
        <x:v>107</x:v>
      </x:c>
      <x:c r="G928" s="8" t="n">
        <x:v>7.75</x:v>
      </x:c>
      <x:c r="H928" s="8" t="n">
        <x:v>7.02</x:v>
      </x:c>
      <x:c r="I928" s="8" t="n">
        <x:v>8.42</x:v>
      </x:c>
      <x:c r="J928" s="8" t="n">
        <x:v>1</x:v>
      </x:c>
      <x:c r="K928" s="8" t="n">
        <x:v>1</x:v>
      </x:c>
      <x:c r="L928" s="8" t="n">
        <x:v>107</x:v>
      </x:c>
      <x:c r="M928" s="8" t="n">
        <x:v>0</x:v>
      </x:c>
      <x:c r="N928" s="8" t="n">
        <x:v>0</x:v>
      </x:c>
      <x:c r="O928" s="8" t="n">
        <x:v>1</x:v>
      </x:c>
      <x:c r="P928" s="8" t="n">
        <x:v>7.02</x:v>
      </x:c>
      <x:c r="Q928" s="9" t="n">
        <x:v>751.14</x:v>
      </x:c>
      <x:c r="R928" s="1" t="str">
        <x:v>Classified</x:v>
      </x:c>
      <x:c r="S928" s="1" t="str">
        <x:v>FilmInventory Data.csv</x:v>
      </x:c>
    </x:row>
    <x:row r="929" ht="21" customHeight="1">
      <x:c r="A929" s="1" t="str">
        <x:v>FILM</x:v>
      </x:c>
      <x:c r="B929" s="1" t="str">
        <x:v>60</x:v>
      </x:c>
      <x:c r="C929" s="1" t="str">
        <x:v>ST252503M1</x:v>
      </x:c>
      <x:c r="D929" s="1" t="str">
        <x:v>**PAY ACH** POLYPLEX USA LLC</x:v>
      </x:c>
      <x:c r="E929" s="7" t="n">
        <x:v>46304</x:v>
      </x:c>
      <x:c r="F929" s="8" t="n">
        <x:v>16</x:v>
      </x:c>
      <x:c r="G929" s="8" t="n">
        <x:v>7.67</x:v>
      </x:c>
      <x:c r="H929" s="8" t="n">
        <x:v>40.88</x:v>
      </x:c>
      <x:c r="I929" s="8" t="n">
        <x:v>49.05</x:v>
      </x:c>
      <x:c r="J929" s="8" t="n">
        <x:v>1</x:v>
      </x:c>
      <x:c r="K929" s="8" t="n">
        <x:v>1</x:v>
      </x:c>
      <x:c r="L929" s="8" t="n">
        <x:v>16</x:v>
      </x:c>
      <x:c r="M929" s="8" t="n">
        <x:v>0</x:v>
      </x:c>
      <x:c r="N929" s="8" t="n">
        <x:v>0</x:v>
      </x:c>
      <x:c r="O929" s="8" t="n">
        <x:v>1</x:v>
      </x:c>
      <x:c r="P929" s="8" t="n">
        <x:v>40.88</x:v>
      </x:c>
      <x:c r="Q929" s="9" t="n">
        <x:v>654.08</x:v>
      </x:c>
      <x:c r="R929" s="1" t="str">
        <x:v>Classified</x:v>
      </x:c>
      <x:c r="S929" s="1" t="str">
        <x:v>FilmInventory Data.csv</x:v>
      </x:c>
    </x:row>
    <x:row r="930" ht="21" customHeight="1">
      <x:c r="A930" s="1" t="str">
        <x:v>FILM</x:v>
      </x:c>
      <x:c r="B930" s="1" t="str">
        <x:v>30</x:v>
      </x:c>
      <x:c r="C930" s="1" t="str">
        <x:v>382005C2</x:v>
      </x:c>
      <x:c r="D930" s="1" t="str">
        <x:v>**PAY ACH** POLYPLEX USA LLC</x:v>
      </x:c>
      <x:c r="E930" s="7" t="n">
        <x:v>46304</x:v>
      </x:c>
      <x:c r="F930" s="8" t="n">
        <x:v>83</x:v>
      </x:c>
      <x:c r="G930" s="8" t="n">
        <x:v>7.17</x:v>
      </x:c>
      <x:c r="H930" s="8" t="n">
        <x:v>32.19</x:v>
      </x:c>
      <x:c r="I930" s="8" t="n">
        <x:v>38.67</x:v>
      </x:c>
      <x:c r="J930" s="8" t="n">
        <x:v>1</x:v>
      </x:c>
      <x:c r="K930" s="8" t="n">
        <x:v>1</x:v>
      </x:c>
      <x:c r="L930" s="8" t="n">
        <x:v>19</x:v>
      </x:c>
      <x:c r="M930" s="8" t="n">
        <x:v>64</x:v>
      </x:c>
      <x:c r="N930" s="8" t="n">
        <x:v>0</x:v>
      </x:c>
      <x:c r="O930" s="8" t="n">
        <x:v>1</x:v>
      </x:c>
      <x:c r="P930" s="8" t="n">
        <x:v>32.19</x:v>
      </x:c>
      <x:c r="Q930" s="9" t="n">
        <x:v>2671.77</x:v>
      </x:c>
      <x:c r="R930" s="1" t="str">
        <x:v>Classified</x:v>
      </x:c>
      <x:c r="S930" s="1" t="str">
        <x:v>FilmInventory Data.csv</x:v>
      </x:c>
    </x:row>
    <x:row r="931" ht="21" customHeight="1">
      <x:c r="A931" s="1" t="str">
        <x:v>FILM</x:v>
      </x:c>
      <x:c r="B931" s="1" t="str">
        <x:v>10</x:v>
      </x:c>
      <x:c r="C931" s="1" t="str">
        <x:v>252503C2</x:v>
      </x:c>
      <x:c r="D931" s="1" t="str">
        <x:v>**PAY ACH** POLYPLEX USA LLC</x:v>
      </x:c>
      <x:c r="E931" s="7" t="n">
        <x:v>46304</x:v>
      </x:c>
      <x:c r="F931" s="8" t="n">
        <x:v>76</x:v>
      </x:c>
      <x:c r="G931" s="8" t="n">
        <x:v>6.83</x:v>
      </x:c>
      <x:c r="H931" s="8" t="n">
        <x:v>14.63</x:v>
      </x:c>
      <x:c r="I931" s="8" t="n">
        <x:v>17.55</x:v>
      </x:c>
      <x:c r="J931" s="8" t="n">
        <x:v>1</x:v>
      </x:c>
      <x:c r="K931" s="8" t="n">
        <x:v>1</x:v>
      </x:c>
      <x:c r="L931" s="8" t="n">
        <x:v>12</x:v>
      </x:c>
      <x:c r="M931" s="8" t="n">
        <x:v>64</x:v>
      </x:c>
      <x:c r="N931" s="8" t="n">
        <x:v>0</x:v>
      </x:c>
      <x:c r="O931" s="8" t="n">
        <x:v>1</x:v>
      </x:c>
      <x:c r="P931" s="8" t="n">
        <x:v>14.63</x:v>
      </x:c>
      <x:c r="Q931" s="9" t="n">
        <x:v>1111.88</x:v>
      </x:c>
      <x:c r="R931" s="1" t="str">
        <x:v>Classified</x:v>
      </x:c>
      <x:c r="S931" s="1" t="str">
        <x:v>FilmInventory Data.csv</x:v>
      </x:c>
    </x:row>
    <x:row r="932" ht="21" customHeight="1">
      <x:c r="A932" s="1" t="str">
        <x:v>FILM</x:v>
      </x:c>
      <x:c r="B932" s="1" t="str">
        <x:v>30</x:v>
      </x:c>
      <x:c r="C932" s="1" t="str">
        <x:v>ST2550017M1</x:v>
      </x:c>
      <x:c r="D932" s="1" t="str">
        <x:v>**PAY ACH** POLYPLEX USA LLC</x:v>
      </x:c>
      <x:c r="E932" s="7" t="n">
        <x:v>46304</x:v>
      </x:c>
      <x:c r="F932" s="8" t="n">
        <x:v>44</x:v>
      </x:c>
      <x:c r="G932" s="8" t="n">
        <x:v>6.67</x:v>
      </x:c>
      <x:c r="H932" s="8" t="n">
        <x:v>63</x:v>
      </x:c>
      <x:c r="I932" s="8" t="n">
        <x:v>75.6</x:v>
      </x:c>
      <x:c r="J932" s="8" t="n">
        <x:v>1</x:v>
      </x:c>
      <x:c r="K932" s="8" t="n">
        <x:v>1</x:v>
      </x:c>
      <x:c r="L932" s="8" t="n">
        <x:v>44</x:v>
      </x:c>
      <x:c r="M932" s="8" t="n">
        <x:v>0</x:v>
      </x:c>
      <x:c r="N932" s="8" t="n">
        <x:v>0</x:v>
      </x:c>
      <x:c r="O932" s="8" t="n">
        <x:v>1</x:v>
      </x:c>
      <x:c r="P932" s="8" t="n">
        <x:v>63</x:v>
      </x:c>
      <x:c r="Q932" s="9" t="n">
        <x:v>2772</x:v>
      </x:c>
      <x:c r="R932" s="1" t="str">
        <x:v>Classified</x:v>
      </x:c>
      <x:c r="S932" s="1" t="str">
        <x:v>FilmInventory Data.csv</x:v>
      </x:c>
    </x:row>
    <x:row r="933" ht="21" customHeight="1">
      <x:c r="A933" s="1" t="str">
        <x:v>FILM</x:v>
      </x:c>
      <x:c r="B933" s="1" t="str">
        <x:v>60</x:v>
      </x:c>
      <x:c r="C933" s="1" t="str">
        <x:v>1210010C1</x:v>
      </x:c>
      <x:c r="D933" s="1" t="str">
        <x:v>**PAY ACH** POLYPLEX USA LLC</x:v>
      </x:c>
      <x:c r="E933" s="7" t="n">
        <x:v>46304</x:v>
      </x:c>
      <x:c r="F933" s="8" t="n">
        <x:v>3</x:v>
      </x:c>
      <x:c r="G933" s="8" t="n">
        <x:v>6.42</x:v>
      </x:c>
      <x:c r="H933" s="8" t="n">
        <x:v>11.38</x:v>
      </x:c>
      <x:c r="I933" s="8" t="n">
        <x:v>13.66</x:v>
      </x:c>
      <x:c r="J933" s="8" t="n">
        <x:v>1</x:v>
      </x:c>
      <x:c r="K933" s="8" t="n">
        <x:v>1</x:v>
      </x:c>
      <x:c r="L933" s="8" t="n">
        <x:v>3</x:v>
      </x:c>
      <x:c r="M933" s="8" t="n">
        <x:v>0</x:v>
      </x:c>
      <x:c r="N933" s="8" t="n">
        <x:v>0</x:v>
      </x:c>
      <x:c r="O933" s="8" t="n">
        <x:v>1</x:v>
      </x:c>
      <x:c r="P933" s="8" t="n">
        <x:v>11.38</x:v>
      </x:c>
      <x:c r="Q933" s="9" t="n">
        <x:v>34.14</x:v>
      </x:c>
      <x:c r="R933" s="1" t="str">
        <x:v>Classified</x:v>
      </x:c>
      <x:c r="S933" s="1" t="str">
        <x:v>FilmInventory Data.csv</x:v>
      </x:c>
    </x:row>
    <x:row r="934" ht="21" customHeight="1">
      <x:c r="A934" s="1" t="str">
        <x:v>FILM</x:v>
      </x:c>
      <x:c r="B934" s="1" t="str">
        <x:v>60</x:v>
      </x:c>
      <x:c r="C934" s="1" t="str">
        <x:v>382005C3</x:v>
      </x:c>
      <x:c r="D934" s="1" t="str">
        <x:v>**PAY ACH** POLYPLEX USA LLC</x:v>
      </x:c>
      <x:c r="E934" s="7" t="n">
        <x:v>46304</x:v>
      </x:c>
      <x:c r="F934" s="8" t="n">
        <x:v>36</x:v>
      </x:c>
      <x:c r="G934" s="8" t="n">
        <x:v>6.42</x:v>
      </x:c>
      <x:c r="H934" s="8" t="n">
        <x:v>32.19</x:v>
      </x:c>
      <x:c r="I934" s="8" t="n">
        <x:v>38.67</x:v>
      </x:c>
      <x:c r="J934" s="8" t="n">
        <x:v>1</x:v>
      </x:c>
      <x:c r="K934" s="8" t="n">
        <x:v>1</x:v>
      </x:c>
      <x:c r="L934" s="8" t="n">
        <x:v>11</x:v>
      </x:c>
      <x:c r="M934" s="8" t="n">
        <x:v>25</x:v>
      </x:c>
      <x:c r="N934" s="8" t="n">
        <x:v>0</x:v>
      </x:c>
      <x:c r="O934" s="8" t="n">
        <x:v>1</x:v>
      </x:c>
      <x:c r="P934" s="8" t="n">
        <x:v>32.19</x:v>
      </x:c>
      <x:c r="Q934" s="9" t="n">
        <x:v>1191.03</x:v>
      </x:c>
      <x:c r="R934" s="1" t="str">
        <x:v>Classified</x:v>
      </x:c>
      <x:c r="S934" s="1" t="str">
        <x:v>FilmInventory Data.csv</x:v>
      </x:c>
    </x:row>
    <x:row r="935" ht="21" customHeight="1">
      <x:c r="A935" s="1" t="str">
        <x:v>FILM</x:v>
      </x:c>
      <x:c r="B935" s="1" t="str">
        <x:v>10</x:v>
      </x:c>
      <x:c r="C935" s="1" t="str">
        <x:v>382005C2</x:v>
      </x:c>
      <x:c r="D935" s="1" t="str">
        <x:v>**PAY ACH** POLYPLEX USA LLC</x:v>
      </x:c>
      <x:c r="E935" s="7" t="n">
        <x:v>46304</x:v>
      </x:c>
      <x:c r="F935" s="8" t="n">
        <x:v>43</x:v>
      </x:c>
      <x:c r="G935" s="8" t="n">
        <x:v>6.33</x:v>
      </x:c>
      <x:c r="H935" s="8" t="n">
        <x:v>32.19</x:v>
      </x:c>
      <x:c r="I935" s="8" t="n">
        <x:v>38.67</x:v>
      </x:c>
      <x:c r="J935" s="8" t="n">
        <x:v>1</x:v>
      </x:c>
      <x:c r="K935" s="8" t="n">
        <x:v>1</x:v>
      </x:c>
      <x:c r="L935" s="8" t="n">
        <x:v>43</x:v>
      </x:c>
      <x:c r="M935" s="8" t="n">
        <x:v>0</x:v>
      </x:c>
      <x:c r="N935" s="8" t="n">
        <x:v>0</x:v>
      </x:c>
      <x:c r="O935" s="8" t="n">
        <x:v>1</x:v>
      </x:c>
      <x:c r="P935" s="8" t="n">
        <x:v>32.19</x:v>
      </x:c>
      <x:c r="Q935" s="9" t="n">
        <x:v>1384.1699999999998</x:v>
      </x:c>
      <x:c r="R935" s="1" t="str">
        <x:v>Classified</x:v>
      </x:c>
      <x:c r="S935" s="1" t="str">
        <x:v>FilmInventory Data.csv</x:v>
      </x:c>
    </x:row>
    <x:row r="936" ht="21" customHeight="1">
      <x:c r="A936" s="1" t="str">
        <x:v>FILM</x:v>
      </x:c>
      <x:c r="B936" s="1" t="str">
        <x:v>10</x:v>
      </x:c>
      <x:c r="C936" s="1" t="str">
        <x:v>255003C1</x:v>
      </x:c>
      <x:c r="D936" s="1" t="str">
        <x:v>**PAY ACH** POLYPLEX USA LLC</x:v>
      </x:c>
      <x:c r="E936" s="7" t="n">
        <x:v>46304</x:v>
      </x:c>
      <x:c r="F936" s="8" t="n">
        <x:v>66</x:v>
      </x:c>
      <x:c r="G936" s="8" t="n">
        <x:v>6.17</x:v>
      </x:c>
      <x:c r="H936" s="8" t="n">
        <x:v>29.25</x:v>
      </x:c>
      <x:c r="I936" s="8" t="n">
        <x:v>35.1</x:v>
      </x:c>
      <x:c r="J936" s="8" t="n">
        <x:v>1</x:v>
      </x:c>
      <x:c r="K936" s="8" t="n">
        <x:v>1</x:v>
      </x:c>
      <x:c r="L936" s="8" t="n">
        <x:v>66</x:v>
      </x:c>
      <x:c r="M936" s="8" t="n">
        <x:v>0</x:v>
      </x:c>
      <x:c r="N936" s="8" t="n">
        <x:v>0</x:v>
      </x:c>
      <x:c r="O936" s="8" t="n">
        <x:v>1</x:v>
      </x:c>
      <x:c r="P936" s="8" t="n">
        <x:v>29.25</x:v>
      </x:c>
      <x:c r="Q936" s="9" t="n">
        <x:v>1930.5</x:v>
      </x:c>
      <x:c r="R936" s="1" t="str">
        <x:v>Classified</x:v>
      </x:c>
      <x:c r="S936" s="1" t="str">
        <x:v>FilmInventory Data.csv</x:v>
      </x:c>
    </x:row>
    <x:row r="937" ht="21" customHeight="1">
      <x:c r="A937" s="1" t="str">
        <x:v>FILM</x:v>
      </x:c>
      <x:c r="B937" s="1" t="str">
        <x:v>10</x:v>
      </x:c>
      <x:c r="C937" s="1" t="str">
        <x:v>1250015C1</x:v>
      </x:c>
      <x:c r="D937" s="1" t="str">
        <x:v>**PAY ACH** POLYPLEX USA LLC</x:v>
      </x:c>
      <x:c r="E937" s="7" t="n">
        <x:v>46304</x:v>
      </x:c>
      <x:c r="F937" s="8" t="n">
        <x:v>71</x:v>
      </x:c>
      <x:c r="G937" s="8" t="n">
        <x:v>5.83</x:v>
      </x:c>
      <x:c r="H937" s="8" t="n">
        <x:v>6.48</x:v>
      </x:c>
      <x:c r="I937" s="8" t="n">
        <x:v>7.78</x:v>
      </x:c>
      <x:c r="J937" s="8" t="n">
        <x:v>1</x:v>
      </x:c>
      <x:c r="K937" s="8" t="n">
        <x:v>1</x:v>
      </x:c>
      <x:c r="L937" s="8" t="n">
        <x:v>71</x:v>
      </x:c>
      <x:c r="M937" s="8" t="n">
        <x:v>0</x:v>
      </x:c>
      <x:c r="N937" s="8" t="n">
        <x:v>0</x:v>
      </x:c>
      <x:c r="O937" s="8" t="n">
        <x:v>1</x:v>
      </x:c>
      <x:c r="P937" s="8" t="n">
        <x:v>6.48</x:v>
      </x:c>
      <x:c r="Q937" s="9" t="n">
        <x:v>460.08000000000004</x:v>
      </x:c>
      <x:c r="R937" s="1" t="str">
        <x:v>Classified</x:v>
      </x:c>
      <x:c r="S937" s="1" t="str">
        <x:v>FilmInventory Data.csv</x:v>
      </x:c>
    </x:row>
    <x:row r="938" ht="21" customHeight="1">
      <x:c r="A938" s="1" t="str">
        <x:v>FILM</x:v>
      </x:c>
      <x:c r="B938" s="1" t="str">
        <x:v>10</x:v>
      </x:c>
      <x:c r="C938" s="1" t="str">
        <x:v>252005C2</x:v>
      </x:c>
      <x:c r="D938" s="1" t="str">
        <x:v>**PAY ACH** POLYPLEX USA LLC</x:v>
      </x:c>
      <x:c r="E938" s="7" t="n">
        <x:v>46304</x:v>
      </x:c>
      <x:c r="F938" s="8" t="n">
        <x:v>52</x:v>
      </x:c>
      <x:c r="G938" s="8" t="n">
        <x:v>5.67</x:v>
      </x:c>
      <x:c r="H938" s="8" t="n">
        <x:v>21.18</x:v>
      </x:c>
      <x:c r="I938" s="8" t="n">
        <x:v>25.44</x:v>
      </x:c>
      <x:c r="J938" s="8" t="n">
        <x:v>1</x:v>
      </x:c>
      <x:c r="K938" s="8" t="n">
        <x:v>1</x:v>
      </x:c>
      <x:c r="L938" s="8" t="n">
        <x:v>52</x:v>
      </x:c>
      <x:c r="M938" s="8" t="n">
        <x:v>0</x:v>
      </x:c>
      <x:c r="N938" s="8" t="n">
        <x:v>0</x:v>
      </x:c>
      <x:c r="O938" s="8" t="n">
        <x:v>1</x:v>
      </x:c>
      <x:c r="P938" s="8" t="n">
        <x:v>21.18</x:v>
      </x:c>
      <x:c r="Q938" s="9" t="n">
        <x:v>1101.36</x:v>
      </x:c>
      <x:c r="R938" s="1" t="str">
        <x:v>Classified</x:v>
      </x:c>
      <x:c r="S938" s="1" t="str">
        <x:v>FilmInventory Data.csv</x:v>
      </x:c>
    </x:row>
    <x:row r="939" ht="21" customHeight="1">
      <x:c r="A939" s="1" t="str">
        <x:v>FILM</x:v>
      </x:c>
      <x:c r="B939" s="1" t="str">
        <x:v>10</x:v>
      </x:c>
      <x:c r="C939" s="1" t="str">
        <x:v>125003C1</x:v>
      </x:c>
      <x:c r="D939" s="1" t="str">
        <x:v>**PAY ACH** POLYPLEX USA LLC</x:v>
      </x:c>
      <x:c r="E939" s="7" t="n">
        <x:v>46304</x:v>
      </x:c>
      <x:c r="F939" s="8" t="n">
        <x:v>1</x:v>
      </x:c>
      <x:c r="G939" s="8" t="n">
        <x:v>5.5</x:v>
      </x:c>
      <x:c r="H939" s="8" t="n">
        <x:v>10.73</x:v>
      </x:c>
      <x:c r="I939" s="8" t="n">
        <x:v>0</x:v>
      </x:c>
      <x:c r="J939" s="8" t="n">
        <x:v>1</x:v>
      </x:c>
      <x:c r="K939" s="8" t="n">
        <x:v>1</x:v>
      </x:c>
      <x:c r="L939" s="8" t="n">
        <x:v>0</x:v>
      </x:c>
      <x:c r="M939" s="8" t="n">
        <x:v>0</x:v>
      </x:c>
      <x:c r="N939" s="8" t="n">
        <x:v>1</x:v>
      </x:c>
      <x:c r="O939" s="8" t="n">
        <x:v>0</x:v>
      </x:c>
      <x:c r="P939" s="8"/>
      <x:c r="Q939" s="9" t="n">
        <x:v>10.73</x:v>
      </x:c>
      <x:c r="R939" s="1" t="str">
        <x:v>Review receipt reconciliation or original PO baseline</x:v>
      </x:c>
      <x:c r="S939" s="1" t="str">
        <x:v>FilmInventory Data.csv</x:v>
      </x:c>
    </x:row>
    <x:row r="940" ht="21" customHeight="1">
      <x:c r="A940" s="1" t="str">
        <x:v>FILM</x:v>
      </x:c>
      <x:c r="B940" s="1" t="str">
        <x:v>30</x:v>
      </x:c>
      <x:c r="C940" s="1" t="str">
        <x:v>92503C1</x:v>
      </x:c>
      <x:c r="D940" s="1" t="str">
        <x:v>**PAY ACH** POLYPLEX USA LLC</x:v>
      </x:c>
      <x:c r="E940" s="7" t="n">
        <x:v>46304</x:v>
      </x:c>
      <x:c r="F940" s="8" t="n">
        <x:v>83</x:v>
      </x:c>
      <x:c r="G940" s="8" t="n">
        <x:v>5.33</x:v>
      </x:c>
      <x:c r="H940" s="8" t="n">
        <x:v>3.75</x:v>
      </x:c>
      <x:c r="I940" s="8" t="n">
        <x:v>0</x:v>
      </x:c>
      <x:c r="J940" s="8" t="n">
        <x:v>1</x:v>
      </x:c>
      <x:c r="K940" s="8" t="n">
        <x:v>1</x:v>
      </x:c>
      <x:c r="L940" s="8" t="n">
        <x:v>0</x:v>
      </x:c>
      <x:c r="M940" s="8" t="n">
        <x:v>0</x:v>
      </x:c>
      <x:c r="N940" s="8" t="n">
        <x:v>83</x:v>
      </x:c>
      <x:c r="O940" s="8" t="n">
        <x:v>0</x:v>
      </x:c>
      <x:c r="P940" s="8"/>
      <x:c r="Q940" s="9" t="n">
        <x:v>311.25</x:v>
      </x:c>
      <x:c r="R940" s="1" t="str">
        <x:v>Review receipt reconciliation or original PO baseline</x:v>
      </x:c>
      <x:c r="S940" s="1" t="str">
        <x:v>FilmInventory Data.csv</x:v>
      </x:c>
    </x:row>
    <x:row r="941" ht="21" customHeight="1">
      <x:c r="A941" s="1" t="str">
        <x:v>FILM</x:v>
      </x:c>
      <x:c r="B941" s="1" t="str">
        <x:v>30</x:v>
      </x:c>
      <x:c r="C941" s="1" t="str">
        <x:v>PR252503C1</x:v>
      </x:c>
      <x:c r="D941" s="1" t="str">
        <x:v>**PAY ACH** POLYPLEX USA LLC</x:v>
      </x:c>
      <x:c r="E941" s="7" t="n">
        <x:v>46304</x:v>
      </x:c>
      <x:c r="F941" s="8" t="n">
        <x:v>129</x:v>
      </x:c>
      <x:c r="G941" s="8" t="n">
        <x:v>5.25</x:v>
      </x:c>
      <x:c r="H941" s="8" t="n">
        <x:v>16.88</x:v>
      </x:c>
      <x:c r="I941" s="8" t="n">
        <x:v>20.25</x:v>
      </x:c>
      <x:c r="J941" s="8" t="n">
        <x:v>1</x:v>
      </x:c>
      <x:c r="K941" s="8" t="n">
        <x:v>1</x:v>
      </x:c>
      <x:c r="L941" s="8" t="n">
        <x:v>129</x:v>
      </x:c>
      <x:c r="M941" s="8" t="n">
        <x:v>0</x:v>
      </x:c>
      <x:c r="N941" s="8" t="n">
        <x:v>0</x:v>
      </x:c>
      <x:c r="O941" s="8" t="n">
        <x:v>1</x:v>
      </x:c>
      <x:c r="P941" s="8" t="n">
        <x:v>16.88</x:v>
      </x:c>
      <x:c r="Q941" s="9" t="n">
        <x:v>2177.52</x:v>
      </x:c>
      <x:c r="R941" s="1" t="str">
        <x:v>Classified</x:v>
      </x:c>
      <x:c r="S941" s="1" t="str">
        <x:v>FilmInventory Data.csv</x:v>
      </x:c>
    </x:row>
    <x:row r="942" ht="21" customHeight="1">
      <x:c r="A942" s="1" t="str">
        <x:v>FILM</x:v>
      </x:c>
      <x:c r="B942" s="1" t="str">
        <x:v>60</x:v>
      </x:c>
      <x:c r="C942" s="1" t="str">
        <x:v>255003C1</x:v>
      </x:c>
      <x:c r="D942" s="1" t="str">
        <x:v>**PAY ACH** POLYPLEX USA LLC</x:v>
      </x:c>
      <x:c r="E942" s="7" t="n">
        <x:v>46304</x:v>
      </x:c>
      <x:c r="F942" s="8" t="n">
        <x:v>85</x:v>
      </x:c>
      <x:c r="G942" s="8" t="n">
        <x:v>5</x:v>
      </x:c>
      <x:c r="H942" s="8" t="n">
        <x:v>29.25</x:v>
      </x:c>
      <x:c r="I942" s="8" t="n">
        <x:v>35.1</x:v>
      </x:c>
      <x:c r="J942" s="8" t="n">
        <x:v>1</x:v>
      </x:c>
      <x:c r="K942" s="8" t="n">
        <x:v>1</x:v>
      </x:c>
      <x:c r="L942" s="8" t="n">
        <x:v>85</x:v>
      </x:c>
      <x:c r="M942" s="8" t="n">
        <x:v>0</x:v>
      </x:c>
      <x:c r="N942" s="8" t="n">
        <x:v>0</x:v>
      </x:c>
      <x:c r="O942" s="8" t="n">
        <x:v>1</x:v>
      </x:c>
      <x:c r="P942" s="8" t="n">
        <x:v>29.25</x:v>
      </x:c>
      <x:c r="Q942" s="9" t="n">
        <x:v>2486.25</x:v>
      </x:c>
      <x:c r="R942" s="1" t="str">
        <x:v>Classified</x:v>
      </x:c>
      <x:c r="S942" s="1" t="str">
        <x:v>FilmInventory Data.csv</x:v>
      </x:c>
    </x:row>
    <x:row r="943" ht="21" customHeight="1">
      <x:c r="A943" s="1" t="str">
        <x:v>FILM</x:v>
      </x:c>
      <x:c r="B943" s="1" t="str">
        <x:v>60</x:v>
      </x:c>
      <x:c r="C943" s="1" t="str">
        <x:v>PR402503C2</x:v>
      </x:c>
      <x:c r="D943" s="1" t="str">
        <x:v>**PAY ACH** POLYPLEX USA LLC</x:v>
      </x:c>
      <x:c r="E943" s="7" t="n">
        <x:v>46304</x:v>
      </x:c>
      <x:c r="F943" s="8" t="n">
        <x:v>31</x:v>
      </x:c>
      <x:c r="G943" s="8" t="n">
        <x:v>5</x:v>
      </x:c>
      <x:c r="H943" s="8" t="n">
        <x:v>27</x:v>
      </x:c>
      <x:c r="I943" s="8" t="n">
        <x:v>32.4</x:v>
      </x:c>
      <x:c r="J943" s="8" t="n">
        <x:v>1</x:v>
      </x:c>
      <x:c r="K943" s="8" t="n">
        <x:v>1</x:v>
      </x:c>
      <x:c r="L943" s="8" t="n">
        <x:v>31</x:v>
      </x:c>
      <x:c r="M943" s="8" t="n">
        <x:v>0</x:v>
      </x:c>
      <x:c r="N943" s="8" t="n">
        <x:v>0</x:v>
      </x:c>
      <x:c r="O943" s="8" t="n">
        <x:v>1</x:v>
      </x:c>
      <x:c r="P943" s="8" t="n">
        <x:v>27</x:v>
      </x:c>
      <x:c r="Q943" s="9" t="n">
        <x:v>837</x:v>
      </x:c>
      <x:c r="R943" s="1" t="str">
        <x:v>Classified</x:v>
      </x:c>
      <x:c r="S943" s="1" t="str">
        <x:v>FilmInventory Data.csv</x:v>
      </x:c>
    </x:row>
    <x:row r="944" ht="21" customHeight="1">
      <x:c r="A944" s="1" t="str">
        <x:v>FILM</x:v>
      </x:c>
      <x:c r="B944" s="1" t="str">
        <x:v>10</x:v>
      </x:c>
      <x:c r="C944" s="1" t="str">
        <x:v>PR382503C2</x:v>
      </x:c>
      <x:c r="D944" s="1" t="str">
        <x:v>TRANSCENDIA</x:v>
      </x:c>
      <x:c r="E944" s="7" t="n">
        <x:v>46304</x:v>
      </x:c>
      <x:c r="F944" s="8" t="n">
        <x:v>21</x:v>
      </x:c>
      <x:c r="G944" s="8" t="n">
        <x:v>4.83</x:v>
      </x:c>
      <x:c r="H944" s="8" t="n">
        <x:v>24.97</x:v>
      </x:c>
      <x:c r="I944" s="8" t="n">
        <x:v>26.22</x:v>
      </x:c>
      <x:c r="J944" s="8" t="n">
        <x:v>1</x:v>
      </x:c>
      <x:c r="K944" s="8" t="n">
        <x:v>1</x:v>
      </x:c>
      <x:c r="L944" s="8" t="n">
        <x:v>1</x:v>
      </x:c>
      <x:c r="M944" s="8" t="n">
        <x:v>20</x:v>
      </x:c>
      <x:c r="N944" s="8" t="n">
        <x:v>0</x:v>
      </x:c>
      <x:c r="O944" s="8" t="n">
        <x:v>1</x:v>
      </x:c>
      <x:c r="P944" s="8" t="n">
        <x:v>22.69</x:v>
      </x:c>
      <x:c r="Q944" s="9" t="n">
        <x:v>898.92</x:v>
      </x:c>
      <x:c r="R944" s="1" t="str">
        <x:v>Classified</x:v>
      </x:c>
      <x:c r="S944" s="1" t="str">
        <x:v>FilmInventory Data.csv</x:v>
      </x:c>
    </x:row>
    <x:row r="945" ht="21" customHeight="1">
      <x:c r="A945" s="1" t="str">
        <x:v>FILM</x:v>
      </x:c>
      <x:c r="B945" s="1" t="str">
        <x:v>30</x:v>
      </x:c>
      <x:c r="C945" s="1" t="str">
        <x:v>1250015C1</x:v>
      </x:c>
      <x:c r="D945" s="1" t="str">
        <x:v>**PAY ACH** POLYPLEX USA LLC</x:v>
      </x:c>
      <x:c r="E945" s="7" t="n">
        <x:v>46304</x:v>
      </x:c>
      <x:c r="F945" s="8" t="n">
        <x:v>53</x:v>
      </x:c>
      <x:c r="G945" s="8" t="n">
        <x:v>4.83</x:v>
      </x:c>
      <x:c r="H945" s="8" t="n">
        <x:v>6.48</x:v>
      </x:c>
      <x:c r="I945" s="8" t="n">
        <x:v>7.78</x:v>
      </x:c>
      <x:c r="J945" s="8" t="n">
        <x:v>1</x:v>
      </x:c>
      <x:c r="K945" s="8" t="n">
        <x:v>1</x:v>
      </x:c>
      <x:c r="L945" s="8" t="n">
        <x:v>53</x:v>
      </x:c>
      <x:c r="M945" s="8" t="n">
        <x:v>0</x:v>
      </x:c>
      <x:c r="N945" s="8" t="n">
        <x:v>0</x:v>
      </x:c>
      <x:c r="O945" s="8" t="n">
        <x:v>1</x:v>
      </x:c>
      <x:c r="P945" s="8" t="n">
        <x:v>6.48</x:v>
      </x:c>
      <x:c r="Q945" s="9" t="n">
        <x:v>343.44</x:v>
      </x:c>
      <x:c r="R945" s="1" t="str">
        <x:v>Classified</x:v>
      </x:c>
      <x:c r="S945" s="1" t="str">
        <x:v>FilmInventory Data.csv</x:v>
      </x:c>
    </x:row>
    <x:row r="946" ht="21" customHeight="1">
      <x:c r="A946" s="1" t="str">
        <x:v>FILM</x:v>
      </x:c>
      <x:c r="B946" s="1" t="str">
        <x:v>60</x:v>
      </x:c>
      <x:c r="C946" s="1" t="str">
        <x:v>252005C2</x:v>
      </x:c>
      <x:c r="D946" s="1" t="str">
        <x:v>**PAY ACH** POLYPLEX USA LLC</x:v>
      </x:c>
      <x:c r="E946" s="7" t="n">
        <x:v>46304</x:v>
      </x:c>
      <x:c r="F946" s="8" t="n">
        <x:v>38</x:v>
      </x:c>
      <x:c r="G946" s="8" t="n">
        <x:v>4.83</x:v>
      </x:c>
      <x:c r="H946" s="8" t="n">
        <x:v>21.18</x:v>
      </x:c>
      <x:c r="I946" s="8" t="n">
        <x:v>25.44</x:v>
      </x:c>
      <x:c r="J946" s="8" t="n">
        <x:v>1</x:v>
      </x:c>
      <x:c r="K946" s="8" t="n">
        <x:v>1</x:v>
      </x:c>
      <x:c r="L946" s="8" t="n">
        <x:v>38</x:v>
      </x:c>
      <x:c r="M946" s="8" t="n">
        <x:v>0</x:v>
      </x:c>
      <x:c r="N946" s="8" t="n">
        <x:v>0</x:v>
      </x:c>
      <x:c r="O946" s="8" t="n">
        <x:v>1</x:v>
      </x:c>
      <x:c r="P946" s="8" t="n">
        <x:v>21.18</x:v>
      </x:c>
      <x:c r="Q946" s="9" t="n">
        <x:v>804.84</x:v>
      </x:c>
      <x:c r="R946" s="1" t="str">
        <x:v>Classified</x:v>
      </x:c>
      <x:c r="S946" s="1" t="str">
        <x:v>FilmInventory Data.csv</x:v>
      </x:c>
    </x:row>
    <x:row r="947" ht="21" customHeight="1">
      <x:c r="A947" s="1" t="str">
        <x:v>FILM</x:v>
      </x:c>
      <x:c r="B947" s="1" t="str">
        <x:v>60</x:v>
      </x:c>
      <x:c r="C947" s="1" t="str">
        <x:v>2550015C2</x:v>
      </x:c>
      <x:c r="D947" s="1" t="str">
        <x:v>**PAY ACH** POLYPLEX USA LLC</x:v>
      </x:c>
      <x:c r="E947" s="7" t="n">
        <x:v>46304</x:v>
      </x:c>
      <x:c r="F947" s="8" t="n">
        <x:v>136</x:v>
      </x:c>
      <x:c r="G947" s="8" t="n">
        <x:v>4.5</x:v>
      </x:c>
      <x:c r="H947" s="8" t="n">
        <x:v>13.5</x:v>
      </x:c>
      <x:c r="I947" s="8" t="n">
        <x:v>16.2</x:v>
      </x:c>
      <x:c r="J947" s="8" t="n">
        <x:v>1</x:v>
      </x:c>
      <x:c r="K947" s="8" t="n">
        <x:v>1</x:v>
      </x:c>
      <x:c r="L947" s="8" t="n">
        <x:v>136</x:v>
      </x:c>
      <x:c r="M947" s="8" t="n">
        <x:v>0</x:v>
      </x:c>
      <x:c r="N947" s="8" t="n">
        <x:v>0</x:v>
      </x:c>
      <x:c r="O947" s="8" t="n">
        <x:v>1</x:v>
      </x:c>
      <x:c r="P947" s="8" t="n">
        <x:v>13.5</x:v>
      </x:c>
      <x:c r="Q947" s="9" t="n">
        <x:v>1836</x:v>
      </x:c>
      <x:c r="R947" s="1" t="str">
        <x:v>Classified</x:v>
      </x:c>
      <x:c r="S947" s="1" t="str">
        <x:v>FilmInventory Data.csv</x:v>
      </x:c>
    </x:row>
    <x:row r="948" ht="21" customHeight="1">
      <x:c r="A948" s="1" t="str">
        <x:v>FILM</x:v>
      </x:c>
      <x:c r="B948" s="1" t="str">
        <x:v>10</x:v>
      </x:c>
      <x:c r="C948" s="1" t="str">
        <x:v>HLA1215G</x:v>
      </x:c>
      <x:c r="D948" s="1" t="str">
        <x:v>MARTIN YALE INDUSTRIES</x:v>
      </x:c>
      <x:c r="E948" s="7" t="n">
        <x:v>46304</x:v>
      </x:c>
      <x:c r="F948" s="8" t="n">
        <x:v>30</x:v>
      </x:c>
      <x:c r="G948" s="8" t="n">
        <x:v>4.33</x:v>
      </x:c>
      <x:c r="H948" s="8" t="n">
        <x:v>70.68</x:v>
      </x:c>
      <x:c r="I948" s="8" t="n">
        <x:v>70.68</x:v>
      </x:c>
      <x:c r="J948" s="8" t="n">
        <x:v>1</x:v>
      </x:c>
      <x:c r="K948" s="8" t="n">
        <x:v>1</x:v>
      </x:c>
      <x:c r="L948" s="8" t="n">
        <x:v>0</x:v>
      </x:c>
      <x:c r="M948" s="8" t="n">
        <x:v>0</x:v>
      </x:c>
      <x:c r="N948" s="8" t="n">
        <x:v>30</x:v>
      </x:c>
      <x:c r="O948" s="8" t="n">
        <x:v>0</x:v>
      </x:c>
      <x:c r="P948" s="8"/>
      <x:c r="Q948" s="9" t="n">
        <x:v>2120.4</x:v>
      </x:c>
      <x:c r="R948" s="1" t="str">
        <x:v>Review receipt reconciliation or original PO baseline</x:v>
      </x:c>
      <x:c r="S948" s="1" t="str">
        <x:v>FilmInventory Data.csv</x:v>
      </x:c>
    </x:row>
    <x:row r="949" ht="21" customHeight="1">
      <x:c r="A949" s="1" t="str">
        <x:v>FILM</x:v>
      </x:c>
      <x:c r="B949" s="1" t="str">
        <x:v>60</x:v>
      </x:c>
      <x:c r="C949" s="1" t="str">
        <x:v>402005C2</x:v>
      </x:c>
      <x:c r="D949" s="1" t="str">
        <x:v>**PAY ACH** POLYPLEX USA LLC</x:v>
      </x:c>
      <x:c r="E949" s="7" t="n">
        <x:v>46304</x:v>
      </x:c>
      <x:c r="F949" s="8" t="n">
        <x:v>162</x:v>
      </x:c>
      <x:c r="G949" s="8" t="n">
        <x:v>4.33</x:v>
      </x:c>
      <x:c r="H949" s="8" t="n">
        <x:v>33.89</x:v>
      </x:c>
      <x:c r="I949" s="8" t="n">
        <x:v>40.7</x:v>
      </x:c>
      <x:c r="J949" s="8" t="n">
        <x:v>1</x:v>
      </x:c>
      <x:c r="K949" s="8" t="n">
        <x:v>1</x:v>
      </x:c>
      <x:c r="L949" s="8" t="n">
        <x:v>162</x:v>
      </x:c>
      <x:c r="M949" s="8" t="n">
        <x:v>0</x:v>
      </x:c>
      <x:c r="N949" s="8" t="n">
        <x:v>0</x:v>
      </x:c>
      <x:c r="O949" s="8" t="n">
        <x:v>1</x:v>
      </x:c>
      <x:c r="P949" s="8" t="n">
        <x:v>33.89</x:v>
      </x:c>
      <x:c r="Q949" s="9" t="n">
        <x:v>5490.18</x:v>
      </x:c>
      <x:c r="R949" s="1" t="str">
        <x:v>Classified</x:v>
      </x:c>
      <x:c r="S949" s="1" t="str">
        <x:v>FilmInventory Data.csv</x:v>
      </x:c>
    </x:row>
    <x:row r="950" ht="21" customHeight="1">
      <x:c r="A950" s="1" t="str">
        <x:v>FILM</x:v>
      </x:c>
      <x:c r="B950" s="1" t="str">
        <x:v>10</x:v>
      </x:c>
      <x:c r="C950" s="1" t="str">
        <x:v>2750017C1</x:v>
      </x:c>
      <x:c r="D950" s="1" t="str">
        <x:v>**PAY ACH** POLYPLEX USA LLC</x:v>
      </x:c>
      <x:c r="E950" s="7" t="n">
        <x:v>46304</x:v>
      </x:c>
      <x:c r="F950" s="8" t="n">
        <x:v>84</x:v>
      </x:c>
      <x:c r="G950" s="8" t="n">
        <x:v>4.17</x:v>
      </x:c>
      <x:c r="H950" s="8" t="n">
        <x:v>20.9</x:v>
      </x:c>
      <x:c r="I950" s="8" t="n">
        <x:v>25.11</x:v>
      </x:c>
      <x:c r="J950" s="8" t="n">
        <x:v>1</x:v>
      </x:c>
      <x:c r="K950" s="8" t="n">
        <x:v>1</x:v>
      </x:c>
      <x:c r="L950" s="8" t="n">
        <x:v>0</x:v>
      </x:c>
      <x:c r="M950" s="8" t="n">
        <x:v>84</x:v>
      </x:c>
      <x:c r="N950" s="8" t="n">
        <x:v>0</x:v>
      </x:c>
      <x:c r="O950" s="8" t="n">
        <x:v>1</x:v>
      </x:c>
      <x:c r="P950" s="8" t="n">
        <x:v>20.9</x:v>
      </x:c>
      <x:c r="Q950" s="9" t="n">
        <x:v>1755.6</x:v>
      </x:c>
      <x:c r="R950" s="1" t="str">
        <x:v>Classified</x:v>
      </x:c>
      <x:c r="S950" s="1" t="str">
        <x:v>FilmInventory Data.csv</x:v>
      </x:c>
    </x:row>
    <x:row r="951" ht="21" customHeight="1">
      <x:c r="A951" s="1" t="str">
        <x:v>FILM</x:v>
      </x:c>
      <x:c r="B951" s="1" t="str">
        <x:v>10</x:v>
      </x:c>
      <x:c r="C951" s="1" t="str">
        <x:v>PR402503C2</x:v>
      </x:c>
      <x:c r="D951" s="1" t="str">
        <x:v>**PAY ACH** POLYPLEX USA LLC</x:v>
      </x:c>
      <x:c r="E951" s="7" t="n">
        <x:v>46304</x:v>
      </x:c>
      <x:c r="F951" s="8" t="n">
        <x:v>62</x:v>
      </x:c>
      <x:c r="G951" s="8" t="n">
        <x:v>4</x:v>
      </x:c>
      <x:c r="H951" s="8" t="n">
        <x:v>27</x:v>
      </x:c>
      <x:c r="I951" s="8" t="n">
        <x:v>32.4</x:v>
      </x:c>
      <x:c r="J951" s="8" t="n">
        <x:v>1</x:v>
      </x:c>
      <x:c r="K951" s="8" t="n">
        <x:v>1</x:v>
      </x:c>
      <x:c r="L951" s="8" t="n">
        <x:v>0</x:v>
      </x:c>
      <x:c r="M951" s="8" t="n">
        <x:v>62</x:v>
      </x:c>
      <x:c r="N951" s="8" t="n">
        <x:v>0</x:v>
      </x:c>
      <x:c r="O951" s="8" t="n">
        <x:v>1</x:v>
      </x:c>
      <x:c r="P951" s="8" t="n">
        <x:v>27</x:v>
      </x:c>
      <x:c r="Q951" s="9" t="n">
        <x:v>1674</x:v>
      </x:c>
      <x:c r="R951" s="1" t="str">
        <x:v>Classified</x:v>
      </x:c>
      <x:c r="S951" s="1" t="str">
        <x:v>FilmInventory Data.csv</x:v>
      </x:c>
    </x:row>
    <x:row r="952" ht="21" customHeight="1">
      <x:c r="A952" s="1" t="str">
        <x:v>FILM</x:v>
      </x:c>
      <x:c r="B952" s="1" t="str">
        <x:v>10</x:v>
      </x:c>
      <x:c r="C952" s="1" t="str">
        <x:v>1850010C3</x:v>
      </x:c>
      <x:c r="D952" s="1" t="str">
        <x:v>**PAY ACH** POLYPLEX USA LLC</x:v>
      </x:c>
      <x:c r="E952" s="7" t="n">
        <x:v>46304</x:v>
      </x:c>
      <x:c r="F952" s="8" t="n">
        <x:v>5</x:v>
      </x:c>
      <x:c r="G952" s="8" t="n">
        <x:v>3.67</x:v>
      </x:c>
      <x:c r="H952" s="8" t="n">
        <x:v>85.32</x:v>
      </x:c>
      <x:c r="I952" s="8" t="n">
        <x:v>102.38</x:v>
      </x:c>
      <x:c r="J952" s="8" t="n">
        <x:v>1</x:v>
      </x:c>
      <x:c r="K952" s="8" t="n">
        <x:v>1</x:v>
      </x:c>
      <x:c r="L952" s="8" t="n">
        <x:v>0</x:v>
      </x:c>
      <x:c r="M952" s="8" t="n">
        <x:v>5</x:v>
      </x:c>
      <x:c r="N952" s="8" t="n">
        <x:v>0</x:v>
      </x:c>
      <x:c r="O952" s="8" t="n">
        <x:v>1</x:v>
      </x:c>
      <x:c r="P952" s="8" t="n">
        <x:v>85.32</x:v>
      </x:c>
      <x:c r="Q952" s="9" t="n">
        <x:v>426.59999999999997</x:v>
      </x:c>
      <x:c r="R952" s="1" t="str">
        <x:v>Classified</x:v>
      </x:c>
      <x:c r="S952" s="1" t="str">
        <x:v>FilmInventory Data.csv</x:v>
      </x:c>
    </x:row>
    <x:row r="953" ht="21" customHeight="1">
      <x:c r="A953" s="1" t="str">
        <x:v>FILM</x:v>
      </x:c>
      <x:c r="B953" s="1" t="str">
        <x:v>10</x:v>
      </x:c>
      <x:c r="C953" s="1" t="str">
        <x:v>PR182503C1</x:v>
      </x:c>
      <x:c r="D953" s="1" t="str">
        <x:v>**PAY ACH** POLYPLEX USA LLC</x:v>
      </x:c>
      <x:c r="E953" s="7" t="n">
        <x:v>46304</x:v>
      </x:c>
      <x:c r="F953" s="8" t="n">
        <x:v>150</x:v>
      </x:c>
      <x:c r="G953" s="8" t="n">
        <x:v>3.67</x:v>
      </x:c>
      <x:c r="H953" s="8" t="n">
        <x:v>12.15</x:v>
      </x:c>
      <x:c r="I953" s="8" t="n">
        <x:v>14.58</x:v>
      </x:c>
      <x:c r="J953" s="8" t="n">
        <x:v>1</x:v>
      </x:c>
      <x:c r="K953" s="8" t="n">
        <x:v>1</x:v>
      </x:c>
      <x:c r="L953" s="8" t="n">
        <x:v>150</x:v>
      </x:c>
      <x:c r="M953" s="8" t="n">
        <x:v>0</x:v>
      </x:c>
      <x:c r="N953" s="8" t="n">
        <x:v>0</x:v>
      </x:c>
      <x:c r="O953" s="8" t="n">
        <x:v>1</x:v>
      </x:c>
      <x:c r="P953" s="8" t="n">
        <x:v>12.15</x:v>
      </x:c>
      <x:c r="Q953" s="9" t="n">
        <x:v>1822.5</x:v>
      </x:c>
      <x:c r="R953" s="1" t="str">
        <x:v>Classified</x:v>
      </x:c>
      <x:c r="S953" s="1" t="str">
        <x:v>FilmInventory Data.csv</x:v>
      </x:c>
    </x:row>
    <x:row r="954" ht="21" customHeight="1">
      <x:c r="A954" s="1" t="str">
        <x:v>FILM</x:v>
      </x:c>
      <x:c r="B954" s="1" t="str">
        <x:v>10</x:v>
      </x:c>
      <x:c r="C954" s="1" t="str">
        <x:v>HLA125G</x:v>
      </x:c>
      <x:c r="D954" s="1" t="str">
        <x:v>MARTIN YALE INDUSTRIES</x:v>
      </x:c>
      <x:c r="E954" s="7" t="n">
        <x:v>46304</x:v>
      </x:c>
      <x:c r="F954" s="8" t="n">
        <x:v>32</x:v>
      </x:c>
      <x:c r="G954" s="8" t="n">
        <x:v>3.67</x:v>
      </x:c>
      <x:c r="H954" s="8" t="n">
        <x:v>65.05</x:v>
      </x:c>
      <x:c r="I954" s="8" t="n">
        <x:v>65.05</x:v>
      </x:c>
      <x:c r="J954" s="8" t="n">
        <x:v>1</x:v>
      </x:c>
      <x:c r="K954" s="8" t="n">
        <x:v>1</x:v>
      </x:c>
      <x:c r="L954" s="8" t="n">
        <x:v>0</x:v>
      </x:c>
      <x:c r="M954" s="8" t="n">
        <x:v>0</x:v>
      </x:c>
      <x:c r="N954" s="8" t="n">
        <x:v>32</x:v>
      </x:c>
      <x:c r="O954" s="8" t="n">
        <x:v>0</x:v>
      </x:c>
      <x:c r="P954" s="8"/>
      <x:c r="Q954" s="9" t="n">
        <x:v>2081.6</x:v>
      </x:c>
      <x:c r="R954" s="1" t="str">
        <x:v>Review receipt reconciliation or original PO baseline</x:v>
      </x:c>
      <x:c r="S954" s="1" t="str">
        <x:v>FilmInventory Data.csv</x:v>
      </x:c>
    </x:row>
    <x:row r="955" ht="21" customHeight="1">
      <x:c r="A955" s="1" t="str">
        <x:v>FILM</x:v>
      </x:c>
      <x:c r="B955" s="1" t="str">
        <x:v>30</x:v>
      </x:c>
      <x:c r="C955" s="1" t="str">
        <x:v>122005C1</x:v>
      </x:c>
      <x:c r="D955" s="1" t="str">
        <x:v>**PAY ACH** POLYPLEX USA LLC</x:v>
      </x:c>
      <x:c r="E955" s="7" t="n">
        <x:v>46304</x:v>
      </x:c>
      <x:c r="F955" s="8" t="n">
        <x:v>108</x:v>
      </x:c>
      <x:c r="G955" s="8" t="n">
        <x:v>3.67</x:v>
      </x:c>
      <x:c r="H955" s="8" t="n">
        <x:v>10.17</x:v>
      </x:c>
      <x:c r="I955" s="8" t="n">
        <x:v>12.21</x:v>
      </x:c>
      <x:c r="J955" s="8" t="n">
        <x:v>1</x:v>
      </x:c>
      <x:c r="K955" s="8" t="n">
        <x:v>1</x:v>
      </x:c>
      <x:c r="L955" s="8" t="n">
        <x:v>108</x:v>
      </x:c>
      <x:c r="M955" s="8" t="n">
        <x:v>0</x:v>
      </x:c>
      <x:c r="N955" s="8" t="n">
        <x:v>0</x:v>
      </x:c>
      <x:c r="O955" s="8" t="n">
        <x:v>1</x:v>
      </x:c>
      <x:c r="P955" s="8" t="n">
        <x:v>10.17</x:v>
      </x:c>
      <x:c r="Q955" s="9" t="n">
        <x:v>1098.36</x:v>
      </x:c>
      <x:c r="R955" s="1" t="str">
        <x:v>Classified</x:v>
      </x:c>
      <x:c r="S955" s="1" t="str">
        <x:v>FilmInventory Data.csv</x:v>
      </x:c>
    </x:row>
    <x:row r="956" ht="21" customHeight="1">
      <x:c r="A956" s="1" t="str">
        <x:v>FILM</x:v>
      </x:c>
      <x:c r="B956" s="1" t="str">
        <x:v>30</x:v>
      </x:c>
      <x:c r="C956" s="1" t="str">
        <x:v>1250015C2</x:v>
      </x:c>
      <x:c r="D956" s="1" t="str">
        <x:v>**PAY ACH** POLYPLEX USA LLC</x:v>
      </x:c>
      <x:c r="E956" s="7" t="n">
        <x:v>46304</x:v>
      </x:c>
      <x:c r="F956" s="8" t="n">
        <x:v>112</x:v>
      </x:c>
      <x:c r="G956" s="8" t="n">
        <x:v>3.67</x:v>
      </x:c>
      <x:c r="H956" s="8" t="n">
        <x:v>6.48</x:v>
      </x:c>
      <x:c r="I956" s="8" t="n">
        <x:v>7.78</x:v>
      </x:c>
      <x:c r="J956" s="8" t="n">
        <x:v>1</x:v>
      </x:c>
      <x:c r="K956" s="8" t="n">
        <x:v>1</x:v>
      </x:c>
      <x:c r="L956" s="8" t="n">
        <x:v>112</x:v>
      </x:c>
      <x:c r="M956" s="8" t="n">
        <x:v>0</x:v>
      </x:c>
      <x:c r="N956" s="8" t="n">
        <x:v>0</x:v>
      </x:c>
      <x:c r="O956" s="8" t="n">
        <x:v>1</x:v>
      </x:c>
      <x:c r="P956" s="8" t="n">
        <x:v>6.48</x:v>
      </x:c>
      <x:c r="Q956" s="9" t="n">
        <x:v>725.76</x:v>
      </x:c>
      <x:c r="R956" s="1" t="str">
        <x:v>Classified</x:v>
      </x:c>
      <x:c r="S956" s="1" t="str">
        <x:v>FilmInventory Data.csv</x:v>
      </x:c>
    </x:row>
    <x:row r="957" ht="21" customHeight="1">
      <x:c r="A957" s="1" t="str">
        <x:v>FILM</x:v>
      </x:c>
      <x:c r="B957" s="1" t="str">
        <x:v>10</x:v>
      </x:c>
      <x:c r="C957" s="1" t="str">
        <x:v>185005C2</x:v>
      </x:c>
      <x:c r="D957" s="1" t="str">
        <x:v>**PAY ACH** POLYPLEX USA LLC</x:v>
      </x:c>
      <x:c r="E957" s="7" t="n">
        <x:v>46304</x:v>
      </x:c>
      <x:c r="F957" s="8" t="n">
        <x:v>22</x:v>
      </x:c>
      <x:c r="G957" s="8" t="n">
        <x:v>3.5</x:v>
      </x:c>
      <x:c r="H957" s="8" t="n">
        <x:v>38.12</x:v>
      </x:c>
      <x:c r="I957" s="8" t="n">
        <x:v>45.79</x:v>
      </x:c>
      <x:c r="J957" s="8" t="n">
        <x:v>1</x:v>
      </x:c>
      <x:c r="K957" s="8" t="n">
        <x:v>1</x:v>
      </x:c>
      <x:c r="L957" s="8" t="n">
        <x:v>22</x:v>
      </x:c>
      <x:c r="M957" s="8" t="n">
        <x:v>0</x:v>
      </x:c>
      <x:c r="N957" s="8" t="n">
        <x:v>0</x:v>
      </x:c>
      <x:c r="O957" s="8" t="n">
        <x:v>1</x:v>
      </x:c>
      <x:c r="P957" s="8" t="n">
        <x:v>38.12</x:v>
      </x:c>
      <x:c r="Q957" s="9" t="n">
        <x:v>838.64</x:v>
      </x:c>
      <x:c r="R957" s="1" t="str">
        <x:v>Classified</x:v>
      </x:c>
      <x:c r="S957" s="1" t="str">
        <x:v>FilmInventory Data.csv</x:v>
      </x:c>
    </x:row>
    <x:row r="958" ht="21" customHeight="1">
      <x:c r="A958" s="1" t="str">
        <x:v>FILM</x:v>
      </x:c>
      <x:c r="B958" s="1" t="str">
        <x:v>10</x:v>
      </x:c>
      <x:c r="C958" s="1" t="str">
        <x:v>2550015C2</x:v>
      </x:c>
      <x:c r="D958" s="1" t="str">
        <x:v>**PAY ACH** POLYPLEX USA LLC</x:v>
      </x:c>
      <x:c r="E958" s="7" t="n">
        <x:v>46304</x:v>
      </x:c>
      <x:c r="F958" s="8" t="n">
        <x:v>76</x:v>
      </x:c>
      <x:c r="G958" s="8" t="n">
        <x:v>3.33</x:v>
      </x:c>
      <x:c r="H958" s="8" t="n">
        <x:v>13.5</x:v>
      </x:c>
      <x:c r="I958" s="8" t="n">
        <x:v>16.2</x:v>
      </x:c>
      <x:c r="J958" s="8" t="n">
        <x:v>1</x:v>
      </x:c>
      <x:c r="K958" s="8" t="n">
        <x:v>1</x:v>
      </x:c>
      <x:c r="L958" s="8" t="n">
        <x:v>0</x:v>
      </x:c>
      <x:c r="M958" s="8" t="n">
        <x:v>0</x:v>
      </x:c>
      <x:c r="N958" s="8" t="n">
        <x:v>76</x:v>
      </x:c>
      <x:c r="O958" s="8" t="n">
        <x:v>0</x:v>
      </x:c>
      <x:c r="P958" s="8" t="n">
        <x:v>13.5</x:v>
      </x:c>
      <x:c r="Q958" s="9" t="n">
        <x:v>1026</x:v>
      </x:c>
      <x:c r="R958" s="1" t="str">
        <x:v>Review receipt reconciliation or original PO baseline</x:v>
      </x:c>
      <x:c r="S958" s="1" t="str">
        <x:v>FilmInventory Data.csv</x:v>
      </x:c>
    </x:row>
    <x:row r="959" ht="21" customHeight="1">
      <x:c r="A959" s="1" t="str">
        <x:v>FILM</x:v>
      </x:c>
      <x:c r="B959" s="1" t="str">
        <x:v>10</x:v>
      </x:c>
      <x:c r="C959" s="1" t="str">
        <x:v>PR142503C1</x:v>
      </x:c>
      <x:c r="D959" s="1" t="str">
        <x:v>**PAY ACH** POLYPLEX USA LLC</x:v>
      </x:c>
      <x:c r="E959" s="7" t="n">
        <x:v>46304</x:v>
      </x:c>
      <x:c r="F959" s="8" t="n">
        <x:v>68</x:v>
      </x:c>
      <x:c r="G959" s="8" t="n">
        <x:v>3.33</x:v>
      </x:c>
      <x:c r="H959" s="8" t="n">
        <x:v>6.38</x:v>
      </x:c>
      <x:c r="I959" s="8" t="n">
        <x:v>0</x:v>
      </x:c>
      <x:c r="J959" s="8" t="n">
        <x:v>1</x:v>
      </x:c>
      <x:c r="K959" s="8" t="n">
        <x:v>1</x:v>
      </x:c>
      <x:c r="L959" s="8" t="n">
        <x:v>0</x:v>
      </x:c>
      <x:c r="M959" s="8" t="n">
        <x:v>0</x:v>
      </x:c>
      <x:c r="N959" s="8" t="n">
        <x:v>68</x:v>
      </x:c>
      <x:c r="O959" s="8" t="n">
        <x:v>0</x:v>
      </x:c>
      <x:c r="P959" s="8"/>
      <x:c r="Q959" s="9" t="n">
        <x:v>433.84</x:v>
      </x:c>
      <x:c r="R959" s="1" t="str">
        <x:v>Review receipt reconciliation or original PO baseline</x:v>
      </x:c>
      <x:c r="S959" s="1" t="str">
        <x:v>FilmInventory Data.csv</x:v>
      </x:c>
    </x:row>
    <x:row r="960" ht="21" customHeight="1">
      <x:c r="A960" s="1" t="str">
        <x:v>FILM</x:v>
      </x:c>
      <x:c r="B960" s="1" t="str">
        <x:v>30</x:v>
      </x:c>
      <x:c r="C960" s="1" t="str">
        <x:v>1810010C1</x:v>
      </x:c>
      <x:c r="D960" s="1" t="str">
        <x:v>**PAY ACH** POLYPLEX USA LLC</x:v>
      </x:c>
      <x:c r="E960" s="7" t="n">
        <x:v>46304</x:v>
      </x:c>
      <x:c r="F960" s="8" t="n">
        <x:v>31</x:v>
      </x:c>
      <x:c r="G960" s="8" t="n">
        <x:v>3.33</x:v>
      </x:c>
      <x:c r="H960" s="8" t="n">
        <x:v>17.06</x:v>
      </x:c>
      <x:c r="I960" s="8" t="n">
        <x:v>20.47</x:v>
      </x:c>
      <x:c r="J960" s="8" t="n">
        <x:v>1</x:v>
      </x:c>
      <x:c r="K960" s="8" t="n">
        <x:v>1</x:v>
      </x:c>
      <x:c r="L960" s="8" t="n">
        <x:v>0</x:v>
      </x:c>
      <x:c r="M960" s="8" t="n">
        <x:v>0</x:v>
      </x:c>
      <x:c r="N960" s="8" t="n">
        <x:v>31</x:v>
      </x:c>
      <x:c r="O960" s="8" t="n">
        <x:v>0</x:v>
      </x:c>
      <x:c r="P960" s="8" t="n">
        <x:v>17.06</x:v>
      </x:c>
      <x:c r="Q960" s="9" t="n">
        <x:v>528.86</x:v>
      </x:c>
      <x:c r="R960" s="1" t="str">
        <x:v>Review receipt reconciliation or original PO baseline</x:v>
      </x:c>
      <x:c r="S960" s="1" t="str">
        <x:v>FilmInventory Data.csv</x:v>
      </x:c>
    </x:row>
    <x:row r="961" ht="21" customHeight="1">
      <x:c r="A961" s="1" t="str">
        <x:v>FILM</x:v>
      </x:c>
      <x:c r="B961" s="1" t="str">
        <x:v>30</x:v>
      </x:c>
      <x:c r="C961" s="1" t="str">
        <x:v>2710010C1</x:v>
      </x:c>
      <x:c r="D961" s="1" t="str">
        <x:v>**PAY ACH** POLYPLEX USA LLC</x:v>
      </x:c>
      <x:c r="E961" s="7" t="n">
        <x:v>46304</x:v>
      </x:c>
      <x:c r="F961" s="8" t="n">
        <x:v>60</x:v>
      </x:c>
      <x:c r="G961" s="8" t="n">
        <x:v>3.33</x:v>
      </x:c>
      <x:c r="H961" s="8" t="n">
        <x:v>25.6</x:v>
      </x:c>
      <x:c r="I961" s="8" t="n">
        <x:v>30.72</x:v>
      </x:c>
      <x:c r="J961" s="8" t="n">
        <x:v>1</x:v>
      </x:c>
      <x:c r="K961" s="8" t="n">
        <x:v>1</x:v>
      </x:c>
      <x:c r="L961" s="8" t="n">
        <x:v>60</x:v>
      </x:c>
      <x:c r="M961" s="8" t="n">
        <x:v>0</x:v>
      </x:c>
      <x:c r="N961" s="8" t="n">
        <x:v>0</x:v>
      </x:c>
      <x:c r="O961" s="8" t="n">
        <x:v>1</x:v>
      </x:c>
      <x:c r="P961" s="8" t="n">
        <x:v>25.6</x:v>
      </x:c>
      <x:c r="Q961" s="9" t="n">
        <x:v>1536</x:v>
      </x:c>
      <x:c r="R961" s="1" t="str">
        <x:v>Classified</x:v>
      </x:c>
      <x:c r="S961" s="1" t="str">
        <x:v>FilmInventory Data.csv</x:v>
      </x:c>
    </x:row>
    <x:row r="962" ht="21" customHeight="1">
      <x:c r="A962" s="1" t="str">
        <x:v>FILM</x:v>
      </x:c>
      <x:c r="B962" s="1" t="str">
        <x:v>30</x:v>
      </x:c>
      <x:c r="C962" s="1" t="str">
        <x:v>402005C2</x:v>
      </x:c>
      <x:c r="D962" s="1" t="str">
        <x:v>**PAY ACH** POLYPLEX USA LLC</x:v>
      </x:c>
      <x:c r="E962" s="7" t="n">
        <x:v>46304</x:v>
      </x:c>
      <x:c r="F962" s="8" t="n">
        <x:v>57</x:v>
      </x:c>
      <x:c r="G962" s="8" t="n">
        <x:v>3.33</x:v>
      </x:c>
      <x:c r="H962" s="8" t="n">
        <x:v>33.89</x:v>
      </x:c>
      <x:c r="I962" s="8" t="n">
        <x:v>40.7</x:v>
      </x:c>
      <x:c r="J962" s="8" t="n">
        <x:v>1</x:v>
      </x:c>
      <x:c r="K962" s="8" t="n">
        <x:v>1</x:v>
      </x:c>
      <x:c r="L962" s="8" t="n">
        <x:v>57</x:v>
      </x:c>
      <x:c r="M962" s="8" t="n">
        <x:v>0</x:v>
      </x:c>
      <x:c r="N962" s="8" t="n">
        <x:v>0</x:v>
      </x:c>
      <x:c r="O962" s="8" t="n">
        <x:v>1</x:v>
      </x:c>
      <x:c r="P962" s="8" t="n">
        <x:v>33.89</x:v>
      </x:c>
      <x:c r="Q962" s="9" t="n">
        <x:v>1931.73</x:v>
      </x:c>
      <x:c r="R962" s="1" t="str">
        <x:v>Classified</x:v>
      </x:c>
      <x:c r="S962" s="1" t="str">
        <x:v>FilmInventory Data.csv</x:v>
      </x:c>
    </x:row>
    <x:row r="963" ht="21" customHeight="1">
      <x:c r="A963" s="1" t="str">
        <x:v>FILM</x:v>
      </x:c>
      <x:c r="B963" s="1" t="str">
        <x:v>30</x:v>
      </x:c>
      <x:c r="C963" s="1" t="str">
        <x:v>432005C3</x:v>
      </x:c>
      <x:c r="D963" s="1" t="str">
        <x:v>**PAY ACH** POLYPLEX USA LLC</x:v>
      </x:c>
      <x:c r="E963" s="7" t="n">
        <x:v>46304</x:v>
      </x:c>
      <x:c r="F963" s="8" t="n">
        <x:v>12</x:v>
      </x:c>
      <x:c r="G963" s="8" t="n">
        <x:v>3.17</x:v>
      </x:c>
      <x:c r="H963" s="8" t="n">
        <x:v>36.43</x:v>
      </x:c>
      <x:c r="I963" s="8" t="n">
        <x:v>43.76</x:v>
      </x:c>
      <x:c r="J963" s="8" t="n">
        <x:v>1</x:v>
      </x:c>
      <x:c r="K963" s="8" t="n">
        <x:v>1</x:v>
      </x:c>
      <x:c r="L963" s="8" t="n">
        <x:v>12</x:v>
      </x:c>
      <x:c r="M963" s="8" t="n">
        <x:v>0</x:v>
      </x:c>
      <x:c r="N963" s="8" t="n">
        <x:v>0</x:v>
      </x:c>
      <x:c r="O963" s="8" t="n">
        <x:v>1</x:v>
      </x:c>
      <x:c r="P963" s="8" t="n">
        <x:v>36.43</x:v>
      </x:c>
      <x:c r="Q963" s="9" t="n">
        <x:v>546.45</x:v>
      </x:c>
      <x:c r="R963" s="1" t="str">
        <x:v>Classified</x:v>
      </x:c>
      <x:c r="S963" s="1" t="str">
        <x:v>FilmInventory Data.csv</x:v>
      </x:c>
    </x:row>
    <x:row r="964" ht="21" customHeight="1">
      <x:c r="A964" s="1" t="str">
        <x:v>FILM</x:v>
      </x:c>
      <x:c r="B964" s="1" t="str">
        <x:v>10</x:v>
      </x:c>
      <x:c r="C964" s="1" t="str">
        <x:v>PR382503C3</x:v>
      </x:c>
      <x:c r="D964" s="1" t="str">
        <x:v>**PAY ACH** POLYPLEX USA LLC</x:v>
      </x:c>
      <x:c r="E964" s="7" t="n">
        <x:v>46304</x:v>
      </x:c>
      <x:c r="F964" s="8" t="n">
        <x:v>118</x:v>
      </x:c>
      <x:c r="G964" s="8" t="n">
        <x:v>3</x:v>
      </x:c>
      <x:c r="H964" s="8" t="n">
        <x:v>25.65</x:v>
      </x:c>
      <x:c r="I964" s="8" t="n">
        <x:v>30.78</x:v>
      </x:c>
      <x:c r="J964" s="8" t="n">
        <x:v>1</x:v>
      </x:c>
      <x:c r="K964" s="8" t="n">
        <x:v>1</x:v>
      </x:c>
      <x:c r="L964" s="8" t="n">
        <x:v>82</x:v>
      </x:c>
      <x:c r="M964" s="8" t="n">
        <x:v>36</x:v>
      </x:c>
      <x:c r="N964" s="8" t="n">
        <x:v>0</x:v>
      </x:c>
      <x:c r="O964" s="8" t="n">
        <x:v>1</x:v>
      </x:c>
      <x:c r="P964" s="8" t="n">
        <x:v>25.65</x:v>
      </x:c>
      <x:c r="Q964" s="9" t="n">
        <x:v>3026.7</x:v>
      </x:c>
      <x:c r="R964" s="1" t="str">
        <x:v>Classified</x:v>
      </x:c>
      <x:c r="S964" s="1" t="str">
        <x:v>FilmInventory Data.csv</x:v>
      </x:c>
    </x:row>
    <x:row r="965" ht="21" customHeight="1">
      <x:c r="A965" s="1" t="str">
        <x:v>FILM</x:v>
      </x:c>
      <x:c r="B965" s="1" t="str">
        <x:v>60</x:v>
      </x:c>
      <x:c r="C965" s="1" t="str">
        <x:v>ST252005M1</x:v>
      </x:c>
      <x:c r="D965" s="1" t="str">
        <x:v>**PAY ACH** POLYPLEX USA LLC</x:v>
      </x:c>
      <x:c r="E965" s="7" t="n">
        <x:v>46304</x:v>
      </x:c>
      <x:c r="F965" s="8" t="n">
        <x:v>22</x:v>
      </x:c>
      <x:c r="G965" s="8" t="n">
        <x:v>3</x:v>
      </x:c>
      <x:c r="H965" s="8" t="n">
        <x:v>50.34</x:v>
      </x:c>
      <x:c r="I965" s="8" t="n">
        <x:v>60.6</x:v>
      </x:c>
      <x:c r="J965" s="8" t="n">
        <x:v>1</x:v>
      </x:c>
      <x:c r="K965" s="8" t="n">
        <x:v>1</x:v>
      </x:c>
      <x:c r="L965" s="8" t="n">
        <x:v>22</x:v>
      </x:c>
      <x:c r="M965" s="8" t="n">
        <x:v>0</x:v>
      </x:c>
      <x:c r="N965" s="8" t="n">
        <x:v>0</x:v>
      </x:c>
      <x:c r="O965" s="8" t="n">
        <x:v>1</x:v>
      </x:c>
      <x:c r="P965" s="8" t="n">
        <x:v>50.34</x:v>
      </x:c>
      <x:c r="Q965" s="9" t="n">
        <x:v>1107.48</x:v>
      </x:c>
      <x:c r="R965" s="1" t="str">
        <x:v>Classified</x:v>
      </x:c>
      <x:c r="S965" s="1" t="str">
        <x:v>FilmInventory Data.csv</x:v>
      </x:c>
    </x:row>
    <x:row r="966" ht="21" customHeight="1">
      <x:c r="A966" s="1" t="str">
        <x:v>FILM</x:v>
      </x:c>
      <x:c r="B966" s="1" t="str">
        <x:v>60</x:v>
      </x:c>
      <x:c r="C966" s="1" t="str">
        <x:v>ST2550017M1</x:v>
      </x:c>
      <x:c r="D966" s="1" t="str">
        <x:v>**PAY ACH** POLYPLEX USA LLC</x:v>
      </x:c>
      <x:c r="E966" s="7" t="n">
        <x:v>46304</x:v>
      </x:c>
      <x:c r="F966" s="8" t="n">
        <x:v>20</x:v>
      </x:c>
      <x:c r="G966" s="8" t="n">
        <x:v>3</x:v>
      </x:c>
      <x:c r="H966" s="8" t="n">
        <x:v>63</x:v>
      </x:c>
      <x:c r="I966" s="8" t="n">
        <x:v>75.6</x:v>
      </x:c>
      <x:c r="J966" s="8" t="n">
        <x:v>1</x:v>
      </x:c>
      <x:c r="K966" s="8" t="n">
        <x:v>1</x:v>
      </x:c>
      <x:c r="L966" s="8" t="n">
        <x:v>20</x:v>
      </x:c>
      <x:c r="M966" s="8" t="n">
        <x:v>0</x:v>
      </x:c>
      <x:c r="N966" s="8" t="n">
        <x:v>0</x:v>
      </x:c>
      <x:c r="O966" s="8" t="n">
        <x:v>1</x:v>
      </x:c>
      <x:c r="P966" s="8" t="n">
        <x:v>63</x:v>
      </x:c>
      <x:c r="Q966" s="9" t="n">
        <x:v>1260</x:v>
      </x:c>
      <x:c r="R966" s="1" t="str">
        <x:v>Classified</x:v>
      </x:c>
      <x:c r="S966" s="1" t="str">
        <x:v>FilmInventory Data.csv</x:v>
      </x:c>
    </x:row>
    <x:row r="967" ht="21" customHeight="1">
      <x:c r="A967" s="1" t="str">
        <x:v>FILM</x:v>
      </x:c>
      <x:c r="B967" s="1" t="str">
        <x:v>10</x:v>
      </x:c>
      <x:c r="C967" s="1" t="str">
        <x:v>3850017C3</x:v>
      </x:c>
      <x:c r="D967" s="1" t="str">
        <x:v>**PAY ACH** POLYPLEX USA LLC</x:v>
      </x:c>
      <x:c r="E967" s="7" t="n">
        <x:v>46304</x:v>
      </x:c>
      <x:c r="F967" s="8" t="n">
        <x:v>26</x:v>
      </x:c>
      <x:c r="G967" s="8" t="n">
        <x:v>2.83</x:v>
      </x:c>
      <x:c r="H967" s="8" t="n">
        <x:v>29.41</x:v>
      </x:c>
      <x:c r="I967" s="8" t="n">
        <x:v>35.34</x:v>
      </x:c>
      <x:c r="J967" s="8" t="n">
        <x:v>1</x:v>
      </x:c>
      <x:c r="K967" s="8" t="n">
        <x:v>1</x:v>
      </x:c>
      <x:c r="L967" s="8" t="n">
        <x:v>0</x:v>
      </x:c>
      <x:c r="M967" s="8" t="n">
        <x:v>26</x:v>
      </x:c>
      <x:c r="N967" s="8" t="n">
        <x:v>0</x:v>
      </x:c>
      <x:c r="O967" s="8" t="n">
        <x:v>1</x:v>
      </x:c>
      <x:c r="P967" s="8" t="n">
        <x:v>29.41</x:v>
      </x:c>
      <x:c r="Q967" s="9" t="n">
        <x:v>764.66</x:v>
      </x:c>
      <x:c r="R967" s="1" t="str">
        <x:v>Classified</x:v>
      </x:c>
      <x:c r="S967" s="1" t="str">
        <x:v>FilmInventory Data.csv</x:v>
      </x:c>
    </x:row>
    <x:row r="968" ht="21" customHeight="1">
      <x:c r="A968" s="1" t="str">
        <x:v>FILM</x:v>
      </x:c>
      <x:c r="B968" s="1" t="str">
        <x:v>30</x:v>
      </x:c>
      <x:c r="C968" s="1" t="str">
        <x:v>1850010C3</x:v>
      </x:c>
      <x:c r="D968" s="1" t="str">
        <x:v>**PAY ACH** POLYPLEX USA LLC</x:v>
      </x:c>
      <x:c r="E968" s="7" t="n">
        <x:v>46304</x:v>
      </x:c>
      <x:c r="F968" s="8" t="n">
        <x:v>18</x:v>
      </x:c>
      <x:c r="G968" s="8" t="n">
        <x:v>2.83</x:v>
      </x:c>
      <x:c r="H968" s="8" t="n">
        <x:v>85.32</x:v>
      </x:c>
      <x:c r="I968" s="8" t="n">
        <x:v>102.38</x:v>
      </x:c>
      <x:c r="J968" s="8" t="n">
        <x:v>1</x:v>
      </x:c>
      <x:c r="K968" s="8" t="n">
        <x:v>1</x:v>
      </x:c>
      <x:c r="L968" s="8" t="n">
        <x:v>18</x:v>
      </x:c>
      <x:c r="M968" s="8" t="n">
        <x:v>0</x:v>
      </x:c>
      <x:c r="N968" s="8" t="n">
        <x:v>0</x:v>
      </x:c>
      <x:c r="O968" s="8" t="n">
        <x:v>1</x:v>
      </x:c>
      <x:c r="P968" s="8" t="n">
        <x:v>85.32</x:v>
      </x:c>
      <x:c r="Q968" s="9" t="n">
        <x:v>1535.7599999999998</x:v>
      </x:c>
      <x:c r="R968" s="1" t="str">
        <x:v>Classified</x:v>
      </x:c>
      <x:c r="S968" s="1" t="str">
        <x:v>FilmInventory Data.csv</x:v>
      </x:c>
    </x:row>
    <x:row r="969" ht="21" customHeight="1">
      <x:c r="A969" s="1" t="str">
        <x:v>FILM</x:v>
      </x:c>
      <x:c r="B969" s="1" t="str">
        <x:v>30</x:v>
      </x:c>
      <x:c r="C969" s="1" t="str">
        <x:v>252503C2</x:v>
      </x:c>
      <x:c r="D969" s="1" t="str">
        <x:v>**PAY ACH** POLYPLEX USA LLC</x:v>
      </x:c>
      <x:c r="E969" s="7" t="n">
        <x:v>46304</x:v>
      </x:c>
      <x:c r="F969" s="8" t="n">
        <x:v>37</x:v>
      </x:c>
      <x:c r="G969" s="8" t="n">
        <x:v>2.83</x:v>
      </x:c>
      <x:c r="H969" s="8" t="n">
        <x:v>14.63</x:v>
      </x:c>
      <x:c r="I969" s="8" t="n">
        <x:v>17.55</x:v>
      </x:c>
      <x:c r="J969" s="8" t="n">
        <x:v>1</x:v>
      </x:c>
      <x:c r="K969" s="8" t="n">
        <x:v>1</x:v>
      </x:c>
      <x:c r="L969" s="8" t="n">
        <x:v>37</x:v>
      </x:c>
      <x:c r="M969" s="8" t="n">
        <x:v>0</x:v>
      </x:c>
      <x:c r="N969" s="8" t="n">
        <x:v>0</x:v>
      </x:c>
      <x:c r="O969" s="8" t="n">
        <x:v>1</x:v>
      </x:c>
      <x:c r="P969" s="8" t="n">
        <x:v>14.63</x:v>
      </x:c>
      <x:c r="Q969" s="9" t="n">
        <x:v>599.83</x:v>
      </x:c>
      <x:c r="R969" s="1" t="str">
        <x:v>Classified</x:v>
      </x:c>
      <x:c r="S969" s="1" t="str">
        <x:v>FilmInventory Data.csv</x:v>
      </x:c>
    </x:row>
    <x:row r="970" ht="21" customHeight="1">
      <x:c r="A970" s="1" t="str">
        <x:v>FILM</x:v>
      </x:c>
      <x:c r="B970" s="1" t="str">
        <x:v>60</x:v>
      </x:c>
      <x:c r="C970" s="1" t="str">
        <x:v>PR182503C1</x:v>
      </x:c>
      <x:c r="D970" s="1" t="str">
        <x:v>**PAY ACH** POLYPLEX USA LLC</x:v>
      </x:c>
      <x:c r="E970" s="7" t="n">
        <x:v>46304</x:v>
      </x:c>
      <x:c r="F970" s="8" t="n">
        <x:v>83</x:v>
      </x:c>
      <x:c r="G970" s="8" t="n">
        <x:v>2.83</x:v>
      </x:c>
      <x:c r="H970" s="8" t="n">
        <x:v>12.15</x:v>
      </x:c>
      <x:c r="I970" s="8" t="n">
        <x:v>14.58</x:v>
      </x:c>
      <x:c r="J970" s="8" t="n">
        <x:v>1</x:v>
      </x:c>
      <x:c r="K970" s="8" t="n">
        <x:v>1</x:v>
      </x:c>
      <x:c r="L970" s="8" t="n">
        <x:v>83</x:v>
      </x:c>
      <x:c r="M970" s="8" t="n">
        <x:v>0</x:v>
      </x:c>
      <x:c r="N970" s="8" t="n">
        <x:v>0</x:v>
      </x:c>
      <x:c r="O970" s="8" t="n">
        <x:v>1</x:v>
      </x:c>
      <x:c r="P970" s="8" t="n">
        <x:v>12.15</x:v>
      </x:c>
      <x:c r="Q970" s="9" t="n">
        <x:v>1008.45</x:v>
      </x:c>
      <x:c r="R970" s="1" t="str">
        <x:v>Classified</x:v>
      </x:c>
      <x:c r="S970" s="1" t="str">
        <x:v>FilmInventory Data.csv</x:v>
      </x:c>
    </x:row>
    <x:row r="971" ht="21" customHeight="1">
      <x:c r="A971" s="1" t="str">
        <x:v>FILM</x:v>
      </x:c>
      <x:c r="B971" s="1" t="str">
        <x:v>30</x:v>
      </x:c>
      <x:c r="C971" s="1" t="str">
        <x:v>92005C1</x:v>
      </x:c>
      <x:c r="D971" s="1" t="str">
        <x:v>**PAY ACH** POLYPLEX USA LLC</x:v>
      </x:c>
      <x:c r="E971" s="7" t="n">
        <x:v>46304</x:v>
      </x:c>
      <x:c r="F971" s="8" t="n">
        <x:v>0</x:v>
      </x:c>
      <x:c r="G971" s="8" t="n">
        <x:v>2.75</x:v>
      </x:c>
      <x:c r="H971" s="8" t="n">
        <x:v>5.14</x:v>
      </x:c>
      <x:c r="I971" s="8" t="n">
        <x:v>0</x:v>
      </x:c>
      <x:c r="J971" s="8" t="n">
        <x:v>1</x:v>
      </x:c>
      <x:c r="K971" s="8" t="n">
        <x:v>1</x:v>
      </x:c>
      <x:c r="L971" s="8" t="n">
        <x:v>0</x:v>
      </x:c>
      <x:c r="M971" s="8" t="n">
        <x:v>0</x:v>
      </x:c>
      <x:c r="N971" s="8" t="n">
        <x:v>0</x:v>
      </x:c>
      <x:c r="O971" s="8" t="n">
        <x:v>0</x:v>
      </x:c>
      <x:c r="P971" s="8"/>
      <x:c r="Q971" s="9" t="n">
        <x:v>0</x:v>
      </x:c>
      <x:c r="R971" s="1" t="str">
        <x:v>Review receipt reconciliation or original PO baseline</x:v>
      </x:c>
      <x:c r="S971" s="1" t="str">
        <x:v>FilmInventory Data.csv</x:v>
      </x:c>
    </x:row>
    <x:row r="972" ht="21" customHeight="1">
      <x:c r="A972" s="1" t="str">
        <x:v>FILM</x:v>
      </x:c>
      <x:c r="B972" s="1" t="str">
        <x:v>30</x:v>
      </x:c>
      <x:c r="C972" s="1" t="str">
        <x:v>1210010C1</x:v>
      </x:c>
      <x:c r="D972" s="1" t="str">
        <x:v>**PAY ACH** POLYPLEX USA LLC</x:v>
      </x:c>
      <x:c r="E972" s="7" t="n">
        <x:v>46304</x:v>
      </x:c>
      <x:c r="F972" s="8" t="n">
        <x:v>116</x:v>
      </x:c>
      <x:c r="G972" s="8" t="n">
        <x:v>2.67</x:v>
      </x:c>
      <x:c r="H972" s="8" t="n">
        <x:v>11.38</x:v>
      </x:c>
      <x:c r="I972" s="8" t="n">
        <x:v>13.66</x:v>
      </x:c>
      <x:c r="J972" s="8" t="n">
        <x:v>1</x:v>
      </x:c>
      <x:c r="K972" s="8" t="n">
        <x:v>1</x:v>
      </x:c>
      <x:c r="L972" s="8" t="n">
        <x:v>116</x:v>
      </x:c>
      <x:c r="M972" s="8" t="n">
        <x:v>0</x:v>
      </x:c>
      <x:c r="N972" s="8" t="n">
        <x:v>0</x:v>
      </x:c>
      <x:c r="O972" s="8" t="n">
        <x:v>1</x:v>
      </x:c>
      <x:c r="P972" s="8" t="n">
        <x:v>11.38</x:v>
      </x:c>
      <x:c r="Q972" s="9" t="n">
        <x:v>1320.0800000000002</x:v>
      </x:c>
      <x:c r="R972" s="1" t="str">
        <x:v>Classified</x:v>
      </x:c>
      <x:c r="S972" s="1" t="str">
        <x:v>FilmInventory Data.csv</x:v>
      </x:c>
    </x:row>
    <x:row r="973" ht="21" customHeight="1">
      <x:c r="A973" s="1" t="str">
        <x:v>FILM</x:v>
      </x:c>
      <x:c r="B973" s="1" t="str">
        <x:v>30</x:v>
      </x:c>
      <x:c r="C973" s="1" t="str">
        <x:v>PR382503C3</x:v>
      </x:c>
      <x:c r="D973" s="1" t="str">
        <x:v>**PAY ACH** POLYPLEX USA LLC</x:v>
      </x:c>
      <x:c r="E973" s="7" t="n">
        <x:v>46304</x:v>
      </x:c>
      <x:c r="F973" s="8" t="n">
        <x:v>20</x:v>
      </x:c>
      <x:c r="G973" s="8" t="n">
        <x:v>2.67</x:v>
      </x:c>
      <x:c r="H973" s="8" t="n">
        <x:v>25.65</x:v>
      </x:c>
      <x:c r="I973" s="8" t="n">
        <x:v>30.78</x:v>
      </x:c>
      <x:c r="J973" s="8" t="n">
        <x:v>1</x:v>
      </x:c>
      <x:c r="K973" s="8" t="n">
        <x:v>1</x:v>
      </x:c>
      <x:c r="L973" s="8" t="n">
        <x:v>20</x:v>
      </x:c>
      <x:c r="M973" s="8" t="n">
        <x:v>0</x:v>
      </x:c>
      <x:c r="N973" s="8" t="n">
        <x:v>0</x:v>
      </x:c>
      <x:c r="O973" s="8" t="n">
        <x:v>1</x:v>
      </x:c>
      <x:c r="P973" s="8" t="n">
        <x:v>25.65</x:v>
      </x:c>
      <x:c r="Q973" s="9" t="n">
        <x:v>513</x:v>
      </x:c>
      <x:c r="R973" s="1" t="str">
        <x:v>Classified</x:v>
      </x:c>
      <x:c r="S973" s="1" t="str">
        <x:v>FilmInventory Data.csv</x:v>
      </x:c>
    </x:row>
    <x:row r="974" ht="21" customHeight="1">
      <x:c r="A974" s="1" t="str">
        <x:v>FILM</x:v>
      </x:c>
      <x:c r="B974" s="1" t="str">
        <x:v>30</x:v>
      </x:c>
      <x:c r="C974" s="1" t="str">
        <x:v>PR272503C1</x:v>
      </x:c>
      <x:c r="D974" s="1" t="str">
        <x:v>**PAY ACH** POLYPLEX USA LLC</x:v>
      </x:c>
      <x:c r="E974" s="7" t="n">
        <x:v>46304</x:v>
      </x:c>
      <x:c r="F974" s="8" t="n">
        <x:v>450</x:v>
      </x:c>
      <x:c r="G974" s="8" t="n">
        <x:v>2.42</x:v>
      </x:c>
      <x:c r="H974" s="8" t="n">
        <x:v>18.23</x:v>
      </x:c>
      <x:c r="I974" s="8" t="n">
        <x:v>21.87</x:v>
      </x:c>
      <x:c r="J974" s="8" t="n">
        <x:v>1</x:v>
      </x:c>
      <x:c r="K974" s="8" t="n">
        <x:v>1</x:v>
      </x:c>
      <x:c r="L974" s="8" t="n">
        <x:v>450</x:v>
      </x:c>
      <x:c r="M974" s="8" t="n">
        <x:v>0</x:v>
      </x:c>
      <x:c r="N974" s="8" t="n">
        <x:v>0</x:v>
      </x:c>
      <x:c r="O974" s="8" t="n">
        <x:v>1</x:v>
      </x:c>
      <x:c r="P974" s="8" t="n">
        <x:v>18.23</x:v>
      </x:c>
      <x:c r="Q974" s="9" t="n">
        <x:v>8203.5</x:v>
      </x:c>
      <x:c r="R974" s="1" t="str">
        <x:v>Classified</x:v>
      </x:c>
      <x:c r="S974" s="1" t="str">
        <x:v>FilmInventory Data.csv</x:v>
      </x:c>
    </x:row>
    <x:row r="975" ht="21" customHeight="1">
      <x:c r="A975" s="1" t="str">
        <x:v>FILM</x:v>
      </x:c>
      <x:c r="B975" s="1" t="str">
        <x:v>10</x:v>
      </x:c>
      <x:c r="C975" s="1" t="str">
        <x:v>402005C2</x:v>
      </x:c>
      <x:c r="D975" s="1" t="str">
        <x:v>**PAY ACH** POLYPLEX USA LLC</x:v>
      </x:c>
      <x:c r="E975" s="7" t="n">
        <x:v>46304</x:v>
      </x:c>
      <x:c r="F975" s="8" t="n">
        <x:v>58</x:v>
      </x:c>
      <x:c r="G975" s="8" t="n">
        <x:v>2.33</x:v>
      </x:c>
      <x:c r="H975" s="8" t="n">
        <x:v>33.89</x:v>
      </x:c>
      <x:c r="I975" s="8" t="n">
        <x:v>40.7</x:v>
      </x:c>
      <x:c r="J975" s="8" t="n">
        <x:v>1</x:v>
      </x:c>
      <x:c r="K975" s="8" t="n">
        <x:v>1</x:v>
      </x:c>
      <x:c r="L975" s="8" t="n">
        <x:v>58</x:v>
      </x:c>
      <x:c r="M975" s="8" t="n">
        <x:v>0</x:v>
      </x:c>
      <x:c r="N975" s="8" t="n">
        <x:v>0</x:v>
      </x:c>
      <x:c r="O975" s="8" t="n">
        <x:v>1</x:v>
      </x:c>
      <x:c r="P975" s="8" t="n">
        <x:v>33.89</x:v>
      </x:c>
      <x:c r="Q975" s="9" t="n">
        <x:v>1965.6200000000001</x:v>
      </x:c>
      <x:c r="R975" s="1" t="str">
        <x:v>Classified</x:v>
      </x:c>
      <x:c r="S975" s="1" t="str">
        <x:v>FilmInventory Data.csv</x:v>
      </x:c>
    </x:row>
    <x:row r="976" ht="21" customHeight="1">
      <x:c r="A976" s="1" t="str">
        <x:v>FILM</x:v>
      </x:c>
      <x:c r="B976" s="1" t="str">
        <x:v>10</x:v>
      </x:c>
      <x:c r="C976" s="1" t="str">
        <x:v>ST252005M1</x:v>
      </x:c>
      <x:c r="D976" s="1" t="str">
        <x:v>**PAY ACH** POLYPLEX USA LLC</x:v>
      </x:c>
      <x:c r="E976" s="7" t="n">
        <x:v>46304</x:v>
      </x:c>
      <x:c r="F976" s="8" t="n">
        <x:v>68</x:v>
      </x:c>
      <x:c r="G976" s="8" t="n">
        <x:v>2.33</x:v>
      </x:c>
      <x:c r="H976" s="8" t="n">
        <x:v>50.34</x:v>
      </x:c>
      <x:c r="I976" s="8" t="n">
        <x:v>60.6</x:v>
      </x:c>
      <x:c r="J976" s="8" t="n">
        <x:v>1</x:v>
      </x:c>
      <x:c r="K976" s="8" t="n">
        <x:v>1</x:v>
      </x:c>
      <x:c r="L976" s="8" t="n">
        <x:v>68</x:v>
      </x:c>
      <x:c r="M976" s="8" t="n">
        <x:v>0</x:v>
      </x:c>
      <x:c r="N976" s="8" t="n">
        <x:v>0</x:v>
      </x:c>
      <x:c r="O976" s="8" t="n">
        <x:v>1</x:v>
      </x:c>
      <x:c r="P976" s="8" t="n">
        <x:v>50.34</x:v>
      </x:c>
      <x:c r="Q976" s="9" t="n">
        <x:v>3423.1200000000003</x:v>
      </x:c>
      <x:c r="R976" s="1" t="str">
        <x:v>Classified</x:v>
      </x:c>
      <x:c r="S976" s="1" t="str">
        <x:v>FilmInventory Data.csv</x:v>
      </x:c>
    </x:row>
    <x:row r="977" ht="21" customHeight="1">
      <x:c r="A977" s="1" t="str">
        <x:v>FILM</x:v>
      </x:c>
      <x:c r="B977" s="1" t="str">
        <x:v>60</x:v>
      </x:c>
      <x:c r="C977" s="1" t="str">
        <x:v>255005C2</x:v>
      </x:c>
      <x:c r="D977" s="1" t="str">
        <x:v>**PAY ACH** POLYPLEX USA LLC</x:v>
      </x:c>
      <x:c r="E977" s="7" t="n">
        <x:v>46304</x:v>
      </x:c>
      <x:c r="F977" s="8" t="n">
        <x:v>48</x:v>
      </x:c>
      <x:c r="G977" s="8" t="n">
        <x:v>2.33</x:v>
      </x:c>
      <x:c r="H977" s="8" t="n">
        <x:v>52.95</x:v>
      </x:c>
      <x:c r="I977" s="8" t="n">
        <x:v>63.6</x:v>
      </x:c>
      <x:c r="J977" s="8" t="n">
        <x:v>1</x:v>
      </x:c>
      <x:c r="K977" s="8" t="n">
        <x:v>1</x:v>
      </x:c>
      <x:c r="L977" s="8" t="n">
        <x:v>28</x:v>
      </x:c>
      <x:c r="M977" s="8" t="n">
        <x:v>20</x:v>
      </x:c>
      <x:c r="N977" s="8" t="n">
        <x:v>0</x:v>
      </x:c>
      <x:c r="O977" s="8" t="n">
        <x:v>1</x:v>
      </x:c>
      <x:c r="P977" s="8" t="n">
        <x:v>52.95</x:v>
      </x:c>
      <x:c r="Q977" s="9" t="n">
        <x:v>2541.6000000000004</x:v>
      </x:c>
      <x:c r="R977" s="1" t="str">
        <x:v>Classified</x:v>
      </x:c>
      <x:c r="S977" s="1" t="str">
        <x:v>FilmInventory Data.csv</x:v>
      </x:c>
    </x:row>
    <x:row r="978" ht="21" customHeight="1">
      <x:c r="A978" s="1" t="str">
        <x:v>FILM</x:v>
      </x:c>
      <x:c r="B978" s="1" t="str">
        <x:v>60</x:v>
      </x:c>
      <x:c r="C978" s="1" t="str">
        <x:v>252503C2</x:v>
      </x:c>
      <x:c r="D978" s="1" t="str">
        <x:v>**PAY ACH** POLYPLEX USA LLC</x:v>
      </x:c>
      <x:c r="E978" s="7" t="n">
        <x:v>46304</x:v>
      </x:c>
      <x:c r="F978" s="8" t="n">
        <x:v>74</x:v>
      </x:c>
      <x:c r="G978" s="8" t="n">
        <x:v>2.25</x:v>
      </x:c>
      <x:c r="H978" s="8" t="n">
        <x:v>14.63</x:v>
      </x:c>
      <x:c r="I978" s="8" t="n">
        <x:v>17.55</x:v>
      </x:c>
      <x:c r="J978" s="8" t="n">
        <x:v>1</x:v>
      </x:c>
      <x:c r="K978" s="8" t="n">
        <x:v>1</x:v>
      </x:c>
      <x:c r="L978" s="8" t="n">
        <x:v>0</x:v>
      </x:c>
      <x:c r="M978" s="8" t="n">
        <x:v>0</x:v>
      </x:c>
      <x:c r="N978" s="8" t="n">
        <x:v>74</x:v>
      </x:c>
      <x:c r="O978" s="8" t="n">
        <x:v>0</x:v>
      </x:c>
      <x:c r="P978" s="8" t="n">
        <x:v>14.63</x:v>
      </x:c>
      <x:c r="Q978" s="9" t="n">
        <x:v>1082.6200000000001</x:v>
      </x:c>
      <x:c r="R978" s="1" t="str">
        <x:v>Review receipt reconciliation or original PO baseline</x:v>
      </x:c>
      <x:c r="S978" s="1" t="str">
        <x:v>FilmInventory Data.csv</x:v>
      </x:c>
    </x:row>
    <x:row r="979" ht="21" customHeight="1">
      <x:c r="A979" s="1" t="str">
        <x:v>FILM</x:v>
      </x:c>
      <x:c r="B979" s="1" t="str">
        <x:v>30</x:v>
      </x:c>
      <x:c r="C979" s="1" t="str">
        <x:v>2510010C1</x:v>
      </x:c>
      <x:c r="D979" s="1" t="str">
        <x:v>**PAY ACH** POLYPLEX USA LLC</x:v>
      </x:c>
      <x:c r="E979" s="7" t="n">
        <x:v>46304</x:v>
      </x:c>
      <x:c r="F979" s="8" t="n">
        <x:v>12</x:v>
      </x:c>
      <x:c r="G979" s="8" t="n">
        <x:v>2.17</x:v>
      </x:c>
      <x:c r="H979" s="8" t="n">
        <x:v>23.7</x:v>
      </x:c>
      <x:c r="I979" s="8" t="n">
        <x:v>28.44</x:v>
      </x:c>
      <x:c r="J979" s="8" t="n">
        <x:v>1</x:v>
      </x:c>
      <x:c r="K979" s="8" t="n">
        <x:v>1</x:v>
      </x:c>
      <x:c r="L979" s="8" t="n">
        <x:v>0</x:v>
      </x:c>
      <x:c r="M979" s="8" t="n">
        <x:v>0</x:v>
      </x:c>
      <x:c r="N979" s="8" t="n">
        <x:v>12</x:v>
      </x:c>
      <x:c r="O979" s="8" t="n">
        <x:v>0</x:v>
      </x:c>
      <x:c r="P979" s="8" t="n">
        <x:v>23.7</x:v>
      </x:c>
      <x:c r="Q979" s="9" t="n">
        <x:v>284.4</x:v>
      </x:c>
      <x:c r="R979" s="1" t="str">
        <x:v>Review receipt reconciliation or original PO baseline</x:v>
      </x:c>
      <x:c r="S979" s="1" t="str">
        <x:v>FilmInventory Data.csv</x:v>
      </x:c>
    </x:row>
    <x:row r="980" ht="21" customHeight="1">
      <x:c r="A980" s="1" t="str">
        <x:v>FILM</x:v>
      </x:c>
      <x:c r="B980" s="1" t="str">
        <x:v>10</x:v>
      </x:c>
      <x:c r="C980" s="1" t="str">
        <x:v>125005C2</x:v>
      </x:c>
      <x:c r="D980" s="1" t="str">
        <x:v>**PAY ACH** POLYPLEX USA LLC</x:v>
      </x:c>
      <x:c r="E980" s="7" t="n">
        <x:v>46304</x:v>
      </x:c>
      <x:c r="F980" s="8" t="n">
        <x:v>10</x:v>
      </x:c>
      <x:c r="G980" s="8" t="n">
        <x:v>2</x:v>
      </x:c>
      <x:c r="H980" s="8" t="n">
        <x:v>25.42</x:v>
      </x:c>
      <x:c r="I980" s="8" t="n">
        <x:v>30.53</x:v>
      </x:c>
      <x:c r="J980" s="8" t="n">
        <x:v>1</x:v>
      </x:c>
      <x:c r="K980" s="8" t="n">
        <x:v>1</x:v>
      </x:c>
      <x:c r="L980" s="8" t="n">
        <x:v>10</x:v>
      </x:c>
      <x:c r="M980" s="8" t="n">
        <x:v>0</x:v>
      </x:c>
      <x:c r="N980" s="8" t="n">
        <x:v>0</x:v>
      </x:c>
      <x:c r="O980" s="8" t="n">
        <x:v>1</x:v>
      </x:c>
      <x:c r="P980" s="8" t="n">
        <x:v>25.42</x:v>
      </x:c>
      <x:c r="Q980" s="9" t="n">
        <x:v>254.20000000000002</x:v>
      </x:c>
      <x:c r="R980" s="1" t="str">
        <x:v>Classified</x:v>
      </x:c>
      <x:c r="S980" s="1" t="str">
        <x:v>FilmInventory Data.csv</x:v>
      </x:c>
    </x:row>
    <x:row r="981" ht="21" customHeight="1">
      <x:c r="A981" s="1" t="str">
        <x:v>FILM</x:v>
      </x:c>
      <x:c r="B981" s="1" t="str">
        <x:v>30</x:v>
      </x:c>
      <x:c r="C981" s="1" t="str">
        <x:v>1250010C3</x:v>
      </x:c>
      <x:c r="D981" s="1" t="str">
        <x:v>**PAY ACH** POLYPLEX USA LLC</x:v>
      </x:c>
      <x:c r="E981" s="7" t="n">
        <x:v>46304</x:v>
      </x:c>
      <x:c r="F981" s="8" t="n">
        <x:v>14</x:v>
      </x:c>
      <x:c r="G981" s="8" t="n">
        <x:v>1.83</x:v>
      </x:c>
      <x:c r="H981" s="8" t="n">
        <x:v>56.88</x:v>
      </x:c>
      <x:c r="I981" s="8" t="n">
        <x:v>68.26</x:v>
      </x:c>
      <x:c r="J981" s="8" t="n">
        <x:v>1</x:v>
      </x:c>
      <x:c r="K981" s="8" t="n">
        <x:v>1</x:v>
      </x:c>
      <x:c r="L981" s="8" t="n">
        <x:v>14</x:v>
      </x:c>
      <x:c r="M981" s="8" t="n">
        <x:v>0</x:v>
      </x:c>
      <x:c r="N981" s="8" t="n">
        <x:v>0</x:v>
      </x:c>
      <x:c r="O981" s="8" t="n">
        <x:v>1</x:v>
      </x:c>
      <x:c r="P981" s="8" t="n">
        <x:v>56.88</x:v>
      </x:c>
      <x:c r="Q981" s="9" t="n">
        <x:v>796.32</x:v>
      </x:c>
      <x:c r="R981" s="1" t="str">
        <x:v>Classified</x:v>
      </x:c>
      <x:c r="S981" s="1" t="str">
        <x:v>FilmInventory Data.csv</x:v>
      </x:c>
    </x:row>
    <x:row r="982" ht="21" customHeight="1">
      <x:c r="A982" s="1" t="str">
        <x:v>FILM</x:v>
      </x:c>
      <x:c r="B982" s="1" t="str">
        <x:v>60</x:v>
      </x:c>
      <x:c r="C982" s="1" t="str">
        <x:v>1250015C1</x:v>
      </x:c>
      <x:c r="D982" s="1" t="str">
        <x:v>**PAY ACH** POLYPLEX USA LLC</x:v>
      </x:c>
      <x:c r="E982" s="7" t="n">
        <x:v>46304</x:v>
      </x:c>
      <x:c r="F982" s="8" t="n">
        <x:v>11</x:v>
      </x:c>
      <x:c r="G982" s="8" t="n">
        <x:v>1.83</x:v>
      </x:c>
      <x:c r="H982" s="8" t="n">
        <x:v>6.48</x:v>
      </x:c>
      <x:c r="I982" s="8" t="n">
        <x:v>7.78</x:v>
      </x:c>
      <x:c r="J982" s="8" t="n">
        <x:v>1</x:v>
      </x:c>
      <x:c r="K982" s="8" t="n">
        <x:v>1</x:v>
      </x:c>
      <x:c r="L982" s="8" t="n">
        <x:v>0</x:v>
      </x:c>
      <x:c r="M982" s="8" t="n">
        <x:v>0</x:v>
      </x:c>
      <x:c r="N982" s="8" t="n">
        <x:v>11</x:v>
      </x:c>
      <x:c r="O982" s="8" t="n">
        <x:v>0</x:v>
      </x:c>
      <x:c r="P982" s="8" t="n">
        <x:v>6.48</x:v>
      </x:c>
      <x:c r="Q982" s="9" t="n">
        <x:v>71.28</x:v>
      </x:c>
      <x:c r="R982" s="1" t="str">
        <x:v>Review receipt reconciliation or original PO baseline</x:v>
      </x:c>
      <x:c r="S982" s="1" t="str">
        <x:v>FilmInventory Data.csv</x:v>
      </x:c>
    </x:row>
    <x:row r="983" ht="21" customHeight="1">
      <x:c r="A983" s="1" t="str">
        <x:v>FILM</x:v>
      </x:c>
      <x:c r="B983" s="1" t="str">
        <x:v>60</x:v>
      </x:c>
      <x:c r="C983" s="1" t="str">
        <x:v>PR122503C1</x:v>
      </x:c>
      <x:c r="D983" s="1" t="str">
        <x:v>**PAY ACH** POLYPLEX USA LLC</x:v>
      </x:c>
      <x:c r="E983" s="7" t="n">
        <x:v>46304</x:v>
      </x:c>
      <x:c r="F983" s="8" t="n">
        <x:v>222</x:v>
      </x:c>
      <x:c r="G983" s="8" t="n">
        <x:v>1.83</x:v>
      </x:c>
      <x:c r="H983" s="8" t="n">
        <x:v>8.1</x:v>
      </x:c>
      <x:c r="I983" s="8" t="n">
        <x:v>9.72</x:v>
      </x:c>
      <x:c r="J983" s="8" t="n">
        <x:v>1</x:v>
      </x:c>
      <x:c r="K983" s="8" t="n">
        <x:v>1</x:v>
      </x:c>
      <x:c r="L983" s="8" t="n">
        <x:v>222</x:v>
      </x:c>
      <x:c r="M983" s="8" t="n">
        <x:v>0</x:v>
      </x:c>
      <x:c r="N983" s="8" t="n">
        <x:v>0</x:v>
      </x:c>
      <x:c r="O983" s="8" t="n">
        <x:v>1</x:v>
      </x:c>
      <x:c r="P983" s="8" t="n">
        <x:v>8.1</x:v>
      </x:c>
      <x:c r="Q983" s="9" t="n">
        <x:v>1798.1999999999998</x:v>
      </x:c>
      <x:c r="R983" s="1" t="str">
        <x:v>Classified</x:v>
      </x:c>
      <x:c r="S983" s="1" t="str">
        <x:v>FilmInventory Data.csv</x:v>
      </x:c>
    </x:row>
    <x:row r="984" ht="21" customHeight="1">
      <x:c r="A984" s="1" t="str">
        <x:v>FILM</x:v>
      </x:c>
      <x:c r="B984" s="1" t="str">
        <x:v>10</x:v>
      </x:c>
      <x:c r="C984" s="1" t="str">
        <x:v>1850015C2</x:v>
      </x:c>
      <x:c r="D984" s="1" t="str">
        <x:v>**PAY ACH** POLYPLEX USA LLC</x:v>
      </x:c>
      <x:c r="E984" s="7" t="n">
        <x:v>46304</x:v>
      </x:c>
      <x:c r="F984" s="8" t="n">
        <x:v>88</x:v>
      </x:c>
      <x:c r="G984" s="8" t="n">
        <x:v>1.67</x:v>
      </x:c>
      <x:c r="H984" s="8" t="n">
        <x:v>9.72</x:v>
      </x:c>
      <x:c r="I984" s="8" t="n">
        <x:v>11.66</x:v>
      </x:c>
      <x:c r="J984" s="8" t="n">
        <x:v>1</x:v>
      </x:c>
      <x:c r="K984" s="8" t="n">
        <x:v>1</x:v>
      </x:c>
      <x:c r="L984" s="8" t="n">
        <x:v>24</x:v>
      </x:c>
      <x:c r="M984" s="8" t="n">
        <x:v>64</x:v>
      </x:c>
      <x:c r="N984" s="8" t="n">
        <x:v>0</x:v>
      </x:c>
      <x:c r="O984" s="8" t="n">
        <x:v>1</x:v>
      </x:c>
      <x:c r="P984" s="8" t="n">
        <x:v>9.72</x:v>
      </x:c>
      <x:c r="Q984" s="9" t="n">
        <x:v>855.36</x:v>
      </x:c>
      <x:c r="R984" s="1" t="str">
        <x:v>Classified</x:v>
      </x:c>
      <x:c r="S984" s="1" t="str">
        <x:v>FilmInventory Data.csv</x:v>
      </x:c>
    </x:row>
    <x:row r="985" ht="21" customHeight="1">
      <x:c r="A985" s="1" t="str">
        <x:v>FILM</x:v>
      </x:c>
      <x:c r="B985" s="1" t="str">
        <x:v>30</x:v>
      </x:c>
      <x:c r="C985" s="1" t="str">
        <x:v>1810005C3</x:v>
      </x:c>
      <x:c r="D985" s="1" t="str">
        <x:v>**PAY ACH** POLYPLEX USA LLC</x:v>
      </x:c>
      <x:c r="E985" s="7" t="n">
        <x:v>46304</x:v>
      </x:c>
      <x:c r="F985" s="8" t="n">
        <x:v>12</x:v>
      </x:c>
      <x:c r="G985" s="8" t="n">
        <x:v>1.67</x:v>
      </x:c>
      <x:c r="H985" s="8" t="n">
        <x:v>76.25</x:v>
      </x:c>
      <x:c r="I985" s="8" t="n">
        <x:v>91.58</x:v>
      </x:c>
      <x:c r="J985" s="8" t="n">
        <x:v>1</x:v>
      </x:c>
      <x:c r="K985" s="8" t="n">
        <x:v>1</x:v>
      </x:c>
      <x:c r="L985" s="8" t="n">
        <x:v>12</x:v>
      </x:c>
      <x:c r="M985" s="8" t="n">
        <x:v>0</x:v>
      </x:c>
      <x:c r="N985" s="8" t="n">
        <x:v>0</x:v>
      </x:c>
      <x:c r="O985" s="8" t="n">
        <x:v>1</x:v>
      </x:c>
      <x:c r="P985" s="8" t="n">
        <x:v>76.25</x:v>
      </x:c>
      <x:c r="Q985" s="9" t="n">
        <x:v>915</x:v>
      </x:c>
      <x:c r="R985" s="1" t="str">
        <x:v>Classified</x:v>
      </x:c>
      <x:c r="S985" s="1" t="str">
        <x:v>FilmInventory Data.csv</x:v>
      </x:c>
    </x:row>
    <x:row r="986" ht="21" customHeight="1">
      <x:c r="A986" s="1" t="str">
        <x:v>FILM</x:v>
      </x:c>
      <x:c r="B986" s="1" t="str">
        <x:v>60</x:v>
      </x:c>
      <x:c r="C986" s="1" t="str">
        <x:v>2710010C1</x:v>
      </x:c>
      <x:c r="D986" s="1" t="str">
        <x:v>**PAY ACH** POLYPLEX USA LLC</x:v>
      </x:c>
      <x:c r="E986" s="7" t="n">
        <x:v>46304</x:v>
      </x:c>
      <x:c r="F986" s="8" t="n">
        <x:v>30</x:v>
      </x:c>
      <x:c r="G986" s="8" t="n">
        <x:v>1.67</x:v>
      </x:c>
      <x:c r="H986" s="8" t="n">
        <x:v>25.6</x:v>
      </x:c>
      <x:c r="I986" s="8" t="n">
        <x:v>30.72</x:v>
      </x:c>
      <x:c r="J986" s="8" t="n">
        <x:v>1</x:v>
      </x:c>
      <x:c r="K986" s="8" t="n">
        <x:v>1</x:v>
      </x:c>
      <x:c r="L986" s="8" t="n">
        <x:v>30</x:v>
      </x:c>
      <x:c r="M986" s="8" t="n">
        <x:v>0</x:v>
      </x:c>
      <x:c r="N986" s="8" t="n">
        <x:v>0</x:v>
      </x:c>
      <x:c r="O986" s="8" t="n">
        <x:v>1</x:v>
      </x:c>
      <x:c r="P986" s="8" t="n">
        <x:v>25.6</x:v>
      </x:c>
      <x:c r="Q986" s="9" t="n">
        <x:v>768</x:v>
      </x:c>
      <x:c r="R986" s="1" t="str">
        <x:v>Classified</x:v>
      </x:c>
      <x:c r="S986" s="1" t="str">
        <x:v>FilmInventory Data.csv</x:v>
      </x:c>
    </x:row>
    <x:row r="987" ht="21" customHeight="1">
      <x:c r="A987" s="1" t="str">
        <x:v>FILM</x:v>
      </x:c>
      <x:c r="B987" s="1" t="str">
        <x:v>10</x:v>
      </x:c>
      <x:c r="C987" s="1" t="str">
        <x:v>92503C1</x:v>
      </x:c>
      <x:c r="D987" s="1" t="str">
        <x:v>**PAY ACH** POLYPLEX USA LLC</x:v>
      </x:c>
      <x:c r="E987" s="7" t="n">
        <x:v>46304</x:v>
      </x:c>
      <x:c r="F987" s="8" t="n">
        <x:v>30</x:v>
      </x:c>
      <x:c r="G987" s="8" t="n">
        <x:v>1.5</x:v>
      </x:c>
      <x:c r="H987" s="8" t="n">
        <x:v>3.75</x:v>
      </x:c>
      <x:c r="I987" s="8" t="n">
        <x:v>0</x:v>
      </x:c>
      <x:c r="J987" s="8" t="n">
        <x:v>1</x:v>
      </x:c>
      <x:c r="K987" s="8" t="n">
        <x:v>1</x:v>
      </x:c>
      <x:c r="L987" s="8" t="n">
        <x:v>0</x:v>
      </x:c>
      <x:c r="M987" s="8" t="n">
        <x:v>0</x:v>
      </x:c>
      <x:c r="N987" s="8" t="n">
        <x:v>30</x:v>
      </x:c>
      <x:c r="O987" s="8" t="n">
        <x:v>0</x:v>
      </x:c>
      <x:c r="P987" s="8"/>
      <x:c r="Q987" s="9" t="n">
        <x:v>112.5</x:v>
      </x:c>
      <x:c r="R987" s="1" t="str">
        <x:v>Review receipt reconciliation or original PO baseline</x:v>
      </x:c>
      <x:c r="S987" s="1" t="str">
        <x:v>FilmInventory Data.csv</x:v>
      </x:c>
    </x:row>
    <x:row r="988" ht="21" customHeight="1">
      <x:c r="A988" s="1" t="str">
        <x:v>FILM</x:v>
      </x:c>
      <x:c r="B988" s="1" t="str">
        <x:v>60</x:v>
      </x:c>
      <x:c r="C988" s="1" t="str">
        <x:v>122005C2</x:v>
      </x:c>
      <x:c r="D988" s="1" t="str">
        <x:v>**PAY ACH** POLYPLEX USA LLC</x:v>
      </x:c>
      <x:c r="E988" s="7" t="n">
        <x:v>46304</x:v>
      </x:c>
      <x:c r="F988" s="8" t="n">
        <x:v>14</x:v>
      </x:c>
      <x:c r="G988" s="8" t="n">
        <x:v>1.5</x:v>
      </x:c>
      <x:c r="H988" s="8" t="n">
        <x:v>7.74</x:v>
      </x:c>
      <x:c r="I988" s="8" t="n">
        <x:v>0</x:v>
      </x:c>
      <x:c r="J988" s="8" t="n">
        <x:v>1</x:v>
      </x:c>
      <x:c r="K988" s="8" t="n">
        <x:v>1</x:v>
      </x:c>
      <x:c r="L988" s="8" t="n">
        <x:v>0</x:v>
      </x:c>
      <x:c r="M988" s="8" t="n">
        <x:v>0</x:v>
      </x:c>
      <x:c r="N988" s="8" t="n">
        <x:v>14</x:v>
      </x:c>
      <x:c r="O988" s="8" t="n">
        <x:v>0</x:v>
      </x:c>
      <x:c r="P988" s="8"/>
      <x:c r="Q988" s="9" t="n">
        <x:v>108.36</x:v>
      </x:c>
      <x:c r="R988" s="1" t="str">
        <x:v>Review receipt reconciliation or original PO baseline</x:v>
      </x:c>
      <x:c r="S988" s="1" t="str">
        <x:v>FilmInventory Data.csv</x:v>
      </x:c>
    </x:row>
    <x:row r="989" ht="21" customHeight="1">
      <x:c r="A989" s="1" t="str">
        <x:v>FILM</x:v>
      </x:c>
      <x:c r="B989" s="1" t="str">
        <x:v>60</x:v>
      </x:c>
      <x:c r="C989" s="1" t="str">
        <x:v>185005C2</x:v>
      </x:c>
      <x:c r="D989" s="1" t="str">
        <x:v>**PAY ACH** POLYPLEX USA LLC</x:v>
      </x:c>
      <x:c r="E989" s="7" t="n">
        <x:v>46304</x:v>
      </x:c>
      <x:c r="F989" s="8" t="n">
        <x:v>10</x:v>
      </x:c>
      <x:c r="G989" s="8" t="n">
        <x:v>1.5</x:v>
      </x:c>
      <x:c r="H989" s="8" t="n">
        <x:v>38.12</x:v>
      </x:c>
      <x:c r="I989" s="8" t="n">
        <x:v>45.79</x:v>
      </x:c>
      <x:c r="J989" s="8" t="n">
        <x:v>1</x:v>
      </x:c>
      <x:c r="K989" s="8" t="n">
        <x:v>1</x:v>
      </x:c>
      <x:c r="L989" s="8" t="n">
        <x:v>10</x:v>
      </x:c>
      <x:c r="M989" s="8" t="n">
        <x:v>0</x:v>
      </x:c>
      <x:c r="N989" s="8" t="n">
        <x:v>0</x:v>
      </x:c>
      <x:c r="O989" s="8" t="n">
        <x:v>1</x:v>
      </x:c>
      <x:c r="P989" s="8" t="n">
        <x:v>38.12</x:v>
      </x:c>
      <x:c r="Q989" s="9" t="n">
        <x:v>381.2</x:v>
      </x:c>
      <x:c r="R989" s="1" t="str">
        <x:v>Classified</x:v>
      </x:c>
      <x:c r="S989" s="1" t="str">
        <x:v>FilmInventory Data.csv</x:v>
      </x:c>
    </x:row>
    <x:row r="990" ht="21" customHeight="1">
      <x:c r="A990" s="1" t="str">
        <x:v>FILM</x:v>
      </x:c>
      <x:c r="B990" s="1" t="str">
        <x:v>10</x:v>
      </x:c>
      <x:c r="C990" s="1" t="str">
        <x:v>1210005C3</x:v>
      </x:c>
      <x:c r="D990" s="1" t="str">
        <x:v>**PAY ACH** POLYPLEX USA LLC</x:v>
      </x:c>
      <x:c r="E990" s="7" t="n">
        <x:v>46304</x:v>
      </x:c>
      <x:c r="F990" s="8" t="n">
        <x:v>25</x:v>
      </x:c>
      <x:c r="G990" s="8" t="n">
        <x:v>1.33</x:v>
      </x:c>
      <x:c r="H990" s="8" t="n">
        <x:v>50.83</x:v>
      </x:c>
      <x:c r="I990" s="8" t="n">
        <x:v>61.06</x:v>
      </x:c>
      <x:c r="J990" s="8" t="n">
        <x:v>1</x:v>
      </x:c>
      <x:c r="K990" s="8" t="n">
        <x:v>1</x:v>
      </x:c>
      <x:c r="L990" s="8" t="n">
        <x:v>25</x:v>
      </x:c>
      <x:c r="M990" s="8" t="n">
        <x:v>0</x:v>
      </x:c>
      <x:c r="N990" s="8" t="n">
        <x:v>0</x:v>
      </x:c>
      <x:c r="O990" s="8" t="n">
        <x:v>1</x:v>
      </x:c>
      <x:c r="P990" s="8" t="n">
        <x:v>50.83</x:v>
      </x:c>
      <x:c r="Q990" s="9" t="n">
        <x:v>1270.75</x:v>
      </x:c>
      <x:c r="R990" s="1" t="str">
        <x:v>Classified</x:v>
      </x:c>
      <x:c r="S990" s="1" t="str">
        <x:v>FilmInventory Data.csv</x:v>
      </x:c>
    </x:row>
    <x:row r="991" ht="21" customHeight="1">
      <x:c r="A991" s="1" t="str">
        <x:v>FILM</x:v>
      </x:c>
      <x:c r="B991" s="1" t="str">
        <x:v>10</x:v>
      </x:c>
      <x:c r="C991" s="1" t="str">
        <x:v>432005C3</x:v>
      </x:c>
      <x:c r="D991" s="1" t="str">
        <x:v>**PAY ACH** POLYPLEX USA LLC</x:v>
      </x:c>
      <x:c r="E991" s="7" t="n">
        <x:v>46304</x:v>
      </x:c>
      <x:c r="F991" s="8" t="n">
        <x:v>28</x:v>
      </x:c>
      <x:c r="G991" s="8" t="n">
        <x:v>1.33</x:v>
      </x:c>
      <x:c r="H991" s="8" t="n">
        <x:v>36.43</x:v>
      </x:c>
      <x:c r="I991" s="8" t="n">
        <x:v>43.76</x:v>
      </x:c>
      <x:c r="J991" s="8" t="n">
        <x:v>1</x:v>
      </x:c>
      <x:c r="K991" s="8" t="n">
        <x:v>1</x:v>
      </x:c>
      <x:c r="L991" s="8" t="n">
        <x:v>3</x:v>
      </x:c>
      <x:c r="M991" s="8" t="n">
        <x:v>25</x:v>
      </x:c>
      <x:c r="N991" s="8" t="n">
        <x:v>0</x:v>
      </x:c>
      <x:c r="O991" s="8" t="n">
        <x:v>1</x:v>
      </x:c>
      <x:c r="P991" s="8" t="n">
        <x:v>36.43</x:v>
      </x:c>
      <x:c r="Q991" s="9" t="n">
        <x:v>1165.76</x:v>
      </x:c>
      <x:c r="R991" s="1" t="str">
        <x:v>Classified</x:v>
      </x:c>
      <x:c r="S991" s="1" t="str">
        <x:v>FilmInventory Data.csv</x:v>
      </x:c>
    </x:row>
    <x:row r="992" ht="21" customHeight="1">
      <x:c r="A992" s="1" t="str">
        <x:v>FILM</x:v>
      </x:c>
      <x:c r="B992" s="1" t="str">
        <x:v>10</x:v>
      </x:c>
      <x:c r="C992" s="1" t="str">
        <x:v>ST382005M3</x:v>
      </x:c>
      <x:c r="D992" s="1" t="str">
        <x:v>**PAY ACH** POLYPLEX USA LLC</x:v>
      </x:c>
      <x:c r="E992" s="7" t="n">
        <x:v>46304</x:v>
      </x:c>
      <x:c r="F992" s="8" t="n">
        <x:v>3</x:v>
      </x:c>
      <x:c r="G992" s="8" t="n">
        <x:v>1.33</x:v>
      </x:c>
      <x:c r="H992" s="8" t="n">
        <x:v>76.52</x:v>
      </x:c>
      <x:c r="I992" s="8" t="n">
        <x:v>92.11</x:v>
      </x:c>
      <x:c r="J992" s="8" t="n">
        <x:v>1</x:v>
      </x:c>
      <x:c r="K992" s="8" t="n">
        <x:v>1</x:v>
      </x:c>
      <x:c r="L992" s="8" t="n">
        <x:v>0</x:v>
      </x:c>
      <x:c r="M992" s="8" t="n">
        <x:v>0</x:v>
      </x:c>
      <x:c r="N992" s="8" t="n">
        <x:v>3</x:v>
      </x:c>
      <x:c r="O992" s="8" t="n">
        <x:v>0</x:v>
      </x:c>
      <x:c r="P992" s="8" t="n">
        <x:v>76.52</x:v>
      </x:c>
      <x:c r="Q992" s="9" t="n">
        <x:v>229.56</x:v>
      </x:c>
      <x:c r="R992" s="1" t="str">
        <x:v>Review receipt reconciliation or original PO baseline</x:v>
      </x:c>
      <x:c r="S992" s="1" t="str">
        <x:v>FilmInventory Data.csv</x:v>
      </x:c>
    </x:row>
    <x:row r="993" ht="21" customHeight="1">
      <x:c r="A993" s="1" t="str">
        <x:v>FILM</x:v>
      </x:c>
      <x:c r="B993" s="1" t="str">
        <x:v>30</x:v>
      </x:c>
      <x:c r="C993" s="1" t="str">
        <x:v>122005C2</x:v>
      </x:c>
      <x:c r="D993" s="1" t="str">
        <x:v>**PAY ACH** POLYPLEX USA LLC</x:v>
      </x:c>
      <x:c r="E993" s="7" t="n">
        <x:v>46304</x:v>
      </x:c>
      <x:c r="F993" s="8" t="n">
        <x:v>0</x:v>
      </x:c>
      <x:c r="G993" s="8" t="n">
        <x:v>1.33</x:v>
      </x:c>
      <x:c r="H993" s="8" t="n">
        <x:v>7.74</x:v>
      </x:c>
      <x:c r="I993" s="8" t="n">
        <x:v>0</x:v>
      </x:c>
      <x:c r="J993" s="8" t="n">
        <x:v>1</x:v>
      </x:c>
      <x:c r="K993" s="8" t="n">
        <x:v>1</x:v>
      </x:c>
      <x:c r="L993" s="8" t="n">
        <x:v>0</x:v>
      </x:c>
      <x:c r="M993" s="8" t="n">
        <x:v>0</x:v>
      </x:c>
      <x:c r="N993" s="8" t="n">
        <x:v>0</x:v>
      </x:c>
      <x:c r="O993" s="8" t="n">
        <x:v>0</x:v>
      </x:c>
      <x:c r="P993" s="8"/>
      <x:c r="Q993" s="9" t="n">
        <x:v>0</x:v>
      </x:c>
      <x:c r="R993" s="1" t="str">
        <x:v>Review receipt reconciliation or original PO baseline</x:v>
      </x:c>
      <x:c r="S993" s="1" t="str">
        <x:v>FilmInventory Data.csv</x:v>
      </x:c>
    </x:row>
    <x:row r="994" ht="21" customHeight="1">
      <x:c r="A994" s="1" t="str">
        <x:v>FILM</x:v>
      </x:c>
      <x:c r="B994" s="1" t="str">
        <x:v>30</x:v>
      </x:c>
      <x:c r="C994" s="1" t="str">
        <x:v>252005C2</x:v>
      </x:c>
      <x:c r="D994" s="1" t="str">
        <x:v>**PAY ACH** POLYPLEX USA LLC</x:v>
      </x:c>
      <x:c r="E994" s="7" t="n">
        <x:v>46304</x:v>
      </x:c>
      <x:c r="F994" s="8" t="n">
        <x:v>50</x:v>
      </x:c>
      <x:c r="G994" s="8" t="n">
        <x:v>1.33</x:v>
      </x:c>
      <x:c r="H994" s="8" t="n">
        <x:v>21.18</x:v>
      </x:c>
      <x:c r="I994" s="8" t="n">
        <x:v>25.44</x:v>
      </x:c>
      <x:c r="J994" s="8" t="n">
        <x:v>1</x:v>
      </x:c>
      <x:c r="K994" s="8" t="n">
        <x:v>1</x:v>
      </x:c>
      <x:c r="L994" s="8" t="n">
        <x:v>50</x:v>
      </x:c>
      <x:c r="M994" s="8" t="n">
        <x:v>0</x:v>
      </x:c>
      <x:c r="N994" s="8" t="n">
        <x:v>0</x:v>
      </x:c>
      <x:c r="O994" s="8" t="n">
        <x:v>1</x:v>
      </x:c>
      <x:c r="P994" s="8" t="n">
        <x:v>21.18</x:v>
      </x:c>
      <x:c r="Q994" s="9" t="n">
        <x:v>1059</x:v>
      </x:c>
      <x:c r="R994" s="1" t="str">
        <x:v>Classified</x:v>
      </x:c>
      <x:c r="S994" s="1" t="str">
        <x:v>FilmInventory Data.csv</x:v>
      </x:c>
    </x:row>
    <x:row r="995" ht="21" customHeight="1">
      <x:c r="A995" s="1" t="str">
        <x:v>FILM</x:v>
      </x:c>
      <x:c r="B995" s="1" t="str">
        <x:v>30</x:v>
      </x:c>
      <x:c r="C995" s="1" t="str">
        <x:v>ST252005M1</x:v>
      </x:c>
      <x:c r="D995" s="1" t="str">
        <x:v>**PAY ACH** POLYPLEX USA LLC</x:v>
      </x:c>
      <x:c r="E995" s="7" t="n">
        <x:v>46304</x:v>
      </x:c>
      <x:c r="F995" s="8" t="n">
        <x:v>42</x:v>
      </x:c>
      <x:c r="G995" s="8" t="n">
        <x:v>1.33</x:v>
      </x:c>
      <x:c r="H995" s="8" t="n">
        <x:v>50.34</x:v>
      </x:c>
      <x:c r="I995" s="8" t="n">
        <x:v>60.6</x:v>
      </x:c>
      <x:c r="J995" s="8" t="n">
        <x:v>1</x:v>
      </x:c>
      <x:c r="K995" s="8" t="n">
        <x:v>1</x:v>
      </x:c>
      <x:c r="L995" s="8" t="n">
        <x:v>0</x:v>
      </x:c>
      <x:c r="M995" s="8" t="n">
        <x:v>0</x:v>
      </x:c>
      <x:c r="N995" s="8" t="n">
        <x:v>42</x:v>
      </x:c>
      <x:c r="O995" s="8" t="n">
        <x:v>0</x:v>
      </x:c>
      <x:c r="P995" s="8" t="n">
        <x:v>50.34</x:v>
      </x:c>
      <x:c r="Q995" s="9" t="n">
        <x:v>2214.96</x:v>
      </x:c>
      <x:c r="R995" s="1" t="str">
        <x:v>Review receipt reconciliation or original PO baseline</x:v>
      </x:c>
      <x:c r="S995" s="1" t="str">
        <x:v>FilmInventory Data.csv</x:v>
      </x:c>
    </x:row>
    <x:row r="996" ht="21" customHeight="1">
      <x:c r="A996" s="1" t="str">
        <x:v>FILM</x:v>
      </x:c>
      <x:c r="B996" s="1" t="str">
        <x:v>60</x:v>
      </x:c>
      <x:c r="C996" s="1" t="str">
        <x:v>432005C3</x:v>
      </x:c>
      <x:c r="D996" s="1" t="str">
        <x:v>**PAY ACH** POLYPLEX USA LLC</x:v>
      </x:c>
      <x:c r="E996" s="7" t="n">
        <x:v>46304</x:v>
      </x:c>
      <x:c r="F996" s="8" t="n">
        <x:v>6</x:v>
      </x:c>
      <x:c r="G996" s="8" t="n">
        <x:v>1.33</x:v>
      </x:c>
      <x:c r="H996" s="8" t="n">
        <x:v>36.43</x:v>
      </x:c>
      <x:c r="I996" s="8" t="n">
        <x:v>43.76</x:v>
      </x:c>
      <x:c r="J996" s="8" t="n">
        <x:v>1</x:v>
      </x:c>
      <x:c r="K996" s="8" t="n">
        <x:v>1</x:v>
      </x:c>
      <x:c r="L996" s="8" t="n">
        <x:v>6</x:v>
      </x:c>
      <x:c r="M996" s="8" t="n">
        <x:v>0</x:v>
      </x:c>
      <x:c r="N996" s="8" t="n">
        <x:v>0</x:v>
      </x:c>
      <x:c r="O996" s="8" t="n">
        <x:v>1</x:v>
      </x:c>
      <x:c r="P996" s="8" t="n">
        <x:v>36.43</x:v>
      </x:c>
      <x:c r="Q996" s="9" t="n">
        <x:v>218.57999999999998</x:v>
      </x:c>
      <x:c r="R996" s="1" t="str">
        <x:v>Classified</x:v>
      </x:c>
      <x:c r="S996" s="1" t="str">
        <x:v>FilmInventory Data.csv</x:v>
      </x:c>
    </x:row>
    <x:row r="997" ht="21" customHeight="1">
      <x:c r="A997" s="1" t="str">
        <x:v>FILM</x:v>
      </x:c>
      <x:c r="B997" s="1" t="str">
        <x:v>10</x:v>
      </x:c>
      <x:c r="C997" s="1" t="str">
        <x:v>SG25200C1</x:v>
      </x:c>
      <x:c r="D997" s="1" t="str">
        <x:v>**PAY ACH** POLYPLEX USA LLC</x:v>
      </x:c>
      <x:c r="E997" s="7" t="n">
        <x:v>46304</x:v>
      </x:c>
      <x:c r="F997" s="8" t="n">
        <x:v>220</x:v>
      </x:c>
      <x:c r="G997" s="8" t="n">
        <x:v>1</x:v>
      </x:c>
      <x:c r="H997" s="8" t="n">
        <x:v>4.14</x:v>
      </x:c>
      <x:c r="I997" s="8" t="n">
        <x:v>0</x:v>
      </x:c>
      <x:c r="J997" s="8" t="n">
        <x:v>1</x:v>
      </x:c>
      <x:c r="K997" s="8" t="n">
        <x:v>1</x:v>
      </x:c>
      <x:c r="L997" s="8" t="n">
        <x:v>0</x:v>
      </x:c>
      <x:c r="M997" s="8" t="n">
        <x:v>0</x:v>
      </x:c>
      <x:c r="N997" s="8" t="n">
        <x:v>220</x:v>
      </x:c>
      <x:c r="O997" s="8" t="n">
        <x:v>0</x:v>
      </x:c>
      <x:c r="P997" s="8"/>
      <x:c r="Q997" s="9" t="n">
        <x:v>910.8</x:v>
      </x:c>
      <x:c r="R997" s="1" t="str">
        <x:v>Review receipt reconciliation or original PO baseline</x:v>
      </x:c>
      <x:c r="S997" s="1" t="str">
        <x:v>FilmInventory Data.csv</x:v>
      </x:c>
    </x:row>
    <x:row r="998" ht="21" customHeight="1">
      <x:c r="A998" s="1" t="str">
        <x:v>FILM</x:v>
      </x:c>
      <x:c r="B998" s="1" t="str">
        <x:v>30</x:v>
      </x:c>
      <x:c r="C998" s="1" t="str">
        <x:v>185005C2</x:v>
      </x:c>
      <x:c r="D998" s="1" t="str">
        <x:v>**PAY ACH** POLYPLEX USA LLC</x:v>
      </x:c>
      <x:c r="E998" s="7" t="n">
        <x:v>46304</x:v>
      </x:c>
      <x:c r="F998" s="8" t="n">
        <x:v>12</x:v>
      </x:c>
      <x:c r="G998" s="8" t="n">
        <x:v>1</x:v>
      </x:c>
      <x:c r="H998" s="8" t="n">
        <x:v>38.12</x:v>
      </x:c>
      <x:c r="I998" s="8" t="n">
        <x:v>45.79</x:v>
      </x:c>
      <x:c r="J998" s="8" t="n">
        <x:v>1</x:v>
      </x:c>
      <x:c r="K998" s="8" t="n">
        <x:v>1</x:v>
      </x:c>
      <x:c r="L998" s="8" t="n">
        <x:v>12</x:v>
      </x:c>
      <x:c r="M998" s="8" t="n">
        <x:v>0</x:v>
      </x:c>
      <x:c r="N998" s="8" t="n">
        <x:v>0</x:v>
      </x:c>
      <x:c r="O998" s="8" t="n">
        <x:v>1</x:v>
      </x:c>
      <x:c r="P998" s="8" t="n">
        <x:v>38.12</x:v>
      </x:c>
      <x:c r="Q998" s="9" t="n">
        <x:v>457.43999999999994</x:v>
      </x:c>
      <x:c r="R998" s="1" t="str">
        <x:v>Classified</x:v>
      </x:c>
      <x:c r="S998" s="1" t="str">
        <x:v>FilmInventory Data.csv</x:v>
      </x:c>
    </x:row>
    <x:row r="999" ht="21" customHeight="1">
      <x:c r="A999" s="1" t="str">
        <x:v>FILM</x:v>
      </x:c>
      <x:c r="B999" s="1" t="str">
        <x:v>60</x:v>
      </x:c>
      <x:c r="C999" s="1" t="str">
        <x:v>382005C2</x:v>
      </x:c>
      <x:c r="D999" s="1" t="str">
        <x:v>**PAY ACH** POLYPLEX USA LLC</x:v>
      </x:c>
      <x:c r="E999" s="7" t="n">
        <x:v>46304</x:v>
      </x:c>
      <x:c r="F999" s="8" t="n">
        <x:v>52</x:v>
      </x:c>
      <x:c r="G999" s="8" t="n">
        <x:v>1</x:v>
      </x:c>
      <x:c r="H999" s="8" t="n">
        <x:v>32.19</x:v>
      </x:c>
      <x:c r="I999" s="8" t="n">
        <x:v>38.67</x:v>
      </x:c>
      <x:c r="J999" s="8" t="n">
        <x:v>1</x:v>
      </x:c>
      <x:c r="K999" s="8" t="n">
        <x:v>1</x:v>
      </x:c>
      <x:c r="L999" s="8" t="n">
        <x:v>52</x:v>
      </x:c>
      <x:c r="M999" s="8" t="n">
        <x:v>0</x:v>
      </x:c>
      <x:c r="N999" s="8" t="n">
        <x:v>0</x:v>
      </x:c>
      <x:c r="O999" s="8" t="n">
        <x:v>1</x:v>
      </x:c>
      <x:c r="P999" s="8" t="n">
        <x:v>32.19</x:v>
      </x:c>
      <x:c r="Q999" s="9" t="n">
        <x:v>1673.8799999999999</x:v>
      </x:c>
      <x:c r="R999" s="1" t="str">
        <x:v>Classified</x:v>
      </x:c>
      <x:c r="S999" s="1" t="str">
        <x:v>FilmInventory Data.csv</x:v>
      </x:c>
    </x:row>
    <x:row r="1000" ht="21" customHeight="1">
      <x:c r="A1000" s="1" t="str">
        <x:v>FILM</x:v>
      </x:c>
      <x:c r="B1000" s="1" t="str">
        <x:v>10</x:v>
      </x:c>
      <x:c r="C1000" s="1" t="str">
        <x:v>255005C2</x:v>
      </x:c>
      <x:c r="D1000" s="1" t="str">
        <x:v>**PAY ACH** POLYPLEX USA LLC</x:v>
      </x:c>
      <x:c r="E1000" s="7" t="n">
        <x:v>46304</x:v>
      </x:c>
      <x:c r="F1000" s="8" t="n">
        <x:v>17</x:v>
      </x:c>
      <x:c r="G1000" s="8" t="n">
        <x:v>0.83</x:v>
      </x:c>
      <x:c r="H1000" s="8" t="n">
        <x:v>52.95</x:v>
      </x:c>
      <x:c r="I1000" s="8" t="n">
        <x:v>63.6</x:v>
      </x:c>
      <x:c r="J1000" s="8" t="n">
        <x:v>1</x:v>
      </x:c>
      <x:c r="K1000" s="8" t="n">
        <x:v>1</x:v>
      </x:c>
      <x:c r="L1000" s="8" t="n">
        <x:v>17</x:v>
      </x:c>
      <x:c r="M1000" s="8" t="n">
        <x:v>0</x:v>
      </x:c>
      <x:c r="N1000" s="8" t="n">
        <x:v>0</x:v>
      </x:c>
      <x:c r="O1000" s="8" t="n">
        <x:v>1</x:v>
      </x:c>
      <x:c r="P1000" s="8" t="n">
        <x:v>52.95</x:v>
      </x:c>
      <x:c r="Q1000" s="9" t="n">
        <x:v>900.1500000000001</x:v>
      </x:c>
      <x:c r="R1000" s="1" t="str">
        <x:v>Classified</x:v>
      </x:c>
      <x:c r="S1000" s="1" t="str">
        <x:v>FilmInventory Data.csv</x:v>
      </x:c>
    </x:row>
    <x:row r="1001" ht="21" customHeight="1">
      <x:c r="A1001" s="1" t="str">
        <x:v>FILM</x:v>
      </x:c>
      <x:c r="B1001" s="1" t="str">
        <x:v>30</x:v>
      </x:c>
      <x:c r="C1001" s="1" t="str">
        <x:v>182503C2</x:v>
      </x:c>
      <x:c r="D1001" s="1" t="str">
        <x:v>**PAY ACH** POLYPLEX USA LLC</x:v>
      </x:c>
      <x:c r="E1001" s="7" t="n">
        <x:v>46304</x:v>
      </x:c>
      <x:c r="F1001" s="8" t="n">
        <x:v>64</x:v>
      </x:c>
      <x:c r="G1001" s="8" t="n">
        <x:v>0.83</x:v>
      </x:c>
      <x:c r="H1001" s="8" t="n">
        <x:v>10.53</x:v>
      </x:c>
      <x:c r="I1001" s="8" t="n">
        <x:v>12.64</x:v>
      </x:c>
      <x:c r="J1001" s="8" t="n">
        <x:v>1</x:v>
      </x:c>
      <x:c r="K1001" s="8" t="n">
        <x:v>1</x:v>
      </x:c>
      <x:c r="L1001" s="8" t="n">
        <x:v>64</x:v>
      </x:c>
      <x:c r="M1001" s="8" t="n">
        <x:v>0</x:v>
      </x:c>
      <x:c r="N1001" s="8" t="n">
        <x:v>0</x:v>
      </x:c>
      <x:c r="O1001" s="8" t="n">
        <x:v>1</x:v>
      </x:c>
      <x:c r="P1001" s="8" t="n">
        <x:v>10.53</x:v>
      </x:c>
      <x:c r="Q1001" s="9" t="n">
        <x:v>673.92</x:v>
      </x:c>
      <x:c r="R1001" s="1" t="str">
        <x:v>Classified</x:v>
      </x:c>
      <x:c r="S1001" s="1" t="str">
        <x:v>FilmInventory Data.csv</x:v>
      </x:c>
    </x:row>
    <x:row r="1002" ht="21" customHeight="1">
      <x:c r="A1002" s="1" t="str">
        <x:v>FILM</x:v>
      </x:c>
      <x:c r="B1002" s="1" t="str">
        <x:v>60</x:v>
      </x:c>
      <x:c r="C1002" s="1" t="str">
        <x:v>1250015C2</x:v>
      </x:c>
      <x:c r="D1002" s="1" t="str">
        <x:v>**PAY ACH** POLYPLEX USA LLC</x:v>
      </x:c>
      <x:c r="E1002" s="7" t="n">
        <x:v>46304</x:v>
      </x:c>
      <x:c r="F1002" s="8" t="n">
        <x:v>138</x:v>
      </x:c>
      <x:c r="G1002" s="8" t="n">
        <x:v>0.83</x:v>
      </x:c>
      <x:c r="H1002" s="8" t="n">
        <x:v>6.48</x:v>
      </x:c>
      <x:c r="I1002" s="8" t="n">
        <x:v>7.78</x:v>
      </x:c>
      <x:c r="J1002" s="8" t="n">
        <x:v>1</x:v>
      </x:c>
      <x:c r="K1002" s="8" t="n">
        <x:v>1</x:v>
      </x:c>
      <x:c r="L1002" s="8" t="n">
        <x:v>0</x:v>
      </x:c>
      <x:c r="M1002" s="8" t="n">
        <x:v>0</x:v>
      </x:c>
      <x:c r="N1002" s="8" t="n">
        <x:v>138</x:v>
      </x:c>
      <x:c r="O1002" s="8" t="n">
        <x:v>0</x:v>
      </x:c>
      <x:c r="P1002" s="8" t="n">
        <x:v>6.48</x:v>
      </x:c>
      <x:c r="Q1002" s="9" t="n">
        <x:v>894.24</x:v>
      </x:c>
      <x:c r="R1002" s="1" t="str">
        <x:v>Review receipt reconciliation or original PO baseline</x:v>
      </x:c>
      <x:c r="S1002" s="1" t="str">
        <x:v>FilmInventory Data.csv</x:v>
      </x:c>
    </x:row>
    <x:row r="1003" ht="21" customHeight="1">
      <x:c r="A1003" s="1" t="str">
        <x:v>FILM</x:v>
      </x:c>
      <x:c r="B1003" s="1" t="str">
        <x:v>10</x:v>
      </x:c>
      <x:c r="C1003" s="1" t="str">
        <x:v>ST382503M3</x:v>
      </x:c>
      <x:c r="D1003" s="1" t="str">
        <x:v>**PAY ACH** POLYPLEX USA LLC</x:v>
      </x:c>
      <x:c r="E1003" s="7" t="n">
        <x:v>46304</x:v>
      </x:c>
      <x:c r="F1003" s="8" t="n">
        <x:v>24</x:v>
      </x:c>
      <x:c r="G1003" s="8" t="n">
        <x:v>0.67</x:v>
      </x:c>
      <x:c r="H1003" s="8" t="n">
        <x:v>62.13</x:v>
      </x:c>
      <x:c r="I1003" s="8" t="n">
        <x:v>74.56</x:v>
      </x:c>
      <x:c r="J1003" s="8" t="n">
        <x:v>1</x:v>
      </x:c>
      <x:c r="K1003" s="8" t="n">
        <x:v>1</x:v>
      </x:c>
      <x:c r="L1003" s="8" t="n">
        <x:v>0</x:v>
      </x:c>
      <x:c r="M1003" s="8" t="n">
        <x:v>0</x:v>
      </x:c>
      <x:c r="N1003" s="8" t="n">
        <x:v>24</x:v>
      </x:c>
      <x:c r="O1003" s="8" t="n">
        <x:v>0</x:v>
      </x:c>
      <x:c r="P1003" s="8" t="n">
        <x:v>62.13</x:v>
      </x:c>
      <x:c r="Q1003" s="9" t="n">
        <x:v>1491.1200000000001</x:v>
      </x:c>
      <x:c r="R1003" s="1" t="str">
        <x:v>Review receipt reconciliation or original PO baseline</x:v>
      </x:c>
      <x:c r="S1003" s="1" t="str">
        <x:v>FilmInventory Data.csv</x:v>
      </x:c>
    </x:row>
    <x:row r="1004" ht="21" customHeight="1">
      <x:c r="A1004" s="1" t="str">
        <x:v>FILM</x:v>
      </x:c>
      <x:c r="B1004" s="1" t="str">
        <x:v>10</x:v>
      </x:c>
      <x:c r="C1004" s="1" t="str">
        <x:v>ST432503M3</x:v>
      </x:c>
      <x:c r="D1004" s="1" t="str">
        <x:v>**PAY ACH** POLYPLEX USA LLC</x:v>
      </x:c>
      <x:c r="E1004" s="7" t="n">
        <x:v>46304</x:v>
      </x:c>
      <x:c r="F1004" s="8" t="n">
        <x:v>19</x:v>
      </x:c>
      <x:c r="G1004" s="8" t="n">
        <x:v>0.67</x:v>
      </x:c>
      <x:c r="H1004" s="8" t="n">
        <x:v>70.31</x:v>
      </x:c>
      <x:c r="I1004" s="8" t="n">
        <x:v>84.37</x:v>
      </x:c>
      <x:c r="J1004" s="8" t="n">
        <x:v>1</x:v>
      </x:c>
      <x:c r="K1004" s="8" t="n">
        <x:v>1</x:v>
      </x:c>
      <x:c r="L1004" s="8" t="n">
        <x:v>0</x:v>
      </x:c>
      <x:c r="M1004" s="8" t="n">
        <x:v>0</x:v>
      </x:c>
      <x:c r="N1004" s="8" t="n">
        <x:v>19</x:v>
      </x:c>
      <x:c r="O1004" s="8" t="n">
        <x:v>0</x:v>
      </x:c>
      <x:c r="P1004" s="8" t="n">
        <x:v>70.31</x:v>
      </x:c>
      <x:c r="Q1004" s="9" t="n">
        <x:v>1335.89</x:v>
      </x:c>
      <x:c r="R1004" s="1" t="str">
        <x:v>Review receipt reconciliation or original PO baseline</x:v>
      </x:c>
      <x:c r="S1004" s="1" t="str">
        <x:v>FilmInventory Data.csv</x:v>
      </x:c>
    </x:row>
    <x:row r="1005" ht="21" customHeight="1">
      <x:c r="A1005" s="1" t="str">
        <x:v>FILM</x:v>
      </x:c>
      <x:c r="B1005" s="1" t="str">
        <x:v>30</x:v>
      </x:c>
      <x:c r="C1005" s="1" t="str">
        <x:v>255003C1</x:v>
      </x:c>
      <x:c r="D1005" s="1" t="str">
        <x:v>**PAY ACH** POLYPLEX USA LLC</x:v>
      </x:c>
      <x:c r="E1005" s="7" t="n">
        <x:v>46304</x:v>
      </x:c>
      <x:c r="F1005" s="8" t="n">
        <x:v>58</x:v>
      </x:c>
      <x:c r="G1005" s="8" t="n">
        <x:v>0.67</x:v>
      </x:c>
      <x:c r="H1005" s="8" t="n">
        <x:v>29.25</x:v>
      </x:c>
      <x:c r="I1005" s="8" t="n">
        <x:v>35.1</x:v>
      </x:c>
      <x:c r="J1005" s="8" t="n">
        <x:v>1</x:v>
      </x:c>
      <x:c r="K1005" s="8" t="n">
        <x:v>1</x:v>
      </x:c>
      <x:c r="L1005" s="8" t="n">
        <x:v>58</x:v>
      </x:c>
      <x:c r="M1005" s="8" t="n">
        <x:v>0</x:v>
      </x:c>
      <x:c r="N1005" s="8" t="n">
        <x:v>0</x:v>
      </x:c>
      <x:c r="O1005" s="8" t="n">
        <x:v>1</x:v>
      </x:c>
      <x:c r="P1005" s="8" t="n">
        <x:v>29.25</x:v>
      </x:c>
      <x:c r="Q1005" s="9" t="n">
        <x:v>1696.5</x:v>
      </x:c>
      <x:c r="R1005" s="1" t="str">
        <x:v>Classified</x:v>
      </x:c>
      <x:c r="S1005" s="1" t="str">
        <x:v>FilmInventory Data.csv</x:v>
      </x:c>
    </x:row>
    <x:row r="1006" ht="21" customHeight="1">
      <x:c r="A1006" s="1" t="str">
        <x:v>FILM</x:v>
      </x:c>
      <x:c r="B1006" s="1" t="str">
        <x:v>30</x:v>
      </x:c>
      <x:c r="C1006" s="1" t="str">
        <x:v>PR402503C2</x:v>
      </x:c>
      <x:c r="D1006" s="1" t="str">
        <x:v>**PAY ACH** POLYPLEX USA LLC</x:v>
      </x:c>
      <x:c r="E1006" s="7" t="n">
        <x:v>46304</x:v>
      </x:c>
      <x:c r="F1006" s="8" t="n">
        <x:v>96</x:v>
      </x:c>
      <x:c r="G1006" s="8" t="n">
        <x:v>0.67</x:v>
      </x:c>
      <x:c r="H1006" s="8" t="n">
        <x:v>27</x:v>
      </x:c>
      <x:c r="I1006" s="8" t="n">
        <x:v>32.4</x:v>
      </x:c>
      <x:c r="J1006" s="8" t="n">
        <x:v>1</x:v>
      </x:c>
      <x:c r="K1006" s="8" t="n">
        <x:v>1</x:v>
      </x:c>
      <x:c r="L1006" s="8" t="n">
        <x:v>96</x:v>
      </x:c>
      <x:c r="M1006" s="8" t="n">
        <x:v>0</x:v>
      </x:c>
      <x:c r="N1006" s="8" t="n">
        <x:v>0</x:v>
      </x:c>
      <x:c r="O1006" s="8" t="n">
        <x:v>1</x:v>
      </x:c>
      <x:c r="P1006" s="8" t="n">
        <x:v>27</x:v>
      </x:c>
      <x:c r="Q1006" s="9" t="n">
        <x:v>2592</x:v>
      </x:c>
      <x:c r="R1006" s="1" t="str">
        <x:v>Classified</x:v>
      </x:c>
      <x:c r="S1006" s="1" t="str">
        <x:v>FilmInventory Data.csv</x:v>
      </x:c>
    </x:row>
    <x:row r="1007" ht="21" customHeight="1">
      <x:c r="A1007" s="1" t="str">
        <x:v>FILM</x:v>
      </x:c>
      <x:c r="B1007" s="1" t="str">
        <x:v>10</x:v>
      </x:c>
      <x:c r="C1007" s="1" t="str">
        <x:v>122005C2</x:v>
      </x:c>
      <x:c r="D1007" s="1" t="str">
        <x:v>**PAY ACH** POLYPLEX USA LLC</x:v>
      </x:c>
      <x:c r="E1007" s="7" t="n">
        <x:v>46304</x:v>
      </x:c>
      <x:c r="F1007" s="8" t="n">
        <x:v>4</x:v>
      </x:c>
      <x:c r="G1007" s="8" t="n">
        <x:v>0.5</x:v>
      </x:c>
      <x:c r="H1007" s="8" t="n">
        <x:v>7.74</x:v>
      </x:c>
      <x:c r="I1007" s="8" t="n">
        <x:v>0</x:v>
      </x:c>
      <x:c r="J1007" s="8" t="n">
        <x:v>1</x:v>
      </x:c>
      <x:c r="K1007" s="8" t="n">
        <x:v>1</x:v>
      </x:c>
      <x:c r="L1007" s="8" t="n">
        <x:v>0</x:v>
      </x:c>
      <x:c r="M1007" s="8" t="n">
        <x:v>0</x:v>
      </x:c>
      <x:c r="N1007" s="8" t="n">
        <x:v>4</x:v>
      </x:c>
      <x:c r="O1007" s="8" t="n">
        <x:v>0</x:v>
      </x:c>
      <x:c r="P1007" s="8"/>
      <x:c r="Q1007" s="9" t="n">
        <x:v>30.96</x:v>
      </x:c>
      <x:c r="R1007" s="1" t="str">
        <x:v>Review receipt reconciliation or original PO baseline</x:v>
      </x:c>
      <x:c r="S1007" s="1" t="str">
        <x:v>FilmInventory Data.csv</x:v>
      </x:c>
    </x:row>
    <x:row r="1008" ht="21" customHeight="1">
      <x:c r="A1008" s="1" t="str">
        <x:v>FILM</x:v>
      </x:c>
      <x:c r="B1008" s="1" t="str">
        <x:v>10</x:v>
      </x:c>
      <x:c r="C1008" s="1" t="str">
        <x:v>92005C1</x:v>
      </x:c>
      <x:c r="D1008" s="1" t="str">
        <x:v>**PAY ACH** POLYPLEX USA LLC</x:v>
      </x:c>
      <x:c r="E1008" s="7" t="n">
        <x:v>46304</x:v>
      </x:c>
      <x:c r="F1008" s="8" t="n">
        <x:v>0</x:v>
      </x:c>
      <x:c r="G1008" s="8" t="n">
        <x:v>0.5</x:v>
      </x:c>
      <x:c r="H1008" s="8" t="n">
        <x:v>5.14</x:v>
      </x:c>
      <x:c r="I1008" s="8" t="n">
        <x:v>0</x:v>
      </x:c>
      <x:c r="J1008" s="8" t="n">
        <x:v>1</x:v>
      </x:c>
      <x:c r="K1008" s="8" t="n">
        <x:v>1</x:v>
      </x:c>
      <x:c r="L1008" s="8" t="n">
        <x:v>0</x:v>
      </x:c>
      <x:c r="M1008" s="8" t="n">
        <x:v>0</x:v>
      </x:c>
      <x:c r="N1008" s="8" t="n">
        <x:v>0</x:v>
      </x:c>
      <x:c r="O1008" s="8" t="n">
        <x:v>0</x:v>
      </x:c>
      <x:c r="P1008" s="8"/>
      <x:c r="Q1008" s="9" t="n">
        <x:v>0</x:v>
      </x:c>
      <x:c r="R1008" s="1" t="str">
        <x:v>Review receipt reconciliation or original PO baseline</x:v>
      </x:c>
      <x:c r="S1008" s="1" t="str">
        <x:v>FilmInventory Data.csv</x:v>
      </x:c>
    </x:row>
    <x:row r="1009" ht="21" customHeight="1">
      <x:c r="A1009" s="1" t="str">
        <x:v>FILM</x:v>
      </x:c>
      <x:c r="B1009" s="1" t="str">
        <x:v>30</x:v>
      </x:c>
      <x:c r="C1009" s="1" t="str">
        <x:v>122503C1</x:v>
      </x:c>
      <x:c r="D1009" s="1" t="str">
        <x:v>**PAY ACH** POLYPLEX USA LLC</x:v>
      </x:c>
      <x:c r="E1009" s="7" t="n">
        <x:v>46304</x:v>
      </x:c>
      <x:c r="F1009" s="8" t="n">
        <x:v>65</x:v>
      </x:c>
      <x:c r="G1009" s="8" t="n">
        <x:v>0.5</x:v>
      </x:c>
      <x:c r="H1009" s="8" t="n">
        <x:v>7.02</x:v>
      </x:c>
      <x:c r="I1009" s="8" t="n">
        <x:v>8.42</x:v>
      </x:c>
      <x:c r="J1009" s="8" t="n">
        <x:v>1</x:v>
      </x:c>
      <x:c r="K1009" s="8" t="n">
        <x:v>1</x:v>
      </x:c>
      <x:c r="L1009" s="8" t="n">
        <x:v>0</x:v>
      </x:c>
      <x:c r="M1009" s="8" t="n">
        <x:v>0</x:v>
      </x:c>
      <x:c r="N1009" s="8" t="n">
        <x:v>65</x:v>
      </x:c>
      <x:c r="O1009" s="8" t="n">
        <x:v>0</x:v>
      </x:c>
      <x:c r="P1009" s="8" t="n">
        <x:v>7.02</x:v>
      </x:c>
      <x:c r="Q1009" s="9" t="n">
        <x:v>456.29999999999995</x:v>
      </x:c>
      <x:c r="R1009" s="1" t="str">
        <x:v>Review receipt reconciliation or original PO baseline</x:v>
      </x:c>
      <x:c r="S1009" s="1" t="str">
        <x:v>FilmInventory Data.csv</x:v>
      </x:c>
    </x:row>
    <x:row r="1010" ht="21" customHeight="1">
      <x:c r="A1010" s="1" t="str">
        <x:v>FILM</x:v>
      </x:c>
      <x:c r="B1010" s="1" t="str">
        <x:v>30</x:v>
      </x:c>
      <x:c r="C1010" s="1" t="str">
        <x:v>2510005C3</x:v>
      </x:c>
      <x:c r="D1010" s="1" t="str">
        <x:v>**PAY ACH** POLYPLEX USA LLC</x:v>
      </x:c>
      <x:c r="E1010" s="7" t="n">
        <x:v>46304</x:v>
      </x:c>
      <x:c r="F1010" s="8" t="n">
        <x:v>14</x:v>
      </x:c>
      <x:c r="G1010" s="8" t="n">
        <x:v>0.5</x:v>
      </x:c>
      <x:c r="H1010" s="8" t="n">
        <x:v>105.9</x:v>
      </x:c>
      <x:c r="I1010" s="8" t="n">
        <x:v>127.2</x:v>
      </x:c>
      <x:c r="J1010" s="8" t="n">
        <x:v>1</x:v>
      </x:c>
      <x:c r="K1010" s="8" t="n">
        <x:v>1</x:v>
      </x:c>
      <x:c r="L1010" s="8" t="n">
        <x:v>14</x:v>
      </x:c>
      <x:c r="M1010" s="8" t="n">
        <x:v>0</x:v>
      </x:c>
      <x:c r="N1010" s="8" t="n">
        <x:v>0</x:v>
      </x:c>
      <x:c r="O1010" s="8" t="n">
        <x:v>1</x:v>
      </x:c>
      <x:c r="P1010" s="8" t="n">
        <x:v>105.9</x:v>
      </x:c>
      <x:c r="Q1010" s="9" t="n">
        <x:v>1482.6000000000001</x:v>
      </x:c>
      <x:c r="R1010" s="1" t="str">
        <x:v>Classified</x:v>
      </x:c>
      <x:c r="S1010" s="1" t="str">
        <x:v>FilmInventory Data.csv</x:v>
      </x:c>
    </x:row>
    <x:row r="1011" ht="21" customHeight="1">
      <x:c r="A1011" s="1" t="str">
        <x:v>FILM</x:v>
      </x:c>
      <x:c r="B1011" s="1" t="str">
        <x:v>10</x:v>
      </x:c>
      <x:c r="C1011" s="1" t="str">
        <x:v>1250015C2</x:v>
      </x:c>
      <x:c r="D1011" s="1" t="str">
        <x:v>**PAY ACH** POLYPLEX USA LLC</x:v>
      </x:c>
      <x:c r="E1011" s="7" t="n">
        <x:v>46304</x:v>
      </x:c>
      <x:c r="F1011" s="8" t="n">
        <x:v>12</x:v>
      </x:c>
      <x:c r="G1011" s="8" t="n">
        <x:v>0.33</x:v>
      </x:c>
      <x:c r="H1011" s="8" t="n">
        <x:v>6.48</x:v>
      </x:c>
      <x:c r="I1011" s="8" t="n">
        <x:v>7.78</x:v>
      </x:c>
      <x:c r="J1011" s="8" t="n">
        <x:v>1</x:v>
      </x:c>
      <x:c r="K1011" s="8" t="n">
        <x:v>1</x:v>
      </x:c>
      <x:c r="L1011" s="8" t="n">
        <x:v>0</x:v>
      </x:c>
      <x:c r="M1011" s="8" t="n">
        <x:v>0</x:v>
      </x:c>
      <x:c r="N1011" s="8" t="n">
        <x:v>12</x:v>
      </x:c>
      <x:c r="O1011" s="8" t="n">
        <x:v>0</x:v>
      </x:c>
      <x:c r="P1011" s="8" t="n">
        <x:v>6.48</x:v>
      </x:c>
      <x:c r="Q1011" s="9" t="n">
        <x:v>77.76</x:v>
      </x:c>
      <x:c r="R1011" s="1" t="str">
        <x:v>Review receipt reconciliation or original PO baseline</x:v>
      </x:c>
      <x:c r="S1011" s="1" t="str">
        <x:v>FilmInventory Data.csv</x:v>
      </x:c>
    </x:row>
    <x:row r="1012" ht="21" customHeight="1">
      <x:c r="A1012" s="1" t="str">
        <x:v>FILM</x:v>
      </x:c>
      <x:c r="B1012" s="1" t="str">
        <x:v>10</x:v>
      </x:c>
      <x:c r="C1012" s="1" t="str">
        <x:v>1810005C3</x:v>
      </x:c>
      <x:c r="D1012" s="1" t="str">
        <x:v>**PAY ACH** POLYPLEX USA LLC</x:v>
      </x:c>
      <x:c r="E1012" s="7" t="n">
        <x:v>46304</x:v>
      </x:c>
      <x:c r="F1012" s="8" t="n">
        <x:v>27</x:v>
      </x:c>
      <x:c r="G1012" s="8" t="n">
        <x:v>0.33</x:v>
      </x:c>
      <x:c r="H1012" s="8" t="n">
        <x:v>76.25</x:v>
      </x:c>
      <x:c r="I1012" s="8" t="n">
        <x:v>91.58</x:v>
      </x:c>
      <x:c r="J1012" s="8" t="n">
        <x:v>1</x:v>
      </x:c>
      <x:c r="K1012" s="8" t="n">
        <x:v>1</x:v>
      </x:c>
      <x:c r="L1012" s="8" t="n">
        <x:v>27</x:v>
      </x:c>
      <x:c r="M1012" s="8" t="n">
        <x:v>0</x:v>
      </x:c>
      <x:c r="N1012" s="8" t="n">
        <x:v>0</x:v>
      </x:c>
      <x:c r="O1012" s="8" t="n">
        <x:v>1</x:v>
      </x:c>
      <x:c r="P1012" s="8" t="n">
        <x:v>76.25</x:v>
      </x:c>
      <x:c r="Q1012" s="9" t="n">
        <x:v>2058.75</x:v>
      </x:c>
      <x:c r="R1012" s="1" t="str">
        <x:v>Classified</x:v>
      </x:c>
      <x:c r="S1012" s="1" t="str">
        <x:v>FilmInventory Data.csv</x:v>
      </x:c>
    </x:row>
    <x:row r="1013" ht="21" customHeight="1">
      <x:c r="A1013" s="1" t="str">
        <x:v>FILM</x:v>
      </x:c>
      <x:c r="B1013" s="1" t="str">
        <x:v>30</x:v>
      </x:c>
      <x:c r="C1013" s="1" t="str">
        <x:v>125003C1</x:v>
      </x:c>
      <x:c r="D1013" s="1" t="str">
        <x:v>**PAY ACH** POLYPLEX USA LLC</x:v>
      </x:c>
      <x:c r="E1013" s="7" t="n">
        <x:v>46304</x:v>
      </x:c>
      <x:c r="F1013" s="8" t="n">
        <x:v>44</x:v>
      </x:c>
      <x:c r="G1013" s="8" t="n">
        <x:v>0.33</x:v>
      </x:c>
      <x:c r="H1013" s="8" t="n">
        <x:v>10.73</x:v>
      </x:c>
      <x:c r="I1013" s="8" t="n">
        <x:v>0</x:v>
      </x:c>
      <x:c r="J1013" s="8" t="n">
        <x:v>1</x:v>
      </x:c>
      <x:c r="K1013" s="8" t="n">
        <x:v>1</x:v>
      </x:c>
      <x:c r="L1013" s="8" t="n">
        <x:v>0</x:v>
      </x:c>
      <x:c r="M1013" s="8" t="n">
        <x:v>0</x:v>
      </x:c>
      <x:c r="N1013" s="8" t="n">
        <x:v>44</x:v>
      </x:c>
      <x:c r="O1013" s="8" t="n">
        <x:v>0</x:v>
      </x:c>
      <x:c r="P1013" s="8"/>
      <x:c r="Q1013" s="9" t="n">
        <x:v>472.12</x:v>
      </x:c>
      <x:c r="R1013" s="1" t="str">
        <x:v>Review receipt reconciliation or original PO baseline</x:v>
      </x:c>
      <x:c r="S1013" s="1" t="str">
        <x:v>FilmInventory Data.csv</x:v>
      </x:c>
    </x:row>
    <x:row r="1014" ht="21" customHeight="1">
      <x:c r="A1014" s="1" t="str">
        <x:v>FILM</x:v>
      </x:c>
      <x:c r="B1014" s="1" t="str">
        <x:v>30</x:v>
      </x:c>
      <x:c r="C1014" s="1" t="str">
        <x:v>182503C1</x:v>
      </x:c>
      <x:c r="D1014" s="1" t="str">
        <x:v>**PAY ACH** POLYPLEX USA LLC</x:v>
      </x:c>
      <x:c r="E1014" s="7" t="n">
        <x:v>46304</x:v>
      </x:c>
      <x:c r="F1014" s="8" t="n">
        <x:v>81</x:v>
      </x:c>
      <x:c r="G1014" s="8" t="n">
        <x:v>0.33</x:v>
      </x:c>
      <x:c r="H1014" s="8" t="n">
        <x:v>10.53</x:v>
      </x:c>
      <x:c r="I1014" s="8" t="n">
        <x:v>12.64</x:v>
      </x:c>
      <x:c r="J1014" s="8" t="n">
        <x:v>1</x:v>
      </x:c>
      <x:c r="K1014" s="8" t="n">
        <x:v>1</x:v>
      </x:c>
      <x:c r="L1014" s="8" t="n">
        <x:v>81</x:v>
      </x:c>
      <x:c r="M1014" s="8" t="n">
        <x:v>0</x:v>
      </x:c>
      <x:c r="N1014" s="8" t="n">
        <x:v>0</x:v>
      </x:c>
      <x:c r="O1014" s="8" t="n">
        <x:v>1</x:v>
      </x:c>
      <x:c r="P1014" s="8" t="n">
        <x:v>10.53</x:v>
      </x:c>
      <x:c r="Q1014" s="9" t="n">
        <x:v>852.93</x:v>
      </x:c>
      <x:c r="R1014" s="1" t="str">
        <x:v>Classified</x:v>
      </x:c>
      <x:c r="S1014" s="1" t="str">
        <x:v>FilmInventory Data.csv</x:v>
      </x:c>
    </x:row>
    <x:row r="1015" ht="21" customHeight="1">
      <x:c r="A1015" s="1" t="str">
        <x:v>FILM</x:v>
      </x:c>
      <x:c r="B1015" s="1" t="str">
        <x:v>60</x:v>
      </x:c>
      <x:c r="C1015" s="1" t="str">
        <x:v>125003C1</x:v>
      </x:c>
      <x:c r="D1015" s="1" t="str">
        <x:v>**PAY ACH** POLYPLEX USA LLC</x:v>
      </x:c>
      <x:c r="E1015" s="7" t="n">
        <x:v>46304</x:v>
      </x:c>
      <x:c r="F1015" s="8" t="n">
        <x:v>0</x:v>
      </x:c>
      <x:c r="G1015" s="8" t="n">
        <x:v>0.33</x:v>
      </x:c>
      <x:c r="H1015" s="8" t="n">
        <x:v>10.73</x:v>
      </x:c>
      <x:c r="I1015" s="8" t="n">
        <x:v>0</x:v>
      </x:c>
      <x:c r="J1015" s="8" t="n">
        <x:v>1</x:v>
      </x:c>
      <x:c r="K1015" s="8" t="n">
        <x:v>1</x:v>
      </x:c>
      <x:c r="L1015" s="8" t="n">
        <x:v>0</x:v>
      </x:c>
      <x:c r="M1015" s="8" t="n">
        <x:v>0</x:v>
      </x:c>
      <x:c r="N1015" s="8" t="n">
        <x:v>0</x:v>
      </x:c>
      <x:c r="O1015" s="8" t="n">
        <x:v>0</x:v>
      </x:c>
      <x:c r="P1015" s="8"/>
      <x:c r="Q1015" s="9" t="n">
        <x:v>0</x:v>
      </x:c>
      <x:c r="R1015" s="1" t="str">
        <x:v>Review receipt reconciliation or original PO baseline</x:v>
      </x:c>
      <x:c r="S1015" s="1" t="str">
        <x:v>FilmInventory Data.csv</x:v>
      </x:c>
    </x:row>
    <x:row r="1016" ht="21" customHeight="1">
      <x:c r="A1016" s="1" t="str">
        <x:v>FILM</x:v>
      </x:c>
      <x:c r="B1016" s="1" t="str">
        <x:v>60</x:v>
      </x:c>
      <x:c r="C1016" s="1" t="str">
        <x:v>92503C1</x:v>
      </x:c>
      <x:c r="D1016" s="1" t="str">
        <x:v>**PAY ACH** POLYPLEX USA LLC</x:v>
      </x:c>
      <x:c r="E1016" s="7" t="n">
        <x:v>46304</x:v>
      </x:c>
      <x:c r="F1016" s="8" t="n">
        <x:v>11</x:v>
      </x:c>
      <x:c r="G1016" s="8" t="n">
        <x:v>0.33</x:v>
      </x:c>
      <x:c r="H1016" s="8" t="n">
        <x:v>3.75</x:v>
      </x:c>
      <x:c r="I1016" s="8" t="n">
        <x:v>0</x:v>
      </x:c>
      <x:c r="J1016" s="8" t="n">
        <x:v>1</x:v>
      </x:c>
      <x:c r="K1016" s="8" t="n">
        <x:v>1</x:v>
      </x:c>
      <x:c r="L1016" s="8" t="n">
        <x:v>0</x:v>
      </x:c>
      <x:c r="M1016" s="8" t="n">
        <x:v>0</x:v>
      </x:c>
      <x:c r="N1016" s="8" t="n">
        <x:v>11</x:v>
      </x:c>
      <x:c r="O1016" s="8" t="n">
        <x:v>0</x:v>
      </x:c>
      <x:c r="P1016" s="8"/>
      <x:c r="Q1016" s="9" t="n">
        <x:v>41.25</x:v>
      </x:c>
      <x:c r="R1016" s="1" t="str">
        <x:v>Review receipt reconciliation or original PO baseline</x:v>
      </x:c>
      <x:c r="S1016" s="1" t="str">
        <x:v>FilmInventory Data.csv</x:v>
      </x:c>
    </x:row>
    <x:row r="1017" ht="21" customHeight="1">
      <x:c r="A1017" s="1" t="str">
        <x:v>FILM</x:v>
      </x:c>
      <x:c r="B1017" s="1" t="str">
        <x:v>10</x:v>
      </x:c>
      <x:c r="C1017" s="1" t="str">
        <x:v>2510005C3</x:v>
      </x:c>
      <x:c r="D1017" s="1" t="str">
        <x:v>**PAY ACH** POLYPLEX USA LLC</x:v>
      </x:c>
      <x:c r="E1017" s="7" t="n">
        <x:v>46304</x:v>
      </x:c>
      <x:c r="F1017" s="8" t="n">
        <x:v>17</x:v>
      </x:c>
      <x:c r="G1017" s="8" t="n">
        <x:v>0.17</x:v>
      </x:c>
      <x:c r="H1017" s="8" t="n">
        <x:v>105.9</x:v>
      </x:c>
      <x:c r="I1017" s="8" t="n">
        <x:v>127.2</x:v>
      </x:c>
      <x:c r="J1017" s="8" t="n">
        <x:v>1</x:v>
      </x:c>
      <x:c r="K1017" s="8" t="n">
        <x:v>1</x:v>
      </x:c>
      <x:c r="L1017" s="8" t="n">
        <x:v>0</x:v>
      </x:c>
      <x:c r="M1017" s="8" t="n">
        <x:v>0</x:v>
      </x:c>
      <x:c r="N1017" s="8" t="n">
        <x:v>17</x:v>
      </x:c>
      <x:c r="O1017" s="8" t="n">
        <x:v>0</x:v>
      </x:c>
      <x:c r="P1017" s="8" t="n">
        <x:v>105.9</x:v>
      </x:c>
      <x:c r="Q1017" s="9" t="n">
        <x:v>1800.3000000000002</x:v>
      </x:c>
      <x:c r="R1017" s="1" t="str">
        <x:v>Review receipt reconciliation or original PO baseline</x:v>
      </x:c>
      <x:c r="S1017" s="1" t="str">
        <x:v>FilmInventory Data.csv</x:v>
      </x:c>
    </x:row>
    <x:row r="1018" ht="21" customHeight="1">
      <x:c r="A1018" s="1" t="str">
        <x:v>FILM</x:v>
      </x:c>
      <x:c r="B1018" s="1" t="str">
        <x:v>30</x:v>
      </x:c>
      <x:c r="C1018" s="1" t="str">
        <x:v>1210005C3</x:v>
      </x:c>
      <x:c r="D1018" s="1" t="str">
        <x:v>**PAY ACH** POLYPLEX USA LLC</x:v>
      </x:c>
      <x:c r="E1018" s="7" t="n">
        <x:v>46304</x:v>
      </x:c>
      <x:c r="F1018" s="8" t="n">
        <x:v>68</x:v>
      </x:c>
      <x:c r="G1018" s="8" t="n">
        <x:v>0.17</x:v>
      </x:c>
      <x:c r="H1018" s="8" t="n">
        <x:v>50.83</x:v>
      </x:c>
      <x:c r="I1018" s="8" t="n">
        <x:v>61.06</x:v>
      </x:c>
      <x:c r="J1018" s="8" t="n">
        <x:v>1</x:v>
      </x:c>
      <x:c r="K1018" s="8" t="n">
        <x:v>1</x:v>
      </x:c>
      <x:c r="L1018" s="8" t="n">
        <x:v>0</x:v>
      </x:c>
      <x:c r="M1018" s="8" t="n">
        <x:v>0</x:v>
      </x:c>
      <x:c r="N1018" s="8" t="n">
        <x:v>68</x:v>
      </x:c>
      <x:c r="O1018" s="8" t="n">
        <x:v>0</x:v>
      </x:c>
      <x:c r="P1018" s="8" t="n">
        <x:v>50.83</x:v>
      </x:c>
      <x:c r="Q1018" s="9" t="n">
        <x:v>3456.44</x:v>
      </x:c>
      <x:c r="R1018" s="1" t="str">
        <x:v>Review receipt reconciliation or original PO baseline</x:v>
      </x:c>
      <x:c r="S1018" s="1" t="str">
        <x:v>FilmInventory Data.csv</x:v>
      </x:c>
    </x:row>
    <x:row r="1019" ht="21" customHeight="1">
      <x:c r="A1019" s="1" t="str">
        <x:v>FILM</x:v>
      </x:c>
      <x:c r="B1019" s="1" t="str">
        <x:v>30</x:v>
      </x:c>
      <x:c r="C1019" s="1" t="str">
        <x:v>PR182503C1</x:v>
      </x:c>
      <x:c r="D1019" s="1" t="str">
        <x:v>**PAY ACH** POLYPLEX USA LLC</x:v>
      </x:c>
      <x:c r="E1019" s="7" t="n">
        <x:v>46304</x:v>
      </x:c>
      <x:c r="F1019" s="8" t="n">
        <x:v>38</x:v>
      </x:c>
      <x:c r="G1019" s="8" t="n">
        <x:v>0.17</x:v>
      </x:c>
      <x:c r="H1019" s="8" t="n">
        <x:v>12.15</x:v>
      </x:c>
      <x:c r="I1019" s="8" t="n">
        <x:v>14.58</x:v>
      </x:c>
      <x:c r="J1019" s="8" t="n">
        <x:v>1</x:v>
      </x:c>
      <x:c r="K1019" s="8" t="n">
        <x:v>1</x:v>
      </x:c>
      <x:c r="L1019" s="8" t="n">
        <x:v>0</x:v>
      </x:c>
      <x:c r="M1019" s="8" t="n">
        <x:v>0</x:v>
      </x:c>
      <x:c r="N1019" s="8" t="n">
        <x:v>38</x:v>
      </x:c>
      <x:c r="O1019" s="8" t="n">
        <x:v>0</x:v>
      </x:c>
      <x:c r="P1019" s="8" t="n">
        <x:v>12.15</x:v>
      </x:c>
      <x:c r="Q1019" s="9" t="n">
        <x:v>461.7</x:v>
      </x:c>
      <x:c r="R1019" s="1" t="str">
        <x:v>Review receipt reconciliation or original PO baseline</x:v>
      </x:c>
      <x:c r="S1019" s="1" t="str">
        <x:v>FilmInventory Data.csv</x:v>
      </x:c>
    </x:row>
    <x:row r="1020" ht="21" customHeight="1">
      <x:c r="A1020" s="1" t="str">
        <x:v>FILM</x:v>
      </x:c>
      <x:c r="B1020" s="1" t="str">
        <x:v>60</x:v>
      </x:c>
      <x:c r="C1020" s="1" t="str">
        <x:v>1210005C3</x:v>
      </x:c>
      <x:c r="D1020" s="1" t="str">
        <x:v>**PAY ACH** POLYPLEX USA LLC</x:v>
      </x:c>
      <x:c r="E1020" s="7" t="n">
        <x:v>46304</x:v>
      </x:c>
      <x:c r="F1020" s="8" t="n">
        <x:v>51</x:v>
      </x:c>
      <x:c r="G1020" s="8" t="n">
        <x:v>0.17</x:v>
      </x:c>
      <x:c r="H1020" s="8" t="n">
        <x:v>50.83</x:v>
      </x:c>
      <x:c r="I1020" s="8" t="n">
        <x:v>61.06</x:v>
      </x:c>
      <x:c r="J1020" s="8" t="n">
        <x:v>1</x:v>
      </x:c>
      <x:c r="K1020" s="8" t="n">
        <x:v>1</x:v>
      </x:c>
      <x:c r="L1020" s="8" t="n">
        <x:v>0</x:v>
      </x:c>
      <x:c r="M1020" s="8" t="n">
        <x:v>0</x:v>
      </x:c>
      <x:c r="N1020" s="8" t="n">
        <x:v>51</x:v>
      </x:c>
      <x:c r="O1020" s="8" t="n">
        <x:v>0</x:v>
      </x:c>
      <x:c r="P1020" s="8" t="n">
        <x:v>50.83</x:v>
      </x:c>
      <x:c r="Q1020" s="9" t="n">
        <x:v>2592.33</x:v>
      </x:c>
      <x:c r="R1020" s="1" t="str">
        <x:v>Review receipt reconciliation or original PO baseline</x:v>
      </x:c>
      <x:c r="S1020" s="1" t="str">
        <x:v>FilmInventory Data.csv</x:v>
      </x:c>
    </x:row>
    <x:row r="1021" ht="21" customHeight="1">
      <x:c r="A1021" s="1" t="str">
        <x:v>FILM</x:v>
      </x:c>
      <x:c r="B1021" s="1" t="str">
        <x:v>60</x:v>
      </x:c>
      <x:c r="C1021" s="1" t="str">
        <x:v>1250010C3</x:v>
      </x:c>
      <x:c r="D1021" s="1" t="str">
        <x:v>**PAY ACH** POLYPLEX USA LLC</x:v>
      </x:c>
      <x:c r="E1021" s="7" t="n">
        <x:v>46304</x:v>
      </x:c>
      <x:c r="F1021" s="8" t="n">
        <x:v>0</x:v>
      </x:c>
      <x:c r="G1021" s="8" t="n">
        <x:v>0.17</x:v>
      </x:c>
      <x:c r="H1021" s="8" t="n">
        <x:v>56.88</x:v>
      </x:c>
      <x:c r="I1021" s="8" t="n">
        <x:v>68.26</x:v>
      </x:c>
      <x:c r="J1021" s="8" t="n">
        <x:v>1</x:v>
      </x:c>
      <x:c r="K1021" s="8" t="n">
        <x:v>1</x:v>
      </x:c>
      <x:c r="L1021" s="8" t="n">
        <x:v>0</x:v>
      </x:c>
      <x:c r="M1021" s="8" t="n">
        <x:v>0</x:v>
      </x:c>
      <x:c r="N1021" s="8" t="n">
        <x:v>0</x:v>
      </x:c>
      <x:c r="O1021" s="8" t="n">
        <x:v>1</x:v>
      </x:c>
      <x:c r="P1021" s="8" t="n">
        <x:v>56.88</x:v>
      </x:c>
      <x:c r="Q1021" s="9" t="n">
        <x:v>0</x:v>
      </x:c>
      <x:c r="R1021" s="1" t="str">
        <x:v>Classified</x:v>
      </x:c>
      <x:c r="S1021" s="1" t="str">
        <x:v>FilmInventory Data.csv</x:v>
      </x:c>
    </x:row>
    <x:row r="1022" ht="21" customHeight="1">
      <x:c r="A1022" s="1" t="str">
        <x:v>FILM</x:v>
      </x:c>
      <x:c r="B1022" s="1" t="str">
        <x:v>60</x:v>
      </x:c>
      <x:c r="C1022" s="1" t="str">
        <x:v>2510005C3</x:v>
      </x:c>
      <x:c r="D1022" s="1" t="str">
        <x:v>**PAY ACH** POLYPLEX USA LLC</x:v>
      </x:c>
      <x:c r="E1022" s="7" t="n">
        <x:v>46304</x:v>
      </x:c>
      <x:c r="F1022" s="8" t="n">
        <x:v>18</x:v>
      </x:c>
      <x:c r="G1022" s="8" t="n">
        <x:v>0.17</x:v>
      </x:c>
      <x:c r="H1022" s="8" t="n">
        <x:v>105.9</x:v>
      </x:c>
      <x:c r="I1022" s="8" t="n">
        <x:v>127.2</x:v>
      </x:c>
      <x:c r="J1022" s="8" t="n">
        <x:v>1</x:v>
      </x:c>
      <x:c r="K1022" s="8" t="n">
        <x:v>1</x:v>
      </x:c>
      <x:c r="L1022" s="8" t="n">
        <x:v>0</x:v>
      </x:c>
      <x:c r="M1022" s="8" t="n">
        <x:v>0</x:v>
      </x:c>
      <x:c r="N1022" s="8" t="n">
        <x:v>18</x:v>
      </x:c>
      <x:c r="O1022" s="8" t="n">
        <x:v>0</x:v>
      </x:c>
      <x:c r="P1022" s="8" t="n">
        <x:v>105.9</x:v>
      </x:c>
      <x:c r="Q1022" s="9" t="n">
        <x:v>1906.2</x:v>
      </x:c>
      <x:c r="R1022" s="1" t="str">
        <x:v>Review receipt reconciliation or original PO baseline</x:v>
      </x:c>
      <x:c r="S1022" s="1" t="str">
        <x:v>FilmInventory Data.csv</x:v>
      </x:c>
    </x:row>
    <x:row r="1023" ht="21" customHeight="1">
      <x:c r="A1023" s="1" t="str">
        <x:v>FILM</x:v>
      </x:c>
      <x:c r="B1023" s="1" t="str">
        <x:v>10</x:v>
      </x:c>
      <x:c r="C1023" s="1" t="str">
        <x:v>142005C1</x:v>
      </x:c>
      <x:c r="D1023" s="1" t="str">
        <x:v>**PAY ACH** POLYPLEX USA LLC</x:v>
      </x:c>
      <x:c r="E1023" s="7" t="n">
        <x:v>46304</x:v>
      </x:c>
      <x:c r="F1023" s="8" t="n">
        <x:v>0</x:v>
      </x:c>
      <x:c r="G1023" s="8" t="n">
        <x:v>0</x:v>
      </x:c>
      <x:c r="H1023" s="8" t="n">
        <x:v>8.2</x:v>
      </x:c>
      <x:c r="I1023" s="8" t="n">
        <x:v>0</x:v>
      </x:c>
      <x:c r="J1023" s="8" t="n">
        <x:v>1</x:v>
      </x:c>
      <x:c r="K1023" s="8" t="n">
        <x:v>1</x:v>
      </x:c>
      <x:c r="L1023" s="8" t="n">
        <x:v>0</x:v>
      </x:c>
      <x:c r="M1023" s="8" t="n">
        <x:v>0</x:v>
      </x:c>
      <x:c r="N1023" s="8" t="n">
        <x:v>0</x:v>
      </x:c>
      <x:c r="O1023" s="8" t="n">
        <x:v>0</x:v>
      </x:c>
      <x:c r="P1023" s="8"/>
      <x:c r="Q1023" s="9" t="n">
        <x:v>0</x:v>
      </x:c>
      <x:c r="R1023" s="1" t="str">
        <x:v>Review receipt reconciliation or original PO baseline</x:v>
      </x:c>
      <x:c r="S1023" s="1" t="str">
        <x:v>FilmInventory Data.csv</x:v>
      </x:c>
    </x:row>
    <x:row r="1024" ht="21" customHeight="1">
      <x:c r="A1024" s="1" t="str">
        <x:v>FILM</x:v>
      </x:c>
      <x:c r="B1024" s="1" t="str">
        <x:v>10</x:v>
      </x:c>
      <x:c r="C1024" s="1" t="str">
        <x:v>25300017C3</x:v>
      </x:c>
      <x:c r="D1024" s="1" t="str">
        <x:v>**PAY ACH** POLYPLEX USA LLC</x:v>
      </x:c>
      <x:c r="E1024" s="7" t="n">
        <x:v>46304</x:v>
      </x:c>
      <x:c r="F1024" s="8" t="n">
        <x:v>1</x:v>
      </x:c>
      <x:c r="G1024" s="8" t="n">
        <x:v>0</x:v>
      </x:c>
      <x:c r="H1024" s="8" t="n">
        <x:v>76.5</x:v>
      </x:c>
      <x:c r="I1024" s="8" t="n">
        <x:v>0</x:v>
      </x:c>
      <x:c r="J1024" s="8" t="n">
        <x:v>1</x:v>
      </x:c>
      <x:c r="K1024" s="8" t="n">
        <x:v>1</x:v>
      </x:c>
      <x:c r="L1024" s="8" t="n">
        <x:v>0</x:v>
      </x:c>
      <x:c r="M1024" s="8" t="n">
        <x:v>0</x:v>
      </x:c>
      <x:c r="N1024" s="8" t="n">
        <x:v>1</x:v>
      </x:c>
      <x:c r="O1024" s="8" t="n">
        <x:v>0</x:v>
      </x:c>
      <x:c r="P1024" s="8"/>
      <x:c r="Q1024" s="9" t="n">
        <x:v>76.5</x:v>
      </x:c>
      <x:c r="R1024" s="1" t="str">
        <x:v>Review receipt reconciliation or original PO baseline</x:v>
      </x:c>
      <x:c r="S1024" s="1" t="str">
        <x:v>FilmInventory Data.csv</x:v>
      </x:c>
    </x:row>
    <x:row r="1025" ht="21" customHeight="1">
      <x:c r="A1025" s="1" t="str">
        <x:v>FILM</x:v>
      </x:c>
      <x:c r="B1025" s="1" t="str">
        <x:v>10</x:v>
      </x:c>
      <x:c r="C1025" s="1" t="str">
        <x:v>4350017C3</x:v>
      </x:c>
      <x:c r="D1025" s="1" t="str">
        <x:v>**PAY ACH** POLYPLEX USA LLC</x:v>
      </x:c>
      <x:c r="E1025" s="7" t="n">
        <x:v>46304</x:v>
      </x:c>
      <x:c r="F1025" s="8" t="n">
        <x:v>34</x:v>
      </x:c>
      <x:c r="G1025" s="8" t="n">
        <x:v>0</x:v>
      </x:c>
      <x:c r="H1025" s="8" t="n">
        <x:v>33.28</x:v>
      </x:c>
      <x:c r="I1025" s="8" t="n">
        <x:v>39.99</x:v>
      </x:c>
      <x:c r="J1025" s="8" t="n">
        <x:v>1</x:v>
      </x:c>
      <x:c r="K1025" s="8" t="n">
        <x:v>1</x:v>
      </x:c>
      <x:c r="L1025" s="8" t="n">
        <x:v>0</x:v>
      </x:c>
      <x:c r="M1025" s="8" t="n">
        <x:v>0</x:v>
      </x:c>
      <x:c r="N1025" s="8" t="n">
        <x:v>34</x:v>
      </x:c>
      <x:c r="O1025" s="8" t="n">
        <x:v>0</x:v>
      </x:c>
      <x:c r="P1025" s="8" t="n">
        <x:v>33.28</x:v>
      </x:c>
      <x:c r="Q1025" s="9" t="n">
        <x:v>1131.52</x:v>
      </x:c>
      <x:c r="R1025" s="1" t="str">
        <x:v>Review receipt reconciliation or original PO baseline</x:v>
      </x:c>
      <x:c r="S1025" s="1" t="str">
        <x:v>FilmInventory Data.csv</x:v>
      </x:c>
    </x:row>
    <x:row r="1026" ht="21" customHeight="1">
      <x:c r="A1026" s="1" t="str">
        <x:v>FILM</x:v>
      </x:c>
      <x:c r="B1026" s="1" t="str">
        <x:v>10</x:v>
      </x:c>
      <x:c r="C1026" s="1" t="str">
        <x:v>PPFS</x:v>
      </x:c>
      <x:c r="D1026" s="1" t="str">
        <x:v>**PAY ACH** POLYPLEX USA LLC</x:v>
      </x:c>
      <x:c r="E1026" s="7" t="n">
        <x:v>46304</x:v>
      </x:c>
      <x:c r="F1026" s="8" t="n">
        <x:v>9</x:v>
      </x:c>
      <x:c r="G1026" s="8" t="n">
        <x:v>0</x:v>
      </x:c>
      <x:c r="H1026" s="8" t="n">
        <x:v>0</x:v>
      </x:c>
      <x:c r="I1026" s="8" t="n">
        <x:v>0</x:v>
      </x:c>
      <x:c r="J1026" s="8" t="n">
        <x:v>1</x:v>
      </x:c>
      <x:c r="K1026" s="8" t="n">
        <x:v>1</x:v>
      </x:c>
      <x:c r="L1026" s="8" t="n">
        <x:v>0</x:v>
      </x:c>
      <x:c r="M1026" s="8" t="n">
        <x:v>0</x:v>
      </x:c>
      <x:c r="N1026" s="8" t="n">
        <x:v>9</x:v>
      </x:c>
      <x:c r="O1026" s="8" t="n">
        <x:v>0</x:v>
      </x:c>
      <x:c r="P1026" s="8"/>
      <x:c r="Q1026" s="9" t="n">
        <x:v>0</x:v>
      </x:c>
      <x:c r="R1026" s="1" t="str">
        <x:v>Review receipt reconciliation or original PO baseline</x:v>
      </x:c>
      <x:c r="S1026" s="1" t="str">
        <x:v>FilmInventory Data.csv</x:v>
      </x:c>
    </x:row>
    <x:row r="1027" ht="21" customHeight="1">
      <x:c r="A1027" s="1" t="str">
        <x:v>FILM</x:v>
      </x:c>
      <x:c r="B1027" s="1" t="str">
        <x:v>10</x:v>
      </x:c>
      <x:c r="C1027" s="1" t="str">
        <x:v>SG27500C1</x:v>
      </x:c>
      <x:c r="D1027" s="1" t="str">
        <x:v>**PAY ACH** POLYPLEX USA LLC</x:v>
      </x:c>
      <x:c r="E1027" s="7" t="n">
        <x:v>46304</x:v>
      </x:c>
      <x:c r="F1027" s="8" t="n">
        <x:v>0</x:v>
      </x:c>
      <x:c r="G1027" s="8" t="n">
        <x:v>0</x:v>
      </x:c>
      <x:c r="H1027" s="8" t="n">
        <x:v>10.04</x:v>
      </x:c>
      <x:c r="I1027" s="8" t="n">
        <x:v>0</x:v>
      </x:c>
      <x:c r="J1027" s="8" t="n">
        <x:v>1</x:v>
      </x:c>
      <x:c r="K1027" s="8" t="n">
        <x:v>1</x:v>
      </x:c>
      <x:c r="L1027" s="8" t="n">
        <x:v>0</x:v>
      </x:c>
      <x:c r="M1027" s="8" t="n">
        <x:v>0</x:v>
      </x:c>
      <x:c r="N1027" s="8" t="n">
        <x:v>0</x:v>
      </x:c>
      <x:c r="O1027" s="8" t="n">
        <x:v>0</x:v>
      </x:c>
      <x:c r="P1027" s="8"/>
      <x:c r="Q1027" s="9" t="n">
        <x:v>0</x:v>
      </x:c>
      <x:c r="R1027" s="1" t="str">
        <x:v>Review receipt reconciliation or original PO baseline</x:v>
      </x:c>
      <x:c r="S1027" s="1" t="str">
        <x:v>FilmInventory Data.csv</x:v>
      </x:c>
    </x:row>
    <x:row r="1028" ht="21" customHeight="1">
      <x:c r="A1028" s="1" t="str">
        <x:v>FILM</x:v>
      </x:c>
      <x:c r="B1028" s="1" t="str">
        <x:v>10</x:v>
      </x:c>
      <x:c r="C1028" s="1" t="str">
        <x:v>ST3850017M3</x:v>
      </x:c>
      <x:c r="D1028" s="1" t="str">
        <x:v>**PAY ACH** POLYPLEX USA LLC</x:v>
      </x:c>
      <x:c r="E1028" s="7" t="n">
        <x:v>46304</x:v>
      </x:c>
      <x:c r="F1028" s="8" t="n">
        <x:v>35</x:v>
      </x:c>
      <x:c r="G1028" s="8" t="n">
        <x:v>0</x:v>
      </x:c>
      <x:c r="H1028" s="8" t="n">
        <x:v>95.76</x:v>
      </x:c>
      <x:c r="I1028" s="8" t="n">
        <x:v>114.91</x:v>
      </x:c>
      <x:c r="J1028" s="8" t="n">
        <x:v>1</x:v>
      </x:c>
      <x:c r="K1028" s="8" t="n">
        <x:v>1</x:v>
      </x:c>
      <x:c r="L1028" s="8" t="n">
        <x:v>0</x:v>
      </x:c>
      <x:c r="M1028" s="8" t="n">
        <x:v>0</x:v>
      </x:c>
      <x:c r="N1028" s="8" t="n">
        <x:v>35</x:v>
      </x:c>
      <x:c r="O1028" s="8" t="n">
        <x:v>0</x:v>
      </x:c>
      <x:c r="P1028" s="8" t="n">
        <x:v>95.76</x:v>
      </x:c>
      <x:c r="Q1028" s="9" t="n">
        <x:v>3351.6000000000004</x:v>
      </x:c>
      <x:c r="R1028" s="1" t="str">
        <x:v>Review receipt reconciliation or original PO baseline</x:v>
      </x:c>
      <x:c r="S1028" s="1" t="str">
        <x:v>FilmInventory Data.csv</x:v>
      </x:c>
    </x:row>
    <x:row r="1029" ht="21" customHeight="1">
      <x:c r="A1029" s="1" t="str">
        <x:v>FILM</x:v>
      </x:c>
      <x:c r="B1029" s="1" t="str">
        <x:v>10</x:v>
      </x:c>
      <x:c r="C1029" s="1" t="str">
        <x:v>ST432005M3</x:v>
      </x:c>
      <x:c r="D1029" s="1" t="str">
        <x:v>**PAY ACH** POLYPLEX USA LLC</x:v>
      </x:c>
      <x:c r="E1029" s="7" t="n">
        <x:v>46304</x:v>
      </x:c>
      <x:c r="F1029" s="8" t="n">
        <x:v>33</x:v>
      </x:c>
      <x:c r="G1029" s="8" t="n">
        <x:v>0</x:v>
      </x:c>
      <x:c r="H1029" s="8" t="n">
        <x:v>86.58</x:v>
      </x:c>
      <x:c r="I1029" s="8" t="n">
        <x:v>104.23</x:v>
      </x:c>
      <x:c r="J1029" s="8" t="n">
        <x:v>1</x:v>
      </x:c>
      <x:c r="K1029" s="8" t="n">
        <x:v>1</x:v>
      </x:c>
      <x:c r="L1029" s="8" t="n">
        <x:v>0</x:v>
      </x:c>
      <x:c r="M1029" s="8" t="n">
        <x:v>0</x:v>
      </x:c>
      <x:c r="N1029" s="8" t="n">
        <x:v>33</x:v>
      </x:c>
      <x:c r="O1029" s="8" t="n">
        <x:v>0</x:v>
      </x:c>
      <x:c r="P1029" s="8" t="n">
        <x:v>86.58</x:v>
      </x:c>
      <x:c r="Q1029" s="9" t="n">
        <x:v>2857.14</x:v>
      </x:c>
      <x:c r="R1029" s="1" t="str">
        <x:v>Review receipt reconciliation or original PO baseline</x:v>
      </x:c>
      <x:c r="S1029" s="1" t="str">
        <x:v>FilmInventory Data.csv</x:v>
      </x:c>
    </x:row>
    <x:row r="1030" ht="21" customHeight="1">
      <x:c r="A1030" s="1" t="str">
        <x:v>FILM</x:v>
      </x:c>
      <x:c r="B1030" s="1" t="str">
        <x:v>10</x:v>
      </x:c>
      <x:c r="C1030" s="1" t="str">
        <x:v>ST4350017M3</x:v>
      </x:c>
      <x:c r="D1030" s="1" t="str">
        <x:v>**PAY ACH** POLYPLEX USA LLC</x:v>
      </x:c>
      <x:c r="E1030" s="7" t="n">
        <x:v>46304</x:v>
      </x:c>
      <x:c r="F1030" s="8" t="n">
        <x:v>36</x:v>
      </x:c>
      <x:c r="G1030" s="8" t="n">
        <x:v>0</x:v>
      </x:c>
      <x:c r="H1030" s="8" t="n">
        <x:v>108.36</x:v>
      </x:c>
      <x:c r="I1030" s="8" t="n">
        <x:v>130.03</x:v>
      </x:c>
      <x:c r="J1030" s="8" t="n">
        <x:v>1</x:v>
      </x:c>
      <x:c r="K1030" s="8" t="n">
        <x:v>1</x:v>
      </x:c>
      <x:c r="L1030" s="8" t="n">
        <x:v>0</x:v>
      </x:c>
      <x:c r="M1030" s="8" t="n">
        <x:v>0</x:v>
      </x:c>
      <x:c r="N1030" s="8" t="n">
        <x:v>36</x:v>
      </x:c>
      <x:c r="O1030" s="8" t="n">
        <x:v>0</x:v>
      </x:c>
      <x:c r="P1030" s="8" t="n">
        <x:v>108.36</x:v>
      </x:c>
      <x:c r="Q1030" s="9" t="n">
        <x:v>3900.96</x:v>
      </x:c>
      <x:c r="R1030" s="1" t="str">
        <x:v>Review receipt reconciliation or original PO baseline</x:v>
      </x:c>
      <x:c r="S1030" s="1" t="str">
        <x:v>FilmInventory Data.csv</x:v>
      </x:c>
    </x:row>
    <x:row r="1031" ht="21" customHeight="1">
      <x:c r="A1031" s="1" t="str">
        <x:v>FILM</x:v>
      </x:c>
      <x:c r="B1031" s="1" t="str">
        <x:v>30</x:v>
      </x:c>
      <x:c r="C1031" s="1" t="str">
        <x:v>125005C2</x:v>
      </x:c>
      <x:c r="D1031" s="1" t="str">
        <x:v>**PAY ACH** POLYPLEX USA LLC</x:v>
      </x:c>
      <x:c r="E1031" s="7" t="n">
        <x:v>46304</x:v>
      </x:c>
      <x:c r="F1031" s="8" t="n">
        <x:v>20</x:v>
      </x:c>
      <x:c r="G1031" s="8" t="n">
        <x:v>0</x:v>
      </x:c>
      <x:c r="H1031" s="8" t="n">
        <x:v>25.42</x:v>
      </x:c>
      <x:c r="I1031" s="8" t="n">
        <x:v>30.53</x:v>
      </x:c>
      <x:c r="J1031" s="8" t="n">
        <x:v>1</x:v>
      </x:c>
      <x:c r="K1031" s="8" t="n">
        <x:v>1</x:v>
      </x:c>
      <x:c r="L1031" s="8" t="n">
        <x:v>0</x:v>
      </x:c>
      <x:c r="M1031" s="8" t="n">
        <x:v>0</x:v>
      </x:c>
      <x:c r="N1031" s="8" t="n">
        <x:v>20</x:v>
      </x:c>
      <x:c r="O1031" s="8" t="n">
        <x:v>0</x:v>
      </x:c>
      <x:c r="P1031" s="8" t="n">
        <x:v>25.42</x:v>
      </x:c>
      <x:c r="Q1031" s="9" t="n">
        <x:v>508.40000000000003</x:v>
      </x:c>
      <x:c r="R1031" s="1" t="str">
        <x:v>Review receipt reconciliation or original PO baseline</x:v>
      </x:c>
      <x:c r="S1031" s="1" t="str">
        <x:v>FilmInventory Data.csv</x:v>
      </x:c>
    </x:row>
    <x:row r="1032" ht="21" customHeight="1">
      <x:c r="A1032" s="1" t="str">
        <x:v>FILM</x:v>
      </x:c>
      <x:c r="B1032" s="1" t="str">
        <x:v>30</x:v>
      </x:c>
      <x:c r="C1032" s="1" t="str">
        <x:v>1850015C2</x:v>
      </x:c>
      <x:c r="D1032" s="1" t="str">
        <x:v>**PAY ACH** POLYPLEX USA LLC</x:v>
      </x:c>
      <x:c r="E1032" s="7" t="n">
        <x:v>46304</x:v>
      </x:c>
      <x:c r="F1032" s="8" t="n">
        <x:v>70</x:v>
      </x:c>
      <x:c r="G1032" s="8" t="n">
        <x:v>0</x:v>
      </x:c>
      <x:c r="H1032" s="8" t="n">
        <x:v>9.72</x:v>
      </x:c>
      <x:c r="I1032" s="8" t="n">
        <x:v>11.66</x:v>
      </x:c>
      <x:c r="J1032" s="8" t="n">
        <x:v>1</x:v>
      </x:c>
      <x:c r="K1032" s="8" t="n">
        <x:v>1</x:v>
      </x:c>
      <x:c r="L1032" s="8" t="n">
        <x:v>0</x:v>
      </x:c>
      <x:c r="M1032" s="8" t="n">
        <x:v>0</x:v>
      </x:c>
      <x:c r="N1032" s="8" t="n">
        <x:v>70</x:v>
      </x:c>
      <x:c r="O1032" s="8" t="n">
        <x:v>0</x:v>
      </x:c>
      <x:c r="P1032" s="8" t="n">
        <x:v>9.72</x:v>
      </x:c>
      <x:c r="Q1032" s="9" t="n">
        <x:v>680.4000000000001</x:v>
      </x:c>
      <x:c r="R1032" s="1" t="str">
        <x:v>Review receipt reconciliation or original PO baseline</x:v>
      </x:c>
      <x:c r="S1032" s="1" t="str">
        <x:v>FilmInventory Data.csv</x:v>
      </x:c>
    </x:row>
    <x:row r="1033" ht="21" customHeight="1">
      <x:c r="A1033" s="1" t="str">
        <x:v>FILM</x:v>
      </x:c>
      <x:c r="B1033" s="1" t="str">
        <x:v>30</x:v>
      </x:c>
      <x:c r="C1033" s="1" t="str">
        <x:v>25300017C3</x:v>
      </x:c>
      <x:c r="D1033" s="1" t="str">
        <x:v>**PAY ACH** POLYPLEX USA LLC</x:v>
      </x:c>
      <x:c r="E1033" s="7" t="n">
        <x:v>46304</x:v>
      </x:c>
      <x:c r="F1033" s="8" t="n">
        <x:v>0</x:v>
      </x:c>
      <x:c r="G1033" s="8" t="n">
        <x:v>0</x:v>
      </x:c>
      <x:c r="H1033" s="8" t="n">
        <x:v>76.5</x:v>
      </x:c>
      <x:c r="I1033" s="8" t="n">
        <x:v>0</x:v>
      </x:c>
      <x:c r="J1033" s="8" t="n">
        <x:v>1</x:v>
      </x:c>
      <x:c r="K1033" s="8" t="n">
        <x:v>1</x:v>
      </x:c>
      <x:c r="L1033" s="8" t="n">
        <x:v>0</x:v>
      </x:c>
      <x:c r="M1033" s="8" t="n">
        <x:v>0</x:v>
      </x:c>
      <x:c r="N1033" s="8" t="n">
        <x:v>0</x:v>
      </x:c>
      <x:c r="O1033" s="8" t="n">
        <x:v>0</x:v>
      </x:c>
      <x:c r="P1033" s="8"/>
      <x:c r="Q1033" s="9" t="n">
        <x:v>0</x:v>
      </x:c>
      <x:c r="R1033" s="1" t="str">
        <x:v>Review receipt reconciliation or original PO baseline</x:v>
      </x:c>
      <x:c r="S1033" s="1" t="str">
        <x:v>FilmInventory Data.csv</x:v>
      </x:c>
    </x:row>
    <x:row r="1034" ht="21" customHeight="1">
      <x:c r="A1034" s="1" t="str">
        <x:v>FILM</x:v>
      </x:c>
      <x:c r="B1034" s="1" t="str">
        <x:v>30</x:v>
      </x:c>
      <x:c r="C1034" s="1" t="str">
        <x:v>255005C2</x:v>
      </x:c>
      <x:c r="D1034" s="1" t="str">
        <x:v>**PAY ACH** POLYPLEX USA LLC</x:v>
      </x:c>
      <x:c r="E1034" s="7" t="n">
        <x:v>46304</x:v>
      </x:c>
      <x:c r="F1034" s="8" t="n">
        <x:v>6</x:v>
      </x:c>
      <x:c r="G1034" s="8" t="n">
        <x:v>0</x:v>
      </x:c>
      <x:c r="H1034" s="8" t="n">
        <x:v>52.95</x:v>
      </x:c>
      <x:c r="I1034" s="8" t="n">
        <x:v>63.6</x:v>
      </x:c>
      <x:c r="J1034" s="8" t="n">
        <x:v>1</x:v>
      </x:c>
      <x:c r="K1034" s="8" t="n">
        <x:v>1</x:v>
      </x:c>
      <x:c r="L1034" s="8" t="n">
        <x:v>0</x:v>
      </x:c>
      <x:c r="M1034" s="8" t="n">
        <x:v>0</x:v>
      </x:c>
      <x:c r="N1034" s="8" t="n">
        <x:v>6</x:v>
      </x:c>
      <x:c r="O1034" s="8" t="n">
        <x:v>0</x:v>
      </x:c>
      <x:c r="P1034" s="8" t="n">
        <x:v>52.95</x:v>
      </x:c>
      <x:c r="Q1034" s="9" t="n">
        <x:v>317.70000000000005</x:v>
      </x:c>
      <x:c r="R1034" s="1" t="str">
        <x:v>Review receipt reconciliation or original PO baseline</x:v>
      </x:c>
      <x:c r="S1034" s="1" t="str">
        <x:v>FilmInventory Data.csv</x:v>
      </x:c>
    </x:row>
    <x:row r="1035" ht="21" customHeight="1">
      <x:c r="A1035" s="1" t="str">
        <x:v>FILM</x:v>
      </x:c>
      <x:c r="B1035" s="1" t="str">
        <x:v>30</x:v>
      </x:c>
      <x:c r="C1035" s="1" t="str">
        <x:v>3850017C3</x:v>
      </x:c>
      <x:c r="D1035" s="1" t="str">
        <x:v>**PAY ACH** POLYPLEX USA LLC</x:v>
      </x:c>
      <x:c r="E1035" s="7" t="n">
        <x:v>46304</x:v>
      </x:c>
      <x:c r="F1035" s="8" t="n">
        <x:v>0</x:v>
      </x:c>
      <x:c r="G1035" s="8" t="n">
        <x:v>0</x:v>
      </x:c>
      <x:c r="H1035" s="8" t="n">
        <x:v>29.41</x:v>
      </x:c>
      <x:c r="I1035" s="8" t="n">
        <x:v>35.34</x:v>
      </x:c>
      <x:c r="J1035" s="8" t="n">
        <x:v>1</x:v>
      </x:c>
      <x:c r="K1035" s="8" t="n">
        <x:v>1</x:v>
      </x:c>
      <x:c r="L1035" s="8" t="n">
        <x:v>0</x:v>
      </x:c>
      <x:c r="M1035" s="8" t="n">
        <x:v>0</x:v>
      </x:c>
      <x:c r="N1035" s="8" t="n">
        <x:v>0</x:v>
      </x:c>
      <x:c r="O1035" s="8" t="n">
        <x:v>1</x:v>
      </x:c>
      <x:c r="P1035" s="8" t="n">
        <x:v>29.41</x:v>
      </x:c>
      <x:c r="Q1035" s="9" t="n">
        <x:v>0</x:v>
      </x:c>
      <x:c r="R1035" s="1" t="str">
        <x:v>Classified</x:v>
      </x:c>
      <x:c r="S1035" s="1" t="str">
        <x:v>FilmInventory Data.csv</x:v>
      </x:c>
    </x:row>
    <x:row r="1036" ht="21" customHeight="1">
      <x:c r="A1036" s="1" t="str">
        <x:v>FILM</x:v>
      </x:c>
      <x:c r="B1036" s="1" t="str">
        <x:v>30</x:v>
      </x:c>
      <x:c r="C1036" s="1" t="str">
        <x:v>4350017C3</x:v>
      </x:c>
      <x:c r="D1036" s="1" t="str">
        <x:v>**PAY ACH** POLYPLEX USA LLC</x:v>
      </x:c>
      <x:c r="E1036" s="7" t="n">
        <x:v>46304</x:v>
      </x:c>
      <x:c r="F1036" s="8" t="n">
        <x:v>0</x:v>
      </x:c>
      <x:c r="G1036" s="8" t="n">
        <x:v>0</x:v>
      </x:c>
      <x:c r="H1036" s="8" t="n">
        <x:v>33.28</x:v>
      </x:c>
      <x:c r="I1036" s="8" t="n">
        <x:v>39.99</x:v>
      </x:c>
      <x:c r="J1036" s="8" t="n">
        <x:v>1</x:v>
      </x:c>
      <x:c r="K1036" s="8" t="n">
        <x:v>1</x:v>
      </x:c>
      <x:c r="L1036" s="8" t="n">
        <x:v>0</x:v>
      </x:c>
      <x:c r="M1036" s="8" t="n">
        <x:v>0</x:v>
      </x:c>
      <x:c r="N1036" s="8" t="n">
        <x:v>0</x:v>
      </x:c>
      <x:c r="O1036" s="8" t="n">
        <x:v>1</x:v>
      </x:c>
      <x:c r="P1036" s="8" t="n">
        <x:v>33.28</x:v>
      </x:c>
      <x:c r="Q1036" s="9" t="n">
        <x:v>0</x:v>
      </x:c>
      <x:c r="R1036" s="1" t="str">
        <x:v>Classified</x:v>
      </x:c>
      <x:c r="S1036" s="1" t="str">
        <x:v>FilmInventory Data.csv</x:v>
      </x:c>
    </x:row>
    <x:row r="1037" ht="21" customHeight="1">
      <x:c r="A1037" s="1" t="str">
        <x:v>FILM</x:v>
      </x:c>
      <x:c r="B1037" s="1" t="str">
        <x:v>30</x:v>
      </x:c>
      <x:c r="C1037" s="1" t="str">
        <x:v>PPFS</x:v>
      </x:c>
      <x:c r="D1037" s="1" t="str">
        <x:v>**PAY ACH** POLYPLEX USA LLC</x:v>
      </x:c>
      <x:c r="E1037" s="7" t="n">
        <x:v>46304</x:v>
      </x:c>
      <x:c r="F1037" s="8" t="n">
        <x:v>0</x:v>
      </x:c>
      <x:c r="G1037" s="8" t="n">
        <x:v>0</x:v>
      </x:c>
      <x:c r="H1037" s="8" t="n">
        <x:v>0</x:v>
      </x:c>
      <x:c r="I1037" s="8" t="n">
        <x:v>0</x:v>
      </x:c>
      <x:c r="J1037" s="8" t="n">
        <x:v>1</x:v>
      </x:c>
      <x:c r="K1037" s="8" t="n">
        <x:v>1</x:v>
      </x:c>
      <x:c r="L1037" s="8" t="n">
        <x:v>0</x:v>
      </x:c>
      <x:c r="M1037" s="8" t="n">
        <x:v>0</x:v>
      </x:c>
      <x:c r="N1037" s="8" t="n">
        <x:v>0</x:v>
      </x:c>
      <x:c r="O1037" s="8" t="n">
        <x:v>0</x:v>
      </x:c>
      <x:c r="P1037" s="8"/>
      <x:c r="Q1037" s="9" t="n">
        <x:v>0</x:v>
      </x:c>
      <x:c r="R1037" s="1" t="str">
        <x:v>Review receipt reconciliation or original PO baseline</x:v>
      </x:c>
      <x:c r="S1037" s="1" t="str">
        <x:v>FilmInventory Data.csv</x:v>
      </x:c>
    </x:row>
    <x:row r="1038" ht="21" customHeight="1">
      <x:c r="A1038" s="1" t="str">
        <x:v>FILM</x:v>
      </x:c>
      <x:c r="B1038" s="1" t="str">
        <x:v>30</x:v>
      </x:c>
      <x:c r="C1038" s="1" t="str">
        <x:v>PR122503C1</x:v>
      </x:c>
      <x:c r="D1038" s="1" t="str">
        <x:v>**PAY ACH** POLYPLEX USA LLC</x:v>
      </x:c>
      <x:c r="E1038" s="7" t="n">
        <x:v>46304</x:v>
      </x:c>
      <x:c r="F1038" s="8" t="n">
        <x:v>122</x:v>
      </x:c>
      <x:c r="G1038" s="8" t="n">
        <x:v>0</x:v>
      </x:c>
      <x:c r="H1038" s="8" t="n">
        <x:v>8.1</x:v>
      </x:c>
      <x:c r="I1038" s="8" t="n">
        <x:v>9.72</x:v>
      </x:c>
      <x:c r="J1038" s="8" t="n">
        <x:v>1</x:v>
      </x:c>
      <x:c r="K1038" s="8" t="n">
        <x:v>1</x:v>
      </x:c>
      <x:c r="L1038" s="8" t="n">
        <x:v>0</x:v>
      </x:c>
      <x:c r="M1038" s="8" t="n">
        <x:v>0</x:v>
      </x:c>
      <x:c r="N1038" s="8" t="n">
        <x:v>122</x:v>
      </x:c>
      <x:c r="O1038" s="8" t="n">
        <x:v>0</x:v>
      </x:c>
      <x:c r="P1038" s="8" t="n">
        <x:v>8.1</x:v>
      </x:c>
      <x:c r="Q1038" s="9" t="n">
        <x:v>988.1999999999999</x:v>
      </x:c>
      <x:c r="R1038" s="1" t="str">
        <x:v>Review receipt reconciliation or original PO baseline</x:v>
      </x:c>
      <x:c r="S1038" s="1" t="str">
        <x:v>FilmInventory Data.csv</x:v>
      </x:c>
    </x:row>
    <x:row r="1039" ht="21" customHeight="1">
      <x:c r="A1039" s="1" t="str">
        <x:v>FILM</x:v>
      </x:c>
      <x:c r="B1039" s="1" t="str">
        <x:v>30</x:v>
      </x:c>
      <x:c r="C1039" s="1" t="str">
        <x:v>PR432503C3</x:v>
      </x:c>
      <x:c r="D1039" s="1" t="str">
        <x:v>**PAY ACH** POLYPLEX USA LLC</x:v>
      </x:c>
      <x:c r="E1039" s="7" t="n">
        <x:v>46304</x:v>
      </x:c>
      <x:c r="F1039" s="8" t="n">
        <x:v>0</x:v>
      </x:c>
      <x:c r="G1039" s="8" t="n">
        <x:v>0</x:v>
      </x:c>
      <x:c r="H1039" s="8" t="n">
        <x:v>29.03</x:v>
      </x:c>
      <x:c r="I1039" s="8" t="n">
        <x:v>34.83</x:v>
      </x:c>
      <x:c r="J1039" s="8" t="n">
        <x:v>1</x:v>
      </x:c>
      <x:c r="K1039" s="8" t="n">
        <x:v>1</x:v>
      </x:c>
      <x:c r="L1039" s="8" t="n">
        <x:v>0</x:v>
      </x:c>
      <x:c r="M1039" s="8" t="n">
        <x:v>0</x:v>
      </x:c>
      <x:c r="N1039" s="8" t="n">
        <x:v>0</x:v>
      </x:c>
      <x:c r="O1039" s="8" t="n">
        <x:v>1</x:v>
      </x:c>
      <x:c r="P1039" s="8" t="n">
        <x:v>29.03</x:v>
      </x:c>
      <x:c r="Q1039" s="9" t="n">
        <x:v>0</x:v>
      </x:c>
      <x:c r="R1039" s="1" t="str">
        <x:v>Classified</x:v>
      </x:c>
      <x:c r="S1039" s="1" t="str">
        <x:v>FilmInventory Data.csv</x:v>
      </x:c>
    </x:row>
    <x:row r="1040" ht="21" customHeight="1">
      <x:c r="A1040" s="1" t="str">
        <x:v>FILM</x:v>
      </x:c>
      <x:c r="B1040" s="1" t="str">
        <x:v>30</x:v>
      </x:c>
      <x:c r="C1040" s="1" t="str">
        <x:v>ST382005M3</x:v>
      </x:c>
      <x:c r="D1040" s="1" t="str">
        <x:v>**PAY ACH** POLYPLEX USA LLC</x:v>
      </x:c>
      <x:c r="E1040" s="7" t="n">
        <x:v>46304</x:v>
      </x:c>
      <x:c r="F1040" s="8" t="n">
        <x:v>0</x:v>
      </x:c>
      <x:c r="G1040" s="8" t="n">
        <x:v>0</x:v>
      </x:c>
      <x:c r="H1040" s="8" t="n">
        <x:v>76.52</x:v>
      </x:c>
      <x:c r="I1040" s="8" t="n">
        <x:v>92.11</x:v>
      </x:c>
      <x:c r="J1040" s="8" t="n">
        <x:v>1</x:v>
      </x:c>
      <x:c r="K1040" s="8" t="n">
        <x:v>1</x:v>
      </x:c>
      <x:c r="L1040" s="8" t="n">
        <x:v>0</x:v>
      </x:c>
      <x:c r="M1040" s="8" t="n">
        <x:v>0</x:v>
      </x:c>
      <x:c r="N1040" s="8" t="n">
        <x:v>0</x:v>
      </x:c>
      <x:c r="O1040" s="8" t="n">
        <x:v>1</x:v>
      </x:c>
      <x:c r="P1040" s="8" t="n">
        <x:v>76.52</x:v>
      </x:c>
      <x:c r="Q1040" s="9" t="n">
        <x:v>0</x:v>
      </x:c>
      <x:c r="R1040" s="1" t="str">
        <x:v>Classified</x:v>
      </x:c>
      <x:c r="S1040" s="1" t="str">
        <x:v>FilmInventory Data.csv</x:v>
      </x:c>
    </x:row>
    <x:row r="1041" ht="21" customHeight="1">
      <x:c r="A1041" s="1" t="str">
        <x:v>FILM</x:v>
      </x:c>
      <x:c r="B1041" s="1" t="str">
        <x:v>30</x:v>
      </x:c>
      <x:c r="C1041" s="1" t="str">
        <x:v>ST382503M3</x:v>
      </x:c>
      <x:c r="D1041" s="1" t="str">
        <x:v>**PAY ACH** POLYPLEX USA LLC</x:v>
      </x:c>
      <x:c r="E1041" s="7" t="n">
        <x:v>46304</x:v>
      </x:c>
      <x:c r="F1041" s="8" t="n">
        <x:v>0</x:v>
      </x:c>
      <x:c r="G1041" s="8" t="n">
        <x:v>0</x:v>
      </x:c>
      <x:c r="H1041" s="8" t="n">
        <x:v>62.13</x:v>
      </x:c>
      <x:c r="I1041" s="8" t="n">
        <x:v>74.56</x:v>
      </x:c>
      <x:c r="J1041" s="8" t="n">
        <x:v>1</x:v>
      </x:c>
      <x:c r="K1041" s="8" t="n">
        <x:v>1</x:v>
      </x:c>
      <x:c r="L1041" s="8" t="n">
        <x:v>0</x:v>
      </x:c>
      <x:c r="M1041" s="8" t="n">
        <x:v>0</x:v>
      </x:c>
      <x:c r="N1041" s="8" t="n">
        <x:v>0</x:v>
      </x:c>
      <x:c r="O1041" s="8" t="n">
        <x:v>1</x:v>
      </x:c>
      <x:c r="P1041" s="8" t="n">
        <x:v>62.13</x:v>
      </x:c>
      <x:c r="Q1041" s="9" t="n">
        <x:v>0</x:v>
      </x:c>
      <x:c r="R1041" s="1" t="str">
        <x:v>Classified</x:v>
      </x:c>
      <x:c r="S1041" s="1" t="str">
        <x:v>FilmInventory Data.csv</x:v>
      </x:c>
    </x:row>
    <x:row r="1042" ht="21" customHeight="1">
      <x:c r="A1042" s="1" t="str">
        <x:v>FILM</x:v>
      </x:c>
      <x:c r="B1042" s="1" t="str">
        <x:v>30</x:v>
      </x:c>
      <x:c r="C1042" s="1" t="str">
        <x:v>ST3850017M3</x:v>
      </x:c>
      <x:c r="D1042" s="1" t="str">
        <x:v>**PAY ACH** POLYPLEX USA LLC</x:v>
      </x:c>
      <x:c r="E1042" s="7" t="n">
        <x:v>46304</x:v>
      </x:c>
      <x:c r="F1042" s="8" t="n">
        <x:v>36</x:v>
      </x:c>
      <x:c r="G1042" s="8" t="n">
        <x:v>0</x:v>
      </x:c>
      <x:c r="H1042" s="8" t="n">
        <x:v>95.76</x:v>
      </x:c>
      <x:c r="I1042" s="8" t="n">
        <x:v>114.91</x:v>
      </x:c>
      <x:c r="J1042" s="8" t="n">
        <x:v>1</x:v>
      </x:c>
      <x:c r="K1042" s="8" t="n">
        <x:v>1</x:v>
      </x:c>
      <x:c r="L1042" s="8" t="n">
        <x:v>36</x:v>
      </x:c>
      <x:c r="M1042" s="8" t="n">
        <x:v>0</x:v>
      </x:c>
      <x:c r="N1042" s="8" t="n">
        <x:v>0</x:v>
      </x:c>
      <x:c r="O1042" s="8" t="n">
        <x:v>1</x:v>
      </x:c>
      <x:c r="P1042" s="8" t="n">
        <x:v>95.76</x:v>
      </x:c>
      <x:c r="Q1042" s="9" t="n">
        <x:v>3447.36</x:v>
      </x:c>
      <x:c r="R1042" s="1" t="str">
        <x:v>Classified</x:v>
      </x:c>
      <x:c r="S1042" s="1" t="str">
        <x:v>FilmInventory Data.csv</x:v>
      </x:c>
    </x:row>
    <x:row r="1043" ht="21" customHeight="1">
      <x:c r="A1043" s="1" t="str">
        <x:v>FILM</x:v>
      </x:c>
      <x:c r="B1043" s="1" t="str">
        <x:v>30</x:v>
      </x:c>
      <x:c r="C1043" s="1" t="str">
        <x:v>ST432005M3</x:v>
      </x:c>
      <x:c r="D1043" s="1" t="str">
        <x:v>**PAY ACH** POLYPLEX USA LLC</x:v>
      </x:c>
      <x:c r="E1043" s="7" t="n">
        <x:v>46304</x:v>
      </x:c>
      <x:c r="F1043" s="8" t="n">
        <x:v>0</x:v>
      </x:c>
      <x:c r="G1043" s="8" t="n">
        <x:v>0</x:v>
      </x:c>
      <x:c r="H1043" s="8" t="n">
        <x:v>86.58</x:v>
      </x:c>
      <x:c r="I1043" s="8" t="n">
        <x:v>104.23</x:v>
      </x:c>
      <x:c r="J1043" s="8" t="n">
        <x:v>1</x:v>
      </x:c>
      <x:c r="K1043" s="8" t="n">
        <x:v>1</x:v>
      </x:c>
      <x:c r="L1043" s="8" t="n">
        <x:v>0</x:v>
      </x:c>
      <x:c r="M1043" s="8" t="n">
        <x:v>0</x:v>
      </x:c>
      <x:c r="N1043" s="8" t="n">
        <x:v>0</x:v>
      </x:c>
      <x:c r="O1043" s="8" t="n">
        <x:v>1</x:v>
      </x:c>
      <x:c r="P1043" s="8" t="n">
        <x:v>86.58</x:v>
      </x:c>
      <x:c r="Q1043" s="9" t="n">
        <x:v>0</x:v>
      </x:c>
      <x:c r="R1043" s="1" t="str">
        <x:v>Classified</x:v>
      </x:c>
      <x:c r="S1043" s="1" t="str">
        <x:v>FilmInventory Data.csv</x:v>
      </x:c>
    </x:row>
    <x:row r="1044" ht="21" customHeight="1">
      <x:c r="A1044" s="1" t="str">
        <x:v>FILM</x:v>
      </x:c>
      <x:c r="B1044" s="1" t="str">
        <x:v>30</x:v>
      </x:c>
      <x:c r="C1044" s="1" t="str">
        <x:v>ST432503M3</x:v>
      </x:c>
      <x:c r="D1044" s="1" t="str">
        <x:v>**PAY ACH** POLYPLEX USA LLC</x:v>
      </x:c>
      <x:c r="E1044" s="7" t="n">
        <x:v>46304</x:v>
      </x:c>
      <x:c r="F1044" s="8" t="n">
        <x:v>0</x:v>
      </x:c>
      <x:c r="G1044" s="8" t="n">
        <x:v>0</x:v>
      </x:c>
      <x:c r="H1044" s="8" t="n">
        <x:v>70.31</x:v>
      </x:c>
      <x:c r="I1044" s="8" t="n">
        <x:v>84.37</x:v>
      </x:c>
      <x:c r="J1044" s="8" t="n">
        <x:v>1</x:v>
      </x:c>
      <x:c r="K1044" s="8" t="n">
        <x:v>1</x:v>
      </x:c>
      <x:c r="L1044" s="8" t="n">
        <x:v>0</x:v>
      </x:c>
      <x:c r="M1044" s="8" t="n">
        <x:v>0</x:v>
      </x:c>
      <x:c r="N1044" s="8" t="n">
        <x:v>0</x:v>
      </x:c>
      <x:c r="O1044" s="8" t="n">
        <x:v>1</x:v>
      </x:c>
      <x:c r="P1044" s="8" t="n">
        <x:v>70.31</x:v>
      </x:c>
      <x:c r="Q1044" s="9" t="n">
        <x:v>0</x:v>
      </x:c>
      <x:c r="R1044" s="1" t="str">
        <x:v>Classified</x:v>
      </x:c>
      <x:c r="S1044" s="1" t="str">
        <x:v>FilmInventory Data.csv</x:v>
      </x:c>
    </x:row>
    <x:row r="1045" ht="21" customHeight="1">
      <x:c r="A1045" s="1" t="str">
        <x:v>FILM</x:v>
      </x:c>
      <x:c r="B1045" s="1" t="str">
        <x:v>30</x:v>
      </x:c>
      <x:c r="C1045" s="1" t="str">
        <x:v>ST4350017M3</x:v>
      </x:c>
      <x:c r="D1045" s="1" t="str">
        <x:v>**PAY ACH** POLYPLEX USA LLC</x:v>
      </x:c>
      <x:c r="E1045" s="7" t="n">
        <x:v>46304</x:v>
      </x:c>
      <x:c r="F1045" s="8" t="n">
        <x:v>0</x:v>
      </x:c>
      <x:c r="G1045" s="8" t="n">
        <x:v>0</x:v>
      </x:c>
      <x:c r="H1045" s="8" t="n">
        <x:v>108.36</x:v>
      </x:c>
      <x:c r="I1045" s="8" t="n">
        <x:v>130.03</x:v>
      </x:c>
      <x:c r="J1045" s="8" t="n">
        <x:v>1</x:v>
      </x:c>
      <x:c r="K1045" s="8" t="n">
        <x:v>1</x:v>
      </x:c>
      <x:c r="L1045" s="8" t="n">
        <x:v>0</x:v>
      </x:c>
      <x:c r="M1045" s="8" t="n">
        <x:v>0</x:v>
      </x:c>
      <x:c r="N1045" s="8" t="n">
        <x:v>0</x:v>
      </x:c>
      <x:c r="O1045" s="8" t="n">
        <x:v>1</x:v>
      </x:c>
      <x:c r="P1045" s="8" t="n">
        <x:v>108.36</x:v>
      </x:c>
      <x:c r="Q1045" s="9" t="n">
        <x:v>0</x:v>
      </x:c>
      <x:c r="R1045" s="1" t="str">
        <x:v>Classified</x:v>
      </x:c>
      <x:c r="S1045" s="1" t="str">
        <x:v>FilmInventory Data.csv</x:v>
      </x:c>
    </x:row>
    <x:row r="1046" ht="21" customHeight="1">
      <x:c r="A1046" s="1" t="str">
        <x:v>FILM</x:v>
      </x:c>
      <x:c r="B1046" s="1" t="str">
        <x:v>60</x:v>
      </x:c>
      <x:c r="C1046" s="1" t="str">
        <x:v>125005C2</x:v>
      </x:c>
      <x:c r="D1046" s="1" t="str">
        <x:v>**PAY ACH** POLYPLEX USA LLC</x:v>
      </x:c>
      <x:c r="E1046" s="7" t="n">
        <x:v>46304</x:v>
      </x:c>
      <x:c r="F1046" s="8" t="n">
        <x:v>37</x:v>
      </x:c>
      <x:c r="G1046" s="8" t="n">
        <x:v>0</x:v>
      </x:c>
      <x:c r="H1046" s="8" t="n">
        <x:v>25.42</x:v>
      </x:c>
      <x:c r="I1046" s="8" t="n">
        <x:v>30.53</x:v>
      </x:c>
      <x:c r="J1046" s="8" t="n">
        <x:v>1</x:v>
      </x:c>
      <x:c r="K1046" s="8" t="n">
        <x:v>1</x:v>
      </x:c>
      <x:c r="L1046" s="8" t="n">
        <x:v>0</x:v>
      </x:c>
      <x:c r="M1046" s="8" t="n">
        <x:v>0</x:v>
      </x:c>
      <x:c r="N1046" s="8" t="n">
        <x:v>37</x:v>
      </x:c>
      <x:c r="O1046" s="8" t="n">
        <x:v>0</x:v>
      </x:c>
      <x:c r="P1046" s="8" t="n">
        <x:v>25.42</x:v>
      </x:c>
      <x:c r="Q1046" s="9" t="n">
        <x:v>940.5400000000001</x:v>
      </x:c>
      <x:c r="R1046" s="1" t="str">
        <x:v>Review receipt reconciliation or original PO baseline</x:v>
      </x:c>
      <x:c r="S1046" s="1" t="str">
        <x:v>FilmInventory Data.csv</x:v>
      </x:c>
    </x:row>
    <x:row r="1047" ht="21" customHeight="1">
      <x:c r="A1047" s="1" t="str">
        <x:v>FILM</x:v>
      </x:c>
      <x:c r="B1047" s="1" t="str">
        <x:v>60</x:v>
      </x:c>
      <x:c r="C1047" s="1" t="str">
        <x:v>1810005C3</x:v>
      </x:c>
      <x:c r="D1047" s="1" t="str">
        <x:v>**PAY ACH** POLYPLEX USA LLC</x:v>
      </x:c>
      <x:c r="E1047" s="7" t="n">
        <x:v>46304</x:v>
      </x:c>
      <x:c r="F1047" s="8" t="n">
        <x:v>32</x:v>
      </x:c>
      <x:c r="G1047" s="8" t="n">
        <x:v>0</x:v>
      </x:c>
      <x:c r="H1047" s="8" t="n">
        <x:v>76.25</x:v>
      </x:c>
      <x:c r="I1047" s="8" t="n">
        <x:v>91.58</x:v>
      </x:c>
      <x:c r="J1047" s="8" t="n">
        <x:v>1</x:v>
      </x:c>
      <x:c r="K1047" s="8" t="n">
        <x:v>1</x:v>
      </x:c>
      <x:c r="L1047" s="8" t="n">
        <x:v>32</x:v>
      </x:c>
      <x:c r="M1047" s="8" t="n">
        <x:v>0</x:v>
      </x:c>
      <x:c r="N1047" s="8" t="n">
        <x:v>0</x:v>
      </x:c>
      <x:c r="O1047" s="8" t="n">
        <x:v>1</x:v>
      </x:c>
      <x:c r="P1047" s="8" t="n">
        <x:v>76.25</x:v>
      </x:c>
      <x:c r="Q1047" s="9" t="n">
        <x:v>2440</x:v>
      </x:c>
      <x:c r="R1047" s="1" t="str">
        <x:v>Classified</x:v>
      </x:c>
      <x:c r="S1047" s="1" t="str">
        <x:v>FilmInventory Data.csv</x:v>
      </x:c>
    </x:row>
    <x:row r="1048" ht="21" customHeight="1">
      <x:c r="A1048" s="1" t="str">
        <x:v>FILM</x:v>
      </x:c>
      <x:c r="B1048" s="1" t="str">
        <x:v>60</x:v>
      </x:c>
      <x:c r="C1048" s="1" t="str">
        <x:v>1850010C3</x:v>
      </x:c>
      <x:c r="D1048" s="1" t="str">
        <x:v>**PAY ACH** POLYPLEX USA LLC</x:v>
      </x:c>
      <x:c r="E1048" s="7" t="n">
        <x:v>46304</x:v>
      </x:c>
      <x:c r="F1048" s="8" t="n">
        <x:v>0</x:v>
      </x:c>
      <x:c r="G1048" s="8" t="n">
        <x:v>0</x:v>
      </x:c>
      <x:c r="H1048" s="8" t="n">
        <x:v>85.32</x:v>
      </x:c>
      <x:c r="I1048" s="8" t="n">
        <x:v>102.38</x:v>
      </x:c>
      <x:c r="J1048" s="8" t="n">
        <x:v>1</x:v>
      </x:c>
      <x:c r="K1048" s="8" t="n">
        <x:v>1</x:v>
      </x:c>
      <x:c r="L1048" s="8" t="n">
        <x:v>0</x:v>
      </x:c>
      <x:c r="M1048" s="8" t="n">
        <x:v>0</x:v>
      </x:c>
      <x:c r="N1048" s="8" t="n">
        <x:v>0</x:v>
      </x:c>
      <x:c r="O1048" s="8" t="n">
        <x:v>1</x:v>
      </x:c>
      <x:c r="P1048" s="8" t="n">
        <x:v>85.32</x:v>
      </x:c>
      <x:c r="Q1048" s="9" t="n">
        <x:v>0</x:v>
      </x:c>
      <x:c r="R1048" s="1" t="str">
        <x:v>Classified</x:v>
      </x:c>
      <x:c r="S1048" s="1" t="str">
        <x:v>FilmInventory Data.csv</x:v>
      </x:c>
    </x:row>
    <x:row r="1049" ht="21" customHeight="1">
      <x:c r="A1049" s="1" t="str">
        <x:v>FILM</x:v>
      </x:c>
      <x:c r="B1049" s="1" t="str">
        <x:v>60</x:v>
      </x:c>
      <x:c r="C1049" s="1" t="str">
        <x:v>1850015C1</x:v>
      </x:c>
      <x:c r="D1049" s="1" t="str">
        <x:v>**PAY ACH** POLYPLEX USA LLC</x:v>
      </x:c>
      <x:c r="E1049" s="7" t="n">
        <x:v>46304</x:v>
      </x:c>
      <x:c r="F1049" s="8" t="n">
        <x:v>219</x:v>
      </x:c>
      <x:c r="G1049" s="8" t="n">
        <x:v>0</x:v>
      </x:c>
      <x:c r="H1049" s="8" t="n">
        <x:v>9.72</x:v>
      </x:c>
      <x:c r="I1049" s="8" t="n">
        <x:v>11.66</x:v>
      </x:c>
      <x:c r="J1049" s="8" t="n">
        <x:v>1</x:v>
      </x:c>
      <x:c r="K1049" s="8" t="n">
        <x:v>1</x:v>
      </x:c>
      <x:c r="L1049" s="8" t="n">
        <x:v>219</x:v>
      </x:c>
      <x:c r="M1049" s="8" t="n">
        <x:v>0</x:v>
      </x:c>
      <x:c r="N1049" s="8" t="n">
        <x:v>0</x:v>
      </x:c>
      <x:c r="O1049" s="8" t="n">
        <x:v>1</x:v>
      </x:c>
      <x:c r="P1049" s="8" t="n">
        <x:v>9.72</x:v>
      </x:c>
      <x:c r="Q1049" s="9" t="n">
        <x:v>2148.1200000000003</x:v>
      </x:c>
      <x:c r="R1049" s="1" t="str">
        <x:v>Classified</x:v>
      </x:c>
      <x:c r="S1049" s="1" t="str">
        <x:v>FilmInventory Data.csv</x:v>
      </x:c>
    </x:row>
    <x:row r="1050" ht="21" customHeight="1">
      <x:c r="A1050" s="1" t="str">
        <x:v>FILM</x:v>
      </x:c>
      <x:c r="B1050" s="1" t="str">
        <x:v>60</x:v>
      </x:c>
      <x:c r="C1050" s="1" t="str">
        <x:v>1850015C2</x:v>
      </x:c>
      <x:c r="D1050" s="1" t="str">
        <x:v>**PAY ACH** POLYPLEX USA LLC</x:v>
      </x:c>
      <x:c r="E1050" s="7" t="n">
        <x:v>46304</x:v>
      </x:c>
      <x:c r="F1050" s="8" t="n">
        <x:v>74</x:v>
      </x:c>
      <x:c r="G1050" s="8" t="n">
        <x:v>0</x:v>
      </x:c>
      <x:c r="H1050" s="8" t="n">
        <x:v>9.72</x:v>
      </x:c>
      <x:c r="I1050" s="8" t="n">
        <x:v>11.66</x:v>
      </x:c>
      <x:c r="J1050" s="8" t="n">
        <x:v>1</x:v>
      </x:c>
      <x:c r="K1050" s="8" t="n">
        <x:v>1</x:v>
      </x:c>
      <x:c r="L1050" s="8" t="n">
        <x:v>0</x:v>
      </x:c>
      <x:c r="M1050" s="8" t="n">
        <x:v>0</x:v>
      </x:c>
      <x:c r="N1050" s="8" t="n">
        <x:v>74</x:v>
      </x:c>
      <x:c r="O1050" s="8" t="n">
        <x:v>0</x:v>
      </x:c>
      <x:c r="P1050" s="8" t="n">
        <x:v>9.72</x:v>
      </x:c>
      <x:c r="Q1050" s="9" t="n">
        <x:v>719.2800000000001</x:v>
      </x:c>
      <x:c r="R1050" s="1" t="str">
        <x:v>Review receipt reconciliation or original PO baseline</x:v>
      </x:c>
      <x:c r="S1050" s="1" t="str">
        <x:v>FilmInventory Data.csv</x:v>
      </x:c>
    </x:row>
    <x:row r="1051" ht="21" customHeight="1">
      <x:c r="A1051" s="1" t="str">
        <x:v>FILM</x:v>
      </x:c>
      <x:c r="B1051" s="1" t="str">
        <x:v>60</x:v>
      </x:c>
      <x:c r="C1051" s="1" t="str">
        <x:v>25300017C3</x:v>
      </x:c>
      <x:c r="D1051" s="1" t="str">
        <x:v>**PAY ACH** POLYPLEX USA LLC</x:v>
      </x:c>
      <x:c r="E1051" s="7" t="n">
        <x:v>46304</x:v>
      </x:c>
      <x:c r="F1051" s="8" t="n">
        <x:v>5</x:v>
      </x:c>
      <x:c r="G1051" s="8" t="n">
        <x:v>0</x:v>
      </x:c>
      <x:c r="H1051" s="8" t="n">
        <x:v>76.5</x:v>
      </x:c>
      <x:c r="I1051" s="8" t="n">
        <x:v>0</x:v>
      </x:c>
      <x:c r="J1051" s="8" t="n">
        <x:v>1</x:v>
      </x:c>
      <x:c r="K1051" s="8" t="n">
        <x:v>1</x:v>
      </x:c>
      <x:c r="L1051" s="8" t="n">
        <x:v>0</x:v>
      </x:c>
      <x:c r="M1051" s="8" t="n">
        <x:v>0</x:v>
      </x:c>
      <x:c r="N1051" s="8" t="n">
        <x:v>5</x:v>
      </x:c>
      <x:c r="O1051" s="8" t="n">
        <x:v>0</x:v>
      </x:c>
      <x:c r="P1051" s="8"/>
      <x:c r="Q1051" s="9" t="n">
        <x:v>382.5</x:v>
      </x:c>
      <x:c r="R1051" s="1" t="str">
        <x:v>Review receipt reconciliation or original PO baseline</x:v>
      </x:c>
      <x:c r="S1051" s="1" t="str">
        <x:v>FilmInventory Data.csv</x:v>
      </x:c>
    </x:row>
    <x:row r="1052" ht="21" customHeight="1">
      <x:c r="A1052" s="1" t="str">
        <x:v>FILM</x:v>
      </x:c>
      <x:c r="B1052" s="1" t="str">
        <x:v>60</x:v>
      </x:c>
      <x:c r="C1052" s="1" t="str">
        <x:v>3850017C3</x:v>
      </x:c>
      <x:c r="D1052" s="1" t="str">
        <x:v>**PAY ACH** POLYPLEX USA LLC</x:v>
      </x:c>
      <x:c r="E1052" s="7" t="n">
        <x:v>46304</x:v>
      </x:c>
      <x:c r="F1052" s="8" t="n">
        <x:v>0</x:v>
      </x:c>
      <x:c r="G1052" s="8" t="n">
        <x:v>0</x:v>
      </x:c>
      <x:c r="H1052" s="8" t="n">
        <x:v>29.41</x:v>
      </x:c>
      <x:c r="I1052" s="8" t="n">
        <x:v>35.34</x:v>
      </x:c>
      <x:c r="J1052" s="8" t="n">
        <x:v>1</x:v>
      </x:c>
      <x:c r="K1052" s="8" t="n">
        <x:v>1</x:v>
      </x:c>
      <x:c r="L1052" s="8" t="n">
        <x:v>0</x:v>
      </x:c>
      <x:c r="M1052" s="8" t="n">
        <x:v>0</x:v>
      </x:c>
      <x:c r="N1052" s="8" t="n">
        <x:v>0</x:v>
      </x:c>
      <x:c r="O1052" s="8" t="n">
        <x:v>1</x:v>
      </x:c>
      <x:c r="P1052" s="8" t="n">
        <x:v>29.41</x:v>
      </x:c>
      <x:c r="Q1052" s="9" t="n">
        <x:v>0</x:v>
      </x:c>
      <x:c r="R1052" s="1" t="str">
        <x:v>Classified</x:v>
      </x:c>
      <x:c r="S1052" s="1" t="str">
        <x:v>FilmInventory Data.csv</x:v>
      </x:c>
    </x:row>
    <x:row r="1053" ht="21" customHeight="1">
      <x:c r="A1053" s="1" t="str">
        <x:v>FILM</x:v>
      </x:c>
      <x:c r="B1053" s="1" t="str">
        <x:v>60</x:v>
      </x:c>
      <x:c r="C1053" s="1" t="str">
        <x:v>4350017C3</x:v>
      </x:c>
      <x:c r="D1053" s="1" t="str">
        <x:v>**PAY ACH** POLYPLEX USA LLC</x:v>
      </x:c>
      <x:c r="E1053" s="7" t="n">
        <x:v>46304</x:v>
      </x:c>
      <x:c r="F1053" s="8" t="n">
        <x:v>0</x:v>
      </x:c>
      <x:c r="G1053" s="8" t="n">
        <x:v>0</x:v>
      </x:c>
      <x:c r="H1053" s="8" t="n">
        <x:v>33.28</x:v>
      </x:c>
      <x:c r="I1053" s="8" t="n">
        <x:v>39.99</x:v>
      </x:c>
      <x:c r="J1053" s="8" t="n">
        <x:v>1</x:v>
      </x:c>
      <x:c r="K1053" s="8" t="n">
        <x:v>1</x:v>
      </x:c>
      <x:c r="L1053" s="8" t="n">
        <x:v>0</x:v>
      </x:c>
      <x:c r="M1053" s="8" t="n">
        <x:v>0</x:v>
      </x:c>
      <x:c r="N1053" s="8" t="n">
        <x:v>0</x:v>
      </x:c>
      <x:c r="O1053" s="8" t="n">
        <x:v>1</x:v>
      </x:c>
      <x:c r="P1053" s="8" t="n">
        <x:v>33.28</x:v>
      </x:c>
      <x:c r="Q1053" s="9" t="n">
        <x:v>0</x:v>
      </x:c>
      <x:c r="R1053" s="1" t="str">
        <x:v>Classified</x:v>
      </x:c>
      <x:c r="S1053" s="1" t="str">
        <x:v>FilmInventory Data.csv</x:v>
      </x:c>
    </x:row>
    <x:row r="1054" ht="21" customHeight="1">
      <x:c r="A1054" s="1" t="str">
        <x:v>FILM</x:v>
      </x:c>
      <x:c r="B1054" s="1" t="str">
        <x:v>60</x:v>
      </x:c>
      <x:c r="C1054" s="1" t="str">
        <x:v>92005C1</x:v>
      </x:c>
      <x:c r="D1054" s="1" t="str">
        <x:v>**PAY ACH** POLYPLEX USA LLC</x:v>
      </x:c>
      <x:c r="E1054" s="7" t="n">
        <x:v>46304</x:v>
      </x:c>
      <x:c r="F1054" s="8" t="n">
        <x:v>0</x:v>
      </x:c>
      <x:c r="G1054" s="8" t="n">
        <x:v>0</x:v>
      </x:c>
      <x:c r="H1054" s="8" t="n">
        <x:v>5.14</x:v>
      </x:c>
      <x:c r="I1054" s="8" t="n">
        <x:v>0</x:v>
      </x:c>
      <x:c r="J1054" s="8" t="n">
        <x:v>1</x:v>
      </x:c>
      <x:c r="K1054" s="8" t="n">
        <x:v>1</x:v>
      </x:c>
      <x:c r="L1054" s="8" t="n">
        <x:v>0</x:v>
      </x:c>
      <x:c r="M1054" s="8" t="n">
        <x:v>0</x:v>
      </x:c>
      <x:c r="N1054" s="8" t="n">
        <x:v>0</x:v>
      </x:c>
      <x:c r="O1054" s="8" t="n">
        <x:v>0</x:v>
      </x:c>
      <x:c r="P1054" s="8"/>
      <x:c r="Q1054" s="9" t="n">
        <x:v>0</x:v>
      </x:c>
      <x:c r="R1054" s="1" t="str">
        <x:v>Review receipt reconciliation or original PO baseline</x:v>
      </x:c>
      <x:c r="S1054" s="1" t="str">
        <x:v>FilmInventory Data.csv</x:v>
      </x:c>
    </x:row>
    <x:row r="1055" ht="21" customHeight="1">
      <x:c r="A1055" s="1" t="str">
        <x:v>FILM</x:v>
      </x:c>
      <x:c r="B1055" s="1" t="str">
        <x:v>60</x:v>
      </x:c>
      <x:c r="C1055" s="1" t="str">
        <x:v>PPFS</x:v>
      </x:c>
      <x:c r="D1055" s="1" t="str">
        <x:v>**PAY ACH** POLYPLEX USA LLC</x:v>
      </x:c>
      <x:c r="E1055" s="7" t="n">
        <x:v>46304</x:v>
      </x:c>
      <x:c r="F1055" s="8" t="n">
        <x:v>4</x:v>
      </x:c>
      <x:c r="G1055" s="8" t="n">
        <x:v>0</x:v>
      </x:c>
      <x:c r="H1055" s="8" t="n">
        <x:v>0</x:v>
      </x:c>
      <x:c r="I1055" s="8" t="n">
        <x:v>0</x:v>
      </x:c>
      <x:c r="J1055" s="8" t="n">
        <x:v>1</x:v>
      </x:c>
      <x:c r="K1055" s="8" t="n">
        <x:v>1</x:v>
      </x:c>
      <x:c r="L1055" s="8" t="n">
        <x:v>0</x:v>
      </x:c>
      <x:c r="M1055" s="8" t="n">
        <x:v>0</x:v>
      </x:c>
      <x:c r="N1055" s="8" t="n">
        <x:v>4</x:v>
      </x:c>
      <x:c r="O1055" s="8" t="n">
        <x:v>0</x:v>
      </x:c>
      <x:c r="P1055" s="8"/>
      <x:c r="Q1055" s="9" t="n">
        <x:v>0</x:v>
      </x:c>
      <x:c r="R1055" s="1" t="str">
        <x:v>Review receipt reconciliation or original PO baseline</x:v>
      </x:c>
      <x:c r="S1055" s="1" t="str">
        <x:v>FilmInventory Data.csv</x:v>
      </x:c>
    </x:row>
    <x:row r="1056" ht="21" customHeight="1">
      <x:c r="A1056" s="1" t="str">
        <x:v>FILM</x:v>
      </x:c>
      <x:c r="B1056" s="1" t="str">
        <x:v>60</x:v>
      </x:c>
      <x:c r="C1056" s="1" t="str">
        <x:v>PR382503C3</x:v>
      </x:c>
      <x:c r="D1056" s="1" t="str">
        <x:v>**PAY ACH** POLYPLEX USA LLC</x:v>
      </x:c>
      <x:c r="E1056" s="7" t="n">
        <x:v>46304</x:v>
      </x:c>
      <x:c r="F1056" s="8" t="n">
        <x:v>0</x:v>
      </x:c>
      <x:c r="G1056" s="8" t="n">
        <x:v>0</x:v>
      </x:c>
      <x:c r="H1056" s="8" t="n">
        <x:v>25.65</x:v>
      </x:c>
      <x:c r="I1056" s="8" t="n">
        <x:v>30.78</x:v>
      </x:c>
      <x:c r="J1056" s="8" t="n">
        <x:v>1</x:v>
      </x:c>
      <x:c r="K1056" s="8" t="n">
        <x:v>1</x:v>
      </x:c>
      <x:c r="L1056" s="8" t="n">
        <x:v>0</x:v>
      </x:c>
      <x:c r="M1056" s="8" t="n">
        <x:v>0</x:v>
      </x:c>
      <x:c r="N1056" s="8" t="n">
        <x:v>0</x:v>
      </x:c>
      <x:c r="O1056" s="8" t="n">
        <x:v>1</x:v>
      </x:c>
      <x:c r="P1056" s="8" t="n">
        <x:v>25.65</x:v>
      </x:c>
      <x:c r="Q1056" s="9" t="n">
        <x:v>0</x:v>
      </x:c>
      <x:c r="R1056" s="1" t="str">
        <x:v>Classified</x:v>
      </x:c>
      <x:c r="S1056" s="1" t="str">
        <x:v>FilmInventory Data.csv</x:v>
      </x:c>
    </x:row>
    <x:row r="1057" ht="21" customHeight="1">
      <x:c r="A1057" s="1" t="str">
        <x:v>FILM</x:v>
      </x:c>
      <x:c r="B1057" s="1" t="str">
        <x:v>60</x:v>
      </x:c>
      <x:c r="C1057" s="1" t="str">
        <x:v>PR432503C3</x:v>
      </x:c>
      <x:c r="D1057" s="1" t="str">
        <x:v>**PAY ACH** POLYPLEX USA LLC</x:v>
      </x:c>
      <x:c r="E1057" s="7" t="n">
        <x:v>46304</x:v>
      </x:c>
      <x:c r="F1057" s="8" t="n">
        <x:v>0</x:v>
      </x:c>
      <x:c r="G1057" s="8" t="n">
        <x:v>0</x:v>
      </x:c>
      <x:c r="H1057" s="8" t="n">
        <x:v>29.03</x:v>
      </x:c>
      <x:c r="I1057" s="8" t="n">
        <x:v>34.83</x:v>
      </x:c>
      <x:c r="J1057" s="8" t="n">
        <x:v>1</x:v>
      </x:c>
      <x:c r="K1057" s="8" t="n">
        <x:v>1</x:v>
      </x:c>
      <x:c r="L1057" s="8" t="n">
        <x:v>0</x:v>
      </x:c>
      <x:c r="M1057" s="8" t="n">
        <x:v>0</x:v>
      </x:c>
      <x:c r="N1057" s="8" t="n">
        <x:v>0</x:v>
      </x:c>
      <x:c r="O1057" s="8" t="n">
        <x:v>1</x:v>
      </x:c>
      <x:c r="P1057" s="8" t="n">
        <x:v>29.03</x:v>
      </x:c>
      <x:c r="Q1057" s="9" t="n">
        <x:v>0</x:v>
      </x:c>
      <x:c r="R1057" s="1" t="str">
        <x:v>Classified</x:v>
      </x:c>
      <x:c r="S1057" s="1" t="str">
        <x:v>FilmInventory Data.csv</x:v>
      </x:c>
    </x:row>
    <x:row r="1058" ht="21" customHeight="1">
      <x:c r="A1058" s="1" t="str">
        <x:v>FILM</x:v>
      </x:c>
      <x:c r="B1058" s="1" t="str">
        <x:v>60</x:v>
      </x:c>
      <x:c r="C1058" s="1" t="str">
        <x:v>SG27500C1</x:v>
      </x:c>
      <x:c r="D1058" s="1" t="str">
        <x:v>**PAY ACH** POLYPLEX USA LLC</x:v>
      </x:c>
      <x:c r="E1058" s="7" t="n">
        <x:v>46304</x:v>
      </x:c>
      <x:c r="F1058" s="8" t="n">
        <x:v>0</x:v>
      </x:c>
      <x:c r="G1058" s="8" t="n">
        <x:v>0</x:v>
      </x:c>
      <x:c r="H1058" s="8" t="n">
        <x:v>10.04</x:v>
      </x:c>
      <x:c r="I1058" s="8" t="n">
        <x:v>0</x:v>
      </x:c>
      <x:c r="J1058" s="8" t="n">
        <x:v>1</x:v>
      </x:c>
      <x:c r="K1058" s="8" t="n">
        <x:v>1</x:v>
      </x:c>
      <x:c r="L1058" s="8" t="n">
        <x:v>0</x:v>
      </x:c>
      <x:c r="M1058" s="8" t="n">
        <x:v>0</x:v>
      </x:c>
      <x:c r="N1058" s="8" t="n">
        <x:v>0</x:v>
      </x:c>
      <x:c r="O1058" s="8" t="n">
        <x:v>0</x:v>
      </x:c>
      <x:c r="P1058" s="8"/>
      <x:c r="Q1058" s="9" t="n">
        <x:v>0</x:v>
      </x:c>
      <x:c r="R1058" s="1" t="str">
        <x:v>Review receipt reconciliation or original PO baseline</x:v>
      </x:c>
      <x:c r="S1058" s="1" t="str">
        <x:v>FilmInventory Data.csv</x:v>
      </x:c>
    </x:row>
    <x:row r="1059" ht="21" customHeight="1">
      <x:c r="A1059" s="1" t="str">
        <x:v>FILM</x:v>
      </x:c>
      <x:c r="B1059" s="1" t="str">
        <x:v>60</x:v>
      </x:c>
      <x:c r="C1059" s="1" t="str">
        <x:v>ST382005M3</x:v>
      </x:c>
      <x:c r="D1059" s="1" t="str">
        <x:v>**PAY ACH** POLYPLEX USA LLC</x:v>
      </x:c>
      <x:c r="E1059" s="7" t="n">
        <x:v>46304</x:v>
      </x:c>
      <x:c r="F1059" s="8" t="n">
        <x:v>0</x:v>
      </x:c>
      <x:c r="G1059" s="8" t="n">
        <x:v>0</x:v>
      </x:c>
      <x:c r="H1059" s="8" t="n">
        <x:v>76.52</x:v>
      </x:c>
      <x:c r="I1059" s="8" t="n">
        <x:v>92.11</x:v>
      </x:c>
      <x:c r="J1059" s="8" t="n">
        <x:v>1</x:v>
      </x:c>
      <x:c r="K1059" s="8" t="n">
        <x:v>1</x:v>
      </x:c>
      <x:c r="L1059" s="8" t="n">
        <x:v>0</x:v>
      </x:c>
      <x:c r="M1059" s="8" t="n">
        <x:v>0</x:v>
      </x:c>
      <x:c r="N1059" s="8" t="n">
        <x:v>0</x:v>
      </x:c>
      <x:c r="O1059" s="8" t="n">
        <x:v>1</x:v>
      </x:c>
      <x:c r="P1059" s="8" t="n">
        <x:v>76.52</x:v>
      </x:c>
      <x:c r="Q1059" s="9" t="n">
        <x:v>0</x:v>
      </x:c>
      <x:c r="R1059" s="1" t="str">
        <x:v>Classified</x:v>
      </x:c>
      <x:c r="S1059" s="1" t="str">
        <x:v>FilmInventory Data.csv</x:v>
      </x:c>
    </x:row>
    <x:row r="1060" ht="21" customHeight="1">
      <x:c r="A1060" s="1" t="str">
        <x:v>FILM</x:v>
      </x:c>
      <x:c r="B1060" s="1" t="str">
        <x:v>60</x:v>
      </x:c>
      <x:c r="C1060" s="1" t="str">
        <x:v>ST382503M3</x:v>
      </x:c>
      <x:c r="D1060" s="1" t="str">
        <x:v>**PAY ACH** POLYPLEX USA LLC</x:v>
      </x:c>
      <x:c r="E1060" s="7" t="n">
        <x:v>46304</x:v>
      </x:c>
      <x:c r="F1060" s="8" t="n">
        <x:v>0</x:v>
      </x:c>
      <x:c r="G1060" s="8" t="n">
        <x:v>0</x:v>
      </x:c>
      <x:c r="H1060" s="8" t="n">
        <x:v>62.13</x:v>
      </x:c>
      <x:c r="I1060" s="8" t="n">
        <x:v>74.56</x:v>
      </x:c>
      <x:c r="J1060" s="8" t="n">
        <x:v>1</x:v>
      </x:c>
      <x:c r="K1060" s="8" t="n">
        <x:v>1</x:v>
      </x:c>
      <x:c r="L1060" s="8" t="n">
        <x:v>0</x:v>
      </x:c>
      <x:c r="M1060" s="8" t="n">
        <x:v>0</x:v>
      </x:c>
      <x:c r="N1060" s="8" t="n">
        <x:v>0</x:v>
      </x:c>
      <x:c r="O1060" s="8" t="n">
        <x:v>1</x:v>
      </x:c>
      <x:c r="P1060" s="8" t="n">
        <x:v>62.13</x:v>
      </x:c>
      <x:c r="Q1060" s="9" t="n">
        <x:v>0</x:v>
      </x:c>
      <x:c r="R1060" s="1" t="str">
        <x:v>Classified</x:v>
      </x:c>
      <x:c r="S1060" s="1" t="str">
        <x:v>FilmInventory Data.csv</x:v>
      </x:c>
    </x:row>
    <x:row r="1061" ht="21" customHeight="1">
      <x:c r="A1061" s="1" t="str">
        <x:v>FILM</x:v>
      </x:c>
      <x:c r="B1061" s="1" t="str">
        <x:v>60</x:v>
      </x:c>
      <x:c r="C1061" s="1" t="str">
        <x:v>ST3850017M3</x:v>
      </x:c>
      <x:c r="D1061" s="1" t="str">
        <x:v>**PAY ACH** POLYPLEX USA LLC</x:v>
      </x:c>
      <x:c r="E1061" s="7" t="n">
        <x:v>46304</x:v>
      </x:c>
      <x:c r="F1061" s="8" t="n">
        <x:v>36</x:v>
      </x:c>
      <x:c r="G1061" s="8" t="n">
        <x:v>0</x:v>
      </x:c>
      <x:c r="H1061" s="8" t="n">
        <x:v>95.76</x:v>
      </x:c>
      <x:c r="I1061" s="8" t="n">
        <x:v>114.91</x:v>
      </x:c>
      <x:c r="J1061" s="8" t="n">
        <x:v>1</x:v>
      </x:c>
      <x:c r="K1061" s="8" t="n">
        <x:v>1</x:v>
      </x:c>
      <x:c r="L1061" s="8" t="n">
        <x:v>36</x:v>
      </x:c>
      <x:c r="M1061" s="8" t="n">
        <x:v>0</x:v>
      </x:c>
      <x:c r="N1061" s="8" t="n">
        <x:v>0</x:v>
      </x:c>
      <x:c r="O1061" s="8" t="n">
        <x:v>1</x:v>
      </x:c>
      <x:c r="P1061" s="8" t="n">
        <x:v>95.76</x:v>
      </x:c>
      <x:c r="Q1061" s="9" t="n">
        <x:v>3447.36</x:v>
      </x:c>
      <x:c r="R1061" s="1" t="str">
        <x:v>Classified</x:v>
      </x:c>
      <x:c r="S1061" s="1" t="str">
        <x:v>FilmInventory Data.csv</x:v>
      </x:c>
    </x:row>
    <x:row r="1062" ht="21" customHeight="1">
      <x:c r="A1062" s="1" t="str">
        <x:v>FILM</x:v>
      </x:c>
      <x:c r="B1062" s="1" t="str">
        <x:v>60</x:v>
      </x:c>
      <x:c r="C1062" s="1" t="str">
        <x:v>ST432005M3</x:v>
      </x:c>
      <x:c r="D1062" s="1" t="str">
        <x:v>**PAY ACH** POLYPLEX USA LLC</x:v>
      </x:c>
      <x:c r="E1062" s="7" t="n">
        <x:v>46304</x:v>
      </x:c>
      <x:c r="F1062" s="8" t="n">
        <x:v>0</x:v>
      </x:c>
      <x:c r="G1062" s="8" t="n">
        <x:v>0</x:v>
      </x:c>
      <x:c r="H1062" s="8" t="n">
        <x:v>86.58</x:v>
      </x:c>
      <x:c r="I1062" s="8" t="n">
        <x:v>104.23</x:v>
      </x:c>
      <x:c r="J1062" s="8" t="n">
        <x:v>1</x:v>
      </x:c>
      <x:c r="K1062" s="8" t="n">
        <x:v>1</x:v>
      </x:c>
      <x:c r="L1062" s="8" t="n">
        <x:v>0</x:v>
      </x:c>
      <x:c r="M1062" s="8" t="n">
        <x:v>0</x:v>
      </x:c>
      <x:c r="N1062" s="8" t="n">
        <x:v>0</x:v>
      </x:c>
      <x:c r="O1062" s="8" t="n">
        <x:v>1</x:v>
      </x:c>
      <x:c r="P1062" s="8" t="n">
        <x:v>86.58</x:v>
      </x:c>
      <x:c r="Q1062" s="9" t="n">
        <x:v>0</x:v>
      </x:c>
      <x:c r="R1062" s="1" t="str">
        <x:v>Classified</x:v>
      </x:c>
      <x:c r="S1062" s="1" t="str">
        <x:v>FilmInventory Data.csv</x:v>
      </x:c>
    </x:row>
    <x:row r="1063" ht="21" customHeight="1">
      <x:c r="A1063" s="1" t="str">
        <x:v>FILM</x:v>
      </x:c>
      <x:c r="B1063" s="1" t="str">
        <x:v>60</x:v>
      </x:c>
      <x:c r="C1063" s="1" t="str">
        <x:v>ST432503M3</x:v>
      </x:c>
      <x:c r="D1063" s="1" t="str">
        <x:v>**PAY ACH** POLYPLEX USA LLC</x:v>
      </x:c>
      <x:c r="E1063" s="7" t="n">
        <x:v>46304</x:v>
      </x:c>
      <x:c r="F1063" s="8" t="n">
        <x:v>0</x:v>
      </x:c>
      <x:c r="G1063" s="8" t="n">
        <x:v>0</x:v>
      </x:c>
      <x:c r="H1063" s="8" t="n">
        <x:v>70.31</x:v>
      </x:c>
      <x:c r="I1063" s="8" t="n">
        <x:v>84.37</x:v>
      </x:c>
      <x:c r="J1063" s="8" t="n">
        <x:v>1</x:v>
      </x:c>
      <x:c r="K1063" s="8" t="n">
        <x:v>1</x:v>
      </x:c>
      <x:c r="L1063" s="8" t="n">
        <x:v>0</x:v>
      </x:c>
      <x:c r="M1063" s="8" t="n">
        <x:v>0</x:v>
      </x:c>
      <x:c r="N1063" s="8" t="n">
        <x:v>0</x:v>
      </x:c>
      <x:c r="O1063" s="8" t="n">
        <x:v>1</x:v>
      </x:c>
      <x:c r="P1063" s="8" t="n">
        <x:v>70.31</x:v>
      </x:c>
      <x:c r="Q1063" s="9" t="n">
        <x:v>0</x:v>
      </x:c>
      <x:c r="R1063" s="1" t="str">
        <x:v>Classified</x:v>
      </x:c>
      <x:c r="S1063" s="1" t="str">
        <x:v>FilmInventory Data.csv</x:v>
      </x:c>
    </x:row>
    <x:row r="1064" ht="21" customHeight="1">
      <x:c r="A1064" s="1" t="str">
        <x:v>FILM</x:v>
      </x:c>
      <x:c r="B1064" s="1" t="str">
        <x:v>60</x:v>
      </x:c>
      <x:c r="C1064" s="1" t="str">
        <x:v>ST4350017M3</x:v>
      </x:c>
      <x:c r="D1064" s="1" t="str">
        <x:v>**PAY ACH** POLYPLEX USA LLC</x:v>
      </x:c>
      <x:c r="E1064" s="7" t="n">
        <x:v>46304</x:v>
      </x:c>
      <x:c r="F1064" s="8" t="n">
        <x:v>0</x:v>
      </x:c>
      <x:c r="G1064" s="8" t="n">
        <x:v>0</x:v>
      </x:c>
      <x:c r="H1064" s="8" t="n">
        <x:v>108.36</x:v>
      </x:c>
      <x:c r="I1064" s="8" t="n">
        <x:v>130.03</x:v>
      </x:c>
      <x:c r="J1064" s="8" t="n">
        <x:v>1</x:v>
      </x:c>
      <x:c r="K1064" s="8" t="n">
        <x:v>1</x:v>
      </x:c>
      <x:c r="L1064" s="8" t="n">
        <x:v>0</x:v>
      </x:c>
      <x:c r="M1064" s="8" t="n">
        <x:v>0</x:v>
      </x:c>
      <x:c r="N1064" s="8" t="n">
        <x:v>0</x:v>
      </x:c>
      <x:c r="O1064" s="8" t="n">
        <x:v>1</x:v>
      </x:c>
      <x:c r="P1064" s="8" t="n">
        <x:v>108.36</x:v>
      </x:c>
      <x:c r="Q1064" s="9" t="n">
        <x:v>0</x:v>
      </x:c>
      <x:c r="R1064" s="1" t="str">
        <x:v>Classified</x:v>
      </x:c>
      <x:c r="S1064" s="1" t="str">
        <x:v>FilmInventory Data.csv</x:v>
      </x:c>
    </x:row>
  </x:sheetData>
  <x:pageMargins left="0.7" right="0.7" top="0.75" bottom="0.75" header="0.3" footer="0.3"/>
  <x:tableParts count="1">
    <x:tablePart xmlns:r="http://schemas.openxmlformats.org/officeDocument/2006/relationships" r:id="R4e5c264dfd5e47a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40" customHeight="1">
      <x:c r="A1" s="6" t="str">
        <x:v>Category</x:v>
      </x:c>
      <x:c r="B1" s="6" t="str">
        <x:v>Warehouse</x:v>
      </x:c>
      <x:c r="C1" s="6" t="str">
        <x:v>Product</x:v>
      </x:c>
      <x:c r="D1" s="6" t="str">
        <x:v>PO number</x:v>
      </x:c>
      <x:c r="E1" s="6" t="str">
        <x:v>Suffix</x:v>
      </x:c>
      <x:c r="F1" s="6" t="str">
        <x:v>Line</x:v>
      </x:c>
      <x:c r="G1" s="6" t="str">
        <x:v>Expected date</x:v>
      </x:c>
      <x:c r="H1" s="6" t="str">
        <x:v>Ordered quantity</x:v>
      </x:c>
      <x:c r="I1" s="6" t="str">
        <x:v>Unit conversion</x:v>
      </x:c>
      <x:c r="J1" s="6" t="str">
        <x:v>PO source cost</x:v>
      </x:c>
      <x:c r="K1" s="6" t="str">
        <x:v>Units per PO cost</x:v>
      </x:c>
      <x:c r="L1" s="6" t="str">
        <x:v>Status</x:v>
      </x:c>
      <x:c r="M1" s="6" t="str">
        <x:v>Source qtyrcv</x:v>
      </x:c>
      <x:c r="N1" s="6" t="str">
        <x:v>GL receipt cost</x:v>
      </x:c>
      <x:c r="O1" s="6" t="str">
        <x:v>Source file</x:v>
      </x:c>
      <x:c r="P1" s="6" t="str">
        <x:v>Incoming stock units</x:v>
      </x:c>
      <x:c r="Q1" s="6" t="str">
        <x:v>PO cost per stock unit</x:v>
      </x:c>
      <x:c r="R1" s="6" t="str">
        <x:v>Incoming PO value</x:v>
      </x:c>
    </x:row>
    <x:row r="2" ht="21" customHeight="1">
      <x:c r="A2" s="1" t="str">
        <x:v>C400</x:v>
      </x:c>
      <x:c r="B2" s="1" t="str">
        <x:v>10</x:v>
      </x:c>
      <x:c r="C2" s="1" t="str">
        <x:v>400HASC</x:v>
      </x:c>
      <x:c r="D2" s="1" t="str">
        <x:v>1061287</x:v>
      </x:c>
      <x:c r="E2" s="1" t="str">
        <x:v>0</x:v>
      </x:c>
      <x:c r="F2" s="1" t="str">
        <x:v>5</x:v>
      </x:c>
      <x:c r="G2" s="7" t="n">
        <x:v>46367</x:v>
      </x:c>
      <x:c r="H2" s="1" t="n">
        <x:v>200000</x:v>
      </x:c>
      <x:c r="I2" s="1" t="n">
        <x:v>1</x:v>
      </x:c>
      <x:c r="J2" s="1" t="n">
        <x:v>4.465</x:v>
      </x:c>
      <x:c r="K2" s="1" t="n">
        <x:v>100</x:v>
      </x:c>
      <x:c r="L2" s="1" t="str">
        <x:v>a</x:v>
      </x:c>
      <x:c r="M2" s="1" t="n">
        <x:v>200000</x:v>
      </x:c>
      <x:c r="N2" s="1" t="n">
        <x:v>0</x:v>
      </x:c>
      <x:c r="O2" s="1" t="str">
        <x:v>updated receipts.csv</x:v>
      </x:c>
      <x:c r="P2" s="10" t="n">
        <x:f>H2*I2</x:f>
        <x:v>200000</x:v>
      </x:c>
      <x:c r="Q2" s="10" t="n">
        <x:f>IF(K2&gt;0,J2/K2,"n.a.")</x:f>
        <x:v>0.044649999999999995</x:v>
      </x:c>
      <x:c r="R2" s="11" t="n">
        <x:f>IF(ISNUMBER(Q2),P2*Q2,"n.a.")</x:f>
        <x:v>8929.999999999998</x:v>
      </x:c>
    </x:row>
    <x:row r="3" ht="21" customHeight="1">
      <x:c r="A3" s="1" t="str">
        <x:v>C400</x:v>
      </x:c>
      <x:c r="B3" s="1" t="str">
        <x:v>10</x:v>
      </x:c>
      <x:c r="C3" s="1" t="str">
        <x:v>400HASCT</x:v>
      </x:c>
      <x:c r="D3" s="1" t="str">
        <x:v>1061287</x:v>
      </x:c>
      <x:c r="E3" s="1" t="str">
        <x:v>0</x:v>
      </x:c>
      <x:c r="F3" s="1" t="str">
        <x:v>7</x:v>
      </x:c>
      <x:c r="G3" s="7" t="n">
        <x:v>46367</x:v>
      </x:c>
      <x:c r="H3" s="1" t="n">
        <x:v>8000</x:v>
      </x:c>
      <x:c r="I3" s="1" t="n">
        <x:v>1</x:v>
      </x:c>
      <x:c r="J3" s="1" t="n">
        <x:v>5.895</x:v>
      </x:c>
      <x:c r="K3" s="1" t="n">
        <x:v>100</x:v>
      </x:c>
      <x:c r="L3" s="1" t="str">
        <x:v>a</x:v>
      </x:c>
      <x:c r="M3" s="1" t="n">
        <x:v>8000</x:v>
      </x:c>
      <x:c r="N3" s="1" t="n">
        <x:v>0</x:v>
      </x:c>
      <x:c r="O3" s="1" t="str">
        <x:v>updated receipts.csv</x:v>
      </x:c>
      <x:c r="P3" s="10" t="n">
        <x:f>H3*I3</x:f>
        <x:v>8000</x:v>
      </x:c>
      <x:c r="Q3" s="10" t="n">
        <x:f>IF(K3&gt;0,J3/K3,"n.a.")</x:f>
        <x:v>0.058949999999999995</x:v>
      </x:c>
      <x:c r="R3" s="11" t="n">
        <x:f>IF(ISNUMBER(Q3),P3*Q3,"n.a.")</x:f>
        <x:v>471.59999999999997</x:v>
      </x:c>
    </x:row>
    <x:row r="4" ht="21" customHeight="1">
      <x:c r="A4" s="1" t="str">
        <x:v>C400</x:v>
      </x:c>
      <x:c r="B4" s="1" t="str">
        <x:v>10</x:v>
      </x:c>
      <x:c r="C4" s="1" t="str">
        <x:v>400HBRC</x:v>
      </x:c>
      <x:c r="D4" s="1" t="str">
        <x:v>1061287</x:v>
      </x:c>
      <x:c r="E4" s="1" t="str">
        <x:v>0</x:v>
      </x:c>
      <x:c r="F4" s="1" t="str">
        <x:v>9</x:v>
      </x:c>
      <x:c r="G4" s="7" t="n">
        <x:v>46367</x:v>
      </x:c>
      <x:c r="H4" s="1" t="n">
        <x:v>4000</x:v>
      </x:c>
      <x:c r="I4" s="1" t="n">
        <x:v>1</x:v>
      </x:c>
      <x:c r="J4" s="1" t="n">
        <x:v>4.819</x:v>
      </x:c>
      <x:c r="K4" s="1" t="n">
        <x:v>100</x:v>
      </x:c>
      <x:c r="L4" s="1" t="str">
        <x:v>a</x:v>
      </x:c>
      <x:c r="M4" s="1" t="n">
        <x:v>4000</x:v>
      </x:c>
      <x:c r="N4" s="1" t="n">
        <x:v>0</x:v>
      </x:c>
      <x:c r="O4" s="1" t="str">
        <x:v>updated receipts.csv</x:v>
      </x:c>
      <x:c r="P4" s="10" t="n">
        <x:f>H4*I4</x:f>
        <x:v>4000</x:v>
      </x:c>
      <x:c r="Q4" s="10" t="n">
        <x:f>IF(K4&gt;0,J4/K4,"n.a.")</x:f>
        <x:v>0.04819</x:v>
      </x:c>
      <x:c r="R4" s="11" t="n">
        <x:f>IF(ISNUMBER(Q4),P4*Q4,"n.a.")</x:f>
        <x:v>192.76</x:v>
      </x:c>
    </x:row>
    <x:row r="5" ht="21" customHeight="1">
      <x:c r="A5" s="1" t="str">
        <x:v>C400</x:v>
      </x:c>
      <x:c r="B5" s="1" t="str">
        <x:v>10</x:v>
      </x:c>
      <x:c r="C5" s="1" t="str">
        <x:v>400HCSC</x:v>
      </x:c>
      <x:c r="D5" s="1" t="str">
        <x:v>1061287</x:v>
      </x:c>
      <x:c r="E5" s="1" t="str">
        <x:v>0</x:v>
      </x:c>
      <x:c r="F5" s="1" t="str">
        <x:v>11</x:v>
      </x:c>
      <x:c r="G5" s="7" t="n">
        <x:v>46367</x:v>
      </x:c>
      <x:c r="H5" s="1" t="n">
        <x:v>3000</x:v>
      </x:c>
      <x:c r="I5" s="1" t="n">
        <x:v>1</x:v>
      </x:c>
      <x:c r="J5" s="1" t="n">
        <x:v>5.676</x:v>
      </x:c>
      <x:c r="K5" s="1" t="n">
        <x:v>100</x:v>
      </x:c>
      <x:c r="L5" s="1" t="str">
        <x:v>a</x:v>
      </x:c>
      <x:c r="M5" s="1" t="n">
        <x:v>3000</x:v>
      </x:c>
      <x:c r="N5" s="1" t="n">
        <x:v>0</x:v>
      </x:c>
      <x:c r="O5" s="1" t="str">
        <x:v>updated receipts.csv</x:v>
      </x:c>
      <x:c r="P5" s="10" t="n">
        <x:f>H5*I5</x:f>
        <x:v>3000</x:v>
      </x:c>
      <x:c r="Q5" s="10" t="n">
        <x:f>IF(K5&gt;0,J5/K5,"n.a.")</x:f>
        <x:v>0.056760000000000005</x:v>
      </x:c>
      <x:c r="R5" s="11" t="n">
        <x:f>IF(ISNUMBER(Q5),P5*Q5,"n.a.")</x:f>
        <x:v>170.28</x:v>
      </x:c>
    </x:row>
    <x:row r="6" ht="21" customHeight="1">
      <x:c r="A6" s="1" t="str">
        <x:v>C400</x:v>
      </x:c>
      <x:c r="B6" s="1" t="str">
        <x:v>10</x:v>
      </x:c>
      <x:c r="C6" s="1" t="str">
        <x:v>400HDSC</x:v>
      </x:c>
      <x:c r="D6" s="1" t="str">
        <x:v>1061287</x:v>
      </x:c>
      <x:c r="E6" s="1" t="str">
        <x:v>0</x:v>
      </x:c>
      <x:c r="F6" s="1" t="str">
        <x:v>13</x:v>
      </x:c>
      <x:c r="G6" s="7" t="n">
        <x:v>46367</x:v>
      </x:c>
      <x:c r="H6" s="1" t="n">
        <x:v>6000</x:v>
      </x:c>
      <x:c r="I6" s="1" t="n">
        <x:v>1</x:v>
      </x:c>
      <x:c r="J6" s="1" t="n">
        <x:v>8.952</x:v>
      </x:c>
      <x:c r="K6" s="1" t="n">
        <x:v>100</x:v>
      </x:c>
      <x:c r="L6" s="1" t="str">
        <x:v>a</x:v>
      </x:c>
      <x:c r="M6" s="1" t="n">
        <x:v>6000</x:v>
      </x:c>
      <x:c r="N6" s="1" t="n">
        <x:v>0</x:v>
      </x:c>
      <x:c r="O6" s="1" t="str">
        <x:v>updated receipts.csv</x:v>
      </x:c>
      <x:c r="P6" s="10" t="n">
        <x:f>H6*I6</x:f>
        <x:v>6000</x:v>
      </x:c>
      <x:c r="Q6" s="10" t="n">
        <x:f>IF(K6&gt;0,J6/K6,"n.a.")</x:f>
        <x:v>0.08952</x:v>
      </x:c>
      <x:c r="R6" s="11" t="n">
        <x:f>IF(ISNUMBER(Q6),P6*Q6,"n.a.")</x:f>
        <x:v>537.12</x:v>
      </x:c>
    </x:row>
    <x:row r="7" ht="21" customHeight="1">
      <x:c r="A7" s="1" t="str">
        <x:v>C400</x:v>
      </x:c>
      <x:c r="B7" s="1" t="str">
        <x:v>10</x:v>
      </x:c>
      <x:c r="C7" s="1" t="str">
        <x:v>400HISC</x:v>
      </x:c>
      <x:c r="D7" s="1" t="str">
        <x:v>1061287</x:v>
      </x:c>
      <x:c r="E7" s="1" t="str">
        <x:v>0</x:v>
      </x:c>
      <x:c r="F7" s="1" t="str">
        <x:v>8</x:v>
      </x:c>
      <x:c r="G7" s="7" t="n">
        <x:v>46367</x:v>
      </x:c>
      <x:c r="H7" s="1" t="n">
        <x:v>7000</x:v>
      </x:c>
      <x:c r="I7" s="1" t="n">
        <x:v>1</x:v>
      </x:c>
      <x:c r="J7" s="1" t="n">
        <x:v>4.733</x:v>
      </x:c>
      <x:c r="K7" s="1" t="n">
        <x:v>100</x:v>
      </x:c>
      <x:c r="L7" s="1" t="str">
        <x:v>a</x:v>
      </x:c>
      <x:c r="M7" s="1" t="n">
        <x:v>7000</x:v>
      </x:c>
      <x:c r="N7" s="1" t="n">
        <x:v>0</x:v>
      </x:c>
      <x:c r="O7" s="1" t="str">
        <x:v>updated receipts.csv</x:v>
      </x:c>
      <x:c r="P7" s="10" t="n">
        <x:f>H7*I7</x:f>
        <x:v>7000</x:v>
      </x:c>
      <x:c r="Q7" s="10" t="n">
        <x:f>IF(K7&gt;0,J7/K7,"n.a.")</x:f>
        <x:v>0.04733</x:v>
      </x:c>
      <x:c r="R7" s="11" t="n">
        <x:f>IF(ISNUMBER(Q7),P7*Q7,"n.a.")</x:f>
        <x:v>331.31</x:v>
      </x:c>
    </x:row>
    <x:row r="8" ht="21" customHeight="1">
      <x:c r="A8" s="1" t="str">
        <x:v>C400</x:v>
      </x:c>
      <x:c r="B8" s="1" t="str">
        <x:v>10</x:v>
      </x:c>
      <x:c r="C8" s="1" t="str">
        <x:v>400HMASC</x:v>
      </x:c>
      <x:c r="D8" s="1" t="str">
        <x:v>1061287</x:v>
      </x:c>
      <x:c r="E8" s="1" t="str">
        <x:v>0</x:v>
      </x:c>
      <x:c r="F8" s="1" t="str">
        <x:v>6</x:v>
      </x:c>
      <x:c r="G8" s="7" t="n">
        <x:v>46367</x:v>
      </x:c>
      <x:c r="H8" s="1" t="n">
        <x:v>37000</x:v>
      </x:c>
      <x:c r="I8" s="1" t="n">
        <x:v>1</x:v>
      </x:c>
      <x:c r="J8" s="1" t="n">
        <x:v>4.688</x:v>
      </x:c>
      <x:c r="K8" s="1" t="n">
        <x:v>100</x:v>
      </x:c>
      <x:c r="L8" s="1" t="str">
        <x:v>a</x:v>
      </x:c>
      <x:c r="M8" s="1" t="n">
        <x:v>37000</x:v>
      </x:c>
      <x:c r="N8" s="1" t="n">
        <x:v>0</x:v>
      </x:c>
      <x:c r="O8" s="1" t="str">
        <x:v>updated receipts.csv</x:v>
      </x:c>
      <x:c r="P8" s="10" t="n">
        <x:f>H8*I8</x:f>
        <x:v>37000</x:v>
      </x:c>
      <x:c r="Q8" s="10" t="n">
        <x:f>IF(K8&gt;0,J8/K8,"n.a.")</x:f>
        <x:v>0.04688</x:v>
      </x:c>
      <x:c r="R8" s="11" t="n">
        <x:f>IF(ISNUMBER(Q8),P8*Q8,"n.a.")</x:f>
        <x:v>1734.56</x:v>
      </x:c>
    </x:row>
    <x:row r="9" ht="21" customHeight="1">
      <x:c r="A9" s="1" t="str">
        <x:v>C400</x:v>
      </x:c>
      <x:c r="B9" s="1" t="str">
        <x:v>10</x:v>
      </x:c>
      <x:c r="C9" s="1" t="str">
        <x:v>400HMISC</x:v>
      </x:c>
      <x:c r="D9" s="1" t="str">
        <x:v>1061287</x:v>
      </x:c>
      <x:c r="E9" s="1" t="str">
        <x:v>0</x:v>
      </x:c>
      <x:c r="F9" s="1" t="str">
        <x:v>10</x:v>
      </x:c>
      <x:c r="G9" s="7" t="n">
        <x:v>46367</x:v>
      </x:c>
      <x:c r="H9" s="1" t="n">
        <x:v>2000</x:v>
      </x:c>
      <x:c r="I9" s="1" t="n">
        <x:v>1</x:v>
      </x:c>
      <x:c r="J9" s="1" t="n">
        <x:v>4.97</x:v>
      </x:c>
      <x:c r="K9" s="1" t="n">
        <x:v>100</x:v>
      </x:c>
      <x:c r="L9" s="1" t="str">
        <x:v>a</x:v>
      </x:c>
      <x:c r="M9" s="1" t="n">
        <x:v>2000</x:v>
      </x:c>
      <x:c r="N9" s="1" t="n">
        <x:v>0</x:v>
      </x:c>
      <x:c r="O9" s="1" t="str">
        <x:v>updated receipts.csv</x:v>
      </x:c>
      <x:c r="P9" s="10" t="n">
        <x:f>H9*I9</x:f>
        <x:v>2000</x:v>
      </x:c>
      <x:c r="Q9" s="10" t="n">
        <x:f>IF(K9&gt;0,J9/K9,"n.a.")</x:f>
        <x:v>0.049699999999999994</x:v>
      </x:c>
      <x:c r="R9" s="11" t="n">
        <x:f>IF(ISNUMBER(Q9),P9*Q9,"n.a.")</x:f>
        <x:v>99.39999999999999</x:v>
      </x:c>
    </x:row>
    <x:row r="10" ht="21" customHeight="1">
      <x:c r="A10" s="1" t="str">
        <x:v>C400</x:v>
      </x:c>
      <x:c r="B10" s="1" t="str">
        <x:v>10</x:v>
      </x:c>
      <x:c r="C10" s="1" t="str">
        <x:v>400LASC</x:v>
      </x:c>
      <x:c r="D10" s="1" t="str">
        <x:v>1061287</x:v>
      </x:c>
      <x:c r="E10" s="1" t="str">
        <x:v>0</x:v>
      </x:c>
      <x:c r="F10" s="1" t="str">
        <x:v>1</x:v>
      </x:c>
      <x:c r="G10" s="7" t="n">
        <x:v>46367</x:v>
      </x:c>
      <x:c r="H10" s="1" t="n">
        <x:v>65000</x:v>
      </x:c>
      <x:c r="I10" s="1" t="n">
        <x:v>1</x:v>
      </x:c>
      <x:c r="J10" s="1" t="n">
        <x:v>2.233</x:v>
      </x:c>
      <x:c r="K10" s="1" t="n">
        <x:v>100</x:v>
      </x:c>
      <x:c r="L10" s="1" t="str">
        <x:v>a</x:v>
      </x:c>
      <x:c r="M10" s="1" t="n">
        <x:v>65000</x:v>
      </x:c>
      <x:c r="N10" s="1" t="n">
        <x:v>0</x:v>
      </x:c>
      <x:c r="O10" s="1" t="str">
        <x:v>updated receipts.csv</x:v>
      </x:c>
      <x:c r="P10" s="10" t="n">
        <x:f>H10*I10</x:f>
        <x:v>65000</x:v>
      </x:c>
      <x:c r="Q10" s="10" t="n">
        <x:f>IF(K10&gt;0,J10/K10,"n.a.")</x:f>
        <x:v>0.022330000000000003</x:v>
      </x:c>
      <x:c r="R10" s="11" t="n">
        <x:f>IF(ISNUMBER(Q10),P10*Q10,"n.a.")</x:f>
        <x:v>1451.4500000000003</x:v>
      </x:c>
    </x:row>
    <x:row r="11" ht="21" customHeight="1">
      <x:c r="A11" s="1" t="str">
        <x:v>C400</x:v>
      </x:c>
      <x:c r="B11" s="1" t="str">
        <x:v>10</x:v>
      </x:c>
      <x:c r="C11" s="1" t="str">
        <x:v>400MASC</x:v>
      </x:c>
      <x:c r="D11" s="1" t="str">
        <x:v>1061287</x:v>
      </x:c>
      <x:c r="E11" s="1" t="str">
        <x:v>0</x:v>
      </x:c>
      <x:c r="F11" s="1" t="str">
        <x:v>2</x:v>
      </x:c>
      <x:c r="G11" s="7" t="n">
        <x:v>46367</x:v>
      </x:c>
      <x:c r="H11" s="1" t="n">
        <x:v>62000</x:v>
      </x:c>
      <x:c r="I11" s="1" t="n">
        <x:v>1</x:v>
      </x:c>
      <x:c r="J11" s="1" t="n">
        <x:v>3.127</x:v>
      </x:c>
      <x:c r="K11" s="1" t="n">
        <x:v>100</x:v>
      </x:c>
      <x:c r="L11" s="1" t="str">
        <x:v>a</x:v>
      </x:c>
      <x:c r="M11" s="1" t="n">
        <x:v>62000</x:v>
      </x:c>
      <x:c r="N11" s="1" t="n">
        <x:v>0</x:v>
      </x:c>
      <x:c r="O11" s="1" t="str">
        <x:v>updated receipts.csv</x:v>
      </x:c>
      <x:c r="P11" s="10" t="n">
        <x:f>H11*I11</x:f>
        <x:v>62000</x:v>
      </x:c>
      <x:c r="Q11" s="10" t="n">
        <x:f>IF(K11&gt;0,J11/K11,"n.a.")</x:f>
        <x:v>0.03127</x:v>
      </x:c>
      <x:c r="R11" s="11" t="n">
        <x:f>IF(ISNUMBER(Q11),P11*Q11,"n.a.")</x:f>
        <x:v>1938.74</x:v>
      </x:c>
    </x:row>
    <x:row r="12" ht="21" customHeight="1">
      <x:c r="A12" s="1" t="str">
        <x:v>C400</x:v>
      </x:c>
      <x:c r="B12" s="1" t="str">
        <x:v>10</x:v>
      </x:c>
      <x:c r="C12" s="1" t="str">
        <x:v>400MCSC</x:v>
      </x:c>
      <x:c r="D12" s="1" t="str">
        <x:v>1061287</x:v>
      </x:c>
      <x:c r="E12" s="1" t="str">
        <x:v>0</x:v>
      </x:c>
      <x:c r="F12" s="1" t="str">
        <x:v>4</x:v>
      </x:c>
      <x:c r="G12" s="7" t="n">
        <x:v>46367</x:v>
      </x:c>
      <x:c r="H12" s="1" t="n">
        <x:v>12000</x:v>
      </x:c>
      <x:c r="I12" s="1" t="n">
        <x:v>1</x:v>
      </x:c>
      <x:c r="J12" s="1" t="n">
        <x:v>3.973</x:v>
      </x:c>
      <x:c r="K12" s="1" t="n">
        <x:v>100</x:v>
      </x:c>
      <x:c r="L12" s="1" t="str">
        <x:v>a</x:v>
      </x:c>
      <x:c r="M12" s="1" t="n">
        <x:v>12000</x:v>
      </x:c>
      <x:c r="N12" s="1" t="n">
        <x:v>0</x:v>
      </x:c>
      <x:c r="O12" s="1" t="str">
        <x:v>updated receipts.csv</x:v>
      </x:c>
      <x:c r="P12" s="10" t="n">
        <x:f>H12*I12</x:f>
        <x:v>12000</x:v>
      </x:c>
      <x:c r="Q12" s="10" t="n">
        <x:f>IF(K12&gt;0,J12/K12,"n.a.")</x:f>
        <x:v>0.03973</x:v>
      </x:c>
      <x:c r="R12" s="11" t="n">
        <x:f>IF(ISNUMBER(Q12),P12*Q12,"n.a.")</x:f>
        <x:v>476.76</x:v>
      </x:c>
    </x:row>
    <x:row r="13" ht="21" customHeight="1">
      <x:c r="A13" s="1" t="str">
        <x:v>C400</x:v>
      </x:c>
      <x:c r="B13" s="1" t="str">
        <x:v>10</x:v>
      </x:c>
      <x:c r="C13" s="1" t="str">
        <x:v>400MDSC</x:v>
      </x:c>
      <x:c r="D13" s="1" t="str">
        <x:v>1061287</x:v>
      </x:c>
      <x:c r="E13" s="1" t="str">
        <x:v>0</x:v>
      </x:c>
      <x:c r="F13" s="1" t="str">
        <x:v>12</x:v>
      </x:c>
      <x:c r="G13" s="7" t="n">
        <x:v>46367</x:v>
      </x:c>
      <x:c r="H13" s="1" t="n">
        <x:v>8000</x:v>
      </x:c>
      <x:c r="I13" s="1" t="n">
        <x:v>1</x:v>
      </x:c>
      <x:c r="J13" s="1" t="n">
        <x:v>6.268</x:v>
      </x:c>
      <x:c r="K13" s="1" t="n">
        <x:v>100</x:v>
      </x:c>
      <x:c r="L13" s="1" t="str">
        <x:v>a</x:v>
      </x:c>
      <x:c r="M13" s="1" t="n">
        <x:v>8000</x:v>
      </x:c>
      <x:c r="N13" s="1" t="n">
        <x:v>0</x:v>
      </x:c>
      <x:c r="O13" s="1" t="str">
        <x:v>updated receipts.csv</x:v>
      </x:c>
      <x:c r="P13" s="10" t="n">
        <x:f>H13*I13</x:f>
        <x:v>8000</x:v>
      </x:c>
      <x:c r="Q13" s="10" t="n">
        <x:f>IF(K13&gt;0,J13/K13,"n.a.")</x:f>
        <x:v>0.06268</x:v>
      </x:c>
      <x:c r="R13" s="11" t="n">
        <x:f>IF(ISNUMBER(Q13),P13*Q13,"n.a.")</x:f>
        <x:v>501.44</x:v>
      </x:c>
    </x:row>
    <x:row r="14" ht="21" customHeight="1">
      <x:c r="A14" s="1" t="str">
        <x:v>C400</x:v>
      </x:c>
      <x:c r="B14" s="1" t="str">
        <x:v>10</x:v>
      </x:c>
      <x:c r="C14" s="1" t="str">
        <x:v>400MISC</x:v>
      </x:c>
      <x:c r="D14" s="1" t="str">
        <x:v>1061287</x:v>
      </x:c>
      <x:c r="E14" s="1" t="str">
        <x:v>0</x:v>
      </x:c>
      <x:c r="F14" s="1" t="str">
        <x:v>3</x:v>
      </x:c>
      <x:c r="G14" s="7" t="n">
        <x:v>46367</x:v>
      </x:c>
      <x:c r="H14" s="1" t="n">
        <x:v>3000</x:v>
      </x:c>
      <x:c r="I14" s="1" t="n">
        <x:v>1</x:v>
      </x:c>
      <x:c r="J14" s="1" t="n">
        <x:v>3.315</x:v>
      </x:c>
      <x:c r="K14" s="1" t="n">
        <x:v>100</x:v>
      </x:c>
      <x:c r="L14" s="1" t="str">
        <x:v>a</x:v>
      </x:c>
      <x:c r="M14" s="1" t="n">
        <x:v>3000</x:v>
      </x:c>
      <x:c r="N14" s="1" t="n">
        <x:v>0</x:v>
      </x:c>
      <x:c r="O14" s="1" t="str">
        <x:v>updated receipts.csv</x:v>
      </x:c>
      <x:c r="P14" s="10" t="n">
        <x:f>H14*I14</x:f>
        <x:v>3000</x:v>
      </x:c>
      <x:c r="Q14" s="10" t="n">
        <x:f>IF(K14&gt;0,J14/K14,"n.a.")</x:f>
        <x:v>0.03315</x:v>
      </x:c>
      <x:c r="R14" s="11" t="n">
        <x:f>IF(ISNUMBER(Q14),P14*Q14,"n.a.")</x:f>
        <x:v>99.45</x:v>
      </x:c>
    </x:row>
    <x:row r="15" ht="21" customHeight="1">
      <x:c r="A15" s="1" t="str">
        <x:v>C400</x:v>
      </x:c>
      <x:c r="B15" s="1" t="str">
        <x:v>30</x:v>
      </x:c>
      <x:c r="C15" s="1" t="str">
        <x:v>400HASC</x:v>
      </x:c>
      <x:c r="D15" s="1" t="str">
        <x:v>3003970</x:v>
      </x:c>
      <x:c r="E15" s="1" t="str">
        <x:v>0</x:v>
      </x:c>
      <x:c r="F15" s="1" t="str">
        <x:v>3</x:v>
      </x:c>
      <x:c r="G15" s="7" t="n">
        <x:v>46367</x:v>
      </x:c>
      <x:c r="H15" s="1" t="n">
        <x:v>50000</x:v>
      </x:c>
      <x:c r="I15" s="1" t="n">
        <x:v>1</x:v>
      </x:c>
      <x:c r="J15" s="1" t="n">
        <x:v>4.465</x:v>
      </x:c>
      <x:c r="K15" s="1" t="n">
        <x:v>100</x:v>
      </x:c>
      <x:c r="L15" s="1" t="str">
        <x:v>a</x:v>
      </x:c>
      <x:c r="M15" s="1" t="n">
        <x:v>50000</x:v>
      </x:c>
      <x:c r="N15" s="1" t="n">
        <x:v>0</x:v>
      </x:c>
      <x:c r="O15" s="1" t="str">
        <x:v>updated receipts.csv</x:v>
      </x:c>
      <x:c r="P15" s="10" t="n">
        <x:f>H15*I15</x:f>
        <x:v>50000</x:v>
      </x:c>
      <x:c r="Q15" s="10" t="n">
        <x:f>IF(K15&gt;0,J15/K15,"n.a.")</x:f>
        <x:v>0.044649999999999995</x:v>
      </x:c>
      <x:c r="R15" s="11" t="n">
        <x:f>IF(ISNUMBER(Q15),P15*Q15,"n.a.")</x:f>
        <x:v>2232.4999999999995</x:v>
      </x:c>
    </x:row>
    <x:row r="16" ht="21" customHeight="1">
      <x:c r="A16" s="1" t="str">
        <x:v>C400</x:v>
      </x:c>
      <x:c r="B16" s="1" t="str">
        <x:v>30</x:v>
      </x:c>
      <x:c r="C16" s="1" t="str">
        <x:v>400HBRC</x:v>
      </x:c>
      <x:c r="D16" s="1" t="str">
        <x:v>3003970</x:v>
      </x:c>
      <x:c r="E16" s="1" t="str">
        <x:v>0</x:v>
      </x:c>
      <x:c r="F16" s="1" t="str">
        <x:v>4</x:v>
      </x:c>
      <x:c r="G16" s="7" t="n">
        <x:v>46367</x:v>
      </x:c>
      <x:c r="H16" s="1" t="n">
        <x:v>2000</x:v>
      </x:c>
      <x:c r="I16" s="1" t="n">
        <x:v>1</x:v>
      </x:c>
      <x:c r="J16" s="1" t="n">
        <x:v>4.819</x:v>
      </x:c>
      <x:c r="K16" s="1" t="n">
        <x:v>100</x:v>
      </x:c>
      <x:c r="L16" s="1" t="str">
        <x:v>a</x:v>
      </x:c>
      <x:c r="M16" s="1" t="n">
        <x:v>2000</x:v>
      </x:c>
      <x:c r="N16" s="1" t="n">
        <x:v>0</x:v>
      </x:c>
      <x:c r="O16" s="1" t="str">
        <x:v>updated receipts.csv</x:v>
      </x:c>
      <x:c r="P16" s="10" t="n">
        <x:f>H16*I16</x:f>
        <x:v>2000</x:v>
      </x:c>
      <x:c r="Q16" s="10" t="n">
        <x:f>IF(K16&gt;0,J16/K16,"n.a.")</x:f>
        <x:v>0.04819</x:v>
      </x:c>
      <x:c r="R16" s="11" t="n">
        <x:f>IF(ISNUMBER(Q16),P16*Q16,"n.a.")</x:f>
        <x:v>96.38</x:v>
      </x:c>
    </x:row>
    <x:row r="17" ht="21" customHeight="1">
      <x:c r="A17" s="1" t="str">
        <x:v>C400</x:v>
      </x:c>
      <x:c r="B17" s="1" t="str">
        <x:v>30</x:v>
      </x:c>
      <x:c r="C17" s="1" t="str">
        <x:v>400HDSC</x:v>
      </x:c>
      <x:c r="D17" s="1" t="str">
        <x:v>3003970</x:v>
      </x:c>
      <x:c r="E17" s="1" t="str">
        <x:v>0</x:v>
      </x:c>
      <x:c r="F17" s="1" t="str">
        <x:v>6</x:v>
      </x:c>
      <x:c r="G17" s="7" t="n">
        <x:v>46367</x:v>
      </x:c>
      <x:c r="H17" s="1" t="n">
        <x:v>3000</x:v>
      </x:c>
      <x:c r="I17" s="1" t="n">
        <x:v>1</x:v>
      </x:c>
      <x:c r="J17" s="1" t="n">
        <x:v>8.952</x:v>
      </x:c>
      <x:c r="K17" s="1" t="n">
        <x:v>100</x:v>
      </x:c>
      <x:c r="L17" s="1" t="str">
        <x:v>a</x:v>
      </x:c>
      <x:c r="M17" s="1" t="n">
        <x:v>3000</x:v>
      </x:c>
      <x:c r="N17" s="1" t="n">
        <x:v>0</x:v>
      </x:c>
      <x:c r="O17" s="1" t="str">
        <x:v>updated receipts.csv</x:v>
      </x:c>
      <x:c r="P17" s="10" t="n">
        <x:f>H17*I17</x:f>
        <x:v>3000</x:v>
      </x:c>
      <x:c r="Q17" s="10" t="n">
        <x:f>IF(K17&gt;0,J17/K17,"n.a.")</x:f>
        <x:v>0.08952</x:v>
      </x:c>
      <x:c r="R17" s="11" t="n">
        <x:f>IF(ISNUMBER(Q17),P17*Q17,"n.a.")</x:f>
        <x:v>268.56</x:v>
      </x:c>
    </x:row>
    <x:row r="18" ht="21" customHeight="1">
      <x:c r="A18" s="1" t="str">
        <x:v>C400</x:v>
      </x:c>
      <x:c r="B18" s="1" t="str">
        <x:v>30</x:v>
      </x:c>
      <x:c r="C18" s="1" t="str">
        <x:v>400LASC</x:v>
      </x:c>
      <x:c r="D18" s="1" t="str">
        <x:v>3003970</x:v>
      </x:c>
      <x:c r="E18" s="1" t="str">
        <x:v>0</x:v>
      </x:c>
      <x:c r="F18" s="1" t="str">
        <x:v>1</x:v>
      </x:c>
      <x:c r="G18" s="7" t="n">
        <x:v>46367</x:v>
      </x:c>
      <x:c r="H18" s="1" t="n">
        <x:v>5000</x:v>
      </x:c>
      <x:c r="I18" s="1" t="n">
        <x:v>1</x:v>
      </x:c>
      <x:c r="J18" s="1" t="n">
        <x:v>2.233</x:v>
      </x:c>
      <x:c r="K18" s="1" t="n">
        <x:v>100</x:v>
      </x:c>
      <x:c r="L18" s="1" t="str">
        <x:v>a</x:v>
      </x:c>
      <x:c r="M18" s="1" t="n">
        <x:v>5000</x:v>
      </x:c>
      <x:c r="N18" s="1" t="n">
        <x:v>0</x:v>
      </x:c>
      <x:c r="O18" s="1" t="str">
        <x:v>updated receipts.csv</x:v>
      </x:c>
      <x:c r="P18" s="10" t="n">
        <x:f>H18*I18</x:f>
        <x:v>5000</x:v>
      </x:c>
      <x:c r="Q18" s="10" t="n">
        <x:f>IF(K18&gt;0,J18/K18,"n.a.")</x:f>
        <x:v>0.022330000000000003</x:v>
      </x:c>
      <x:c r="R18" s="11" t="n">
        <x:f>IF(ISNUMBER(Q18),P18*Q18,"n.a.")</x:f>
        <x:v>111.65000000000002</x:v>
      </x:c>
    </x:row>
    <x:row r="19" ht="21" customHeight="1">
      <x:c r="A19" s="1" t="str">
        <x:v>C400</x:v>
      </x:c>
      <x:c r="B19" s="1" t="str">
        <x:v>30</x:v>
      </x:c>
      <x:c r="C19" s="1" t="str">
        <x:v>400MASC</x:v>
      </x:c>
      <x:c r="D19" s="1" t="str">
        <x:v>3003970</x:v>
      </x:c>
      <x:c r="E19" s="1" t="str">
        <x:v>0</x:v>
      </x:c>
      <x:c r="F19" s="1" t="str">
        <x:v>2</x:v>
      </x:c>
      <x:c r="G19" s="7" t="n">
        <x:v>46367</x:v>
      </x:c>
      <x:c r="H19" s="1" t="n">
        <x:v>12000</x:v>
      </x:c>
      <x:c r="I19" s="1" t="n">
        <x:v>1</x:v>
      </x:c>
      <x:c r="J19" s="1" t="n">
        <x:v>3.127</x:v>
      </x:c>
      <x:c r="K19" s="1" t="n">
        <x:v>100</x:v>
      </x:c>
      <x:c r="L19" s="1" t="str">
        <x:v>a</x:v>
      </x:c>
      <x:c r="M19" s="1" t="n">
        <x:v>12000</x:v>
      </x:c>
      <x:c r="N19" s="1" t="n">
        <x:v>0</x:v>
      </x:c>
      <x:c r="O19" s="1" t="str">
        <x:v>updated receipts.csv</x:v>
      </x:c>
      <x:c r="P19" s="10" t="n">
        <x:f>H19*I19</x:f>
        <x:v>12000</x:v>
      </x:c>
      <x:c r="Q19" s="10" t="n">
        <x:f>IF(K19&gt;0,J19/K19,"n.a.")</x:f>
        <x:v>0.03127</x:v>
      </x:c>
      <x:c r="R19" s="11" t="n">
        <x:f>IF(ISNUMBER(Q19),P19*Q19,"n.a.")</x:f>
        <x:v>375.24</x:v>
      </x:c>
    </x:row>
    <x:row r="20" ht="21" customHeight="1">
      <x:c r="A20" s="1" t="str">
        <x:v>C400</x:v>
      </x:c>
      <x:c r="B20" s="1" t="str">
        <x:v>30</x:v>
      </x:c>
      <x:c r="C20" s="1" t="str">
        <x:v>400MDSC</x:v>
      </x:c>
      <x:c r="D20" s="1" t="str">
        <x:v>3003970</x:v>
      </x:c>
      <x:c r="E20" s="1" t="str">
        <x:v>0</x:v>
      </x:c>
      <x:c r="F20" s="1" t="str">
        <x:v>5</x:v>
      </x:c>
      <x:c r="G20" s="7" t="n">
        <x:v>46367</x:v>
      </x:c>
      <x:c r="H20" s="1" t="n">
        <x:v>4000</x:v>
      </x:c>
      <x:c r="I20" s="1" t="n">
        <x:v>1</x:v>
      </x:c>
      <x:c r="J20" s="1" t="n">
        <x:v>6.268</x:v>
      </x:c>
      <x:c r="K20" s="1" t="n">
        <x:v>100</x:v>
      </x:c>
      <x:c r="L20" s="1" t="str">
        <x:v>a</x:v>
      </x:c>
      <x:c r="M20" s="1" t="n">
        <x:v>4000</x:v>
      </x:c>
      <x:c r="N20" s="1" t="n">
        <x:v>0</x:v>
      </x:c>
      <x:c r="O20" s="1" t="str">
        <x:v>updated receipts.csv</x:v>
      </x:c>
      <x:c r="P20" s="10" t="n">
        <x:f>H20*I20</x:f>
        <x:v>4000</x:v>
      </x:c>
      <x:c r="Q20" s="10" t="n">
        <x:f>IF(K20&gt;0,J20/K20,"n.a.")</x:f>
        <x:v>0.06268</x:v>
      </x:c>
      <x:c r="R20" s="11" t="n">
        <x:f>IF(ISNUMBER(Q20),P20*Q20,"n.a.")</x:f>
        <x:v>250.72</x:v>
      </x:c>
    </x:row>
    <x:row r="21" ht="21" customHeight="1">
      <x:c r="A21" s="1" t="str">
        <x:v>C400</x:v>
      </x:c>
      <x:c r="B21" s="1" t="str">
        <x:v>60</x:v>
      </x:c>
      <x:c r="C21" s="1" t="str">
        <x:v>400HASC</x:v>
      </x:c>
      <x:c r="D21" s="1" t="str">
        <x:v>6102952</x:v>
      </x:c>
      <x:c r="E21" s="1" t="str">
        <x:v>0</x:v>
      </x:c>
      <x:c r="F21" s="1" t="str">
        <x:v>5</x:v>
      </x:c>
      <x:c r="G21" s="7" t="n">
        <x:v>46367</x:v>
      </x:c>
      <x:c r="H21" s="1" t="n">
        <x:v>160000</x:v>
      </x:c>
      <x:c r="I21" s="1" t="n">
        <x:v>1</x:v>
      </x:c>
      <x:c r="J21" s="1" t="n">
        <x:v>4.465</x:v>
      </x:c>
      <x:c r="K21" s="1" t="n">
        <x:v>100</x:v>
      </x:c>
      <x:c r="L21" s="1" t="str">
        <x:v>a</x:v>
      </x:c>
      <x:c r="M21" s="1" t="n">
        <x:v>160000</x:v>
      </x:c>
      <x:c r="N21" s="1" t="n">
        <x:v>0</x:v>
      </x:c>
      <x:c r="O21" s="1" t="str">
        <x:v>updated receipts.csv</x:v>
      </x:c>
      <x:c r="P21" s="10" t="n">
        <x:f>H21*I21</x:f>
        <x:v>160000</x:v>
      </x:c>
      <x:c r="Q21" s="10" t="n">
        <x:f>IF(K21&gt;0,J21/K21,"n.a.")</x:f>
        <x:v>0.044649999999999995</x:v>
      </x:c>
      <x:c r="R21" s="11" t="n">
        <x:f>IF(ISNUMBER(Q21),P21*Q21,"n.a.")</x:f>
        <x:v>7143.999999999999</x:v>
      </x:c>
    </x:row>
    <x:row r="22" ht="21" customHeight="1">
      <x:c r="A22" s="1" t="str">
        <x:v>C400</x:v>
      </x:c>
      <x:c r="B22" s="1" t="str">
        <x:v>60</x:v>
      </x:c>
      <x:c r="C22" s="1" t="str">
        <x:v>400HASCT</x:v>
      </x:c>
      <x:c r="D22" s="1" t="str">
        <x:v>6102952</x:v>
      </x:c>
      <x:c r="E22" s="1" t="str">
        <x:v>0</x:v>
      </x:c>
      <x:c r="F22" s="1" t="str">
        <x:v>7</x:v>
      </x:c>
      <x:c r="G22" s="7" t="n">
        <x:v>46367</x:v>
      </x:c>
      <x:c r="H22" s="1" t="n">
        <x:v>10000</x:v>
      </x:c>
      <x:c r="I22" s="1" t="n">
        <x:v>1</x:v>
      </x:c>
      <x:c r="J22" s="1" t="n">
        <x:v>5.895</x:v>
      </x:c>
      <x:c r="K22" s="1" t="n">
        <x:v>100</x:v>
      </x:c>
      <x:c r="L22" s="1" t="str">
        <x:v>a</x:v>
      </x:c>
      <x:c r="M22" s="1" t="n">
        <x:v>10000</x:v>
      </x:c>
      <x:c r="N22" s="1" t="n">
        <x:v>0</x:v>
      </x:c>
      <x:c r="O22" s="1" t="str">
        <x:v>updated receipts.csv</x:v>
      </x:c>
      <x:c r="P22" s="10" t="n">
        <x:f>H22*I22</x:f>
        <x:v>10000</x:v>
      </x:c>
      <x:c r="Q22" s="10" t="n">
        <x:f>IF(K22&gt;0,J22/K22,"n.a.")</x:f>
        <x:v>0.058949999999999995</x:v>
      </x:c>
      <x:c r="R22" s="11" t="n">
        <x:f>IF(ISNUMBER(Q22),P22*Q22,"n.a.")</x:f>
        <x:v>589.5</x:v>
      </x:c>
    </x:row>
    <x:row r="23" ht="21" customHeight="1">
      <x:c r="A23" s="1" t="str">
        <x:v>C400</x:v>
      </x:c>
      <x:c r="B23" s="1" t="str">
        <x:v>60</x:v>
      </x:c>
      <x:c r="C23" s="1" t="str">
        <x:v>400HBRC</x:v>
      </x:c>
      <x:c r="D23" s="1" t="str">
        <x:v>6102952</x:v>
      </x:c>
      <x:c r="E23" s="1" t="str">
        <x:v>0</x:v>
      </x:c>
      <x:c r="F23" s="1" t="str">
        <x:v>9</x:v>
      </x:c>
      <x:c r="G23" s="7" t="n">
        <x:v>46367</x:v>
      </x:c>
      <x:c r="H23" s="1" t="n">
        <x:v>11000</x:v>
      </x:c>
      <x:c r="I23" s="1" t="n">
        <x:v>1</x:v>
      </x:c>
      <x:c r="J23" s="1" t="n">
        <x:v>4.819</x:v>
      </x:c>
      <x:c r="K23" s="1" t="n">
        <x:v>100</x:v>
      </x:c>
      <x:c r="L23" s="1" t="str">
        <x:v>a</x:v>
      </x:c>
      <x:c r="M23" s="1" t="n">
        <x:v>11000</x:v>
      </x:c>
      <x:c r="N23" s="1" t="n">
        <x:v>0</x:v>
      </x:c>
      <x:c r="O23" s="1" t="str">
        <x:v>updated receipts.csv</x:v>
      </x:c>
      <x:c r="P23" s="10" t="n">
        <x:f>H23*I23</x:f>
        <x:v>11000</x:v>
      </x:c>
      <x:c r="Q23" s="10" t="n">
        <x:f>IF(K23&gt;0,J23/K23,"n.a.")</x:f>
        <x:v>0.04819</x:v>
      </x:c>
      <x:c r="R23" s="11" t="n">
        <x:f>IF(ISNUMBER(Q23),P23*Q23,"n.a.")</x:f>
        <x:v>530.0899999999999</x:v>
      </x:c>
    </x:row>
    <x:row r="24" ht="21" customHeight="1">
      <x:c r="A24" s="1" t="str">
        <x:v>C400</x:v>
      </x:c>
      <x:c r="B24" s="1" t="str">
        <x:v>60</x:v>
      </x:c>
      <x:c r="C24" s="1" t="str">
        <x:v>400HCSC</x:v>
      </x:c>
      <x:c r="D24" s="1" t="str">
        <x:v>6102952</x:v>
      </x:c>
      <x:c r="E24" s="1" t="str">
        <x:v>0</x:v>
      </x:c>
      <x:c r="F24" s="1" t="str">
        <x:v>10</x:v>
      </x:c>
      <x:c r="G24" s="7" t="n">
        <x:v>46367</x:v>
      </x:c>
      <x:c r="H24" s="1" t="n">
        <x:v>13000</x:v>
      </x:c>
      <x:c r="I24" s="1" t="n">
        <x:v>1</x:v>
      </x:c>
      <x:c r="J24" s="1" t="n">
        <x:v>5.676</x:v>
      </x:c>
      <x:c r="K24" s="1" t="n">
        <x:v>100</x:v>
      </x:c>
      <x:c r="L24" s="1" t="str">
        <x:v>a</x:v>
      </x:c>
      <x:c r="M24" s="1" t="n">
        <x:v>13000</x:v>
      </x:c>
      <x:c r="N24" s="1" t="n">
        <x:v>0</x:v>
      </x:c>
      <x:c r="O24" s="1" t="str">
        <x:v>updated receipts.csv</x:v>
      </x:c>
      <x:c r="P24" s="10" t="n">
        <x:f>H24*I24</x:f>
        <x:v>13000</x:v>
      </x:c>
      <x:c r="Q24" s="10" t="n">
        <x:f>IF(K24&gt;0,J24/K24,"n.a.")</x:f>
        <x:v>0.056760000000000005</x:v>
      </x:c>
      <x:c r="R24" s="11" t="n">
        <x:f>IF(ISNUMBER(Q24),P24*Q24,"n.a.")</x:f>
        <x:v>737.8800000000001</x:v>
      </x:c>
    </x:row>
    <x:row r="25" ht="21" customHeight="1">
      <x:c r="A25" s="1" t="str">
        <x:v>C400</x:v>
      </x:c>
      <x:c r="B25" s="1" t="str">
        <x:v>60</x:v>
      </x:c>
      <x:c r="C25" s="1" t="str">
        <x:v>400HDSC</x:v>
      </x:c>
      <x:c r="D25" s="1" t="str">
        <x:v>6102952</x:v>
      </x:c>
      <x:c r="E25" s="1" t="str">
        <x:v>0</x:v>
      </x:c>
      <x:c r="F25" s="1" t="str">
        <x:v>12</x:v>
      </x:c>
      <x:c r="G25" s="7" t="n">
        <x:v>46367</x:v>
      </x:c>
      <x:c r="H25" s="1" t="n">
        <x:v>4000</x:v>
      </x:c>
      <x:c r="I25" s="1" t="n">
        <x:v>1</x:v>
      </x:c>
      <x:c r="J25" s="1" t="n">
        <x:v>8.952</x:v>
      </x:c>
      <x:c r="K25" s="1" t="n">
        <x:v>100</x:v>
      </x:c>
      <x:c r="L25" s="1" t="str">
        <x:v>a</x:v>
      </x:c>
      <x:c r="M25" s="1" t="n">
        <x:v>4000</x:v>
      </x:c>
      <x:c r="N25" s="1" t="n">
        <x:v>0</x:v>
      </x:c>
      <x:c r="O25" s="1" t="str">
        <x:v>updated receipts.csv</x:v>
      </x:c>
      <x:c r="P25" s="10" t="n">
        <x:f>H25*I25</x:f>
        <x:v>4000</x:v>
      </x:c>
      <x:c r="Q25" s="10" t="n">
        <x:f>IF(K25&gt;0,J25/K25,"n.a.")</x:f>
        <x:v>0.08952</x:v>
      </x:c>
      <x:c r="R25" s="11" t="n">
        <x:f>IF(ISNUMBER(Q25),P25*Q25,"n.a.")</x:f>
        <x:v>358.08</x:v>
      </x:c>
    </x:row>
    <x:row r="26" ht="21" customHeight="1">
      <x:c r="A26" s="1" t="str">
        <x:v>C400</x:v>
      </x:c>
      <x:c r="B26" s="1" t="str">
        <x:v>60</x:v>
      </x:c>
      <x:c r="C26" s="1" t="str">
        <x:v>400HISC</x:v>
      </x:c>
      <x:c r="D26" s="1" t="str">
        <x:v>6102952</x:v>
      </x:c>
      <x:c r="E26" s="1" t="str">
        <x:v>0</x:v>
      </x:c>
      <x:c r="F26" s="1" t="str">
        <x:v>8</x:v>
      </x:c>
      <x:c r="G26" s="7" t="n">
        <x:v>46367</x:v>
      </x:c>
      <x:c r="H26" s="1" t="n">
        <x:v>25000</x:v>
      </x:c>
      <x:c r="I26" s="1" t="n">
        <x:v>1</x:v>
      </x:c>
      <x:c r="J26" s="1" t="n">
        <x:v>4.733</x:v>
      </x:c>
      <x:c r="K26" s="1" t="n">
        <x:v>100</x:v>
      </x:c>
      <x:c r="L26" s="1" t="str">
        <x:v>a</x:v>
      </x:c>
      <x:c r="M26" s="1" t="n">
        <x:v>25000</x:v>
      </x:c>
      <x:c r="N26" s="1" t="n">
        <x:v>0</x:v>
      </x:c>
      <x:c r="O26" s="1" t="str">
        <x:v>updated receipts.csv</x:v>
      </x:c>
      <x:c r="P26" s="10" t="n">
        <x:f>H26*I26</x:f>
        <x:v>25000</x:v>
      </x:c>
      <x:c r="Q26" s="10" t="n">
        <x:f>IF(K26&gt;0,J26/K26,"n.a.")</x:f>
        <x:v>0.04733</x:v>
      </x:c>
      <x:c r="R26" s="11" t="n">
        <x:f>IF(ISNUMBER(Q26),P26*Q26,"n.a.")</x:f>
        <x:v>1183.25</x:v>
      </x:c>
    </x:row>
    <x:row r="27" ht="21" customHeight="1">
      <x:c r="A27" s="1" t="str">
        <x:v>C400</x:v>
      </x:c>
      <x:c r="B27" s="1" t="str">
        <x:v>60</x:v>
      </x:c>
      <x:c r="C27" s="1" t="str">
        <x:v>400HMASC</x:v>
      </x:c>
      <x:c r="D27" s="1" t="str">
        <x:v>6102952</x:v>
      </x:c>
      <x:c r="E27" s="1" t="str">
        <x:v>0</x:v>
      </x:c>
      <x:c r="F27" s="1" t="str">
        <x:v>6</x:v>
      </x:c>
      <x:c r="G27" s="7" t="n">
        <x:v>46367</x:v>
      </x:c>
      <x:c r="H27" s="1" t="n">
        <x:v>1000</x:v>
      </x:c>
      <x:c r="I27" s="1" t="n">
        <x:v>1</x:v>
      </x:c>
      <x:c r="J27" s="1" t="n">
        <x:v>4.688</x:v>
      </x:c>
      <x:c r="K27" s="1" t="n">
        <x:v>100</x:v>
      </x:c>
      <x:c r="L27" s="1" t="str">
        <x:v>a</x:v>
      </x:c>
      <x:c r="M27" s="1" t="n">
        <x:v>1000</x:v>
      </x:c>
      <x:c r="N27" s="1" t="n">
        <x:v>0</x:v>
      </x:c>
      <x:c r="O27" s="1" t="str">
        <x:v>updated receipts.csv</x:v>
      </x:c>
      <x:c r="P27" s="10" t="n">
        <x:f>H27*I27</x:f>
        <x:v>1000</x:v>
      </x:c>
      <x:c r="Q27" s="10" t="n">
        <x:f>IF(K27&gt;0,J27/K27,"n.a.")</x:f>
        <x:v>0.04688</x:v>
      </x:c>
      <x:c r="R27" s="11" t="n">
        <x:f>IF(ISNUMBER(Q27),P27*Q27,"n.a.")</x:f>
        <x:v>46.879999999999995</x:v>
      </x:c>
    </x:row>
    <x:row r="28" ht="21" customHeight="1">
      <x:c r="A28" s="1" t="str">
        <x:v>C400</x:v>
      </x:c>
      <x:c r="B28" s="1" t="str">
        <x:v>60</x:v>
      </x:c>
      <x:c r="C28" s="1" t="str">
        <x:v>400LASC</x:v>
      </x:c>
      <x:c r="D28" s="1" t="str">
        <x:v>6102952</x:v>
      </x:c>
      <x:c r="E28" s="1" t="str">
        <x:v>0</x:v>
      </x:c>
      <x:c r="F28" s="1" t="str">
        <x:v>1</x:v>
      </x:c>
      <x:c r="G28" s="7" t="n">
        <x:v>46367</x:v>
      </x:c>
      <x:c r="H28" s="1" t="n">
        <x:v>71000</x:v>
      </x:c>
      <x:c r="I28" s="1" t="n">
        <x:v>1</x:v>
      </x:c>
      <x:c r="J28" s="1" t="n">
        <x:v>2.233</x:v>
      </x:c>
      <x:c r="K28" s="1" t="n">
        <x:v>100</x:v>
      </x:c>
      <x:c r="L28" s="1" t="str">
        <x:v>a</x:v>
      </x:c>
      <x:c r="M28" s="1" t="n">
        <x:v>71000</x:v>
      </x:c>
      <x:c r="N28" s="1" t="n">
        <x:v>0</x:v>
      </x:c>
      <x:c r="O28" s="1" t="str">
        <x:v>updated receipts.csv</x:v>
      </x:c>
      <x:c r="P28" s="10" t="n">
        <x:f>H28*I28</x:f>
        <x:v>71000</x:v>
      </x:c>
      <x:c r="Q28" s="10" t="n">
        <x:f>IF(K28&gt;0,J28/K28,"n.a.")</x:f>
        <x:v>0.022330000000000003</x:v>
      </x:c>
      <x:c r="R28" s="11" t="n">
        <x:f>IF(ISNUMBER(Q28),P28*Q28,"n.a.")</x:f>
        <x:v>1585.4300000000003</x:v>
      </x:c>
    </x:row>
    <x:row r="29" ht="21" customHeight="1">
      <x:c r="A29" s="1" t="str">
        <x:v>C400</x:v>
      </x:c>
      <x:c r="B29" s="1" t="str">
        <x:v>60</x:v>
      </x:c>
      <x:c r="C29" s="1" t="str">
        <x:v>400MASC</x:v>
      </x:c>
      <x:c r="D29" s="1" t="str">
        <x:v>6102952</x:v>
      </x:c>
      <x:c r="E29" s="1" t="str">
        <x:v>0</x:v>
      </x:c>
      <x:c r="F29" s="1" t="str">
        <x:v>2</x:v>
      </x:c>
      <x:c r="G29" s="7" t="n">
        <x:v>46367</x:v>
      </x:c>
      <x:c r="H29" s="1" t="n">
        <x:v>73000</x:v>
      </x:c>
      <x:c r="I29" s="1" t="n">
        <x:v>1</x:v>
      </x:c>
      <x:c r="J29" s="1" t="n">
        <x:v>3.127</x:v>
      </x:c>
      <x:c r="K29" s="1" t="n">
        <x:v>100</x:v>
      </x:c>
      <x:c r="L29" s="1" t="str">
        <x:v>a</x:v>
      </x:c>
      <x:c r="M29" s="1" t="n">
        <x:v>73000</x:v>
      </x:c>
      <x:c r="N29" s="1" t="n">
        <x:v>0</x:v>
      </x:c>
      <x:c r="O29" s="1" t="str">
        <x:v>updated receipts.csv</x:v>
      </x:c>
      <x:c r="P29" s="10" t="n">
        <x:f>H29*I29</x:f>
        <x:v>73000</x:v>
      </x:c>
      <x:c r="Q29" s="10" t="n">
        <x:f>IF(K29&gt;0,J29/K29,"n.a.")</x:f>
        <x:v>0.03127</x:v>
      </x:c>
      <x:c r="R29" s="11" t="n">
        <x:f>IF(ISNUMBER(Q29),P29*Q29,"n.a.")</x:f>
        <x:v>2282.71</x:v>
      </x:c>
    </x:row>
    <x:row r="30" ht="21" customHeight="1">
      <x:c r="A30" s="1" t="str">
        <x:v>C400</x:v>
      </x:c>
      <x:c r="B30" s="1" t="str">
        <x:v>60</x:v>
      </x:c>
      <x:c r="C30" s="1" t="str">
        <x:v>400MCSC</x:v>
      </x:c>
      <x:c r="D30" s="1" t="str">
        <x:v>6102952</x:v>
      </x:c>
      <x:c r="E30" s="1" t="str">
        <x:v>0</x:v>
      </x:c>
      <x:c r="F30" s="1" t="str">
        <x:v>4</x:v>
      </x:c>
      <x:c r="G30" s="7" t="n">
        <x:v>46367</x:v>
      </x:c>
      <x:c r="H30" s="1" t="n">
        <x:v>3000</x:v>
      </x:c>
      <x:c r="I30" s="1" t="n">
        <x:v>1</x:v>
      </x:c>
      <x:c r="J30" s="1" t="n">
        <x:v>3.973</x:v>
      </x:c>
      <x:c r="K30" s="1" t="n">
        <x:v>100</x:v>
      </x:c>
      <x:c r="L30" s="1" t="str">
        <x:v>a</x:v>
      </x:c>
      <x:c r="M30" s="1" t="n">
        <x:v>3000</x:v>
      </x:c>
      <x:c r="N30" s="1" t="n">
        <x:v>0</x:v>
      </x:c>
      <x:c r="O30" s="1" t="str">
        <x:v>updated receipts.csv</x:v>
      </x:c>
      <x:c r="P30" s="10" t="n">
        <x:f>H30*I30</x:f>
        <x:v>3000</x:v>
      </x:c>
      <x:c r="Q30" s="10" t="n">
        <x:f>IF(K30&gt;0,J30/K30,"n.a.")</x:f>
        <x:v>0.03973</x:v>
      </x:c>
      <x:c r="R30" s="11" t="n">
        <x:f>IF(ISNUMBER(Q30),P30*Q30,"n.a.")</x:f>
        <x:v>119.19</x:v>
      </x:c>
    </x:row>
    <x:row r="31" ht="21" customHeight="1">
      <x:c r="A31" s="1" t="str">
        <x:v>C400</x:v>
      </x:c>
      <x:c r="B31" s="1" t="str">
        <x:v>60</x:v>
      </x:c>
      <x:c r="C31" s="1" t="str">
        <x:v>400MDSC</x:v>
      </x:c>
      <x:c r="D31" s="1" t="str">
        <x:v>6102952</x:v>
      </x:c>
      <x:c r="E31" s="1" t="str">
        <x:v>0</x:v>
      </x:c>
      <x:c r="F31" s="1" t="str">
        <x:v>11</x:v>
      </x:c>
      <x:c r="G31" s="7" t="n">
        <x:v>46367</x:v>
      </x:c>
      <x:c r="H31" s="1" t="n">
        <x:v>7000</x:v>
      </x:c>
      <x:c r="I31" s="1" t="n">
        <x:v>1</x:v>
      </x:c>
      <x:c r="J31" s="1" t="n">
        <x:v>6.268</x:v>
      </x:c>
      <x:c r="K31" s="1" t="n">
        <x:v>100</x:v>
      </x:c>
      <x:c r="L31" s="1" t="str">
        <x:v>a</x:v>
      </x:c>
      <x:c r="M31" s="1" t="n">
        <x:v>7000</x:v>
      </x:c>
      <x:c r="N31" s="1" t="n">
        <x:v>0</x:v>
      </x:c>
      <x:c r="O31" s="1" t="str">
        <x:v>updated receipts.csv</x:v>
      </x:c>
      <x:c r="P31" s="10" t="n">
        <x:f>H31*I31</x:f>
        <x:v>7000</x:v>
      </x:c>
      <x:c r="Q31" s="10" t="n">
        <x:f>IF(K31&gt;0,J31/K31,"n.a.")</x:f>
        <x:v>0.06268</x:v>
      </x:c>
      <x:c r="R31" s="11" t="n">
        <x:f>IF(ISNUMBER(Q31),P31*Q31,"n.a.")</x:f>
        <x:v>438.76</x:v>
      </x:c>
    </x:row>
    <x:row r="32" ht="21" customHeight="1">
      <x:c r="A32" s="1" t="str">
        <x:v>C400</x:v>
      </x:c>
      <x:c r="B32" s="1" t="str">
        <x:v>60</x:v>
      </x:c>
      <x:c r="C32" s="1" t="str">
        <x:v>400MISC</x:v>
      </x:c>
      <x:c r="D32" s="1" t="str">
        <x:v>6102952</x:v>
      </x:c>
      <x:c r="E32" s="1" t="str">
        <x:v>0</x:v>
      </x:c>
      <x:c r="F32" s="1" t="str">
        <x:v>3</x:v>
      </x:c>
      <x:c r="G32" s="7" t="n">
        <x:v>46367</x:v>
      </x:c>
      <x:c r="H32" s="1" t="n">
        <x:v>5000</x:v>
      </x:c>
      <x:c r="I32" s="1" t="n">
        <x:v>1</x:v>
      </x:c>
      <x:c r="J32" s="1" t="n">
        <x:v>3.315</x:v>
      </x:c>
      <x:c r="K32" s="1" t="n">
        <x:v>100</x:v>
      </x:c>
      <x:c r="L32" s="1" t="str">
        <x:v>a</x:v>
      </x:c>
      <x:c r="M32" s="1" t="n">
        <x:v>5000</x:v>
      </x:c>
      <x:c r="N32" s="1" t="n">
        <x:v>0</x:v>
      </x:c>
      <x:c r="O32" s="1" t="str">
        <x:v>updated receipts.csv</x:v>
      </x:c>
      <x:c r="P32" s="10" t="n">
        <x:f>H32*I32</x:f>
        <x:v>5000</x:v>
      </x:c>
      <x:c r="Q32" s="10" t="n">
        <x:f>IF(K32&gt;0,J32/K32,"n.a.")</x:f>
        <x:v>0.03315</x:v>
      </x:c>
      <x:c r="R32" s="11" t="n">
        <x:f>IF(ISNUMBER(Q32),P32*Q32,"n.a.")</x:f>
        <x:v>165.75</x:v>
      </x:c>
    </x:row>
    <x:row r="33" ht="21" customHeight="1">
      <x:c r="A33" s="1" t="str">
        <x:v>C800</x:v>
      </x:c>
      <x:c r="B33" s="1" t="str">
        <x:v>10</x:v>
      </x:c>
      <x:c r="C33" s="1" t="str">
        <x:v>800BNAVASC</x:v>
      </x:c>
      <x:c r="D33" s="1" t="str">
        <x:v>1060416</x:v>
      </x:c>
      <x:c r="E33" s="1" t="str">
        <x:v>3</x:v>
      </x:c>
      <x:c r="F33" s="1" t="str">
        <x:v>2</x:v>
      </x:c>
      <x:c r="G33" s="7" t="n">
        <x:v>46325</x:v>
      </x:c>
      <x:c r="H33" s="1" t="n">
        <x:v>60000</x:v>
      </x:c>
      <x:c r="I33" s="1" t="n">
        <x:v>1</x:v>
      </x:c>
      <x:c r="J33" s="1" t="n">
        <x:v>14.43</x:v>
      </x:c>
      <x:c r="K33" s="1"/>
      <x:c r="L33" s="1" t="str">
        <x:v>a</x:v>
      </x:c>
      <x:c r="M33" s="1" t="n">
        <x:v>60000</x:v>
      </x:c>
      <x:c r="N33" s="1" t="n">
        <x:v>0</x:v>
      </x:c>
      <x:c r="O33" s="1" t="str">
        <x:v>updated receipts.csv</x:v>
      </x:c>
      <x:c r="P33" s="10" t="n">
        <x:f>H33*I33</x:f>
        <x:v>60000</x:v>
      </x:c>
      <x:c r="Q33" s="10" t="str">
        <x:f>IF(K33&gt;0,J33/K33,"n.a.")</x:f>
        <x:v>n.a.</x:v>
      </x:c>
      <x:c r="R33" s="11" t="str">
        <x:f>IF(ISNUMBER(Q33),P33*Q33,"n.a.")</x:f>
        <x:v>n.a.</x:v>
      </x:c>
    </x:row>
    <x:row r="34" ht="21" customHeight="1">
      <x:c r="A34" s="1" t="str">
        <x:v>C800</x:v>
      </x:c>
      <x:c r="B34" s="1" t="str">
        <x:v>10</x:v>
      </x:c>
      <x:c r="C34" s="1" t="str">
        <x:v>800BNAVASC</x:v>
      </x:c>
      <x:c r="D34" s="1" t="str">
        <x:v>1060702</x:v>
      </x:c>
      <x:c r="E34" s="1" t="str">
        <x:v>2</x:v>
      </x:c>
      <x:c r="F34" s="1" t="str">
        <x:v>2</x:v>
      </x:c>
      <x:c r="G34" s="7" t="n">
        <x:v>46325</x:v>
      </x:c>
      <x:c r="H34" s="1" t="n">
        <x:v>60000</x:v>
      </x:c>
      <x:c r="I34" s="1" t="n">
        <x:v>1</x:v>
      </x:c>
      <x:c r="J34" s="1" t="n">
        <x:v>14.43</x:v>
      </x:c>
      <x:c r="K34" s="1"/>
      <x:c r="L34" s="1" t="str">
        <x:v>a</x:v>
      </x:c>
      <x:c r="M34" s="1" t="n">
        <x:v>60000</x:v>
      </x:c>
      <x:c r="N34" s="1" t="n">
        <x:v>0</x:v>
      </x:c>
      <x:c r="O34" s="1" t="str">
        <x:v>updated receipts.csv</x:v>
      </x:c>
      <x:c r="P34" s="10" t="n">
        <x:f>H34*I34</x:f>
        <x:v>60000</x:v>
      </x:c>
      <x:c r="Q34" s="10" t="str">
        <x:f>IF(K34&gt;0,J34/K34,"n.a.")</x:f>
        <x:v>n.a.</x:v>
      </x:c>
      <x:c r="R34" s="11" t="str">
        <x:f>IF(ISNUMBER(Q34),P34*Q34,"n.a.")</x:f>
        <x:v>n.a.</x:v>
      </x:c>
    </x:row>
    <x:row r="35" ht="21" customHeight="1">
      <x:c r="A35" s="1" t="str">
        <x:v>C800</x:v>
      </x:c>
      <x:c r="B35" s="1" t="str">
        <x:v>10</x:v>
      </x:c>
      <x:c r="C35" s="1" t="str">
        <x:v>800NAVE</x:v>
      </x:c>
      <x:c r="D35" s="1" t="str">
        <x:v>1060702</x:v>
      </x:c>
      <x:c r="E35" s="1" t="str">
        <x:v>2</x:v>
      </x:c>
      <x:c r="F35" s="1" t="str">
        <x:v>4</x:v>
      </x:c>
      <x:c r="G35" s="7" t="n">
        <x:v>46325</x:v>
      </x:c>
      <x:c r="H35" s="1" t="n">
        <x:v>150</x:v>
      </x:c>
      <x:c r="I35" s="1" t="n">
        <x:v>1</x:v>
      </x:c>
      <x:c r="J35" s="1" t="n">
        <x:v>993.6</x:v>
      </x:c>
      <x:c r="K35" s="1"/>
      <x:c r="L35" s="1" t="str">
        <x:v>a</x:v>
      </x:c>
      <x:c r="M35" s="1" t="n">
        <x:v>150</x:v>
      </x:c>
      <x:c r="N35" s="1" t="n">
        <x:v>0</x:v>
      </x:c>
      <x:c r="O35" s="1" t="str">
        <x:v>updated receipts.csv</x:v>
      </x:c>
      <x:c r="P35" s="10" t="n">
        <x:f>H35*I35</x:f>
        <x:v>150</x:v>
      </x:c>
      <x:c r="Q35" s="10" t="str">
        <x:f>IF(K35&gt;0,J35/K35,"n.a.")</x:f>
        <x:v>n.a.</x:v>
      </x:c>
      <x:c r="R35" s="11" t="str">
        <x:f>IF(ISNUMBER(Q35),P35*Q35,"n.a.")</x:f>
        <x:v>n.a.</x:v>
      </x:c>
    </x:row>
    <x:row r="36" ht="21" customHeight="1">
      <x:c r="A36" s="1" t="str">
        <x:v>C800</x:v>
      </x:c>
      <x:c r="B36" s="1" t="str">
        <x:v>10</x:v>
      </x:c>
      <x:c r="C36" s="1" t="str">
        <x:v>800BBLKASC</x:v>
      </x:c>
      <x:c r="D36" s="1" t="str">
        <x:v>1061146</x:v>
      </x:c>
      <x:c r="E36" s="1" t="str">
        <x:v>0</x:v>
      </x:c>
      <x:c r="F36" s="1" t="str">
        <x:v>1</x:v>
      </x:c>
      <x:c r="G36" s="7" t="n">
        <x:v>46367</x:v>
      </x:c>
      <x:c r="H36" s="1" t="n">
        <x:v>360000</x:v>
      </x:c>
      <x:c r="I36" s="1" t="n">
        <x:v>1</x:v>
      </x:c>
      <x:c r="J36" s="1" t="n">
        <x:v>12.23</x:v>
      </x:c>
      <x:c r="K36" s="1"/>
      <x:c r="L36" s="1" t="str">
        <x:v>a</x:v>
      </x:c>
      <x:c r="M36" s="1" t="n">
        <x:v>360000</x:v>
      </x:c>
      <x:c r="N36" s="1" t="n">
        <x:v>0</x:v>
      </x:c>
      <x:c r="O36" s="1" t="str">
        <x:v>updated receipts.csv</x:v>
      </x:c>
      <x:c r="P36" s="10" t="n">
        <x:f>H36*I36</x:f>
        <x:v>360000</x:v>
      </x:c>
      <x:c r="Q36" s="10" t="str">
        <x:f>IF(K36&gt;0,J36/K36,"n.a.")</x:f>
        <x:v>n.a.</x:v>
      </x:c>
      <x:c r="R36" s="11" t="str">
        <x:f>IF(ISNUMBER(Q36),P36*Q36,"n.a.")</x:f>
        <x:v>n.a.</x:v>
      </x:c>
    </x:row>
    <x:row r="37" ht="21" customHeight="1">
      <x:c r="A37" s="1" t="str">
        <x:v>C800</x:v>
      </x:c>
      <x:c r="B37" s="1" t="str">
        <x:v>10</x:v>
      </x:c>
      <x:c r="C37" s="1" t="str">
        <x:v>800BBLKDSC</x:v>
      </x:c>
      <x:c r="D37" s="1" t="str">
        <x:v>1061146</x:v>
      </x:c>
      <x:c r="E37" s="1" t="str">
        <x:v>0</x:v>
      </x:c>
      <x:c r="F37" s="1" t="str">
        <x:v>4</x:v>
      </x:c>
      <x:c r="G37" s="7" t="n">
        <x:v>46367</x:v>
      </x:c>
      <x:c r="H37" s="1" t="n">
        <x:v>40000</x:v>
      </x:c>
      <x:c r="I37" s="1" t="n">
        <x:v>1</x:v>
      </x:c>
      <x:c r="J37" s="1" t="n">
        <x:v>33.16</x:v>
      </x:c>
      <x:c r="K37" s="1"/>
      <x:c r="L37" s="1" t="str">
        <x:v>a</x:v>
      </x:c>
      <x:c r="M37" s="1" t="n">
        <x:v>40000</x:v>
      </x:c>
      <x:c r="N37" s="1" t="n">
        <x:v>0</x:v>
      </x:c>
      <x:c r="O37" s="1" t="str">
        <x:v>updated receipts.csv</x:v>
      </x:c>
      <x:c r="P37" s="10" t="n">
        <x:f>H37*I37</x:f>
        <x:v>40000</x:v>
      </x:c>
      <x:c r="Q37" s="10" t="str">
        <x:f>IF(K37&gt;0,J37/K37,"n.a.")</x:f>
        <x:v>n.a.</x:v>
      </x:c>
      <x:c r="R37" s="11" t="str">
        <x:f>IF(ISNUMBER(Q37),P37*Q37,"n.a.")</x:f>
        <x:v>n.a.</x:v>
      </x:c>
    </x:row>
    <x:row r="38" ht="21" customHeight="1">
      <x:c r="A38" s="1" t="str">
        <x:v>C800</x:v>
      </x:c>
      <x:c r="B38" s="1" t="str">
        <x:v>10</x:v>
      </x:c>
      <x:c r="C38" s="1" t="str">
        <x:v>800BMARASC</x:v>
      </x:c>
      <x:c r="D38" s="1" t="str">
        <x:v>1061146</x:v>
      </x:c>
      <x:c r="E38" s="1" t="str">
        <x:v>0</x:v>
      </x:c>
      <x:c r="F38" s="1" t="str">
        <x:v>2</x:v>
      </x:c>
      <x:c r="G38" s="7" t="n">
        <x:v>46367</x:v>
      </x:c>
      <x:c r="H38" s="1" t="n">
        <x:v>20000</x:v>
      </x:c>
      <x:c r="I38" s="1" t="n">
        <x:v>1</x:v>
      </x:c>
      <x:c r="J38" s="1" t="n">
        <x:v>15.9</x:v>
      </x:c>
      <x:c r="K38" s="1"/>
      <x:c r="L38" s="1" t="str">
        <x:v>a</x:v>
      </x:c>
      <x:c r="M38" s="1" t="n">
        <x:v>20000</x:v>
      </x:c>
      <x:c r="N38" s="1" t="n">
        <x:v>0</x:v>
      </x:c>
      <x:c r="O38" s="1" t="str">
        <x:v>updated receipts.csv</x:v>
      </x:c>
      <x:c r="P38" s="10" t="n">
        <x:f>H38*I38</x:f>
        <x:v>20000</x:v>
      </x:c>
      <x:c r="Q38" s="10" t="str">
        <x:f>IF(K38&gt;0,J38/K38,"n.a.")</x:f>
        <x:v>n.a.</x:v>
      </x:c>
      <x:c r="R38" s="11" t="str">
        <x:f>IF(ISNUMBER(Q38),P38*Q38,"n.a.")</x:f>
        <x:v>n.a.</x:v>
      </x:c>
    </x:row>
    <x:row r="39" ht="21" customHeight="1">
      <x:c r="A39" s="1" t="str">
        <x:v>C800</x:v>
      </x:c>
      <x:c r="B39" s="1" t="str">
        <x:v>10</x:v>
      </x:c>
      <x:c r="C39" s="1" t="str">
        <x:v>800BNAVASC</x:v>
      </x:c>
      <x:c r="D39" s="1" t="str">
        <x:v>1061146</x:v>
      </x:c>
      <x:c r="E39" s="1" t="str">
        <x:v>0</x:v>
      </x:c>
      <x:c r="F39" s="1" t="str">
        <x:v>3</x:v>
      </x:c>
      <x:c r="G39" s="7" t="n">
        <x:v>46367</x:v>
      </x:c>
      <x:c r="H39" s="1" t="n">
        <x:v>50000</x:v>
      </x:c>
      <x:c r="I39" s="1" t="n">
        <x:v>1</x:v>
      </x:c>
      <x:c r="J39" s="1" t="n">
        <x:v>15.08</x:v>
      </x:c>
      <x:c r="K39" s="1"/>
      <x:c r="L39" s="1" t="str">
        <x:v>a</x:v>
      </x:c>
      <x:c r="M39" s="1" t="n">
        <x:v>50000</x:v>
      </x:c>
      <x:c r="N39" s="1" t="n">
        <x:v>0</x:v>
      </x:c>
      <x:c r="O39" s="1" t="str">
        <x:v>updated receipts.csv</x:v>
      </x:c>
      <x:c r="P39" s="10" t="n">
        <x:f>H39*I39</x:f>
        <x:v>50000</x:v>
      </x:c>
      <x:c r="Q39" s="10" t="str">
        <x:f>IF(K39&gt;0,J39/K39,"n.a.")</x:f>
        <x:v>n.a.</x:v>
      </x:c>
      <x:c r="R39" s="11" t="str">
        <x:f>IF(ISNUMBER(Q39),P39*Q39,"n.a.")</x:f>
        <x:v>n.a.</x:v>
      </x:c>
    </x:row>
    <x:row r="40" ht="21" customHeight="1">
      <x:c r="A40" s="1" t="str">
        <x:v>C800</x:v>
      </x:c>
      <x:c r="B40" s="1" t="str">
        <x:v>10</x:v>
      </x:c>
      <x:c r="C40" s="1" t="str">
        <x:v>800MARE</x:v>
      </x:c>
      <x:c r="D40" s="1" t="str">
        <x:v>1061146</x:v>
      </x:c>
      <x:c r="E40" s="1" t="str">
        <x:v>0</x:v>
      </x:c>
      <x:c r="F40" s="1" t="str">
        <x:v>5</x:v>
      </x:c>
      <x:c r="G40" s="7" t="n">
        <x:v>46367</x:v>
      </x:c>
      <x:c r="H40" s="1" t="n">
        <x:v>2500</x:v>
      </x:c>
      <x:c r="I40" s="1" t="n">
        <x:v>1</x:v>
      </x:c>
      <x:c r="J40" s="1" t="n">
        <x:v>1285.1</x:v>
      </x:c>
      <x:c r="K40" s="1"/>
      <x:c r="L40" s="1" t="str">
        <x:v>a</x:v>
      </x:c>
      <x:c r="M40" s="1" t="n">
        <x:v>2500</x:v>
      </x:c>
      <x:c r="N40" s="1" t="n">
        <x:v>0</x:v>
      </x:c>
      <x:c r="O40" s="1" t="str">
        <x:v>updated receipts.csv</x:v>
      </x:c>
      <x:c r="P40" s="10" t="n">
        <x:f>H40*I40</x:f>
        <x:v>2500</x:v>
      </x:c>
      <x:c r="Q40" s="10" t="str">
        <x:f>IF(K40&gt;0,J40/K40,"n.a.")</x:f>
        <x:v>n.a.</x:v>
      </x:c>
      <x:c r="R40" s="11" t="str">
        <x:f>IF(ISNUMBER(Q40),P40*Q40,"n.a.")</x:f>
        <x:v>n.a.</x:v>
      </x:c>
    </x:row>
    <x:row r="41" ht="21" customHeight="1">
      <x:c r="A41" s="1" t="str">
        <x:v>C800</x:v>
      </x:c>
      <x:c r="B41" s="1" t="str">
        <x:v>10</x:v>
      </x:c>
      <x:c r="C41" s="1" t="str">
        <x:v>800NAVE</x:v>
      </x:c>
      <x:c r="D41" s="1" t="str">
        <x:v>1061146</x:v>
      </x:c>
      <x:c r="E41" s="1" t="str">
        <x:v>0</x:v>
      </x:c>
      <x:c r="F41" s="1" t="str">
        <x:v>6</x:v>
      </x:c>
      <x:c r="G41" s="7" t="n">
        <x:v>46367</x:v>
      </x:c>
      <x:c r="H41" s="1" t="n">
        <x:v>10000</x:v>
      </x:c>
      <x:c r="I41" s="1" t="n">
        <x:v>1</x:v>
      </x:c>
      <x:c r="J41" s="1" t="n">
        <x:v>1038.3</x:v>
      </x:c>
      <x:c r="K41" s="1"/>
      <x:c r="L41" s="1" t="str">
        <x:v>a</x:v>
      </x:c>
      <x:c r="M41" s="1" t="n">
        <x:v>10000</x:v>
      </x:c>
      <x:c r="N41" s="1" t="n">
        <x:v>0</x:v>
      </x:c>
      <x:c r="O41" s="1" t="str">
        <x:v>updated receipts.csv</x:v>
      </x:c>
      <x:c r="P41" s="10" t="n">
        <x:f>H41*I41</x:f>
        <x:v>10000</x:v>
      </x:c>
      <x:c r="Q41" s="10" t="str">
        <x:f>IF(K41&gt;0,J41/K41,"n.a.")</x:f>
        <x:v>n.a.</x:v>
      </x:c>
      <x:c r="R41" s="11" t="str">
        <x:f>IF(ISNUMBER(Q41),P41*Q41,"n.a.")</x:f>
        <x:v>n.a.</x:v>
      </x:c>
    </x:row>
    <x:row r="42" ht="21" customHeight="1">
      <x:c r="A42" s="1" t="str">
        <x:v>C800</x:v>
      </x:c>
      <x:c r="B42" s="1" t="str">
        <x:v>10</x:v>
      </x:c>
      <x:c r="C42" s="1" t="str">
        <x:v>800BBLKASC</x:v>
      </x:c>
      <x:c r="D42" s="1" t="str">
        <x:v>1061432</x:v>
      </x:c>
      <x:c r="E42" s="1" t="str">
        <x:v>0</x:v>
      </x:c>
      <x:c r="F42" s="1" t="str">
        <x:v>1</x:v>
      </x:c>
      <x:c r="G42" s="7" t="n">
        <x:v>46409</x:v>
      </x:c>
      <x:c r="H42" s="1" t="n">
        <x:v>360000</x:v>
      </x:c>
      <x:c r="I42" s="1" t="n">
        <x:v>1</x:v>
      </x:c>
      <x:c r="J42" s="1" t="n">
        <x:v>12.23</x:v>
      </x:c>
      <x:c r="K42" s="1"/>
      <x:c r="L42" s="1" t="str">
        <x:v>a</x:v>
      </x:c>
      <x:c r="M42" s="1" t="n">
        <x:v>360000</x:v>
      </x:c>
      <x:c r="N42" s="1" t="n">
        <x:v>0</x:v>
      </x:c>
      <x:c r="O42" s="1" t="str">
        <x:v>updated receipts.csv</x:v>
      </x:c>
      <x:c r="P42" s="10" t="n">
        <x:f>H42*I42</x:f>
        <x:v>360000</x:v>
      </x:c>
      <x:c r="Q42" s="10" t="str">
        <x:f>IF(K42&gt;0,J42/K42,"n.a.")</x:f>
        <x:v>n.a.</x:v>
      </x:c>
      <x:c r="R42" s="11" t="str">
        <x:f>IF(ISNUMBER(Q42),P42*Q42,"n.a.")</x:f>
        <x:v>n.a.</x:v>
      </x:c>
    </x:row>
    <x:row r="43" ht="21" customHeight="1">
      <x:c r="A43" s="1" t="str">
        <x:v>C800</x:v>
      </x:c>
      <x:c r="B43" s="1" t="str">
        <x:v>10</x:v>
      </x:c>
      <x:c r="C43" s="1" t="str">
        <x:v>800BBLKDSC</x:v>
      </x:c>
      <x:c r="D43" s="1" t="str">
        <x:v>1061432</x:v>
      </x:c>
      <x:c r="E43" s="1" t="str">
        <x:v>0</x:v>
      </x:c>
      <x:c r="F43" s="1" t="str">
        <x:v>3</x:v>
      </x:c>
      <x:c r="G43" s="7" t="n">
        <x:v>46409</x:v>
      </x:c>
      <x:c r="H43" s="1" t="n">
        <x:v>40000</x:v>
      </x:c>
      <x:c r="I43" s="1" t="n">
        <x:v>1</x:v>
      </x:c>
      <x:c r="J43" s="1" t="n">
        <x:v>33.16</x:v>
      </x:c>
      <x:c r="K43" s="1"/>
      <x:c r="L43" s="1" t="str">
        <x:v>a</x:v>
      </x:c>
      <x:c r="M43" s="1" t="n">
        <x:v>40000</x:v>
      </x:c>
      <x:c r="N43" s="1" t="n">
        <x:v>0</x:v>
      </x:c>
      <x:c r="O43" s="1" t="str">
        <x:v>updated receipts.csv</x:v>
      </x:c>
      <x:c r="P43" s="10" t="n">
        <x:f>H43*I43</x:f>
        <x:v>40000</x:v>
      </x:c>
      <x:c r="Q43" s="10" t="str">
        <x:f>IF(K43&gt;0,J43/K43,"n.a.")</x:f>
        <x:v>n.a.</x:v>
      </x:c>
      <x:c r="R43" s="11" t="str">
        <x:f>IF(ISNUMBER(Q43),P43*Q43,"n.a.")</x:f>
        <x:v>n.a.</x:v>
      </x:c>
    </x:row>
    <x:row r="44" ht="21" customHeight="1">
      <x:c r="A44" s="1" t="str">
        <x:v>C800</x:v>
      </x:c>
      <x:c r="B44" s="1" t="str">
        <x:v>10</x:v>
      </x:c>
      <x:c r="C44" s="1" t="str">
        <x:v>800BNAVASC</x:v>
      </x:c>
      <x:c r="D44" s="1" t="str">
        <x:v>1061432</x:v>
      </x:c>
      <x:c r="E44" s="1" t="str">
        <x:v>0</x:v>
      </x:c>
      <x:c r="F44" s="1" t="str">
        <x:v>2</x:v>
      </x:c>
      <x:c r="G44" s="7" t="n">
        <x:v>46409</x:v>
      </x:c>
      <x:c r="H44" s="1" t="n">
        <x:v>80000</x:v>
      </x:c>
      <x:c r="I44" s="1" t="n">
        <x:v>1</x:v>
      </x:c>
      <x:c r="J44" s="1" t="n">
        <x:v>15.08</x:v>
      </x:c>
      <x:c r="K44" s="1"/>
      <x:c r="L44" s="1" t="str">
        <x:v>a</x:v>
      </x:c>
      <x:c r="M44" s="1" t="n">
        <x:v>80000</x:v>
      </x:c>
      <x:c r="N44" s="1" t="n">
        <x:v>0</x:v>
      </x:c>
      <x:c r="O44" s="1" t="str">
        <x:v>updated receipts.csv</x:v>
      </x:c>
      <x:c r="P44" s="10" t="n">
        <x:f>H44*I44</x:f>
        <x:v>80000</x:v>
      </x:c>
      <x:c r="Q44" s="10" t="str">
        <x:f>IF(K44&gt;0,J44/K44,"n.a.")</x:f>
        <x:v>n.a.</x:v>
      </x:c>
      <x:c r="R44" s="11" t="str">
        <x:f>IF(ISNUMBER(Q44),P44*Q44,"n.a.")</x:f>
        <x:v>n.a.</x:v>
      </x:c>
    </x:row>
    <x:row r="45" ht="21" customHeight="1">
      <x:c r="A45" s="1" t="str">
        <x:v>C800</x:v>
      </x:c>
      <x:c r="B45" s="1" t="str">
        <x:v>30</x:v>
      </x:c>
      <x:c r="C45" s="1" t="str">
        <x:v>800BNAVASC</x:v>
      </x:c>
      <x:c r="D45" s="1" t="str">
        <x:v>3003939</x:v>
      </x:c>
      <x:c r="E45" s="1" t="str">
        <x:v>1</x:v>
      </x:c>
      <x:c r="F45" s="1" t="str">
        <x:v>2</x:v>
      </x:c>
      <x:c r="G45" s="7" t="n">
        <x:v>46309</x:v>
      </x:c>
      <x:c r="H45" s="1" t="n">
        <x:v>20000</x:v>
      </x:c>
      <x:c r="I45" s="1" t="n">
        <x:v>1</x:v>
      </x:c>
      <x:c r="J45" s="1" t="n">
        <x:v>14.43</x:v>
      </x:c>
      <x:c r="K45" s="1"/>
      <x:c r="L45" s="1" t="str">
        <x:v>a</x:v>
      </x:c>
      <x:c r="M45" s="1" t="n">
        <x:v>20000</x:v>
      </x:c>
      <x:c r="N45" s="1" t="n">
        <x:v>0</x:v>
      </x:c>
      <x:c r="O45" s="1" t="str">
        <x:v>updated receipts.csv</x:v>
      </x:c>
      <x:c r="P45" s="10" t="n">
        <x:f>H45*I45</x:f>
        <x:v>20000</x:v>
      </x:c>
      <x:c r="Q45" s="10" t="str">
        <x:f>IF(K45&gt;0,J45/K45,"n.a.")</x:f>
        <x:v>n.a.</x:v>
      </x:c>
      <x:c r="R45" s="11" t="str">
        <x:f>IF(ISNUMBER(Q45),P45*Q45,"n.a.")</x:f>
        <x:v>n.a.</x:v>
      </x:c>
    </x:row>
    <x:row r="46" ht="21" customHeight="1">
      <x:c r="A46" s="1" t="str">
        <x:v>C800</x:v>
      </x:c>
      <x:c r="B46" s="1" t="str">
        <x:v>30</x:v>
      </x:c>
      <x:c r="C46" s="1" t="str">
        <x:v>800BBLKASC</x:v>
      </x:c>
      <x:c r="D46" s="1" t="str">
        <x:v>3003963</x:v>
      </x:c>
      <x:c r="E46" s="1" t="str">
        <x:v>0</x:v>
      </x:c>
      <x:c r="F46" s="1" t="str">
        <x:v>1</x:v>
      </x:c>
      <x:c r="G46" s="7" t="n">
        <x:v>46367</x:v>
      </x:c>
      <x:c r="H46" s="1" t="n">
        <x:v>240000</x:v>
      </x:c>
      <x:c r="I46" s="1" t="n">
        <x:v>1</x:v>
      </x:c>
      <x:c r="J46" s="1" t="n">
        <x:v>12.23</x:v>
      </x:c>
      <x:c r="K46" s="1"/>
      <x:c r="L46" s="1" t="str">
        <x:v>a</x:v>
      </x:c>
      <x:c r="M46" s="1" t="n">
        <x:v>240000</x:v>
      </x:c>
      <x:c r="N46" s="1" t="n">
        <x:v>0</x:v>
      </x:c>
      <x:c r="O46" s="1" t="str">
        <x:v>updated receipts.csv</x:v>
      </x:c>
      <x:c r="P46" s="10" t="n">
        <x:f>H46*I46</x:f>
        <x:v>240000</x:v>
      </x:c>
      <x:c r="Q46" s="10" t="str">
        <x:f>IF(K46&gt;0,J46/K46,"n.a.")</x:f>
        <x:v>n.a.</x:v>
      </x:c>
      <x:c r="R46" s="11" t="str">
        <x:f>IF(ISNUMBER(Q46),P46*Q46,"n.a.")</x:f>
        <x:v>n.a.</x:v>
      </x:c>
    </x:row>
    <x:row r="47" ht="21" customHeight="1">
      <x:c r="A47" s="1" t="str">
        <x:v>C800</x:v>
      </x:c>
      <x:c r="B47" s="1" t="str">
        <x:v>30</x:v>
      </x:c>
      <x:c r="C47" s="1" t="str">
        <x:v>800BBLKDSC</x:v>
      </x:c>
      <x:c r="D47" s="1" t="str">
        <x:v>3003963</x:v>
      </x:c>
      <x:c r="E47" s="1" t="str">
        <x:v>0</x:v>
      </x:c>
      <x:c r="F47" s="1" t="str">
        <x:v>3</x:v>
      </x:c>
      <x:c r="G47" s="7" t="n">
        <x:v>46367</x:v>
      </x:c>
      <x:c r="H47" s="1" t="n">
        <x:v>40000</x:v>
      </x:c>
      <x:c r="I47" s="1" t="n">
        <x:v>1</x:v>
      </x:c>
      <x:c r="J47" s="1" t="n">
        <x:v>33.16</x:v>
      </x:c>
      <x:c r="K47" s="1"/>
      <x:c r="L47" s="1" t="str">
        <x:v>a</x:v>
      </x:c>
      <x:c r="M47" s="1" t="n">
        <x:v>40000</x:v>
      </x:c>
      <x:c r="N47" s="1" t="n">
        <x:v>0</x:v>
      </x:c>
      <x:c r="O47" s="1" t="str">
        <x:v>updated receipts.csv</x:v>
      </x:c>
      <x:c r="P47" s="10" t="n">
        <x:f>H47*I47</x:f>
        <x:v>40000</x:v>
      </x:c>
      <x:c r="Q47" s="10" t="str">
        <x:f>IF(K47&gt;0,J47/K47,"n.a.")</x:f>
        <x:v>n.a.</x:v>
      </x:c>
      <x:c r="R47" s="11" t="str">
        <x:f>IF(ISNUMBER(Q47),P47*Q47,"n.a.")</x:f>
        <x:v>n.a.</x:v>
      </x:c>
    </x:row>
    <x:row r="48" ht="21" customHeight="1">
      <x:c r="A48" s="1" t="str">
        <x:v>C800</x:v>
      </x:c>
      <x:c r="B48" s="1" t="str">
        <x:v>30</x:v>
      </x:c>
      <x:c r="C48" s="1" t="str">
        <x:v>800BNAVASC</x:v>
      </x:c>
      <x:c r="D48" s="1" t="str">
        <x:v>3003963</x:v>
      </x:c>
      <x:c r="E48" s="1" t="str">
        <x:v>0</x:v>
      </x:c>
      <x:c r="F48" s="1" t="str">
        <x:v>2</x:v>
      </x:c>
      <x:c r="G48" s="7" t="n">
        <x:v>46367</x:v>
      </x:c>
      <x:c r="H48" s="1" t="n">
        <x:v>20000</x:v>
      </x:c>
      <x:c r="I48" s="1" t="n">
        <x:v>1</x:v>
      </x:c>
      <x:c r="J48" s="1" t="n">
        <x:v>15.08</x:v>
      </x:c>
      <x:c r="K48" s="1"/>
      <x:c r="L48" s="1" t="str">
        <x:v>a</x:v>
      </x:c>
      <x:c r="M48" s="1" t="n">
        <x:v>20000</x:v>
      </x:c>
      <x:c r="N48" s="1" t="n">
        <x:v>0</x:v>
      </x:c>
      <x:c r="O48" s="1" t="str">
        <x:v>updated receipts.csv</x:v>
      </x:c>
      <x:c r="P48" s="10" t="n">
        <x:f>H48*I48</x:f>
        <x:v>20000</x:v>
      </x:c>
      <x:c r="Q48" s="10" t="str">
        <x:f>IF(K48&gt;0,J48/K48,"n.a.")</x:f>
        <x:v>n.a.</x:v>
      </x:c>
      <x:c r="R48" s="11" t="str">
        <x:f>IF(ISNUMBER(Q48),P48*Q48,"n.a.")</x:f>
        <x:v>n.a.</x:v>
      </x:c>
    </x:row>
    <x:row r="49" ht="21" customHeight="1">
      <x:c r="A49" s="1" t="str">
        <x:v>C800</x:v>
      </x:c>
      <x:c r="B49" s="1" t="str">
        <x:v>30</x:v>
      </x:c>
      <x:c r="C49" s="1" t="str">
        <x:v>800BBLKASC</x:v>
      </x:c>
      <x:c r="D49" s="1" t="str">
        <x:v>3003976</x:v>
      </x:c>
      <x:c r="E49" s="1" t="str">
        <x:v>0</x:v>
      </x:c>
      <x:c r="F49" s="1" t="str">
        <x:v>1</x:v>
      </x:c>
      <x:c r="G49" s="7" t="n">
        <x:v>46409</x:v>
      </x:c>
      <x:c r="H49" s="1" t="n">
        <x:v>120000</x:v>
      </x:c>
      <x:c r="I49" s="1" t="n">
        <x:v>1</x:v>
      </x:c>
      <x:c r="J49" s="1" t="n">
        <x:v>12.23</x:v>
      </x:c>
      <x:c r="K49" s="1"/>
      <x:c r="L49" s="1" t="str">
        <x:v>a</x:v>
      </x:c>
      <x:c r="M49" s="1" t="n">
        <x:v>120000</x:v>
      </x:c>
      <x:c r="N49" s="1" t="n">
        <x:v>0</x:v>
      </x:c>
      <x:c r="O49" s="1" t="str">
        <x:v>updated receipts.csv</x:v>
      </x:c>
      <x:c r="P49" s="10" t="n">
        <x:f>H49*I49</x:f>
        <x:v>120000</x:v>
      </x:c>
      <x:c r="Q49" s="10" t="str">
        <x:f>IF(K49&gt;0,J49/K49,"n.a.")</x:f>
        <x:v>n.a.</x:v>
      </x:c>
      <x:c r="R49" s="11" t="str">
        <x:f>IF(ISNUMBER(Q49),P49*Q49,"n.a.")</x:f>
        <x:v>n.a.</x:v>
      </x:c>
    </x:row>
    <x:row r="50" ht="21" customHeight="1">
      <x:c r="A50" s="1" t="str">
        <x:v>C800</x:v>
      </x:c>
      <x:c r="B50" s="1" t="str">
        <x:v>30</x:v>
      </x:c>
      <x:c r="C50" s="1" t="str">
        <x:v>800BBLKDSC</x:v>
      </x:c>
      <x:c r="D50" s="1" t="str">
        <x:v>3003976</x:v>
      </x:c>
      <x:c r="E50" s="1" t="str">
        <x:v>0</x:v>
      </x:c>
      <x:c r="F50" s="1" t="str">
        <x:v>3</x:v>
      </x:c>
      <x:c r="G50" s="7" t="n">
        <x:v>46409</x:v>
      </x:c>
      <x:c r="H50" s="1" t="n">
        <x:v>40000</x:v>
      </x:c>
      <x:c r="I50" s="1" t="n">
        <x:v>1</x:v>
      </x:c>
      <x:c r="J50" s="1" t="n">
        <x:v>33.16</x:v>
      </x:c>
      <x:c r="K50" s="1"/>
      <x:c r="L50" s="1" t="str">
        <x:v>a</x:v>
      </x:c>
      <x:c r="M50" s="1" t="n">
        <x:v>40000</x:v>
      </x:c>
      <x:c r="N50" s="1" t="n">
        <x:v>0</x:v>
      </x:c>
      <x:c r="O50" s="1" t="str">
        <x:v>updated receipts.csv</x:v>
      </x:c>
      <x:c r="P50" s="10" t="n">
        <x:f>H50*I50</x:f>
        <x:v>40000</x:v>
      </x:c>
      <x:c r="Q50" s="10" t="str">
        <x:f>IF(K50&gt;0,J50/K50,"n.a.")</x:f>
        <x:v>n.a.</x:v>
      </x:c>
      <x:c r="R50" s="11" t="str">
        <x:f>IF(ISNUMBER(Q50),P50*Q50,"n.a.")</x:f>
        <x:v>n.a.</x:v>
      </x:c>
    </x:row>
    <x:row r="51" ht="21" customHeight="1">
      <x:c r="A51" s="1" t="str">
        <x:v>C800</x:v>
      </x:c>
      <x:c r="B51" s="1" t="str">
        <x:v>30</x:v>
      </x:c>
      <x:c r="C51" s="1" t="str">
        <x:v>800BNAVASC</x:v>
      </x:c>
      <x:c r="D51" s="1" t="str">
        <x:v>3003976</x:v>
      </x:c>
      <x:c r="E51" s="1" t="str">
        <x:v>0</x:v>
      </x:c>
      <x:c r="F51" s="1" t="str">
        <x:v>2</x:v>
      </x:c>
      <x:c r="G51" s="7" t="n">
        <x:v>46409</x:v>
      </x:c>
      <x:c r="H51" s="1" t="n">
        <x:v>40000</x:v>
      </x:c>
      <x:c r="I51" s="1" t="n">
        <x:v>1</x:v>
      </x:c>
      <x:c r="J51" s="1" t="n">
        <x:v>15.08</x:v>
      </x:c>
      <x:c r="K51" s="1"/>
      <x:c r="L51" s="1" t="str">
        <x:v>a</x:v>
      </x:c>
      <x:c r="M51" s="1" t="n">
        <x:v>40000</x:v>
      </x:c>
      <x:c r="N51" s="1" t="n">
        <x:v>0</x:v>
      </x:c>
      <x:c r="O51" s="1" t="str">
        <x:v>updated receipts.csv</x:v>
      </x:c>
      <x:c r="P51" s="10" t="n">
        <x:f>H51*I51</x:f>
        <x:v>40000</x:v>
      </x:c>
      <x:c r="Q51" s="10" t="str">
        <x:f>IF(K51&gt;0,J51/K51,"n.a.")</x:f>
        <x:v>n.a.</x:v>
      </x:c>
      <x:c r="R51" s="11" t="str">
        <x:f>IF(ISNUMBER(Q51),P51*Q51,"n.a.")</x:f>
        <x:v>n.a.</x:v>
      </x:c>
    </x:row>
    <x:row r="52" ht="21" customHeight="1">
      <x:c r="A52" s="1" t="str">
        <x:v>C800</x:v>
      </x:c>
      <x:c r="B52" s="1" t="str">
        <x:v>60</x:v>
      </x:c>
      <x:c r="C52" s="1" t="str">
        <x:v>800BBLKASC</x:v>
      </x:c>
      <x:c r="D52" s="1" t="str">
        <x:v>6102928</x:v>
      </x:c>
      <x:c r="E52" s="1" t="str">
        <x:v>3</x:v>
      </x:c>
      <x:c r="F52" s="1" t="str">
        <x:v>1</x:v>
      </x:c>
      <x:c r="G52" s="7" t="n">
        <x:v>46325</x:v>
      </x:c>
      <x:c r="H52" s="1" t="n">
        <x:v>320000</x:v>
      </x:c>
      <x:c r="I52" s="1" t="n">
        <x:v>1</x:v>
      </x:c>
      <x:c r="J52" s="1" t="n">
        <x:v>11.7</x:v>
      </x:c>
      <x:c r="K52" s="1"/>
      <x:c r="L52" s="1" t="str">
        <x:v>a</x:v>
      </x:c>
      <x:c r="M52" s="1" t="n">
        <x:v>320000</x:v>
      </x:c>
      <x:c r="N52" s="1" t="n">
        <x:v>0</x:v>
      </x:c>
      <x:c r="O52" s="1" t="str">
        <x:v>updated receipts.csv</x:v>
      </x:c>
      <x:c r="P52" s="10" t="n">
        <x:f>H52*I52</x:f>
        <x:v>320000</x:v>
      </x:c>
      <x:c r="Q52" s="10" t="str">
        <x:f>IF(K52&gt;0,J52/K52,"n.a.")</x:f>
        <x:v>n.a.</x:v>
      </x:c>
      <x:c r="R52" s="11" t="str">
        <x:f>IF(ISNUMBER(Q52),P52*Q52,"n.a.")</x:f>
        <x:v>n.a.</x:v>
      </x:c>
    </x:row>
    <x:row r="53" ht="21" customHeight="1">
      <x:c r="A53" s="1" t="str">
        <x:v>C800</x:v>
      </x:c>
      <x:c r="B53" s="1" t="str">
        <x:v>60</x:v>
      </x:c>
      <x:c r="C53" s="1" t="str">
        <x:v>800BBLKASC</x:v>
      </x:c>
      <x:c r="D53" s="1" t="str">
        <x:v>6102945</x:v>
      </x:c>
      <x:c r="E53" s="1" t="str">
        <x:v>0</x:v>
      </x:c>
      <x:c r="F53" s="1" t="str">
        <x:v>1</x:v>
      </x:c>
      <x:c r="G53" s="7" t="n">
        <x:v>46367</x:v>
      </x:c>
      <x:c r="H53" s="1" t="n">
        <x:v>400000</x:v>
      </x:c>
      <x:c r="I53" s="1" t="n">
        <x:v>1</x:v>
      </x:c>
      <x:c r="J53" s="1" t="n">
        <x:v>12.23</x:v>
      </x:c>
      <x:c r="K53" s="1"/>
      <x:c r="L53" s="1" t="str">
        <x:v>a</x:v>
      </x:c>
      <x:c r="M53" s="1" t="n">
        <x:v>400000</x:v>
      </x:c>
      <x:c r="N53" s="1" t="n">
        <x:v>0</x:v>
      </x:c>
      <x:c r="O53" s="1" t="str">
        <x:v>updated receipts.csv</x:v>
      </x:c>
      <x:c r="P53" s="10" t="n">
        <x:f>H53*I53</x:f>
        <x:v>400000</x:v>
      </x:c>
      <x:c r="Q53" s="10" t="str">
        <x:f>IF(K53&gt;0,J53/K53,"n.a.")</x:f>
        <x:v>n.a.</x:v>
      </x:c>
      <x:c r="R53" s="11" t="str">
        <x:f>IF(ISNUMBER(Q53),P53*Q53,"n.a.")</x:f>
        <x:v>n.a.</x:v>
      </x:c>
    </x:row>
    <x:row r="54" ht="21" customHeight="1">
      <x:c r="A54" s="1" t="str">
        <x:v>C800</x:v>
      </x:c>
      <x:c r="B54" s="1" t="str">
        <x:v>60</x:v>
      </x:c>
      <x:c r="C54" s="1" t="str">
        <x:v>800BBLKDSC</x:v>
      </x:c>
      <x:c r="D54" s="1" t="str">
        <x:v>6102945</x:v>
      </x:c>
      <x:c r="E54" s="1" t="str">
        <x:v>0</x:v>
      </x:c>
      <x:c r="F54" s="1" t="str">
        <x:v>4</x:v>
      </x:c>
      <x:c r="G54" s="7" t="n">
        <x:v>46367</x:v>
      </x:c>
      <x:c r="H54" s="1" t="n">
        <x:v>40000</x:v>
      </x:c>
      <x:c r="I54" s="1" t="n">
        <x:v>1</x:v>
      </x:c>
      <x:c r="J54" s="1" t="n">
        <x:v>33.16</x:v>
      </x:c>
      <x:c r="K54" s="1"/>
      <x:c r="L54" s="1" t="str">
        <x:v>a</x:v>
      </x:c>
      <x:c r="M54" s="1" t="n">
        <x:v>40000</x:v>
      </x:c>
      <x:c r="N54" s="1" t="n">
        <x:v>0</x:v>
      </x:c>
      <x:c r="O54" s="1" t="str">
        <x:v>updated receipts.csv</x:v>
      </x:c>
      <x:c r="P54" s="10" t="n">
        <x:f>H54*I54</x:f>
        <x:v>40000</x:v>
      </x:c>
      <x:c r="Q54" s="10" t="str">
        <x:f>IF(K54&gt;0,J54/K54,"n.a.")</x:f>
        <x:v>n.a.</x:v>
      </x:c>
      <x:c r="R54" s="11" t="str">
        <x:f>IF(ISNUMBER(Q54),P54*Q54,"n.a.")</x:f>
        <x:v>n.a.</x:v>
      </x:c>
    </x:row>
    <x:row r="55" ht="21" customHeight="1">
      <x:c r="A55" s="1" t="str">
        <x:v>C800</x:v>
      </x:c>
      <x:c r="B55" s="1" t="str">
        <x:v>60</x:v>
      </x:c>
      <x:c r="C55" s="1" t="str">
        <x:v>800BMARASC</x:v>
      </x:c>
      <x:c r="D55" s="1" t="str">
        <x:v>6102945</x:v>
      </x:c>
      <x:c r="E55" s="1" t="str">
        <x:v>0</x:v>
      </x:c>
      <x:c r="F55" s="1" t="str">
        <x:v>2</x:v>
      </x:c>
      <x:c r="G55" s="7" t="n">
        <x:v>46367</x:v>
      </x:c>
      <x:c r="H55" s="1" t="n">
        <x:v>60000</x:v>
      </x:c>
      <x:c r="I55" s="1" t="n">
        <x:v>1</x:v>
      </x:c>
      <x:c r="J55" s="1" t="n">
        <x:v>15.9</x:v>
      </x:c>
      <x:c r="K55" s="1"/>
      <x:c r="L55" s="1" t="str">
        <x:v>a</x:v>
      </x:c>
      <x:c r="M55" s="1" t="n">
        <x:v>60000</x:v>
      </x:c>
      <x:c r="N55" s="1" t="n">
        <x:v>0</x:v>
      </x:c>
      <x:c r="O55" s="1" t="str">
        <x:v>updated receipts.csv</x:v>
      </x:c>
      <x:c r="P55" s="10" t="n">
        <x:f>H55*I55</x:f>
        <x:v>60000</x:v>
      </x:c>
      <x:c r="Q55" s="10" t="str">
        <x:f>IF(K55&gt;0,J55/K55,"n.a.")</x:f>
        <x:v>n.a.</x:v>
      </x:c>
      <x:c r="R55" s="11" t="str">
        <x:f>IF(ISNUMBER(Q55),P55*Q55,"n.a.")</x:f>
        <x:v>n.a.</x:v>
      </x:c>
    </x:row>
    <x:row r="56" ht="21" customHeight="1">
      <x:c r="A56" s="1" t="str">
        <x:v>C800</x:v>
      </x:c>
      <x:c r="B56" s="1" t="str">
        <x:v>60</x:v>
      </x:c>
      <x:c r="C56" s="1" t="str">
        <x:v>800BNAVASC</x:v>
      </x:c>
      <x:c r="D56" s="1" t="str">
        <x:v>6102945</x:v>
      </x:c>
      <x:c r="E56" s="1" t="str">
        <x:v>0</x:v>
      </x:c>
      <x:c r="F56" s="1" t="str">
        <x:v>3</x:v>
      </x:c>
      <x:c r="G56" s="7" t="n">
        <x:v>46367</x:v>
      </x:c>
      <x:c r="H56" s="1" t="n">
        <x:v>50000</x:v>
      </x:c>
      <x:c r="I56" s="1" t="n">
        <x:v>1</x:v>
      </x:c>
      <x:c r="J56" s="1" t="n">
        <x:v>15.08</x:v>
      </x:c>
      <x:c r="K56" s="1"/>
      <x:c r="L56" s="1" t="str">
        <x:v>a</x:v>
      </x:c>
      <x:c r="M56" s="1" t="n">
        <x:v>50000</x:v>
      </x:c>
      <x:c r="N56" s="1" t="n">
        <x:v>0</x:v>
      </x:c>
      <x:c r="O56" s="1" t="str">
        <x:v>updated receipts.csv</x:v>
      </x:c>
      <x:c r="P56" s="10" t="n">
        <x:f>H56*I56</x:f>
        <x:v>50000</x:v>
      </x:c>
      <x:c r="Q56" s="10" t="str">
        <x:f>IF(K56&gt;0,J56/K56,"n.a.")</x:f>
        <x:v>n.a.</x:v>
      </x:c>
      <x:c r="R56" s="11" t="str">
        <x:f>IF(ISNUMBER(Q56),P56*Q56,"n.a.")</x:f>
        <x:v>n.a.</x:v>
      </x:c>
    </x:row>
    <x:row r="57" ht="21" customHeight="1">
      <x:c r="A57" s="1" t="str">
        <x:v>C800</x:v>
      </x:c>
      <x:c r="B57" s="1" t="str">
        <x:v>60</x:v>
      </x:c>
      <x:c r="C57" s="1" t="str">
        <x:v>800NAVE</x:v>
      </x:c>
      <x:c r="D57" s="1" t="str">
        <x:v>6102945</x:v>
      </x:c>
      <x:c r="E57" s="1" t="str">
        <x:v>0</x:v>
      </x:c>
      <x:c r="F57" s="1" t="str">
        <x:v>5</x:v>
      </x:c>
      <x:c r="G57" s="7" t="n">
        <x:v>46367</x:v>
      </x:c>
      <x:c r="H57" s="1" t="n">
        <x:v>10000</x:v>
      </x:c>
      <x:c r="I57" s="1" t="n">
        <x:v>1</x:v>
      </x:c>
      <x:c r="J57" s="1" t="n">
        <x:v>1038.3</x:v>
      </x:c>
      <x:c r="K57" s="1"/>
      <x:c r="L57" s="1" t="str">
        <x:v>a</x:v>
      </x:c>
      <x:c r="M57" s="1" t="n">
        <x:v>10000</x:v>
      </x:c>
      <x:c r="N57" s="1" t="n">
        <x:v>0</x:v>
      </x:c>
      <x:c r="O57" s="1" t="str">
        <x:v>updated receipts.csv</x:v>
      </x:c>
      <x:c r="P57" s="10" t="n">
        <x:f>H57*I57</x:f>
        <x:v>10000</x:v>
      </x:c>
      <x:c r="Q57" s="10" t="str">
        <x:f>IF(K57&gt;0,J57/K57,"n.a.")</x:f>
        <x:v>n.a.</x:v>
      </x:c>
      <x:c r="R57" s="11" t="str">
        <x:f>IF(ISNUMBER(Q57),P57*Q57,"n.a.")</x:f>
        <x:v>n.a.</x:v>
      </x:c>
    </x:row>
    <x:row r="58" ht="21" customHeight="1">
      <x:c r="A58" s="1" t="str">
        <x:v>C800</x:v>
      </x:c>
      <x:c r="B58" s="1" t="str">
        <x:v>60</x:v>
      </x:c>
      <x:c r="C58" s="1" t="str">
        <x:v>800BBLKASC</x:v>
      </x:c>
      <x:c r="D58" s="1" t="str">
        <x:v>6102957</x:v>
      </x:c>
      <x:c r="E58" s="1" t="str">
        <x:v>0</x:v>
      </x:c>
      <x:c r="F58" s="1" t="str">
        <x:v>1</x:v>
      </x:c>
      <x:c r="G58" s="7" t="n">
        <x:v>46409</x:v>
      </x:c>
      <x:c r="H58" s="1" t="n">
        <x:v>360000</x:v>
      </x:c>
      <x:c r="I58" s="1" t="n">
        <x:v>1</x:v>
      </x:c>
      <x:c r="J58" s="1" t="n">
        <x:v>12.23</x:v>
      </x:c>
      <x:c r="K58" s="1"/>
      <x:c r="L58" s="1" t="str">
        <x:v>a</x:v>
      </x:c>
      <x:c r="M58" s="1" t="n">
        <x:v>360000</x:v>
      </x:c>
      <x:c r="N58" s="1" t="n">
        <x:v>0</x:v>
      </x:c>
      <x:c r="O58" s="1" t="str">
        <x:v>updated receipts.csv</x:v>
      </x:c>
      <x:c r="P58" s="10" t="n">
        <x:f>H58*I58</x:f>
        <x:v>360000</x:v>
      </x:c>
      <x:c r="Q58" s="10" t="str">
        <x:f>IF(K58&gt;0,J58/K58,"n.a.")</x:f>
        <x:v>n.a.</x:v>
      </x:c>
      <x:c r="R58" s="11" t="str">
        <x:f>IF(ISNUMBER(Q58),P58*Q58,"n.a.")</x:f>
        <x:v>n.a.</x:v>
      </x:c>
    </x:row>
    <x:row r="59" ht="21" customHeight="1">
      <x:c r="A59" s="1" t="str">
        <x:v>C800</x:v>
      </x:c>
      <x:c r="B59" s="1" t="str">
        <x:v>60</x:v>
      </x:c>
      <x:c r="C59" s="1" t="str">
        <x:v>800BBLKDSC</x:v>
      </x:c>
      <x:c r="D59" s="1" t="str">
        <x:v>6102957</x:v>
      </x:c>
      <x:c r="E59" s="1" t="str">
        <x:v>0</x:v>
      </x:c>
      <x:c r="F59" s="1" t="str">
        <x:v>3</x:v>
      </x:c>
      <x:c r="G59" s="7" t="n">
        <x:v>46409</x:v>
      </x:c>
      <x:c r="H59" s="1" t="n">
        <x:v>40000</x:v>
      </x:c>
      <x:c r="I59" s="1" t="n">
        <x:v>1</x:v>
      </x:c>
      <x:c r="J59" s="1" t="n">
        <x:v>33.16</x:v>
      </x:c>
      <x:c r="K59" s="1"/>
      <x:c r="L59" s="1" t="str">
        <x:v>a</x:v>
      </x:c>
      <x:c r="M59" s="1" t="n">
        <x:v>40000</x:v>
      </x:c>
      <x:c r="N59" s="1" t="n">
        <x:v>0</x:v>
      </x:c>
      <x:c r="O59" s="1" t="str">
        <x:v>updated receipts.csv</x:v>
      </x:c>
      <x:c r="P59" s="10" t="n">
        <x:f>H59*I59</x:f>
        <x:v>40000</x:v>
      </x:c>
      <x:c r="Q59" s="10" t="str">
        <x:f>IF(K59&gt;0,J59/K59,"n.a.")</x:f>
        <x:v>n.a.</x:v>
      </x:c>
      <x:c r="R59" s="11" t="str">
        <x:f>IF(ISNUMBER(Q59),P59*Q59,"n.a.")</x:f>
        <x:v>n.a.</x:v>
      </x:c>
    </x:row>
    <x:row r="60" ht="21" customHeight="1">
      <x:c r="A60" s="1" t="str">
        <x:v>C800</x:v>
      </x:c>
      <x:c r="B60" s="1" t="str">
        <x:v>60</x:v>
      </x:c>
      <x:c r="C60" s="1" t="str">
        <x:v>800BNAVASC</x:v>
      </x:c>
      <x:c r="D60" s="1" t="str">
        <x:v>6102957</x:v>
      </x:c>
      <x:c r="E60" s="1" t="str">
        <x:v>0</x:v>
      </x:c>
      <x:c r="F60" s="1" t="str">
        <x:v>2</x:v>
      </x:c>
      <x:c r="G60" s="7" t="n">
        <x:v>46409</x:v>
      </x:c>
      <x:c r="H60" s="1" t="n">
        <x:v>160000</x:v>
      </x:c>
      <x:c r="I60" s="1" t="n">
        <x:v>1</x:v>
      </x:c>
      <x:c r="J60" s="1" t="n">
        <x:v>15.08</x:v>
      </x:c>
      <x:c r="K60" s="1"/>
      <x:c r="L60" s="1" t="str">
        <x:v>a</x:v>
      </x:c>
      <x:c r="M60" s="1" t="n">
        <x:v>160000</x:v>
      </x:c>
      <x:c r="N60" s="1" t="n">
        <x:v>0</x:v>
      </x:c>
      <x:c r="O60" s="1" t="str">
        <x:v>updated receipts.csv</x:v>
      </x:c>
      <x:c r="P60" s="10" t="n">
        <x:f>H60*I60</x:f>
        <x:v>160000</x:v>
      </x:c>
      <x:c r="Q60" s="10" t="str">
        <x:f>IF(K60&gt;0,J60/K60,"n.a.")</x:f>
        <x:v>n.a.</x:v>
      </x:c>
      <x:c r="R60" s="11" t="str">
        <x:f>IF(ISNUMBER(Q60),P60*Q60,"n.a.")</x:f>
        <x:v>n.a.</x:v>
      </x:c>
    </x:row>
    <x:row r="61" ht="21" customHeight="1">
      <x:c r="A61" s="1" t="str">
        <x:v>FILM</x:v>
      </x:c>
      <x:c r="B61" s="1" t="str">
        <x:v>10</x:v>
      </x:c>
      <x:c r="C61" s="1" t="str">
        <x:v>1250010C3</x:v>
      </x:c>
      <x:c r="D61" s="1" t="str">
        <x:v>1060936</x:v>
      </x:c>
      <x:c r="E61" s="1" t="str">
        <x:v>0</x:v>
      </x:c>
      <x:c r="F61" s="1" t="str">
        <x:v>11</x:v>
      </x:c>
      <x:c r="G61" s="7" t="n">
        <x:v>46311</x:v>
      </x:c>
      <x:c r="H61" s="1" t="n">
        <x:v>16</x:v>
      </x:c>
      <x:c r="I61" s="1" t="n">
        <x:v>1</x:v>
      </x:c>
      <x:c r="J61" s="1" t="n">
        <x:v>68.26</x:v>
      </x:c>
      <x:c r="K61" s="1" t="n">
        <x:v>1</x:v>
      </x:c>
      <x:c r="L61" s="1" t="str">
        <x:v>a</x:v>
      </x:c>
      <x:c r="M61" s="1" t="n">
        <x:v>16</x:v>
      </x:c>
      <x:c r="N61" s="1" t="n">
        <x:v>0</x:v>
      </x:c>
      <x:c r="O61" s="1" t="str">
        <x:v>updated receipts.csv</x:v>
      </x:c>
      <x:c r="P61" s="10" t="n">
        <x:f>H61*I61</x:f>
        <x:v>16</x:v>
      </x:c>
      <x:c r="Q61" s="10" t="n">
        <x:f>IF(K61&gt;0,J61/K61,"n.a.")</x:f>
        <x:v>68.26</x:v>
      </x:c>
      <x:c r="R61" s="11" t="n">
        <x:f>IF(ISNUMBER(Q61),P61*Q61,"n.a.")</x:f>
        <x:v>1092.16</x:v>
      </x:c>
    </x:row>
    <x:row r="62" ht="21" customHeight="1">
      <x:c r="A62" s="1" t="str">
        <x:v>FILM</x:v>
      </x:c>
      <x:c r="B62" s="1" t="str">
        <x:v>10</x:v>
      </x:c>
      <x:c r="C62" s="1" t="str">
        <x:v>125005C2</x:v>
      </x:c>
      <x:c r="D62" s="1" t="str">
        <x:v>1060936</x:v>
      </x:c>
      <x:c r="E62" s="1" t="str">
        <x:v>0</x:v>
      </x:c>
      <x:c r="F62" s="1" t="str">
        <x:v>10</x:v>
      </x:c>
      <x:c r="G62" s="7" t="n">
        <x:v>46311</x:v>
      </x:c>
      <x:c r="H62" s="1" t="n">
        <x:v>20</x:v>
      </x:c>
      <x:c r="I62" s="1" t="n">
        <x:v>1</x:v>
      </x:c>
      <x:c r="J62" s="1" t="n">
        <x:v>30.53</x:v>
      </x:c>
      <x:c r="K62" s="1" t="n">
        <x:v>1</x:v>
      </x:c>
      <x:c r="L62" s="1" t="str">
        <x:v>a</x:v>
      </x:c>
      <x:c r="M62" s="1" t="n">
        <x:v>20</x:v>
      </x:c>
      <x:c r="N62" s="1" t="n">
        <x:v>0</x:v>
      </x:c>
      <x:c r="O62" s="1" t="str">
        <x:v>updated receipts.csv</x:v>
      </x:c>
      <x:c r="P62" s="10" t="n">
        <x:f>H62*I62</x:f>
        <x:v>20</x:v>
      </x:c>
      <x:c r="Q62" s="10" t="n">
        <x:f>IF(K62&gt;0,J62/K62,"n.a.")</x:f>
        <x:v>30.53</x:v>
      </x:c>
      <x:c r="R62" s="11" t="n">
        <x:f>IF(ISNUMBER(Q62),P62*Q62,"n.a.")</x:f>
        <x:v>610.6</x:v>
      </x:c>
    </x:row>
    <x:row r="63" ht="21" customHeight="1">
      <x:c r="A63" s="1" t="str">
        <x:v>FILM</x:v>
      </x:c>
      <x:c r="B63" s="1" t="str">
        <x:v>10</x:v>
      </x:c>
      <x:c r="C63" s="1" t="str">
        <x:v>1850010C3</x:v>
      </x:c>
      <x:c r="D63" s="1" t="str">
        <x:v>1060936</x:v>
      </x:c>
      <x:c r="E63" s="1" t="str">
        <x:v>0</x:v>
      </x:c>
      <x:c r="F63" s="1" t="str">
        <x:v>9</x:v>
      </x:c>
      <x:c r="G63" s="7" t="n">
        <x:v>46311</x:v>
      </x:c>
      <x:c r="H63" s="1" t="n">
        <x:v>16</x:v>
      </x:c>
      <x:c r="I63" s="1" t="n">
        <x:v>1</x:v>
      </x:c>
      <x:c r="J63" s="1" t="n">
        <x:v>102.38</x:v>
      </x:c>
      <x:c r="K63" s="1" t="n">
        <x:v>1</x:v>
      </x:c>
      <x:c r="L63" s="1" t="str">
        <x:v>a</x:v>
      </x:c>
      <x:c r="M63" s="1" t="n">
        <x:v>16</x:v>
      </x:c>
      <x:c r="N63" s="1" t="n">
        <x:v>0</x:v>
      </x:c>
      <x:c r="O63" s="1" t="str">
        <x:v>updated receipts.csv</x:v>
      </x:c>
      <x:c r="P63" s="10" t="n">
        <x:f>H63*I63</x:f>
        <x:v>16</x:v>
      </x:c>
      <x:c r="Q63" s="10" t="n">
        <x:f>IF(K63&gt;0,J63/K63,"n.a.")</x:f>
        <x:v>102.38</x:v>
      </x:c>
      <x:c r="R63" s="11" t="n">
        <x:f>IF(ISNUMBER(Q63),P63*Q63,"n.a.")</x:f>
        <x:v>1638.08</x:v>
      </x:c>
    </x:row>
    <x:row r="64" ht="21" customHeight="1">
      <x:c r="A64" s="1" t="str">
        <x:v>FILM</x:v>
      </x:c>
      <x:c r="B64" s="1" t="str">
        <x:v>10</x:v>
      </x:c>
      <x:c r="C64" s="1" t="str">
        <x:v>252005C1</x:v>
      </x:c>
      <x:c r="D64" s="1" t="str">
        <x:v>1060936</x:v>
      </x:c>
      <x:c r="E64" s="1" t="str">
        <x:v>0</x:v>
      </x:c>
      <x:c r="F64" s="1" t="str">
        <x:v>6</x:v>
      </x:c>
      <x:c r="G64" s="7" t="n">
        <x:v>46311</x:v>
      </x:c>
      <x:c r="H64" s="1" t="n">
        <x:v>216</x:v>
      </x:c>
      <x:c r="I64" s="1" t="n">
        <x:v>1</x:v>
      </x:c>
      <x:c r="J64" s="1" t="n">
        <x:v>25.44</x:v>
      </x:c>
      <x:c r="K64" s="1" t="n">
        <x:v>1</x:v>
      </x:c>
      <x:c r="L64" s="1" t="str">
        <x:v>a</x:v>
      </x:c>
      <x:c r="M64" s="1" t="n">
        <x:v>216</x:v>
      </x:c>
      <x:c r="N64" s="1" t="n">
        <x:v>0</x:v>
      </x:c>
      <x:c r="O64" s="1" t="str">
        <x:v>updated receipts.csv</x:v>
      </x:c>
      <x:c r="P64" s="10" t="n">
        <x:f>H64*I64</x:f>
        <x:v>216</x:v>
      </x:c>
      <x:c r="Q64" s="10" t="n">
        <x:f>IF(K64&gt;0,J64/K64,"n.a.")</x:f>
        <x:v>25.44</x:v>
      </x:c>
      <x:c r="R64" s="11" t="n">
        <x:f>IF(ISNUMBER(Q64),P64*Q64,"n.a.")</x:f>
        <x:v>5495.04</x:v>
      </x:c>
    </x:row>
    <x:row r="65" ht="21" customHeight="1">
      <x:c r="A65" s="1" t="str">
        <x:v>FILM</x:v>
      </x:c>
      <x:c r="B65" s="1" t="str">
        <x:v>10</x:v>
      </x:c>
      <x:c r="C65" s="1" t="str">
        <x:v>252503C1</x:v>
      </x:c>
      <x:c r="D65" s="1" t="str">
        <x:v>1060936</x:v>
      </x:c>
      <x:c r="E65" s="1" t="str">
        <x:v>0</x:v>
      </x:c>
      <x:c r="F65" s="1" t="str">
        <x:v>4</x:v>
      </x:c>
      <x:c r="G65" s="7" t="n">
        <x:v>46311</x:v>
      </x:c>
      <x:c r="H65" s="1" t="n">
        <x:v>960</x:v>
      </x:c>
      <x:c r="I65" s="1" t="n">
        <x:v>1</x:v>
      </x:c>
      <x:c r="J65" s="1" t="n">
        <x:v>17.55</x:v>
      </x:c>
      <x:c r="K65" s="1" t="n">
        <x:v>1</x:v>
      </x:c>
      <x:c r="L65" s="1" t="str">
        <x:v>a</x:v>
      </x:c>
      <x:c r="M65" s="1" t="n">
        <x:v>960</x:v>
      </x:c>
      <x:c r="N65" s="1" t="n">
        <x:v>0</x:v>
      </x:c>
      <x:c r="O65" s="1" t="str">
        <x:v>updated receipts.csv</x:v>
      </x:c>
      <x:c r="P65" s="10" t="n">
        <x:f>H65*I65</x:f>
        <x:v>960</x:v>
      </x:c>
      <x:c r="Q65" s="10" t="n">
        <x:f>IF(K65&gt;0,J65/K65,"n.a.")</x:f>
        <x:v>17.55</x:v>
      </x:c>
      <x:c r="R65" s="11" t="n">
        <x:f>IF(ISNUMBER(Q65),P65*Q65,"n.a.")</x:f>
        <x:v>16848</x:v>
      </x:c>
    </x:row>
    <x:row r="66" ht="21" customHeight="1">
      <x:c r="A66" s="1" t="str">
        <x:v>FILM</x:v>
      </x:c>
      <x:c r="B66" s="1" t="str">
        <x:v>10</x:v>
      </x:c>
      <x:c r="C66" s="1" t="str">
        <x:v>2550015C1</x:v>
      </x:c>
      <x:c r="D66" s="1" t="str">
        <x:v>1060936</x:v>
      </x:c>
      <x:c r="E66" s="1" t="str">
        <x:v>0</x:v>
      </x:c>
      <x:c r="F66" s="1" t="str">
        <x:v>1</x:v>
      </x:c>
      <x:c r="G66" s="7" t="n">
        <x:v>46311</x:v>
      </x:c>
      <x:c r="H66" s="1" t="n">
        <x:v>1800</x:v>
      </x:c>
      <x:c r="I66" s="1" t="n">
        <x:v>1</x:v>
      </x:c>
      <x:c r="J66" s="1" t="n">
        <x:v>16.2</x:v>
      </x:c>
      <x:c r="K66" s="1" t="n">
        <x:v>1</x:v>
      </x:c>
      <x:c r="L66" s="1" t="str">
        <x:v>a</x:v>
      </x:c>
      <x:c r="M66" s="1" t="n">
        <x:v>1800</x:v>
      </x:c>
      <x:c r="N66" s="1" t="n">
        <x:v>0</x:v>
      </x:c>
      <x:c r="O66" s="1" t="str">
        <x:v>updated receipts.csv</x:v>
      </x:c>
      <x:c r="P66" s="10" t="n">
        <x:f>H66*I66</x:f>
        <x:v>1800</x:v>
      </x:c>
      <x:c r="Q66" s="10" t="n">
        <x:f>IF(K66&gt;0,J66/K66,"n.a.")</x:f>
        <x:v>16.2</x:v>
      </x:c>
      <x:c r="R66" s="11" t="n">
        <x:f>IF(ISNUMBER(Q66),P66*Q66,"n.a.")</x:f>
        <x:v>29160</x:v>
      </x:c>
    </x:row>
    <x:row r="67" ht="21" customHeight="1">
      <x:c r="A67" s="1" t="str">
        <x:v>FILM</x:v>
      </x:c>
      <x:c r="B67" s="1" t="str">
        <x:v>10</x:v>
      </x:c>
      <x:c r="C67" s="1" t="str">
        <x:v>2550017C1</x:v>
      </x:c>
      <x:c r="D67" s="1" t="str">
        <x:v>1060936</x:v>
      </x:c>
      <x:c r="E67" s="1" t="str">
        <x:v>0</x:v>
      </x:c>
      <x:c r="F67" s="1" t="str">
        <x:v>3</x:v>
      </x:c>
      <x:c r="G67" s="7" t="n">
        <x:v>46311</x:v>
      </x:c>
      <x:c r="H67" s="1" t="n">
        <x:v>90</x:v>
      </x:c>
      <x:c r="I67" s="1" t="n">
        <x:v>1</x:v>
      </x:c>
      <x:c r="J67" s="1" t="n">
        <x:v>23.35</x:v>
      </x:c>
      <x:c r="K67" s="1" t="n">
        <x:v>1</x:v>
      </x:c>
      <x:c r="L67" s="1" t="str">
        <x:v>a</x:v>
      </x:c>
      <x:c r="M67" s="1" t="n">
        <x:v>90</x:v>
      </x:c>
      <x:c r="N67" s="1" t="n">
        <x:v>0</x:v>
      </x:c>
      <x:c r="O67" s="1" t="str">
        <x:v>updated receipts.csv</x:v>
      </x:c>
      <x:c r="P67" s="10" t="n">
        <x:f>H67*I67</x:f>
        <x:v>90</x:v>
      </x:c>
      <x:c r="Q67" s="10" t="n">
        <x:f>IF(K67&gt;0,J67/K67,"n.a.")</x:f>
        <x:v>23.35</x:v>
      </x:c>
      <x:c r="R67" s="11" t="n">
        <x:f>IF(ISNUMBER(Q67),P67*Q67,"n.a.")</x:f>
        <x:v>2101.5</x:v>
      </x:c>
    </x:row>
    <x:row r="68" ht="21" customHeight="1">
      <x:c r="A68" s="1" t="str">
        <x:v>FILM</x:v>
      </x:c>
      <x:c r="B68" s="1" t="str">
        <x:v>10</x:v>
      </x:c>
      <x:c r="C68" s="1" t="str">
        <x:v>272005C1</x:v>
      </x:c>
      <x:c r="D68" s="1" t="str">
        <x:v>1060936</x:v>
      </x:c>
      <x:c r="E68" s="1" t="str">
        <x:v>0</x:v>
      </x:c>
      <x:c r="F68" s="1" t="str">
        <x:v>7</x:v>
      </x:c>
      <x:c r="G68" s="7" t="n">
        <x:v>46311</x:v>
      </x:c>
      <x:c r="H68" s="1" t="n">
        <x:v>144</x:v>
      </x:c>
      <x:c r="I68" s="1" t="n">
        <x:v>1</x:v>
      </x:c>
      <x:c r="J68" s="1" t="n">
        <x:v>27.48</x:v>
      </x:c>
      <x:c r="K68" s="1" t="n">
        <x:v>1</x:v>
      </x:c>
      <x:c r="L68" s="1" t="str">
        <x:v>a</x:v>
      </x:c>
      <x:c r="M68" s="1" t="n">
        <x:v>144</x:v>
      </x:c>
      <x:c r="N68" s="1" t="n">
        <x:v>0</x:v>
      </x:c>
      <x:c r="O68" s="1" t="str">
        <x:v>updated receipts.csv</x:v>
      </x:c>
      <x:c r="P68" s="10" t="n">
        <x:f>H68*I68</x:f>
        <x:v>144</x:v>
      </x:c>
      <x:c r="Q68" s="10" t="n">
        <x:f>IF(K68&gt;0,J68/K68,"n.a.")</x:f>
        <x:v>27.48</x:v>
      </x:c>
      <x:c r="R68" s="11" t="n">
        <x:f>IF(ISNUMBER(Q68),P68*Q68,"n.a.")</x:f>
        <x:v>3957.12</x:v>
      </x:c>
    </x:row>
    <x:row r="69" ht="21" customHeight="1">
      <x:c r="A69" s="1" t="str">
        <x:v>FILM</x:v>
      </x:c>
      <x:c r="B69" s="1" t="str">
        <x:v>10</x:v>
      </x:c>
      <x:c r="C69" s="1" t="str">
        <x:v>272503C1</x:v>
      </x:c>
      <x:c r="D69" s="1" t="str">
        <x:v>1060936</x:v>
      </x:c>
      <x:c r="E69" s="1" t="str">
        <x:v>0</x:v>
      </x:c>
      <x:c r="F69" s="1" t="str">
        <x:v>5</x:v>
      </x:c>
      <x:c r="G69" s="7" t="n">
        <x:v>46311</x:v>
      </x:c>
      <x:c r="H69" s="1" t="n">
        <x:v>240</x:v>
      </x:c>
      <x:c r="I69" s="1" t="n">
        <x:v>1</x:v>
      </x:c>
      <x:c r="J69" s="1" t="n">
        <x:v>18.95</x:v>
      </x:c>
      <x:c r="K69" s="1" t="n">
        <x:v>1</x:v>
      </x:c>
      <x:c r="L69" s="1" t="str">
        <x:v>a</x:v>
      </x:c>
      <x:c r="M69" s="1" t="n">
        <x:v>240</x:v>
      </x:c>
      <x:c r="N69" s="1" t="n">
        <x:v>0</x:v>
      </x:c>
      <x:c r="O69" s="1" t="str">
        <x:v>updated receipts.csv</x:v>
      </x:c>
      <x:c r="P69" s="10" t="n">
        <x:f>H69*I69</x:f>
        <x:v>240</x:v>
      </x:c>
      <x:c r="Q69" s="10" t="n">
        <x:f>IF(K69&gt;0,J69/K69,"n.a.")</x:f>
        <x:v>18.95</x:v>
      </x:c>
      <x:c r="R69" s="11" t="n">
        <x:f>IF(ISNUMBER(Q69),P69*Q69,"n.a.")</x:f>
        <x:v>4548</x:v>
      </x:c>
    </x:row>
    <x:row r="70" ht="21" customHeight="1">
      <x:c r="A70" s="1" t="str">
        <x:v>FILM</x:v>
      </x:c>
      <x:c r="B70" s="1" t="str">
        <x:v>10</x:v>
      </x:c>
      <x:c r="C70" s="1" t="str">
        <x:v>2750015C1</x:v>
      </x:c>
      <x:c r="D70" s="1" t="str">
        <x:v>1060936</x:v>
      </x:c>
      <x:c r="E70" s="1" t="str">
        <x:v>0</x:v>
      </x:c>
      <x:c r="F70" s="1" t="str">
        <x:v>2</x:v>
      </x:c>
      <x:c r="G70" s="7" t="n">
        <x:v>46311</x:v>
      </x:c>
      <x:c r="H70" s="1" t="n">
        <x:v>720</x:v>
      </x:c>
      <x:c r="I70" s="1" t="n">
        <x:v>1</x:v>
      </x:c>
      <x:c r="J70" s="1" t="n">
        <x:v>17.5</x:v>
      </x:c>
      <x:c r="K70" s="1" t="n">
        <x:v>1</x:v>
      </x:c>
      <x:c r="L70" s="1" t="str">
        <x:v>a</x:v>
      </x:c>
      <x:c r="M70" s="1" t="n">
        <x:v>720</x:v>
      </x:c>
      <x:c r="N70" s="1" t="n">
        <x:v>0</x:v>
      </x:c>
      <x:c r="O70" s="1" t="str">
        <x:v>updated receipts.csv</x:v>
      </x:c>
      <x:c r="P70" s="10" t="n">
        <x:f>H70*I70</x:f>
        <x:v>720</x:v>
      </x:c>
      <x:c r="Q70" s="10" t="n">
        <x:f>IF(K70&gt;0,J70/K70,"n.a.")</x:f>
        <x:v>17.5</x:v>
      </x:c>
      <x:c r="R70" s="11" t="n">
        <x:f>IF(ISNUMBER(Q70),P70*Q70,"n.a.")</x:f>
        <x:v>12600</x:v>
      </x:c>
    </x:row>
    <x:row r="71" ht="21" customHeight="1">
      <x:c r="A71" s="1" t="str">
        <x:v>FILM</x:v>
      </x:c>
      <x:c r="B71" s="1" t="str">
        <x:v>10</x:v>
      </x:c>
      <x:c r="C71" s="1" t="str">
        <x:v>382005C3</x:v>
      </x:c>
      <x:c r="D71" s="1" t="str">
        <x:v>1060936</x:v>
      </x:c>
      <x:c r="E71" s="1" t="str">
        <x:v>0</x:v>
      </x:c>
      <x:c r="F71" s="1" t="str">
        <x:v>8</x:v>
      </x:c>
      <x:c r="G71" s="7" t="n">
        <x:v>46311</x:v>
      </x:c>
      <x:c r="H71" s="1" t="n">
        <x:v>25</x:v>
      </x:c>
      <x:c r="I71" s="1" t="n">
        <x:v>1</x:v>
      </x:c>
      <x:c r="J71" s="1" t="n">
        <x:v>38.67</x:v>
      </x:c>
      <x:c r="K71" s="1" t="n">
        <x:v>1</x:v>
      </x:c>
      <x:c r="L71" s="1" t="str">
        <x:v>a</x:v>
      </x:c>
      <x:c r="M71" s="1" t="n">
        <x:v>25</x:v>
      </x:c>
      <x:c r="N71" s="1" t="n">
        <x:v>0</x:v>
      </x:c>
      <x:c r="O71" s="1" t="str">
        <x:v>updated receipts.csv</x:v>
      </x:c>
      <x:c r="P71" s="10" t="n">
        <x:f>H71*I71</x:f>
        <x:v>25</x:v>
      </x:c>
      <x:c r="Q71" s="10" t="n">
        <x:f>IF(K71&gt;0,J71/K71,"n.a.")</x:f>
        <x:v>38.67</x:v>
      </x:c>
      <x:c r="R71" s="11" t="n">
        <x:f>IF(ISNUMBER(Q71),P71*Q71,"n.a.")</x:f>
        <x:v>966.75</x:v>
      </x:c>
    </x:row>
    <x:row r="72" ht="21" customHeight="1">
      <x:c r="A72" s="1" t="str">
        <x:v>FILM</x:v>
      </x:c>
      <x:c r="B72" s="1" t="str">
        <x:v>10</x:v>
      </x:c>
      <x:c r="C72" s="1" t="str">
        <x:v>122005C1</x:v>
      </x:c>
      <x:c r="D72" s="1" t="str">
        <x:v>1061082</x:v>
      </x:c>
      <x:c r="E72" s="1" t="str">
        <x:v>0</x:v>
      </x:c>
      <x:c r="F72" s="1" t="str">
        <x:v>9</x:v>
      </x:c>
      <x:c r="G72" s="7" t="n">
        <x:v>46311</x:v>
      </x:c>
      <x:c r="H72" s="1" t="n">
        <x:v>72</x:v>
      </x:c>
      <x:c r="I72" s="1" t="n">
        <x:v>1</x:v>
      </x:c>
      <x:c r="J72" s="1" t="n">
        <x:v>12.21</x:v>
      </x:c>
      <x:c r="K72" s="1" t="n">
        <x:v>1</x:v>
      </x:c>
      <x:c r="L72" s="1" t="str">
        <x:v>a</x:v>
      </x:c>
      <x:c r="M72" s="1" t="n">
        <x:v>72</x:v>
      </x:c>
      <x:c r="N72" s="1" t="n">
        <x:v>0</x:v>
      </x:c>
      <x:c r="O72" s="1" t="str">
        <x:v>updated receipts.csv</x:v>
      </x:c>
      <x:c r="P72" s="10" t="n">
        <x:f>H72*I72</x:f>
        <x:v>72</x:v>
      </x:c>
      <x:c r="Q72" s="10" t="n">
        <x:f>IF(K72&gt;0,J72/K72,"n.a.")</x:f>
        <x:v>12.21</x:v>
      </x:c>
      <x:c r="R72" s="11" t="n">
        <x:f>IF(ISNUMBER(Q72),P72*Q72,"n.a.")</x:f>
        <x:v>879.1200000000001</x:v>
      </x:c>
    </x:row>
    <x:row r="73" ht="21" customHeight="1">
      <x:c r="A73" s="1" t="str">
        <x:v>FILM</x:v>
      </x:c>
      <x:c r="B73" s="1" t="str">
        <x:v>10</x:v>
      </x:c>
      <x:c r="C73" s="1" t="str">
        <x:v>182005C1</x:v>
      </x:c>
      <x:c r="D73" s="1" t="str">
        <x:v>1061082</x:v>
      </x:c>
      <x:c r="E73" s="1" t="str">
        <x:v>0</x:v>
      </x:c>
      <x:c r="F73" s="1" t="str">
        <x:v>10</x:v>
      </x:c>
      <x:c r="G73" s="7" t="n">
        <x:v>46311</x:v>
      </x:c>
      <x:c r="H73" s="1" t="n">
        <x:v>72</x:v>
      </x:c>
      <x:c r="I73" s="1" t="n">
        <x:v>1</x:v>
      </x:c>
      <x:c r="J73" s="1" t="n">
        <x:v>18.32</x:v>
      </x:c>
      <x:c r="K73" s="1" t="n">
        <x:v>1</x:v>
      </x:c>
      <x:c r="L73" s="1" t="str">
        <x:v>a</x:v>
      </x:c>
      <x:c r="M73" s="1" t="n">
        <x:v>72</x:v>
      </x:c>
      <x:c r="N73" s="1" t="n">
        <x:v>0</x:v>
      </x:c>
      <x:c r="O73" s="1" t="str">
        <x:v>updated receipts.csv</x:v>
      </x:c>
      <x:c r="P73" s="10" t="n">
        <x:f>H73*I73</x:f>
        <x:v>72</x:v>
      </x:c>
      <x:c r="Q73" s="10" t="n">
        <x:f>IF(K73&gt;0,J73/K73,"n.a.")</x:f>
        <x:v>18.32</x:v>
      </x:c>
      <x:c r="R73" s="11" t="n">
        <x:f>IF(ISNUMBER(Q73),P73*Q73,"n.a.")</x:f>
        <x:v>1319.04</x:v>
      </x:c>
    </x:row>
    <x:row r="74" ht="21" customHeight="1">
      <x:c r="A74" s="1" t="str">
        <x:v>FILM</x:v>
      </x:c>
      <x:c r="B74" s="1" t="str">
        <x:v>10</x:v>
      </x:c>
      <x:c r="C74" s="1" t="str">
        <x:v>2510010C1</x:v>
      </x:c>
      <x:c r="D74" s="1" t="str">
        <x:v>1061082</x:v>
      </x:c>
      <x:c r="E74" s="1" t="str">
        <x:v>0</x:v>
      </x:c>
      <x:c r="F74" s="1" t="str">
        <x:v>13</x:v>
      </x:c>
      <x:c r="G74" s="7" t="n">
        <x:v>46311</x:v>
      </x:c>
      <x:c r="H74" s="1" t="n">
        <x:v>72</x:v>
      </x:c>
      <x:c r="I74" s="1" t="n">
        <x:v>1</x:v>
      </x:c>
      <x:c r="J74" s="1" t="n">
        <x:v>28.44</x:v>
      </x:c>
      <x:c r="K74" s="1" t="n">
        <x:v>1</x:v>
      </x:c>
      <x:c r="L74" s="1" t="str">
        <x:v>a</x:v>
      </x:c>
      <x:c r="M74" s="1" t="n">
        <x:v>72</x:v>
      </x:c>
      <x:c r="N74" s="1" t="n">
        <x:v>0</x:v>
      </x:c>
      <x:c r="O74" s="1" t="str">
        <x:v>updated receipts.csv</x:v>
      </x:c>
      <x:c r="P74" s="10" t="n">
        <x:f>H74*I74</x:f>
        <x:v>72</x:v>
      </x:c>
      <x:c r="Q74" s="10" t="n">
        <x:f>IF(K74&gt;0,J74/K74,"n.a.")</x:f>
        <x:v>28.44</x:v>
      </x:c>
      <x:c r="R74" s="11" t="n">
        <x:f>IF(ISNUMBER(Q74),P74*Q74,"n.a.")</x:f>
        <x:v>2047.68</x:v>
      </x:c>
    </x:row>
    <x:row r="75" ht="21" customHeight="1">
      <x:c r="A75" s="1" t="str">
        <x:v>FILM</x:v>
      </x:c>
      <x:c r="B75" s="1" t="str">
        <x:v>10</x:v>
      </x:c>
      <x:c r="C75" s="1" t="str">
        <x:v>252005C1</x:v>
      </x:c>
      <x:c r="D75" s="1" t="str">
        <x:v>1061082</x:v>
      </x:c>
      <x:c r="E75" s="1" t="str">
        <x:v>0</x:v>
      </x:c>
      <x:c r="F75" s="1" t="str">
        <x:v>11</x:v>
      </x:c>
      <x:c r="G75" s="7" t="n">
        <x:v>46311</x:v>
      </x:c>
      <x:c r="H75" s="1" t="n">
        <x:v>72</x:v>
      </x:c>
      <x:c r="I75" s="1" t="n">
        <x:v>1</x:v>
      </x:c>
      <x:c r="J75" s="1" t="n">
        <x:v>25.44</x:v>
      </x:c>
      <x:c r="K75" s="1" t="n">
        <x:v>1</x:v>
      </x:c>
      <x:c r="L75" s="1" t="str">
        <x:v>a</x:v>
      </x:c>
      <x:c r="M75" s="1" t="n">
        <x:v>72</x:v>
      </x:c>
      <x:c r="N75" s="1" t="n">
        <x:v>0</x:v>
      </x:c>
      <x:c r="O75" s="1" t="str">
        <x:v>updated receipts.csv</x:v>
      </x:c>
      <x:c r="P75" s="10" t="n">
        <x:f>H75*I75</x:f>
        <x:v>72</x:v>
      </x:c>
      <x:c r="Q75" s="10" t="n">
        <x:f>IF(K75&gt;0,J75/K75,"n.a.")</x:f>
        <x:v>25.44</x:v>
      </x:c>
      <x:c r="R75" s="11" t="n">
        <x:f>IF(ISNUMBER(Q75),P75*Q75,"n.a.")</x:f>
        <x:v>1831.68</x:v>
      </x:c>
    </x:row>
    <x:row r="76" ht="21" customHeight="1">
      <x:c r="A76" s="1" t="str">
        <x:v>FILM</x:v>
      </x:c>
      <x:c r="B76" s="1" t="str">
        <x:v>10</x:v>
      </x:c>
      <x:c r="C76" s="1" t="str">
        <x:v>252503C1</x:v>
      </x:c>
      <x:c r="D76" s="1" t="str">
        <x:v>1061082</x:v>
      </x:c>
      <x:c r="E76" s="1" t="str">
        <x:v>0</x:v>
      </x:c>
      <x:c r="F76" s="1" t="str">
        <x:v>4</x:v>
      </x:c>
      <x:c r="G76" s="7" t="n">
        <x:v>46311</x:v>
      </x:c>
      <x:c r="H76" s="1" t="n">
        <x:v>600</x:v>
      </x:c>
      <x:c r="I76" s="1" t="n">
        <x:v>1</x:v>
      </x:c>
      <x:c r="J76" s="1" t="n">
        <x:v>17.55</x:v>
      </x:c>
      <x:c r="K76" s="1" t="n">
        <x:v>1</x:v>
      </x:c>
      <x:c r="L76" s="1" t="str">
        <x:v>a</x:v>
      </x:c>
      <x:c r="M76" s="1" t="n">
        <x:v>600</x:v>
      </x:c>
      <x:c r="N76" s="1" t="n">
        <x:v>0</x:v>
      </x:c>
      <x:c r="O76" s="1" t="str">
        <x:v>updated receipts.csv</x:v>
      </x:c>
      <x:c r="P76" s="10" t="n">
        <x:f>H76*I76</x:f>
        <x:v>600</x:v>
      </x:c>
      <x:c r="Q76" s="10" t="n">
        <x:f>IF(K76&gt;0,J76/K76,"n.a.")</x:f>
        <x:v>17.55</x:v>
      </x:c>
      <x:c r="R76" s="11" t="n">
        <x:f>IF(ISNUMBER(Q76),P76*Q76,"n.a.")</x:f>
        <x:v>10530</x:v>
      </x:c>
    </x:row>
    <x:row r="77" ht="21" customHeight="1">
      <x:c r="A77" s="1" t="str">
        <x:v>FILM</x:v>
      </x:c>
      <x:c r="B77" s="1" t="str">
        <x:v>10</x:v>
      </x:c>
      <x:c r="C77" s="1" t="str">
        <x:v>2550015C1</x:v>
      </x:c>
      <x:c r="D77" s="1" t="str">
        <x:v>1061082</x:v>
      </x:c>
      <x:c r="E77" s="1" t="str">
        <x:v>0</x:v>
      </x:c>
      <x:c r="F77" s="1" t="str">
        <x:v>1</x:v>
      </x:c>
      <x:c r="G77" s="7" t="n">
        <x:v>46311</x:v>
      </x:c>
      <x:c r="H77" s="1" t="n">
        <x:v>2520</x:v>
      </x:c>
      <x:c r="I77" s="1" t="n">
        <x:v>1</x:v>
      </x:c>
      <x:c r="J77" s="1" t="n">
        <x:v>16.2</x:v>
      </x:c>
      <x:c r="K77" s="1" t="n">
        <x:v>1</x:v>
      </x:c>
      <x:c r="L77" s="1" t="str">
        <x:v>a</x:v>
      </x:c>
      <x:c r="M77" s="1" t="n">
        <x:v>2520</x:v>
      </x:c>
      <x:c r="N77" s="1" t="n">
        <x:v>0</x:v>
      </x:c>
      <x:c r="O77" s="1" t="str">
        <x:v>updated receipts.csv</x:v>
      </x:c>
      <x:c r="P77" s="10" t="n">
        <x:f>H77*I77</x:f>
        <x:v>2520</x:v>
      </x:c>
      <x:c r="Q77" s="10" t="n">
        <x:f>IF(K77&gt;0,J77/K77,"n.a.")</x:f>
        <x:v>16.2</x:v>
      </x:c>
      <x:c r="R77" s="11" t="n">
        <x:f>IF(ISNUMBER(Q77),P77*Q77,"n.a.")</x:f>
        <x:v>40824</x:v>
      </x:c>
    </x:row>
    <x:row r="78" ht="21" customHeight="1">
      <x:c r="A78" s="1" t="str">
        <x:v>FILM</x:v>
      </x:c>
      <x:c r="B78" s="1" t="str">
        <x:v>10</x:v>
      </x:c>
      <x:c r="C78" s="1" t="str">
        <x:v>2550017C1</x:v>
      </x:c>
      <x:c r="D78" s="1" t="str">
        <x:v>1061082</x:v>
      </x:c>
      <x:c r="E78" s="1" t="str">
        <x:v>0</x:v>
      </x:c>
      <x:c r="F78" s="1" t="str">
        <x:v>3</x:v>
      </x:c>
      <x:c r="G78" s="7" t="n">
        <x:v>46311</x:v>
      </x:c>
      <x:c r="H78" s="1" t="n">
        <x:v>90</x:v>
      </x:c>
      <x:c r="I78" s="1" t="n">
        <x:v>1</x:v>
      </x:c>
      <x:c r="J78" s="1" t="n">
        <x:v>23.35</x:v>
      </x:c>
      <x:c r="K78" s="1" t="n">
        <x:v>1</x:v>
      </x:c>
      <x:c r="L78" s="1" t="str">
        <x:v>a</x:v>
      </x:c>
      <x:c r="M78" s="1" t="n">
        <x:v>90</x:v>
      </x:c>
      <x:c r="N78" s="1" t="n">
        <x:v>0</x:v>
      </x:c>
      <x:c r="O78" s="1" t="str">
        <x:v>updated receipts.csv</x:v>
      </x:c>
      <x:c r="P78" s="10" t="n">
        <x:f>H78*I78</x:f>
        <x:v>90</x:v>
      </x:c>
      <x:c r="Q78" s="10" t="n">
        <x:f>IF(K78&gt;0,J78/K78,"n.a.")</x:f>
        <x:v>23.35</x:v>
      </x:c>
      <x:c r="R78" s="11" t="n">
        <x:f>IF(ISNUMBER(Q78),P78*Q78,"n.a.")</x:f>
        <x:v>2101.5</x:v>
      </x:c>
    </x:row>
    <x:row r="79" ht="21" customHeight="1">
      <x:c r="A79" s="1" t="str">
        <x:v>FILM</x:v>
      </x:c>
      <x:c r="B79" s="1" t="str">
        <x:v>10</x:v>
      </x:c>
      <x:c r="C79" s="1" t="str">
        <x:v>272005C1</x:v>
      </x:c>
      <x:c r="D79" s="1" t="str">
        <x:v>1061082</x:v>
      </x:c>
      <x:c r="E79" s="1" t="str">
        <x:v>0</x:v>
      </x:c>
      <x:c r="F79" s="1" t="str">
        <x:v>12</x:v>
      </x:c>
      <x:c r="G79" s="7" t="n">
        <x:v>46311</x:v>
      </x:c>
      <x:c r="H79" s="1" t="n">
        <x:v>72</x:v>
      </x:c>
      <x:c r="I79" s="1" t="n">
        <x:v>1</x:v>
      </x:c>
      <x:c r="J79" s="1" t="n">
        <x:v>27.48</x:v>
      </x:c>
      <x:c r="K79" s="1" t="n">
        <x:v>1</x:v>
      </x:c>
      <x:c r="L79" s="1" t="str">
        <x:v>a</x:v>
      </x:c>
      <x:c r="M79" s="1" t="n">
        <x:v>72</x:v>
      </x:c>
      <x:c r="N79" s="1" t="n">
        <x:v>0</x:v>
      </x:c>
      <x:c r="O79" s="1" t="str">
        <x:v>updated receipts.csv</x:v>
      </x:c>
      <x:c r="P79" s="10" t="n">
        <x:f>H79*I79</x:f>
        <x:v>72</x:v>
      </x:c>
      <x:c r="Q79" s="10" t="n">
        <x:f>IF(K79&gt;0,J79/K79,"n.a.")</x:f>
        <x:v>27.48</x:v>
      </x:c>
      <x:c r="R79" s="11" t="n">
        <x:f>IF(ISNUMBER(Q79),P79*Q79,"n.a.")</x:f>
        <x:v>1978.56</x:v>
      </x:c>
    </x:row>
    <x:row r="80" ht="21" customHeight="1">
      <x:c r="A80" s="1" t="str">
        <x:v>FILM</x:v>
      </x:c>
      <x:c r="B80" s="1" t="str">
        <x:v>10</x:v>
      </x:c>
      <x:c r="C80" s="1" t="str">
        <x:v>272503C1</x:v>
      </x:c>
      <x:c r="D80" s="1" t="str">
        <x:v>1061082</x:v>
      </x:c>
      <x:c r="E80" s="1" t="str">
        <x:v>0</x:v>
      </x:c>
      <x:c r="F80" s="1" t="str">
        <x:v>5</x:v>
      </x:c>
      <x:c r="G80" s="7" t="n">
        <x:v>46311</x:v>
      </x:c>
      <x:c r="H80" s="1" t="n">
        <x:v>240</x:v>
      </x:c>
      <x:c r="I80" s="1" t="n">
        <x:v>1</x:v>
      </x:c>
      <x:c r="J80" s="1" t="n">
        <x:v>18.95</x:v>
      </x:c>
      <x:c r="K80" s="1" t="n">
        <x:v>1</x:v>
      </x:c>
      <x:c r="L80" s="1" t="str">
        <x:v>a</x:v>
      </x:c>
      <x:c r="M80" s="1" t="n">
        <x:v>240</x:v>
      </x:c>
      <x:c r="N80" s="1" t="n">
        <x:v>0</x:v>
      </x:c>
      <x:c r="O80" s="1" t="str">
        <x:v>updated receipts.csv</x:v>
      </x:c>
      <x:c r="P80" s="10" t="n">
        <x:f>H80*I80</x:f>
        <x:v>240</x:v>
      </x:c>
      <x:c r="Q80" s="10" t="n">
        <x:f>IF(K80&gt;0,J80/K80,"n.a.")</x:f>
        <x:v>18.95</x:v>
      </x:c>
      <x:c r="R80" s="11" t="n">
        <x:f>IF(ISNUMBER(Q80),P80*Q80,"n.a.")</x:f>
        <x:v>4548</x:v>
      </x:c>
    </x:row>
    <x:row r="81" ht="21" customHeight="1">
      <x:c r="A81" s="1" t="str">
        <x:v>FILM</x:v>
      </x:c>
      <x:c r="B81" s="1" t="str">
        <x:v>10</x:v>
      </x:c>
      <x:c r="C81" s="1" t="str">
        <x:v>2750015C1</x:v>
      </x:c>
      <x:c r="D81" s="1" t="str">
        <x:v>1061082</x:v>
      </x:c>
      <x:c r="E81" s="1" t="str">
        <x:v>0</x:v>
      </x:c>
      <x:c r="F81" s="1" t="str">
        <x:v>2</x:v>
      </x:c>
      <x:c r="G81" s="7" t="n">
        <x:v>46311</x:v>
      </x:c>
      <x:c r="H81" s="1" t="n">
        <x:v>480</x:v>
      </x:c>
      <x:c r="I81" s="1" t="n">
        <x:v>1</x:v>
      </x:c>
      <x:c r="J81" s="1" t="n">
        <x:v>17.5</x:v>
      </x:c>
      <x:c r="K81" s="1" t="n">
        <x:v>1</x:v>
      </x:c>
      <x:c r="L81" s="1" t="str">
        <x:v>a</x:v>
      </x:c>
      <x:c r="M81" s="1" t="n">
        <x:v>480</x:v>
      </x:c>
      <x:c r="N81" s="1" t="n">
        <x:v>0</x:v>
      </x:c>
      <x:c r="O81" s="1" t="str">
        <x:v>updated receipts.csv</x:v>
      </x:c>
      <x:c r="P81" s="10" t="n">
        <x:f>H81*I81</x:f>
        <x:v>480</x:v>
      </x:c>
      <x:c r="Q81" s="10" t="n">
        <x:f>IF(K81&gt;0,J81/K81,"n.a.")</x:f>
        <x:v>17.5</x:v>
      </x:c>
      <x:c r="R81" s="11" t="n">
        <x:f>IF(ISNUMBER(Q81),P81*Q81,"n.a.")</x:f>
        <x:v>8400</x:v>
      </x:c>
    </x:row>
    <x:row r="82" ht="21" customHeight="1">
      <x:c r="A82" s="1" t="str">
        <x:v>FILM</x:v>
      </x:c>
      <x:c r="B82" s="1" t="str">
        <x:v>10</x:v>
      </x:c>
      <x:c r="C82" s="1" t="str">
        <x:v>PR122503C1</x:v>
      </x:c>
      <x:c r="D82" s="1" t="str">
        <x:v>1061082</x:v>
      </x:c>
      <x:c r="E82" s="1" t="str">
        <x:v>0</x:v>
      </x:c>
      <x:c r="F82" s="1" t="str">
        <x:v>6</x:v>
      </x:c>
      <x:c r="G82" s="7" t="n">
        <x:v>46311</x:v>
      </x:c>
      <x:c r="H82" s="1" t="n">
        <x:v>120</x:v>
      </x:c>
      <x:c r="I82" s="1" t="n">
        <x:v>1</x:v>
      </x:c>
      <x:c r="J82" s="1" t="n">
        <x:v>9.72</x:v>
      </x:c>
      <x:c r="K82" s="1" t="n">
        <x:v>1</x:v>
      </x:c>
      <x:c r="L82" s="1" t="str">
        <x:v>a</x:v>
      </x:c>
      <x:c r="M82" s="1" t="n">
        <x:v>120</x:v>
      </x:c>
      <x:c r="N82" s="1" t="n">
        <x:v>0</x:v>
      </x:c>
      <x:c r="O82" s="1" t="str">
        <x:v>updated receipts.csv</x:v>
      </x:c>
      <x:c r="P82" s="10" t="n">
        <x:f>H82*I82</x:f>
        <x:v>120</x:v>
      </x:c>
      <x:c r="Q82" s="10" t="n">
        <x:f>IF(K82&gt;0,J82/K82,"n.a.")</x:f>
        <x:v>9.72</x:v>
      </x:c>
      <x:c r="R82" s="11" t="n">
        <x:f>IF(ISNUMBER(Q82),P82*Q82,"n.a.")</x:f>
        <x:v>1166.4</x:v>
      </x:c>
    </x:row>
    <x:row r="83" ht="21" customHeight="1">
      <x:c r="A83" s="1" t="str">
        <x:v>FILM</x:v>
      </x:c>
      <x:c r="B83" s="1" t="str">
        <x:v>10</x:v>
      </x:c>
      <x:c r="C83" s="1" t="str">
        <x:v>PR252503C1</x:v>
      </x:c>
      <x:c r="D83" s="1" t="str">
        <x:v>1061082</x:v>
      </x:c>
      <x:c r="E83" s="1" t="str">
        <x:v>0</x:v>
      </x:c>
      <x:c r="F83" s="1" t="str">
        <x:v>7</x:v>
      </x:c>
      <x:c r="G83" s="7" t="n">
        <x:v>46311</x:v>
      </x:c>
      <x:c r="H83" s="1" t="n">
        <x:v>120</x:v>
      </x:c>
      <x:c r="I83" s="1" t="n">
        <x:v>1</x:v>
      </x:c>
      <x:c r="J83" s="1" t="n">
        <x:v>20.25</x:v>
      </x:c>
      <x:c r="K83" s="1" t="n">
        <x:v>1</x:v>
      </x:c>
      <x:c r="L83" s="1" t="str">
        <x:v>a</x:v>
      </x:c>
      <x:c r="M83" s="1" t="n">
        <x:v>120</x:v>
      </x:c>
      <x:c r="N83" s="1" t="n">
        <x:v>0</x:v>
      </x:c>
      <x:c r="O83" s="1" t="str">
        <x:v>updated receipts.csv</x:v>
      </x:c>
      <x:c r="P83" s="10" t="n">
        <x:f>H83*I83</x:f>
        <x:v>120</x:v>
      </x:c>
      <x:c r="Q83" s="10" t="n">
        <x:f>IF(K83&gt;0,J83/K83,"n.a.")</x:f>
        <x:v>20.25</x:v>
      </x:c>
      <x:c r="R83" s="11" t="n">
        <x:f>IF(ISNUMBER(Q83),P83*Q83,"n.a.")</x:f>
        <x:v>2430</x:v>
      </x:c>
    </x:row>
    <x:row r="84" ht="21" customHeight="1">
      <x:c r="A84" s="1" t="str">
        <x:v>FILM</x:v>
      </x:c>
      <x:c r="B84" s="1" t="str">
        <x:v>10</x:v>
      </x:c>
      <x:c r="C84" s="1" t="str">
        <x:v>PR432503C3</x:v>
      </x:c>
      <x:c r="D84" s="1" t="str">
        <x:v>1061082</x:v>
      </x:c>
      <x:c r="E84" s="1" t="str">
        <x:v>0</x:v>
      </x:c>
      <x:c r="F84" s="1" t="str">
        <x:v>8</x:v>
      </x:c>
      <x:c r="G84" s="7" t="n">
        <x:v>46311</x:v>
      </x:c>
      <x:c r="H84" s="1" t="n">
        <x:v>36</x:v>
      </x:c>
      <x:c r="I84" s="1" t="n">
        <x:v>1</x:v>
      </x:c>
      <x:c r="J84" s="1" t="n">
        <x:v>34.83</x:v>
      </x:c>
      <x:c r="K84" s="1" t="n">
        <x:v>1</x:v>
      </x:c>
      <x:c r="L84" s="1" t="str">
        <x:v>a</x:v>
      </x:c>
      <x:c r="M84" s="1" t="n">
        <x:v>36</x:v>
      </x:c>
      <x:c r="N84" s="1" t="n">
        <x:v>0</x:v>
      </x:c>
      <x:c r="O84" s="1" t="str">
        <x:v>updated receipts.csv</x:v>
      </x:c>
      <x:c r="P84" s="10" t="n">
        <x:f>H84*I84</x:f>
        <x:v>36</x:v>
      </x:c>
      <x:c r="Q84" s="10" t="n">
        <x:f>IF(K84&gt;0,J84/K84,"n.a.")</x:f>
        <x:v>34.83</x:v>
      </x:c>
      <x:c r="R84" s="11" t="n">
        <x:f>IF(ISNUMBER(Q84),P84*Q84,"n.a.")</x:f>
        <x:v>1253.8799999999999</x:v>
      </x:c>
    </x:row>
    <x:row r="85" ht="21" customHeight="1">
      <x:c r="A85" s="1" t="str">
        <x:v>FILM</x:v>
      </x:c>
      <x:c r="B85" s="1" t="str">
        <x:v>10</x:v>
      </x:c>
      <x:c r="C85" s="1" t="str">
        <x:v>1250010C3</x:v>
      </x:c>
      <x:c r="D85" s="1" t="str">
        <x:v>1061283</x:v>
      </x:c>
      <x:c r="E85" s="1" t="str">
        <x:v>0</x:v>
      </x:c>
      <x:c r="F85" s="1" t="str">
        <x:v>13</x:v>
      </x:c>
      <x:c r="G85" s="7" t="n">
        <x:v>46360</x:v>
      </x:c>
      <x:c r="H85" s="1" t="n">
        <x:v>32</x:v>
      </x:c>
      <x:c r="I85" s="1" t="n">
        <x:v>1</x:v>
      </x:c>
      <x:c r="J85" s="1" t="n">
        <x:v>68.26</x:v>
      </x:c>
      <x:c r="K85" s="1" t="n">
        <x:v>1</x:v>
      </x:c>
      <x:c r="L85" s="1" t="str">
        <x:v>a</x:v>
      </x:c>
      <x:c r="M85" s="1" t="n">
        <x:v>32</x:v>
      </x:c>
      <x:c r="N85" s="1" t="n">
        <x:v>0</x:v>
      </x:c>
      <x:c r="O85" s="1" t="str">
        <x:v>updated receipts.csv</x:v>
      </x:c>
      <x:c r="P85" s="10" t="n">
        <x:f>H85*I85</x:f>
        <x:v>32</x:v>
      </x:c>
      <x:c r="Q85" s="10" t="n">
        <x:f>IF(K85&gt;0,J85/K85,"n.a.")</x:f>
        <x:v>68.26</x:v>
      </x:c>
      <x:c r="R85" s="11" t="n">
        <x:f>IF(ISNUMBER(Q85),P85*Q85,"n.a.")</x:f>
        <x:v>2184.32</x:v>
      </x:c>
    </x:row>
    <x:row r="86" ht="21" customHeight="1">
      <x:c r="A86" s="1" t="str">
        <x:v>FILM</x:v>
      </x:c>
      <x:c r="B86" s="1" t="str">
        <x:v>10</x:v>
      </x:c>
      <x:c r="C86" s="1" t="str">
        <x:v>182005C1</x:v>
      </x:c>
      <x:c r="D86" s="1" t="str">
        <x:v>1061283</x:v>
      </x:c>
      <x:c r="E86" s="1" t="str">
        <x:v>0</x:v>
      </x:c>
      <x:c r="F86" s="1" t="str">
        <x:v>8</x:v>
      </x:c>
      <x:c r="G86" s="7" t="n">
        <x:v>46360</x:v>
      </x:c>
      <x:c r="H86" s="1" t="n">
        <x:v>72</x:v>
      </x:c>
      <x:c r="I86" s="1" t="n">
        <x:v>1</x:v>
      </x:c>
      <x:c r="J86" s="1" t="n">
        <x:v>18.32</x:v>
      </x:c>
      <x:c r="K86" s="1" t="n">
        <x:v>1</x:v>
      </x:c>
      <x:c r="L86" s="1" t="str">
        <x:v>a</x:v>
      </x:c>
      <x:c r="M86" s="1" t="n">
        <x:v>72</x:v>
      </x:c>
      <x:c r="N86" s="1" t="n">
        <x:v>0</x:v>
      </x:c>
      <x:c r="O86" s="1" t="str">
        <x:v>updated receipts.csv</x:v>
      </x:c>
      <x:c r="P86" s="10" t="n">
        <x:f>H86*I86</x:f>
        <x:v>72</x:v>
      </x:c>
      <x:c r="Q86" s="10" t="n">
        <x:f>IF(K86&gt;0,J86/K86,"n.a.")</x:f>
        <x:v>18.32</x:v>
      </x:c>
      <x:c r="R86" s="11" t="n">
        <x:f>IF(ISNUMBER(Q86),P86*Q86,"n.a.")</x:f>
        <x:v>1319.04</x:v>
      </x:c>
    </x:row>
    <x:row r="87" ht="21" customHeight="1">
      <x:c r="A87" s="1" t="str">
        <x:v>FILM</x:v>
      </x:c>
      <x:c r="B87" s="1" t="str">
        <x:v>10</x:v>
      </x:c>
      <x:c r="C87" s="1" t="str">
        <x:v>182503C1</x:v>
      </x:c>
      <x:c r="D87" s="1" t="str">
        <x:v>1061283</x:v>
      </x:c>
      <x:c r="E87" s="1" t="str">
        <x:v>0</x:v>
      </x:c>
      <x:c r="F87" s="1" t="str">
        <x:v>4</x:v>
      </x:c>
      <x:c r="G87" s="7" t="n">
        <x:v>46360</x:v>
      </x:c>
      <x:c r="H87" s="1" t="n">
        <x:v>120</x:v>
      </x:c>
      <x:c r="I87" s="1" t="n">
        <x:v>1</x:v>
      </x:c>
      <x:c r="J87" s="1" t="n">
        <x:v>12.64</x:v>
      </x:c>
      <x:c r="K87" s="1" t="n">
        <x:v>1</x:v>
      </x:c>
      <x:c r="L87" s="1" t="str">
        <x:v>a</x:v>
      </x:c>
      <x:c r="M87" s="1" t="n">
        <x:v>120</x:v>
      </x:c>
      <x:c r="N87" s="1" t="n">
        <x:v>0</x:v>
      </x:c>
      <x:c r="O87" s="1" t="str">
        <x:v>updated receipts.csv</x:v>
      </x:c>
      <x:c r="P87" s="10" t="n">
        <x:f>H87*I87</x:f>
        <x:v>120</x:v>
      </x:c>
      <x:c r="Q87" s="10" t="n">
        <x:f>IF(K87&gt;0,J87/K87,"n.a.")</x:f>
        <x:v>12.64</x:v>
      </x:c>
      <x:c r="R87" s="11" t="n">
        <x:f>IF(ISNUMBER(Q87),P87*Q87,"n.a.")</x:f>
        <x:v>1516.8000000000002</x:v>
      </x:c>
    </x:row>
    <x:row r="88" ht="21" customHeight="1">
      <x:c r="A88" s="1" t="str">
        <x:v>FILM</x:v>
      </x:c>
      <x:c r="B88" s="1" t="str">
        <x:v>10</x:v>
      </x:c>
      <x:c r="C88" s="1" t="str">
        <x:v>185005C2</x:v>
      </x:c>
      <x:c r="D88" s="1" t="str">
        <x:v>1061283</x:v>
      </x:c>
      <x:c r="E88" s="1" t="str">
        <x:v>0</x:v>
      </x:c>
      <x:c r="F88" s="1" t="str">
        <x:v>10</x:v>
      </x:c>
      <x:c r="G88" s="7" t="n">
        <x:v>46360</x:v>
      </x:c>
      <x:c r="H88" s="1" t="n">
        <x:v>20</x:v>
      </x:c>
      <x:c r="I88" s="1" t="n">
        <x:v>1</x:v>
      </x:c>
      <x:c r="J88" s="1" t="n">
        <x:v>45.79</x:v>
      </x:c>
      <x:c r="K88" s="1" t="n">
        <x:v>1</x:v>
      </x:c>
      <x:c r="L88" s="1" t="str">
        <x:v>a</x:v>
      </x:c>
      <x:c r="M88" s="1" t="n">
        <x:v>20</x:v>
      </x:c>
      <x:c r="N88" s="1" t="n">
        <x:v>0</x:v>
      </x:c>
      <x:c r="O88" s="1" t="str">
        <x:v>updated receipts.csv</x:v>
      </x:c>
      <x:c r="P88" s="10" t="n">
        <x:f>H88*I88</x:f>
        <x:v>20</x:v>
      </x:c>
      <x:c r="Q88" s="10" t="n">
        <x:f>IF(K88&gt;0,J88/K88,"n.a.")</x:f>
        <x:v>45.79</x:v>
      </x:c>
      <x:c r="R88" s="11" t="n">
        <x:f>IF(ISNUMBER(Q88),P88*Q88,"n.a.")</x:f>
        <x:v>915.8</x:v>
      </x:c>
    </x:row>
    <x:row r="89" ht="21" customHeight="1">
      <x:c r="A89" s="1" t="str">
        <x:v>FILM</x:v>
      </x:c>
      <x:c r="B89" s="1" t="str">
        <x:v>10</x:v>
      </x:c>
      <x:c r="C89" s="1" t="str">
        <x:v>2510010C1</x:v>
      </x:c>
      <x:c r="D89" s="1" t="str">
        <x:v>1061283</x:v>
      </x:c>
      <x:c r="E89" s="1" t="str">
        <x:v>0</x:v>
      </x:c>
      <x:c r="F89" s="1" t="str">
        <x:v>12</x:v>
      </x:c>
      <x:c r="G89" s="7" t="n">
        <x:v>46360</x:v>
      </x:c>
      <x:c r="H89" s="1" t="n">
        <x:v>72</x:v>
      </x:c>
      <x:c r="I89" s="1" t="n">
        <x:v>1</x:v>
      </x:c>
      <x:c r="J89" s="1" t="n">
        <x:v>28.44</x:v>
      </x:c>
      <x:c r="K89" s="1" t="n">
        <x:v>1</x:v>
      </x:c>
      <x:c r="L89" s="1" t="str">
        <x:v>a</x:v>
      </x:c>
      <x:c r="M89" s="1" t="n">
        <x:v>72</x:v>
      </x:c>
      <x:c r="N89" s="1" t="n">
        <x:v>0</x:v>
      </x:c>
      <x:c r="O89" s="1" t="str">
        <x:v>updated receipts.csv</x:v>
      </x:c>
      <x:c r="P89" s="10" t="n">
        <x:f>H89*I89</x:f>
        <x:v>72</x:v>
      </x:c>
      <x:c r="Q89" s="10" t="n">
        <x:f>IF(K89&gt;0,J89/K89,"n.a.")</x:f>
        <x:v>28.44</x:v>
      </x:c>
      <x:c r="R89" s="11" t="n">
        <x:f>IF(ISNUMBER(Q89),P89*Q89,"n.a.")</x:f>
        <x:v>2047.68</x:v>
      </x:c>
    </x:row>
    <x:row r="90" ht="21" customHeight="1">
      <x:c r="A90" s="1" t="str">
        <x:v>FILM</x:v>
      </x:c>
      <x:c r="B90" s="1" t="str">
        <x:v>10</x:v>
      </x:c>
      <x:c r="C90" s="1" t="str">
        <x:v>252503C1</x:v>
      </x:c>
      <x:c r="D90" s="1" t="str">
        <x:v>1061283</x:v>
      </x:c>
      <x:c r="E90" s="1" t="str">
        <x:v>0</x:v>
      </x:c>
      <x:c r="F90" s="1" t="str">
        <x:v>5</x:v>
      </x:c>
      <x:c r="G90" s="7" t="n">
        <x:v>46360</x:v>
      </x:c>
      <x:c r="H90" s="1" t="n">
        <x:v>600</x:v>
      </x:c>
      <x:c r="I90" s="1" t="n">
        <x:v>1</x:v>
      </x:c>
      <x:c r="J90" s="1" t="n">
        <x:v>17.55</x:v>
      </x:c>
      <x:c r="K90" s="1" t="n">
        <x:v>1</x:v>
      </x:c>
      <x:c r="L90" s="1" t="str">
        <x:v>a</x:v>
      </x:c>
      <x:c r="M90" s="1" t="n">
        <x:v>600</x:v>
      </x:c>
      <x:c r="N90" s="1" t="n">
        <x:v>0</x:v>
      </x:c>
      <x:c r="O90" s="1" t="str">
        <x:v>updated receipts.csv</x:v>
      </x:c>
      <x:c r="P90" s="10" t="n">
        <x:f>H90*I90</x:f>
        <x:v>600</x:v>
      </x:c>
      <x:c r="Q90" s="10" t="n">
        <x:f>IF(K90&gt;0,J90/K90,"n.a.")</x:f>
        <x:v>17.55</x:v>
      </x:c>
      <x:c r="R90" s="11" t="n">
        <x:f>IF(ISNUMBER(Q90),P90*Q90,"n.a.")</x:f>
        <x:v>10530</x:v>
      </x:c>
    </x:row>
    <x:row r="91" ht="21" customHeight="1">
      <x:c r="A91" s="1" t="str">
        <x:v>FILM</x:v>
      </x:c>
      <x:c r="B91" s="1" t="str">
        <x:v>10</x:v>
      </x:c>
      <x:c r="C91" s="1" t="str">
        <x:v>2550015C1</x:v>
      </x:c>
      <x:c r="D91" s="1" t="str">
        <x:v>1061283</x:v>
      </x:c>
      <x:c r="E91" s="1" t="str">
        <x:v>0</x:v>
      </x:c>
      <x:c r="F91" s="1" t="str">
        <x:v>1</x:v>
      </x:c>
      <x:c r="G91" s="7" t="n">
        <x:v>46360</x:v>
      </x:c>
      <x:c r="H91" s="1" t="n">
        <x:v>1680</x:v>
      </x:c>
      <x:c r="I91" s="1" t="n">
        <x:v>1</x:v>
      </x:c>
      <x:c r="J91" s="1" t="n">
        <x:v>16.2</x:v>
      </x:c>
      <x:c r="K91" s="1" t="n">
        <x:v>1</x:v>
      </x:c>
      <x:c r="L91" s="1" t="str">
        <x:v>a</x:v>
      </x:c>
      <x:c r="M91" s="1" t="n">
        <x:v>1680</x:v>
      </x:c>
      <x:c r="N91" s="1" t="n">
        <x:v>0</x:v>
      </x:c>
      <x:c r="O91" s="1" t="str">
        <x:v>updated receipts.csv</x:v>
      </x:c>
      <x:c r="P91" s="10" t="n">
        <x:f>H91*I91</x:f>
        <x:v>1680</x:v>
      </x:c>
      <x:c r="Q91" s="10" t="n">
        <x:f>IF(K91&gt;0,J91/K91,"n.a.")</x:f>
        <x:v>16.2</x:v>
      </x:c>
      <x:c r="R91" s="11" t="n">
        <x:f>IF(ISNUMBER(Q91),P91*Q91,"n.a.")</x:f>
        <x:v>27216</x:v>
      </x:c>
    </x:row>
    <x:row r="92" ht="21" customHeight="1">
      <x:c r="A92" s="1" t="str">
        <x:v>FILM</x:v>
      </x:c>
      <x:c r="B92" s="1" t="str">
        <x:v>10</x:v>
      </x:c>
      <x:c r="C92" s="1" t="str">
        <x:v>272005C1</x:v>
      </x:c>
      <x:c r="D92" s="1" t="str">
        <x:v>1061283</x:v>
      </x:c>
      <x:c r="E92" s="1" t="str">
        <x:v>0</x:v>
      </x:c>
      <x:c r="F92" s="1" t="str">
        <x:v>9</x:v>
      </x:c>
      <x:c r="G92" s="7" t="n">
        <x:v>46360</x:v>
      </x:c>
      <x:c r="H92" s="1" t="n">
        <x:v>72</x:v>
      </x:c>
      <x:c r="I92" s="1" t="n">
        <x:v>1</x:v>
      </x:c>
      <x:c r="J92" s="1" t="n">
        <x:v>27.48</x:v>
      </x:c>
      <x:c r="K92" s="1" t="n">
        <x:v>1</x:v>
      </x:c>
      <x:c r="L92" s="1" t="str">
        <x:v>a</x:v>
      </x:c>
      <x:c r="M92" s="1" t="n">
        <x:v>72</x:v>
      </x:c>
      <x:c r="N92" s="1" t="n">
        <x:v>0</x:v>
      </x:c>
      <x:c r="O92" s="1" t="str">
        <x:v>updated receipts.csv</x:v>
      </x:c>
      <x:c r="P92" s="10" t="n">
        <x:f>H92*I92</x:f>
        <x:v>72</x:v>
      </x:c>
      <x:c r="Q92" s="10" t="n">
        <x:f>IF(K92&gt;0,J92/K92,"n.a.")</x:f>
        <x:v>27.48</x:v>
      </x:c>
      <x:c r="R92" s="11" t="n">
        <x:f>IF(ISNUMBER(Q92),P92*Q92,"n.a.")</x:f>
        <x:v>1978.56</x:v>
      </x:c>
    </x:row>
    <x:row r="93" ht="21" customHeight="1">
      <x:c r="A93" s="1" t="str">
        <x:v>FILM</x:v>
      </x:c>
      <x:c r="B93" s="1" t="str">
        <x:v>10</x:v>
      </x:c>
      <x:c r="C93" s="1" t="str">
        <x:v>272503C1</x:v>
      </x:c>
      <x:c r="D93" s="1" t="str">
        <x:v>1061283</x:v>
      </x:c>
      <x:c r="E93" s="1" t="str">
        <x:v>0</x:v>
      </x:c>
      <x:c r="F93" s="1" t="str">
        <x:v>6</x:v>
      </x:c>
      <x:c r="G93" s="7" t="n">
        <x:v>46360</x:v>
      </x:c>
      <x:c r="H93" s="1" t="n">
        <x:v>720</x:v>
      </x:c>
      <x:c r="I93" s="1" t="n">
        <x:v>1</x:v>
      </x:c>
      <x:c r="J93" s="1" t="n">
        <x:v>18.95</x:v>
      </x:c>
      <x:c r="K93" s="1" t="n">
        <x:v>1</x:v>
      </x:c>
      <x:c r="L93" s="1" t="str">
        <x:v>a</x:v>
      </x:c>
      <x:c r="M93" s="1" t="n">
        <x:v>720</x:v>
      </x:c>
      <x:c r="N93" s="1" t="n">
        <x:v>0</x:v>
      </x:c>
      <x:c r="O93" s="1" t="str">
        <x:v>updated receipts.csv</x:v>
      </x:c>
      <x:c r="P93" s="10" t="n">
        <x:f>H93*I93</x:f>
        <x:v>720</x:v>
      </x:c>
      <x:c r="Q93" s="10" t="n">
        <x:f>IF(K93&gt;0,J93/K93,"n.a.")</x:f>
        <x:v>18.95</x:v>
      </x:c>
      <x:c r="R93" s="11" t="n">
        <x:f>IF(ISNUMBER(Q93),P93*Q93,"n.a.")</x:f>
        <x:v>13644</x:v>
      </x:c>
    </x:row>
    <x:row r="94" ht="21" customHeight="1">
      <x:c r="A94" s="1" t="str">
        <x:v>FILM</x:v>
      </x:c>
      <x:c r="B94" s="1" t="str">
        <x:v>10</x:v>
      </x:c>
      <x:c r="C94" s="1" t="str">
        <x:v>2750015C1</x:v>
      </x:c>
      <x:c r="D94" s="1" t="str">
        <x:v>1061283</x:v>
      </x:c>
      <x:c r="E94" s="1" t="str">
        <x:v>0</x:v>
      </x:c>
      <x:c r="F94" s="1" t="str">
        <x:v>2</x:v>
      </x:c>
      <x:c r="G94" s="7" t="n">
        <x:v>46360</x:v>
      </x:c>
      <x:c r="H94" s="1" t="n">
        <x:v>600</x:v>
      </x:c>
      <x:c r="I94" s="1" t="n">
        <x:v>1</x:v>
      </x:c>
      <x:c r="J94" s="1" t="n">
        <x:v>17.5</x:v>
      </x:c>
      <x:c r="K94" s="1" t="n">
        <x:v>1</x:v>
      </x:c>
      <x:c r="L94" s="1" t="str">
        <x:v>a</x:v>
      </x:c>
      <x:c r="M94" s="1" t="n">
        <x:v>600</x:v>
      </x:c>
      <x:c r="N94" s="1" t="n">
        <x:v>0</x:v>
      </x:c>
      <x:c r="O94" s="1" t="str">
        <x:v>updated receipts.csv</x:v>
      </x:c>
      <x:c r="P94" s="10" t="n">
        <x:f>H94*I94</x:f>
        <x:v>600</x:v>
      </x:c>
      <x:c r="Q94" s="10" t="n">
        <x:f>IF(K94&gt;0,J94/K94,"n.a.")</x:f>
        <x:v>17.5</x:v>
      </x:c>
      <x:c r="R94" s="11" t="n">
        <x:f>IF(ISNUMBER(Q94),P94*Q94,"n.a.")</x:f>
        <x:v>10500</x:v>
      </x:c>
    </x:row>
    <x:row r="95" ht="21" customHeight="1">
      <x:c r="A95" s="1" t="str">
        <x:v>FILM</x:v>
      </x:c>
      <x:c r="B95" s="1" t="str">
        <x:v>10</x:v>
      </x:c>
      <x:c r="C95" s="1" t="str">
        <x:v>382005C2</x:v>
      </x:c>
      <x:c r="D95" s="1" t="str">
        <x:v>1061283</x:v>
      </x:c>
      <x:c r="E95" s="1" t="str">
        <x:v>0</x:v>
      </x:c>
      <x:c r="F95" s="1" t="str">
        <x:v>11</x:v>
      </x:c>
      <x:c r="G95" s="7" t="n">
        <x:v>46360</x:v>
      </x:c>
      <x:c r="H95" s="1" t="n">
        <x:v>64</x:v>
      </x:c>
      <x:c r="I95" s="1" t="n">
        <x:v>1</x:v>
      </x:c>
      <x:c r="J95" s="1" t="n">
        <x:v>38.67</x:v>
      </x:c>
      <x:c r="K95" s="1" t="n">
        <x:v>1</x:v>
      </x:c>
      <x:c r="L95" s="1" t="str">
        <x:v>a</x:v>
      </x:c>
      <x:c r="M95" s="1" t="n">
        <x:v>64</x:v>
      </x:c>
      <x:c r="N95" s="1" t="n">
        <x:v>0</x:v>
      </x:c>
      <x:c r="O95" s="1" t="str">
        <x:v>updated receipts.csv</x:v>
      </x:c>
      <x:c r="P95" s="10" t="n">
        <x:f>H95*I95</x:f>
        <x:v>64</x:v>
      </x:c>
      <x:c r="Q95" s="10" t="n">
        <x:f>IF(K95&gt;0,J95/K95,"n.a.")</x:f>
        <x:v>38.67</x:v>
      </x:c>
      <x:c r="R95" s="11" t="n">
        <x:f>IF(ISNUMBER(Q95),P95*Q95,"n.a.")</x:f>
        <x:v>2474.88</x:v>
      </x:c>
    </x:row>
    <x:row r="96" ht="21" customHeight="1">
      <x:c r="A96" s="1" t="str">
        <x:v>FILM</x:v>
      </x:c>
      <x:c r="B96" s="1" t="str">
        <x:v>10</x:v>
      </x:c>
      <x:c r="C96" s="1" t="str">
        <x:v>3850017C3</x:v>
      </x:c>
      <x:c r="D96" s="1" t="str">
        <x:v>1061283</x:v>
      </x:c>
      <x:c r="E96" s="1" t="str">
        <x:v>0</x:v>
      </x:c>
      <x:c r="F96" s="1" t="str">
        <x:v>3</x:v>
      </x:c>
      <x:c r="G96" s="7" t="n">
        <x:v>46360</x:v>
      </x:c>
      <x:c r="H96" s="1" t="n">
        <x:v>36</x:v>
      </x:c>
      <x:c r="I96" s="1" t="n">
        <x:v>1</x:v>
      </x:c>
      <x:c r="J96" s="1" t="n">
        <x:v>35.34</x:v>
      </x:c>
      <x:c r="K96" s="1" t="n">
        <x:v>1</x:v>
      </x:c>
      <x:c r="L96" s="1" t="str">
        <x:v>a</x:v>
      </x:c>
      <x:c r="M96" s="1" t="n">
        <x:v>36</x:v>
      </x:c>
      <x:c r="N96" s="1" t="n">
        <x:v>0</x:v>
      </x:c>
      <x:c r="O96" s="1" t="str">
        <x:v>updated receipts.csv</x:v>
      </x:c>
      <x:c r="P96" s="10" t="n">
        <x:f>H96*I96</x:f>
        <x:v>36</x:v>
      </x:c>
      <x:c r="Q96" s="10" t="n">
        <x:f>IF(K96&gt;0,J96/K96,"n.a.")</x:f>
        <x:v>35.34</x:v>
      </x:c>
      <x:c r="R96" s="11" t="n">
        <x:f>IF(ISNUMBER(Q96),P96*Q96,"n.a.")</x:f>
        <x:v>1272.2400000000002</x:v>
      </x:c>
    </x:row>
    <x:row r="97" ht="21" customHeight="1">
      <x:c r="A97" s="1" t="str">
        <x:v>FILM</x:v>
      </x:c>
      <x:c r="B97" s="1" t="str">
        <x:v>10</x:v>
      </x:c>
      <x:c r="C97" s="1" t="str">
        <x:v>PR252503C1</x:v>
      </x:c>
      <x:c r="D97" s="1" t="str">
        <x:v>1061283</x:v>
      </x:c>
      <x:c r="E97" s="1" t="str">
        <x:v>0</x:v>
      </x:c>
      <x:c r="F97" s="1" t="str">
        <x:v>7</x:v>
      </x:c>
      <x:c r="G97" s="7" t="n">
        <x:v>46360</x:v>
      </x:c>
      <x:c r="H97" s="1" t="n">
        <x:v>120</x:v>
      </x:c>
      <x:c r="I97" s="1" t="n">
        <x:v>1</x:v>
      </x:c>
      <x:c r="J97" s="1" t="n">
        <x:v>20.25</x:v>
      </x:c>
      <x:c r="K97" s="1" t="n">
        <x:v>1</x:v>
      </x:c>
      <x:c r="L97" s="1" t="str">
        <x:v>a</x:v>
      </x:c>
      <x:c r="M97" s="1" t="n">
        <x:v>120</x:v>
      </x:c>
      <x:c r="N97" s="1" t="n">
        <x:v>0</x:v>
      </x:c>
      <x:c r="O97" s="1" t="str">
        <x:v>updated receipts.csv</x:v>
      </x:c>
      <x:c r="P97" s="10" t="n">
        <x:f>H97*I97</x:f>
        <x:v>120</x:v>
      </x:c>
      <x:c r="Q97" s="10" t="n">
        <x:f>IF(K97&gt;0,J97/K97,"n.a.")</x:f>
        <x:v>20.25</x:v>
      </x:c>
      <x:c r="R97" s="11" t="n">
        <x:f>IF(ISNUMBER(Q97),P97*Q97,"n.a.")</x:f>
        <x:v>2430</x:v>
      </x:c>
    </x:row>
    <x:row r="98" ht="21" customHeight="1">
      <x:c r="A98" s="1" t="str">
        <x:v>FILM</x:v>
      </x:c>
      <x:c r="B98" s="1" t="str">
        <x:v>10</x:v>
      </x:c>
      <x:c r="C98" s="1" t="str">
        <x:v>ST382005M3</x:v>
      </x:c>
      <x:c r="D98" s="1" t="str">
        <x:v>1061283</x:v>
      </x:c>
      <x:c r="E98" s="1" t="str">
        <x:v>0</x:v>
      </x:c>
      <x:c r="F98" s="1" t="str">
        <x:v>14</x:v>
      </x:c>
      <x:c r="G98" s="7" t="n">
        <x:v>46360</x:v>
      </x:c>
      <x:c r="H98" s="1" t="n">
        <x:v>25</x:v>
      </x:c>
      <x:c r="I98" s="1" t="n">
        <x:v>1</x:v>
      </x:c>
      <x:c r="J98" s="1" t="n">
        <x:v>92.11</x:v>
      </x:c>
      <x:c r="K98" s="1" t="n">
        <x:v>1</x:v>
      </x:c>
      <x:c r="L98" s="1" t="str">
        <x:v>a</x:v>
      </x:c>
      <x:c r="M98" s="1" t="n">
        <x:v>25</x:v>
      </x:c>
      <x:c r="N98" s="1" t="n">
        <x:v>0</x:v>
      </x:c>
      <x:c r="O98" s="1" t="str">
        <x:v>updated receipts.csv</x:v>
      </x:c>
      <x:c r="P98" s="10" t="n">
        <x:f>H98*I98</x:f>
        <x:v>25</x:v>
      </x:c>
      <x:c r="Q98" s="10" t="n">
        <x:f>IF(K98&gt;0,J98/K98,"n.a.")</x:f>
        <x:v>92.11</x:v>
      </x:c>
      <x:c r="R98" s="11" t="n">
        <x:f>IF(ISNUMBER(Q98),P98*Q98,"n.a.")</x:f>
        <x:v>2302.75</x:v>
      </x:c>
    </x:row>
    <x:row r="99" ht="21" customHeight="1">
      <x:c r="A99" s="1" t="str">
        <x:v>FILM</x:v>
      </x:c>
      <x:c r="B99" s="1" t="str">
        <x:v>10</x:v>
      </x:c>
      <x:c r="C99" s="1" t="str">
        <x:v>1210010C1</x:v>
      </x:c>
      <x:c r="D99" s="1" t="str">
        <x:v>1061457</x:v>
      </x:c>
      <x:c r="E99" s="1" t="str">
        <x:v>0</x:v>
      </x:c>
      <x:c r="F99" s="1" t="str">
        <x:v>11</x:v>
      </x:c>
      <x:c r="G99" s="7" t="n">
        <x:v>46402</x:v>
      </x:c>
      <x:c r="H99" s="1" t="n">
        <x:v>72</x:v>
      </x:c>
      <x:c r="I99" s="1" t="n">
        <x:v>1</x:v>
      </x:c>
      <x:c r="J99" s="1" t="n">
        <x:v>13.66</x:v>
      </x:c>
      <x:c r="K99" s="1" t="n">
        <x:v>1</x:v>
      </x:c>
      <x:c r="L99" s="1" t="str">
        <x:v>a</x:v>
      </x:c>
      <x:c r="M99" s="1" t="n">
        <x:v>72</x:v>
      </x:c>
      <x:c r="N99" s="1" t="n">
        <x:v>0</x:v>
      </x:c>
      <x:c r="O99" s="1" t="str">
        <x:v>updated receipts.csv</x:v>
      </x:c>
      <x:c r="P99" s="10" t="n">
        <x:f>H99*I99</x:f>
        <x:v>72</x:v>
      </x:c>
      <x:c r="Q99" s="10" t="n">
        <x:f>IF(K99&gt;0,J99/K99,"n.a.")</x:f>
        <x:v>13.66</x:v>
      </x:c>
      <x:c r="R99" s="11" t="n">
        <x:f>IF(ISNUMBER(Q99),P99*Q99,"n.a.")</x:f>
        <x:v>983.52</x:v>
      </x:c>
    </x:row>
    <x:row r="100" ht="21" customHeight="1">
      <x:c r="A100" s="1" t="str">
        <x:v>FILM</x:v>
      </x:c>
      <x:c r="B100" s="1" t="str">
        <x:v>10</x:v>
      </x:c>
      <x:c r="C100" s="1" t="str">
        <x:v>122005C1</x:v>
      </x:c>
      <x:c r="D100" s="1" t="str">
        <x:v>1061457</x:v>
      </x:c>
      <x:c r="E100" s="1" t="str">
        <x:v>0</x:v>
      </x:c>
      <x:c r="F100" s="1" t="str">
        <x:v>6</x:v>
      </x:c>
      <x:c r="G100" s="7" t="n">
        <x:v>46402</x:v>
      </x:c>
      <x:c r="H100" s="1" t="n">
        <x:v>72</x:v>
      </x:c>
      <x:c r="I100" s="1" t="n">
        <x:v>1</x:v>
      </x:c>
      <x:c r="J100" s="1" t="n">
        <x:v>12.21</x:v>
      </x:c>
      <x:c r="K100" s="1" t="n">
        <x:v>1</x:v>
      </x:c>
      <x:c r="L100" s="1" t="str">
        <x:v>a</x:v>
      </x:c>
      <x:c r="M100" s="1" t="n">
        <x:v>72</x:v>
      </x:c>
      <x:c r="N100" s="1" t="n">
        <x:v>0</x:v>
      </x:c>
      <x:c r="O100" s="1" t="str">
        <x:v>updated receipts.csv</x:v>
      </x:c>
      <x:c r="P100" s="10" t="n">
        <x:f>H100*I100</x:f>
        <x:v>72</x:v>
      </x:c>
      <x:c r="Q100" s="10" t="n">
        <x:f>IF(K100&gt;0,J100/K100,"n.a.")</x:f>
        <x:v>12.21</x:v>
      </x:c>
      <x:c r="R100" s="11" t="n">
        <x:f>IF(ISNUMBER(Q100),P100*Q100,"n.a.")</x:f>
        <x:v>879.1200000000001</x:v>
      </x:c>
    </x:row>
    <x:row r="101" ht="21" customHeight="1">
      <x:c r="A101" s="1" t="str">
        <x:v>FILM</x:v>
      </x:c>
      <x:c r="B101" s="1" t="str">
        <x:v>10</x:v>
      </x:c>
      <x:c r="C101" s="1" t="str">
        <x:v>1810010C1</x:v>
      </x:c>
      <x:c r="D101" s="1" t="str">
        <x:v>1061457</x:v>
      </x:c>
      <x:c r="E101" s="1" t="str">
        <x:v>0</x:v>
      </x:c>
      <x:c r="F101" s="1" t="str">
        <x:v>12</x:v>
      </x:c>
      <x:c r="G101" s="7" t="n">
        <x:v>46402</x:v>
      </x:c>
      <x:c r="H101" s="1" t="n">
        <x:v>72</x:v>
      </x:c>
      <x:c r="I101" s="1" t="n">
        <x:v>1</x:v>
      </x:c>
      <x:c r="J101" s="1" t="n">
        <x:v>20.47</x:v>
      </x:c>
      <x:c r="K101" s="1" t="n">
        <x:v>1</x:v>
      </x:c>
      <x:c r="L101" s="1" t="str">
        <x:v>a</x:v>
      </x:c>
      <x:c r="M101" s="1" t="n">
        <x:v>72</x:v>
      </x:c>
      <x:c r="N101" s="1" t="n">
        <x:v>0</x:v>
      </x:c>
      <x:c r="O101" s="1" t="str">
        <x:v>updated receipts.csv</x:v>
      </x:c>
      <x:c r="P101" s="10" t="n">
        <x:f>H101*I101</x:f>
        <x:v>72</x:v>
      </x:c>
      <x:c r="Q101" s="10" t="n">
        <x:f>IF(K101&gt;0,J101/K101,"n.a.")</x:f>
        <x:v>20.47</x:v>
      </x:c>
      <x:c r="R101" s="11" t="n">
        <x:f>IF(ISNUMBER(Q101),P101*Q101,"n.a.")</x:f>
        <x:v>1473.84</x:v>
      </x:c>
    </x:row>
    <x:row r="102" ht="21" customHeight="1">
      <x:c r="A102" s="1" t="str">
        <x:v>FILM</x:v>
      </x:c>
      <x:c r="B102" s="1" t="str">
        <x:v>10</x:v>
      </x:c>
      <x:c r="C102" s="1" t="str">
        <x:v>182005C1</x:v>
      </x:c>
      <x:c r="D102" s="1" t="str">
        <x:v>1061457</x:v>
      </x:c>
      <x:c r="E102" s="1" t="str">
        <x:v>0</x:v>
      </x:c>
      <x:c r="F102" s="1" t="str">
        <x:v>7</x:v>
      </x:c>
      <x:c r="G102" s="7" t="n">
        <x:v>46402</x:v>
      </x:c>
      <x:c r="H102" s="1" t="n">
        <x:v>72</x:v>
      </x:c>
      <x:c r="I102" s="1" t="n">
        <x:v>1</x:v>
      </x:c>
      <x:c r="J102" s="1" t="n">
        <x:v>18.32</x:v>
      </x:c>
      <x:c r="K102" s="1" t="n">
        <x:v>1</x:v>
      </x:c>
      <x:c r="L102" s="1" t="str">
        <x:v>a</x:v>
      </x:c>
      <x:c r="M102" s="1" t="n">
        <x:v>72</x:v>
      </x:c>
      <x:c r="N102" s="1" t="n">
        <x:v>0</x:v>
      </x:c>
      <x:c r="O102" s="1" t="str">
        <x:v>updated receipts.csv</x:v>
      </x:c>
      <x:c r="P102" s="10" t="n">
        <x:f>H102*I102</x:f>
        <x:v>72</x:v>
      </x:c>
      <x:c r="Q102" s="10" t="n">
        <x:f>IF(K102&gt;0,J102/K102,"n.a.")</x:f>
        <x:v>18.32</x:v>
      </x:c>
      <x:c r="R102" s="11" t="n">
        <x:f>IF(ISNUMBER(Q102),P102*Q102,"n.a.")</x:f>
        <x:v>1319.04</x:v>
      </x:c>
    </x:row>
    <x:row r="103" ht="21" customHeight="1">
      <x:c r="A103" s="1" t="str">
        <x:v>FILM</x:v>
      </x:c>
      <x:c r="B103" s="1" t="str">
        <x:v>10</x:v>
      </x:c>
      <x:c r="C103" s="1" t="str">
        <x:v>1850010C3</x:v>
      </x:c>
      <x:c r="D103" s="1" t="str">
        <x:v>1061457</x:v>
      </x:c>
      <x:c r="E103" s="1" t="str">
        <x:v>0</x:v>
      </x:c>
      <x:c r="F103" s="1" t="str">
        <x:v>13</x:v>
      </x:c>
      <x:c r="G103" s="7" t="n">
        <x:v>46402</x:v>
      </x:c>
      <x:c r="H103" s="1" t="n">
        <x:v>16</x:v>
      </x:c>
      <x:c r="I103" s="1" t="n">
        <x:v>1</x:v>
      </x:c>
      <x:c r="J103" s="1" t="n">
        <x:v>102.38</x:v>
      </x:c>
      <x:c r="K103" s="1" t="n">
        <x:v>1</x:v>
      </x:c>
      <x:c r="L103" s="1" t="str">
        <x:v>a</x:v>
      </x:c>
      <x:c r="M103" s="1" t="n">
        <x:v>16</x:v>
      </x:c>
      <x:c r="N103" s="1" t="n">
        <x:v>0</x:v>
      </x:c>
      <x:c r="O103" s="1" t="str">
        <x:v>updated receipts.csv</x:v>
      </x:c>
      <x:c r="P103" s="10" t="n">
        <x:f>H103*I103</x:f>
        <x:v>16</x:v>
      </x:c>
      <x:c r="Q103" s="10" t="n">
        <x:f>IF(K103&gt;0,J103/K103,"n.a.")</x:f>
        <x:v>102.38</x:v>
      </x:c>
      <x:c r="R103" s="11" t="n">
        <x:f>IF(ISNUMBER(Q103),P103*Q103,"n.a.")</x:f>
        <x:v>1638.08</x:v>
      </x:c>
    </x:row>
    <x:row r="104" ht="21" customHeight="1">
      <x:c r="A104" s="1" t="str">
        <x:v>FILM</x:v>
      </x:c>
      <x:c r="B104" s="1" t="str">
        <x:v>10</x:v>
      </x:c>
      <x:c r="C104" s="1" t="str">
        <x:v>252005C1</x:v>
      </x:c>
      <x:c r="D104" s="1" t="str">
        <x:v>1061457</x:v>
      </x:c>
      <x:c r="E104" s="1" t="str">
        <x:v>0</x:v>
      </x:c>
      <x:c r="F104" s="1" t="str">
        <x:v>8</x:v>
      </x:c>
      <x:c r="G104" s="7" t="n">
        <x:v>46402</x:v>
      </x:c>
      <x:c r="H104" s="1" t="n">
        <x:v>72</x:v>
      </x:c>
      <x:c r="I104" s="1" t="n">
        <x:v>1</x:v>
      </x:c>
      <x:c r="J104" s="1" t="n">
        <x:v>25.44</x:v>
      </x:c>
      <x:c r="K104" s="1" t="n">
        <x:v>1</x:v>
      </x:c>
      <x:c r="L104" s="1" t="str">
        <x:v>a</x:v>
      </x:c>
      <x:c r="M104" s="1" t="n">
        <x:v>72</x:v>
      </x:c>
      <x:c r="N104" s="1" t="n">
        <x:v>0</x:v>
      </x:c>
      <x:c r="O104" s="1" t="str">
        <x:v>updated receipts.csv</x:v>
      </x:c>
      <x:c r="P104" s="10" t="n">
        <x:f>H104*I104</x:f>
        <x:v>72</x:v>
      </x:c>
      <x:c r="Q104" s="10" t="n">
        <x:f>IF(K104&gt;0,J104/K104,"n.a.")</x:f>
        <x:v>25.44</x:v>
      </x:c>
      <x:c r="R104" s="11" t="n">
        <x:f>IF(ISNUMBER(Q104),P104*Q104,"n.a.")</x:f>
        <x:v>1831.68</x:v>
      </x:c>
    </x:row>
    <x:row r="105" ht="21" customHeight="1">
      <x:c r="A105" s="1" t="str">
        <x:v>FILM</x:v>
      </x:c>
      <x:c r="B105" s="1" t="str">
        <x:v>10</x:v>
      </x:c>
      <x:c r="C105" s="1" t="str">
        <x:v>252503C1</x:v>
      </x:c>
      <x:c r="D105" s="1" t="str">
        <x:v>1061457</x:v>
      </x:c>
      <x:c r="E105" s="1" t="str">
        <x:v>0</x:v>
      </x:c>
      <x:c r="F105" s="1" t="str">
        <x:v>4</x:v>
      </x:c>
      <x:c r="G105" s="7" t="n">
        <x:v>46402</x:v>
      </x:c>
      <x:c r="H105" s="1" t="n">
        <x:v>960</x:v>
      </x:c>
      <x:c r="I105" s="1" t="n">
        <x:v>1</x:v>
      </x:c>
      <x:c r="J105" s="1" t="n">
        <x:v>17.55</x:v>
      </x:c>
      <x:c r="K105" s="1" t="n">
        <x:v>1</x:v>
      </x:c>
      <x:c r="L105" s="1" t="str">
        <x:v>a</x:v>
      </x:c>
      <x:c r="M105" s="1" t="n">
        <x:v>960</x:v>
      </x:c>
      <x:c r="N105" s="1" t="n">
        <x:v>0</x:v>
      </x:c>
      <x:c r="O105" s="1" t="str">
        <x:v>updated receipts.csv</x:v>
      </x:c>
      <x:c r="P105" s="10" t="n">
        <x:f>H105*I105</x:f>
        <x:v>960</x:v>
      </x:c>
      <x:c r="Q105" s="10" t="n">
        <x:f>IF(K105&gt;0,J105/K105,"n.a.")</x:f>
        <x:v>17.55</x:v>
      </x:c>
      <x:c r="R105" s="11" t="n">
        <x:f>IF(ISNUMBER(Q105),P105*Q105,"n.a.")</x:f>
        <x:v>16848</x:v>
      </x:c>
    </x:row>
    <x:row r="106" ht="21" customHeight="1">
      <x:c r="A106" s="1" t="str">
        <x:v>FILM</x:v>
      </x:c>
      <x:c r="B106" s="1" t="str">
        <x:v>10</x:v>
      </x:c>
      <x:c r="C106" s="1" t="str">
        <x:v>2550015C1</x:v>
      </x:c>
      <x:c r="D106" s="1" t="str">
        <x:v>1061457</x:v>
      </x:c>
      <x:c r="E106" s="1" t="str">
        <x:v>0</x:v>
      </x:c>
      <x:c r="F106" s="1" t="str">
        <x:v>1</x:v>
      </x:c>
      <x:c r="G106" s="7" t="n">
        <x:v>46402</x:v>
      </x:c>
      <x:c r="H106" s="1" t="n">
        <x:v>2040</x:v>
      </x:c>
      <x:c r="I106" s="1" t="n">
        <x:v>1</x:v>
      </x:c>
      <x:c r="J106" s="1" t="n">
        <x:v>16.2</x:v>
      </x:c>
      <x:c r="K106" s="1" t="n">
        <x:v>1</x:v>
      </x:c>
      <x:c r="L106" s="1" t="str">
        <x:v>a</x:v>
      </x:c>
      <x:c r="M106" s="1" t="n">
        <x:v>2040</x:v>
      </x:c>
      <x:c r="N106" s="1" t="n">
        <x:v>0</x:v>
      </x:c>
      <x:c r="O106" s="1" t="str">
        <x:v>updated receipts.csv</x:v>
      </x:c>
      <x:c r="P106" s="10" t="n">
        <x:f>H106*I106</x:f>
        <x:v>2040</x:v>
      </x:c>
      <x:c r="Q106" s="10" t="n">
        <x:f>IF(K106&gt;0,J106/K106,"n.a.")</x:f>
        <x:v>16.2</x:v>
      </x:c>
      <x:c r="R106" s="11" t="n">
        <x:f>IF(ISNUMBER(Q106),P106*Q106,"n.a.")</x:f>
        <x:v>33048</x:v>
      </x:c>
    </x:row>
    <x:row r="107" ht="21" customHeight="1">
      <x:c r="A107" s="1" t="str">
        <x:v>FILM</x:v>
      </x:c>
      <x:c r="B107" s="1" t="str">
        <x:v>10</x:v>
      </x:c>
      <x:c r="C107" s="1" t="str">
        <x:v>2550017C1</x:v>
      </x:c>
      <x:c r="D107" s="1" t="str">
        <x:v>1061457</x:v>
      </x:c>
      <x:c r="E107" s="1" t="str">
        <x:v>0</x:v>
      </x:c>
      <x:c r="F107" s="1" t="str">
        <x:v>3</x:v>
      </x:c>
      <x:c r="G107" s="7" t="n">
        <x:v>46402</x:v>
      </x:c>
      <x:c r="H107" s="1" t="n">
        <x:v>90</x:v>
      </x:c>
      <x:c r="I107" s="1" t="n">
        <x:v>1</x:v>
      </x:c>
      <x:c r="J107" s="1" t="n">
        <x:v>23.35</x:v>
      </x:c>
      <x:c r="K107" s="1" t="n">
        <x:v>1</x:v>
      </x:c>
      <x:c r="L107" s="1" t="str">
        <x:v>a</x:v>
      </x:c>
      <x:c r="M107" s="1" t="n">
        <x:v>90</x:v>
      </x:c>
      <x:c r="N107" s="1" t="n">
        <x:v>0</x:v>
      </x:c>
      <x:c r="O107" s="1" t="str">
        <x:v>updated receipts.csv</x:v>
      </x:c>
      <x:c r="P107" s="10" t="n">
        <x:f>H107*I107</x:f>
        <x:v>90</x:v>
      </x:c>
      <x:c r="Q107" s="10" t="n">
        <x:f>IF(K107&gt;0,J107/K107,"n.a.")</x:f>
        <x:v>23.35</x:v>
      </x:c>
      <x:c r="R107" s="11" t="n">
        <x:f>IF(ISNUMBER(Q107),P107*Q107,"n.a.")</x:f>
        <x:v>2101.5</x:v>
      </x:c>
    </x:row>
    <x:row r="108" ht="21" customHeight="1">
      <x:c r="A108" s="1" t="str">
        <x:v>FILM</x:v>
      </x:c>
      <x:c r="B108" s="1" t="str">
        <x:v>10</x:v>
      </x:c>
      <x:c r="C108" s="1" t="str">
        <x:v>272005C1</x:v>
      </x:c>
      <x:c r="D108" s="1" t="str">
        <x:v>1061457</x:v>
      </x:c>
      <x:c r="E108" s="1" t="str">
        <x:v>0</x:v>
      </x:c>
      <x:c r="F108" s="1" t="str">
        <x:v>9</x:v>
      </x:c>
      <x:c r="G108" s="7" t="n">
        <x:v>46402</x:v>
      </x:c>
      <x:c r="H108" s="1" t="n">
        <x:v>72</x:v>
      </x:c>
      <x:c r="I108" s="1" t="n">
        <x:v>1</x:v>
      </x:c>
      <x:c r="J108" s="1" t="n">
        <x:v>27.48</x:v>
      </x:c>
      <x:c r="K108" s="1" t="n">
        <x:v>1</x:v>
      </x:c>
      <x:c r="L108" s="1" t="str">
        <x:v>a</x:v>
      </x:c>
      <x:c r="M108" s="1" t="n">
        <x:v>72</x:v>
      </x:c>
      <x:c r="N108" s="1" t="n">
        <x:v>0</x:v>
      </x:c>
      <x:c r="O108" s="1" t="str">
        <x:v>updated receipts.csv</x:v>
      </x:c>
      <x:c r="P108" s="10" t="n">
        <x:f>H108*I108</x:f>
        <x:v>72</x:v>
      </x:c>
      <x:c r="Q108" s="10" t="n">
        <x:f>IF(K108&gt;0,J108/K108,"n.a.")</x:f>
        <x:v>27.48</x:v>
      </x:c>
      <x:c r="R108" s="11" t="n">
        <x:f>IF(ISNUMBER(Q108),P108*Q108,"n.a.")</x:f>
        <x:v>1978.56</x:v>
      </x:c>
    </x:row>
    <x:row r="109" ht="21" customHeight="1">
      <x:c r="A109" s="1" t="str">
        <x:v>FILM</x:v>
      </x:c>
      <x:c r="B109" s="1" t="str">
        <x:v>10</x:v>
      </x:c>
      <x:c r="C109" s="1" t="str">
        <x:v>272503C1</x:v>
      </x:c>
      <x:c r="D109" s="1" t="str">
        <x:v>1061457</x:v>
      </x:c>
      <x:c r="E109" s="1" t="str">
        <x:v>0</x:v>
      </x:c>
      <x:c r="F109" s="1" t="str">
        <x:v>5</x:v>
      </x:c>
      <x:c r="G109" s="7" t="n">
        <x:v>46402</x:v>
      </x:c>
      <x:c r="H109" s="1" t="n">
        <x:v>240</x:v>
      </x:c>
      <x:c r="I109" s="1" t="n">
        <x:v>1</x:v>
      </x:c>
      <x:c r="J109" s="1" t="n">
        <x:v>18.95</x:v>
      </x:c>
      <x:c r="K109" s="1" t="n">
        <x:v>1</x:v>
      </x:c>
      <x:c r="L109" s="1" t="str">
        <x:v>a</x:v>
      </x:c>
      <x:c r="M109" s="1" t="n">
        <x:v>240</x:v>
      </x:c>
      <x:c r="N109" s="1" t="n">
        <x:v>0</x:v>
      </x:c>
      <x:c r="O109" s="1" t="str">
        <x:v>updated receipts.csv</x:v>
      </x:c>
      <x:c r="P109" s="10" t="n">
        <x:f>H109*I109</x:f>
        <x:v>240</x:v>
      </x:c>
      <x:c r="Q109" s="10" t="n">
        <x:f>IF(K109&gt;0,J109/K109,"n.a.")</x:f>
        <x:v>18.95</x:v>
      </x:c>
      <x:c r="R109" s="11" t="n">
        <x:f>IF(ISNUMBER(Q109),P109*Q109,"n.a.")</x:f>
        <x:v>4548</x:v>
      </x:c>
    </x:row>
    <x:row r="110" ht="21" customHeight="1">
      <x:c r="A110" s="1" t="str">
        <x:v>FILM</x:v>
      </x:c>
      <x:c r="B110" s="1" t="str">
        <x:v>10</x:v>
      </x:c>
      <x:c r="C110" s="1" t="str">
        <x:v>2750015C1</x:v>
      </x:c>
      <x:c r="D110" s="1" t="str">
        <x:v>1061457</x:v>
      </x:c>
      <x:c r="E110" s="1" t="str">
        <x:v>0</x:v>
      </x:c>
      <x:c r="F110" s="1" t="str">
        <x:v>2</x:v>
      </x:c>
      <x:c r="G110" s="7" t="n">
        <x:v>46402</x:v>
      </x:c>
      <x:c r="H110" s="1" t="n">
        <x:v>480</x:v>
      </x:c>
      <x:c r="I110" s="1" t="n">
        <x:v>1</x:v>
      </x:c>
      <x:c r="J110" s="1" t="n">
        <x:v>17.5</x:v>
      </x:c>
      <x:c r="K110" s="1" t="n">
        <x:v>1</x:v>
      </x:c>
      <x:c r="L110" s="1" t="str">
        <x:v>a</x:v>
      </x:c>
      <x:c r="M110" s="1" t="n">
        <x:v>480</x:v>
      </x:c>
      <x:c r="N110" s="1" t="n">
        <x:v>0</x:v>
      </x:c>
      <x:c r="O110" s="1" t="str">
        <x:v>updated receipts.csv</x:v>
      </x:c>
      <x:c r="P110" s="10" t="n">
        <x:f>H110*I110</x:f>
        <x:v>480</x:v>
      </x:c>
      <x:c r="Q110" s="10" t="n">
        <x:f>IF(K110&gt;0,J110/K110,"n.a.")</x:f>
        <x:v>17.5</x:v>
      </x:c>
      <x:c r="R110" s="11" t="n">
        <x:f>IF(ISNUMBER(Q110),P110*Q110,"n.a.")</x:f>
        <x:v>8400</x:v>
      </x:c>
    </x:row>
    <x:row r="111" ht="21" customHeight="1">
      <x:c r="A111" s="1" t="str">
        <x:v>FILM</x:v>
      </x:c>
      <x:c r="B111" s="1" t="str">
        <x:v>10</x:v>
      </x:c>
      <x:c r="C111" s="1" t="str">
        <x:v>382005C3</x:v>
      </x:c>
      <x:c r="D111" s="1" t="str">
        <x:v>1061457</x:v>
      </x:c>
      <x:c r="E111" s="1" t="str">
        <x:v>0</x:v>
      </x:c>
      <x:c r="F111" s="1" t="str">
        <x:v>10</x:v>
      </x:c>
      <x:c r="G111" s="7" t="n">
        <x:v>46402</x:v>
      </x:c>
      <x:c r="H111" s="1" t="n">
        <x:v>50</x:v>
      </x:c>
      <x:c r="I111" s="1" t="n">
        <x:v>1</x:v>
      </x:c>
      <x:c r="J111" s="1" t="n">
        <x:v>38.67</x:v>
      </x:c>
      <x:c r="K111" s="1" t="n">
        <x:v>1</x:v>
      </x:c>
      <x:c r="L111" s="1" t="str">
        <x:v>a</x:v>
      </x:c>
      <x:c r="M111" s="1" t="n">
        <x:v>50</x:v>
      </x:c>
      <x:c r="N111" s="1" t="n">
        <x:v>0</x:v>
      </x:c>
      <x:c r="O111" s="1" t="str">
        <x:v>updated receipts.csv</x:v>
      </x:c>
      <x:c r="P111" s="10" t="n">
        <x:f>H111*I111</x:f>
        <x:v>50</x:v>
      </x:c>
      <x:c r="Q111" s="10" t="n">
        <x:f>IF(K111&gt;0,J111/K111,"n.a.")</x:f>
        <x:v>38.67</x:v>
      </x:c>
      <x:c r="R111" s="11" t="n">
        <x:f>IF(ISNUMBER(Q111),P111*Q111,"n.a.")</x:f>
        <x:v>1933.5</x:v>
      </x:c>
    </x:row>
    <x:row r="112" ht="21" customHeight="1">
      <x:c r="A112" s="1" t="str">
        <x:v>FILM</x:v>
      </x:c>
      <x:c r="B112" s="1" t="str">
        <x:v>10</x:v>
      </x:c>
      <x:c r="C112" s="1" t="str">
        <x:v>PPFS</x:v>
      </x:c>
      <x:c r="D112" s="1" t="str">
        <x:v>1061457</x:v>
      </x:c>
      <x:c r="E112" s="1" t="str">
        <x:v>0</x:v>
      </x:c>
      <x:c r="F112" s="1" t="str">
        <x:v>14</x:v>
      </x:c>
      <x:c r="G112" s="7" t="n">
        <x:v>46402</x:v>
      </x:c>
      <x:c r="H112" s="1" t="n">
        <x:v>1</x:v>
      </x:c>
      <x:c r="I112" s="1" t="n">
        <x:v>1</x:v>
      </x:c>
      <x:c r="J112" s="1" t="n">
        <x:v>0</x:v>
      </x:c>
      <x:c r="K112" s="1" t="n">
        <x:v>1</x:v>
      </x:c>
      <x:c r="L112" s="1" t="str">
        <x:v>a</x:v>
      </x:c>
      <x:c r="M112" s="1" t="n">
        <x:v>1</x:v>
      </x:c>
      <x:c r="N112" s="1" t="n">
        <x:v>0</x:v>
      </x:c>
      <x:c r="O112" s="1" t="str">
        <x:v>updated receipts.csv</x:v>
      </x:c>
      <x:c r="P112" s="10" t="n">
        <x:f>H112*I112</x:f>
        <x:v>1</x:v>
      </x:c>
      <x:c r="Q112" s="10" t="n">
        <x:f>IF(K112&gt;0,J112/K112,"n.a.")</x:f>
        <x:v>0</x:v>
      </x:c>
      <x:c r="R112" s="11" t="n">
        <x:f>IF(ISNUMBER(Q112),P112*Q112,"n.a.")</x:f>
        <x:v>0</x:v>
      </x:c>
    </x:row>
    <x:row r="113" ht="21" customHeight="1">
      <x:c r="A113" s="1" t="str">
        <x:v>FILM</x:v>
      </x:c>
      <x:c r="B113" s="1" t="str">
        <x:v>30</x:v>
      </x:c>
      <x:c r="C113" s="1" t="str">
        <x:v>1250010C3</x:v>
      </x:c>
      <x:c r="D113" s="1" t="str">
        <x:v>3003960</x:v>
      </x:c>
      <x:c r="E113" s="1" t="str">
        <x:v>0</x:v>
      </x:c>
      <x:c r="F113" s="1" t="str">
        <x:v>12</x:v>
      </x:c>
      <x:c r="G113" s="7" t="n">
        <x:v>46311</x:v>
      </x:c>
      <x:c r="H113" s="1" t="n">
        <x:v>32</x:v>
      </x:c>
      <x:c r="I113" s="1" t="n">
        <x:v>1</x:v>
      </x:c>
      <x:c r="J113" s="1" t="n">
        <x:v>68.26</x:v>
      </x:c>
      <x:c r="K113" s="1" t="n">
        <x:v>1</x:v>
      </x:c>
      <x:c r="L113" s="1" t="str">
        <x:v>a</x:v>
      </x:c>
      <x:c r="M113" s="1" t="n">
        <x:v>32</x:v>
      </x:c>
      <x:c r="N113" s="1" t="n">
        <x:v>0</x:v>
      </x:c>
      <x:c r="O113" s="1" t="str">
        <x:v>updated receipts.csv</x:v>
      </x:c>
      <x:c r="P113" s="10" t="n">
        <x:f>H113*I113</x:f>
        <x:v>32</x:v>
      </x:c>
      <x:c r="Q113" s="10" t="n">
        <x:f>IF(K113&gt;0,J113/K113,"n.a.")</x:f>
        <x:v>68.26</x:v>
      </x:c>
      <x:c r="R113" s="11" t="n">
        <x:f>IF(ISNUMBER(Q113),P113*Q113,"n.a.")</x:f>
        <x:v>2184.32</x:v>
      </x:c>
    </x:row>
    <x:row r="114" ht="21" customHeight="1">
      <x:c r="A114" s="1" t="str">
        <x:v>FILM</x:v>
      </x:c>
      <x:c r="B114" s="1" t="str">
        <x:v>30</x:v>
      </x:c>
      <x:c r="C114" s="1" t="str">
        <x:v>1810005C3</x:v>
      </x:c>
      <x:c r="D114" s="1" t="str">
        <x:v>3003960</x:v>
      </x:c>
      <x:c r="E114" s="1" t="str">
        <x:v>0</x:v>
      </x:c>
      <x:c r="F114" s="1" t="str">
        <x:v>9</x:v>
      </x:c>
      <x:c r="G114" s="7" t="n">
        <x:v>46311</x:v>
      </x:c>
      <x:c r="H114" s="1" t="n">
        <x:v>16</x:v>
      </x:c>
      <x:c r="I114" s="1" t="n">
        <x:v>1</x:v>
      </x:c>
      <x:c r="J114" s="1" t="n">
        <x:v>91.58</x:v>
      </x:c>
      <x:c r="K114" s="1" t="n">
        <x:v>1</x:v>
      </x:c>
      <x:c r="L114" s="1" t="str">
        <x:v>a</x:v>
      </x:c>
      <x:c r="M114" s="1" t="n">
        <x:v>16</x:v>
      </x:c>
      <x:c r="N114" s="1" t="n">
        <x:v>0</x:v>
      </x:c>
      <x:c r="O114" s="1" t="str">
        <x:v>updated receipts.csv</x:v>
      </x:c>
      <x:c r="P114" s="10" t="n">
        <x:f>H114*I114</x:f>
        <x:v>16</x:v>
      </x:c>
      <x:c r="Q114" s="10" t="n">
        <x:f>IF(K114&gt;0,J114/K114,"n.a.")</x:f>
        <x:v>91.58</x:v>
      </x:c>
      <x:c r="R114" s="11" t="n">
        <x:f>IF(ISNUMBER(Q114),P114*Q114,"n.a.")</x:f>
        <x:v>1465.28</x:v>
      </x:c>
    </x:row>
    <x:row r="115" ht="21" customHeight="1">
      <x:c r="A115" s="1" t="str">
        <x:v>FILM</x:v>
      </x:c>
      <x:c r="B115" s="1" t="str">
        <x:v>30</x:v>
      </x:c>
      <x:c r="C115" s="1" t="str">
        <x:v>182005C1</x:v>
      </x:c>
      <x:c r="D115" s="1" t="str">
        <x:v>3003960</x:v>
      </x:c>
      <x:c r="E115" s="1" t="str">
        <x:v>0</x:v>
      </x:c>
      <x:c r="F115" s="1" t="str">
        <x:v>6</x:v>
      </x:c>
      <x:c r="G115" s="7" t="n">
        <x:v>46311</x:v>
      </x:c>
      <x:c r="H115" s="1" t="n">
        <x:v>144</x:v>
      </x:c>
      <x:c r="I115" s="1" t="n">
        <x:v>1</x:v>
      </x:c>
      <x:c r="J115" s="1" t="n">
        <x:v>18.32</x:v>
      </x:c>
      <x:c r="K115" s="1" t="n">
        <x:v>1</x:v>
      </x:c>
      <x:c r="L115" s="1" t="str">
        <x:v>a</x:v>
      </x:c>
      <x:c r="M115" s="1" t="n">
        <x:v>144</x:v>
      </x:c>
      <x:c r="N115" s="1" t="n">
        <x:v>0</x:v>
      </x:c>
      <x:c r="O115" s="1" t="str">
        <x:v>updated receipts.csv</x:v>
      </x:c>
      <x:c r="P115" s="10" t="n">
        <x:f>H115*I115</x:f>
        <x:v>144</x:v>
      </x:c>
      <x:c r="Q115" s="10" t="n">
        <x:f>IF(K115&gt;0,J115/K115,"n.a.")</x:f>
        <x:v>18.32</x:v>
      </x:c>
      <x:c r="R115" s="11" t="n">
        <x:f>IF(ISNUMBER(Q115),P115*Q115,"n.a.")</x:f>
        <x:v>2638.08</x:v>
      </x:c>
    </x:row>
    <x:row r="116" ht="21" customHeight="1">
      <x:c r="A116" s="1" t="str">
        <x:v>FILM</x:v>
      </x:c>
      <x:c r="B116" s="1" t="str">
        <x:v>30</x:v>
      </x:c>
      <x:c r="C116" s="1" t="str">
        <x:v>1850015C1</x:v>
      </x:c>
      <x:c r="D116" s="1" t="str">
        <x:v>3003960</x:v>
      </x:c>
      <x:c r="E116" s="1" t="str">
        <x:v>0</x:v>
      </x:c>
      <x:c r="F116" s="1" t="str">
        <x:v>1</x:v>
      </x:c>
      <x:c r="G116" s="7" t="n">
        <x:v>46311</x:v>
      </x:c>
      <x:c r="H116" s="1" t="n">
        <x:v>240</x:v>
      </x:c>
      <x:c r="I116" s="1" t="n">
        <x:v>1</x:v>
      </x:c>
      <x:c r="J116" s="1" t="n">
        <x:v>11.66</x:v>
      </x:c>
      <x:c r="K116" s="1" t="n">
        <x:v>1</x:v>
      </x:c>
      <x:c r="L116" s="1" t="str">
        <x:v>a</x:v>
      </x:c>
      <x:c r="M116" s="1" t="n">
        <x:v>240</x:v>
      </x:c>
      <x:c r="N116" s="1" t="n">
        <x:v>0</x:v>
      </x:c>
      <x:c r="O116" s="1" t="str">
        <x:v>updated receipts.csv</x:v>
      </x:c>
      <x:c r="P116" s="10" t="n">
        <x:f>H116*I116</x:f>
        <x:v>240</x:v>
      </x:c>
      <x:c r="Q116" s="10" t="n">
        <x:f>IF(K116&gt;0,J116/K116,"n.a.")</x:f>
        <x:v>11.66</x:v>
      </x:c>
      <x:c r="R116" s="11" t="n">
        <x:f>IF(ISNUMBER(Q116),P116*Q116,"n.a.")</x:f>
        <x:v>2798.4</x:v>
      </x:c>
    </x:row>
    <x:row r="117" ht="21" customHeight="1">
      <x:c r="A117" s="1" t="str">
        <x:v>FILM</x:v>
      </x:c>
      <x:c r="B117" s="1" t="str">
        <x:v>30</x:v>
      </x:c>
      <x:c r="C117" s="1" t="str">
        <x:v>2510010C1</x:v>
      </x:c>
      <x:c r="D117" s="1" t="str">
        <x:v>3003960</x:v>
      </x:c>
      <x:c r="E117" s="1" t="str">
        <x:v>0</x:v>
      </x:c>
      <x:c r="F117" s="1" t="str">
        <x:v>11</x:v>
      </x:c>
      <x:c r="G117" s="7" t="n">
        <x:v>46311</x:v>
      </x:c>
      <x:c r="H117" s="1" t="n">
        <x:v>72</x:v>
      </x:c>
      <x:c r="I117" s="1" t="n">
        <x:v>1</x:v>
      </x:c>
      <x:c r="J117" s="1" t="n">
        <x:v>28.44</x:v>
      </x:c>
      <x:c r="K117" s="1" t="n">
        <x:v>1</x:v>
      </x:c>
      <x:c r="L117" s="1" t="str">
        <x:v>a</x:v>
      </x:c>
      <x:c r="M117" s="1" t="n">
        <x:v>72</x:v>
      </x:c>
      <x:c r="N117" s="1" t="n">
        <x:v>0</x:v>
      </x:c>
      <x:c r="O117" s="1" t="str">
        <x:v>updated receipts.csv</x:v>
      </x:c>
      <x:c r="P117" s="10" t="n">
        <x:f>H117*I117</x:f>
        <x:v>72</x:v>
      </x:c>
      <x:c r="Q117" s="10" t="n">
        <x:f>IF(K117&gt;0,J117/K117,"n.a.")</x:f>
        <x:v>28.44</x:v>
      </x:c>
      <x:c r="R117" s="11" t="n">
        <x:f>IF(ISNUMBER(Q117),P117*Q117,"n.a.")</x:f>
        <x:v>2047.68</x:v>
      </x:c>
    </x:row>
    <x:row r="118" ht="21" customHeight="1">
      <x:c r="A118" s="1" t="str">
        <x:v>FILM</x:v>
      </x:c>
      <x:c r="B118" s="1" t="str">
        <x:v>30</x:v>
      </x:c>
      <x:c r="C118" s="1" t="str">
        <x:v>252005C1</x:v>
      </x:c>
      <x:c r="D118" s="1" t="str">
        <x:v>3003960</x:v>
      </x:c>
      <x:c r="E118" s="1" t="str">
        <x:v>0</x:v>
      </x:c>
      <x:c r="F118" s="1" t="str">
        <x:v>7</x:v>
      </x:c>
      <x:c r="G118" s="7" t="n">
        <x:v>46311</x:v>
      </x:c>
      <x:c r="H118" s="1" t="n">
        <x:v>144</x:v>
      </x:c>
      <x:c r="I118" s="1" t="n">
        <x:v>1</x:v>
      </x:c>
      <x:c r="J118" s="1" t="n">
        <x:v>25.44</x:v>
      </x:c>
      <x:c r="K118" s="1" t="n">
        <x:v>1</x:v>
      </x:c>
      <x:c r="L118" s="1" t="str">
        <x:v>a</x:v>
      </x:c>
      <x:c r="M118" s="1" t="n">
        <x:v>144</x:v>
      </x:c>
      <x:c r="N118" s="1" t="n">
        <x:v>0</x:v>
      </x:c>
      <x:c r="O118" s="1" t="str">
        <x:v>updated receipts.csv</x:v>
      </x:c>
      <x:c r="P118" s="10" t="n">
        <x:f>H118*I118</x:f>
        <x:v>144</x:v>
      </x:c>
      <x:c r="Q118" s="10" t="n">
        <x:f>IF(K118&gt;0,J118/K118,"n.a.")</x:f>
        <x:v>25.44</x:v>
      </x:c>
      <x:c r="R118" s="11" t="n">
        <x:f>IF(ISNUMBER(Q118),P118*Q118,"n.a.")</x:f>
        <x:v>3663.36</x:v>
      </x:c>
    </x:row>
    <x:row r="119" ht="21" customHeight="1">
      <x:c r="A119" s="1" t="str">
        <x:v>FILM</x:v>
      </x:c>
      <x:c r="B119" s="1" t="str">
        <x:v>30</x:v>
      </x:c>
      <x:c r="C119" s="1" t="str">
        <x:v>252503C1</x:v>
      </x:c>
      <x:c r="D119" s="1" t="str">
        <x:v>3003960</x:v>
      </x:c>
      <x:c r="E119" s="1" t="str">
        <x:v>0</x:v>
      </x:c>
      <x:c r="F119" s="1" t="str">
        <x:v>4</x:v>
      </x:c>
      <x:c r="G119" s="7" t="n">
        <x:v>46311</x:v>
      </x:c>
      <x:c r="H119" s="1" t="n">
        <x:v>720</x:v>
      </x:c>
      <x:c r="I119" s="1" t="n">
        <x:v>1</x:v>
      </x:c>
      <x:c r="J119" s="1" t="n">
        <x:v>17.55</x:v>
      </x:c>
      <x:c r="K119" s="1" t="n">
        <x:v>1</x:v>
      </x:c>
      <x:c r="L119" s="1" t="str">
        <x:v>a</x:v>
      </x:c>
      <x:c r="M119" s="1" t="n">
        <x:v>720</x:v>
      </x:c>
      <x:c r="N119" s="1" t="n">
        <x:v>0</x:v>
      </x:c>
      <x:c r="O119" s="1" t="str">
        <x:v>updated receipts.csv</x:v>
      </x:c>
      <x:c r="P119" s="10" t="n">
        <x:f>H119*I119</x:f>
        <x:v>720</x:v>
      </x:c>
      <x:c r="Q119" s="10" t="n">
        <x:f>IF(K119&gt;0,J119/K119,"n.a.")</x:f>
        <x:v>17.55</x:v>
      </x:c>
      <x:c r="R119" s="11" t="n">
        <x:f>IF(ISNUMBER(Q119),P119*Q119,"n.a.")</x:f>
        <x:v>12636</x:v>
      </x:c>
    </x:row>
    <x:row r="120" ht="21" customHeight="1">
      <x:c r="A120" s="1" t="str">
        <x:v>FILM</x:v>
      </x:c>
      <x:c r="B120" s="1" t="str">
        <x:v>30</x:v>
      </x:c>
      <x:c r="C120" s="1" t="str">
        <x:v>2550015C2</x:v>
      </x:c>
      <x:c r="D120" s="1" t="str">
        <x:v>3003960</x:v>
      </x:c>
      <x:c r="E120" s="1" t="str">
        <x:v>0</x:v>
      </x:c>
      <x:c r="F120" s="1" t="str">
        <x:v>14</x:v>
      </x:c>
      <x:c r="G120" s="7" t="n">
        <x:v>46311</x:v>
      </x:c>
      <x:c r="H120" s="1" t="n">
        <x:v>128</x:v>
      </x:c>
      <x:c r="I120" s="1" t="n">
        <x:v>1</x:v>
      </x:c>
      <x:c r="J120" s="1" t="n">
        <x:v>16.2</x:v>
      </x:c>
      <x:c r="K120" s="1" t="n">
        <x:v>1</x:v>
      </x:c>
      <x:c r="L120" s="1" t="str">
        <x:v>a</x:v>
      </x:c>
      <x:c r="M120" s="1" t="n">
        <x:v>128</x:v>
      </x:c>
      <x:c r="N120" s="1" t="n">
        <x:v>0</x:v>
      </x:c>
      <x:c r="O120" s="1" t="str">
        <x:v>updated receipts.csv</x:v>
      </x:c>
      <x:c r="P120" s="10" t="n">
        <x:f>H120*I120</x:f>
        <x:v>128</x:v>
      </x:c>
      <x:c r="Q120" s="10" t="n">
        <x:f>IF(K120&gt;0,J120/K120,"n.a.")</x:f>
        <x:v>16.2</x:v>
      </x:c>
      <x:c r="R120" s="11" t="n">
        <x:f>IF(ISNUMBER(Q120),P120*Q120,"n.a.")</x:f>
        <x:v>2073.6</x:v>
      </x:c>
    </x:row>
    <x:row r="121" ht="21" customHeight="1">
      <x:c r="A121" s="1" t="str">
        <x:v>FILM</x:v>
      </x:c>
      <x:c r="B121" s="1" t="str">
        <x:v>30</x:v>
      </x:c>
      <x:c r="C121" s="1" t="str">
        <x:v>272005C1</x:v>
      </x:c>
      <x:c r="D121" s="1" t="str">
        <x:v>3003960</x:v>
      </x:c>
      <x:c r="E121" s="1" t="str">
        <x:v>0</x:v>
      </x:c>
      <x:c r="F121" s="1" t="str">
        <x:v>8</x:v>
      </x:c>
      <x:c r="G121" s="7" t="n">
        <x:v>46311</x:v>
      </x:c>
      <x:c r="H121" s="1" t="n">
        <x:v>72</x:v>
      </x:c>
      <x:c r="I121" s="1" t="n">
        <x:v>1</x:v>
      </x:c>
      <x:c r="J121" s="1" t="n">
        <x:v>27.48</x:v>
      </x:c>
      <x:c r="K121" s="1" t="n">
        <x:v>1</x:v>
      </x:c>
      <x:c r="L121" s="1" t="str">
        <x:v>a</x:v>
      </x:c>
      <x:c r="M121" s="1" t="n">
        <x:v>72</x:v>
      </x:c>
      <x:c r="N121" s="1" t="n">
        <x:v>0</x:v>
      </x:c>
      <x:c r="O121" s="1" t="str">
        <x:v>updated receipts.csv</x:v>
      </x:c>
      <x:c r="P121" s="10" t="n">
        <x:f>H121*I121</x:f>
        <x:v>72</x:v>
      </x:c>
      <x:c r="Q121" s="10" t="n">
        <x:f>IF(K121&gt;0,J121/K121,"n.a.")</x:f>
        <x:v>27.48</x:v>
      </x:c>
      <x:c r="R121" s="11" t="n">
        <x:f>IF(ISNUMBER(Q121),P121*Q121,"n.a.")</x:f>
        <x:v>1978.56</x:v>
      </x:c>
    </x:row>
    <x:row r="122" ht="21" customHeight="1">
      <x:c r="A122" s="1" t="str">
        <x:v>FILM</x:v>
      </x:c>
      <x:c r="B122" s="1" t="str">
        <x:v>30</x:v>
      </x:c>
      <x:c r="C122" s="1" t="str">
        <x:v>272503C1</x:v>
      </x:c>
      <x:c r="D122" s="1" t="str">
        <x:v>3003960</x:v>
      </x:c>
      <x:c r="E122" s="1" t="str">
        <x:v>0</x:v>
      </x:c>
      <x:c r="F122" s="1" t="str">
        <x:v>5</x:v>
      </x:c>
      <x:c r="G122" s="7" t="n">
        <x:v>46311</x:v>
      </x:c>
      <x:c r="H122" s="1" t="n">
        <x:v>1080</x:v>
      </x:c>
      <x:c r="I122" s="1" t="n">
        <x:v>1</x:v>
      </x:c>
      <x:c r="J122" s="1" t="n">
        <x:v>18.95</x:v>
      </x:c>
      <x:c r="K122" s="1" t="n">
        <x:v>1</x:v>
      </x:c>
      <x:c r="L122" s="1" t="str">
        <x:v>a</x:v>
      </x:c>
      <x:c r="M122" s="1" t="n">
        <x:v>1080</x:v>
      </x:c>
      <x:c r="N122" s="1" t="n">
        <x:v>0</x:v>
      </x:c>
      <x:c r="O122" s="1" t="str">
        <x:v>updated receipts.csv</x:v>
      </x:c>
      <x:c r="P122" s="10" t="n">
        <x:f>H122*I122</x:f>
        <x:v>1080</x:v>
      </x:c>
      <x:c r="Q122" s="10" t="n">
        <x:f>IF(K122&gt;0,J122/K122,"n.a.")</x:f>
        <x:v>18.95</x:v>
      </x:c>
      <x:c r="R122" s="11" t="n">
        <x:f>IF(ISNUMBER(Q122),P122*Q122,"n.a.")</x:f>
        <x:v>20466</x:v>
      </x:c>
    </x:row>
    <x:row r="123" ht="21" customHeight="1">
      <x:c r="A123" s="1" t="str">
        <x:v>FILM</x:v>
      </x:c>
      <x:c r="B123" s="1" t="str">
        <x:v>30</x:v>
      </x:c>
      <x:c r="C123" s="1" t="str">
        <x:v>2750015C1</x:v>
      </x:c>
      <x:c r="D123" s="1" t="str">
        <x:v>3003960</x:v>
      </x:c>
      <x:c r="E123" s="1" t="str">
        <x:v>0</x:v>
      </x:c>
      <x:c r="F123" s="1" t="str">
        <x:v>2</x:v>
      </x:c>
      <x:c r="G123" s="7" t="n">
        <x:v>46311</x:v>
      </x:c>
      <x:c r="H123" s="1" t="n">
        <x:v>1080</x:v>
      </x:c>
      <x:c r="I123" s="1" t="n">
        <x:v>1</x:v>
      </x:c>
      <x:c r="J123" s="1" t="n">
        <x:v>17.5</x:v>
      </x:c>
      <x:c r="K123" s="1" t="n">
        <x:v>1</x:v>
      </x:c>
      <x:c r="L123" s="1" t="str">
        <x:v>a</x:v>
      </x:c>
      <x:c r="M123" s="1" t="n">
        <x:v>1080</x:v>
      </x:c>
      <x:c r="N123" s="1" t="n">
        <x:v>0</x:v>
      </x:c>
      <x:c r="O123" s="1" t="str">
        <x:v>updated receipts.csv</x:v>
      </x:c>
      <x:c r="P123" s="10" t="n">
        <x:f>H123*I123</x:f>
        <x:v>1080</x:v>
      </x:c>
      <x:c r="Q123" s="10" t="n">
        <x:f>IF(K123&gt;0,J123/K123,"n.a.")</x:f>
        <x:v>17.5</x:v>
      </x:c>
      <x:c r="R123" s="11" t="n">
        <x:f>IF(ISNUMBER(Q123),P123*Q123,"n.a.")</x:f>
        <x:v>18900</x:v>
      </x:c>
    </x:row>
    <x:row r="124" ht="21" customHeight="1">
      <x:c r="A124" s="1" t="str">
        <x:v>FILM</x:v>
      </x:c>
      <x:c r="B124" s="1" t="str">
        <x:v>30</x:v>
      </x:c>
      <x:c r="C124" s="1" t="str">
        <x:v>2750017C1</x:v>
      </x:c>
      <x:c r="D124" s="1" t="str">
        <x:v>3003960</x:v>
      </x:c>
      <x:c r="E124" s="1" t="str">
        <x:v>0</x:v>
      </x:c>
      <x:c r="F124" s="1" t="str">
        <x:v>3</x:v>
      </x:c>
      <x:c r="G124" s="7" t="n">
        <x:v>46311</x:v>
      </x:c>
      <x:c r="H124" s="1" t="n">
        <x:v>180</x:v>
      </x:c>
      <x:c r="I124" s="1" t="n">
        <x:v>1</x:v>
      </x:c>
      <x:c r="J124" s="1" t="n">
        <x:v>25.11</x:v>
      </x:c>
      <x:c r="K124" s="1" t="n">
        <x:v>1</x:v>
      </x:c>
      <x:c r="L124" s="1" t="str">
        <x:v>a</x:v>
      </x:c>
      <x:c r="M124" s="1" t="n">
        <x:v>180</x:v>
      </x:c>
      <x:c r="N124" s="1" t="n">
        <x:v>0</x:v>
      </x:c>
      <x:c r="O124" s="1" t="str">
        <x:v>updated receipts.csv</x:v>
      </x:c>
      <x:c r="P124" s="10" t="n">
        <x:f>H124*I124</x:f>
        <x:v>180</x:v>
      </x:c>
      <x:c r="Q124" s="10" t="n">
        <x:f>IF(K124&gt;0,J124/K124,"n.a.")</x:f>
        <x:v>25.11</x:v>
      </x:c>
      <x:c r="R124" s="11" t="n">
        <x:f>IF(ISNUMBER(Q124),P124*Q124,"n.a.")</x:f>
        <x:v>4519.8</x:v>
      </x:c>
    </x:row>
    <x:row r="125" ht="21" customHeight="1">
      <x:c r="A125" s="1" t="str">
        <x:v>FILM</x:v>
      </x:c>
      <x:c r="B125" s="1" t="str">
        <x:v>30</x:v>
      </x:c>
      <x:c r="C125" s="1" t="str">
        <x:v>382005C3</x:v>
      </x:c>
      <x:c r="D125" s="1" t="str">
        <x:v>3003960</x:v>
      </x:c>
      <x:c r="E125" s="1" t="str">
        <x:v>0</x:v>
      </x:c>
      <x:c r="F125" s="1" t="str">
        <x:v>10</x:v>
      </x:c>
      <x:c r="G125" s="7" t="n">
        <x:v>46311</x:v>
      </x:c>
      <x:c r="H125" s="1" t="n">
        <x:v>25</x:v>
      </x:c>
      <x:c r="I125" s="1" t="n">
        <x:v>1</x:v>
      </x:c>
      <x:c r="J125" s="1" t="n">
        <x:v>38.67</x:v>
      </x:c>
      <x:c r="K125" s="1" t="n">
        <x:v>1</x:v>
      </x:c>
      <x:c r="L125" s="1" t="str">
        <x:v>a</x:v>
      </x:c>
      <x:c r="M125" s="1" t="n">
        <x:v>25</x:v>
      </x:c>
      <x:c r="N125" s="1" t="n">
        <x:v>0</x:v>
      </x:c>
      <x:c r="O125" s="1" t="str">
        <x:v>updated receipts.csv</x:v>
      </x:c>
      <x:c r="P125" s="10" t="n">
        <x:f>H125*I125</x:f>
        <x:v>25</x:v>
      </x:c>
      <x:c r="Q125" s="10" t="n">
        <x:f>IF(K125&gt;0,J125/K125,"n.a.")</x:f>
        <x:v>38.67</x:v>
      </x:c>
      <x:c r="R125" s="11" t="n">
        <x:f>IF(ISNUMBER(Q125),P125*Q125,"n.a.")</x:f>
        <x:v>966.75</x:v>
      </x:c>
    </x:row>
    <x:row r="126" ht="21" customHeight="1">
      <x:c r="A126" s="1" t="str">
        <x:v>FILM</x:v>
      </x:c>
      <x:c r="B126" s="1" t="str">
        <x:v>30</x:v>
      </x:c>
      <x:c r="C126" s="1" t="str">
        <x:v>ST252503M1</x:v>
      </x:c>
      <x:c r="D126" s="1" t="str">
        <x:v>3003960</x:v>
      </x:c>
      <x:c r="E126" s="1" t="str">
        <x:v>0</x:v>
      </x:c>
      <x:c r="F126" s="1" t="str">
        <x:v>13</x:v>
      </x:c>
      <x:c r="G126" s="7" t="n">
        <x:v>46311</x:v>
      </x:c>
      <x:c r="H126" s="1" t="n">
        <x:v>120</x:v>
      </x:c>
      <x:c r="I126" s="1" t="n">
        <x:v>1</x:v>
      </x:c>
      <x:c r="J126" s="1" t="n">
        <x:v>49.05</x:v>
      </x:c>
      <x:c r="K126" s="1" t="n">
        <x:v>1</x:v>
      </x:c>
      <x:c r="L126" s="1" t="str">
        <x:v>a</x:v>
      </x:c>
      <x:c r="M126" s="1" t="n">
        <x:v>120</x:v>
      </x:c>
      <x:c r="N126" s="1" t="n">
        <x:v>0</x:v>
      </x:c>
      <x:c r="O126" s="1" t="str">
        <x:v>updated receipts.csv</x:v>
      </x:c>
      <x:c r="P126" s="10" t="n">
        <x:f>H126*I126</x:f>
        <x:v>120</x:v>
      </x:c>
      <x:c r="Q126" s="10" t="n">
        <x:f>IF(K126&gt;0,J126/K126,"n.a.")</x:f>
        <x:v>49.05</x:v>
      </x:c>
      <x:c r="R126" s="11" t="n">
        <x:f>IF(ISNUMBER(Q126),P126*Q126,"n.a.")</x:f>
        <x:v>5886</x:v>
      </x:c>
    </x:row>
    <x:row r="127" ht="21" customHeight="1">
      <x:c r="A127" s="1" t="str">
        <x:v>FILM</x:v>
      </x:c>
      <x:c r="B127" s="1" t="str">
        <x:v>60</x:v>
      </x:c>
      <x:c r="C127" s="1" t="str">
        <x:v>1210010C1</x:v>
      </x:c>
      <x:c r="D127" s="1" t="str">
        <x:v>6102959</x:v>
      </x:c>
      <x:c r="E127" s="1" t="str">
        <x:v>0</x:v>
      </x:c>
      <x:c r="F127" s="1" t="str">
        <x:v>14</x:v>
      </x:c>
      <x:c r="G127" s="7" t="n">
        <x:v>46402</x:v>
      </x:c>
      <x:c r="H127" s="1" t="n">
        <x:v>72</x:v>
      </x:c>
      <x:c r="I127" s="1" t="n">
        <x:v>1</x:v>
      </x:c>
      <x:c r="J127" s="1" t="n">
        <x:v>13.66</x:v>
      </x:c>
      <x:c r="K127" s="1" t="n">
        <x:v>1</x:v>
      </x:c>
      <x:c r="L127" s="1" t="str">
        <x:v>a</x:v>
      </x:c>
      <x:c r="M127" s="1" t="n">
        <x:v>72</x:v>
      </x:c>
      <x:c r="N127" s="1" t="n">
        <x:v>0</x:v>
      </x:c>
      <x:c r="O127" s="1" t="str">
        <x:v>updated receipts.csv</x:v>
      </x:c>
      <x:c r="P127" s="10" t="n">
        <x:f>H127*I127</x:f>
        <x:v>72</x:v>
      </x:c>
      <x:c r="Q127" s="10" t="n">
        <x:f>IF(K127&gt;0,J127/K127,"n.a.")</x:f>
        <x:v>13.66</x:v>
      </x:c>
      <x:c r="R127" s="11" t="n">
        <x:f>IF(ISNUMBER(Q127),P127*Q127,"n.a.")</x:f>
        <x:v>983.52</x:v>
      </x:c>
    </x:row>
    <x:row r="128" ht="21" customHeight="1">
      <x:c r="A128" s="1" t="str">
        <x:v>FILM</x:v>
      </x:c>
      <x:c r="B128" s="1" t="str">
        <x:v>60</x:v>
      </x:c>
      <x:c r="C128" s="1" t="str">
        <x:v>122005C1</x:v>
      </x:c>
      <x:c r="D128" s="1" t="str">
        <x:v>6102959</x:v>
      </x:c>
      <x:c r="E128" s="1" t="str">
        <x:v>0</x:v>
      </x:c>
      <x:c r="F128" s="1" t="str">
        <x:v>8</x:v>
      </x:c>
      <x:c r="G128" s="7" t="n">
        <x:v>46402</x:v>
      </x:c>
      <x:c r="H128" s="1" t="n">
        <x:v>144</x:v>
      </x:c>
      <x:c r="I128" s="1" t="n">
        <x:v>1</x:v>
      </x:c>
      <x:c r="J128" s="1" t="n">
        <x:v>12.21</x:v>
      </x:c>
      <x:c r="K128" s="1" t="n">
        <x:v>1</x:v>
      </x:c>
      <x:c r="L128" s="1" t="str">
        <x:v>a</x:v>
      </x:c>
      <x:c r="M128" s="1" t="n">
        <x:v>144</x:v>
      </x:c>
      <x:c r="N128" s="1" t="n">
        <x:v>0</x:v>
      </x:c>
      <x:c r="O128" s="1" t="str">
        <x:v>updated receipts.csv</x:v>
      </x:c>
      <x:c r="P128" s="10" t="n">
        <x:f>H128*I128</x:f>
        <x:v>144</x:v>
      </x:c>
      <x:c r="Q128" s="10" t="n">
        <x:f>IF(K128&gt;0,J128/K128,"n.a.")</x:f>
        <x:v>12.21</x:v>
      </x:c>
      <x:c r="R128" s="11" t="n">
        <x:f>IF(ISNUMBER(Q128),P128*Q128,"n.a.")</x:f>
        <x:v>1758.2400000000002</x:v>
      </x:c>
    </x:row>
    <x:row r="129" ht="21" customHeight="1">
      <x:c r="A129" s="1" t="str">
        <x:v>FILM</x:v>
      </x:c>
      <x:c r="B129" s="1" t="str">
        <x:v>60</x:v>
      </x:c>
      <x:c r="C129" s="1" t="str">
        <x:v>1250015C1</x:v>
      </x:c>
      <x:c r="D129" s="1" t="str">
        <x:v>6102959</x:v>
      </x:c>
      <x:c r="E129" s="1" t="str">
        <x:v>0</x:v>
      </x:c>
      <x:c r="F129" s="1" t="str">
        <x:v>1</x:v>
      </x:c>
      <x:c r="G129" s="7" t="n">
        <x:v>46402</x:v>
      </x:c>
      <x:c r="H129" s="1" t="n">
        <x:v>120</x:v>
      </x:c>
      <x:c r="I129" s="1" t="n">
        <x:v>1</x:v>
      </x:c>
      <x:c r="J129" s="1" t="n">
        <x:v>7.78</x:v>
      </x:c>
      <x:c r="K129" s="1" t="n">
        <x:v>1</x:v>
      </x:c>
      <x:c r="L129" s="1" t="str">
        <x:v>a</x:v>
      </x:c>
      <x:c r="M129" s="1" t="n">
        <x:v>120</x:v>
      </x:c>
      <x:c r="N129" s="1" t="n">
        <x:v>0</x:v>
      </x:c>
      <x:c r="O129" s="1" t="str">
        <x:v>updated receipts.csv</x:v>
      </x:c>
      <x:c r="P129" s="10" t="n">
        <x:f>H129*I129</x:f>
        <x:v>120</x:v>
      </x:c>
      <x:c r="Q129" s="10" t="n">
        <x:f>IF(K129&gt;0,J129/K129,"n.a.")</x:f>
        <x:v>7.78</x:v>
      </x:c>
      <x:c r="R129" s="11" t="n">
        <x:f>IF(ISNUMBER(Q129),P129*Q129,"n.a.")</x:f>
        <x:v>933.6</x:v>
      </x:c>
    </x:row>
    <x:row r="130" ht="21" customHeight="1">
      <x:c r="A130" s="1" t="str">
        <x:v>FILM</x:v>
      </x:c>
      <x:c r="B130" s="1" t="str">
        <x:v>60</x:v>
      </x:c>
      <x:c r="C130" s="1" t="str">
        <x:v>1810010C1</x:v>
      </x:c>
      <x:c r="D130" s="1" t="str">
        <x:v>6102959</x:v>
      </x:c>
      <x:c r="E130" s="1" t="str">
        <x:v>0</x:v>
      </x:c>
      <x:c r="F130" s="1" t="str">
        <x:v>15</x:v>
      </x:c>
      <x:c r="G130" s="7" t="n">
        <x:v>46402</x:v>
      </x:c>
      <x:c r="H130" s="1" t="n">
        <x:v>72</x:v>
      </x:c>
      <x:c r="I130" s="1" t="n">
        <x:v>1</x:v>
      </x:c>
      <x:c r="J130" s="1" t="n">
        <x:v>20.47</x:v>
      </x:c>
      <x:c r="K130" s="1" t="n">
        <x:v>1</x:v>
      </x:c>
      <x:c r="L130" s="1" t="str">
        <x:v>a</x:v>
      </x:c>
      <x:c r="M130" s="1" t="n">
        <x:v>72</x:v>
      </x:c>
      <x:c r="N130" s="1" t="n">
        <x:v>0</x:v>
      </x:c>
      <x:c r="O130" s="1" t="str">
        <x:v>updated receipts.csv</x:v>
      </x:c>
      <x:c r="P130" s="10" t="n">
        <x:f>H130*I130</x:f>
        <x:v>72</x:v>
      </x:c>
      <x:c r="Q130" s="10" t="n">
        <x:f>IF(K130&gt;0,J130/K130,"n.a.")</x:f>
        <x:v>20.47</x:v>
      </x:c>
      <x:c r="R130" s="11" t="n">
        <x:f>IF(ISNUMBER(Q130),P130*Q130,"n.a.")</x:f>
        <x:v>1473.84</x:v>
      </x:c>
    </x:row>
    <x:row r="131" ht="21" customHeight="1">
      <x:c r="A131" s="1" t="str">
        <x:v>FILM</x:v>
      </x:c>
      <x:c r="B131" s="1" t="str">
        <x:v>60</x:v>
      </x:c>
      <x:c r="C131" s="1" t="str">
        <x:v>182005C1</x:v>
      </x:c>
      <x:c r="D131" s="1" t="str">
        <x:v>6102959</x:v>
      </x:c>
      <x:c r="E131" s="1" t="str">
        <x:v>0</x:v>
      </x:c>
      <x:c r="F131" s="1" t="str">
        <x:v>9</x:v>
      </x:c>
      <x:c r="G131" s="7" t="n">
        <x:v>46402</x:v>
      </x:c>
      <x:c r="H131" s="1" t="n">
        <x:v>72</x:v>
      </x:c>
      <x:c r="I131" s="1" t="n">
        <x:v>1</x:v>
      </x:c>
      <x:c r="J131" s="1" t="n">
        <x:v>18.32</x:v>
      </x:c>
      <x:c r="K131" s="1" t="n">
        <x:v>1</x:v>
      </x:c>
      <x:c r="L131" s="1" t="str">
        <x:v>a</x:v>
      </x:c>
      <x:c r="M131" s="1" t="n">
        <x:v>72</x:v>
      </x:c>
      <x:c r="N131" s="1" t="n">
        <x:v>0</x:v>
      </x:c>
      <x:c r="O131" s="1" t="str">
        <x:v>updated receipts.csv</x:v>
      </x:c>
      <x:c r="P131" s="10" t="n">
        <x:f>H131*I131</x:f>
        <x:v>72</x:v>
      </x:c>
      <x:c r="Q131" s="10" t="n">
        <x:f>IF(K131&gt;0,J131/K131,"n.a.")</x:f>
        <x:v>18.32</x:v>
      </x:c>
      <x:c r="R131" s="11" t="n">
        <x:f>IF(ISNUMBER(Q131),P131*Q131,"n.a.")</x:f>
        <x:v>1319.04</x:v>
      </x:c>
    </x:row>
    <x:row r="132" ht="21" customHeight="1">
      <x:c r="A132" s="1" t="str">
        <x:v>FILM</x:v>
      </x:c>
      <x:c r="B132" s="1" t="str">
        <x:v>60</x:v>
      </x:c>
      <x:c r="C132" s="1" t="str">
        <x:v>185005C2</x:v>
      </x:c>
      <x:c r="D132" s="1" t="str">
        <x:v>6102959</x:v>
      </x:c>
      <x:c r="E132" s="1" t="str">
        <x:v>0</x:v>
      </x:c>
      <x:c r="F132" s="1" t="str">
        <x:v>12</x:v>
      </x:c>
      <x:c r="G132" s="7" t="n">
        <x:v>46402</x:v>
      </x:c>
      <x:c r="H132" s="1" t="n">
        <x:v>20</x:v>
      </x:c>
      <x:c r="I132" s="1" t="n">
        <x:v>1</x:v>
      </x:c>
      <x:c r="J132" s="1" t="n">
        <x:v>45.79</x:v>
      </x:c>
      <x:c r="K132" s="1" t="n">
        <x:v>1</x:v>
      </x:c>
      <x:c r="L132" s="1" t="str">
        <x:v>a</x:v>
      </x:c>
      <x:c r="M132" s="1" t="n">
        <x:v>20</x:v>
      </x:c>
      <x:c r="N132" s="1" t="n">
        <x:v>0</x:v>
      </x:c>
      <x:c r="O132" s="1" t="str">
        <x:v>updated receipts.csv</x:v>
      </x:c>
      <x:c r="P132" s="10" t="n">
        <x:f>H132*I132</x:f>
        <x:v>20</x:v>
      </x:c>
      <x:c r="Q132" s="10" t="n">
        <x:f>IF(K132&gt;0,J132/K132,"n.a.")</x:f>
        <x:v>45.79</x:v>
      </x:c>
      <x:c r="R132" s="11" t="n">
        <x:f>IF(ISNUMBER(Q132),P132*Q132,"n.a.")</x:f>
        <x:v>915.8</x:v>
      </x:c>
    </x:row>
    <x:row r="133" ht="21" customHeight="1">
      <x:c r="A133" s="1" t="str">
        <x:v>FILM</x:v>
      </x:c>
      <x:c r="B133" s="1" t="str">
        <x:v>60</x:v>
      </x:c>
      <x:c r="C133" s="1" t="str">
        <x:v>2510010C1</x:v>
      </x:c>
      <x:c r="D133" s="1" t="str">
        <x:v>6102959</x:v>
      </x:c>
      <x:c r="E133" s="1" t="str">
        <x:v>0</x:v>
      </x:c>
      <x:c r="F133" s="1" t="str">
        <x:v>16</x:v>
      </x:c>
      <x:c r="G133" s="7" t="n">
        <x:v>46402</x:v>
      </x:c>
      <x:c r="H133" s="1" t="n">
        <x:v>72</x:v>
      </x:c>
      <x:c r="I133" s="1" t="n">
        <x:v>1</x:v>
      </x:c>
      <x:c r="J133" s="1" t="n">
        <x:v>28.44</x:v>
      </x:c>
      <x:c r="K133" s="1" t="n">
        <x:v>1</x:v>
      </x:c>
      <x:c r="L133" s="1" t="str">
        <x:v>a</x:v>
      </x:c>
      <x:c r="M133" s="1" t="n">
        <x:v>72</x:v>
      </x:c>
      <x:c r="N133" s="1" t="n">
        <x:v>0</x:v>
      </x:c>
      <x:c r="O133" s="1" t="str">
        <x:v>updated receipts.csv</x:v>
      </x:c>
      <x:c r="P133" s="10" t="n">
        <x:f>H133*I133</x:f>
        <x:v>72</x:v>
      </x:c>
      <x:c r="Q133" s="10" t="n">
        <x:f>IF(K133&gt;0,J133/K133,"n.a.")</x:f>
        <x:v>28.44</x:v>
      </x:c>
      <x:c r="R133" s="11" t="n">
        <x:f>IF(ISNUMBER(Q133),P133*Q133,"n.a.")</x:f>
        <x:v>2047.68</x:v>
      </x:c>
    </x:row>
    <x:row r="134" ht="21" customHeight="1">
      <x:c r="A134" s="1" t="str">
        <x:v>FILM</x:v>
      </x:c>
      <x:c r="B134" s="1" t="str">
        <x:v>60</x:v>
      </x:c>
      <x:c r="C134" s="1" t="str">
        <x:v>252005C1</x:v>
      </x:c>
      <x:c r="D134" s="1" t="str">
        <x:v>6102959</x:v>
      </x:c>
      <x:c r="E134" s="1" t="str">
        <x:v>0</x:v>
      </x:c>
      <x:c r="F134" s="1" t="str">
        <x:v>10</x:v>
      </x:c>
      <x:c r="G134" s="7" t="n">
        <x:v>46402</x:v>
      </x:c>
      <x:c r="H134" s="1" t="n">
        <x:v>144</x:v>
      </x:c>
      <x:c r="I134" s="1" t="n">
        <x:v>1</x:v>
      </x:c>
      <x:c r="J134" s="1" t="n">
        <x:v>25.44</x:v>
      </x:c>
      <x:c r="K134" s="1" t="n">
        <x:v>1</x:v>
      </x:c>
      <x:c r="L134" s="1" t="str">
        <x:v>a</x:v>
      </x:c>
      <x:c r="M134" s="1" t="n">
        <x:v>144</x:v>
      </x:c>
      <x:c r="N134" s="1" t="n">
        <x:v>0</x:v>
      </x:c>
      <x:c r="O134" s="1" t="str">
        <x:v>updated receipts.csv</x:v>
      </x:c>
      <x:c r="P134" s="10" t="n">
        <x:f>H134*I134</x:f>
        <x:v>144</x:v>
      </x:c>
      <x:c r="Q134" s="10" t="n">
        <x:f>IF(K134&gt;0,J134/K134,"n.a.")</x:f>
        <x:v>25.44</x:v>
      </x:c>
      <x:c r="R134" s="11" t="n">
        <x:f>IF(ISNUMBER(Q134),P134*Q134,"n.a.")</x:f>
        <x:v>3663.36</x:v>
      </x:c>
    </x:row>
    <x:row r="135" ht="21" customHeight="1">
      <x:c r="A135" s="1" t="str">
        <x:v>FILM</x:v>
      </x:c>
      <x:c r="B135" s="1" t="str">
        <x:v>60</x:v>
      </x:c>
      <x:c r="C135" s="1" t="str">
        <x:v>252503C1</x:v>
      </x:c>
      <x:c r="D135" s="1" t="str">
        <x:v>6102959</x:v>
      </x:c>
      <x:c r="E135" s="1" t="str">
        <x:v>0</x:v>
      </x:c>
      <x:c r="F135" s="1" t="str">
        <x:v>4</x:v>
      </x:c>
      <x:c r="G135" s="7" t="n">
        <x:v>46402</x:v>
      </x:c>
      <x:c r="H135" s="1" t="n">
        <x:v>480</x:v>
      </x:c>
      <x:c r="I135" s="1" t="n">
        <x:v>1</x:v>
      </x:c>
      <x:c r="J135" s="1" t="n">
        <x:v>17.55</x:v>
      </x:c>
      <x:c r="K135" s="1" t="n">
        <x:v>1</x:v>
      </x:c>
      <x:c r="L135" s="1" t="str">
        <x:v>a</x:v>
      </x:c>
      <x:c r="M135" s="1" t="n">
        <x:v>480</x:v>
      </x:c>
      <x:c r="N135" s="1" t="n">
        <x:v>0</x:v>
      </x:c>
      <x:c r="O135" s="1" t="str">
        <x:v>updated receipts.csv</x:v>
      </x:c>
      <x:c r="P135" s="10" t="n">
        <x:f>H135*I135</x:f>
        <x:v>480</x:v>
      </x:c>
      <x:c r="Q135" s="10" t="n">
        <x:f>IF(K135&gt;0,J135/K135,"n.a.")</x:f>
        <x:v>17.55</x:v>
      </x:c>
      <x:c r="R135" s="11" t="n">
        <x:f>IF(ISNUMBER(Q135),P135*Q135,"n.a.")</x:f>
        <x:v>8424</x:v>
      </x:c>
    </x:row>
    <x:row r="136" ht="21" customHeight="1">
      <x:c r="A136" s="1" t="str">
        <x:v>FILM</x:v>
      </x:c>
      <x:c r="B136" s="1" t="str">
        <x:v>60</x:v>
      </x:c>
      <x:c r="C136" s="1" t="str">
        <x:v>2550015C1</x:v>
      </x:c>
      <x:c r="D136" s="1" t="str">
        <x:v>6102959</x:v>
      </x:c>
      <x:c r="E136" s="1" t="str">
        <x:v>0</x:v>
      </x:c>
      <x:c r="F136" s="1" t="str">
        <x:v>2</x:v>
      </x:c>
      <x:c r="G136" s="7" t="n">
        <x:v>46402</x:v>
      </x:c>
      <x:c r="H136" s="1" t="n">
        <x:v>1680</x:v>
      </x:c>
      <x:c r="I136" s="1" t="n">
        <x:v>1</x:v>
      </x:c>
      <x:c r="J136" s="1" t="n">
        <x:v>16.2</x:v>
      </x:c>
      <x:c r="K136" s="1" t="n">
        <x:v>1</x:v>
      </x:c>
      <x:c r="L136" s="1" t="str">
        <x:v>a</x:v>
      </x:c>
      <x:c r="M136" s="1" t="n">
        <x:v>1680</x:v>
      </x:c>
      <x:c r="N136" s="1" t="n">
        <x:v>0</x:v>
      </x:c>
      <x:c r="O136" s="1" t="str">
        <x:v>updated receipts.csv</x:v>
      </x:c>
      <x:c r="P136" s="10" t="n">
        <x:f>H136*I136</x:f>
        <x:v>1680</x:v>
      </x:c>
      <x:c r="Q136" s="10" t="n">
        <x:f>IF(K136&gt;0,J136/K136,"n.a.")</x:f>
        <x:v>16.2</x:v>
      </x:c>
      <x:c r="R136" s="11" t="n">
        <x:f>IF(ISNUMBER(Q136),P136*Q136,"n.a.")</x:f>
        <x:v>27216</x:v>
      </x:c>
    </x:row>
    <x:row r="137" ht="21" customHeight="1">
      <x:c r="A137" s="1" t="str">
        <x:v>FILM</x:v>
      </x:c>
      <x:c r="B137" s="1" t="str">
        <x:v>60</x:v>
      </x:c>
      <x:c r="C137" s="1" t="str">
        <x:v>272005C1</x:v>
      </x:c>
      <x:c r="D137" s="1" t="str">
        <x:v>6102959</x:v>
      </x:c>
      <x:c r="E137" s="1" t="str">
        <x:v>0</x:v>
      </x:c>
      <x:c r="F137" s="1" t="str">
        <x:v>11</x:v>
      </x:c>
      <x:c r="G137" s="7" t="n">
        <x:v>46402</x:v>
      </x:c>
      <x:c r="H137" s="1" t="n">
        <x:v>144</x:v>
      </x:c>
      <x:c r="I137" s="1" t="n">
        <x:v>1</x:v>
      </x:c>
      <x:c r="J137" s="1" t="n">
        <x:v>27.48</x:v>
      </x:c>
      <x:c r="K137" s="1" t="n">
        <x:v>1</x:v>
      </x:c>
      <x:c r="L137" s="1" t="str">
        <x:v>a</x:v>
      </x:c>
      <x:c r="M137" s="1" t="n">
        <x:v>144</x:v>
      </x:c>
      <x:c r="N137" s="1" t="n">
        <x:v>0</x:v>
      </x:c>
      <x:c r="O137" s="1" t="str">
        <x:v>updated receipts.csv</x:v>
      </x:c>
      <x:c r="P137" s="10" t="n">
        <x:f>H137*I137</x:f>
        <x:v>144</x:v>
      </x:c>
      <x:c r="Q137" s="10" t="n">
        <x:f>IF(K137&gt;0,J137/K137,"n.a.")</x:f>
        <x:v>27.48</x:v>
      </x:c>
      <x:c r="R137" s="11" t="n">
        <x:f>IF(ISNUMBER(Q137),P137*Q137,"n.a.")</x:f>
        <x:v>3957.12</x:v>
      </x:c>
    </x:row>
    <x:row r="138" ht="21" customHeight="1">
      <x:c r="A138" s="1" t="str">
        <x:v>FILM</x:v>
      </x:c>
      <x:c r="B138" s="1" t="str">
        <x:v>60</x:v>
      </x:c>
      <x:c r="C138" s="1" t="str">
        <x:v>272503C1</x:v>
      </x:c>
      <x:c r="D138" s="1" t="str">
        <x:v>6102959</x:v>
      </x:c>
      <x:c r="E138" s="1" t="str">
        <x:v>0</x:v>
      </x:c>
      <x:c r="F138" s="1" t="str">
        <x:v>5</x:v>
      </x:c>
      <x:c r="G138" s="7" t="n">
        <x:v>46402</x:v>
      </x:c>
      <x:c r="H138" s="1" t="n">
        <x:v>240</x:v>
      </x:c>
      <x:c r="I138" s="1" t="n">
        <x:v>1</x:v>
      </x:c>
      <x:c r="J138" s="1" t="n">
        <x:v>18.95</x:v>
      </x:c>
      <x:c r="K138" s="1" t="n">
        <x:v>1</x:v>
      </x:c>
      <x:c r="L138" s="1" t="str">
        <x:v>a</x:v>
      </x:c>
      <x:c r="M138" s="1" t="n">
        <x:v>240</x:v>
      </x:c>
      <x:c r="N138" s="1" t="n">
        <x:v>0</x:v>
      </x:c>
      <x:c r="O138" s="1" t="str">
        <x:v>updated receipts.csv</x:v>
      </x:c>
      <x:c r="P138" s="10" t="n">
        <x:f>H138*I138</x:f>
        <x:v>240</x:v>
      </x:c>
      <x:c r="Q138" s="10" t="n">
        <x:f>IF(K138&gt;0,J138/K138,"n.a.")</x:f>
        <x:v>18.95</x:v>
      </x:c>
      <x:c r="R138" s="11" t="n">
        <x:f>IF(ISNUMBER(Q138),P138*Q138,"n.a.")</x:f>
        <x:v>4548</x:v>
      </x:c>
    </x:row>
    <x:row r="139" ht="21" customHeight="1">
      <x:c r="A139" s="1" t="str">
        <x:v>FILM</x:v>
      </x:c>
      <x:c r="B139" s="1" t="str">
        <x:v>60</x:v>
      </x:c>
      <x:c r="C139" s="1" t="str">
        <x:v>2750015C1</x:v>
      </x:c>
      <x:c r="D139" s="1" t="str">
        <x:v>6102959</x:v>
      </x:c>
      <x:c r="E139" s="1" t="str">
        <x:v>0</x:v>
      </x:c>
      <x:c r="F139" s="1" t="str">
        <x:v>3</x:v>
      </x:c>
      <x:c r="G139" s="7" t="n">
        <x:v>46402</x:v>
      </x:c>
      <x:c r="H139" s="1" t="n">
        <x:v>480</x:v>
      </x:c>
      <x:c r="I139" s="1" t="n">
        <x:v>1</x:v>
      </x:c>
      <x:c r="J139" s="1" t="n">
        <x:v>17.5</x:v>
      </x:c>
      <x:c r="K139" s="1" t="n">
        <x:v>1</x:v>
      </x:c>
      <x:c r="L139" s="1" t="str">
        <x:v>a</x:v>
      </x:c>
      <x:c r="M139" s="1" t="n">
        <x:v>480</x:v>
      </x:c>
      <x:c r="N139" s="1" t="n">
        <x:v>0</x:v>
      </x:c>
      <x:c r="O139" s="1" t="str">
        <x:v>updated receipts.csv</x:v>
      </x:c>
      <x:c r="P139" s="10" t="n">
        <x:f>H139*I139</x:f>
        <x:v>480</x:v>
      </x:c>
      <x:c r="Q139" s="10" t="n">
        <x:f>IF(K139&gt;0,J139/K139,"n.a.")</x:f>
        <x:v>17.5</x:v>
      </x:c>
      <x:c r="R139" s="11" t="n">
        <x:f>IF(ISNUMBER(Q139),P139*Q139,"n.a.")</x:f>
        <x:v>8400</x:v>
      </x:c>
    </x:row>
    <x:row r="140" ht="21" customHeight="1">
      <x:c r="A140" s="1" t="str">
        <x:v>FILM</x:v>
      </x:c>
      <x:c r="B140" s="1" t="str">
        <x:v>60</x:v>
      </x:c>
      <x:c r="C140" s="1" t="str">
        <x:v>382005C3</x:v>
      </x:c>
      <x:c r="D140" s="1" t="str">
        <x:v>6102959</x:v>
      </x:c>
      <x:c r="E140" s="1" t="str">
        <x:v>0</x:v>
      </x:c>
      <x:c r="F140" s="1" t="str">
        <x:v>13</x:v>
      </x:c>
      <x:c r="G140" s="7" t="n">
        <x:v>46402</x:v>
      </x:c>
      <x:c r="H140" s="1" t="n">
        <x:v>25</x:v>
      </x:c>
      <x:c r="I140" s="1" t="n">
        <x:v>1</x:v>
      </x:c>
      <x:c r="J140" s="1" t="n">
        <x:v>38.67</x:v>
      </x:c>
      <x:c r="K140" s="1" t="n">
        <x:v>1</x:v>
      </x:c>
      <x:c r="L140" s="1" t="str">
        <x:v>a</x:v>
      </x:c>
      <x:c r="M140" s="1" t="n">
        <x:v>25</x:v>
      </x:c>
      <x:c r="N140" s="1" t="n">
        <x:v>0</x:v>
      </x:c>
      <x:c r="O140" s="1" t="str">
        <x:v>updated receipts.csv</x:v>
      </x:c>
      <x:c r="P140" s="10" t="n">
        <x:f>H140*I140</x:f>
        <x:v>25</x:v>
      </x:c>
      <x:c r="Q140" s="10" t="n">
        <x:f>IF(K140&gt;0,J140/K140,"n.a.")</x:f>
        <x:v>38.67</x:v>
      </x:c>
      <x:c r="R140" s="11" t="n">
        <x:f>IF(ISNUMBER(Q140),P140*Q140,"n.a.")</x:f>
        <x:v>966.75</x:v>
      </x:c>
    </x:row>
    <x:row r="141" ht="21" customHeight="1">
      <x:c r="A141" s="1" t="str">
        <x:v>FILM</x:v>
      </x:c>
      <x:c r="B141" s="1" t="str">
        <x:v>60</x:v>
      </x:c>
      <x:c r="C141" s="1" t="str">
        <x:v>PPFS</x:v>
      </x:c>
      <x:c r="D141" s="1" t="str">
        <x:v>6102959</x:v>
      </x:c>
      <x:c r="E141" s="1" t="str">
        <x:v>0</x:v>
      </x:c>
      <x:c r="F141" s="1" t="str">
        <x:v>20</x:v>
      </x:c>
      <x:c r="G141" s="7" t="n">
        <x:v>46402</x:v>
      </x:c>
      <x:c r="H141" s="1" t="n">
        <x:v>1</x:v>
      </x:c>
      <x:c r="I141" s="1" t="n">
        <x:v>1</x:v>
      </x:c>
      <x:c r="J141" s="1" t="n">
        <x:v>0</x:v>
      </x:c>
      <x:c r="K141" s="1" t="n">
        <x:v>1</x:v>
      </x:c>
      <x:c r="L141" s="1" t="str">
        <x:v>a</x:v>
      </x:c>
      <x:c r="M141" s="1" t="n">
        <x:v>1</x:v>
      </x:c>
      <x:c r="N141" s="1" t="n">
        <x:v>0</x:v>
      </x:c>
      <x:c r="O141" s="1" t="str">
        <x:v>updated receipts.csv</x:v>
      </x:c>
      <x:c r="P141" s="10" t="n">
        <x:f>H141*I141</x:f>
        <x:v>1</x:v>
      </x:c>
      <x:c r="Q141" s="10" t="n">
        <x:f>IF(K141&gt;0,J141/K141,"n.a.")</x:f>
        <x:v>0</x:v>
      </x:c>
      <x:c r="R141" s="11" t="n">
        <x:f>IF(ISNUMBER(Q141),P141*Q141,"n.a.")</x:f>
        <x:v>0</x:v>
      </x:c>
    </x:row>
    <x:row r="142" ht="21" customHeight="1">
      <x:c r="A142" s="1" t="str">
        <x:v>FILM</x:v>
      </x:c>
      <x:c r="B142" s="1" t="str">
        <x:v>60</x:v>
      </x:c>
      <x:c r="C142" s="1" t="str">
        <x:v>PR252503C1</x:v>
      </x:c>
      <x:c r="D142" s="1" t="str">
        <x:v>6102959</x:v>
      </x:c>
      <x:c r="E142" s="1" t="str">
        <x:v>0</x:v>
      </x:c>
      <x:c r="F142" s="1" t="str">
        <x:v>6</x:v>
      </x:c>
      <x:c r="G142" s="7" t="n">
        <x:v>46402</x:v>
      </x:c>
      <x:c r="H142" s="1" t="n">
        <x:v>120</x:v>
      </x:c>
      <x:c r="I142" s="1" t="n">
        <x:v>1</x:v>
      </x:c>
      <x:c r="J142" s="1" t="n">
        <x:v>20.25</x:v>
      </x:c>
      <x:c r="K142" s="1" t="n">
        <x:v>1</x:v>
      </x:c>
      <x:c r="L142" s="1" t="str">
        <x:v>a</x:v>
      </x:c>
      <x:c r="M142" s="1" t="n">
        <x:v>120</x:v>
      </x:c>
      <x:c r="N142" s="1" t="n">
        <x:v>0</x:v>
      </x:c>
      <x:c r="O142" s="1" t="str">
        <x:v>updated receipts.csv</x:v>
      </x:c>
      <x:c r="P142" s="10" t="n">
        <x:f>H142*I142</x:f>
        <x:v>120</x:v>
      </x:c>
      <x:c r="Q142" s="10" t="n">
        <x:f>IF(K142&gt;0,J142/K142,"n.a.")</x:f>
        <x:v>20.25</x:v>
      </x:c>
      <x:c r="R142" s="11" t="n">
        <x:f>IF(ISNUMBER(Q142),P142*Q142,"n.a.")</x:f>
        <x:v>2430</x:v>
      </x:c>
    </x:row>
    <x:row r="143" ht="21" customHeight="1">
      <x:c r="A143" s="1" t="str">
        <x:v>FILM</x:v>
      </x:c>
      <x:c r="B143" s="1" t="str">
        <x:v>60</x:v>
      </x:c>
      <x:c r="C143" s="1" t="str">
        <x:v>PR402503C2</x:v>
      </x:c>
      <x:c r="D143" s="1" t="str">
        <x:v>6102959</x:v>
      </x:c>
      <x:c r="E143" s="1" t="str">
        <x:v>0</x:v>
      </x:c>
      <x:c r="F143" s="1" t="str">
        <x:v>7</x:v>
      </x:c>
      <x:c r="G143" s="7" t="n">
        <x:v>46402</x:v>
      </x:c>
      <x:c r="H143" s="1" t="n">
        <x:v>64</x:v>
      </x:c>
      <x:c r="I143" s="1" t="n">
        <x:v>1</x:v>
      </x:c>
      <x:c r="J143" s="1" t="n">
        <x:v>32.4</x:v>
      </x:c>
      <x:c r="K143" s="1" t="n">
        <x:v>1</x:v>
      </x:c>
      <x:c r="L143" s="1" t="str">
        <x:v>a</x:v>
      </x:c>
      <x:c r="M143" s="1" t="n">
        <x:v>64</x:v>
      </x:c>
      <x:c r="N143" s="1" t="n">
        <x:v>0</x:v>
      </x:c>
      <x:c r="O143" s="1" t="str">
        <x:v>updated receipts.csv</x:v>
      </x:c>
      <x:c r="P143" s="10" t="n">
        <x:f>H143*I143</x:f>
        <x:v>64</x:v>
      </x:c>
      <x:c r="Q143" s="10" t="n">
        <x:f>IF(K143&gt;0,J143/K143,"n.a.")</x:f>
        <x:v>32.4</x:v>
      </x:c>
      <x:c r="R143" s="11" t="n">
        <x:f>IF(ISNUMBER(Q143),P143*Q143,"n.a.")</x:f>
        <x:v>2073.6</x:v>
      </x:c>
    </x:row>
    <x:row r="144" ht="21" customHeight="1">
      <x:c r="A144" s="1" t="str">
        <x:v>FILM</x:v>
      </x:c>
      <x:c r="B144" s="1" t="str">
        <x:v>60</x:v>
      </x:c>
      <x:c r="C144" s="1" t="str">
        <x:v>ST252005M1</x:v>
      </x:c>
      <x:c r="D144" s="1" t="str">
        <x:v>6102959</x:v>
      </x:c>
      <x:c r="E144" s="1" t="str">
        <x:v>0</x:v>
      </x:c>
      <x:c r="F144" s="1" t="str">
        <x:v>19</x:v>
      </x:c>
      <x:c r="G144" s="7" t="n">
        <x:v>46402</x:v>
      </x:c>
      <x:c r="H144" s="1" t="n">
        <x:v>72</x:v>
      </x:c>
      <x:c r="I144" s="1" t="n">
        <x:v>1</x:v>
      </x:c>
      <x:c r="J144" s="1" t="n">
        <x:v>60.6</x:v>
      </x:c>
      <x:c r="K144" s="1" t="n">
        <x:v>1</x:v>
      </x:c>
      <x:c r="L144" s="1" t="str">
        <x:v>a</x:v>
      </x:c>
      <x:c r="M144" s="1" t="n">
        <x:v>72</x:v>
      </x:c>
      <x:c r="N144" s="1" t="n">
        <x:v>0</x:v>
      </x:c>
      <x:c r="O144" s="1" t="str">
        <x:v>updated receipts.csv</x:v>
      </x:c>
      <x:c r="P144" s="10" t="n">
        <x:f>H144*I144</x:f>
        <x:v>72</x:v>
      </x:c>
      <x:c r="Q144" s="10" t="n">
        <x:f>IF(K144&gt;0,J144/K144,"n.a.")</x:f>
        <x:v>60.6</x:v>
      </x:c>
      <x:c r="R144" s="11" t="n">
        <x:f>IF(ISNUMBER(Q144),P144*Q144,"n.a.")</x:f>
        <x:v>4363.2</x:v>
      </x:c>
    </x:row>
    <x:row r="145" ht="21" customHeight="1">
      <x:c r="A145" s="1" t="str">
        <x:v>FILM</x:v>
      </x:c>
      <x:c r="B145" s="1" t="str">
        <x:v>60</x:v>
      </x:c>
      <x:c r="C145" s="1" t="str">
        <x:v>ST252503M1</x:v>
      </x:c>
      <x:c r="D145" s="1" t="str">
        <x:v>6102959</x:v>
      </x:c>
      <x:c r="E145" s="1" t="str">
        <x:v>0</x:v>
      </x:c>
      <x:c r="F145" s="1" t="str">
        <x:v>18</x:v>
      </x:c>
      <x:c r="G145" s="7" t="n">
        <x:v>46402</x:v>
      </x:c>
      <x:c r="H145" s="1" t="n">
        <x:v>120</x:v>
      </x:c>
      <x:c r="I145" s="1" t="n">
        <x:v>1</x:v>
      </x:c>
      <x:c r="J145" s="1" t="n">
        <x:v>49.05</x:v>
      </x:c>
      <x:c r="K145" s="1" t="n">
        <x:v>1</x:v>
      </x:c>
      <x:c r="L145" s="1" t="str">
        <x:v>a</x:v>
      </x:c>
      <x:c r="M145" s="1" t="n">
        <x:v>120</x:v>
      </x:c>
      <x:c r="N145" s="1" t="n">
        <x:v>0</x:v>
      </x:c>
      <x:c r="O145" s="1" t="str">
        <x:v>updated receipts.csv</x:v>
      </x:c>
      <x:c r="P145" s="10" t="n">
        <x:f>H145*I145</x:f>
        <x:v>120</x:v>
      </x:c>
      <x:c r="Q145" s="10" t="n">
        <x:f>IF(K145&gt;0,J145/K145,"n.a.")</x:f>
        <x:v>49.05</x:v>
      </x:c>
      <x:c r="R145" s="11" t="n">
        <x:f>IF(ISNUMBER(Q145),P145*Q145,"n.a.")</x:f>
        <x:v>5886</x:v>
      </x:c>
    </x:row>
    <x:row r="146" ht="21" customHeight="1">
      <x:c r="A146" s="1" t="str">
        <x:v>FILM</x:v>
      </x:c>
      <x:c r="B146" s="1" t="str">
        <x:v>60</x:v>
      </x:c>
      <x:c r="C146" s="1" t="str">
        <x:v>ST2550017M1</x:v>
      </x:c>
      <x:c r="D146" s="1" t="str">
        <x:v>6102959</x:v>
      </x:c>
      <x:c r="E146" s="1" t="str">
        <x:v>0</x:v>
      </x:c>
      <x:c r="F146" s="1" t="str">
        <x:v>17</x:v>
      </x:c>
      <x:c r="G146" s="7" t="n">
        <x:v>46402</x:v>
      </x:c>
      <x:c r="H146" s="1" t="n">
        <x:v>90</x:v>
      </x:c>
      <x:c r="I146" s="1" t="n">
        <x:v>1</x:v>
      </x:c>
      <x:c r="J146" s="1" t="n">
        <x:v>75.6</x:v>
      </x:c>
      <x:c r="K146" s="1" t="n">
        <x:v>1</x:v>
      </x:c>
      <x:c r="L146" s="1" t="str">
        <x:v>a</x:v>
      </x:c>
      <x:c r="M146" s="1" t="n">
        <x:v>90</x:v>
      </x:c>
      <x:c r="N146" s="1" t="n">
        <x:v>0</x:v>
      </x:c>
      <x:c r="O146" s="1" t="str">
        <x:v>updated receipts.csv</x:v>
      </x:c>
      <x:c r="P146" s="10" t="n">
        <x:f>H146*I146</x:f>
        <x:v>90</x:v>
      </x:c>
      <x:c r="Q146" s="10" t="n">
        <x:f>IF(K146&gt;0,J146/K146,"n.a.")</x:f>
        <x:v>75.6</x:v>
      </x:c>
      <x:c r="R146" s="11" t="n">
        <x:f>IF(ISNUMBER(Q146),P146*Q146,"n.a.")</x:f>
        <x:v>6803.999999999999</x:v>
      </x:c>
    </x:row>
    <x:row r="147" ht="21" customHeight="1">
      <x:c r="A147" s="1" t="str">
        <x:v>PLAS</x:v>
      </x:c>
      <x:c r="B147" s="1" t="str">
        <x:v>10</x:v>
      </x:c>
      <x:c r="C147" s="1" t="str">
        <x:v>00115RWBWHT</x:v>
      </x:c>
      <x:c r="D147" s="1" t="str">
        <x:v>1061033</x:v>
      </x:c>
      <x:c r="E147" s="1" t="str">
        <x:v>0</x:v>
      </x:c>
      <x:c r="F147" s="1" t="str">
        <x:v>87</x:v>
      </x:c>
      <x:c r="G147" s="7" t="n">
        <x:v>46332</x:v>
      </x:c>
      <x:c r="H147" s="1" t="n">
        <x:v>2000</x:v>
      </x:c>
      <x:c r="I147" s="1" t="n">
        <x:v>1</x:v>
      </x:c>
      <x:c r="J147" s="1" t="n">
        <x:v>5.86</x:v>
      </x:c>
      <x:c r="K147" s="1" t="n">
        <x:v>100</x:v>
      </x:c>
      <x:c r="L147" s="1" t="str">
        <x:v>a</x:v>
      </x:c>
      <x:c r="M147" s="1" t="n">
        <x:v>2000</x:v>
      </x:c>
      <x:c r="N147" s="1" t="n">
        <x:v>0</x:v>
      </x:c>
      <x:c r="O147" s="1" t="str">
        <x:v>updated receipts.csv</x:v>
      </x:c>
      <x:c r="P147" s="10" t="n">
        <x:f>H147*I147</x:f>
        <x:v>2000</x:v>
      </x:c>
      <x:c r="Q147" s="10" t="n">
        <x:f>IF(K147&gt;0,J147/K147,"n.a.")</x:f>
        <x:v>0.058600000000000006</x:v>
      </x:c>
      <x:c r="R147" s="11" t="n">
        <x:f>IF(ISNUMBER(Q147),P147*Q147,"n.a.")</x:f>
        <x:v>117.20000000000002</x:v>
      </x:c>
    </x:row>
    <x:row r="148" ht="21" customHeight="1">
      <x:c r="A148" s="1" t="str">
        <x:v>PLAS</x:v>
      </x:c>
      <x:c r="B148" s="1" t="str">
        <x:v>10</x:v>
      </x:c>
      <x:c r="C148" s="1" t="str">
        <x:v>00119RWBBLK</x:v>
      </x:c>
      <x:c r="D148" s="1" t="str">
        <x:v>1061033</x:v>
      </x:c>
      <x:c r="E148" s="1" t="str">
        <x:v>0</x:v>
      </x:c>
      <x:c r="F148" s="1" t="str">
        <x:v>10</x:v>
      </x:c>
      <x:c r="G148" s="7" t="n">
        <x:v>46332</x:v>
      </x:c>
      <x:c r="H148" s="1" t="n">
        <x:v>24000</x:v>
      </x:c>
      <x:c r="I148" s="1" t="n">
        <x:v>1</x:v>
      </x:c>
      <x:c r="J148" s="1" t="n">
        <x:v>8.39</x:v>
      </x:c>
      <x:c r="K148" s="1" t="n">
        <x:v>100</x:v>
      </x:c>
      <x:c r="L148" s="1" t="str">
        <x:v>a</x:v>
      </x:c>
      <x:c r="M148" s="1" t="n">
        <x:v>24000</x:v>
      </x:c>
      <x:c r="N148" s="1" t="n">
        <x:v>0</x:v>
      </x:c>
      <x:c r="O148" s="1" t="str">
        <x:v>updated receipts.csv</x:v>
      </x:c>
      <x:c r="P148" s="10" t="n">
        <x:f>H148*I148</x:f>
        <x:v>24000</x:v>
      </x:c>
      <x:c r="Q148" s="10" t="n">
        <x:f>IF(K148&gt;0,J148/K148,"n.a.")</x:f>
        <x:v>0.0839</x:v>
      </x:c>
      <x:c r="R148" s="11" t="n">
        <x:f>IF(ISNUMBER(Q148),P148*Q148,"n.a.")</x:f>
        <x:v>2013.6000000000001</x:v>
      </x:c>
    </x:row>
    <x:row r="149" ht="21" customHeight="1">
      <x:c r="A149" s="1" t="str">
        <x:v>PLAS</x:v>
      </x:c>
      <x:c r="B149" s="1" t="str">
        <x:v>10</x:v>
      </x:c>
      <x:c r="C149" s="1" t="str">
        <x:v>00119RWBBLU</x:v>
      </x:c>
      <x:c r="D149" s="1" t="str">
        <x:v>1061033</x:v>
      </x:c>
      <x:c r="E149" s="1" t="str">
        <x:v>0</x:v>
      </x:c>
      <x:c r="F149" s="1" t="str">
        <x:v>24</x:v>
      </x:c>
      <x:c r="G149" s="7" t="n">
        <x:v>46332</x:v>
      </x:c>
      <x:c r="H149" s="1" t="n">
        <x:v>1000</x:v>
      </x:c>
      <x:c r="I149" s="1" t="n">
        <x:v>1</x:v>
      </x:c>
      <x:c r="J149" s="1" t="n">
        <x:v>8.39</x:v>
      </x:c>
      <x:c r="K149" s="1" t="n">
        <x:v>100</x:v>
      </x:c>
      <x:c r="L149" s="1" t="str">
        <x:v>a</x:v>
      </x:c>
      <x:c r="M149" s="1" t="n">
        <x:v>1000</x:v>
      </x:c>
      <x:c r="N149" s="1" t="n">
        <x:v>0</x:v>
      </x:c>
      <x:c r="O149" s="1" t="str">
        <x:v>updated receipts.csv</x:v>
      </x:c>
      <x:c r="P149" s="10" t="n">
        <x:f>H149*I149</x:f>
        <x:v>1000</x:v>
      </x:c>
      <x:c r="Q149" s="10" t="n">
        <x:f>IF(K149&gt;0,J149/K149,"n.a.")</x:f>
        <x:v>0.0839</x:v>
      </x:c>
      <x:c r="R149" s="11" t="n">
        <x:f>IF(ISNUMBER(Q149),P149*Q149,"n.a.")</x:f>
        <x:v>83.9</x:v>
      </x:c>
    </x:row>
    <x:row r="150" ht="21" customHeight="1">
      <x:c r="A150" s="1" t="str">
        <x:v>PLAS</x:v>
      </x:c>
      <x:c r="B150" s="1" t="str">
        <x:v>10</x:v>
      </x:c>
      <x:c r="C150" s="1" t="str">
        <x:v>00119RWBMAR</x:v>
      </x:c>
      <x:c r="D150" s="1" t="str">
        <x:v>1061033</x:v>
      </x:c>
      <x:c r="E150" s="1" t="str">
        <x:v>0</x:v>
      </x:c>
      <x:c r="F150" s="1" t="str">
        <x:v>46</x:v>
      </x:c>
      <x:c r="G150" s="7" t="n">
        <x:v>46332</x:v>
      </x:c>
      <x:c r="H150" s="1" t="n">
        <x:v>2000</x:v>
      </x:c>
      <x:c r="I150" s="1" t="n">
        <x:v>1</x:v>
      </x:c>
      <x:c r="J150" s="1" t="n">
        <x:v>8.39</x:v>
      </x:c>
      <x:c r="K150" s="1" t="n">
        <x:v>100</x:v>
      </x:c>
      <x:c r="L150" s="1" t="str">
        <x:v>a</x:v>
      </x:c>
      <x:c r="M150" s="1" t="n">
        <x:v>2000</x:v>
      </x:c>
      <x:c r="N150" s="1" t="n">
        <x:v>0</x:v>
      </x:c>
      <x:c r="O150" s="1" t="str">
        <x:v>updated receipts.csv</x:v>
      </x:c>
      <x:c r="P150" s="10" t="n">
        <x:f>H150*I150</x:f>
        <x:v>2000</x:v>
      </x:c>
      <x:c r="Q150" s="10" t="n">
        <x:f>IF(K150&gt;0,J150/K150,"n.a.")</x:f>
        <x:v>0.0839</x:v>
      </x:c>
      <x:c r="R150" s="11" t="n">
        <x:f>IF(ISNUMBER(Q150),P150*Q150,"n.a.")</x:f>
        <x:v>167.8</x:v>
      </x:c>
    </x:row>
    <x:row r="151" ht="21" customHeight="1">
      <x:c r="A151" s="1" t="str">
        <x:v>PLAS</x:v>
      </x:c>
      <x:c r="B151" s="1" t="str">
        <x:v>10</x:v>
      </x:c>
      <x:c r="C151" s="1" t="str">
        <x:v>00119RWBNAV</x:v>
      </x:c>
      <x:c r="D151" s="1" t="str">
        <x:v>1061033</x:v>
      </x:c>
      <x:c r="E151" s="1" t="str">
        <x:v>0</x:v>
      </x:c>
      <x:c r="F151" s="1" t="str">
        <x:v>58</x:v>
      </x:c>
      <x:c r="G151" s="7" t="n">
        <x:v>46332</x:v>
      </x:c>
      <x:c r="H151" s="1" t="n">
        <x:v>8000</x:v>
      </x:c>
      <x:c r="I151" s="1" t="n">
        <x:v>1</x:v>
      </x:c>
      <x:c r="J151" s="1" t="n">
        <x:v>8.39</x:v>
      </x:c>
      <x:c r="K151" s="1" t="n">
        <x:v>100</x:v>
      </x:c>
      <x:c r="L151" s="1" t="str">
        <x:v>a</x:v>
      </x:c>
      <x:c r="M151" s="1" t="n">
        <x:v>8000</x:v>
      </x:c>
      <x:c r="N151" s="1" t="n">
        <x:v>0</x:v>
      </x:c>
      <x:c r="O151" s="1" t="str">
        <x:v>updated receipts.csv</x:v>
      </x:c>
      <x:c r="P151" s="10" t="n">
        <x:f>H151*I151</x:f>
        <x:v>8000</x:v>
      </x:c>
      <x:c r="Q151" s="10" t="n">
        <x:f>IF(K151&gt;0,J151/K151,"n.a.")</x:f>
        <x:v>0.0839</x:v>
      </x:c>
      <x:c r="R151" s="11" t="n">
        <x:f>IF(ISNUMBER(Q151),P151*Q151,"n.a.")</x:f>
        <x:v>671.2</x:v>
      </x:c>
    </x:row>
    <x:row r="152" ht="21" customHeight="1">
      <x:c r="A152" s="1" t="str">
        <x:v>PLAS</x:v>
      </x:c>
      <x:c r="B152" s="1" t="str">
        <x:v>10</x:v>
      </x:c>
      <x:c r="C152" s="1" t="str">
        <x:v>00119RWBWHT</x:v>
      </x:c>
      <x:c r="D152" s="1" t="str">
        <x:v>1061033</x:v>
      </x:c>
      <x:c r="E152" s="1" t="str">
        <x:v>0</x:v>
      </x:c>
      <x:c r="F152" s="1" t="str">
        <x:v>75</x:v>
      </x:c>
      <x:c r="G152" s="7" t="n">
        <x:v>46332</x:v>
      </x:c>
      <x:c r="H152" s="1" t="n">
        <x:v>8000</x:v>
      </x:c>
      <x:c r="I152" s="1" t="n">
        <x:v>1</x:v>
      </x:c>
      <x:c r="J152" s="1" t="n">
        <x:v>8.39</x:v>
      </x:c>
      <x:c r="K152" s="1" t="n">
        <x:v>100</x:v>
      </x:c>
      <x:c r="L152" s="1" t="str">
        <x:v>a</x:v>
      </x:c>
      <x:c r="M152" s="1" t="n">
        <x:v>8000</x:v>
      </x:c>
      <x:c r="N152" s="1" t="n">
        <x:v>0</x:v>
      </x:c>
      <x:c r="O152" s="1" t="str">
        <x:v>updated receipts.csv</x:v>
      </x:c>
      <x:c r="P152" s="10" t="n">
        <x:f>H152*I152</x:f>
        <x:v>8000</x:v>
      </x:c>
      <x:c r="Q152" s="10" t="n">
        <x:f>IF(K152&gt;0,J152/K152,"n.a.")</x:f>
        <x:v>0.0839</x:v>
      </x:c>
      <x:c r="R152" s="11" t="n">
        <x:f>IF(ISNUMBER(Q152),P152*Q152,"n.a.")</x:f>
        <x:v>671.2</x:v>
      </x:c>
    </x:row>
    <x:row r="153" ht="21" customHeight="1">
      <x:c r="A153" s="1" t="str">
        <x:v>PLAS</x:v>
      </x:c>
      <x:c r="B153" s="1" t="str">
        <x:v>10</x:v>
      </x:c>
      <x:c r="C153" s="1" t="str">
        <x:v>00180RWBBLK</x:v>
      </x:c>
      <x:c r="D153" s="1" t="str">
        <x:v>1061033</x:v>
      </x:c>
      <x:c r="E153" s="1" t="str">
        <x:v>0</x:v>
      </x:c>
      <x:c r="F153" s="1" t="str">
        <x:v>90</x:v>
      </x:c>
      <x:c r="G153" s="7" t="n">
        <x:v>46332</x:v>
      </x:c>
      <x:c r="H153" s="1" t="n">
        <x:v>1200</x:v>
      </x:c>
      <x:c r="I153" s="1" t="n">
        <x:v>1</x:v>
      </x:c>
      <x:c r="J153" s="1" t="n">
        <x:v>32.83</x:v>
      </x:c>
      <x:c r="K153" s="1" t="n">
        <x:v>100</x:v>
      </x:c>
      <x:c r="L153" s="1" t="str">
        <x:v>a</x:v>
      </x:c>
      <x:c r="M153" s="1" t="n">
        <x:v>1200</x:v>
      </x:c>
      <x:c r="N153" s="1" t="n">
        <x:v>0</x:v>
      </x:c>
      <x:c r="O153" s="1" t="str">
        <x:v>updated receipts.csv</x:v>
      </x:c>
      <x:c r="P153" s="10" t="n">
        <x:f>H153*I153</x:f>
        <x:v>1200</x:v>
      </x:c>
      <x:c r="Q153" s="10" t="n">
        <x:f>IF(K153&gt;0,J153/K153,"n.a.")</x:f>
        <x:v>0.3283</x:v>
      </x:c>
      <x:c r="R153" s="11" t="n">
        <x:f>IF(ISNUMBER(Q153),P153*Q153,"n.a.")</x:f>
        <x:v>393.96</x:v>
      </x:c>
    </x:row>
    <x:row r="154" ht="21" customHeight="1">
      <x:c r="A154" s="1" t="str">
        <x:v>PLAS</x:v>
      </x:c>
      <x:c r="B154" s="1" t="str">
        <x:v>10</x:v>
      </x:c>
      <x:c r="C154" s="1" t="str">
        <x:v>00219RSLBLK</x:v>
      </x:c>
      <x:c r="D154" s="1" t="str">
        <x:v>1061033</x:v>
      </x:c>
      <x:c r="E154" s="1" t="str">
        <x:v>0</x:v>
      </x:c>
      <x:c r="F154" s="1" t="str">
        <x:v>15</x:v>
      </x:c>
      <x:c r="G154" s="7" t="n">
        <x:v>46332</x:v>
      </x:c>
      <x:c r="H154" s="1" t="n">
        <x:v>20000</x:v>
      </x:c>
      <x:c r="I154" s="1" t="n">
        <x:v>1</x:v>
      </x:c>
      <x:c r="J154" s="1" t="n">
        <x:v>11.76</x:v>
      </x:c>
      <x:c r="K154" s="1" t="n">
        <x:v>100</x:v>
      </x:c>
      <x:c r="L154" s="1" t="str">
        <x:v>a</x:v>
      </x:c>
      <x:c r="M154" s="1" t="n">
        <x:v>20000</x:v>
      </x:c>
      <x:c r="N154" s="1" t="n">
        <x:v>0</x:v>
      </x:c>
      <x:c r="O154" s="1" t="str">
        <x:v>updated receipts.csv</x:v>
      </x:c>
      <x:c r="P154" s="10" t="n">
        <x:f>H154*I154</x:f>
        <x:v>20000</x:v>
      </x:c>
      <x:c r="Q154" s="10" t="n">
        <x:f>IF(K154&gt;0,J154/K154,"n.a.")</x:f>
        <x:v>0.1176</x:v>
      </x:c>
      <x:c r="R154" s="11" t="n">
        <x:f>IF(ISNUMBER(Q154),P154*Q154,"n.a.")</x:f>
        <x:v>2352</x:v>
      </x:c>
    </x:row>
    <x:row r="155" ht="21" customHeight="1">
      <x:c r="A155" s="1" t="str">
        <x:v>PLAS</x:v>
      </x:c>
      <x:c r="B155" s="1" t="str">
        <x:v>10</x:v>
      </x:c>
      <x:c r="C155" s="1" t="str">
        <x:v>00219RSLBLU</x:v>
      </x:c>
      <x:c r="D155" s="1" t="str">
        <x:v>1061033</x:v>
      </x:c>
      <x:c r="E155" s="1" t="str">
        <x:v>0</x:v>
      </x:c>
      <x:c r="F155" s="1" t="str">
        <x:v>27</x:v>
      </x:c>
      <x:c r="G155" s="7" t="n">
        <x:v>46332</x:v>
      </x:c>
      <x:c r="H155" s="1" t="n">
        <x:v>20000</x:v>
      </x:c>
      <x:c r="I155" s="1" t="n">
        <x:v>1</x:v>
      </x:c>
      <x:c r="J155" s="1" t="n">
        <x:v>11.76</x:v>
      </x:c>
      <x:c r="K155" s="1" t="n">
        <x:v>100</x:v>
      </x:c>
      <x:c r="L155" s="1" t="str">
        <x:v>a</x:v>
      </x:c>
      <x:c r="M155" s="1" t="n">
        <x:v>20000</x:v>
      </x:c>
      <x:c r="N155" s="1" t="n">
        <x:v>0</x:v>
      </x:c>
      <x:c r="O155" s="1" t="str">
        <x:v>updated receipts.csv</x:v>
      </x:c>
      <x:c r="P155" s="10" t="n">
        <x:f>H155*I155</x:f>
        <x:v>20000</x:v>
      </x:c>
      <x:c r="Q155" s="10" t="n">
        <x:f>IF(K155&gt;0,J155/K155,"n.a.")</x:f>
        <x:v>0.1176</x:v>
      </x:c>
      <x:c r="R155" s="11" t="n">
        <x:f>IF(ISNUMBER(Q155),P155*Q155,"n.a.")</x:f>
        <x:v>2352</x:v>
      </x:c>
    </x:row>
    <x:row r="156" ht="21" customHeight="1">
      <x:c r="A156" s="1" t="str">
        <x:v>PLAS</x:v>
      </x:c>
      <x:c r="B156" s="1" t="str">
        <x:v>10</x:v>
      </x:c>
      <x:c r="C156" s="1" t="str">
        <x:v>00219RSLFG</x:v>
      </x:c>
      <x:c r="D156" s="1" t="str">
        <x:v>1061033</x:v>
      </x:c>
      <x:c r="E156" s="1" t="str">
        <x:v>0</x:v>
      </x:c>
      <x:c r="F156" s="1" t="str">
        <x:v>39</x:v>
      </x:c>
      <x:c r="G156" s="7" t="n">
        <x:v>46332</x:v>
      </x:c>
      <x:c r="H156" s="1" t="n">
        <x:v>800</x:v>
      </x:c>
      <x:c r="I156" s="1" t="n">
        <x:v>1</x:v>
      </x:c>
      <x:c r="J156" s="1" t="n">
        <x:v>11.76</x:v>
      </x:c>
      <x:c r="K156" s="1" t="n">
        <x:v>100</x:v>
      </x:c>
      <x:c r="L156" s="1" t="str">
        <x:v>a</x:v>
      </x:c>
      <x:c r="M156" s="1" t="n">
        <x:v>800</x:v>
      </x:c>
      <x:c r="N156" s="1" t="n">
        <x:v>0</x:v>
      </x:c>
      <x:c r="O156" s="1" t="str">
        <x:v>updated receipts.csv</x:v>
      </x:c>
      <x:c r="P156" s="10" t="n">
        <x:f>H156*I156</x:f>
        <x:v>800</x:v>
      </x:c>
      <x:c r="Q156" s="10" t="n">
        <x:f>IF(K156&gt;0,J156/K156,"n.a.")</x:f>
        <x:v>0.1176</x:v>
      </x:c>
      <x:c r="R156" s="11" t="n">
        <x:f>IF(ISNUMBER(Q156),P156*Q156,"n.a.")</x:f>
        <x:v>94.08</x:v>
      </x:c>
    </x:row>
    <x:row r="157" ht="21" customHeight="1">
      <x:c r="A157" s="1" t="str">
        <x:v>PLAS</x:v>
      </x:c>
      <x:c r="B157" s="1" t="str">
        <x:v>10</x:v>
      </x:c>
      <x:c r="C157" s="1" t="str">
        <x:v>00219RSLMAR</x:v>
      </x:c>
      <x:c r="D157" s="1" t="str">
        <x:v>1061033</x:v>
      </x:c>
      <x:c r="E157" s="1" t="str">
        <x:v>0</x:v>
      </x:c>
      <x:c r="F157" s="1" t="str">
        <x:v>48</x:v>
      </x:c>
      <x:c r="G157" s="7" t="n">
        <x:v>46332</x:v>
      </x:c>
      <x:c r="H157" s="1" t="n">
        <x:v>1200</x:v>
      </x:c>
      <x:c r="I157" s="1" t="n">
        <x:v>1</x:v>
      </x:c>
      <x:c r="J157" s="1" t="n">
        <x:v>11.76</x:v>
      </x:c>
      <x:c r="K157" s="1" t="n">
        <x:v>100</x:v>
      </x:c>
      <x:c r="L157" s="1" t="str">
        <x:v>a</x:v>
      </x:c>
      <x:c r="M157" s="1" t="n">
        <x:v>1200</x:v>
      </x:c>
      <x:c r="N157" s="1" t="n">
        <x:v>0</x:v>
      </x:c>
      <x:c r="O157" s="1" t="str">
        <x:v>updated receipts.csv</x:v>
      </x:c>
      <x:c r="P157" s="10" t="n">
        <x:f>H157*I157</x:f>
        <x:v>1200</x:v>
      </x:c>
      <x:c r="Q157" s="10" t="n">
        <x:f>IF(K157&gt;0,J157/K157,"n.a.")</x:f>
        <x:v>0.1176</x:v>
      </x:c>
      <x:c r="R157" s="11" t="n">
        <x:f>IF(ISNUMBER(Q157),P157*Q157,"n.a.")</x:f>
        <x:v>141.12</x:v>
      </x:c>
    </x:row>
    <x:row r="158" ht="21" customHeight="1">
      <x:c r="A158" s="1" t="str">
        <x:v>PLAS</x:v>
      </x:c>
      <x:c r="B158" s="1" t="str">
        <x:v>10</x:v>
      </x:c>
      <x:c r="C158" s="1" t="str">
        <x:v>00219RSLNAV</x:v>
      </x:c>
      <x:c r="D158" s="1" t="str">
        <x:v>1061033</x:v>
      </x:c>
      <x:c r="E158" s="1" t="str">
        <x:v>0</x:v>
      </x:c>
      <x:c r="F158" s="1" t="str">
        <x:v>63</x:v>
      </x:c>
      <x:c r="G158" s="7" t="n">
        <x:v>46332</x:v>
      </x:c>
      <x:c r="H158" s="1" t="n">
        <x:v>1200</x:v>
      </x:c>
      <x:c r="I158" s="1" t="n">
        <x:v>1</x:v>
      </x:c>
      <x:c r="J158" s="1" t="n">
        <x:v>11.76</x:v>
      </x:c>
      <x:c r="K158" s="1" t="n">
        <x:v>100</x:v>
      </x:c>
      <x:c r="L158" s="1" t="str">
        <x:v>a</x:v>
      </x:c>
      <x:c r="M158" s="1" t="n">
        <x:v>1200</x:v>
      </x:c>
      <x:c r="N158" s="1" t="n">
        <x:v>0</x:v>
      </x:c>
      <x:c r="O158" s="1" t="str">
        <x:v>updated receipts.csv</x:v>
      </x:c>
      <x:c r="P158" s="10" t="n">
        <x:f>H158*I158</x:f>
        <x:v>1200</x:v>
      </x:c>
      <x:c r="Q158" s="10" t="n">
        <x:f>IF(K158&gt;0,J158/K158,"n.a.")</x:f>
        <x:v>0.1176</x:v>
      </x:c>
      <x:c r="R158" s="11" t="n">
        <x:f>IF(ISNUMBER(Q158),P158*Q158,"n.a.")</x:f>
        <x:v>141.12</x:v>
      </x:c>
    </x:row>
    <x:row r="159" ht="21" customHeight="1">
      <x:c r="A159" s="1" t="str">
        <x:v>PLAS</x:v>
      </x:c>
      <x:c r="B159" s="1" t="str">
        <x:v>10</x:v>
      </x:c>
      <x:c r="C159" s="1" t="str">
        <x:v>00219RSLWHT</x:v>
      </x:c>
      <x:c r="D159" s="1" t="str">
        <x:v>1061033</x:v>
      </x:c>
      <x:c r="E159" s="1" t="str">
        <x:v>0</x:v>
      </x:c>
      <x:c r="F159" s="1" t="str">
        <x:v>80</x:v>
      </x:c>
      <x:c r="G159" s="7" t="n">
        <x:v>46332</x:v>
      </x:c>
      <x:c r="H159" s="1" t="n">
        <x:v>4800</x:v>
      </x:c>
      <x:c r="I159" s="1" t="n">
        <x:v>1</x:v>
      </x:c>
      <x:c r="J159" s="1" t="n">
        <x:v>11.76</x:v>
      </x:c>
      <x:c r="K159" s="1" t="n">
        <x:v>100</x:v>
      </x:c>
      <x:c r="L159" s="1" t="str">
        <x:v>a</x:v>
      </x:c>
      <x:c r="M159" s="1" t="n">
        <x:v>4800</x:v>
      </x:c>
      <x:c r="N159" s="1" t="n">
        <x:v>0</x:v>
      </x:c>
      <x:c r="O159" s="1" t="str">
        <x:v>updated receipts.csv</x:v>
      </x:c>
      <x:c r="P159" s="10" t="n">
        <x:f>H159*I159</x:f>
        <x:v>4800</x:v>
      </x:c>
      <x:c r="Q159" s="10" t="n">
        <x:f>IF(K159&gt;0,J159/K159,"n.a.")</x:f>
        <x:v>0.1176</x:v>
      </x:c>
      <x:c r="R159" s="11" t="n">
        <x:f>IF(ISNUMBER(Q159),P159*Q159,"n.a.")</x:f>
        <x:v>564.48</x:v>
      </x:c>
    </x:row>
    <x:row r="160" ht="21" customHeight="1">
      <x:c r="A160" s="1" t="str">
        <x:v>PLAS</x:v>
      </x:c>
      <x:c r="B160" s="1" t="str">
        <x:v>10</x:v>
      </x:c>
      <x:c r="C160" s="1" t="str">
        <x:v>01219RWBBLK</x:v>
      </x:c>
      <x:c r="D160" s="1" t="str">
        <x:v>1061033</x:v>
      </x:c>
      <x:c r="E160" s="1" t="str">
        <x:v>0</x:v>
      </x:c>
      <x:c r="F160" s="1" t="str">
        <x:v>5</x:v>
      </x:c>
      <x:c r="G160" s="7" t="n">
        <x:v>46332</x:v>
      </x:c>
      <x:c r="H160" s="1" t="n">
        <x:v>80000</x:v>
      </x:c>
      <x:c r="I160" s="1" t="n">
        <x:v>1</x:v>
      </x:c>
      <x:c r="J160" s="1" t="n">
        <x:v>2.87</x:v>
      </x:c>
      <x:c r="K160" s="1" t="n">
        <x:v>100</x:v>
      </x:c>
      <x:c r="L160" s="1" t="str">
        <x:v>a</x:v>
      </x:c>
      <x:c r="M160" s="1" t="n">
        <x:v>80000</x:v>
      </x:c>
      <x:c r="N160" s="1" t="n">
        <x:v>0</x:v>
      </x:c>
      <x:c r="O160" s="1" t="str">
        <x:v>updated receipts.csv</x:v>
      </x:c>
      <x:c r="P160" s="10" t="n">
        <x:f>H160*I160</x:f>
        <x:v>80000</x:v>
      </x:c>
      <x:c r="Q160" s="10" t="n">
        <x:f>IF(K160&gt;0,J160/K160,"n.a.")</x:f>
        <x:v>0.0287</x:v>
      </x:c>
      <x:c r="R160" s="11" t="n">
        <x:f>IF(ISNUMBER(Q160),P160*Q160,"n.a.")</x:f>
        <x:v>2296</x:v>
      </x:c>
    </x:row>
    <x:row r="161" ht="21" customHeight="1">
      <x:c r="A161" s="1" t="str">
        <x:v>PLAS</x:v>
      </x:c>
      <x:c r="B161" s="1" t="str">
        <x:v>10</x:v>
      </x:c>
      <x:c r="C161" s="1" t="str">
        <x:v>01219RWBBLU</x:v>
      </x:c>
      <x:c r="D161" s="1" t="str">
        <x:v>1061033</x:v>
      </x:c>
      <x:c r="E161" s="1" t="str">
        <x:v>0</x:v>
      </x:c>
      <x:c r="F161" s="1" t="str">
        <x:v>19</x:v>
      </x:c>
      <x:c r="G161" s="7" t="n">
        <x:v>46332</x:v>
      </x:c>
      <x:c r="H161" s="1" t="n">
        <x:v>10000</x:v>
      </x:c>
      <x:c r="I161" s="1" t="n">
        <x:v>1</x:v>
      </x:c>
      <x:c r="J161" s="1" t="n">
        <x:v>2.87</x:v>
      </x:c>
      <x:c r="K161" s="1" t="n">
        <x:v>100</x:v>
      </x:c>
      <x:c r="L161" s="1" t="str">
        <x:v>a</x:v>
      </x:c>
      <x:c r="M161" s="1" t="n">
        <x:v>10000</x:v>
      </x:c>
      <x:c r="N161" s="1" t="n">
        <x:v>0</x:v>
      </x:c>
      <x:c r="O161" s="1" t="str">
        <x:v>updated receipts.csv</x:v>
      </x:c>
      <x:c r="P161" s="10" t="n">
        <x:f>H161*I161</x:f>
        <x:v>10000</x:v>
      </x:c>
      <x:c r="Q161" s="10" t="n">
        <x:f>IF(K161&gt;0,J161/K161,"n.a.")</x:f>
        <x:v>0.0287</x:v>
      </x:c>
      <x:c r="R161" s="11" t="n">
        <x:f>IF(ISNUMBER(Q161),P161*Q161,"n.a.")</x:f>
        <x:v>287</x:v>
      </x:c>
    </x:row>
    <x:row r="162" ht="21" customHeight="1">
      <x:c r="A162" s="1" t="str">
        <x:v>PLAS</x:v>
      </x:c>
      <x:c r="B162" s="1" t="str">
        <x:v>10</x:v>
      </x:c>
      <x:c r="C162" s="1" t="str">
        <x:v>01219RWBCLR</x:v>
      </x:c>
      <x:c r="D162" s="1" t="str">
        <x:v>1061033</x:v>
      </x:c>
      <x:c r="E162" s="1" t="str">
        <x:v>0</x:v>
      </x:c>
      <x:c r="F162" s="1" t="str">
        <x:v>31</x:v>
      </x:c>
      <x:c r="G162" s="7" t="n">
        <x:v>46332</x:v>
      </x:c>
      <x:c r="H162" s="1" t="n">
        <x:v>10000</x:v>
      </x:c>
      <x:c r="I162" s="1" t="n">
        <x:v>1</x:v>
      </x:c>
      <x:c r="J162" s="1" t="n">
        <x:v>2.87</x:v>
      </x:c>
      <x:c r="K162" s="1" t="n">
        <x:v>100</x:v>
      </x:c>
      <x:c r="L162" s="1" t="str">
        <x:v>a</x:v>
      </x:c>
      <x:c r="M162" s="1" t="n">
        <x:v>10000</x:v>
      </x:c>
      <x:c r="N162" s="1" t="n">
        <x:v>0</x:v>
      </x:c>
      <x:c r="O162" s="1" t="str">
        <x:v>updated receipts.csv</x:v>
      </x:c>
      <x:c r="P162" s="10" t="n">
        <x:f>H162*I162</x:f>
        <x:v>10000</x:v>
      </x:c>
      <x:c r="Q162" s="10" t="n">
        <x:f>IF(K162&gt;0,J162/K162,"n.a.")</x:f>
        <x:v>0.0287</x:v>
      </x:c>
      <x:c r="R162" s="11" t="n">
        <x:f>IF(ISNUMBER(Q162),P162*Q162,"n.a.")</x:f>
        <x:v>287</x:v>
      </x:c>
    </x:row>
    <x:row r="163" ht="21" customHeight="1">
      <x:c r="A163" s="1" t="str">
        <x:v>PLAS</x:v>
      </x:c>
      <x:c r="B163" s="1" t="str">
        <x:v>10</x:v>
      </x:c>
      <x:c r="C163" s="1" t="str">
        <x:v>01219RWBMAR</x:v>
      </x:c>
      <x:c r="D163" s="1" t="str">
        <x:v>1061033</x:v>
      </x:c>
      <x:c r="E163" s="1" t="str">
        <x:v>0</x:v>
      </x:c>
      <x:c r="F163" s="1" t="str">
        <x:v>43</x:v>
      </x:c>
      <x:c r="G163" s="7" t="n">
        <x:v>46332</x:v>
      </x:c>
      <x:c r="H163" s="1" t="n">
        <x:v>4000</x:v>
      </x:c>
      <x:c r="I163" s="1" t="n">
        <x:v>1</x:v>
      </x:c>
      <x:c r="J163" s="1" t="n">
        <x:v>2.87</x:v>
      </x:c>
      <x:c r="K163" s="1" t="n">
        <x:v>100</x:v>
      </x:c>
      <x:c r="L163" s="1" t="str">
        <x:v>a</x:v>
      </x:c>
      <x:c r="M163" s="1" t="n">
        <x:v>4000</x:v>
      </x:c>
      <x:c r="N163" s="1" t="n">
        <x:v>0</x:v>
      </x:c>
      <x:c r="O163" s="1" t="str">
        <x:v>updated receipts.csv</x:v>
      </x:c>
      <x:c r="P163" s="10" t="n">
        <x:f>H163*I163</x:f>
        <x:v>4000</x:v>
      </x:c>
      <x:c r="Q163" s="10" t="n">
        <x:f>IF(K163&gt;0,J163/K163,"n.a.")</x:f>
        <x:v>0.0287</x:v>
      </x:c>
      <x:c r="R163" s="11" t="n">
        <x:f>IF(ISNUMBER(Q163),P163*Q163,"n.a.")</x:f>
        <x:v>114.8</x:v>
      </x:c>
    </x:row>
    <x:row r="164" ht="21" customHeight="1">
      <x:c r="A164" s="1" t="str">
        <x:v>PLAS</x:v>
      </x:c>
      <x:c r="B164" s="1" t="str">
        <x:v>10</x:v>
      </x:c>
      <x:c r="C164" s="1" t="str">
        <x:v>01219RWBNAV</x:v>
      </x:c>
      <x:c r="D164" s="1" t="str">
        <x:v>1061033</x:v>
      </x:c>
      <x:c r="E164" s="1" t="str">
        <x:v>0</x:v>
      </x:c>
      <x:c r="F164" s="1" t="str">
        <x:v>53</x:v>
      </x:c>
      <x:c r="G164" s="7" t="n">
        <x:v>46332</x:v>
      </x:c>
      <x:c r="H164" s="1" t="n">
        <x:v>22000</x:v>
      </x:c>
      <x:c r="I164" s="1" t="n">
        <x:v>1</x:v>
      </x:c>
      <x:c r="J164" s="1" t="n">
        <x:v>2.87</x:v>
      </x:c>
      <x:c r="K164" s="1" t="n">
        <x:v>100</x:v>
      </x:c>
      <x:c r="L164" s="1" t="str">
        <x:v>a</x:v>
      </x:c>
      <x:c r="M164" s="1" t="n">
        <x:v>22000</x:v>
      </x:c>
      <x:c r="N164" s="1" t="n">
        <x:v>0</x:v>
      </x:c>
      <x:c r="O164" s="1" t="str">
        <x:v>updated receipts.csv</x:v>
      </x:c>
      <x:c r="P164" s="10" t="n">
        <x:f>H164*I164</x:f>
        <x:v>22000</x:v>
      </x:c>
      <x:c r="Q164" s="10" t="n">
        <x:f>IF(K164&gt;0,J164/K164,"n.a.")</x:f>
        <x:v>0.0287</x:v>
      </x:c>
      <x:c r="R164" s="11" t="n">
        <x:f>IF(ISNUMBER(Q164),P164*Q164,"n.a.")</x:f>
        <x:v>631.4</x:v>
      </x:c>
    </x:row>
    <x:row r="165" ht="21" customHeight="1">
      <x:c r="A165" s="1" t="str">
        <x:v>PLAS</x:v>
      </x:c>
      <x:c r="B165" s="1" t="str">
        <x:v>10</x:v>
      </x:c>
      <x:c r="C165" s="1" t="str">
        <x:v>01221RWBBLK</x:v>
      </x:c>
      <x:c r="D165" s="1" t="str">
        <x:v>1061033</x:v>
      </x:c>
      <x:c r="E165" s="1" t="str">
        <x:v>0</x:v>
      </x:c>
      <x:c r="F165" s="1" t="str">
        <x:v>88</x:v>
      </x:c>
      <x:c r="G165" s="7" t="n">
        <x:v>46332</x:v>
      </x:c>
      <x:c r="H165" s="1" t="n">
        <x:v>2000</x:v>
      </x:c>
      <x:c r="I165" s="1" t="n">
        <x:v>1</x:v>
      </x:c>
      <x:c r="J165" s="1" t="n">
        <x:v>2.82</x:v>
      </x:c>
      <x:c r="K165" s="1" t="n">
        <x:v>100</x:v>
      </x:c>
      <x:c r="L165" s="1" t="str">
        <x:v>a</x:v>
      </x:c>
      <x:c r="M165" s="1" t="n">
        <x:v>2000</x:v>
      </x:c>
      <x:c r="N165" s="1" t="n">
        <x:v>0</x:v>
      </x:c>
      <x:c r="O165" s="1" t="str">
        <x:v>updated receipts.csv</x:v>
      </x:c>
      <x:c r="P165" s="10" t="n">
        <x:f>H165*I165</x:f>
        <x:v>2000</x:v>
      </x:c>
      <x:c r="Q165" s="10" t="n">
        <x:f>IF(K165&gt;0,J165/K165,"n.a.")</x:f>
        <x:v>0.0282</x:v>
      </x:c>
      <x:c r="R165" s="11" t="n">
        <x:f>IF(ISNUMBER(Q165),P165*Q165,"n.a.")</x:f>
        <x:v>56.4</x:v>
      </x:c>
    </x:row>
    <x:row r="166" ht="21" customHeight="1">
      <x:c r="A166" s="1" t="str">
        <x:v>PLAS</x:v>
      </x:c>
      <x:c r="B166" s="1" t="str">
        <x:v>10</x:v>
      </x:c>
      <x:c r="C166" s="1" t="str">
        <x:v>01280RWBWHT</x:v>
      </x:c>
      <x:c r="D166" s="1" t="str">
        <x:v>1061033</x:v>
      </x:c>
      <x:c r="E166" s="1" t="str">
        <x:v>0</x:v>
      </x:c>
      <x:c r="F166" s="1" t="str">
        <x:v>91</x:v>
      </x:c>
      <x:c r="G166" s="7" t="n">
        <x:v>46332</x:v>
      </x:c>
      <x:c r="H166" s="1" t="n">
        <x:v>700</x:v>
      </x:c>
      <x:c r="I166" s="1" t="n">
        <x:v>1</x:v>
      </x:c>
      <x:c r="J166" s="1" t="n">
        <x:v>11.03</x:v>
      </x:c>
      <x:c r="K166" s="1" t="n">
        <x:v>100</x:v>
      </x:c>
      <x:c r="L166" s="1" t="str">
        <x:v>a</x:v>
      </x:c>
      <x:c r="M166" s="1" t="n">
        <x:v>700</x:v>
      </x:c>
      <x:c r="N166" s="1" t="n">
        <x:v>0</x:v>
      </x:c>
      <x:c r="O166" s="1" t="str">
        <x:v>updated receipts.csv</x:v>
      </x:c>
      <x:c r="P166" s="10" t="n">
        <x:f>H166*I166</x:f>
        <x:v>700</x:v>
      </x:c>
      <x:c r="Q166" s="10" t="n">
        <x:f>IF(K166&gt;0,J166/K166,"n.a.")</x:f>
        <x:v>0.1103</x:v>
      </x:c>
      <x:c r="R166" s="11" t="n">
        <x:f>IF(ISNUMBER(Q166),P166*Q166,"n.a.")</x:f>
        <x:v>77.21</x:v>
      </x:c>
    </x:row>
    <x:row r="167" ht="21" customHeight="1">
      <x:c r="A167" s="1" t="str">
        <x:v>PLAS</x:v>
      </x:c>
      <x:c r="B167" s="1" t="str">
        <x:v>10</x:v>
      </x:c>
      <x:c r="C167" s="1" t="str">
        <x:v>01419RWBBLK</x:v>
      </x:c>
      <x:c r="D167" s="1" t="str">
        <x:v>1061033</x:v>
      </x:c>
      <x:c r="E167" s="1" t="str">
        <x:v>0</x:v>
      </x:c>
      <x:c r="F167" s="1" t="str">
        <x:v>1</x:v>
      </x:c>
      <x:c r="G167" s="7" t="n">
        <x:v>46332</x:v>
      </x:c>
      <x:c r="H167" s="1" t="n">
        <x:v>55000</x:v>
      </x:c>
      <x:c r="I167" s="1" t="n">
        <x:v>1</x:v>
      </x:c>
      <x:c r="J167" s="1" t="n">
        <x:v>1.44</x:v>
      </x:c>
      <x:c r="K167" s="1" t="n">
        <x:v>100</x:v>
      </x:c>
      <x:c r="L167" s="1" t="str">
        <x:v>a</x:v>
      </x:c>
      <x:c r="M167" s="1" t="n">
        <x:v>55000</x:v>
      </x:c>
      <x:c r="N167" s="1" t="n">
        <x:v>0</x:v>
      </x:c>
      <x:c r="O167" s="1" t="str">
        <x:v>updated receipts.csv</x:v>
      </x:c>
      <x:c r="P167" s="10" t="n">
        <x:f>H167*I167</x:f>
        <x:v>55000</x:v>
      </x:c>
      <x:c r="Q167" s="10" t="n">
        <x:f>IF(K167&gt;0,J167/K167,"n.a.")</x:f>
        <x:v>0.0144</x:v>
      </x:c>
      <x:c r="R167" s="11" t="n">
        <x:f>IF(ISNUMBER(Q167),P167*Q167,"n.a.")</x:f>
        <x:v>792</x:v>
      </x:c>
    </x:row>
    <x:row r="168" ht="21" customHeight="1">
      <x:c r="A168" s="1" t="str">
        <x:v>PLAS</x:v>
      </x:c>
      <x:c r="B168" s="1" t="str">
        <x:v>10</x:v>
      </x:c>
      <x:c r="C168" s="1" t="str">
        <x:v>01419RWBBLU</x:v>
      </x:c>
      <x:c r="D168" s="1" t="str">
        <x:v>1061033</x:v>
      </x:c>
      <x:c r="E168" s="1" t="str">
        <x:v>0</x:v>
      </x:c>
      <x:c r="F168" s="1" t="str">
        <x:v>16</x:v>
      </x:c>
      <x:c r="G168" s="7" t="n">
        <x:v>46332</x:v>
      </x:c>
      <x:c r="H168" s="1" t="n">
        <x:v>3000</x:v>
      </x:c>
      <x:c r="I168" s="1" t="n">
        <x:v>1</x:v>
      </x:c>
      <x:c r="J168" s="1" t="n">
        <x:v>1.44</x:v>
      </x:c>
      <x:c r="K168" s="1" t="n">
        <x:v>100</x:v>
      </x:c>
      <x:c r="L168" s="1" t="str">
        <x:v>a</x:v>
      </x:c>
      <x:c r="M168" s="1" t="n">
        <x:v>3000</x:v>
      </x:c>
      <x:c r="N168" s="1" t="n">
        <x:v>0</x:v>
      </x:c>
      <x:c r="O168" s="1" t="str">
        <x:v>updated receipts.csv</x:v>
      </x:c>
      <x:c r="P168" s="10" t="n">
        <x:f>H168*I168</x:f>
        <x:v>3000</x:v>
      </x:c>
      <x:c r="Q168" s="10" t="n">
        <x:f>IF(K168&gt;0,J168/K168,"n.a.")</x:f>
        <x:v>0.0144</x:v>
      </x:c>
      <x:c r="R168" s="11" t="n">
        <x:f>IF(ISNUMBER(Q168),P168*Q168,"n.a.")</x:f>
        <x:v>43.199999999999996</x:v>
      </x:c>
    </x:row>
    <x:row r="169" ht="21" customHeight="1">
      <x:c r="A169" s="1" t="str">
        <x:v>PLAS</x:v>
      </x:c>
      <x:c r="B169" s="1" t="str">
        <x:v>10</x:v>
      </x:c>
      <x:c r="C169" s="1" t="str">
        <x:v>01419RWBFG</x:v>
      </x:c>
      <x:c r="D169" s="1" t="str">
        <x:v>1061033</x:v>
      </x:c>
      <x:c r="E169" s="1" t="str">
        <x:v>0</x:v>
      </x:c>
      <x:c r="F169" s="1" t="str">
        <x:v>32</x:v>
      </x:c>
      <x:c r="G169" s="7" t="n">
        <x:v>46332</x:v>
      </x:c>
      <x:c r="H169" s="1" t="n">
        <x:v>5000</x:v>
      </x:c>
      <x:c r="I169" s="1" t="n">
        <x:v>1</x:v>
      </x:c>
      <x:c r="J169" s="1" t="n">
        <x:v>1.44</x:v>
      </x:c>
      <x:c r="K169" s="1" t="n">
        <x:v>100</x:v>
      </x:c>
      <x:c r="L169" s="1" t="str">
        <x:v>a</x:v>
      </x:c>
      <x:c r="M169" s="1" t="n">
        <x:v>5000</x:v>
      </x:c>
      <x:c r="N169" s="1" t="n">
        <x:v>0</x:v>
      </x:c>
      <x:c r="O169" s="1" t="str">
        <x:v>updated receipts.csv</x:v>
      </x:c>
      <x:c r="P169" s="10" t="n">
        <x:f>H169*I169</x:f>
        <x:v>5000</x:v>
      </x:c>
      <x:c r="Q169" s="10" t="n">
        <x:f>IF(K169&gt;0,J169/K169,"n.a.")</x:f>
        <x:v>0.0144</x:v>
      </x:c>
      <x:c r="R169" s="11" t="n">
        <x:f>IF(ISNUMBER(Q169),P169*Q169,"n.a.")</x:f>
        <x:v>72</x:v>
      </x:c>
    </x:row>
    <x:row r="170" ht="21" customHeight="1">
      <x:c r="A170" s="1" t="str">
        <x:v>PLAS</x:v>
      </x:c>
      <x:c r="B170" s="1" t="str">
        <x:v>10</x:v>
      </x:c>
      <x:c r="C170" s="1" t="str">
        <x:v>01419RWBNAV</x:v>
      </x:c>
      <x:c r="D170" s="1" t="str">
        <x:v>1061033</x:v>
      </x:c>
      <x:c r="E170" s="1" t="str">
        <x:v>0</x:v>
      </x:c>
      <x:c r="F170" s="1" t="str">
        <x:v>49</x:v>
      </x:c>
      <x:c r="G170" s="7" t="n">
        <x:v>46332</x:v>
      </x:c>
      <x:c r="H170" s="1" t="n">
        <x:v>20000</x:v>
      </x:c>
      <x:c r="I170" s="1" t="n">
        <x:v>1</x:v>
      </x:c>
      <x:c r="J170" s="1" t="n">
        <x:v>1.44</x:v>
      </x:c>
      <x:c r="K170" s="1" t="n">
        <x:v>100</x:v>
      </x:c>
      <x:c r="L170" s="1" t="str">
        <x:v>a</x:v>
      </x:c>
      <x:c r="M170" s="1" t="n">
        <x:v>20000</x:v>
      </x:c>
      <x:c r="N170" s="1" t="n">
        <x:v>0</x:v>
      </x:c>
      <x:c r="O170" s="1" t="str">
        <x:v>updated receipts.csv</x:v>
      </x:c>
      <x:c r="P170" s="10" t="n">
        <x:f>H170*I170</x:f>
        <x:v>20000</x:v>
      </x:c>
      <x:c r="Q170" s="10" t="n">
        <x:f>IF(K170&gt;0,J170/K170,"n.a.")</x:f>
        <x:v>0.0144</x:v>
      </x:c>
      <x:c r="R170" s="11" t="n">
        <x:f>IF(ISNUMBER(Q170),P170*Q170,"n.a.")</x:f>
        <x:v>288</x:v>
      </x:c>
    </x:row>
    <x:row r="171" ht="21" customHeight="1">
      <x:c r="A171" s="1" t="str">
        <x:v>PLAS</x:v>
      </x:c>
      <x:c r="B171" s="1" t="str">
        <x:v>10</x:v>
      </x:c>
      <x:c r="C171" s="1" t="str">
        <x:v>01419RWBWHT</x:v>
      </x:c>
      <x:c r="D171" s="1" t="str">
        <x:v>1061033</x:v>
      </x:c>
      <x:c r="E171" s="1" t="str">
        <x:v>0</x:v>
      </x:c>
      <x:c r="F171" s="1" t="str">
        <x:v>68</x:v>
      </x:c>
      <x:c r="G171" s="7" t="n">
        <x:v>46332</x:v>
      </x:c>
      <x:c r="H171" s="1" t="n">
        <x:v>13000</x:v>
      </x:c>
      <x:c r="I171" s="1" t="n">
        <x:v>1</x:v>
      </x:c>
      <x:c r="J171" s="1" t="n">
        <x:v>1.44</x:v>
      </x:c>
      <x:c r="K171" s="1" t="n">
        <x:v>100</x:v>
      </x:c>
      <x:c r="L171" s="1" t="str">
        <x:v>a</x:v>
      </x:c>
      <x:c r="M171" s="1" t="n">
        <x:v>13000</x:v>
      </x:c>
      <x:c r="N171" s="1" t="n">
        <x:v>0</x:v>
      </x:c>
      <x:c r="O171" s="1" t="str">
        <x:v>updated receipts.csv</x:v>
      </x:c>
      <x:c r="P171" s="10" t="n">
        <x:f>H171*I171</x:f>
        <x:v>13000</x:v>
      </x:c>
      <x:c r="Q171" s="10" t="n">
        <x:f>IF(K171&gt;0,J171/K171,"n.a.")</x:f>
        <x:v>0.0144</x:v>
      </x:c>
      <x:c r="R171" s="11" t="n">
        <x:f>IF(ISNUMBER(Q171),P171*Q171,"n.a.")</x:f>
        <x:v>187.2</x:v>
      </x:c>
    </x:row>
    <x:row r="172" ht="21" customHeight="1">
      <x:c r="A172" s="1" t="str">
        <x:v>PLAS</x:v>
      </x:c>
      <x:c r="B172" s="1" t="str">
        <x:v>10</x:v>
      </x:c>
      <x:c r="C172" s="1" t="str">
        <x:v>03419RWBBLK</x:v>
      </x:c>
      <x:c r="D172" s="1" t="str">
        <x:v>1061033</x:v>
      </x:c>
      <x:c r="E172" s="1" t="str">
        <x:v>0</x:v>
      </x:c>
      <x:c r="F172" s="1" t="str">
        <x:v>8</x:v>
      </x:c>
      <x:c r="G172" s="7" t="n">
        <x:v>46332</x:v>
      </x:c>
      <x:c r="H172" s="1" t="n">
        <x:v>45000</x:v>
      </x:c>
      <x:c r="I172" s="1" t="n">
        <x:v>1</x:v>
      </x:c>
      <x:c r="J172" s="1" t="n">
        <x:v>4.97</x:v>
      </x:c>
      <x:c r="K172" s="1" t="n">
        <x:v>100</x:v>
      </x:c>
      <x:c r="L172" s="1" t="str">
        <x:v>a</x:v>
      </x:c>
      <x:c r="M172" s="1" t="n">
        <x:v>45000</x:v>
      </x:c>
      <x:c r="N172" s="1" t="n">
        <x:v>0</x:v>
      </x:c>
      <x:c r="O172" s="1" t="str">
        <x:v>updated receipts.csv</x:v>
      </x:c>
      <x:c r="P172" s="10" t="n">
        <x:f>H172*I172</x:f>
        <x:v>45000</x:v>
      </x:c>
      <x:c r="Q172" s="10" t="n">
        <x:f>IF(K172&gt;0,J172/K172,"n.a.")</x:f>
        <x:v>0.049699999999999994</x:v>
      </x:c>
      <x:c r="R172" s="11" t="n">
        <x:f>IF(ISNUMBER(Q172),P172*Q172,"n.a.")</x:f>
        <x:v>2236.4999999999995</x:v>
      </x:c>
    </x:row>
    <x:row r="173" ht="21" customHeight="1">
      <x:c r="A173" s="1" t="str">
        <x:v>PLAS</x:v>
      </x:c>
      <x:c r="B173" s="1" t="str">
        <x:v>10</x:v>
      </x:c>
      <x:c r="C173" s="1" t="str">
        <x:v>03419RWBBLU</x:v>
      </x:c>
      <x:c r="D173" s="1" t="str">
        <x:v>1061033</x:v>
      </x:c>
      <x:c r="E173" s="1" t="str">
        <x:v>0</x:v>
      </x:c>
      <x:c r="F173" s="1" t="str">
        <x:v>22</x:v>
      </x:c>
      <x:c r="G173" s="7" t="n">
        <x:v>46332</x:v>
      </x:c>
      <x:c r="H173" s="1" t="n">
        <x:v>8000</x:v>
      </x:c>
      <x:c r="I173" s="1" t="n">
        <x:v>1</x:v>
      </x:c>
      <x:c r="J173" s="1" t="n">
        <x:v>4.97</x:v>
      </x:c>
      <x:c r="K173" s="1" t="n">
        <x:v>100</x:v>
      </x:c>
      <x:c r="L173" s="1" t="str">
        <x:v>a</x:v>
      </x:c>
      <x:c r="M173" s="1" t="n">
        <x:v>8000</x:v>
      </x:c>
      <x:c r="N173" s="1" t="n">
        <x:v>0</x:v>
      </x:c>
      <x:c r="O173" s="1" t="str">
        <x:v>updated receipts.csv</x:v>
      </x:c>
      <x:c r="P173" s="10" t="n">
        <x:f>H173*I173</x:f>
        <x:v>8000</x:v>
      </x:c>
      <x:c r="Q173" s="10" t="n">
        <x:f>IF(K173&gt;0,J173/K173,"n.a.")</x:f>
        <x:v>0.049699999999999994</x:v>
      </x:c>
      <x:c r="R173" s="11" t="n">
        <x:f>IF(ISNUMBER(Q173),P173*Q173,"n.a.")</x:f>
        <x:v>397.59999999999997</x:v>
      </x:c>
    </x:row>
    <x:row r="174" ht="21" customHeight="1">
      <x:c r="A174" s="1" t="str">
        <x:v>PLAS</x:v>
      </x:c>
      <x:c r="B174" s="1" t="str">
        <x:v>10</x:v>
      </x:c>
      <x:c r="C174" s="1" t="str">
        <x:v>03419RWBMAR</x:v>
      </x:c>
      <x:c r="D174" s="1" t="str">
        <x:v>1061033</x:v>
      </x:c>
      <x:c r="E174" s="1" t="str">
        <x:v>0</x:v>
      </x:c>
      <x:c r="F174" s="1" t="str">
        <x:v>45</x:v>
      </x:c>
      <x:c r="G174" s="7" t="n">
        <x:v>46332</x:v>
      </x:c>
      <x:c r="H174" s="1" t="n">
        <x:v>4000</x:v>
      </x:c>
      <x:c r="I174" s="1" t="n">
        <x:v>1</x:v>
      </x:c>
      <x:c r="J174" s="1" t="n">
        <x:v>4.97</x:v>
      </x:c>
      <x:c r="K174" s="1" t="n">
        <x:v>100</x:v>
      </x:c>
      <x:c r="L174" s="1" t="str">
        <x:v>a</x:v>
      </x:c>
      <x:c r="M174" s="1" t="n">
        <x:v>4000</x:v>
      </x:c>
      <x:c r="N174" s="1" t="n">
        <x:v>0</x:v>
      </x:c>
      <x:c r="O174" s="1" t="str">
        <x:v>updated receipts.csv</x:v>
      </x:c>
      <x:c r="P174" s="10" t="n">
        <x:f>H174*I174</x:f>
        <x:v>4000</x:v>
      </x:c>
      <x:c r="Q174" s="10" t="n">
        <x:f>IF(K174&gt;0,J174/K174,"n.a.")</x:f>
        <x:v>0.049699999999999994</x:v>
      </x:c>
      <x:c r="R174" s="11" t="n">
        <x:f>IF(ISNUMBER(Q174),P174*Q174,"n.a.")</x:f>
        <x:v>198.79999999999998</x:v>
      </x:c>
    </x:row>
    <x:row r="175" ht="21" customHeight="1">
      <x:c r="A175" s="1" t="str">
        <x:v>PLAS</x:v>
      </x:c>
      <x:c r="B175" s="1" t="str">
        <x:v>10</x:v>
      </x:c>
      <x:c r="C175" s="1" t="str">
        <x:v>03419RWBNAV</x:v>
      </x:c>
      <x:c r="D175" s="1" t="str">
        <x:v>1061033</x:v>
      </x:c>
      <x:c r="E175" s="1" t="str">
        <x:v>0</x:v>
      </x:c>
      <x:c r="F175" s="1" t="str">
        <x:v>56</x:v>
      </x:c>
      <x:c r="G175" s="7" t="n">
        <x:v>46332</x:v>
      </x:c>
      <x:c r="H175" s="1" t="n">
        <x:v>10000</x:v>
      </x:c>
      <x:c r="I175" s="1" t="n">
        <x:v>1</x:v>
      </x:c>
      <x:c r="J175" s="1" t="n">
        <x:v>4.97</x:v>
      </x:c>
      <x:c r="K175" s="1" t="n">
        <x:v>100</x:v>
      </x:c>
      <x:c r="L175" s="1" t="str">
        <x:v>a</x:v>
      </x:c>
      <x:c r="M175" s="1" t="n">
        <x:v>10000</x:v>
      </x:c>
      <x:c r="N175" s="1" t="n">
        <x:v>0</x:v>
      </x:c>
      <x:c r="O175" s="1" t="str">
        <x:v>updated receipts.csv</x:v>
      </x:c>
      <x:c r="P175" s="10" t="n">
        <x:f>H175*I175</x:f>
        <x:v>10000</x:v>
      </x:c>
      <x:c r="Q175" s="10" t="n">
        <x:f>IF(K175&gt;0,J175/K175,"n.a.")</x:f>
        <x:v>0.049699999999999994</x:v>
      </x:c>
      <x:c r="R175" s="11" t="n">
        <x:f>IF(ISNUMBER(Q175),P175*Q175,"n.a.")</x:f>
        <x:v>496.99999999999994</x:v>
      </x:c>
    </x:row>
    <x:row r="176" ht="21" customHeight="1">
      <x:c r="A176" s="1" t="str">
        <x:v>PLAS</x:v>
      </x:c>
      <x:c r="B176" s="1" t="str">
        <x:v>10</x:v>
      </x:c>
      <x:c r="C176" s="1" t="str">
        <x:v>03419RWBRED</x:v>
      </x:c>
      <x:c r="D176" s="1" t="str">
        <x:v>1061033</x:v>
      </x:c>
      <x:c r="E176" s="1" t="str">
        <x:v>0</x:v>
      </x:c>
      <x:c r="F176" s="1" t="str">
        <x:v>67</x:v>
      </x:c>
      <x:c r="G176" s="7" t="n">
        <x:v>46332</x:v>
      </x:c>
      <x:c r="H176" s="1" t="n">
        <x:v>3000</x:v>
      </x:c>
      <x:c r="I176" s="1" t="n">
        <x:v>1</x:v>
      </x:c>
      <x:c r="J176" s="1" t="n">
        <x:v>4.97</x:v>
      </x:c>
      <x:c r="K176" s="1" t="n">
        <x:v>100</x:v>
      </x:c>
      <x:c r="L176" s="1" t="str">
        <x:v>a</x:v>
      </x:c>
      <x:c r="M176" s="1" t="n">
        <x:v>3000</x:v>
      </x:c>
      <x:c r="N176" s="1" t="n">
        <x:v>0</x:v>
      </x:c>
      <x:c r="O176" s="1" t="str">
        <x:v>updated receipts.csv</x:v>
      </x:c>
      <x:c r="P176" s="10" t="n">
        <x:f>H176*I176</x:f>
        <x:v>3000</x:v>
      </x:c>
      <x:c r="Q176" s="10" t="n">
        <x:f>IF(K176&gt;0,J176/K176,"n.a.")</x:f>
        <x:v>0.049699999999999994</x:v>
      </x:c>
      <x:c r="R176" s="11" t="n">
        <x:f>IF(ISNUMBER(Q176),P176*Q176,"n.a.")</x:f>
        <x:v>149.1</x:v>
      </x:c>
    </x:row>
    <x:row r="177" ht="21" customHeight="1">
      <x:c r="A177" s="1" t="str">
        <x:v>PLAS</x:v>
      </x:c>
      <x:c r="B177" s="1" t="str">
        <x:v>10</x:v>
      </x:c>
      <x:c r="C177" s="1" t="str">
        <x:v>03419RWBWHT</x:v>
      </x:c>
      <x:c r="D177" s="1" t="str">
        <x:v>1061033</x:v>
      </x:c>
      <x:c r="E177" s="1" t="str">
        <x:v>0</x:v>
      </x:c>
      <x:c r="F177" s="1" t="str">
        <x:v>73</x:v>
      </x:c>
      <x:c r="G177" s="7" t="n">
        <x:v>46332</x:v>
      </x:c>
      <x:c r="H177" s="1" t="n">
        <x:v>14000</x:v>
      </x:c>
      <x:c r="I177" s="1" t="n">
        <x:v>1</x:v>
      </x:c>
      <x:c r="J177" s="1" t="n">
        <x:v>4.97</x:v>
      </x:c>
      <x:c r="K177" s="1" t="n">
        <x:v>100</x:v>
      </x:c>
      <x:c r="L177" s="1" t="str">
        <x:v>a</x:v>
      </x:c>
      <x:c r="M177" s="1" t="n">
        <x:v>14000</x:v>
      </x:c>
      <x:c r="N177" s="1" t="n">
        <x:v>0</x:v>
      </x:c>
      <x:c r="O177" s="1" t="str">
        <x:v>updated receipts.csv</x:v>
      </x:c>
      <x:c r="P177" s="10" t="n">
        <x:f>H177*I177</x:f>
        <x:v>14000</x:v>
      </x:c>
      <x:c r="Q177" s="10" t="n">
        <x:f>IF(K177&gt;0,J177/K177,"n.a.")</x:f>
        <x:v>0.049699999999999994</x:v>
      </x:c>
      <x:c r="R177" s="11" t="n">
        <x:f>IF(ISNUMBER(Q177),P177*Q177,"n.a.")</x:f>
        <x:v>695.8</x:v>
      </x:c>
    </x:row>
    <x:row r="178" ht="21" customHeight="1">
      <x:c r="A178" s="1" t="str">
        <x:v>PLAS</x:v>
      </x:c>
      <x:c r="B178" s="1" t="str">
        <x:v>10</x:v>
      </x:c>
      <x:c r="C178" s="1" t="str">
        <x:v>03421RWBBLK</x:v>
      </x:c>
      <x:c r="D178" s="1" t="str">
        <x:v>1061033</x:v>
      </x:c>
      <x:c r="E178" s="1" t="str">
        <x:v>0</x:v>
      </x:c>
      <x:c r="F178" s="1" t="str">
        <x:v>89</x:v>
      </x:c>
      <x:c r="G178" s="7" t="n">
        <x:v>46332</x:v>
      </x:c>
      <x:c r="H178" s="1" t="n">
        <x:v>1000</x:v>
      </x:c>
      <x:c r="I178" s="1" t="n">
        <x:v>1</x:v>
      </x:c>
      <x:c r="J178" s="1" t="n">
        <x:v>4.91</x:v>
      </x:c>
      <x:c r="K178" s="1" t="n">
        <x:v>100</x:v>
      </x:c>
      <x:c r="L178" s="1" t="str">
        <x:v>a</x:v>
      </x:c>
      <x:c r="M178" s="1" t="n">
        <x:v>1000</x:v>
      </x:c>
      <x:c r="N178" s="1" t="n">
        <x:v>0</x:v>
      </x:c>
      <x:c r="O178" s="1" t="str">
        <x:v>updated receipts.csv</x:v>
      </x:c>
      <x:c r="P178" s="10" t="n">
        <x:f>H178*I178</x:f>
        <x:v>1000</x:v>
      </x:c>
      <x:c r="Q178" s="10" t="n">
        <x:f>IF(K178&gt;0,J178/K178,"n.a.")</x:f>
        <x:v>0.049100000000000005</x:v>
      </x:c>
      <x:c r="R178" s="11" t="n">
        <x:f>IF(ISNUMBER(Q178),P178*Q178,"n.a.")</x:f>
        <x:v>49.1</x:v>
      </x:c>
    </x:row>
    <x:row r="179" ht="21" customHeight="1">
      <x:c r="A179" s="1" t="str">
        <x:v>PLAS</x:v>
      </x:c>
      <x:c r="B179" s="1" t="str">
        <x:v>10</x:v>
      </x:c>
      <x:c r="C179" s="1" t="str">
        <x:v>03815RWBBLK</x:v>
      </x:c>
      <x:c r="D179" s="1" t="str">
        <x:v>1061033</x:v>
      </x:c>
      <x:c r="E179" s="1" t="str">
        <x:v>0</x:v>
      </x:c>
      <x:c r="F179" s="1" t="str">
        <x:v>81</x:v>
      </x:c>
      <x:c r="G179" s="7" t="n">
        <x:v>46332</x:v>
      </x:c>
      <x:c r="H179" s="1" t="n">
        <x:v>10000</x:v>
      </x:c>
      <x:c r="I179" s="1" t="n">
        <x:v>1</x:v>
      </x:c>
      <x:c r="J179" s="1" t="n">
        <x:v>1.29</x:v>
      </x:c>
      <x:c r="K179" s="1" t="n">
        <x:v>100</x:v>
      </x:c>
      <x:c r="L179" s="1" t="str">
        <x:v>a</x:v>
      </x:c>
      <x:c r="M179" s="1" t="n">
        <x:v>10000</x:v>
      </x:c>
      <x:c r="N179" s="1" t="n">
        <x:v>0</x:v>
      </x:c>
      <x:c r="O179" s="1" t="str">
        <x:v>updated receipts.csv</x:v>
      </x:c>
      <x:c r="P179" s="10" t="n">
        <x:f>H179*I179</x:f>
        <x:v>10000</x:v>
      </x:c>
      <x:c r="Q179" s="10" t="n">
        <x:f>IF(K179&gt;0,J179/K179,"n.a.")</x:f>
        <x:v>0.0129</x:v>
      </x:c>
      <x:c r="R179" s="11" t="n">
        <x:f>IF(ISNUMBER(Q179),P179*Q179,"n.a.")</x:f>
        <x:v>129</x:v>
      </x:c>
    </x:row>
    <x:row r="180" ht="21" customHeight="1">
      <x:c r="A180" s="1" t="str">
        <x:v>PLAS</x:v>
      </x:c>
      <x:c r="B180" s="1" t="str">
        <x:v>10</x:v>
      </x:c>
      <x:c r="C180" s="1" t="str">
        <x:v>03815RWBWHT</x:v>
      </x:c>
      <x:c r="D180" s="1" t="str">
        <x:v>1061033</x:v>
      </x:c>
      <x:c r="E180" s="1" t="str">
        <x:v>0</x:v>
      </x:c>
      <x:c r="F180" s="1" t="str">
        <x:v>84</x:v>
      </x:c>
      <x:c r="G180" s="7" t="n">
        <x:v>46332</x:v>
      </x:c>
      <x:c r="H180" s="1" t="n">
        <x:v>10000</x:v>
      </x:c>
      <x:c r="I180" s="1" t="n">
        <x:v>1</x:v>
      </x:c>
      <x:c r="J180" s="1" t="n">
        <x:v>1.29</x:v>
      </x:c>
      <x:c r="K180" s="1" t="n">
        <x:v>100</x:v>
      </x:c>
      <x:c r="L180" s="1" t="str">
        <x:v>a</x:v>
      </x:c>
      <x:c r="M180" s="1" t="n">
        <x:v>10000</x:v>
      </x:c>
      <x:c r="N180" s="1" t="n">
        <x:v>0</x:v>
      </x:c>
      <x:c r="O180" s="1" t="str">
        <x:v>updated receipts.csv</x:v>
      </x:c>
      <x:c r="P180" s="10" t="n">
        <x:f>H180*I180</x:f>
        <x:v>10000</x:v>
      </x:c>
      <x:c r="Q180" s="10" t="n">
        <x:f>IF(K180&gt;0,J180/K180,"n.a.")</x:f>
        <x:v>0.0129</x:v>
      </x:c>
      <x:c r="R180" s="11" t="n">
        <x:f>IF(ISNUMBER(Q180),P180*Q180,"n.a.")</x:f>
        <x:v>129</x:v>
      </x:c>
    </x:row>
    <x:row r="181" ht="21" customHeight="1">
      <x:c r="A181" s="1" t="str">
        <x:v>PLAS</x:v>
      </x:c>
      <x:c r="B181" s="1" t="str">
        <x:v>10</x:v>
      </x:c>
      <x:c r="C181" s="1" t="str">
        <x:v>03819RWBBLK</x:v>
      </x:c>
      <x:c r="D181" s="1" t="str">
        <x:v>1061033</x:v>
      </x:c>
      <x:c r="E181" s="1" t="str">
        <x:v>0</x:v>
      </x:c>
      <x:c r="F181" s="1" t="str">
        <x:v>3</x:v>
      </x:c>
      <x:c r="G181" s="7" t="n">
        <x:v>46332</x:v>
      </x:c>
      <x:c r="H181" s="1" t="n">
        <x:v>70000</x:v>
      </x:c>
      <x:c r="I181" s="1" t="n">
        <x:v>1</x:v>
      </x:c>
      <x:c r="J181" s="1" t="n">
        <x:v>1.98</x:v>
      </x:c>
      <x:c r="K181" s="1" t="n">
        <x:v>100</x:v>
      </x:c>
      <x:c r="L181" s="1" t="str">
        <x:v>a</x:v>
      </x:c>
      <x:c r="M181" s="1" t="n">
        <x:v>70000</x:v>
      </x:c>
      <x:c r="N181" s="1" t="n">
        <x:v>0</x:v>
      </x:c>
      <x:c r="O181" s="1" t="str">
        <x:v>updated receipts.csv</x:v>
      </x:c>
      <x:c r="P181" s="10" t="n">
        <x:f>H181*I181</x:f>
        <x:v>70000</x:v>
      </x:c>
      <x:c r="Q181" s="10" t="n">
        <x:f>IF(K181&gt;0,J181/K181,"n.a.")</x:f>
        <x:v>0.019799999999999998</x:v>
      </x:c>
      <x:c r="R181" s="11" t="n">
        <x:f>IF(ISNUMBER(Q181),P181*Q181,"n.a.")</x:f>
        <x:v>1385.9999999999998</x:v>
      </x:c>
    </x:row>
    <x:row r="182" ht="21" customHeight="1">
      <x:c r="A182" s="1" t="str">
        <x:v>PLAS</x:v>
      </x:c>
      <x:c r="B182" s="1" t="str">
        <x:v>10</x:v>
      </x:c>
      <x:c r="C182" s="1" t="str">
        <x:v>03819RWBBLU</x:v>
      </x:c>
      <x:c r="D182" s="1" t="str">
        <x:v>1061033</x:v>
      </x:c>
      <x:c r="E182" s="1" t="str">
        <x:v>0</x:v>
      </x:c>
      <x:c r="F182" s="1" t="str">
        <x:v>18</x:v>
      </x:c>
      <x:c r="G182" s="7" t="n">
        <x:v>46332</x:v>
      </x:c>
      <x:c r="H182" s="1" t="n">
        <x:v>20000</x:v>
      </x:c>
      <x:c r="I182" s="1" t="n">
        <x:v>1</x:v>
      </x:c>
      <x:c r="J182" s="1" t="n">
        <x:v>1.98</x:v>
      </x:c>
      <x:c r="K182" s="1" t="n">
        <x:v>100</x:v>
      </x:c>
      <x:c r="L182" s="1" t="str">
        <x:v>a</x:v>
      </x:c>
      <x:c r="M182" s="1" t="n">
        <x:v>20000</x:v>
      </x:c>
      <x:c r="N182" s="1" t="n">
        <x:v>0</x:v>
      </x:c>
      <x:c r="O182" s="1" t="str">
        <x:v>updated receipts.csv</x:v>
      </x:c>
      <x:c r="P182" s="10" t="n">
        <x:f>H182*I182</x:f>
        <x:v>20000</x:v>
      </x:c>
      <x:c r="Q182" s="10" t="n">
        <x:f>IF(K182&gt;0,J182/K182,"n.a.")</x:f>
        <x:v>0.019799999999999998</x:v>
      </x:c>
      <x:c r="R182" s="11" t="n">
        <x:f>IF(ISNUMBER(Q182),P182*Q182,"n.a.")</x:f>
        <x:v>395.99999999999994</x:v>
      </x:c>
    </x:row>
    <x:row r="183" ht="21" customHeight="1">
      <x:c r="A183" s="1" t="str">
        <x:v>PLAS</x:v>
      </x:c>
      <x:c r="B183" s="1" t="str">
        <x:v>10</x:v>
      </x:c>
      <x:c r="C183" s="1" t="str">
        <x:v>03819RWBCLR</x:v>
      </x:c>
      <x:c r="D183" s="1" t="str">
        <x:v>1061033</x:v>
      </x:c>
      <x:c r="E183" s="1" t="str">
        <x:v>0</x:v>
      </x:c>
      <x:c r="F183" s="1" t="str">
        <x:v>29</x:v>
      </x:c>
      <x:c r="G183" s="7" t="n">
        <x:v>46332</x:v>
      </x:c>
      <x:c r="H183" s="1" t="n">
        <x:v>14000</x:v>
      </x:c>
      <x:c r="I183" s="1" t="n">
        <x:v>1</x:v>
      </x:c>
      <x:c r="J183" s="1" t="n">
        <x:v>1.98</x:v>
      </x:c>
      <x:c r="K183" s="1" t="n">
        <x:v>100</x:v>
      </x:c>
      <x:c r="L183" s="1" t="str">
        <x:v>a</x:v>
      </x:c>
      <x:c r="M183" s="1" t="n">
        <x:v>14000</x:v>
      </x:c>
      <x:c r="N183" s="1" t="n">
        <x:v>0</x:v>
      </x:c>
      <x:c r="O183" s="1" t="str">
        <x:v>updated receipts.csv</x:v>
      </x:c>
      <x:c r="P183" s="10" t="n">
        <x:f>H183*I183</x:f>
        <x:v>14000</x:v>
      </x:c>
      <x:c r="Q183" s="10" t="n">
        <x:f>IF(K183&gt;0,J183/K183,"n.a.")</x:f>
        <x:v>0.019799999999999998</x:v>
      </x:c>
      <x:c r="R183" s="11" t="n">
        <x:f>IF(ISNUMBER(Q183),P183*Q183,"n.a.")</x:f>
        <x:v>277.2</x:v>
      </x:c>
    </x:row>
    <x:row r="184" ht="21" customHeight="1">
      <x:c r="A184" s="1" t="str">
        <x:v>PLAS</x:v>
      </x:c>
      <x:c r="B184" s="1" t="str">
        <x:v>10</x:v>
      </x:c>
      <x:c r="C184" s="1" t="str">
        <x:v>03819RWBFG</x:v>
      </x:c>
      <x:c r="D184" s="1" t="str">
        <x:v>1061033</x:v>
      </x:c>
      <x:c r="E184" s="1" t="str">
        <x:v>0</x:v>
      </x:c>
      <x:c r="F184" s="1" t="str">
        <x:v>34</x:v>
      </x:c>
      <x:c r="G184" s="7" t="n">
        <x:v>46332</x:v>
      </x:c>
      <x:c r="H184" s="1" t="n">
        <x:v>10000</x:v>
      </x:c>
      <x:c r="I184" s="1" t="n">
        <x:v>1</x:v>
      </x:c>
      <x:c r="J184" s="1" t="n">
        <x:v>1.98</x:v>
      </x:c>
      <x:c r="K184" s="1" t="n">
        <x:v>100</x:v>
      </x:c>
      <x:c r="L184" s="1" t="str">
        <x:v>a</x:v>
      </x:c>
      <x:c r="M184" s="1" t="n">
        <x:v>10000</x:v>
      </x:c>
      <x:c r="N184" s="1" t="n">
        <x:v>0</x:v>
      </x:c>
      <x:c r="O184" s="1" t="str">
        <x:v>updated receipts.csv</x:v>
      </x:c>
      <x:c r="P184" s="10" t="n">
        <x:f>H184*I184</x:f>
        <x:v>10000</x:v>
      </x:c>
      <x:c r="Q184" s="10" t="n">
        <x:f>IF(K184&gt;0,J184/K184,"n.a.")</x:f>
        <x:v>0.019799999999999998</x:v>
      </x:c>
      <x:c r="R184" s="11" t="n">
        <x:f>IF(ISNUMBER(Q184),P184*Q184,"n.a.")</x:f>
        <x:v>197.99999999999997</x:v>
      </x:c>
    </x:row>
    <x:row r="185" ht="21" customHeight="1">
      <x:c r="A185" s="1" t="str">
        <x:v>PLAS</x:v>
      </x:c>
      <x:c r="B185" s="1" t="str">
        <x:v>10</x:v>
      </x:c>
      <x:c r="C185" s="1" t="str">
        <x:v>03819RWBMAR</x:v>
      </x:c>
      <x:c r="D185" s="1" t="str">
        <x:v>1061033</x:v>
      </x:c>
      <x:c r="E185" s="1" t="str">
        <x:v>0</x:v>
      </x:c>
      <x:c r="F185" s="1" t="str">
        <x:v>41</x:v>
      </x:c>
      <x:c r="G185" s="7" t="n">
        <x:v>46332</x:v>
      </x:c>
      <x:c r="H185" s="1" t="n">
        <x:v>16000</x:v>
      </x:c>
      <x:c r="I185" s="1" t="n">
        <x:v>1</x:v>
      </x:c>
      <x:c r="J185" s="1" t="n">
        <x:v>1.98</x:v>
      </x:c>
      <x:c r="K185" s="1" t="n">
        <x:v>100</x:v>
      </x:c>
      <x:c r="L185" s="1" t="str">
        <x:v>a</x:v>
      </x:c>
      <x:c r="M185" s="1" t="n">
        <x:v>16000</x:v>
      </x:c>
      <x:c r="N185" s="1" t="n">
        <x:v>0</x:v>
      </x:c>
      <x:c r="O185" s="1" t="str">
        <x:v>updated receipts.csv</x:v>
      </x:c>
      <x:c r="P185" s="10" t="n">
        <x:f>H185*I185</x:f>
        <x:v>16000</x:v>
      </x:c>
      <x:c r="Q185" s="10" t="n">
        <x:f>IF(K185&gt;0,J185/K185,"n.a.")</x:f>
        <x:v>0.019799999999999998</x:v>
      </x:c>
      <x:c r="R185" s="11" t="n">
        <x:f>IF(ISNUMBER(Q185),P185*Q185,"n.a.")</x:f>
        <x:v>316.79999999999995</x:v>
      </x:c>
    </x:row>
    <x:row r="186" ht="21" customHeight="1">
      <x:c r="A186" s="1" t="str">
        <x:v>PLAS</x:v>
      </x:c>
      <x:c r="B186" s="1" t="str">
        <x:v>10</x:v>
      </x:c>
      <x:c r="C186" s="1" t="str">
        <x:v>03819RWBNAV</x:v>
      </x:c>
      <x:c r="D186" s="1" t="str">
        <x:v>1061033</x:v>
      </x:c>
      <x:c r="E186" s="1" t="str">
        <x:v>0</x:v>
      </x:c>
      <x:c r="F186" s="1" t="str">
        <x:v>51</x:v>
      </x:c>
      <x:c r="G186" s="7" t="n">
        <x:v>46332</x:v>
      </x:c>
      <x:c r="H186" s="1" t="n">
        <x:v>35000</x:v>
      </x:c>
      <x:c r="I186" s="1" t="n">
        <x:v>1</x:v>
      </x:c>
      <x:c r="J186" s="1" t="n">
        <x:v>1.98</x:v>
      </x:c>
      <x:c r="K186" s="1" t="n">
        <x:v>100</x:v>
      </x:c>
      <x:c r="L186" s="1" t="str">
        <x:v>a</x:v>
      </x:c>
      <x:c r="M186" s="1" t="n">
        <x:v>35000</x:v>
      </x:c>
      <x:c r="N186" s="1" t="n">
        <x:v>0</x:v>
      </x:c>
      <x:c r="O186" s="1" t="str">
        <x:v>updated receipts.csv</x:v>
      </x:c>
      <x:c r="P186" s="10" t="n">
        <x:f>H186*I186</x:f>
        <x:v>35000</x:v>
      </x:c>
      <x:c r="Q186" s="10" t="n">
        <x:f>IF(K186&gt;0,J186/K186,"n.a.")</x:f>
        <x:v>0.019799999999999998</x:v>
      </x:c>
      <x:c r="R186" s="11" t="n">
        <x:f>IF(ISNUMBER(Q186),P186*Q186,"n.a.")</x:f>
        <x:v>692.9999999999999</x:v>
      </x:c>
    </x:row>
    <x:row r="187" ht="21" customHeight="1">
      <x:c r="A187" s="1" t="str">
        <x:v>PLAS</x:v>
      </x:c>
      <x:c r="B187" s="1" t="str">
        <x:v>10</x:v>
      </x:c>
      <x:c r="C187" s="1" t="str">
        <x:v>03819RWBRED</x:v>
      </x:c>
      <x:c r="D187" s="1" t="str">
        <x:v>1061033</x:v>
      </x:c>
      <x:c r="E187" s="1" t="str">
        <x:v>0</x:v>
      </x:c>
      <x:c r="F187" s="1" t="str">
        <x:v>64</x:v>
      </x:c>
      <x:c r="G187" s="7" t="n">
        <x:v>46332</x:v>
      </x:c>
      <x:c r="H187" s="1" t="n">
        <x:v>2000</x:v>
      </x:c>
      <x:c r="I187" s="1" t="n">
        <x:v>1</x:v>
      </x:c>
      <x:c r="J187" s="1" t="n">
        <x:v>1.98</x:v>
      </x:c>
      <x:c r="K187" s="1" t="n">
        <x:v>100</x:v>
      </x:c>
      <x:c r="L187" s="1" t="str">
        <x:v>a</x:v>
      </x:c>
      <x:c r="M187" s="1" t="n">
        <x:v>2000</x:v>
      </x:c>
      <x:c r="N187" s="1" t="n">
        <x:v>0</x:v>
      </x:c>
      <x:c r="O187" s="1" t="str">
        <x:v>updated receipts.csv</x:v>
      </x:c>
      <x:c r="P187" s="10" t="n">
        <x:f>H187*I187</x:f>
        <x:v>2000</x:v>
      </x:c>
      <x:c r="Q187" s="10" t="n">
        <x:f>IF(K187&gt;0,J187/K187,"n.a.")</x:f>
        <x:v>0.019799999999999998</x:v>
      </x:c>
      <x:c r="R187" s="11" t="n">
        <x:f>IF(ISNUMBER(Q187),P187*Q187,"n.a.")</x:f>
        <x:v>39.599999999999994</x:v>
      </x:c>
    </x:row>
    <x:row r="188" ht="21" customHeight="1">
      <x:c r="A188" s="1" t="str">
        <x:v>PLAS</x:v>
      </x:c>
      <x:c r="B188" s="1" t="str">
        <x:v>10</x:v>
      </x:c>
      <x:c r="C188" s="1" t="str">
        <x:v>03819RWBWHT</x:v>
      </x:c>
      <x:c r="D188" s="1" t="str">
        <x:v>1061033</x:v>
      </x:c>
      <x:c r="E188" s="1" t="str">
        <x:v>0</x:v>
      </x:c>
      <x:c r="F188" s="1" t="str">
        <x:v>70</x:v>
      </x:c>
      <x:c r="G188" s="7" t="n">
        <x:v>46332</x:v>
      </x:c>
      <x:c r="H188" s="1" t="n">
        <x:v>30000</x:v>
      </x:c>
      <x:c r="I188" s="1" t="n">
        <x:v>1</x:v>
      </x:c>
      <x:c r="J188" s="1" t="n">
        <x:v>1.98</x:v>
      </x:c>
      <x:c r="K188" s="1" t="n">
        <x:v>100</x:v>
      </x:c>
      <x:c r="L188" s="1" t="str">
        <x:v>a</x:v>
      </x:c>
      <x:c r="M188" s="1" t="n">
        <x:v>30000</x:v>
      </x:c>
      <x:c r="N188" s="1" t="n">
        <x:v>0</x:v>
      </x:c>
      <x:c r="O188" s="1" t="str">
        <x:v>updated receipts.csv</x:v>
      </x:c>
      <x:c r="P188" s="10" t="n">
        <x:f>H188*I188</x:f>
        <x:v>30000</x:v>
      </x:c>
      <x:c r="Q188" s="10" t="n">
        <x:f>IF(K188&gt;0,J188/K188,"n.a.")</x:f>
        <x:v>0.019799999999999998</x:v>
      </x:c>
      <x:c r="R188" s="11" t="n">
        <x:f>IF(ISNUMBER(Q188),P188*Q188,"n.a.")</x:f>
        <x:v>594</x:v>
      </x:c>
    </x:row>
    <x:row r="189" ht="21" customHeight="1">
      <x:c r="A189" s="1" t="str">
        <x:v>PLAS</x:v>
      </x:c>
      <x:c r="B189" s="1" t="str">
        <x:v>10</x:v>
      </x:c>
      <x:c r="C189" s="1" t="str">
        <x:v>05815RWBWHT</x:v>
      </x:c>
      <x:c r="D189" s="1" t="str">
        <x:v>1061033</x:v>
      </x:c>
      <x:c r="E189" s="1" t="str">
        <x:v>0</x:v>
      </x:c>
      <x:c r="F189" s="1" t="str">
        <x:v>85</x:v>
      </x:c>
      <x:c r="G189" s="7" t="n">
        <x:v>46332</x:v>
      </x:c>
      <x:c r="H189" s="1" t="n">
        <x:v>4000</x:v>
      </x:c>
      <x:c r="I189" s="1" t="n">
        <x:v>1</x:v>
      </x:c>
      <x:c r="J189" s="1" t="n">
        <x:v>2.46</x:v>
      </x:c>
      <x:c r="K189" s="1" t="n">
        <x:v>100</x:v>
      </x:c>
      <x:c r="L189" s="1" t="str">
        <x:v>a</x:v>
      </x:c>
      <x:c r="M189" s="1" t="n">
        <x:v>4000</x:v>
      </x:c>
      <x:c r="N189" s="1" t="n">
        <x:v>0</x:v>
      </x:c>
      <x:c r="O189" s="1" t="str">
        <x:v>updated receipts.csv</x:v>
      </x:c>
      <x:c r="P189" s="10" t="n">
        <x:f>H189*I189</x:f>
        <x:v>4000</x:v>
      </x:c>
      <x:c r="Q189" s="10" t="n">
        <x:f>IF(K189&gt;0,J189/K189,"n.a.")</x:f>
        <x:v>0.0246</x:v>
      </x:c>
      <x:c r="R189" s="11" t="n">
        <x:f>IF(ISNUMBER(Q189),P189*Q189,"n.a.")</x:f>
        <x:v>98.4</x:v>
      </x:c>
    </x:row>
    <x:row r="190" ht="21" customHeight="1">
      <x:c r="A190" s="1" t="str">
        <x:v>PLAS</x:v>
      </x:c>
      <x:c r="B190" s="1" t="str">
        <x:v>10</x:v>
      </x:c>
      <x:c r="C190" s="1" t="str">
        <x:v>05819RWBBLK</x:v>
      </x:c>
      <x:c r="D190" s="1" t="str">
        <x:v>1061033</x:v>
      </x:c>
      <x:c r="E190" s="1" t="str">
        <x:v>0</x:v>
      </x:c>
      <x:c r="F190" s="1" t="str">
        <x:v>7</x:v>
      </x:c>
      <x:c r="G190" s="7" t="n">
        <x:v>46332</x:v>
      </x:c>
      <x:c r="H190" s="1" t="n">
        <x:v>10000</x:v>
      </x:c>
      <x:c r="I190" s="1" t="n">
        <x:v>1</x:v>
      </x:c>
      <x:c r="J190" s="1" t="n">
        <x:v>3.63</x:v>
      </x:c>
      <x:c r="K190" s="1" t="n">
        <x:v>100</x:v>
      </x:c>
      <x:c r="L190" s="1" t="str">
        <x:v>a</x:v>
      </x:c>
      <x:c r="M190" s="1" t="n">
        <x:v>10000</x:v>
      </x:c>
      <x:c r="N190" s="1" t="n">
        <x:v>0</x:v>
      </x:c>
      <x:c r="O190" s="1" t="str">
        <x:v>updated receipts.csv</x:v>
      </x:c>
      <x:c r="P190" s="10" t="n">
        <x:f>H190*I190</x:f>
        <x:v>10000</x:v>
      </x:c>
      <x:c r="Q190" s="10" t="n">
        <x:f>IF(K190&gt;0,J190/K190,"n.a.")</x:f>
        <x:v>0.0363</x:v>
      </x:c>
      <x:c r="R190" s="11" t="n">
        <x:f>IF(ISNUMBER(Q190),P190*Q190,"n.a.")</x:f>
        <x:v>363</x:v>
      </x:c>
    </x:row>
    <x:row r="191" ht="21" customHeight="1">
      <x:c r="A191" s="1" t="str">
        <x:v>PLAS</x:v>
      </x:c>
      <x:c r="B191" s="1" t="str">
        <x:v>10</x:v>
      </x:c>
      <x:c r="C191" s="1" t="str">
        <x:v>05819RWBBLU</x:v>
      </x:c>
      <x:c r="D191" s="1" t="str">
        <x:v>1061033</x:v>
      </x:c>
      <x:c r="E191" s="1" t="str">
        <x:v>0</x:v>
      </x:c>
      <x:c r="F191" s="1" t="str">
        <x:v>21</x:v>
      </x:c>
      <x:c r="G191" s="7" t="n">
        <x:v>46332</x:v>
      </x:c>
      <x:c r="H191" s="1" t="n">
        <x:v>8000</x:v>
      </x:c>
      <x:c r="I191" s="1" t="n">
        <x:v>1</x:v>
      </x:c>
      <x:c r="J191" s="1" t="n">
        <x:v>3.63</x:v>
      </x:c>
      <x:c r="K191" s="1" t="n">
        <x:v>100</x:v>
      </x:c>
      <x:c r="L191" s="1" t="str">
        <x:v>a</x:v>
      </x:c>
      <x:c r="M191" s="1" t="n">
        <x:v>8000</x:v>
      </x:c>
      <x:c r="N191" s="1" t="n">
        <x:v>0</x:v>
      </x:c>
      <x:c r="O191" s="1" t="str">
        <x:v>updated receipts.csv</x:v>
      </x:c>
      <x:c r="P191" s="10" t="n">
        <x:f>H191*I191</x:f>
        <x:v>8000</x:v>
      </x:c>
      <x:c r="Q191" s="10" t="n">
        <x:f>IF(K191&gt;0,J191/K191,"n.a.")</x:f>
        <x:v>0.0363</x:v>
      </x:c>
      <x:c r="R191" s="11" t="n">
        <x:f>IF(ISNUMBER(Q191),P191*Q191,"n.a.")</x:f>
        <x:v>290.4</x:v>
      </x:c>
    </x:row>
    <x:row r="192" ht="21" customHeight="1">
      <x:c r="A192" s="1" t="str">
        <x:v>PLAS</x:v>
      </x:c>
      <x:c r="B192" s="1" t="str">
        <x:v>10</x:v>
      </x:c>
      <x:c r="C192" s="1" t="str">
        <x:v>05819RWBFG</x:v>
      </x:c>
      <x:c r="D192" s="1" t="str">
        <x:v>1061033</x:v>
      </x:c>
      <x:c r="E192" s="1" t="str">
        <x:v>0</x:v>
      </x:c>
      <x:c r="F192" s="1" t="str">
        <x:v>36</x:v>
      </x:c>
      <x:c r="G192" s="7" t="n">
        <x:v>46332</x:v>
      </x:c>
      <x:c r="H192" s="1" t="n">
        <x:v>4000</x:v>
      </x:c>
      <x:c r="I192" s="1" t="n">
        <x:v>1</x:v>
      </x:c>
      <x:c r="J192" s="1" t="n">
        <x:v>3.63</x:v>
      </x:c>
      <x:c r="K192" s="1" t="n">
        <x:v>100</x:v>
      </x:c>
      <x:c r="L192" s="1" t="str">
        <x:v>a</x:v>
      </x:c>
      <x:c r="M192" s="1" t="n">
        <x:v>4000</x:v>
      </x:c>
      <x:c r="N192" s="1" t="n">
        <x:v>0</x:v>
      </x:c>
      <x:c r="O192" s="1" t="str">
        <x:v>updated receipts.csv</x:v>
      </x:c>
      <x:c r="P192" s="10" t="n">
        <x:f>H192*I192</x:f>
        <x:v>4000</x:v>
      </x:c>
      <x:c r="Q192" s="10" t="n">
        <x:f>IF(K192&gt;0,J192/K192,"n.a.")</x:f>
        <x:v>0.0363</x:v>
      </x:c>
      <x:c r="R192" s="11" t="n">
        <x:f>IF(ISNUMBER(Q192),P192*Q192,"n.a.")</x:f>
        <x:v>145.2</x:v>
      </x:c>
    </x:row>
    <x:row r="193" ht="21" customHeight="1">
      <x:c r="A193" s="1" t="str">
        <x:v>PLAS</x:v>
      </x:c>
      <x:c r="B193" s="1" t="str">
        <x:v>10</x:v>
      </x:c>
      <x:c r="C193" s="1" t="str">
        <x:v>05819RWBNAV</x:v>
      </x:c>
      <x:c r="D193" s="1" t="str">
        <x:v>1061033</x:v>
      </x:c>
      <x:c r="E193" s="1" t="str">
        <x:v>0</x:v>
      </x:c>
      <x:c r="F193" s="1" t="str">
        <x:v>55</x:v>
      </x:c>
      <x:c r="G193" s="7" t="n">
        <x:v>46332</x:v>
      </x:c>
      <x:c r="H193" s="1" t="n">
        <x:v>8000</x:v>
      </x:c>
      <x:c r="I193" s="1" t="n">
        <x:v>1</x:v>
      </x:c>
      <x:c r="J193" s="1" t="n">
        <x:v>3.63</x:v>
      </x:c>
      <x:c r="K193" s="1" t="n">
        <x:v>100</x:v>
      </x:c>
      <x:c r="L193" s="1" t="str">
        <x:v>a</x:v>
      </x:c>
      <x:c r="M193" s="1" t="n">
        <x:v>8000</x:v>
      </x:c>
      <x:c r="N193" s="1" t="n">
        <x:v>0</x:v>
      </x:c>
      <x:c r="O193" s="1" t="str">
        <x:v>updated receipts.csv</x:v>
      </x:c>
      <x:c r="P193" s="10" t="n">
        <x:f>H193*I193</x:f>
        <x:v>8000</x:v>
      </x:c>
      <x:c r="Q193" s="10" t="n">
        <x:f>IF(K193&gt;0,J193/K193,"n.a.")</x:f>
        <x:v>0.0363</x:v>
      </x:c>
      <x:c r="R193" s="11" t="n">
        <x:f>IF(ISNUMBER(Q193),P193*Q193,"n.a.")</x:f>
        <x:v>290.4</x:v>
      </x:c>
    </x:row>
    <x:row r="194" ht="21" customHeight="1">
      <x:c r="A194" s="1" t="str">
        <x:v>PLAS</x:v>
      </x:c>
      <x:c r="B194" s="1" t="str">
        <x:v>10</x:v>
      </x:c>
      <x:c r="C194" s="1" t="str">
        <x:v>07815RWBWHT</x:v>
      </x:c>
      <x:c r="D194" s="1" t="str">
        <x:v>1061033</x:v>
      </x:c>
      <x:c r="E194" s="1" t="str">
        <x:v>0</x:v>
      </x:c>
      <x:c r="F194" s="1" t="str">
        <x:v>86</x:v>
      </x:c>
      <x:c r="G194" s="7" t="n">
        <x:v>46332</x:v>
      </x:c>
      <x:c r="H194" s="1" t="n">
        <x:v>1000</x:v>
      </x:c>
      <x:c r="I194" s="1" t="n">
        <x:v>1</x:v>
      </x:c>
      <x:c r="J194" s="1" t="n">
        <x:v>4.28</x:v>
      </x:c>
      <x:c r="K194" s="1" t="n">
        <x:v>100</x:v>
      </x:c>
      <x:c r="L194" s="1" t="str">
        <x:v>a</x:v>
      </x:c>
      <x:c r="M194" s="1" t="n">
        <x:v>1000</x:v>
      </x:c>
      <x:c r="N194" s="1" t="n">
        <x:v>0</x:v>
      </x:c>
      <x:c r="O194" s="1" t="str">
        <x:v>updated receipts.csv</x:v>
      </x:c>
      <x:c r="P194" s="10" t="n">
        <x:f>H194*I194</x:f>
        <x:v>1000</x:v>
      </x:c>
      <x:c r="Q194" s="10" t="n">
        <x:f>IF(K194&gt;0,J194/K194,"n.a.")</x:f>
        <x:v>0.042800000000000005</x:v>
      </x:c>
      <x:c r="R194" s="11" t="n">
        <x:f>IF(ISNUMBER(Q194),P194*Q194,"n.a.")</x:f>
        <x:v>42.800000000000004</x:v>
      </x:c>
    </x:row>
    <x:row r="195" ht="21" customHeight="1">
      <x:c r="A195" s="1" t="str">
        <x:v>PLAS</x:v>
      </x:c>
      <x:c r="B195" s="1" t="str">
        <x:v>10</x:v>
      </x:c>
      <x:c r="C195" s="1" t="str">
        <x:v>07819RWBBLK</x:v>
      </x:c>
      <x:c r="D195" s="1" t="str">
        <x:v>1061033</x:v>
      </x:c>
      <x:c r="E195" s="1" t="str">
        <x:v>0</x:v>
      </x:c>
      <x:c r="F195" s="1" t="str">
        <x:v>9</x:v>
      </x:c>
      <x:c r="G195" s="7" t="n">
        <x:v>46332</x:v>
      </x:c>
      <x:c r="H195" s="1" t="n">
        <x:v>35000</x:v>
      </x:c>
      <x:c r="I195" s="1" t="n">
        <x:v>1</x:v>
      </x:c>
      <x:c r="J195" s="1" t="n">
        <x:v>6.34</x:v>
      </x:c>
      <x:c r="K195" s="1" t="n">
        <x:v>100</x:v>
      </x:c>
      <x:c r="L195" s="1" t="str">
        <x:v>a</x:v>
      </x:c>
      <x:c r="M195" s="1" t="n">
        <x:v>35000</x:v>
      </x:c>
      <x:c r="N195" s="1" t="n">
        <x:v>0</x:v>
      </x:c>
      <x:c r="O195" s="1" t="str">
        <x:v>updated receipts.csv</x:v>
      </x:c>
      <x:c r="P195" s="10" t="n">
        <x:f>H195*I195</x:f>
        <x:v>35000</x:v>
      </x:c>
      <x:c r="Q195" s="10" t="n">
        <x:f>IF(K195&gt;0,J195/K195,"n.a.")</x:f>
        <x:v>0.0634</x:v>
      </x:c>
      <x:c r="R195" s="11" t="n">
        <x:f>IF(ISNUMBER(Q195),P195*Q195,"n.a.")</x:f>
        <x:v>2219</x:v>
      </x:c>
    </x:row>
    <x:row r="196" ht="21" customHeight="1">
      <x:c r="A196" s="1" t="str">
        <x:v>PLAS</x:v>
      </x:c>
      <x:c r="B196" s="1" t="str">
        <x:v>10</x:v>
      </x:c>
      <x:c r="C196" s="1" t="str">
        <x:v>07819RWBBLU</x:v>
      </x:c>
      <x:c r="D196" s="1" t="str">
        <x:v>1061033</x:v>
      </x:c>
      <x:c r="E196" s="1" t="str">
        <x:v>0</x:v>
      </x:c>
      <x:c r="F196" s="1" t="str">
        <x:v>23</x:v>
      </x:c>
      <x:c r="G196" s="7" t="n">
        <x:v>46332</x:v>
      </x:c>
      <x:c r="H196" s="1" t="n">
        <x:v>1000</x:v>
      </x:c>
      <x:c r="I196" s="1" t="n">
        <x:v>1</x:v>
      </x:c>
      <x:c r="J196" s="1" t="n">
        <x:v>6.34</x:v>
      </x:c>
      <x:c r="K196" s="1" t="n">
        <x:v>100</x:v>
      </x:c>
      <x:c r="L196" s="1" t="str">
        <x:v>a</x:v>
      </x:c>
      <x:c r="M196" s="1" t="n">
        <x:v>1000</x:v>
      </x:c>
      <x:c r="N196" s="1" t="n">
        <x:v>0</x:v>
      </x:c>
      <x:c r="O196" s="1" t="str">
        <x:v>updated receipts.csv</x:v>
      </x:c>
      <x:c r="P196" s="10" t="n">
        <x:f>H196*I196</x:f>
        <x:v>1000</x:v>
      </x:c>
      <x:c r="Q196" s="10" t="n">
        <x:f>IF(K196&gt;0,J196/K196,"n.a.")</x:f>
        <x:v>0.0634</x:v>
      </x:c>
      <x:c r="R196" s="11" t="n">
        <x:f>IF(ISNUMBER(Q196),P196*Q196,"n.a.")</x:f>
        <x:v>63.4</x:v>
      </x:c>
    </x:row>
    <x:row r="197" ht="21" customHeight="1">
      <x:c r="A197" s="1" t="str">
        <x:v>PLAS</x:v>
      </x:c>
      <x:c r="B197" s="1" t="str">
        <x:v>10</x:v>
      </x:c>
      <x:c r="C197" s="1" t="str">
        <x:v>07819RWBFG</x:v>
      </x:c>
      <x:c r="D197" s="1" t="str">
        <x:v>1061033</x:v>
      </x:c>
      <x:c r="E197" s="1" t="str">
        <x:v>0</x:v>
      </x:c>
      <x:c r="F197" s="1" t="str">
        <x:v>37</x:v>
      </x:c>
      <x:c r="G197" s="7" t="n">
        <x:v>46332</x:v>
      </x:c>
      <x:c r="H197" s="1" t="n">
        <x:v>2000</x:v>
      </x:c>
      <x:c r="I197" s="1" t="n">
        <x:v>1</x:v>
      </x:c>
      <x:c r="J197" s="1" t="n">
        <x:v>6.34</x:v>
      </x:c>
      <x:c r="K197" s="1" t="n">
        <x:v>100</x:v>
      </x:c>
      <x:c r="L197" s="1" t="str">
        <x:v>a</x:v>
      </x:c>
      <x:c r="M197" s="1" t="n">
        <x:v>2000</x:v>
      </x:c>
      <x:c r="N197" s="1" t="n">
        <x:v>0</x:v>
      </x:c>
      <x:c r="O197" s="1" t="str">
        <x:v>updated receipts.csv</x:v>
      </x:c>
      <x:c r="P197" s="10" t="n">
        <x:f>H197*I197</x:f>
        <x:v>2000</x:v>
      </x:c>
      <x:c r="Q197" s="10" t="n">
        <x:f>IF(K197&gt;0,J197/K197,"n.a.")</x:f>
        <x:v>0.0634</x:v>
      </x:c>
      <x:c r="R197" s="11" t="n">
        <x:f>IF(ISNUMBER(Q197),P197*Q197,"n.a.")</x:f>
        <x:v>126.8</x:v>
      </x:c>
    </x:row>
    <x:row r="198" ht="21" customHeight="1">
      <x:c r="A198" s="1" t="str">
        <x:v>PLAS</x:v>
      </x:c>
      <x:c r="B198" s="1" t="str">
        <x:v>10</x:v>
      </x:c>
      <x:c r="C198" s="1" t="str">
        <x:v>07819RWBNAV</x:v>
      </x:c>
      <x:c r="D198" s="1" t="str">
        <x:v>1061033</x:v>
      </x:c>
      <x:c r="E198" s="1" t="str">
        <x:v>0</x:v>
      </x:c>
      <x:c r="F198" s="1" t="str">
        <x:v>57</x:v>
      </x:c>
      <x:c r="G198" s="7" t="n">
        <x:v>46332</x:v>
      </x:c>
      <x:c r="H198" s="1" t="n">
        <x:v>3000</x:v>
      </x:c>
      <x:c r="I198" s="1" t="n">
        <x:v>1</x:v>
      </x:c>
      <x:c r="J198" s="1" t="n">
        <x:v>6.34</x:v>
      </x:c>
      <x:c r="K198" s="1" t="n">
        <x:v>100</x:v>
      </x:c>
      <x:c r="L198" s="1" t="str">
        <x:v>a</x:v>
      </x:c>
      <x:c r="M198" s="1" t="n">
        <x:v>3000</x:v>
      </x:c>
      <x:c r="N198" s="1" t="n">
        <x:v>0</x:v>
      </x:c>
      <x:c r="O198" s="1" t="str">
        <x:v>updated receipts.csv</x:v>
      </x:c>
      <x:c r="P198" s="10" t="n">
        <x:f>H198*I198</x:f>
        <x:v>3000</x:v>
      </x:c>
      <x:c r="Q198" s="10" t="n">
        <x:f>IF(K198&gt;0,J198/K198,"n.a.")</x:f>
        <x:v>0.0634</x:v>
      </x:c>
      <x:c r="R198" s="11" t="n">
        <x:f>IF(ISNUMBER(Q198),P198*Q198,"n.a.")</x:f>
        <x:v>190.2</x:v>
      </x:c>
    </x:row>
    <x:row r="199" ht="21" customHeight="1">
      <x:c r="A199" s="1" t="str">
        <x:v>PLAS</x:v>
      </x:c>
      <x:c r="B199" s="1" t="str">
        <x:v>10</x:v>
      </x:c>
      <x:c r="C199" s="1" t="str">
        <x:v>07819RWBWHT</x:v>
      </x:c>
      <x:c r="D199" s="1" t="str">
        <x:v>1061033</x:v>
      </x:c>
      <x:c r="E199" s="1" t="str">
        <x:v>0</x:v>
      </x:c>
      <x:c r="F199" s="1" t="str">
        <x:v>74</x:v>
      </x:c>
      <x:c r="G199" s="7" t="n">
        <x:v>46332</x:v>
      </x:c>
      <x:c r="H199" s="1" t="n">
        <x:v>8000</x:v>
      </x:c>
      <x:c r="I199" s="1" t="n">
        <x:v>1</x:v>
      </x:c>
      <x:c r="J199" s="1" t="n">
        <x:v>6.34</x:v>
      </x:c>
      <x:c r="K199" s="1" t="n">
        <x:v>100</x:v>
      </x:c>
      <x:c r="L199" s="1" t="str">
        <x:v>a</x:v>
      </x:c>
      <x:c r="M199" s="1" t="n">
        <x:v>8000</x:v>
      </x:c>
      <x:c r="N199" s="1" t="n">
        <x:v>0</x:v>
      </x:c>
      <x:c r="O199" s="1" t="str">
        <x:v>updated receipts.csv</x:v>
      </x:c>
      <x:c r="P199" s="10" t="n">
        <x:f>H199*I199</x:f>
        <x:v>8000</x:v>
      </x:c>
      <x:c r="Q199" s="10" t="n">
        <x:f>IF(K199&gt;0,J199/K199,"n.a.")</x:f>
        <x:v>0.0634</x:v>
      </x:c>
      <x:c r="R199" s="11" t="n">
        <x:f>IF(ISNUMBER(Q199),P199*Q199,"n.a.")</x:f>
        <x:v>507.2</x:v>
      </x:c>
    </x:row>
    <x:row r="200" ht="21" customHeight="1">
      <x:c r="A200" s="1" t="str">
        <x:v>PLAS</x:v>
      </x:c>
      <x:c r="B200" s="1" t="str">
        <x:v>10</x:v>
      </x:c>
      <x:c r="C200" s="1" t="str">
        <x:v>11219RSLBLK</x:v>
      </x:c>
      <x:c r="D200" s="1" t="str">
        <x:v>1061033</x:v>
      </x:c>
      <x:c r="E200" s="1" t="str">
        <x:v>0</x:v>
      </x:c>
      <x:c r="F200" s="1" t="str">
        <x:v>13</x:v>
      </x:c>
      <x:c r="G200" s="7" t="n">
        <x:v>46332</x:v>
      </x:c>
      <x:c r="H200" s="1" t="n">
        <x:v>15000</x:v>
      </x:c>
      <x:c r="I200" s="1" t="n">
        <x:v>1</x:v>
      </x:c>
      <x:c r="J200" s="1" t="n">
        <x:v>10.33</x:v>
      </x:c>
      <x:c r="K200" s="1" t="n">
        <x:v>100</x:v>
      </x:c>
      <x:c r="L200" s="1" t="str">
        <x:v>a</x:v>
      </x:c>
      <x:c r="M200" s="1" t="n">
        <x:v>15000</x:v>
      </x:c>
      <x:c r="N200" s="1" t="n">
        <x:v>0</x:v>
      </x:c>
      <x:c r="O200" s="1" t="str">
        <x:v>updated receipts.csv</x:v>
      </x:c>
      <x:c r="P200" s="10" t="n">
        <x:f>H200*I200</x:f>
        <x:v>15000</x:v>
      </x:c>
      <x:c r="Q200" s="10" t="n">
        <x:f>IF(K200&gt;0,J200/K200,"n.a.")</x:f>
        <x:v>0.1033</x:v>
      </x:c>
      <x:c r="R200" s="11" t="n">
        <x:f>IF(ISNUMBER(Q200),P200*Q200,"n.a.")</x:f>
        <x:v>1549.5</x:v>
      </x:c>
    </x:row>
    <x:row r="201" ht="21" customHeight="1">
      <x:c r="A201" s="1" t="str">
        <x:v>PLAS</x:v>
      </x:c>
      <x:c r="B201" s="1" t="str">
        <x:v>10</x:v>
      </x:c>
      <x:c r="C201" s="1" t="str">
        <x:v>11219RSLBLU</x:v>
      </x:c>
      <x:c r="D201" s="1" t="str">
        <x:v>1061033</x:v>
      </x:c>
      <x:c r="E201" s="1" t="str">
        <x:v>0</x:v>
      </x:c>
      <x:c r="F201" s="1" t="str">
        <x:v>26</x:v>
      </x:c>
      <x:c r="G201" s="7" t="n">
        <x:v>46332</x:v>
      </x:c>
      <x:c r="H201" s="1" t="n">
        <x:v>2000</x:v>
      </x:c>
      <x:c r="I201" s="1" t="n">
        <x:v>1</x:v>
      </x:c>
      <x:c r="J201" s="1" t="n">
        <x:v>10.33</x:v>
      </x:c>
      <x:c r="K201" s="1" t="n">
        <x:v>100</x:v>
      </x:c>
      <x:c r="L201" s="1" t="str">
        <x:v>a</x:v>
      </x:c>
      <x:c r="M201" s="1" t="n">
        <x:v>2000</x:v>
      </x:c>
      <x:c r="N201" s="1" t="n">
        <x:v>0</x:v>
      </x:c>
      <x:c r="O201" s="1" t="str">
        <x:v>updated receipts.csv</x:v>
      </x:c>
      <x:c r="P201" s="10" t="n">
        <x:f>H201*I201</x:f>
        <x:v>2000</x:v>
      </x:c>
      <x:c r="Q201" s="10" t="n">
        <x:f>IF(K201&gt;0,J201/K201,"n.a.")</x:f>
        <x:v>0.1033</x:v>
      </x:c>
      <x:c r="R201" s="11" t="n">
        <x:f>IF(ISNUMBER(Q201),P201*Q201,"n.a.")</x:f>
        <x:v>206.6</x:v>
      </x:c>
    </x:row>
    <x:row r="202" ht="21" customHeight="1">
      <x:c r="A202" s="1" t="str">
        <x:v>PLAS</x:v>
      </x:c>
      <x:c r="B202" s="1" t="str">
        <x:v>10</x:v>
      </x:c>
      <x:c r="C202" s="1" t="str">
        <x:v>11219RSLNAV</x:v>
      </x:c>
      <x:c r="D202" s="1" t="str">
        <x:v>1061033</x:v>
      </x:c>
      <x:c r="E202" s="1" t="str">
        <x:v>0</x:v>
      </x:c>
      <x:c r="F202" s="1" t="str">
        <x:v>61</x:v>
      </x:c>
      <x:c r="G202" s="7" t="n">
        <x:v>46332</x:v>
      </x:c>
      <x:c r="H202" s="1" t="n">
        <x:v>5000</x:v>
      </x:c>
      <x:c r="I202" s="1" t="n">
        <x:v>1</x:v>
      </x:c>
      <x:c r="J202" s="1" t="n">
        <x:v>10.33</x:v>
      </x:c>
      <x:c r="K202" s="1" t="n">
        <x:v>100</x:v>
      </x:c>
      <x:c r="L202" s="1" t="str">
        <x:v>a</x:v>
      </x:c>
      <x:c r="M202" s="1" t="n">
        <x:v>5000</x:v>
      </x:c>
      <x:c r="N202" s="1" t="n">
        <x:v>0</x:v>
      </x:c>
      <x:c r="O202" s="1" t="str">
        <x:v>updated receipts.csv</x:v>
      </x:c>
      <x:c r="P202" s="10" t="n">
        <x:f>H202*I202</x:f>
        <x:v>5000</x:v>
      </x:c>
      <x:c r="Q202" s="10" t="n">
        <x:f>IF(K202&gt;0,J202/K202,"n.a.")</x:f>
        <x:v>0.1033</x:v>
      </x:c>
      <x:c r="R202" s="11" t="n">
        <x:f>IF(ISNUMBER(Q202),P202*Q202,"n.a.")</x:f>
        <x:v>516.5</x:v>
      </x:c>
    </x:row>
    <x:row r="203" ht="21" customHeight="1">
      <x:c r="A203" s="1" t="str">
        <x:v>PLAS</x:v>
      </x:c>
      <x:c r="B203" s="1" t="str">
        <x:v>10</x:v>
      </x:c>
      <x:c r="C203" s="1" t="str">
        <x:v>11219RSLWHT</x:v>
      </x:c>
      <x:c r="D203" s="1" t="str">
        <x:v>1061033</x:v>
      </x:c>
      <x:c r="E203" s="1" t="str">
        <x:v>0</x:v>
      </x:c>
      <x:c r="F203" s="1" t="str">
        <x:v>78</x:v>
      </x:c>
      <x:c r="G203" s="7" t="n">
        <x:v>46332</x:v>
      </x:c>
      <x:c r="H203" s="1" t="n">
        <x:v>10000</x:v>
      </x:c>
      <x:c r="I203" s="1" t="n">
        <x:v>1</x:v>
      </x:c>
      <x:c r="J203" s="1" t="n">
        <x:v>10.33</x:v>
      </x:c>
      <x:c r="K203" s="1" t="n">
        <x:v>100</x:v>
      </x:c>
      <x:c r="L203" s="1" t="str">
        <x:v>a</x:v>
      </x:c>
      <x:c r="M203" s="1" t="n">
        <x:v>10000</x:v>
      </x:c>
      <x:c r="N203" s="1" t="n">
        <x:v>0</x:v>
      </x:c>
      <x:c r="O203" s="1" t="str">
        <x:v>updated receipts.csv</x:v>
      </x:c>
      <x:c r="P203" s="10" t="n">
        <x:f>H203*I203</x:f>
        <x:v>10000</x:v>
      </x:c>
      <x:c r="Q203" s="10" t="n">
        <x:f>IF(K203&gt;0,J203/K203,"n.a.")</x:f>
        <x:v>0.1033</x:v>
      </x:c>
      <x:c r="R203" s="11" t="n">
        <x:f>IF(ISNUMBER(Q203),P203*Q203,"n.a.")</x:f>
        <x:v>1033</x:v>
      </x:c>
    </x:row>
    <x:row r="204" ht="21" customHeight="1">
      <x:c r="A204" s="1" t="str">
        <x:v>PLAS</x:v>
      </x:c>
      <x:c r="B204" s="1" t="str">
        <x:v>10</x:v>
      </x:c>
      <x:c r="C204" s="1" t="str">
        <x:v>11415RSLBLK</x:v>
      </x:c>
      <x:c r="D204" s="1" t="str">
        <x:v>1061033</x:v>
      </x:c>
      <x:c r="E204" s="1" t="str">
        <x:v>0</x:v>
      </x:c>
      <x:c r="F204" s="1" t="str">
        <x:v>83</x:v>
      </x:c>
      <x:c r="G204" s="7" t="n">
        <x:v>46332</x:v>
      </x:c>
      <x:c r="H204" s="1" t="n">
        <x:v>4000</x:v>
      </x:c>
      <x:c r="I204" s="1" t="n">
        <x:v>1</x:v>
      </x:c>
      <x:c r="J204" s="1" t="n">
        <x:v>6.22</x:v>
      </x:c>
      <x:c r="K204" s="1" t="n">
        <x:v>100</x:v>
      </x:c>
      <x:c r="L204" s="1" t="str">
        <x:v>a</x:v>
      </x:c>
      <x:c r="M204" s="1" t="n">
        <x:v>4000</x:v>
      </x:c>
      <x:c r="N204" s="1" t="n">
        <x:v>0</x:v>
      </x:c>
      <x:c r="O204" s="1" t="str">
        <x:v>updated receipts.csv</x:v>
      </x:c>
      <x:c r="P204" s="10" t="n">
        <x:f>H204*I204</x:f>
        <x:v>4000</x:v>
      </x:c>
      <x:c r="Q204" s="10" t="n">
        <x:f>IF(K204&gt;0,J204/K204,"n.a.")</x:f>
        <x:v>0.0622</x:v>
      </x:c>
      <x:c r="R204" s="11" t="n">
        <x:f>IF(ISNUMBER(Q204),P204*Q204,"n.a.")</x:f>
        <x:v>248.79999999999998</x:v>
      </x:c>
    </x:row>
    <x:row r="205" ht="21" customHeight="1">
      <x:c r="A205" s="1" t="str">
        <x:v>PLAS</x:v>
      </x:c>
      <x:c r="B205" s="1" t="str">
        <x:v>10</x:v>
      </x:c>
      <x:c r="C205" s="1" t="str">
        <x:v>11419RSLBLK</x:v>
      </x:c>
      <x:c r="D205" s="1" t="str">
        <x:v>1061033</x:v>
      </x:c>
      <x:c r="E205" s="1" t="str">
        <x:v>0</x:v>
      </x:c>
      <x:c r="F205" s="1" t="str">
        <x:v>12</x:v>
      </x:c>
      <x:c r="G205" s="7" t="n">
        <x:v>46332</x:v>
      </x:c>
      <x:c r="H205" s="1" t="n">
        <x:v>5000</x:v>
      </x:c>
      <x:c r="I205" s="1" t="n">
        <x:v>1</x:v>
      </x:c>
      <x:c r="J205" s="1" t="n">
        <x:v>8.83</x:v>
      </x:c>
      <x:c r="K205" s="1" t="n">
        <x:v>100</x:v>
      </x:c>
      <x:c r="L205" s="1" t="str">
        <x:v>a</x:v>
      </x:c>
      <x:c r="M205" s="1" t="n">
        <x:v>5000</x:v>
      </x:c>
      <x:c r="N205" s="1" t="n">
        <x:v>0</x:v>
      </x:c>
      <x:c r="O205" s="1" t="str">
        <x:v>updated receipts.csv</x:v>
      </x:c>
      <x:c r="P205" s="10" t="n">
        <x:f>H205*I205</x:f>
        <x:v>5000</x:v>
      </x:c>
      <x:c r="Q205" s="10" t="n">
        <x:f>IF(K205&gt;0,J205/K205,"n.a.")</x:f>
        <x:v>0.0883</x:v>
      </x:c>
      <x:c r="R205" s="11" t="n">
        <x:f>IF(ISNUMBER(Q205),P205*Q205,"n.a.")</x:f>
        <x:v>441.5</x:v>
      </x:c>
    </x:row>
    <x:row r="206" ht="21" customHeight="1">
      <x:c r="A206" s="1" t="str">
        <x:v>PLAS</x:v>
      </x:c>
      <x:c r="B206" s="1" t="str">
        <x:v>10</x:v>
      </x:c>
      <x:c r="C206" s="1" t="str">
        <x:v>11419RSLFG</x:v>
      </x:c>
      <x:c r="D206" s="1" t="str">
        <x:v>1061033</x:v>
      </x:c>
      <x:c r="E206" s="1" t="str">
        <x:v>0</x:v>
      </x:c>
      <x:c r="F206" s="1" t="str">
        <x:v>38</x:v>
      </x:c>
      <x:c r="G206" s="7" t="n">
        <x:v>46332</x:v>
      </x:c>
      <x:c r="H206" s="1" t="n">
        <x:v>2000</x:v>
      </x:c>
      <x:c r="I206" s="1" t="n">
        <x:v>1</x:v>
      </x:c>
      <x:c r="J206" s="1" t="n">
        <x:v>8.83</x:v>
      </x:c>
      <x:c r="K206" s="1" t="n">
        <x:v>100</x:v>
      </x:c>
      <x:c r="L206" s="1" t="str">
        <x:v>a</x:v>
      </x:c>
      <x:c r="M206" s="1" t="n">
        <x:v>2000</x:v>
      </x:c>
      <x:c r="N206" s="1" t="n">
        <x:v>0</x:v>
      </x:c>
      <x:c r="O206" s="1" t="str">
        <x:v>updated receipts.csv</x:v>
      </x:c>
      <x:c r="P206" s="10" t="n">
        <x:f>H206*I206</x:f>
        <x:v>2000</x:v>
      </x:c>
      <x:c r="Q206" s="10" t="n">
        <x:f>IF(K206&gt;0,J206/K206,"n.a.")</x:f>
        <x:v>0.0883</x:v>
      </x:c>
      <x:c r="R206" s="11" t="n">
        <x:f>IF(ISNUMBER(Q206),P206*Q206,"n.a.")</x:f>
        <x:v>176.6</x:v>
      </x:c>
    </x:row>
    <x:row r="207" ht="21" customHeight="1">
      <x:c r="A207" s="1" t="str">
        <x:v>PLAS</x:v>
      </x:c>
      <x:c r="B207" s="1" t="str">
        <x:v>10</x:v>
      </x:c>
      <x:c r="C207" s="1" t="str">
        <x:v>11419RSLNAV</x:v>
      </x:c>
      <x:c r="D207" s="1" t="str">
        <x:v>1061033</x:v>
      </x:c>
      <x:c r="E207" s="1" t="str">
        <x:v>0</x:v>
      </x:c>
      <x:c r="F207" s="1" t="str">
        <x:v>60</x:v>
      </x:c>
      <x:c r="G207" s="7" t="n">
        <x:v>46332</x:v>
      </x:c>
      <x:c r="H207" s="1" t="n">
        <x:v>3000</x:v>
      </x:c>
      <x:c r="I207" s="1" t="n">
        <x:v>1</x:v>
      </x:c>
      <x:c r="J207" s="1" t="n">
        <x:v>8.83</x:v>
      </x:c>
      <x:c r="K207" s="1" t="n">
        <x:v>100</x:v>
      </x:c>
      <x:c r="L207" s="1" t="str">
        <x:v>a</x:v>
      </x:c>
      <x:c r="M207" s="1" t="n">
        <x:v>3000</x:v>
      </x:c>
      <x:c r="N207" s="1" t="n">
        <x:v>0</x:v>
      </x:c>
      <x:c r="O207" s="1" t="str">
        <x:v>updated receipts.csv</x:v>
      </x:c>
      <x:c r="P207" s="10" t="n">
        <x:f>H207*I207</x:f>
        <x:v>3000</x:v>
      </x:c>
      <x:c r="Q207" s="10" t="n">
        <x:f>IF(K207&gt;0,J207/K207,"n.a.")</x:f>
        <x:v>0.0883</x:v>
      </x:c>
      <x:c r="R207" s="11" t="n">
        <x:f>IF(ISNUMBER(Q207),P207*Q207,"n.a.")</x:f>
        <x:v>264.90000000000003</x:v>
      </x:c>
    </x:row>
    <x:row r="208" ht="21" customHeight="1">
      <x:c r="A208" s="1" t="str">
        <x:v>PLAS</x:v>
      </x:c>
      <x:c r="B208" s="1" t="str">
        <x:v>10</x:v>
      </x:c>
      <x:c r="C208" s="1" t="str">
        <x:v>11419RSLWHT</x:v>
      </x:c>
      <x:c r="D208" s="1" t="str">
        <x:v>1061033</x:v>
      </x:c>
      <x:c r="E208" s="1" t="str">
        <x:v>0</x:v>
      </x:c>
      <x:c r="F208" s="1" t="str">
        <x:v>77</x:v>
      </x:c>
      <x:c r="G208" s="7" t="n">
        <x:v>46332</x:v>
      </x:c>
      <x:c r="H208" s="1" t="n">
        <x:v>2000</x:v>
      </x:c>
      <x:c r="I208" s="1" t="n">
        <x:v>1</x:v>
      </x:c>
      <x:c r="J208" s="1" t="n">
        <x:v>8.83</x:v>
      </x:c>
      <x:c r="K208" s="1" t="n">
        <x:v>100</x:v>
      </x:c>
      <x:c r="L208" s="1" t="str">
        <x:v>a</x:v>
      </x:c>
      <x:c r="M208" s="1" t="n">
        <x:v>2000</x:v>
      </x:c>
      <x:c r="N208" s="1" t="n">
        <x:v>0</x:v>
      </x:c>
      <x:c r="O208" s="1" t="str">
        <x:v>updated receipts.csv</x:v>
      </x:c>
      <x:c r="P208" s="10" t="n">
        <x:f>H208*I208</x:f>
        <x:v>2000</x:v>
      </x:c>
      <x:c r="Q208" s="10" t="n">
        <x:f>IF(K208&gt;0,J208/K208,"n.a.")</x:f>
        <x:v>0.0883</x:v>
      </x:c>
      <x:c r="R208" s="11" t="n">
        <x:f>IF(ISNUMBER(Q208),P208*Q208,"n.a.")</x:f>
        <x:v>176.6</x:v>
      </x:c>
    </x:row>
    <x:row r="209" ht="21" customHeight="1">
      <x:c r="A209" s="1" t="str">
        <x:v>PLAS</x:v>
      </x:c>
      <x:c r="B209" s="1" t="str">
        <x:v>10</x:v>
      </x:c>
      <x:c r="C209" s="1" t="str">
        <x:v>11819RWBBLK</x:v>
      </x:c>
      <x:c r="D209" s="1" t="str">
        <x:v>1061033</x:v>
      </x:c>
      <x:c r="E209" s="1" t="str">
        <x:v>0</x:v>
      </x:c>
      <x:c r="F209" s="1" t="str">
        <x:v>11</x:v>
      </x:c>
      <x:c r="G209" s="7" t="n">
        <x:v>46332</x:v>
      </x:c>
      <x:c r="H209" s="1" t="n">
        <x:v>7000</x:v>
      </x:c>
      <x:c r="I209" s="1" t="n">
        <x:v>1</x:v>
      </x:c>
      <x:c r="J209" s="1" t="n">
        <x:v>10.53</x:v>
      </x:c>
      <x:c r="K209" s="1" t="n">
        <x:v>100</x:v>
      </x:c>
      <x:c r="L209" s="1" t="str">
        <x:v>a</x:v>
      </x:c>
      <x:c r="M209" s="1" t="n">
        <x:v>7000</x:v>
      </x:c>
      <x:c r="N209" s="1" t="n">
        <x:v>0</x:v>
      </x:c>
      <x:c r="O209" s="1" t="str">
        <x:v>updated receipts.csv</x:v>
      </x:c>
      <x:c r="P209" s="10" t="n">
        <x:f>H209*I209</x:f>
        <x:v>7000</x:v>
      </x:c>
      <x:c r="Q209" s="10" t="n">
        <x:f>IF(K209&gt;0,J209/K209,"n.a.")</x:f>
        <x:v>0.10529999999999999</x:v>
      </x:c>
      <x:c r="R209" s="11" t="n">
        <x:f>IF(ISNUMBER(Q209),P209*Q209,"n.a.")</x:f>
        <x:v>737.0999999999999</x:v>
      </x:c>
    </x:row>
    <x:row r="210" ht="21" customHeight="1">
      <x:c r="A210" s="1" t="str">
        <x:v>PLAS</x:v>
      </x:c>
      <x:c r="B210" s="1" t="str">
        <x:v>10</x:v>
      </x:c>
      <x:c r="C210" s="1" t="str">
        <x:v>11819RWBBLU</x:v>
      </x:c>
      <x:c r="D210" s="1" t="str">
        <x:v>1061033</x:v>
      </x:c>
      <x:c r="E210" s="1" t="str">
        <x:v>0</x:v>
      </x:c>
      <x:c r="F210" s="1" t="str">
        <x:v>25</x:v>
      </x:c>
      <x:c r="G210" s="7" t="n">
        <x:v>46332</x:v>
      </x:c>
      <x:c r="H210" s="1" t="n">
        <x:v>1000</x:v>
      </x:c>
      <x:c r="I210" s="1" t="n">
        <x:v>1</x:v>
      </x:c>
      <x:c r="J210" s="1" t="n">
        <x:v>10.53</x:v>
      </x:c>
      <x:c r="K210" s="1" t="n">
        <x:v>100</x:v>
      </x:c>
      <x:c r="L210" s="1" t="str">
        <x:v>a</x:v>
      </x:c>
      <x:c r="M210" s="1" t="n">
        <x:v>1000</x:v>
      </x:c>
      <x:c r="N210" s="1" t="n">
        <x:v>0</x:v>
      </x:c>
      <x:c r="O210" s="1" t="str">
        <x:v>updated receipts.csv</x:v>
      </x:c>
      <x:c r="P210" s="10" t="n">
        <x:f>H210*I210</x:f>
        <x:v>1000</x:v>
      </x:c>
      <x:c r="Q210" s="10" t="n">
        <x:f>IF(K210&gt;0,J210/K210,"n.a.")</x:f>
        <x:v>0.10529999999999999</x:v>
      </x:c>
      <x:c r="R210" s="11" t="n">
        <x:f>IF(ISNUMBER(Q210),P210*Q210,"n.a.")</x:f>
        <x:v>105.3</x:v>
      </x:c>
    </x:row>
    <x:row r="211" ht="21" customHeight="1">
      <x:c r="A211" s="1" t="str">
        <x:v>PLAS</x:v>
      </x:c>
      <x:c r="B211" s="1" t="str">
        <x:v>10</x:v>
      </x:c>
      <x:c r="C211" s="1" t="str">
        <x:v>11819RWBNAV</x:v>
      </x:c>
      <x:c r="D211" s="1" t="str">
        <x:v>1061033</x:v>
      </x:c>
      <x:c r="E211" s="1" t="str">
        <x:v>0</x:v>
      </x:c>
      <x:c r="F211" s="1" t="str">
        <x:v>59</x:v>
      </x:c>
      <x:c r="G211" s="7" t="n">
        <x:v>46332</x:v>
      </x:c>
      <x:c r="H211" s="1" t="n">
        <x:v>1000</x:v>
      </x:c>
      <x:c r="I211" s="1" t="n">
        <x:v>1</x:v>
      </x:c>
      <x:c r="J211" s="1" t="n">
        <x:v>10.53</x:v>
      </x:c>
      <x:c r="K211" s="1" t="n">
        <x:v>100</x:v>
      </x:c>
      <x:c r="L211" s="1" t="str">
        <x:v>a</x:v>
      </x:c>
      <x:c r="M211" s="1" t="n">
        <x:v>1000</x:v>
      </x:c>
      <x:c r="N211" s="1" t="n">
        <x:v>0</x:v>
      </x:c>
      <x:c r="O211" s="1" t="str">
        <x:v>updated receipts.csv</x:v>
      </x:c>
      <x:c r="P211" s="10" t="n">
        <x:f>H211*I211</x:f>
        <x:v>1000</x:v>
      </x:c>
      <x:c r="Q211" s="10" t="n">
        <x:f>IF(K211&gt;0,J211/K211,"n.a.")</x:f>
        <x:v>0.10529999999999999</x:v>
      </x:c>
      <x:c r="R211" s="11" t="n">
        <x:f>IF(ISNUMBER(Q211),P211*Q211,"n.a.")</x:f>
        <x:v>105.3</x:v>
      </x:c>
    </x:row>
    <x:row r="212" ht="21" customHeight="1">
      <x:c r="A212" s="1" t="str">
        <x:v>PLAS</x:v>
      </x:c>
      <x:c r="B212" s="1" t="str">
        <x:v>10</x:v>
      </x:c>
      <x:c r="C212" s="1" t="str">
        <x:v>11819RWBWHT</x:v>
      </x:c>
      <x:c r="D212" s="1" t="str">
        <x:v>1061033</x:v>
      </x:c>
      <x:c r="E212" s="1" t="str">
        <x:v>0</x:v>
      </x:c>
      <x:c r="F212" s="1" t="str">
        <x:v>76</x:v>
      </x:c>
      <x:c r="G212" s="7" t="n">
        <x:v>46332</x:v>
      </x:c>
      <x:c r="H212" s="1" t="n">
        <x:v>1000</x:v>
      </x:c>
      <x:c r="I212" s="1" t="n">
        <x:v>1</x:v>
      </x:c>
      <x:c r="J212" s="1" t="n">
        <x:v>10.53</x:v>
      </x:c>
      <x:c r="K212" s="1" t="n">
        <x:v>100</x:v>
      </x:c>
      <x:c r="L212" s="1" t="str">
        <x:v>a</x:v>
      </x:c>
      <x:c r="M212" s="1" t="n">
        <x:v>1000</x:v>
      </x:c>
      <x:c r="N212" s="1" t="n">
        <x:v>0</x:v>
      </x:c>
      <x:c r="O212" s="1" t="str">
        <x:v>updated receipts.csv</x:v>
      </x:c>
      <x:c r="P212" s="10" t="n">
        <x:f>H212*I212</x:f>
        <x:v>1000</x:v>
      </x:c>
      <x:c r="Q212" s="10" t="n">
        <x:f>IF(K212&gt;0,J212/K212,"n.a.")</x:f>
        <x:v>0.10529999999999999</x:v>
      </x:c>
      <x:c r="R212" s="11" t="n">
        <x:f>IF(ISNUMBER(Q212),P212*Q212,"n.a.")</x:f>
        <x:v>105.3</x:v>
      </x:c>
    </x:row>
    <x:row r="213" ht="21" customHeight="1">
      <x:c r="A213" s="1" t="str">
        <x:v>PLAS</x:v>
      </x:c>
      <x:c r="B213" s="1" t="str">
        <x:v>10</x:v>
      </x:c>
      <x:c r="C213" s="1" t="str">
        <x:v>13419RSLBLK</x:v>
      </x:c>
      <x:c r="D213" s="1" t="str">
        <x:v>1061033</x:v>
      </x:c>
      <x:c r="E213" s="1" t="str">
        <x:v>0</x:v>
      </x:c>
      <x:c r="F213" s="1" t="str">
        <x:v>14</x:v>
      </x:c>
      <x:c r="G213" s="7" t="n">
        <x:v>46332</x:v>
      </x:c>
      <x:c r="H213" s="1" t="n">
        <x:v>10000</x:v>
      </x:c>
      <x:c r="I213" s="1" t="n">
        <x:v>1</x:v>
      </x:c>
      <x:c r="J213" s="1" t="n">
        <x:v>11.59</x:v>
      </x:c>
      <x:c r="K213" s="1" t="n">
        <x:v>100</x:v>
      </x:c>
      <x:c r="L213" s="1" t="str">
        <x:v>a</x:v>
      </x:c>
      <x:c r="M213" s="1" t="n">
        <x:v>10000</x:v>
      </x:c>
      <x:c r="N213" s="1" t="n">
        <x:v>0</x:v>
      </x:c>
      <x:c r="O213" s="1" t="str">
        <x:v>updated receipts.csv</x:v>
      </x:c>
      <x:c r="P213" s="10" t="n">
        <x:f>H213*I213</x:f>
        <x:v>10000</x:v>
      </x:c>
      <x:c r="Q213" s="10" t="n">
        <x:f>IF(K213&gt;0,J213/K213,"n.a.")</x:f>
        <x:v>0.1159</x:v>
      </x:c>
      <x:c r="R213" s="11" t="n">
        <x:f>IF(ISNUMBER(Q213),P213*Q213,"n.a.")</x:f>
        <x:v>1159</x:v>
      </x:c>
    </x:row>
    <x:row r="214" ht="21" customHeight="1">
      <x:c r="A214" s="1" t="str">
        <x:v>PLAS</x:v>
      </x:c>
      <x:c r="B214" s="1" t="str">
        <x:v>10</x:v>
      </x:c>
      <x:c r="C214" s="1" t="str">
        <x:v>13419RSLMAR</x:v>
      </x:c>
      <x:c r="D214" s="1" t="str">
        <x:v>1061033</x:v>
      </x:c>
      <x:c r="E214" s="1" t="str">
        <x:v>0</x:v>
      </x:c>
      <x:c r="F214" s="1" t="str">
        <x:v>47</x:v>
      </x:c>
      <x:c r="G214" s="7" t="n">
        <x:v>46332</x:v>
      </x:c>
      <x:c r="H214" s="1" t="n">
        <x:v>1000</x:v>
      </x:c>
      <x:c r="I214" s="1" t="n">
        <x:v>1</x:v>
      </x:c>
      <x:c r="J214" s="1" t="n">
        <x:v>11.59</x:v>
      </x:c>
      <x:c r="K214" s="1" t="n">
        <x:v>100</x:v>
      </x:c>
      <x:c r="L214" s="1" t="str">
        <x:v>a</x:v>
      </x:c>
      <x:c r="M214" s="1" t="n">
        <x:v>1000</x:v>
      </x:c>
      <x:c r="N214" s="1" t="n">
        <x:v>0</x:v>
      </x:c>
      <x:c r="O214" s="1" t="str">
        <x:v>updated receipts.csv</x:v>
      </x:c>
      <x:c r="P214" s="10" t="n">
        <x:f>H214*I214</x:f>
        <x:v>1000</x:v>
      </x:c>
      <x:c r="Q214" s="10" t="n">
        <x:f>IF(K214&gt;0,J214/K214,"n.a.")</x:f>
        <x:v>0.1159</x:v>
      </x:c>
      <x:c r="R214" s="11" t="n">
        <x:f>IF(ISNUMBER(Q214),P214*Q214,"n.a.")</x:f>
        <x:v>115.9</x:v>
      </x:c>
    </x:row>
    <x:row r="215" ht="21" customHeight="1">
      <x:c r="A215" s="1" t="str">
        <x:v>PLAS</x:v>
      </x:c>
      <x:c r="B215" s="1" t="str">
        <x:v>10</x:v>
      </x:c>
      <x:c r="C215" s="1" t="str">
        <x:v>13419RSLNAV</x:v>
      </x:c>
      <x:c r="D215" s="1" t="str">
        <x:v>1061033</x:v>
      </x:c>
      <x:c r="E215" s="1" t="str">
        <x:v>0</x:v>
      </x:c>
      <x:c r="F215" s="1" t="str">
        <x:v>62</x:v>
      </x:c>
      <x:c r="G215" s="7" t="n">
        <x:v>46332</x:v>
      </x:c>
      <x:c r="H215" s="1" t="n">
        <x:v>1000</x:v>
      </x:c>
      <x:c r="I215" s="1" t="n">
        <x:v>1</x:v>
      </x:c>
      <x:c r="J215" s="1" t="n">
        <x:v>11.59</x:v>
      </x:c>
      <x:c r="K215" s="1" t="n">
        <x:v>100</x:v>
      </x:c>
      <x:c r="L215" s="1" t="str">
        <x:v>a</x:v>
      </x:c>
      <x:c r="M215" s="1" t="n">
        <x:v>1000</x:v>
      </x:c>
      <x:c r="N215" s="1" t="n">
        <x:v>0</x:v>
      </x:c>
      <x:c r="O215" s="1" t="str">
        <x:v>updated receipts.csv</x:v>
      </x:c>
      <x:c r="P215" s="10" t="n">
        <x:f>H215*I215</x:f>
        <x:v>1000</x:v>
      </x:c>
      <x:c r="Q215" s="10" t="n">
        <x:f>IF(K215&gt;0,J215/K215,"n.a.")</x:f>
        <x:v>0.1159</x:v>
      </x:c>
      <x:c r="R215" s="11" t="n">
        <x:f>IF(ISNUMBER(Q215),P215*Q215,"n.a.")</x:f>
        <x:v>115.9</x:v>
      </x:c>
    </x:row>
    <x:row r="216" ht="21" customHeight="1">
      <x:c r="A216" s="1" t="str">
        <x:v>PLAS</x:v>
      </x:c>
      <x:c r="B216" s="1" t="str">
        <x:v>10</x:v>
      </x:c>
      <x:c r="C216" s="1" t="str">
        <x:v>13419RSLWHT</x:v>
      </x:c>
      <x:c r="D216" s="1" t="str">
        <x:v>1061033</x:v>
      </x:c>
      <x:c r="E216" s="1" t="str">
        <x:v>0</x:v>
      </x:c>
      <x:c r="F216" s="1" t="str">
        <x:v>79</x:v>
      </x:c>
      <x:c r="G216" s="7" t="n">
        <x:v>46332</x:v>
      </x:c>
      <x:c r="H216" s="1" t="n">
        <x:v>2000</x:v>
      </x:c>
      <x:c r="I216" s="1" t="n">
        <x:v>1</x:v>
      </x:c>
      <x:c r="J216" s="1" t="n">
        <x:v>11.59</x:v>
      </x:c>
      <x:c r="K216" s="1" t="n">
        <x:v>100</x:v>
      </x:c>
      <x:c r="L216" s="1" t="str">
        <x:v>a</x:v>
      </x:c>
      <x:c r="M216" s="1" t="n">
        <x:v>2000</x:v>
      </x:c>
      <x:c r="N216" s="1" t="n">
        <x:v>0</x:v>
      </x:c>
      <x:c r="O216" s="1" t="str">
        <x:v>updated receipts.csv</x:v>
      </x:c>
      <x:c r="P216" s="10" t="n">
        <x:f>H216*I216</x:f>
        <x:v>2000</x:v>
      </x:c>
      <x:c r="Q216" s="10" t="n">
        <x:f>IF(K216&gt;0,J216/K216,"n.a.")</x:f>
        <x:v>0.1159</x:v>
      </x:c>
      <x:c r="R216" s="11" t="n">
        <x:f>IF(ISNUMBER(Q216),P216*Q216,"n.a.")</x:f>
        <x:v>231.8</x:v>
      </x:c>
    </x:row>
    <x:row r="217" ht="21" customHeight="1">
      <x:c r="A217" s="1" t="str">
        <x:v>PLAS</x:v>
      </x:c>
      <x:c r="B217" s="1" t="str">
        <x:v>10</x:v>
      </x:c>
      <x:c r="C217" s="1" t="str">
        <x:v>51619RWBBLK</x:v>
      </x:c>
      <x:c r="D217" s="1" t="str">
        <x:v>1061033</x:v>
      </x:c>
      <x:c r="E217" s="1" t="str">
        <x:v>0</x:v>
      </x:c>
      <x:c r="F217" s="1" t="str">
        <x:v>2</x:v>
      </x:c>
      <x:c r="G217" s="7" t="n">
        <x:v>46332</x:v>
      </x:c>
      <x:c r="H217" s="1" t="n">
        <x:v>62000</x:v>
      </x:c>
      <x:c r="I217" s="1" t="n">
        <x:v>1</x:v>
      </x:c>
      <x:c r="J217" s="1" t="n">
        <x:v>1.72</x:v>
      </x:c>
      <x:c r="K217" s="1" t="n">
        <x:v>100</x:v>
      </x:c>
      <x:c r="L217" s="1" t="str">
        <x:v>a</x:v>
      </x:c>
      <x:c r="M217" s="1" t="n">
        <x:v>62000</x:v>
      </x:c>
      <x:c r="N217" s="1" t="n">
        <x:v>0</x:v>
      </x:c>
      <x:c r="O217" s="1" t="str">
        <x:v>updated receipts.csv</x:v>
      </x:c>
      <x:c r="P217" s="10" t="n">
        <x:f>H217*I217</x:f>
        <x:v>62000</x:v>
      </x:c>
      <x:c r="Q217" s="10" t="n">
        <x:f>IF(K217&gt;0,J217/K217,"n.a.")</x:f>
        <x:v>0.0172</x:v>
      </x:c>
      <x:c r="R217" s="11" t="n">
        <x:f>IF(ISNUMBER(Q217),P217*Q217,"n.a.")</x:f>
        <x:v>1066.4</x:v>
      </x:c>
    </x:row>
    <x:row r="218" ht="21" customHeight="1">
      <x:c r="A218" s="1" t="str">
        <x:v>PLAS</x:v>
      </x:c>
      <x:c r="B218" s="1" t="str">
        <x:v>10</x:v>
      </x:c>
      <x:c r="C218" s="1" t="str">
        <x:v>51619RWBBLU</x:v>
      </x:c>
      <x:c r="D218" s="1" t="str">
        <x:v>1061033</x:v>
      </x:c>
      <x:c r="E218" s="1" t="str">
        <x:v>0</x:v>
      </x:c>
      <x:c r="F218" s="1" t="str">
        <x:v>17</x:v>
      </x:c>
      <x:c r="G218" s="7" t="n">
        <x:v>46332</x:v>
      </x:c>
      <x:c r="H218" s="1" t="n">
        <x:v>2000</x:v>
      </x:c>
      <x:c r="I218" s="1" t="n">
        <x:v>1</x:v>
      </x:c>
      <x:c r="J218" s="1" t="n">
        <x:v>1.72</x:v>
      </x:c>
      <x:c r="K218" s="1" t="n">
        <x:v>100</x:v>
      </x:c>
      <x:c r="L218" s="1" t="str">
        <x:v>a</x:v>
      </x:c>
      <x:c r="M218" s="1" t="n">
        <x:v>2000</x:v>
      </x:c>
      <x:c r="N218" s="1" t="n">
        <x:v>0</x:v>
      </x:c>
      <x:c r="O218" s="1" t="str">
        <x:v>updated receipts.csv</x:v>
      </x:c>
      <x:c r="P218" s="10" t="n">
        <x:f>H218*I218</x:f>
        <x:v>2000</x:v>
      </x:c>
      <x:c r="Q218" s="10" t="n">
        <x:f>IF(K218&gt;0,J218/K218,"n.a.")</x:f>
        <x:v>0.0172</x:v>
      </x:c>
      <x:c r="R218" s="11" t="n">
        <x:f>IF(ISNUMBER(Q218),P218*Q218,"n.a.")</x:f>
        <x:v>34.4</x:v>
      </x:c>
    </x:row>
    <x:row r="219" ht="21" customHeight="1">
      <x:c r="A219" s="1" t="str">
        <x:v>PLAS</x:v>
      </x:c>
      <x:c r="B219" s="1" t="str">
        <x:v>10</x:v>
      </x:c>
      <x:c r="C219" s="1" t="str">
        <x:v>51619RWBCLR</x:v>
      </x:c>
      <x:c r="D219" s="1" t="str">
        <x:v>1061033</x:v>
      </x:c>
      <x:c r="E219" s="1" t="str">
        <x:v>0</x:v>
      </x:c>
      <x:c r="F219" s="1" t="str">
        <x:v>28</x:v>
      </x:c>
      <x:c r="G219" s="7" t="n">
        <x:v>46332</x:v>
      </x:c>
      <x:c r="H219" s="1" t="n">
        <x:v>8000</x:v>
      </x:c>
      <x:c r="I219" s="1" t="n">
        <x:v>1</x:v>
      </x:c>
      <x:c r="J219" s="1" t="n">
        <x:v>1.72</x:v>
      </x:c>
      <x:c r="K219" s="1" t="n">
        <x:v>100</x:v>
      </x:c>
      <x:c r="L219" s="1" t="str">
        <x:v>a</x:v>
      </x:c>
      <x:c r="M219" s="1" t="n">
        <x:v>8000</x:v>
      </x:c>
      <x:c r="N219" s="1" t="n">
        <x:v>0</x:v>
      </x:c>
      <x:c r="O219" s="1" t="str">
        <x:v>updated receipts.csv</x:v>
      </x:c>
      <x:c r="P219" s="10" t="n">
        <x:f>H219*I219</x:f>
        <x:v>8000</x:v>
      </x:c>
      <x:c r="Q219" s="10" t="n">
        <x:f>IF(K219&gt;0,J219/K219,"n.a.")</x:f>
        <x:v>0.0172</x:v>
      </x:c>
      <x:c r="R219" s="11" t="n">
        <x:f>IF(ISNUMBER(Q219),P219*Q219,"n.a.")</x:f>
        <x:v>137.6</x:v>
      </x:c>
    </x:row>
    <x:row r="220" ht="21" customHeight="1">
      <x:c r="A220" s="1" t="str">
        <x:v>PLAS</x:v>
      </x:c>
      <x:c r="B220" s="1" t="str">
        <x:v>10</x:v>
      </x:c>
      <x:c r="C220" s="1" t="str">
        <x:v>51619RWBFG</x:v>
      </x:c>
      <x:c r="D220" s="1" t="str">
        <x:v>1061033</x:v>
      </x:c>
      <x:c r="E220" s="1" t="str">
        <x:v>0</x:v>
      </x:c>
      <x:c r="F220" s="1" t="str">
        <x:v>33</x:v>
      </x:c>
      <x:c r="G220" s="7" t="n">
        <x:v>46332</x:v>
      </x:c>
      <x:c r="H220" s="1" t="n">
        <x:v>5000</x:v>
      </x:c>
      <x:c r="I220" s="1" t="n">
        <x:v>1</x:v>
      </x:c>
      <x:c r="J220" s="1" t="n">
        <x:v>1.72</x:v>
      </x:c>
      <x:c r="K220" s="1" t="n">
        <x:v>100</x:v>
      </x:c>
      <x:c r="L220" s="1" t="str">
        <x:v>a</x:v>
      </x:c>
      <x:c r="M220" s="1" t="n">
        <x:v>5000</x:v>
      </x:c>
      <x:c r="N220" s="1" t="n">
        <x:v>0</x:v>
      </x:c>
      <x:c r="O220" s="1" t="str">
        <x:v>updated receipts.csv</x:v>
      </x:c>
      <x:c r="P220" s="10" t="n">
        <x:f>H220*I220</x:f>
        <x:v>5000</x:v>
      </x:c>
      <x:c r="Q220" s="10" t="n">
        <x:f>IF(K220&gt;0,J220/K220,"n.a.")</x:f>
        <x:v>0.0172</x:v>
      </x:c>
      <x:c r="R220" s="11" t="n">
        <x:f>IF(ISNUMBER(Q220),P220*Q220,"n.a.")</x:f>
        <x:v>86</x:v>
      </x:c>
    </x:row>
    <x:row r="221" ht="21" customHeight="1">
      <x:c r="A221" s="1" t="str">
        <x:v>PLAS</x:v>
      </x:c>
      <x:c r="B221" s="1" t="str">
        <x:v>10</x:v>
      </x:c>
      <x:c r="C221" s="1" t="str">
        <x:v>51619RWBMAR</x:v>
      </x:c>
      <x:c r="D221" s="1" t="str">
        <x:v>1061033</x:v>
      </x:c>
      <x:c r="E221" s="1" t="str">
        <x:v>0</x:v>
      </x:c>
      <x:c r="F221" s="1" t="str">
        <x:v>40</x:v>
      </x:c>
      <x:c r="G221" s="7" t="n">
        <x:v>46332</x:v>
      </x:c>
      <x:c r="H221" s="1" t="n">
        <x:v>5000</x:v>
      </x:c>
      <x:c r="I221" s="1" t="n">
        <x:v>1</x:v>
      </x:c>
      <x:c r="J221" s="1" t="n">
        <x:v>1.72</x:v>
      </x:c>
      <x:c r="K221" s="1" t="n">
        <x:v>100</x:v>
      </x:c>
      <x:c r="L221" s="1" t="str">
        <x:v>a</x:v>
      </x:c>
      <x:c r="M221" s="1" t="n">
        <x:v>5000</x:v>
      </x:c>
      <x:c r="N221" s="1" t="n">
        <x:v>0</x:v>
      </x:c>
      <x:c r="O221" s="1" t="str">
        <x:v>updated receipts.csv</x:v>
      </x:c>
      <x:c r="P221" s="10" t="n">
        <x:f>H221*I221</x:f>
        <x:v>5000</x:v>
      </x:c>
      <x:c r="Q221" s="10" t="n">
        <x:f>IF(K221&gt;0,J221/K221,"n.a.")</x:f>
        <x:v>0.0172</x:v>
      </x:c>
      <x:c r="R221" s="11" t="n">
        <x:f>IF(ISNUMBER(Q221),P221*Q221,"n.a.")</x:f>
        <x:v>86</x:v>
      </x:c>
    </x:row>
    <x:row r="222" ht="21" customHeight="1">
      <x:c r="A222" s="1" t="str">
        <x:v>PLAS</x:v>
      </x:c>
      <x:c r="B222" s="1" t="str">
        <x:v>10</x:v>
      </x:c>
      <x:c r="C222" s="1" t="str">
        <x:v>51619RWBNAV</x:v>
      </x:c>
      <x:c r="D222" s="1" t="str">
        <x:v>1061033</x:v>
      </x:c>
      <x:c r="E222" s="1" t="str">
        <x:v>0</x:v>
      </x:c>
      <x:c r="F222" s="1" t="str">
        <x:v>50</x:v>
      </x:c>
      <x:c r="G222" s="7" t="n">
        <x:v>46332</x:v>
      </x:c>
      <x:c r="H222" s="1" t="n">
        <x:v>40000</x:v>
      </x:c>
      <x:c r="I222" s="1" t="n">
        <x:v>1</x:v>
      </x:c>
      <x:c r="J222" s="1" t="n">
        <x:v>1.72</x:v>
      </x:c>
      <x:c r="K222" s="1" t="n">
        <x:v>100</x:v>
      </x:c>
      <x:c r="L222" s="1" t="str">
        <x:v>a</x:v>
      </x:c>
      <x:c r="M222" s="1" t="n">
        <x:v>40000</x:v>
      </x:c>
      <x:c r="N222" s="1" t="n">
        <x:v>0</x:v>
      </x:c>
      <x:c r="O222" s="1" t="str">
        <x:v>updated receipts.csv</x:v>
      </x:c>
      <x:c r="P222" s="10" t="n">
        <x:f>H222*I222</x:f>
        <x:v>40000</x:v>
      </x:c>
      <x:c r="Q222" s="10" t="n">
        <x:f>IF(K222&gt;0,J222/K222,"n.a.")</x:f>
        <x:v>0.0172</x:v>
      </x:c>
      <x:c r="R222" s="11" t="n">
        <x:f>IF(ISNUMBER(Q222),P222*Q222,"n.a.")</x:f>
        <x:v>688</x:v>
      </x:c>
    </x:row>
    <x:row r="223" ht="21" customHeight="1">
      <x:c r="A223" s="1" t="str">
        <x:v>PLAS</x:v>
      </x:c>
      <x:c r="B223" s="1" t="str">
        <x:v>10</x:v>
      </x:c>
      <x:c r="C223" s="1" t="str">
        <x:v>51619RWBWHT</x:v>
      </x:c>
      <x:c r="D223" s="1" t="str">
        <x:v>1061033</x:v>
      </x:c>
      <x:c r="E223" s="1" t="str">
        <x:v>0</x:v>
      </x:c>
      <x:c r="F223" s="1" t="str">
        <x:v>69</x:v>
      </x:c>
      <x:c r="G223" s="7" t="n">
        <x:v>46332</x:v>
      </x:c>
      <x:c r="H223" s="1" t="n">
        <x:v>70000</x:v>
      </x:c>
      <x:c r="I223" s="1" t="n">
        <x:v>1</x:v>
      </x:c>
      <x:c r="J223" s="1" t="n">
        <x:v>1.72</x:v>
      </x:c>
      <x:c r="K223" s="1" t="n">
        <x:v>100</x:v>
      </x:c>
      <x:c r="L223" s="1" t="str">
        <x:v>a</x:v>
      </x:c>
      <x:c r="M223" s="1" t="n">
        <x:v>70000</x:v>
      </x:c>
      <x:c r="N223" s="1" t="n">
        <x:v>0</x:v>
      </x:c>
      <x:c r="O223" s="1" t="str">
        <x:v>updated receipts.csv</x:v>
      </x:c>
      <x:c r="P223" s="10" t="n">
        <x:f>H223*I223</x:f>
        <x:v>70000</x:v>
      </x:c>
      <x:c r="Q223" s="10" t="n">
        <x:f>IF(K223&gt;0,J223/K223,"n.a.")</x:f>
        <x:v>0.0172</x:v>
      </x:c>
      <x:c r="R223" s="11" t="n">
        <x:f>IF(ISNUMBER(Q223),P223*Q223,"n.a.")</x:f>
        <x:v>1204</x:v>
      </x:c>
    </x:row>
    <x:row r="224" ht="21" customHeight="1">
      <x:c r="A224" s="1" t="str">
        <x:v>PLAS</x:v>
      </x:c>
      <x:c r="B224" s="1" t="str">
        <x:v>10</x:v>
      </x:c>
      <x:c r="C224" s="1" t="str">
        <x:v>71615RWBBLK</x:v>
      </x:c>
      <x:c r="D224" s="1" t="str">
        <x:v>1061033</x:v>
      </x:c>
      <x:c r="E224" s="1" t="str">
        <x:v>0</x:v>
      </x:c>
      <x:c r="F224" s="1" t="str">
        <x:v>82</x:v>
      </x:c>
      <x:c r="G224" s="7" t="n">
        <x:v>46332</x:v>
      </x:c>
      <x:c r="H224" s="1" t="n">
        <x:v>2000</x:v>
      </x:c>
      <x:c r="I224" s="1" t="n">
        <x:v>1</x:v>
      </x:c>
      <x:c r="J224" s="1" t="n">
        <x:v>1.74</x:v>
      </x:c>
      <x:c r="K224" s="1" t="n">
        <x:v>100</x:v>
      </x:c>
      <x:c r="L224" s="1" t="str">
        <x:v>a</x:v>
      </x:c>
      <x:c r="M224" s="1" t="n">
        <x:v>2000</x:v>
      </x:c>
      <x:c r="N224" s="1" t="n">
        <x:v>0</x:v>
      </x:c>
      <x:c r="O224" s="1" t="str">
        <x:v>updated receipts.csv</x:v>
      </x:c>
      <x:c r="P224" s="10" t="n">
        <x:f>H224*I224</x:f>
        <x:v>2000</x:v>
      </x:c>
      <x:c r="Q224" s="10" t="n">
        <x:f>IF(K224&gt;0,J224/K224,"n.a.")</x:f>
        <x:v>0.0174</x:v>
      </x:c>
      <x:c r="R224" s="11" t="n">
        <x:f>IF(ISNUMBER(Q224),P224*Q224,"n.a.")</x:f>
        <x:v>34.8</x:v>
      </x:c>
    </x:row>
    <x:row r="225" ht="21" customHeight="1">
      <x:c r="A225" s="1" t="str">
        <x:v>PLAS</x:v>
      </x:c>
      <x:c r="B225" s="1" t="str">
        <x:v>10</x:v>
      </x:c>
      <x:c r="C225" s="1" t="str">
        <x:v>71619RWBBLK</x:v>
      </x:c>
      <x:c r="D225" s="1" t="str">
        <x:v>1061033</x:v>
      </x:c>
      <x:c r="E225" s="1" t="str">
        <x:v>0</x:v>
      </x:c>
      <x:c r="F225" s="1" t="str">
        <x:v>4</x:v>
      </x:c>
      <x:c r="G225" s="7" t="n">
        <x:v>46332</x:v>
      </x:c>
      <x:c r="H225" s="1" t="n">
        <x:v>70000</x:v>
      </x:c>
      <x:c r="I225" s="1" t="n">
        <x:v>1</x:v>
      </x:c>
      <x:c r="J225" s="1" t="n">
        <x:v>2.5</x:v>
      </x:c>
      <x:c r="K225" s="1" t="n">
        <x:v>100</x:v>
      </x:c>
      <x:c r="L225" s="1" t="str">
        <x:v>a</x:v>
      </x:c>
      <x:c r="M225" s="1" t="n">
        <x:v>70000</x:v>
      </x:c>
      <x:c r="N225" s="1" t="n">
        <x:v>0</x:v>
      </x:c>
      <x:c r="O225" s="1" t="str">
        <x:v>updated receipts.csv</x:v>
      </x:c>
      <x:c r="P225" s="10" t="n">
        <x:f>H225*I225</x:f>
        <x:v>70000</x:v>
      </x:c>
      <x:c r="Q225" s="10" t="n">
        <x:f>IF(K225&gt;0,J225/K225,"n.a.")</x:f>
        <x:v>0.025</x:v>
      </x:c>
      <x:c r="R225" s="11" t="n">
        <x:f>IF(ISNUMBER(Q225),P225*Q225,"n.a.")</x:f>
        <x:v>1750</x:v>
      </x:c>
    </x:row>
    <x:row r="226" ht="21" customHeight="1">
      <x:c r="A226" s="1" t="str">
        <x:v>PLAS</x:v>
      </x:c>
      <x:c r="B226" s="1" t="str">
        <x:v>10</x:v>
      </x:c>
      <x:c r="C226" s="1" t="str">
        <x:v>71619RWBCLR</x:v>
      </x:c>
      <x:c r="D226" s="1" t="str">
        <x:v>1061033</x:v>
      </x:c>
      <x:c r="E226" s="1" t="str">
        <x:v>0</x:v>
      </x:c>
      <x:c r="F226" s="1" t="str">
        <x:v>30</x:v>
      </x:c>
      <x:c r="G226" s="7" t="n">
        <x:v>46332</x:v>
      </x:c>
      <x:c r="H226" s="1" t="n">
        <x:v>5000</x:v>
      </x:c>
      <x:c r="I226" s="1" t="n">
        <x:v>1</x:v>
      </x:c>
      <x:c r="J226" s="1" t="n">
        <x:v>2.5</x:v>
      </x:c>
      <x:c r="K226" s="1" t="n">
        <x:v>100</x:v>
      </x:c>
      <x:c r="L226" s="1" t="str">
        <x:v>a</x:v>
      </x:c>
      <x:c r="M226" s="1" t="n">
        <x:v>5000</x:v>
      </x:c>
      <x:c r="N226" s="1" t="n">
        <x:v>0</x:v>
      </x:c>
      <x:c r="O226" s="1" t="str">
        <x:v>updated receipts.csv</x:v>
      </x:c>
      <x:c r="P226" s="10" t="n">
        <x:f>H226*I226</x:f>
        <x:v>5000</x:v>
      </x:c>
      <x:c r="Q226" s="10" t="n">
        <x:f>IF(K226&gt;0,J226/K226,"n.a.")</x:f>
        <x:v>0.025</x:v>
      </x:c>
      <x:c r="R226" s="11" t="n">
        <x:f>IF(ISNUMBER(Q226),P226*Q226,"n.a.")</x:f>
        <x:v>125</x:v>
      </x:c>
    </x:row>
    <x:row r="227" ht="21" customHeight="1">
      <x:c r="A227" s="1" t="str">
        <x:v>PLAS</x:v>
      </x:c>
      <x:c r="B227" s="1" t="str">
        <x:v>10</x:v>
      </x:c>
      <x:c r="C227" s="1" t="str">
        <x:v>71619RWBFG</x:v>
      </x:c>
      <x:c r="D227" s="1" t="str">
        <x:v>1061033</x:v>
      </x:c>
      <x:c r="E227" s="1" t="str">
        <x:v>0</x:v>
      </x:c>
      <x:c r="F227" s="1" t="str">
        <x:v>35</x:v>
      </x:c>
      <x:c r="G227" s="7" t="n">
        <x:v>46332</x:v>
      </x:c>
      <x:c r="H227" s="1" t="n">
        <x:v>3000</x:v>
      </x:c>
      <x:c r="I227" s="1" t="n">
        <x:v>1</x:v>
      </x:c>
      <x:c r="J227" s="1" t="n">
        <x:v>2.5</x:v>
      </x:c>
      <x:c r="K227" s="1" t="n">
        <x:v>100</x:v>
      </x:c>
      <x:c r="L227" s="1" t="str">
        <x:v>a</x:v>
      </x:c>
      <x:c r="M227" s="1" t="n">
        <x:v>3000</x:v>
      </x:c>
      <x:c r="N227" s="1" t="n">
        <x:v>0</x:v>
      </x:c>
      <x:c r="O227" s="1" t="str">
        <x:v>updated receipts.csv</x:v>
      </x:c>
      <x:c r="P227" s="10" t="n">
        <x:f>H227*I227</x:f>
        <x:v>3000</x:v>
      </x:c>
      <x:c r="Q227" s="10" t="n">
        <x:f>IF(K227&gt;0,J227/K227,"n.a.")</x:f>
        <x:v>0.025</x:v>
      </x:c>
      <x:c r="R227" s="11" t="n">
        <x:f>IF(ISNUMBER(Q227),P227*Q227,"n.a.")</x:f>
        <x:v>75</x:v>
      </x:c>
    </x:row>
    <x:row r="228" ht="21" customHeight="1">
      <x:c r="A228" s="1" t="str">
        <x:v>PLAS</x:v>
      </x:c>
      <x:c r="B228" s="1" t="str">
        <x:v>10</x:v>
      </x:c>
      <x:c r="C228" s="1" t="str">
        <x:v>71619RWBMAR</x:v>
      </x:c>
      <x:c r="D228" s="1" t="str">
        <x:v>1061033</x:v>
      </x:c>
      <x:c r="E228" s="1" t="str">
        <x:v>0</x:v>
      </x:c>
      <x:c r="F228" s="1" t="str">
        <x:v>42</x:v>
      </x:c>
      <x:c r="G228" s="7" t="n">
        <x:v>46332</x:v>
      </x:c>
      <x:c r="H228" s="1" t="n">
        <x:v>10000</x:v>
      </x:c>
      <x:c r="I228" s="1" t="n">
        <x:v>1</x:v>
      </x:c>
      <x:c r="J228" s="1" t="n">
        <x:v>2.5</x:v>
      </x:c>
      <x:c r="K228" s="1" t="n">
        <x:v>100</x:v>
      </x:c>
      <x:c r="L228" s="1" t="str">
        <x:v>a</x:v>
      </x:c>
      <x:c r="M228" s="1" t="n">
        <x:v>10000</x:v>
      </x:c>
      <x:c r="N228" s="1" t="n">
        <x:v>0</x:v>
      </x:c>
      <x:c r="O228" s="1" t="str">
        <x:v>updated receipts.csv</x:v>
      </x:c>
      <x:c r="P228" s="10" t="n">
        <x:f>H228*I228</x:f>
        <x:v>10000</x:v>
      </x:c>
      <x:c r="Q228" s="10" t="n">
        <x:f>IF(K228&gt;0,J228/K228,"n.a.")</x:f>
        <x:v>0.025</x:v>
      </x:c>
      <x:c r="R228" s="11" t="n">
        <x:f>IF(ISNUMBER(Q228),P228*Q228,"n.a.")</x:f>
        <x:v>250</x:v>
      </x:c>
    </x:row>
    <x:row r="229" ht="21" customHeight="1">
      <x:c r="A229" s="1" t="str">
        <x:v>PLAS</x:v>
      </x:c>
      <x:c r="B229" s="1" t="str">
        <x:v>10</x:v>
      </x:c>
      <x:c r="C229" s="1" t="str">
        <x:v>71619RWBNAV</x:v>
      </x:c>
      <x:c r="D229" s="1" t="str">
        <x:v>1061033</x:v>
      </x:c>
      <x:c r="E229" s="1" t="str">
        <x:v>0</x:v>
      </x:c>
      <x:c r="F229" s="1" t="str">
        <x:v>52</x:v>
      </x:c>
      <x:c r="G229" s="7" t="n">
        <x:v>46332</x:v>
      </x:c>
      <x:c r="H229" s="1" t="n">
        <x:v>26000</x:v>
      </x:c>
      <x:c r="I229" s="1" t="n">
        <x:v>1</x:v>
      </x:c>
      <x:c r="J229" s="1" t="n">
        <x:v>2.5</x:v>
      </x:c>
      <x:c r="K229" s="1" t="n">
        <x:v>100</x:v>
      </x:c>
      <x:c r="L229" s="1" t="str">
        <x:v>a</x:v>
      </x:c>
      <x:c r="M229" s="1" t="n">
        <x:v>26000</x:v>
      </x:c>
      <x:c r="N229" s="1" t="n">
        <x:v>0</x:v>
      </x:c>
      <x:c r="O229" s="1" t="str">
        <x:v>updated receipts.csv</x:v>
      </x:c>
      <x:c r="P229" s="10" t="n">
        <x:f>H229*I229</x:f>
        <x:v>26000</x:v>
      </x:c>
      <x:c r="Q229" s="10" t="n">
        <x:f>IF(K229&gt;0,J229/K229,"n.a.")</x:f>
        <x:v>0.025</x:v>
      </x:c>
      <x:c r="R229" s="11" t="n">
        <x:f>IF(ISNUMBER(Q229),P229*Q229,"n.a.")</x:f>
        <x:v>650</x:v>
      </x:c>
    </x:row>
    <x:row r="230" ht="21" customHeight="1">
      <x:c r="A230" s="1" t="str">
        <x:v>PLAS</x:v>
      </x:c>
      <x:c r="B230" s="1" t="str">
        <x:v>10</x:v>
      </x:c>
      <x:c r="C230" s="1" t="str">
        <x:v>71619RWBRED</x:v>
      </x:c>
      <x:c r="D230" s="1" t="str">
        <x:v>1061033</x:v>
      </x:c>
      <x:c r="E230" s="1" t="str">
        <x:v>0</x:v>
      </x:c>
      <x:c r="F230" s="1" t="str">
        <x:v>65</x:v>
      </x:c>
      <x:c r="G230" s="7" t="n">
        <x:v>46332</x:v>
      </x:c>
      <x:c r="H230" s="1" t="n">
        <x:v>5000</x:v>
      </x:c>
      <x:c r="I230" s="1" t="n">
        <x:v>1</x:v>
      </x:c>
      <x:c r="J230" s="1" t="n">
        <x:v>2.5</x:v>
      </x:c>
      <x:c r="K230" s="1" t="n">
        <x:v>100</x:v>
      </x:c>
      <x:c r="L230" s="1" t="str">
        <x:v>a</x:v>
      </x:c>
      <x:c r="M230" s="1" t="n">
        <x:v>5000</x:v>
      </x:c>
      <x:c r="N230" s="1" t="n">
        <x:v>0</x:v>
      </x:c>
      <x:c r="O230" s="1" t="str">
        <x:v>updated receipts.csv</x:v>
      </x:c>
      <x:c r="P230" s="10" t="n">
        <x:f>H230*I230</x:f>
        <x:v>5000</x:v>
      </x:c>
      <x:c r="Q230" s="10" t="n">
        <x:f>IF(K230&gt;0,J230/K230,"n.a.")</x:f>
        <x:v>0.025</x:v>
      </x:c>
      <x:c r="R230" s="11" t="n">
        <x:f>IF(ISNUMBER(Q230),P230*Q230,"n.a.")</x:f>
        <x:v>125</x:v>
      </x:c>
    </x:row>
    <x:row r="231" ht="21" customHeight="1">
      <x:c r="A231" s="1" t="str">
        <x:v>PLAS</x:v>
      </x:c>
      <x:c r="B231" s="1" t="str">
        <x:v>10</x:v>
      </x:c>
      <x:c r="C231" s="1" t="str">
        <x:v>71619RWBWHT</x:v>
      </x:c>
      <x:c r="D231" s="1" t="str">
        <x:v>1061033</x:v>
      </x:c>
      <x:c r="E231" s="1" t="str">
        <x:v>0</x:v>
      </x:c>
      <x:c r="F231" s="1" t="str">
        <x:v>71</x:v>
      </x:c>
      <x:c r="G231" s="7" t="n">
        <x:v>46332</x:v>
      </x:c>
      <x:c r="H231" s="1" t="n">
        <x:v>20000</x:v>
      </x:c>
      <x:c r="I231" s="1" t="n">
        <x:v>1</x:v>
      </x:c>
      <x:c r="J231" s="1" t="n">
        <x:v>2.5</x:v>
      </x:c>
      <x:c r="K231" s="1" t="n">
        <x:v>100</x:v>
      </x:c>
      <x:c r="L231" s="1" t="str">
        <x:v>a</x:v>
      </x:c>
      <x:c r="M231" s="1" t="n">
        <x:v>20000</x:v>
      </x:c>
      <x:c r="N231" s="1" t="n">
        <x:v>0</x:v>
      </x:c>
      <x:c r="O231" s="1" t="str">
        <x:v>updated receipts.csv</x:v>
      </x:c>
      <x:c r="P231" s="10" t="n">
        <x:f>H231*I231</x:f>
        <x:v>20000</x:v>
      </x:c>
      <x:c r="Q231" s="10" t="n">
        <x:f>IF(K231&gt;0,J231/K231,"n.a.")</x:f>
        <x:v>0.025</x:v>
      </x:c>
      <x:c r="R231" s="11" t="n">
        <x:f>IF(ISNUMBER(Q231),P231*Q231,"n.a.")</x:f>
        <x:v>500</x:v>
      </x:c>
    </x:row>
    <x:row r="232" ht="21" customHeight="1">
      <x:c r="A232" s="1" t="str">
        <x:v>PLAS</x:v>
      </x:c>
      <x:c r="B232" s="1" t="str">
        <x:v>10</x:v>
      </x:c>
      <x:c r="C232" s="1" t="str">
        <x:v>91619RWBBLK</x:v>
      </x:c>
      <x:c r="D232" s="1" t="str">
        <x:v>1061033</x:v>
      </x:c>
      <x:c r="E232" s="1" t="str">
        <x:v>0</x:v>
      </x:c>
      <x:c r="F232" s="1" t="str">
        <x:v>6</x:v>
      </x:c>
      <x:c r="G232" s="7" t="n">
        <x:v>46332</x:v>
      </x:c>
      <x:c r="H232" s="1" t="n">
        <x:v>25000</x:v>
      </x:c>
      <x:c r="I232" s="1" t="n">
        <x:v>1</x:v>
      </x:c>
      <x:c r="J232" s="1" t="n">
        <x:v>3.4</x:v>
      </x:c>
      <x:c r="K232" s="1" t="n">
        <x:v>100</x:v>
      </x:c>
      <x:c r="L232" s="1" t="str">
        <x:v>a</x:v>
      </x:c>
      <x:c r="M232" s="1" t="n">
        <x:v>25000</x:v>
      </x:c>
      <x:c r="N232" s="1" t="n">
        <x:v>0</x:v>
      </x:c>
      <x:c r="O232" s="1" t="str">
        <x:v>updated receipts.csv</x:v>
      </x:c>
      <x:c r="P232" s="10" t="n">
        <x:f>H232*I232</x:f>
        <x:v>25000</x:v>
      </x:c>
      <x:c r="Q232" s="10" t="n">
        <x:f>IF(K232&gt;0,J232/K232,"n.a.")</x:f>
        <x:v>0.034</x:v>
      </x:c>
      <x:c r="R232" s="11" t="n">
        <x:f>IF(ISNUMBER(Q232),P232*Q232,"n.a.")</x:f>
        <x:v>850.0000000000001</x:v>
      </x:c>
    </x:row>
    <x:row r="233" ht="21" customHeight="1">
      <x:c r="A233" s="1" t="str">
        <x:v>PLAS</x:v>
      </x:c>
      <x:c r="B233" s="1" t="str">
        <x:v>10</x:v>
      </x:c>
      <x:c r="C233" s="1" t="str">
        <x:v>91619RWBBLU</x:v>
      </x:c>
      <x:c r="D233" s="1" t="str">
        <x:v>1061033</x:v>
      </x:c>
      <x:c r="E233" s="1" t="str">
        <x:v>0</x:v>
      </x:c>
      <x:c r="F233" s="1" t="str">
        <x:v>20</x:v>
      </x:c>
      <x:c r="G233" s="7" t="n">
        <x:v>46332</x:v>
      </x:c>
      <x:c r="H233" s="1" t="n">
        <x:v>1000</x:v>
      </x:c>
      <x:c r="I233" s="1" t="n">
        <x:v>1</x:v>
      </x:c>
      <x:c r="J233" s="1" t="n">
        <x:v>3.4</x:v>
      </x:c>
      <x:c r="K233" s="1" t="n">
        <x:v>100</x:v>
      </x:c>
      <x:c r="L233" s="1" t="str">
        <x:v>a</x:v>
      </x:c>
      <x:c r="M233" s="1" t="n">
        <x:v>1000</x:v>
      </x:c>
      <x:c r="N233" s="1" t="n">
        <x:v>0</x:v>
      </x:c>
      <x:c r="O233" s="1" t="str">
        <x:v>updated receipts.csv</x:v>
      </x:c>
      <x:c r="P233" s="10" t="n">
        <x:f>H233*I233</x:f>
        <x:v>1000</x:v>
      </x:c>
      <x:c r="Q233" s="10" t="n">
        <x:f>IF(K233&gt;0,J233/K233,"n.a.")</x:f>
        <x:v>0.034</x:v>
      </x:c>
      <x:c r="R233" s="11" t="n">
        <x:f>IF(ISNUMBER(Q233),P233*Q233,"n.a.")</x:f>
        <x:v>34</x:v>
      </x:c>
    </x:row>
    <x:row r="234" ht="21" customHeight="1">
      <x:c r="A234" s="1" t="str">
        <x:v>PLAS</x:v>
      </x:c>
      <x:c r="B234" s="1" t="str">
        <x:v>10</x:v>
      </x:c>
      <x:c r="C234" s="1" t="str">
        <x:v>91619RWBMAR</x:v>
      </x:c>
      <x:c r="D234" s="1" t="str">
        <x:v>1061033</x:v>
      </x:c>
      <x:c r="E234" s="1" t="str">
        <x:v>0</x:v>
      </x:c>
      <x:c r="F234" s="1" t="str">
        <x:v>44</x:v>
      </x:c>
      <x:c r="G234" s="7" t="n">
        <x:v>46332</x:v>
      </x:c>
      <x:c r="H234" s="1" t="n">
        <x:v>3000</x:v>
      </x:c>
      <x:c r="I234" s="1" t="n">
        <x:v>1</x:v>
      </x:c>
      <x:c r="J234" s="1" t="n">
        <x:v>3.4</x:v>
      </x:c>
      <x:c r="K234" s="1" t="n">
        <x:v>100</x:v>
      </x:c>
      <x:c r="L234" s="1" t="str">
        <x:v>a</x:v>
      </x:c>
      <x:c r="M234" s="1" t="n">
        <x:v>3000</x:v>
      </x:c>
      <x:c r="N234" s="1" t="n">
        <x:v>0</x:v>
      </x:c>
      <x:c r="O234" s="1" t="str">
        <x:v>updated receipts.csv</x:v>
      </x:c>
      <x:c r="P234" s="10" t="n">
        <x:f>H234*I234</x:f>
        <x:v>3000</x:v>
      </x:c>
      <x:c r="Q234" s="10" t="n">
        <x:f>IF(K234&gt;0,J234/K234,"n.a.")</x:f>
        <x:v>0.034</x:v>
      </x:c>
      <x:c r="R234" s="11" t="n">
        <x:f>IF(ISNUMBER(Q234),P234*Q234,"n.a.")</x:f>
        <x:v>102.00000000000001</x:v>
      </x:c>
    </x:row>
    <x:row r="235" ht="21" customHeight="1">
      <x:c r="A235" s="1" t="str">
        <x:v>PLAS</x:v>
      </x:c>
      <x:c r="B235" s="1" t="str">
        <x:v>10</x:v>
      </x:c>
      <x:c r="C235" s="1" t="str">
        <x:v>91619RWBNAV</x:v>
      </x:c>
      <x:c r="D235" s="1" t="str">
        <x:v>1061033</x:v>
      </x:c>
      <x:c r="E235" s="1" t="str">
        <x:v>0</x:v>
      </x:c>
      <x:c r="F235" s="1" t="str">
        <x:v>54</x:v>
      </x:c>
      <x:c r="G235" s="7" t="n">
        <x:v>46332</x:v>
      </x:c>
      <x:c r="H235" s="1" t="n">
        <x:v>10000</x:v>
      </x:c>
      <x:c r="I235" s="1" t="n">
        <x:v>1</x:v>
      </x:c>
      <x:c r="J235" s="1" t="n">
        <x:v>3.4</x:v>
      </x:c>
      <x:c r="K235" s="1" t="n">
        <x:v>100</x:v>
      </x:c>
      <x:c r="L235" s="1" t="str">
        <x:v>a</x:v>
      </x:c>
      <x:c r="M235" s="1" t="n">
        <x:v>10000</x:v>
      </x:c>
      <x:c r="N235" s="1" t="n">
        <x:v>0</x:v>
      </x:c>
      <x:c r="O235" s="1" t="str">
        <x:v>updated receipts.csv</x:v>
      </x:c>
      <x:c r="P235" s="10" t="n">
        <x:f>H235*I235</x:f>
        <x:v>10000</x:v>
      </x:c>
      <x:c r="Q235" s="10" t="n">
        <x:f>IF(K235&gt;0,J235/K235,"n.a.")</x:f>
        <x:v>0.034</x:v>
      </x:c>
      <x:c r="R235" s="11" t="n">
        <x:f>IF(ISNUMBER(Q235),P235*Q235,"n.a.")</x:f>
        <x:v>340</x:v>
      </x:c>
    </x:row>
    <x:row r="236" ht="21" customHeight="1">
      <x:c r="A236" s="1" t="str">
        <x:v>PLAS</x:v>
      </x:c>
      <x:c r="B236" s="1" t="str">
        <x:v>10</x:v>
      </x:c>
      <x:c r="C236" s="1" t="str">
        <x:v>91619RWBRED</x:v>
      </x:c>
      <x:c r="D236" s="1" t="str">
        <x:v>1061033</x:v>
      </x:c>
      <x:c r="E236" s="1" t="str">
        <x:v>0</x:v>
      </x:c>
      <x:c r="F236" s="1" t="str">
        <x:v>66</x:v>
      </x:c>
      <x:c r="G236" s="7" t="n">
        <x:v>46332</x:v>
      </x:c>
      <x:c r="H236" s="1" t="n">
        <x:v>1000</x:v>
      </x:c>
      <x:c r="I236" s="1" t="n">
        <x:v>1</x:v>
      </x:c>
      <x:c r="J236" s="1" t="n">
        <x:v>3.4</x:v>
      </x:c>
      <x:c r="K236" s="1" t="n">
        <x:v>100</x:v>
      </x:c>
      <x:c r="L236" s="1" t="str">
        <x:v>a</x:v>
      </x:c>
      <x:c r="M236" s="1" t="n">
        <x:v>1000</x:v>
      </x:c>
      <x:c r="N236" s="1" t="n">
        <x:v>0</x:v>
      </x:c>
      <x:c r="O236" s="1" t="str">
        <x:v>updated receipts.csv</x:v>
      </x:c>
      <x:c r="P236" s="10" t="n">
        <x:f>H236*I236</x:f>
        <x:v>1000</x:v>
      </x:c>
      <x:c r="Q236" s="10" t="n">
        <x:f>IF(K236&gt;0,J236/K236,"n.a.")</x:f>
        <x:v>0.034</x:v>
      </x:c>
      <x:c r="R236" s="11" t="n">
        <x:f>IF(ISNUMBER(Q236),P236*Q236,"n.a.")</x:f>
        <x:v>34</x:v>
      </x:c>
    </x:row>
    <x:row r="237" ht="21" customHeight="1">
      <x:c r="A237" s="1" t="str">
        <x:v>PLAS</x:v>
      </x:c>
      <x:c r="B237" s="1" t="str">
        <x:v>10</x:v>
      </x:c>
      <x:c r="C237" s="1" t="str">
        <x:v>91619RWBWHT</x:v>
      </x:c>
      <x:c r="D237" s="1" t="str">
        <x:v>1061033</x:v>
      </x:c>
      <x:c r="E237" s="1" t="str">
        <x:v>0</x:v>
      </x:c>
      <x:c r="F237" s="1" t="str">
        <x:v>72</x:v>
      </x:c>
      <x:c r="G237" s="7" t="n">
        <x:v>46332</x:v>
      </x:c>
      <x:c r="H237" s="1" t="n">
        <x:v>1000</x:v>
      </x:c>
      <x:c r="I237" s="1" t="n">
        <x:v>1</x:v>
      </x:c>
      <x:c r="J237" s="1" t="n">
        <x:v>3.4</x:v>
      </x:c>
      <x:c r="K237" s="1" t="n">
        <x:v>100</x:v>
      </x:c>
      <x:c r="L237" s="1" t="str">
        <x:v>a</x:v>
      </x:c>
      <x:c r="M237" s="1" t="n">
        <x:v>1000</x:v>
      </x:c>
      <x:c r="N237" s="1" t="n">
        <x:v>0</x:v>
      </x:c>
      <x:c r="O237" s="1" t="str">
        <x:v>updated receipts.csv</x:v>
      </x:c>
      <x:c r="P237" s="10" t="n">
        <x:f>H237*I237</x:f>
        <x:v>1000</x:v>
      </x:c>
      <x:c r="Q237" s="10" t="n">
        <x:f>IF(K237&gt;0,J237/K237,"n.a.")</x:f>
        <x:v>0.034</x:v>
      </x:c>
      <x:c r="R237" s="11" t="n">
        <x:f>IF(ISNUMBER(Q237),P237*Q237,"n.a.")</x:f>
        <x:v>34</x:v>
      </x:c>
    </x:row>
    <x:row r="238" ht="21" customHeight="1">
      <x:c r="A238" s="1" t="str">
        <x:v>PLAS</x:v>
      </x:c>
      <x:c r="B238" s="1" t="str">
        <x:v>10</x:v>
      </x:c>
      <x:c r="C238" s="1" t="str">
        <x:v>00115ROVBLU</x:v>
      </x:c>
      <x:c r="D238" s="1" t="str">
        <x:v>1061329</x:v>
      </x:c>
      <x:c r="E238" s="1" t="str">
        <x:v>0</x:v>
      </x:c>
      <x:c r="F238" s="1" t="str">
        <x:v>49</x:v>
      </x:c>
      <x:c r="G238" s="7" t="n">
        <x:v>46395</x:v>
      </x:c>
      <x:c r="H238" s="1" t="n">
        <x:v>4000</x:v>
      </x:c>
      <x:c r="I238" s="1" t="n">
        <x:v>1</x:v>
      </x:c>
      <x:c r="J238" s="1" t="n">
        <x:v>6.73</x:v>
      </x:c>
      <x:c r="K238" s="1" t="n">
        <x:v>100</x:v>
      </x:c>
      <x:c r="L238" s="1" t="str">
        <x:v>a</x:v>
      </x:c>
      <x:c r="M238" s="1" t="n">
        <x:v>4000</x:v>
      </x:c>
      <x:c r="N238" s="1" t="n">
        <x:v>0</x:v>
      </x:c>
      <x:c r="O238" s="1" t="str">
        <x:v>updated receipts.csv</x:v>
      </x:c>
      <x:c r="P238" s="10" t="n">
        <x:f>H238*I238</x:f>
        <x:v>4000</x:v>
      </x:c>
      <x:c r="Q238" s="10" t="n">
        <x:f>IF(K238&gt;0,J238/K238,"n.a.")</x:f>
        <x:v>0.0673</x:v>
      </x:c>
      <x:c r="R238" s="11" t="n">
        <x:f>IF(ISNUMBER(Q238),P238*Q238,"n.a.")</x:f>
        <x:v>269.2</x:v>
      </x:c>
    </x:row>
    <x:row r="239" ht="21" customHeight="1">
      <x:c r="A239" s="1" t="str">
        <x:v>PLAS</x:v>
      </x:c>
      <x:c r="B239" s="1" t="str">
        <x:v>10</x:v>
      </x:c>
      <x:c r="C239" s="1" t="str">
        <x:v>00115RWBBLK</x:v>
      </x:c>
      <x:c r="D239" s="1" t="str">
        <x:v>1061329</x:v>
      </x:c>
      <x:c r="E239" s="1" t="str">
        <x:v>0</x:v>
      </x:c>
      <x:c r="F239" s="1" t="str">
        <x:v>57</x:v>
      </x:c>
      <x:c r="G239" s="7" t="n">
        <x:v>46395</x:v>
      </x:c>
      <x:c r="H239" s="1" t="n">
        <x:v>5000</x:v>
      </x:c>
      <x:c r="I239" s="1" t="n">
        <x:v>1</x:v>
      </x:c>
      <x:c r="J239" s="1" t="n">
        <x:v>5.86</x:v>
      </x:c>
      <x:c r="K239" s="1" t="n">
        <x:v>100</x:v>
      </x:c>
      <x:c r="L239" s="1" t="str">
        <x:v>a</x:v>
      </x:c>
      <x:c r="M239" s="1" t="n">
        <x:v>5000</x:v>
      </x:c>
      <x:c r="N239" s="1" t="n">
        <x:v>0</x:v>
      </x:c>
      <x:c r="O239" s="1" t="str">
        <x:v>updated receipts.csv</x:v>
      </x:c>
      <x:c r="P239" s="10" t="n">
        <x:f>H239*I239</x:f>
        <x:v>5000</x:v>
      </x:c>
      <x:c r="Q239" s="10" t="n">
        <x:f>IF(K239&gt;0,J239/K239,"n.a.")</x:f>
        <x:v>0.058600000000000006</x:v>
      </x:c>
      <x:c r="R239" s="11" t="n">
        <x:f>IF(ISNUMBER(Q239),P239*Q239,"n.a.")</x:f>
        <x:v>293.00000000000006</x:v>
      </x:c>
    </x:row>
    <x:row r="240" ht="21" customHeight="1">
      <x:c r="A240" s="1" t="str">
        <x:v>PLAS</x:v>
      </x:c>
      <x:c r="B240" s="1" t="str">
        <x:v>10</x:v>
      </x:c>
      <x:c r="C240" s="1" t="str">
        <x:v>00115RWBWHT</x:v>
      </x:c>
      <x:c r="D240" s="1" t="str">
        <x:v>1061329</x:v>
      </x:c>
      <x:c r="E240" s="1" t="str">
        <x:v>0</x:v>
      </x:c>
      <x:c r="F240" s="1" t="str">
        <x:v>66</x:v>
      </x:c>
      <x:c r="G240" s="7" t="n">
        <x:v>46395</x:v>
      </x:c>
      <x:c r="H240" s="1" t="n">
        <x:v>2000</x:v>
      </x:c>
      <x:c r="I240" s="1" t="n">
        <x:v>1</x:v>
      </x:c>
      <x:c r="J240" s="1" t="n">
        <x:v>5.86</x:v>
      </x:c>
      <x:c r="K240" s="1" t="n">
        <x:v>100</x:v>
      </x:c>
      <x:c r="L240" s="1" t="str">
        <x:v>a</x:v>
      </x:c>
      <x:c r="M240" s="1" t="n">
        <x:v>2000</x:v>
      </x:c>
      <x:c r="N240" s="1" t="n">
        <x:v>0</x:v>
      </x:c>
      <x:c r="O240" s="1" t="str">
        <x:v>updated receipts.csv</x:v>
      </x:c>
      <x:c r="P240" s="10" t="n">
        <x:f>H240*I240</x:f>
        <x:v>2000</x:v>
      </x:c>
      <x:c r="Q240" s="10" t="n">
        <x:f>IF(K240&gt;0,J240/K240,"n.a.")</x:f>
        <x:v>0.058600000000000006</x:v>
      </x:c>
      <x:c r="R240" s="11" t="n">
        <x:f>IF(ISNUMBER(Q240),P240*Q240,"n.a.")</x:f>
        <x:v>117.20000000000002</x:v>
      </x:c>
    </x:row>
    <x:row r="241" ht="21" customHeight="1">
      <x:c r="A241" s="1" t="str">
        <x:v>PLAS</x:v>
      </x:c>
      <x:c r="B241" s="1" t="str">
        <x:v>10</x:v>
      </x:c>
      <x:c r="C241" s="1" t="str">
        <x:v>00119RWBBLK</x:v>
      </x:c>
      <x:c r="D241" s="1" t="str">
        <x:v>1061329</x:v>
      </x:c>
      <x:c r="E241" s="1" t="str">
        <x:v>0</x:v>
      </x:c>
      <x:c r="F241" s="1" t="str">
        <x:v>10</x:v>
      </x:c>
      <x:c r="G241" s="7" t="n">
        <x:v>46395</x:v>
      </x:c>
      <x:c r="H241" s="1" t="n">
        <x:v>50000</x:v>
      </x:c>
      <x:c r="I241" s="1" t="n">
        <x:v>1</x:v>
      </x:c>
      <x:c r="J241" s="1" t="n">
        <x:v>8.39</x:v>
      </x:c>
      <x:c r="K241" s="1" t="n">
        <x:v>100</x:v>
      </x:c>
      <x:c r="L241" s="1" t="str">
        <x:v>a</x:v>
      </x:c>
      <x:c r="M241" s="1" t="n">
        <x:v>50000</x:v>
      </x:c>
      <x:c r="N241" s="1" t="n">
        <x:v>0</x:v>
      </x:c>
      <x:c r="O241" s="1" t="str">
        <x:v>updated receipts.csv</x:v>
      </x:c>
      <x:c r="P241" s="10" t="n">
        <x:f>H241*I241</x:f>
        <x:v>50000</x:v>
      </x:c>
      <x:c r="Q241" s="10" t="n">
        <x:f>IF(K241&gt;0,J241/K241,"n.a.")</x:f>
        <x:v>0.0839</x:v>
      </x:c>
      <x:c r="R241" s="11" t="n">
        <x:f>IF(ISNUMBER(Q241),P241*Q241,"n.a.")</x:f>
        <x:v>4195</x:v>
      </x:c>
    </x:row>
    <x:row r="242" ht="21" customHeight="1">
      <x:c r="A242" s="1" t="str">
        <x:v>PLAS</x:v>
      </x:c>
      <x:c r="B242" s="1" t="str">
        <x:v>10</x:v>
      </x:c>
      <x:c r="C242" s="1" t="str">
        <x:v>00119RWBCLR</x:v>
      </x:c>
      <x:c r="D242" s="1" t="str">
        <x:v>1061329</x:v>
      </x:c>
      <x:c r="E242" s="1" t="str">
        <x:v>0</x:v>
      </x:c>
      <x:c r="F242" s="1" t="str">
        <x:v>21</x:v>
      </x:c>
      <x:c r="G242" s="7" t="n">
        <x:v>46395</x:v>
      </x:c>
      <x:c r="H242" s="1" t="n">
        <x:v>2000</x:v>
      </x:c>
      <x:c r="I242" s="1" t="n">
        <x:v>1</x:v>
      </x:c>
      <x:c r="J242" s="1" t="n">
        <x:v>8.39</x:v>
      </x:c>
      <x:c r="K242" s="1" t="n">
        <x:v>100</x:v>
      </x:c>
      <x:c r="L242" s="1" t="str">
        <x:v>a</x:v>
      </x:c>
      <x:c r="M242" s="1" t="n">
        <x:v>2000</x:v>
      </x:c>
      <x:c r="N242" s="1" t="n">
        <x:v>0</x:v>
      </x:c>
      <x:c r="O242" s="1" t="str">
        <x:v>updated receipts.csv</x:v>
      </x:c>
      <x:c r="P242" s="10" t="n">
        <x:f>H242*I242</x:f>
        <x:v>2000</x:v>
      </x:c>
      <x:c r="Q242" s="10" t="n">
        <x:f>IF(K242&gt;0,J242/K242,"n.a.")</x:f>
        <x:v>0.0839</x:v>
      </x:c>
      <x:c r="R242" s="11" t="n">
        <x:f>IF(ISNUMBER(Q242),P242*Q242,"n.a.")</x:f>
        <x:v>167.8</x:v>
      </x:c>
    </x:row>
    <x:row r="243" ht="21" customHeight="1">
      <x:c r="A243" s="1" t="str">
        <x:v>PLAS</x:v>
      </x:c>
      <x:c r="B243" s="1" t="str">
        <x:v>10</x:v>
      </x:c>
      <x:c r="C243" s="1" t="str">
        <x:v>00119RWBMAR</x:v>
      </x:c>
      <x:c r="D243" s="1" t="str">
        <x:v>1061329</x:v>
      </x:c>
      <x:c r="E243" s="1" t="str">
        <x:v>0</x:v>
      </x:c>
      <x:c r="F243" s="1" t="str">
        <x:v>30</x:v>
      </x:c>
      <x:c r="G243" s="7" t="n">
        <x:v>46395</x:v>
      </x:c>
      <x:c r="H243" s="1" t="n">
        <x:v>2000</x:v>
      </x:c>
      <x:c r="I243" s="1" t="n">
        <x:v>1</x:v>
      </x:c>
      <x:c r="J243" s="1" t="n">
        <x:v>8.39</x:v>
      </x:c>
      <x:c r="K243" s="1" t="n">
        <x:v>100</x:v>
      </x:c>
      <x:c r="L243" s="1" t="str">
        <x:v>a</x:v>
      </x:c>
      <x:c r="M243" s="1" t="n">
        <x:v>2000</x:v>
      </x:c>
      <x:c r="N243" s="1" t="n">
        <x:v>0</x:v>
      </x:c>
      <x:c r="O243" s="1" t="str">
        <x:v>updated receipts.csv</x:v>
      </x:c>
      <x:c r="P243" s="10" t="n">
        <x:f>H243*I243</x:f>
        <x:v>2000</x:v>
      </x:c>
      <x:c r="Q243" s="10" t="n">
        <x:f>IF(K243&gt;0,J243/K243,"n.a.")</x:f>
        <x:v>0.0839</x:v>
      </x:c>
      <x:c r="R243" s="11" t="n">
        <x:f>IF(ISNUMBER(Q243),P243*Q243,"n.a.")</x:f>
        <x:v>167.8</x:v>
      </x:c>
    </x:row>
    <x:row r="244" ht="21" customHeight="1">
      <x:c r="A244" s="1" t="str">
        <x:v>PLAS</x:v>
      </x:c>
      <x:c r="B244" s="1" t="str">
        <x:v>10</x:v>
      </x:c>
      <x:c r="C244" s="1" t="str">
        <x:v>00119RWBNAV</x:v>
      </x:c>
      <x:c r="D244" s="1" t="str">
        <x:v>1061329</x:v>
      </x:c>
      <x:c r="E244" s="1" t="str">
        <x:v>0</x:v>
      </x:c>
      <x:c r="F244" s="1" t="str">
        <x:v>39</x:v>
      </x:c>
      <x:c r="G244" s="7" t="n">
        <x:v>46395</x:v>
      </x:c>
      <x:c r="H244" s="1" t="n">
        <x:v>5000</x:v>
      </x:c>
      <x:c r="I244" s="1" t="n">
        <x:v>1</x:v>
      </x:c>
      <x:c r="J244" s="1" t="n">
        <x:v>8.39</x:v>
      </x:c>
      <x:c r="K244" s="1" t="n">
        <x:v>100</x:v>
      </x:c>
      <x:c r="L244" s="1" t="str">
        <x:v>a</x:v>
      </x:c>
      <x:c r="M244" s="1" t="n">
        <x:v>5000</x:v>
      </x:c>
      <x:c r="N244" s="1" t="n">
        <x:v>0</x:v>
      </x:c>
      <x:c r="O244" s="1" t="str">
        <x:v>updated receipts.csv</x:v>
      </x:c>
      <x:c r="P244" s="10" t="n">
        <x:f>H244*I244</x:f>
        <x:v>5000</x:v>
      </x:c>
      <x:c r="Q244" s="10" t="n">
        <x:f>IF(K244&gt;0,J244/K244,"n.a.")</x:f>
        <x:v>0.0839</x:v>
      </x:c>
      <x:c r="R244" s="11" t="n">
        <x:f>IF(ISNUMBER(Q244),P244*Q244,"n.a.")</x:f>
        <x:v>419.5</x:v>
      </x:c>
    </x:row>
    <x:row r="245" ht="21" customHeight="1">
      <x:c r="A245" s="1" t="str">
        <x:v>PLAS</x:v>
      </x:c>
      <x:c r="B245" s="1" t="str">
        <x:v>10</x:v>
      </x:c>
      <x:c r="C245" s="1" t="str">
        <x:v>00119RWBWHT</x:v>
      </x:c>
      <x:c r="D245" s="1" t="str">
        <x:v>1061329</x:v>
      </x:c>
      <x:c r="E245" s="1" t="str">
        <x:v>0</x:v>
      </x:c>
      <x:c r="F245" s="1" t="str">
        <x:v>47</x:v>
      </x:c>
      <x:c r="G245" s="7" t="n">
        <x:v>46395</x:v>
      </x:c>
      <x:c r="H245" s="1" t="n">
        <x:v>10000</x:v>
      </x:c>
      <x:c r="I245" s="1" t="n">
        <x:v>1</x:v>
      </x:c>
      <x:c r="J245" s="1" t="n">
        <x:v>8.39</x:v>
      </x:c>
      <x:c r="K245" s="1" t="n">
        <x:v>100</x:v>
      </x:c>
      <x:c r="L245" s="1" t="str">
        <x:v>a</x:v>
      </x:c>
      <x:c r="M245" s="1" t="n">
        <x:v>10000</x:v>
      </x:c>
      <x:c r="N245" s="1" t="n">
        <x:v>0</x:v>
      </x:c>
      <x:c r="O245" s="1" t="str">
        <x:v>updated receipts.csv</x:v>
      </x:c>
      <x:c r="P245" s="10" t="n">
        <x:f>H245*I245</x:f>
        <x:v>10000</x:v>
      </x:c>
      <x:c r="Q245" s="10" t="n">
        <x:f>IF(K245&gt;0,J245/K245,"n.a.")</x:f>
        <x:v>0.0839</x:v>
      </x:c>
      <x:c r="R245" s="11" t="n">
        <x:f>IF(ISNUMBER(Q245),P245*Q245,"n.a.")</x:f>
        <x:v>839</x:v>
      </x:c>
    </x:row>
    <x:row r="246" ht="21" customHeight="1">
      <x:c r="A246" s="1" t="str">
        <x:v>PLAS</x:v>
      </x:c>
      <x:c r="B246" s="1" t="str">
        <x:v>10</x:v>
      </x:c>
      <x:c r="C246" s="1" t="str">
        <x:v>00219RSLBLK</x:v>
      </x:c>
      <x:c r="D246" s="1" t="str">
        <x:v>1061329</x:v>
      </x:c>
      <x:c r="E246" s="1" t="str">
        <x:v>0</x:v>
      </x:c>
      <x:c r="F246" s="1" t="str">
        <x:v>14</x:v>
      </x:c>
      <x:c r="G246" s="7" t="n">
        <x:v>46395</x:v>
      </x:c>
      <x:c r="H246" s="1" t="n">
        <x:v>20000</x:v>
      </x:c>
      <x:c r="I246" s="1" t="n">
        <x:v>1</x:v>
      </x:c>
      <x:c r="J246" s="1" t="n">
        <x:v>11.76</x:v>
      </x:c>
      <x:c r="K246" s="1" t="n">
        <x:v>100</x:v>
      </x:c>
      <x:c r="L246" s="1" t="str">
        <x:v>a</x:v>
      </x:c>
      <x:c r="M246" s="1" t="n">
        <x:v>20000</x:v>
      </x:c>
      <x:c r="N246" s="1" t="n">
        <x:v>0</x:v>
      </x:c>
      <x:c r="O246" s="1" t="str">
        <x:v>updated receipts.csv</x:v>
      </x:c>
      <x:c r="P246" s="10" t="n">
        <x:f>H246*I246</x:f>
        <x:v>20000</x:v>
      </x:c>
      <x:c r="Q246" s="10" t="n">
        <x:f>IF(K246&gt;0,J246/K246,"n.a.")</x:f>
        <x:v>0.1176</x:v>
      </x:c>
      <x:c r="R246" s="11" t="n">
        <x:f>IF(ISNUMBER(Q246),P246*Q246,"n.a.")</x:f>
        <x:v>2352</x:v>
      </x:c>
    </x:row>
    <x:row r="247" ht="21" customHeight="1">
      <x:c r="A247" s="1" t="str">
        <x:v>PLAS</x:v>
      </x:c>
      <x:c r="B247" s="1" t="str">
        <x:v>10</x:v>
      </x:c>
      <x:c r="C247" s="1" t="str">
        <x:v>01215RWBBLK</x:v>
      </x:c>
      <x:c r="D247" s="1" t="str">
        <x:v>1061329</x:v>
      </x:c>
      <x:c r="E247" s="1" t="str">
        <x:v>0</x:v>
      </x:c>
      <x:c r="F247" s="1" t="str">
        <x:v>52</x:v>
      </x:c>
      <x:c r="G247" s="7" t="n">
        <x:v>46395</x:v>
      </x:c>
      <x:c r="H247" s="1" t="n">
        <x:v>10000</x:v>
      </x:c>
      <x:c r="I247" s="1" t="n">
        <x:v>1</x:v>
      </x:c>
      <x:c r="J247" s="1" t="n">
        <x:v>1.99</x:v>
      </x:c>
      <x:c r="K247" s="1" t="n">
        <x:v>100</x:v>
      </x:c>
      <x:c r="L247" s="1" t="str">
        <x:v>a</x:v>
      </x:c>
      <x:c r="M247" s="1" t="n">
        <x:v>10000</x:v>
      </x:c>
      <x:c r="N247" s="1" t="n">
        <x:v>0</x:v>
      </x:c>
      <x:c r="O247" s="1" t="str">
        <x:v>updated receipts.csv</x:v>
      </x:c>
      <x:c r="P247" s="10" t="n">
        <x:f>H247*I247</x:f>
        <x:v>10000</x:v>
      </x:c>
      <x:c r="Q247" s="10" t="n">
        <x:f>IF(K247&gt;0,J247/K247,"n.a.")</x:f>
        <x:v>0.0199</x:v>
      </x:c>
      <x:c r="R247" s="11" t="n">
        <x:f>IF(ISNUMBER(Q247),P247*Q247,"n.a.")</x:f>
        <x:v>199</x:v>
      </x:c>
    </x:row>
    <x:row r="248" ht="21" customHeight="1">
      <x:c r="A248" s="1" t="str">
        <x:v>PLAS</x:v>
      </x:c>
      <x:c r="B248" s="1" t="str">
        <x:v>10</x:v>
      </x:c>
      <x:c r="C248" s="1" t="str">
        <x:v>01215RWBNAV</x:v>
      </x:c>
      <x:c r="D248" s="1" t="str">
        <x:v>1061329</x:v>
      </x:c>
      <x:c r="E248" s="1" t="str">
        <x:v>0</x:v>
      </x:c>
      <x:c r="F248" s="1" t="str">
        <x:v>65</x:v>
      </x:c>
      <x:c r="G248" s="7" t="n">
        <x:v>46395</x:v>
      </x:c>
      <x:c r="H248" s="1" t="n">
        <x:v>2000</x:v>
      </x:c>
      <x:c r="I248" s="1" t="n">
        <x:v>1</x:v>
      </x:c>
      <x:c r="J248" s="1" t="n">
        <x:v>1.99</x:v>
      </x:c>
      <x:c r="K248" s="1" t="n">
        <x:v>100</x:v>
      </x:c>
      <x:c r="L248" s="1" t="str">
        <x:v>a</x:v>
      </x:c>
      <x:c r="M248" s="1" t="n">
        <x:v>2000</x:v>
      </x:c>
      <x:c r="N248" s="1" t="n">
        <x:v>0</x:v>
      </x:c>
      <x:c r="O248" s="1" t="str">
        <x:v>updated receipts.csv</x:v>
      </x:c>
      <x:c r="P248" s="10" t="n">
        <x:f>H248*I248</x:f>
        <x:v>2000</x:v>
      </x:c>
      <x:c r="Q248" s="10" t="n">
        <x:f>IF(K248&gt;0,J248/K248,"n.a.")</x:f>
        <x:v>0.0199</x:v>
      </x:c>
      <x:c r="R248" s="11" t="n">
        <x:f>IF(ISNUMBER(Q248),P248*Q248,"n.a.")</x:f>
        <x:v>39.800000000000004</x:v>
      </x:c>
    </x:row>
    <x:row r="249" ht="21" customHeight="1">
      <x:c r="A249" s="1" t="str">
        <x:v>PLAS</x:v>
      </x:c>
      <x:c r="B249" s="1" t="str">
        <x:v>10</x:v>
      </x:c>
      <x:c r="C249" s="1" t="str">
        <x:v>01219RWBBLK</x:v>
      </x:c>
      <x:c r="D249" s="1" t="str">
        <x:v>1061329</x:v>
      </x:c>
      <x:c r="E249" s="1" t="str">
        <x:v>0</x:v>
      </x:c>
      <x:c r="F249" s="1" t="str">
        <x:v>5</x:v>
      </x:c>
      <x:c r="G249" s="7" t="n">
        <x:v>46395</x:v>
      </x:c>
      <x:c r="H249" s="1" t="n">
        <x:v>75000</x:v>
      </x:c>
      <x:c r="I249" s="1" t="n">
        <x:v>1</x:v>
      </x:c>
      <x:c r="J249" s="1" t="n">
        <x:v>2.87</x:v>
      </x:c>
      <x:c r="K249" s="1" t="n">
        <x:v>100</x:v>
      </x:c>
      <x:c r="L249" s="1" t="str">
        <x:v>a</x:v>
      </x:c>
      <x:c r="M249" s="1" t="n">
        <x:v>75000</x:v>
      </x:c>
      <x:c r="N249" s="1" t="n">
        <x:v>0</x:v>
      </x:c>
      <x:c r="O249" s="1" t="str">
        <x:v>updated receipts.csv</x:v>
      </x:c>
      <x:c r="P249" s="10" t="n">
        <x:f>H249*I249</x:f>
        <x:v>75000</x:v>
      </x:c>
      <x:c r="Q249" s="10" t="n">
        <x:f>IF(K249&gt;0,J249/K249,"n.a.")</x:f>
        <x:v>0.0287</x:v>
      </x:c>
      <x:c r="R249" s="11" t="n">
        <x:f>IF(ISNUMBER(Q249),P249*Q249,"n.a.")</x:f>
        <x:v>2152.5</x:v>
      </x:c>
    </x:row>
    <x:row r="250" ht="21" customHeight="1">
      <x:c r="A250" s="1" t="str">
        <x:v>PLAS</x:v>
      </x:c>
      <x:c r="B250" s="1" t="str">
        <x:v>10</x:v>
      </x:c>
      <x:c r="C250" s="1" t="str">
        <x:v>01219RWBBLU</x:v>
      </x:c>
      <x:c r="D250" s="1" t="str">
        <x:v>1061329</x:v>
      </x:c>
      <x:c r="E250" s="1" t="str">
        <x:v>0</x:v>
      </x:c>
      <x:c r="F250" s="1" t="str">
        <x:v>16</x:v>
      </x:c>
      <x:c r="G250" s="7" t="n">
        <x:v>46395</x:v>
      </x:c>
      <x:c r="H250" s="1" t="n">
        <x:v>4000</x:v>
      </x:c>
      <x:c r="I250" s="1" t="n">
        <x:v>1</x:v>
      </x:c>
      <x:c r="J250" s="1" t="n">
        <x:v>2.87</x:v>
      </x:c>
      <x:c r="K250" s="1" t="n">
        <x:v>100</x:v>
      </x:c>
      <x:c r="L250" s="1" t="str">
        <x:v>a</x:v>
      </x:c>
      <x:c r="M250" s="1" t="n">
        <x:v>4000</x:v>
      </x:c>
      <x:c r="N250" s="1" t="n">
        <x:v>0</x:v>
      </x:c>
      <x:c r="O250" s="1" t="str">
        <x:v>updated receipts.csv</x:v>
      </x:c>
      <x:c r="P250" s="10" t="n">
        <x:f>H250*I250</x:f>
        <x:v>4000</x:v>
      </x:c>
      <x:c r="Q250" s="10" t="n">
        <x:f>IF(K250&gt;0,J250/K250,"n.a.")</x:f>
        <x:v>0.0287</x:v>
      </x:c>
      <x:c r="R250" s="11" t="n">
        <x:f>IF(ISNUMBER(Q250),P250*Q250,"n.a.")</x:f>
        <x:v>114.8</x:v>
      </x:c>
    </x:row>
    <x:row r="251" ht="21" customHeight="1">
      <x:c r="A251" s="1" t="str">
        <x:v>PLAS</x:v>
      </x:c>
      <x:c r="B251" s="1" t="str">
        <x:v>10</x:v>
      </x:c>
      <x:c r="C251" s="1" t="str">
        <x:v>01219RWBMAR</x:v>
      </x:c>
      <x:c r="D251" s="1" t="str">
        <x:v>1061329</x:v>
      </x:c>
      <x:c r="E251" s="1" t="str">
        <x:v>0</x:v>
      </x:c>
      <x:c r="F251" s="1" t="str">
        <x:v>27</x:v>
      </x:c>
      <x:c r="G251" s="7" t="n">
        <x:v>46395</x:v>
      </x:c>
      <x:c r="H251" s="1" t="n">
        <x:v>8000</x:v>
      </x:c>
      <x:c r="I251" s="1" t="n">
        <x:v>1</x:v>
      </x:c>
      <x:c r="J251" s="1" t="n">
        <x:v>2.87</x:v>
      </x:c>
      <x:c r="K251" s="1" t="n">
        <x:v>100</x:v>
      </x:c>
      <x:c r="L251" s="1" t="str">
        <x:v>a</x:v>
      </x:c>
      <x:c r="M251" s="1" t="n">
        <x:v>8000</x:v>
      </x:c>
      <x:c r="N251" s="1" t="n">
        <x:v>0</x:v>
      </x:c>
      <x:c r="O251" s="1" t="str">
        <x:v>updated receipts.csv</x:v>
      </x:c>
      <x:c r="P251" s="10" t="n">
        <x:f>H251*I251</x:f>
        <x:v>8000</x:v>
      </x:c>
      <x:c r="Q251" s="10" t="n">
        <x:f>IF(K251&gt;0,J251/K251,"n.a.")</x:f>
        <x:v>0.0287</x:v>
      </x:c>
      <x:c r="R251" s="11" t="n">
        <x:f>IF(ISNUMBER(Q251),P251*Q251,"n.a.")</x:f>
        <x:v>229.6</x:v>
      </x:c>
    </x:row>
    <x:row r="252" ht="21" customHeight="1">
      <x:c r="A252" s="1" t="str">
        <x:v>PLAS</x:v>
      </x:c>
      <x:c r="B252" s="1" t="str">
        <x:v>10</x:v>
      </x:c>
      <x:c r="C252" s="1" t="str">
        <x:v>01219RWBNAV</x:v>
      </x:c>
      <x:c r="D252" s="1" t="str">
        <x:v>1061329</x:v>
      </x:c>
      <x:c r="E252" s="1" t="str">
        <x:v>0</x:v>
      </x:c>
      <x:c r="F252" s="1" t="str">
        <x:v>35</x:v>
      </x:c>
      <x:c r="G252" s="7" t="n">
        <x:v>46395</x:v>
      </x:c>
      <x:c r="H252" s="1" t="n">
        <x:v>25000</x:v>
      </x:c>
      <x:c r="I252" s="1" t="n">
        <x:v>1</x:v>
      </x:c>
      <x:c r="J252" s="1" t="n">
        <x:v>2.87</x:v>
      </x:c>
      <x:c r="K252" s="1" t="n">
        <x:v>100</x:v>
      </x:c>
      <x:c r="L252" s="1" t="str">
        <x:v>a</x:v>
      </x:c>
      <x:c r="M252" s="1" t="n">
        <x:v>25000</x:v>
      </x:c>
      <x:c r="N252" s="1" t="n">
        <x:v>0</x:v>
      </x:c>
      <x:c r="O252" s="1" t="str">
        <x:v>updated receipts.csv</x:v>
      </x:c>
      <x:c r="P252" s="10" t="n">
        <x:f>H252*I252</x:f>
        <x:v>25000</x:v>
      </x:c>
      <x:c r="Q252" s="10" t="n">
        <x:f>IF(K252&gt;0,J252/K252,"n.a.")</x:f>
        <x:v>0.0287</x:v>
      </x:c>
      <x:c r="R252" s="11" t="n">
        <x:f>IF(ISNUMBER(Q252),P252*Q252,"n.a.")</x:f>
        <x:v>717.5</x:v>
      </x:c>
    </x:row>
    <x:row r="253" ht="21" customHeight="1">
      <x:c r="A253" s="1" t="str">
        <x:v>PLAS</x:v>
      </x:c>
      <x:c r="B253" s="1" t="str">
        <x:v>10</x:v>
      </x:c>
      <x:c r="C253" s="1" t="str">
        <x:v>01219RWBRED</x:v>
      </x:c>
      <x:c r="D253" s="1" t="str">
        <x:v>1061329</x:v>
      </x:c>
      <x:c r="E253" s="1" t="str">
        <x:v>0</x:v>
      </x:c>
      <x:c r="F253" s="1" t="str">
        <x:v>42</x:v>
      </x:c>
      <x:c r="G253" s="7" t="n">
        <x:v>46395</x:v>
      </x:c>
      <x:c r="H253" s="1" t="n">
        <x:v>10000</x:v>
      </x:c>
      <x:c r="I253" s="1" t="n">
        <x:v>1</x:v>
      </x:c>
      <x:c r="J253" s="1" t="n">
        <x:v>2.87</x:v>
      </x:c>
      <x:c r="K253" s="1" t="n">
        <x:v>100</x:v>
      </x:c>
      <x:c r="L253" s="1" t="str">
        <x:v>a</x:v>
      </x:c>
      <x:c r="M253" s="1" t="n">
        <x:v>10000</x:v>
      </x:c>
      <x:c r="N253" s="1" t="n">
        <x:v>0</x:v>
      </x:c>
      <x:c r="O253" s="1" t="str">
        <x:v>updated receipts.csv</x:v>
      </x:c>
      <x:c r="P253" s="10" t="n">
        <x:f>H253*I253</x:f>
        <x:v>10000</x:v>
      </x:c>
      <x:c r="Q253" s="10" t="n">
        <x:f>IF(K253&gt;0,J253/K253,"n.a.")</x:f>
        <x:v>0.0287</x:v>
      </x:c>
      <x:c r="R253" s="11" t="n">
        <x:f>IF(ISNUMBER(Q253),P253*Q253,"n.a.")</x:f>
        <x:v>287</x:v>
      </x:c>
    </x:row>
    <x:row r="254" ht="21" customHeight="1">
      <x:c r="A254" s="1" t="str">
        <x:v>PLAS</x:v>
      </x:c>
      <x:c r="B254" s="1" t="str">
        <x:v>10</x:v>
      </x:c>
      <x:c r="C254" s="1" t="str">
        <x:v>01219RWBWHT</x:v>
      </x:c>
      <x:c r="D254" s="1" t="str">
        <x:v>1061329</x:v>
      </x:c>
      <x:c r="E254" s="1" t="str">
        <x:v>0</x:v>
      </x:c>
      <x:c r="F254" s="1" t="str">
        <x:v>44</x:v>
      </x:c>
      <x:c r="G254" s="7" t="n">
        <x:v>46395</x:v>
      </x:c>
      <x:c r="H254" s="1" t="n">
        <x:v>23000</x:v>
      </x:c>
      <x:c r="I254" s="1" t="n">
        <x:v>1</x:v>
      </x:c>
      <x:c r="J254" s="1" t="n">
        <x:v>2.87</x:v>
      </x:c>
      <x:c r="K254" s="1" t="n">
        <x:v>100</x:v>
      </x:c>
      <x:c r="L254" s="1" t="str">
        <x:v>a</x:v>
      </x:c>
      <x:c r="M254" s="1" t="n">
        <x:v>23000</x:v>
      </x:c>
      <x:c r="N254" s="1" t="n">
        <x:v>0</x:v>
      </x:c>
      <x:c r="O254" s="1" t="str">
        <x:v>updated receipts.csv</x:v>
      </x:c>
      <x:c r="P254" s="10" t="n">
        <x:f>H254*I254</x:f>
        <x:v>23000</x:v>
      </x:c>
      <x:c r="Q254" s="10" t="n">
        <x:f>IF(K254&gt;0,J254/K254,"n.a.")</x:f>
        <x:v>0.0287</x:v>
      </x:c>
      <x:c r="R254" s="11" t="n">
        <x:f>IF(ISNUMBER(Q254),P254*Q254,"n.a.")</x:f>
        <x:v>660.1</x:v>
      </x:c>
    </x:row>
    <x:row r="255" ht="21" customHeight="1">
      <x:c r="A255" s="1" t="str">
        <x:v>PLAS</x:v>
      </x:c>
      <x:c r="B255" s="1" t="str">
        <x:v>10</x:v>
      </x:c>
      <x:c r="C255" s="1" t="str">
        <x:v>01419RWBBLK</x:v>
      </x:c>
      <x:c r="D255" s="1" t="str">
        <x:v>1061329</x:v>
      </x:c>
      <x:c r="E255" s="1" t="str">
        <x:v>0</x:v>
      </x:c>
      <x:c r="F255" s="1" t="str">
        <x:v>1</x:v>
      </x:c>
      <x:c r="G255" s="7" t="n">
        <x:v>46395</x:v>
      </x:c>
      <x:c r="H255" s="1" t="n">
        <x:v>180000</x:v>
      </x:c>
      <x:c r="I255" s="1" t="n">
        <x:v>1</x:v>
      </x:c>
      <x:c r="J255" s="1" t="n">
        <x:v>1.44</x:v>
      </x:c>
      <x:c r="K255" s="1" t="n">
        <x:v>100</x:v>
      </x:c>
      <x:c r="L255" s="1" t="str">
        <x:v>a</x:v>
      </x:c>
      <x:c r="M255" s="1" t="n">
        <x:v>180000</x:v>
      </x:c>
      <x:c r="N255" s="1" t="n">
        <x:v>0</x:v>
      </x:c>
      <x:c r="O255" s="1" t="str">
        <x:v>updated receipts.csv</x:v>
      </x:c>
      <x:c r="P255" s="10" t="n">
        <x:f>H255*I255</x:f>
        <x:v>180000</x:v>
      </x:c>
      <x:c r="Q255" s="10" t="n">
        <x:f>IF(K255&gt;0,J255/K255,"n.a.")</x:f>
        <x:v>0.0144</x:v>
      </x:c>
      <x:c r="R255" s="11" t="n">
        <x:f>IF(ISNUMBER(Q255),P255*Q255,"n.a.")</x:f>
        <x:v>2592</x:v>
      </x:c>
    </x:row>
    <x:row r="256" ht="21" customHeight="1">
      <x:c r="A256" s="1" t="str">
        <x:v>PLAS</x:v>
      </x:c>
      <x:c r="B256" s="1" t="str">
        <x:v>10</x:v>
      </x:c>
      <x:c r="C256" s="1" t="str">
        <x:v>01419RWBCLR</x:v>
      </x:c>
      <x:c r="D256" s="1" t="str">
        <x:v>1061329</x:v>
      </x:c>
      <x:c r="E256" s="1" t="str">
        <x:v>0</x:v>
      </x:c>
      <x:c r="F256" s="1" t="str">
        <x:v>18</x:v>
      </x:c>
      <x:c r="G256" s="7" t="n">
        <x:v>46395</x:v>
      </x:c>
      <x:c r="H256" s="1" t="n">
        <x:v>4000</x:v>
      </x:c>
      <x:c r="I256" s="1" t="n">
        <x:v>1</x:v>
      </x:c>
      <x:c r="J256" s="1" t="n">
        <x:v>1.44</x:v>
      </x:c>
      <x:c r="K256" s="1" t="n">
        <x:v>100</x:v>
      </x:c>
      <x:c r="L256" s="1" t="str">
        <x:v>a</x:v>
      </x:c>
      <x:c r="M256" s="1" t="n">
        <x:v>4000</x:v>
      </x:c>
      <x:c r="N256" s="1" t="n">
        <x:v>0</x:v>
      </x:c>
      <x:c r="O256" s="1" t="str">
        <x:v>updated receipts.csv</x:v>
      </x:c>
      <x:c r="P256" s="10" t="n">
        <x:f>H256*I256</x:f>
        <x:v>4000</x:v>
      </x:c>
      <x:c r="Q256" s="10" t="n">
        <x:f>IF(K256&gt;0,J256/K256,"n.a.")</x:f>
        <x:v>0.0144</x:v>
      </x:c>
      <x:c r="R256" s="11" t="n">
        <x:f>IF(ISNUMBER(Q256),P256*Q256,"n.a.")</x:f>
        <x:v>57.6</x:v>
      </x:c>
    </x:row>
    <x:row r="257" ht="21" customHeight="1">
      <x:c r="A257" s="1" t="str">
        <x:v>PLAS</x:v>
      </x:c>
      <x:c r="B257" s="1" t="str">
        <x:v>10</x:v>
      </x:c>
      <x:c r="C257" s="1" t="str">
        <x:v>01419RWBNAV</x:v>
      </x:c>
      <x:c r="D257" s="1" t="str">
        <x:v>1061329</x:v>
      </x:c>
      <x:c r="E257" s="1" t="str">
        <x:v>0</x:v>
      </x:c>
      <x:c r="F257" s="1" t="str">
        <x:v>31</x:v>
      </x:c>
      <x:c r="G257" s="7" t="n">
        <x:v>46395</x:v>
      </x:c>
      <x:c r="H257" s="1" t="n">
        <x:v>30000</x:v>
      </x:c>
      <x:c r="I257" s="1" t="n">
        <x:v>1</x:v>
      </x:c>
      <x:c r="J257" s="1" t="n">
        <x:v>1.44</x:v>
      </x:c>
      <x:c r="K257" s="1" t="n">
        <x:v>100</x:v>
      </x:c>
      <x:c r="L257" s="1" t="str">
        <x:v>a</x:v>
      </x:c>
      <x:c r="M257" s="1" t="n">
        <x:v>30000</x:v>
      </x:c>
      <x:c r="N257" s="1" t="n">
        <x:v>0</x:v>
      </x:c>
      <x:c r="O257" s="1" t="str">
        <x:v>updated receipts.csv</x:v>
      </x:c>
      <x:c r="P257" s="10" t="n">
        <x:f>H257*I257</x:f>
        <x:v>30000</x:v>
      </x:c>
      <x:c r="Q257" s="10" t="n">
        <x:f>IF(K257&gt;0,J257/K257,"n.a.")</x:f>
        <x:v>0.0144</x:v>
      </x:c>
      <x:c r="R257" s="11" t="n">
        <x:f>IF(ISNUMBER(Q257),P257*Q257,"n.a.")</x:f>
        <x:v>432</x:v>
      </x:c>
    </x:row>
    <x:row r="258" ht="21" customHeight="1">
      <x:c r="A258" s="1" t="str">
        <x:v>PLAS</x:v>
      </x:c>
      <x:c r="B258" s="1" t="str">
        <x:v>10</x:v>
      </x:c>
      <x:c r="C258" s="1" t="str">
        <x:v>01419RWBRED</x:v>
      </x:c>
      <x:c r="D258" s="1" t="str">
        <x:v>1061329</x:v>
      </x:c>
      <x:c r="E258" s="1" t="str">
        <x:v>0</x:v>
      </x:c>
      <x:c r="F258" s="1" t="str">
        <x:v>40</x:v>
      </x:c>
      <x:c r="G258" s="7" t="n">
        <x:v>46395</x:v>
      </x:c>
      <x:c r="H258" s="1" t="n">
        <x:v>3000</x:v>
      </x:c>
      <x:c r="I258" s="1" t="n">
        <x:v>1</x:v>
      </x:c>
      <x:c r="J258" s="1" t="n">
        <x:v>1.44</x:v>
      </x:c>
      <x:c r="K258" s="1" t="n">
        <x:v>100</x:v>
      </x:c>
      <x:c r="L258" s="1" t="str">
        <x:v>a</x:v>
      </x:c>
      <x:c r="M258" s="1" t="n">
        <x:v>3000</x:v>
      </x:c>
      <x:c r="N258" s="1" t="n">
        <x:v>0</x:v>
      </x:c>
      <x:c r="O258" s="1" t="str">
        <x:v>updated receipts.csv</x:v>
      </x:c>
      <x:c r="P258" s="10" t="n">
        <x:f>H258*I258</x:f>
        <x:v>3000</x:v>
      </x:c>
      <x:c r="Q258" s="10" t="n">
        <x:f>IF(K258&gt;0,J258/K258,"n.a.")</x:f>
        <x:v>0.0144</x:v>
      </x:c>
      <x:c r="R258" s="11" t="n">
        <x:f>IF(ISNUMBER(Q258),P258*Q258,"n.a.")</x:f>
        <x:v>43.199999999999996</x:v>
      </x:c>
    </x:row>
    <x:row r="259" ht="21" customHeight="1">
      <x:c r="A259" s="1" t="str">
        <x:v>PLAS</x:v>
      </x:c>
      <x:c r="B259" s="1" t="str">
        <x:v>10</x:v>
      </x:c>
      <x:c r="C259" s="1" t="str">
        <x:v>03415RWBBLK</x:v>
      </x:c>
      <x:c r="D259" s="1" t="str">
        <x:v>1061329</x:v>
      </x:c>
      <x:c r="E259" s="1" t="str">
        <x:v>0</x:v>
      </x:c>
      <x:c r="F259" s="1" t="str">
        <x:v>55</x:v>
      </x:c>
      <x:c r="G259" s="7" t="n">
        <x:v>46395</x:v>
      </x:c>
      <x:c r="H259" s="1" t="n">
        <x:v>5000</x:v>
      </x:c>
      <x:c r="I259" s="1" t="n">
        <x:v>1</x:v>
      </x:c>
      <x:c r="J259" s="1" t="n">
        <x:v>3.5</x:v>
      </x:c>
      <x:c r="K259" s="1" t="n">
        <x:v>100</x:v>
      </x:c>
      <x:c r="L259" s="1" t="str">
        <x:v>a</x:v>
      </x:c>
      <x:c r="M259" s="1" t="n">
        <x:v>5000</x:v>
      </x:c>
      <x:c r="N259" s="1" t="n">
        <x:v>0</x:v>
      </x:c>
      <x:c r="O259" s="1" t="str">
        <x:v>updated receipts.csv</x:v>
      </x:c>
      <x:c r="P259" s="10" t="n">
        <x:f>H259*I259</x:f>
        <x:v>5000</x:v>
      </x:c>
      <x:c r="Q259" s="10" t="n">
        <x:f>IF(K259&gt;0,J259/K259,"n.a.")</x:f>
        <x:v>0.035</x:v>
      </x:c>
      <x:c r="R259" s="11" t="n">
        <x:f>IF(ISNUMBER(Q259),P259*Q259,"n.a.")</x:f>
        <x:v>175.00000000000003</x:v>
      </x:c>
    </x:row>
    <x:row r="260" ht="21" customHeight="1">
      <x:c r="A260" s="1" t="str">
        <x:v>PLAS</x:v>
      </x:c>
      <x:c r="B260" s="1" t="str">
        <x:v>10</x:v>
      </x:c>
      <x:c r="C260" s="1" t="str">
        <x:v>03415RWBBRN</x:v>
      </x:c>
      <x:c r="D260" s="1" t="str">
        <x:v>1061329</x:v>
      </x:c>
      <x:c r="E260" s="1" t="str">
        <x:v>0</x:v>
      </x:c>
      <x:c r="F260" s="1" t="str">
        <x:v>60</x:v>
      </x:c>
      <x:c r="G260" s="7" t="n">
        <x:v>46395</x:v>
      </x:c>
      <x:c r="H260" s="1" t="n">
        <x:v>8000</x:v>
      </x:c>
      <x:c r="I260" s="1" t="n">
        <x:v>1</x:v>
      </x:c>
      <x:c r="J260" s="1" t="n">
        <x:v>3.5</x:v>
      </x:c>
      <x:c r="K260" s="1" t="n">
        <x:v>100</x:v>
      </x:c>
      <x:c r="L260" s="1" t="str">
        <x:v>a</x:v>
      </x:c>
      <x:c r="M260" s="1" t="n">
        <x:v>8000</x:v>
      </x:c>
      <x:c r="N260" s="1" t="n">
        <x:v>0</x:v>
      </x:c>
      <x:c r="O260" s="1" t="str">
        <x:v>updated receipts.csv</x:v>
      </x:c>
      <x:c r="P260" s="10" t="n">
        <x:f>H260*I260</x:f>
        <x:v>8000</x:v>
      </x:c>
      <x:c r="Q260" s="10" t="n">
        <x:f>IF(K260&gt;0,J260/K260,"n.a.")</x:f>
        <x:v>0.035</x:v>
      </x:c>
      <x:c r="R260" s="11" t="n">
        <x:f>IF(ISNUMBER(Q260),P260*Q260,"n.a.")</x:f>
        <x:v>280</x:v>
      </x:c>
    </x:row>
    <x:row r="261" ht="21" customHeight="1">
      <x:c r="A261" s="1" t="str">
        <x:v>PLAS</x:v>
      </x:c>
      <x:c r="B261" s="1" t="str">
        <x:v>10</x:v>
      </x:c>
      <x:c r="C261" s="1" t="str">
        <x:v>03419RWBBLK</x:v>
      </x:c>
      <x:c r="D261" s="1" t="str">
        <x:v>1061329</x:v>
      </x:c>
      <x:c r="E261" s="1" t="str">
        <x:v>0</x:v>
      </x:c>
      <x:c r="F261" s="1" t="str">
        <x:v>8</x:v>
      </x:c>
      <x:c r="G261" s="7" t="n">
        <x:v>46395</x:v>
      </x:c>
      <x:c r="H261" s="1" t="n">
        <x:v>40000</x:v>
      </x:c>
      <x:c r="I261" s="1" t="n">
        <x:v>1</x:v>
      </x:c>
      <x:c r="J261" s="1" t="n">
        <x:v>4.97</x:v>
      </x:c>
      <x:c r="K261" s="1" t="n">
        <x:v>100</x:v>
      </x:c>
      <x:c r="L261" s="1" t="str">
        <x:v>a</x:v>
      </x:c>
      <x:c r="M261" s="1" t="n">
        <x:v>40000</x:v>
      </x:c>
      <x:c r="N261" s="1" t="n">
        <x:v>0</x:v>
      </x:c>
      <x:c r="O261" s="1" t="str">
        <x:v>updated receipts.csv</x:v>
      </x:c>
      <x:c r="P261" s="10" t="n">
        <x:f>H261*I261</x:f>
        <x:v>40000</x:v>
      </x:c>
      <x:c r="Q261" s="10" t="n">
        <x:f>IF(K261&gt;0,J261/K261,"n.a.")</x:f>
        <x:v>0.049699999999999994</x:v>
      </x:c>
      <x:c r="R261" s="11" t="n">
        <x:f>IF(ISNUMBER(Q261),P261*Q261,"n.a.")</x:f>
        <x:v>1987.9999999999998</x:v>
      </x:c>
    </x:row>
    <x:row r="262" ht="21" customHeight="1">
      <x:c r="A262" s="1" t="str">
        <x:v>PLAS</x:v>
      </x:c>
      <x:c r="B262" s="1" t="str">
        <x:v>10</x:v>
      </x:c>
      <x:c r="C262" s="1" t="str">
        <x:v>03419RWBNAV</x:v>
      </x:c>
      <x:c r="D262" s="1" t="str">
        <x:v>1061329</x:v>
      </x:c>
      <x:c r="E262" s="1" t="str">
        <x:v>0</x:v>
      </x:c>
      <x:c r="F262" s="1" t="str">
        <x:v>37</x:v>
      </x:c>
      <x:c r="G262" s="7" t="n">
        <x:v>46395</x:v>
      </x:c>
      <x:c r="H262" s="1" t="n">
        <x:v>2000</x:v>
      </x:c>
      <x:c r="I262" s="1" t="n">
        <x:v>1</x:v>
      </x:c>
      <x:c r="J262" s="1" t="n">
        <x:v>4.97</x:v>
      </x:c>
      <x:c r="K262" s="1" t="n">
        <x:v>100</x:v>
      </x:c>
      <x:c r="L262" s="1" t="str">
        <x:v>a</x:v>
      </x:c>
      <x:c r="M262" s="1" t="n">
        <x:v>2000</x:v>
      </x:c>
      <x:c r="N262" s="1" t="n">
        <x:v>0</x:v>
      </x:c>
      <x:c r="O262" s="1" t="str">
        <x:v>updated receipts.csv</x:v>
      </x:c>
      <x:c r="P262" s="10" t="n">
        <x:f>H262*I262</x:f>
        <x:v>2000</x:v>
      </x:c>
      <x:c r="Q262" s="10" t="n">
        <x:f>IF(K262&gt;0,J262/K262,"n.a.")</x:f>
        <x:v>0.049699999999999994</x:v>
      </x:c>
      <x:c r="R262" s="11" t="n">
        <x:f>IF(ISNUMBER(Q262),P262*Q262,"n.a.")</x:f>
        <x:v>99.39999999999999</x:v>
      </x:c>
    </x:row>
    <x:row r="263" ht="21" customHeight="1">
      <x:c r="A263" s="1" t="str">
        <x:v>PLAS</x:v>
      </x:c>
      <x:c r="B263" s="1" t="str">
        <x:v>10</x:v>
      </x:c>
      <x:c r="C263" s="1" t="str">
        <x:v>03419RWBWHT</x:v>
      </x:c>
      <x:c r="D263" s="1" t="str">
        <x:v>1061329</x:v>
      </x:c>
      <x:c r="E263" s="1" t="str">
        <x:v>0</x:v>
      </x:c>
      <x:c r="F263" s="1" t="str">
        <x:v>45</x:v>
      </x:c>
      <x:c r="G263" s="7" t="n">
        <x:v>46395</x:v>
      </x:c>
      <x:c r="H263" s="1" t="n">
        <x:v>25000</x:v>
      </x:c>
      <x:c r="I263" s="1" t="n">
        <x:v>1</x:v>
      </x:c>
      <x:c r="J263" s="1" t="n">
        <x:v>4.97</x:v>
      </x:c>
      <x:c r="K263" s="1" t="n">
        <x:v>100</x:v>
      </x:c>
      <x:c r="L263" s="1" t="str">
        <x:v>a</x:v>
      </x:c>
      <x:c r="M263" s="1" t="n">
        <x:v>25000</x:v>
      </x:c>
      <x:c r="N263" s="1" t="n">
        <x:v>0</x:v>
      </x:c>
      <x:c r="O263" s="1" t="str">
        <x:v>updated receipts.csv</x:v>
      </x:c>
      <x:c r="P263" s="10" t="n">
        <x:f>H263*I263</x:f>
        <x:v>25000</x:v>
      </x:c>
      <x:c r="Q263" s="10" t="n">
        <x:f>IF(K263&gt;0,J263/K263,"n.a.")</x:f>
        <x:v>0.049699999999999994</x:v>
      </x:c>
      <x:c r="R263" s="11" t="n">
        <x:f>IF(ISNUMBER(Q263),P263*Q263,"n.a.")</x:f>
        <x:v>1242.4999999999998</x:v>
      </x:c>
    </x:row>
    <x:row r="264" ht="21" customHeight="1">
      <x:c r="A264" s="1" t="str">
        <x:v>PLAS</x:v>
      </x:c>
      <x:c r="B264" s="1" t="str">
        <x:v>10</x:v>
      </x:c>
      <x:c r="C264" s="1" t="str">
        <x:v>03815RWBBLK</x:v>
      </x:c>
      <x:c r="D264" s="1" t="str">
        <x:v>1061329</x:v>
      </x:c>
      <x:c r="E264" s="1" t="str">
        <x:v>0</x:v>
      </x:c>
      <x:c r="F264" s="1" t="str">
        <x:v>50</x:v>
      </x:c>
      <x:c r="G264" s="7" t="n">
        <x:v>46395</x:v>
      </x:c>
      <x:c r="H264" s="1" t="n">
        <x:v>16000</x:v>
      </x:c>
      <x:c r="I264" s="1" t="n">
        <x:v>1</x:v>
      </x:c>
      <x:c r="J264" s="1" t="n">
        <x:v>1.29</x:v>
      </x:c>
      <x:c r="K264" s="1" t="n">
        <x:v>100</x:v>
      </x:c>
      <x:c r="L264" s="1" t="str">
        <x:v>a</x:v>
      </x:c>
      <x:c r="M264" s="1" t="n">
        <x:v>16000</x:v>
      </x:c>
      <x:c r="N264" s="1" t="n">
        <x:v>0</x:v>
      </x:c>
      <x:c r="O264" s="1" t="str">
        <x:v>updated receipts.csv</x:v>
      </x:c>
      <x:c r="P264" s="10" t="n">
        <x:f>H264*I264</x:f>
        <x:v>16000</x:v>
      </x:c>
      <x:c r="Q264" s="10" t="n">
        <x:f>IF(K264&gt;0,J264/K264,"n.a.")</x:f>
        <x:v>0.0129</x:v>
      </x:c>
      <x:c r="R264" s="11" t="n">
        <x:f>IF(ISNUMBER(Q264),P264*Q264,"n.a.")</x:f>
        <x:v>206.4</x:v>
      </x:c>
    </x:row>
    <x:row r="265" ht="21" customHeight="1">
      <x:c r="A265" s="1" t="str">
        <x:v>PLAS</x:v>
      </x:c>
      <x:c r="B265" s="1" t="str">
        <x:v>10</x:v>
      </x:c>
      <x:c r="C265" s="1" t="str">
        <x:v>03819RWBBLK</x:v>
      </x:c>
      <x:c r="D265" s="1" t="str">
        <x:v>1061329</x:v>
      </x:c>
      <x:c r="E265" s="1" t="str">
        <x:v>0</x:v>
      </x:c>
      <x:c r="F265" s="1" t="str">
        <x:v>3</x:v>
      </x:c>
      <x:c r="G265" s="7" t="n">
        <x:v>46395</x:v>
      </x:c>
      <x:c r="H265" s="1" t="n">
        <x:v>100000</x:v>
      </x:c>
      <x:c r="I265" s="1" t="n">
        <x:v>1</x:v>
      </x:c>
      <x:c r="J265" s="1" t="n">
        <x:v>1.98</x:v>
      </x:c>
      <x:c r="K265" s="1" t="n">
        <x:v>100</x:v>
      </x:c>
      <x:c r="L265" s="1" t="str">
        <x:v>a</x:v>
      </x:c>
      <x:c r="M265" s="1" t="n">
        <x:v>100000</x:v>
      </x:c>
      <x:c r="N265" s="1" t="n">
        <x:v>0</x:v>
      </x:c>
      <x:c r="O265" s="1" t="str">
        <x:v>updated receipts.csv</x:v>
      </x:c>
      <x:c r="P265" s="10" t="n">
        <x:f>H265*I265</x:f>
        <x:v>100000</x:v>
      </x:c>
      <x:c r="Q265" s="10" t="n">
        <x:f>IF(K265&gt;0,J265/K265,"n.a.")</x:f>
        <x:v>0.019799999999999998</x:v>
      </x:c>
      <x:c r="R265" s="11" t="n">
        <x:f>IF(ISNUMBER(Q265),P265*Q265,"n.a.")</x:f>
        <x:v>1979.9999999999998</x:v>
      </x:c>
    </x:row>
    <x:row r="266" ht="21" customHeight="1">
      <x:c r="A266" s="1" t="str">
        <x:v>PLAS</x:v>
      </x:c>
      <x:c r="B266" s="1" t="str">
        <x:v>10</x:v>
      </x:c>
      <x:c r="C266" s="1" t="str">
        <x:v>03819RWBBLU</x:v>
      </x:c>
      <x:c r="D266" s="1" t="str">
        <x:v>1061329</x:v>
      </x:c>
      <x:c r="E266" s="1" t="str">
        <x:v>0</x:v>
      </x:c>
      <x:c r="F266" s="1" t="str">
        <x:v>15</x:v>
      </x:c>
      <x:c r="G266" s="7" t="n">
        <x:v>46395</x:v>
      </x:c>
      <x:c r="H266" s="1" t="n">
        <x:v>4000</x:v>
      </x:c>
      <x:c r="I266" s="1" t="n">
        <x:v>1</x:v>
      </x:c>
      <x:c r="J266" s="1" t="n">
        <x:v>1.98</x:v>
      </x:c>
      <x:c r="K266" s="1" t="n">
        <x:v>100</x:v>
      </x:c>
      <x:c r="L266" s="1" t="str">
        <x:v>a</x:v>
      </x:c>
      <x:c r="M266" s="1" t="n">
        <x:v>4000</x:v>
      </x:c>
      <x:c r="N266" s="1" t="n">
        <x:v>0</x:v>
      </x:c>
      <x:c r="O266" s="1" t="str">
        <x:v>updated receipts.csv</x:v>
      </x:c>
      <x:c r="P266" s="10" t="n">
        <x:f>H266*I266</x:f>
        <x:v>4000</x:v>
      </x:c>
      <x:c r="Q266" s="10" t="n">
        <x:f>IF(K266&gt;0,J266/K266,"n.a.")</x:f>
        <x:v>0.019799999999999998</x:v>
      </x:c>
      <x:c r="R266" s="11" t="n">
        <x:f>IF(ISNUMBER(Q266),P266*Q266,"n.a.")</x:f>
        <x:v>79.19999999999999</x:v>
      </x:c>
    </x:row>
    <x:row r="267" ht="21" customHeight="1">
      <x:c r="A267" s="1" t="str">
        <x:v>PLAS</x:v>
      </x:c>
      <x:c r="B267" s="1" t="str">
        <x:v>10</x:v>
      </x:c>
      <x:c r="C267" s="1" t="str">
        <x:v>03819RWBMAR</x:v>
      </x:c>
      <x:c r="D267" s="1" t="str">
        <x:v>1061329</x:v>
      </x:c>
      <x:c r="E267" s="1" t="str">
        <x:v>0</x:v>
      </x:c>
      <x:c r="F267" s="1" t="str">
        <x:v>26</x:v>
      </x:c>
      <x:c r="G267" s="7" t="n">
        <x:v>46395</x:v>
      </x:c>
      <x:c r="H267" s="1" t="n">
        <x:v>2000</x:v>
      </x:c>
      <x:c r="I267" s="1" t="n">
        <x:v>1</x:v>
      </x:c>
      <x:c r="J267" s="1" t="n">
        <x:v>1.98</x:v>
      </x:c>
      <x:c r="K267" s="1" t="n">
        <x:v>100</x:v>
      </x:c>
      <x:c r="L267" s="1" t="str">
        <x:v>a</x:v>
      </x:c>
      <x:c r="M267" s="1" t="n">
        <x:v>2000</x:v>
      </x:c>
      <x:c r="N267" s="1" t="n">
        <x:v>0</x:v>
      </x:c>
      <x:c r="O267" s="1" t="str">
        <x:v>updated receipts.csv</x:v>
      </x:c>
      <x:c r="P267" s="10" t="n">
        <x:f>H267*I267</x:f>
        <x:v>2000</x:v>
      </x:c>
      <x:c r="Q267" s="10" t="n">
        <x:f>IF(K267&gt;0,J267/K267,"n.a.")</x:f>
        <x:v>0.019799999999999998</x:v>
      </x:c>
      <x:c r="R267" s="11" t="n">
        <x:f>IF(ISNUMBER(Q267),P267*Q267,"n.a.")</x:f>
        <x:v>39.599999999999994</x:v>
      </x:c>
    </x:row>
    <x:row r="268" ht="21" customHeight="1">
      <x:c r="A268" s="1" t="str">
        <x:v>PLAS</x:v>
      </x:c>
      <x:c r="B268" s="1" t="str">
        <x:v>10</x:v>
      </x:c>
      <x:c r="C268" s="1" t="str">
        <x:v>03819RWBNAV</x:v>
      </x:c>
      <x:c r="D268" s="1" t="str">
        <x:v>1061329</x:v>
      </x:c>
      <x:c r="E268" s="1" t="str">
        <x:v>0</x:v>
      </x:c>
      <x:c r="F268" s="1" t="str">
        <x:v>33</x:v>
      </x:c>
      <x:c r="G268" s="7" t="n">
        <x:v>46395</x:v>
      </x:c>
      <x:c r="H268" s="1" t="n">
        <x:v>10000</x:v>
      </x:c>
      <x:c r="I268" s="1" t="n">
        <x:v>1</x:v>
      </x:c>
      <x:c r="J268" s="1" t="n">
        <x:v>1.98</x:v>
      </x:c>
      <x:c r="K268" s="1" t="n">
        <x:v>100</x:v>
      </x:c>
      <x:c r="L268" s="1" t="str">
        <x:v>a</x:v>
      </x:c>
      <x:c r="M268" s="1" t="n">
        <x:v>10000</x:v>
      </x:c>
      <x:c r="N268" s="1" t="n">
        <x:v>0</x:v>
      </x:c>
      <x:c r="O268" s="1" t="str">
        <x:v>updated receipts.csv</x:v>
      </x:c>
      <x:c r="P268" s="10" t="n">
        <x:f>H268*I268</x:f>
        <x:v>10000</x:v>
      </x:c>
      <x:c r="Q268" s="10" t="n">
        <x:f>IF(K268&gt;0,J268/K268,"n.a.")</x:f>
        <x:v>0.019799999999999998</x:v>
      </x:c>
      <x:c r="R268" s="11" t="n">
        <x:f>IF(ISNUMBER(Q268),P268*Q268,"n.a.")</x:f>
        <x:v>197.99999999999997</x:v>
      </x:c>
    </x:row>
    <x:row r="269" ht="21" customHeight="1">
      <x:c r="A269" s="1" t="str">
        <x:v>PLAS</x:v>
      </x:c>
      <x:c r="B269" s="1" t="str">
        <x:v>10</x:v>
      </x:c>
      <x:c r="C269" s="1" t="str">
        <x:v>03819RWBWHT</x:v>
      </x:c>
      <x:c r="D269" s="1" t="str">
        <x:v>1061329</x:v>
      </x:c>
      <x:c r="E269" s="1" t="str">
        <x:v>0</x:v>
      </x:c>
      <x:c r="F269" s="1" t="str">
        <x:v>43</x:v>
      </x:c>
      <x:c r="G269" s="7" t="n">
        <x:v>46395</x:v>
      </x:c>
      <x:c r="H269" s="1" t="n">
        <x:v>36000</x:v>
      </x:c>
      <x:c r="I269" s="1" t="n">
        <x:v>1</x:v>
      </x:c>
      <x:c r="J269" s="1" t="n">
        <x:v>1.98</x:v>
      </x:c>
      <x:c r="K269" s="1" t="n">
        <x:v>100</x:v>
      </x:c>
      <x:c r="L269" s="1" t="str">
        <x:v>a</x:v>
      </x:c>
      <x:c r="M269" s="1" t="n">
        <x:v>36000</x:v>
      </x:c>
      <x:c r="N269" s="1" t="n">
        <x:v>0</x:v>
      </x:c>
      <x:c r="O269" s="1" t="str">
        <x:v>updated receipts.csv</x:v>
      </x:c>
      <x:c r="P269" s="10" t="n">
        <x:f>H269*I269</x:f>
        <x:v>36000</x:v>
      </x:c>
      <x:c r="Q269" s="10" t="n">
        <x:f>IF(K269&gt;0,J269/K269,"n.a.")</x:f>
        <x:v>0.019799999999999998</x:v>
      </x:c>
      <x:c r="R269" s="11" t="n">
        <x:f>IF(ISNUMBER(Q269),P269*Q269,"n.a.")</x:f>
        <x:v>712.8</x:v>
      </x:c>
    </x:row>
    <x:row r="270" ht="21" customHeight="1">
      <x:c r="A270" s="1" t="str">
        <x:v>PLAS</x:v>
      </x:c>
      <x:c r="B270" s="1" t="str">
        <x:v>10</x:v>
      </x:c>
      <x:c r="C270" s="1" t="str">
        <x:v>05815RWBBLK</x:v>
      </x:c>
      <x:c r="D270" s="1" t="str">
        <x:v>1061329</x:v>
      </x:c>
      <x:c r="E270" s="1" t="str">
        <x:v>0</x:v>
      </x:c>
      <x:c r="F270" s="1" t="str">
        <x:v>54</x:v>
      </x:c>
      <x:c r="G270" s="7" t="n">
        <x:v>46395</x:v>
      </x:c>
      <x:c r="H270" s="1" t="n">
        <x:v>30000</x:v>
      </x:c>
      <x:c r="I270" s="1" t="n">
        <x:v>1</x:v>
      </x:c>
      <x:c r="J270" s="1" t="n">
        <x:v>2.46</x:v>
      </x:c>
      <x:c r="K270" s="1" t="n">
        <x:v>100</x:v>
      </x:c>
      <x:c r="L270" s="1" t="str">
        <x:v>a</x:v>
      </x:c>
      <x:c r="M270" s="1" t="n">
        <x:v>30000</x:v>
      </x:c>
      <x:c r="N270" s="1" t="n">
        <x:v>0</x:v>
      </x:c>
      <x:c r="O270" s="1" t="str">
        <x:v>updated receipts.csv</x:v>
      </x:c>
      <x:c r="P270" s="10" t="n">
        <x:f>H270*I270</x:f>
        <x:v>30000</x:v>
      </x:c>
      <x:c r="Q270" s="10" t="n">
        <x:f>IF(K270&gt;0,J270/K270,"n.a.")</x:f>
        <x:v>0.0246</x:v>
      </x:c>
      <x:c r="R270" s="11" t="n">
        <x:f>IF(ISNUMBER(Q270),P270*Q270,"n.a.")</x:f>
        <x:v>738</x:v>
      </x:c>
    </x:row>
    <x:row r="271" ht="21" customHeight="1">
      <x:c r="A271" s="1" t="str">
        <x:v>PLAS</x:v>
      </x:c>
      <x:c r="B271" s="1" t="str">
        <x:v>10</x:v>
      </x:c>
      <x:c r="C271" s="1" t="str">
        <x:v>05815RWBBRN</x:v>
      </x:c>
      <x:c r="D271" s="1" t="str">
        <x:v>1061329</x:v>
      </x:c>
      <x:c r="E271" s="1" t="str">
        <x:v>0</x:v>
      </x:c>
      <x:c r="F271" s="1" t="str">
        <x:v>59</x:v>
      </x:c>
      <x:c r="G271" s="7" t="n">
        <x:v>46395</x:v>
      </x:c>
      <x:c r="H271" s="1" t="n">
        <x:v>5000</x:v>
      </x:c>
      <x:c r="I271" s="1" t="n">
        <x:v>1</x:v>
      </x:c>
      <x:c r="J271" s="1" t="n">
        <x:v>2.46</x:v>
      </x:c>
      <x:c r="K271" s="1" t="n">
        <x:v>100</x:v>
      </x:c>
      <x:c r="L271" s="1" t="str">
        <x:v>a</x:v>
      </x:c>
      <x:c r="M271" s="1" t="n">
        <x:v>5000</x:v>
      </x:c>
      <x:c r="N271" s="1" t="n">
        <x:v>0</x:v>
      </x:c>
      <x:c r="O271" s="1" t="str">
        <x:v>updated receipts.csv</x:v>
      </x:c>
      <x:c r="P271" s="10" t="n">
        <x:f>H271*I271</x:f>
        <x:v>5000</x:v>
      </x:c>
      <x:c r="Q271" s="10" t="n">
        <x:f>IF(K271&gt;0,J271/K271,"n.a.")</x:f>
        <x:v>0.0246</x:v>
      </x:c>
      <x:c r="R271" s="11" t="n">
        <x:f>IF(ISNUMBER(Q271),P271*Q271,"n.a.")</x:f>
        <x:v>123</x:v>
      </x:c>
    </x:row>
    <x:row r="272" ht="21" customHeight="1">
      <x:c r="A272" s="1" t="str">
        <x:v>PLAS</x:v>
      </x:c>
      <x:c r="B272" s="1" t="str">
        <x:v>10</x:v>
      </x:c>
      <x:c r="C272" s="1" t="str">
        <x:v>05815RWBFG</x:v>
      </x:c>
      <x:c r="D272" s="1" t="str">
        <x:v>1061329</x:v>
      </x:c>
      <x:c r="E272" s="1" t="str">
        <x:v>0</x:v>
      </x:c>
      <x:c r="F272" s="1" t="str">
        <x:v>63</x:v>
      </x:c>
      <x:c r="G272" s="7" t="n">
        <x:v>46395</x:v>
      </x:c>
      <x:c r="H272" s="1" t="n">
        <x:v>3000</x:v>
      </x:c>
      <x:c r="I272" s="1" t="n">
        <x:v>1</x:v>
      </x:c>
      <x:c r="J272" s="1" t="n">
        <x:v>2.46</x:v>
      </x:c>
      <x:c r="K272" s="1" t="n">
        <x:v>100</x:v>
      </x:c>
      <x:c r="L272" s="1" t="str">
        <x:v>a</x:v>
      </x:c>
      <x:c r="M272" s="1" t="n">
        <x:v>3000</x:v>
      </x:c>
      <x:c r="N272" s="1" t="n">
        <x:v>0</x:v>
      </x:c>
      <x:c r="O272" s="1" t="str">
        <x:v>updated receipts.csv</x:v>
      </x:c>
      <x:c r="P272" s="10" t="n">
        <x:f>H272*I272</x:f>
        <x:v>3000</x:v>
      </x:c>
      <x:c r="Q272" s="10" t="n">
        <x:f>IF(K272&gt;0,J272/K272,"n.a.")</x:f>
        <x:v>0.0246</x:v>
      </x:c>
      <x:c r="R272" s="11" t="n">
        <x:f>IF(ISNUMBER(Q272),P272*Q272,"n.a.")</x:f>
        <x:v>73.8</x:v>
      </x:c>
    </x:row>
    <x:row r="273" ht="21" customHeight="1">
      <x:c r="A273" s="1" t="str">
        <x:v>PLAS</x:v>
      </x:c>
      <x:c r="B273" s="1" t="str">
        <x:v>10</x:v>
      </x:c>
      <x:c r="C273" s="1" t="str">
        <x:v>05819RWBBLK</x:v>
      </x:c>
      <x:c r="D273" s="1" t="str">
        <x:v>1061329</x:v>
      </x:c>
      <x:c r="E273" s="1" t="str">
        <x:v>0</x:v>
      </x:c>
      <x:c r="F273" s="1" t="str">
        <x:v>7</x:v>
      </x:c>
      <x:c r="G273" s="7" t="n">
        <x:v>46395</x:v>
      </x:c>
      <x:c r="H273" s="1" t="n">
        <x:v>65000</x:v>
      </x:c>
      <x:c r="I273" s="1" t="n">
        <x:v>1</x:v>
      </x:c>
      <x:c r="J273" s="1" t="n">
        <x:v>3.63</x:v>
      </x:c>
      <x:c r="K273" s="1" t="n">
        <x:v>100</x:v>
      </x:c>
      <x:c r="L273" s="1" t="str">
        <x:v>a</x:v>
      </x:c>
      <x:c r="M273" s="1" t="n">
        <x:v>65000</x:v>
      </x:c>
      <x:c r="N273" s="1" t="n">
        <x:v>0</x:v>
      </x:c>
      <x:c r="O273" s="1" t="str">
        <x:v>updated receipts.csv</x:v>
      </x:c>
      <x:c r="P273" s="10" t="n">
        <x:f>H273*I273</x:f>
        <x:v>65000</x:v>
      </x:c>
      <x:c r="Q273" s="10" t="n">
        <x:f>IF(K273&gt;0,J273/K273,"n.a.")</x:f>
        <x:v>0.0363</x:v>
      </x:c>
      <x:c r="R273" s="11" t="n">
        <x:f>IF(ISNUMBER(Q273),P273*Q273,"n.a.")</x:f>
        <x:v>2359.5</x:v>
      </x:c>
    </x:row>
    <x:row r="274" ht="21" customHeight="1">
      <x:c r="A274" s="1" t="str">
        <x:v>PLAS</x:v>
      </x:c>
      <x:c r="B274" s="1" t="str">
        <x:v>10</x:v>
      </x:c>
      <x:c r="C274" s="1" t="str">
        <x:v>05819RWBBLU</x:v>
      </x:c>
      <x:c r="D274" s="1" t="str">
        <x:v>1061329</x:v>
      </x:c>
      <x:c r="E274" s="1" t="str">
        <x:v>0</x:v>
      </x:c>
      <x:c r="F274" s="1" t="str">
        <x:v>17</x:v>
      </x:c>
      <x:c r="G274" s="7" t="n">
        <x:v>46395</x:v>
      </x:c>
      <x:c r="H274" s="1" t="n">
        <x:v>4000</x:v>
      </x:c>
      <x:c r="I274" s="1" t="n">
        <x:v>1</x:v>
      </x:c>
      <x:c r="J274" s="1" t="n">
        <x:v>3.63</x:v>
      </x:c>
      <x:c r="K274" s="1" t="n">
        <x:v>100</x:v>
      </x:c>
      <x:c r="L274" s="1" t="str">
        <x:v>a</x:v>
      </x:c>
      <x:c r="M274" s="1" t="n">
        <x:v>4000</x:v>
      </x:c>
      <x:c r="N274" s="1" t="n">
        <x:v>0</x:v>
      </x:c>
      <x:c r="O274" s="1" t="str">
        <x:v>updated receipts.csv</x:v>
      </x:c>
      <x:c r="P274" s="10" t="n">
        <x:f>H274*I274</x:f>
        <x:v>4000</x:v>
      </x:c>
      <x:c r="Q274" s="10" t="n">
        <x:f>IF(K274&gt;0,J274/K274,"n.a.")</x:f>
        <x:v>0.0363</x:v>
      </x:c>
      <x:c r="R274" s="11" t="n">
        <x:f>IF(ISNUMBER(Q274),P274*Q274,"n.a.")</x:f>
        <x:v>145.2</x:v>
      </x:c>
    </x:row>
    <x:row r="275" ht="21" customHeight="1">
      <x:c r="A275" s="1" t="str">
        <x:v>PLAS</x:v>
      </x:c>
      <x:c r="B275" s="1" t="str">
        <x:v>10</x:v>
      </x:c>
      <x:c r="C275" s="1" t="str">
        <x:v>05819RWBCLR</x:v>
      </x:c>
      <x:c r="D275" s="1" t="str">
        <x:v>1061329</x:v>
      </x:c>
      <x:c r="E275" s="1" t="str">
        <x:v>0</x:v>
      </x:c>
      <x:c r="F275" s="1" t="str">
        <x:v>20</x:v>
      </x:c>
      <x:c r="G275" s="7" t="n">
        <x:v>46395</x:v>
      </x:c>
      <x:c r="H275" s="1" t="n">
        <x:v>1000</x:v>
      </x:c>
      <x:c r="I275" s="1" t="n">
        <x:v>1</x:v>
      </x:c>
      <x:c r="J275" s="1" t="n">
        <x:v>3.63</x:v>
      </x:c>
      <x:c r="K275" s="1" t="n">
        <x:v>100</x:v>
      </x:c>
      <x:c r="L275" s="1" t="str">
        <x:v>a</x:v>
      </x:c>
      <x:c r="M275" s="1" t="n">
        <x:v>1000</x:v>
      </x:c>
      <x:c r="N275" s="1" t="n">
        <x:v>0</x:v>
      </x:c>
      <x:c r="O275" s="1" t="str">
        <x:v>updated receipts.csv</x:v>
      </x:c>
      <x:c r="P275" s="10" t="n">
        <x:f>H275*I275</x:f>
        <x:v>1000</x:v>
      </x:c>
      <x:c r="Q275" s="10" t="n">
        <x:f>IF(K275&gt;0,J275/K275,"n.a.")</x:f>
        <x:v>0.0363</x:v>
      </x:c>
      <x:c r="R275" s="11" t="n">
        <x:f>IF(ISNUMBER(Q275),P275*Q275,"n.a.")</x:f>
        <x:v>36.3</x:v>
      </x:c>
    </x:row>
    <x:row r="276" ht="21" customHeight="1">
      <x:c r="A276" s="1" t="str">
        <x:v>PLAS</x:v>
      </x:c>
      <x:c r="B276" s="1" t="str">
        <x:v>10</x:v>
      </x:c>
      <x:c r="C276" s="1" t="str">
        <x:v>05819RWBMAR</x:v>
      </x:c>
      <x:c r="D276" s="1" t="str">
        <x:v>1061329</x:v>
      </x:c>
      <x:c r="E276" s="1" t="str">
        <x:v>0</x:v>
      </x:c>
      <x:c r="F276" s="1" t="str">
        <x:v>29</x:v>
      </x:c>
      <x:c r="G276" s="7" t="n">
        <x:v>46395</x:v>
      </x:c>
      <x:c r="H276" s="1" t="n">
        <x:v>4000</x:v>
      </x:c>
      <x:c r="I276" s="1" t="n">
        <x:v>1</x:v>
      </x:c>
      <x:c r="J276" s="1" t="n">
        <x:v>3.63</x:v>
      </x:c>
      <x:c r="K276" s="1" t="n">
        <x:v>100</x:v>
      </x:c>
      <x:c r="L276" s="1" t="str">
        <x:v>a</x:v>
      </x:c>
      <x:c r="M276" s="1" t="n">
        <x:v>4000</x:v>
      </x:c>
      <x:c r="N276" s="1" t="n">
        <x:v>0</x:v>
      </x:c>
      <x:c r="O276" s="1" t="str">
        <x:v>updated receipts.csv</x:v>
      </x:c>
      <x:c r="P276" s="10" t="n">
        <x:f>H276*I276</x:f>
        <x:v>4000</x:v>
      </x:c>
      <x:c r="Q276" s="10" t="n">
        <x:f>IF(K276&gt;0,J276/K276,"n.a.")</x:f>
        <x:v>0.0363</x:v>
      </x:c>
      <x:c r="R276" s="11" t="n">
        <x:f>IF(ISNUMBER(Q276),P276*Q276,"n.a.")</x:f>
        <x:v>145.2</x:v>
      </x:c>
    </x:row>
    <x:row r="277" ht="21" customHeight="1">
      <x:c r="A277" s="1" t="str">
        <x:v>PLAS</x:v>
      </x:c>
      <x:c r="B277" s="1" t="str">
        <x:v>10</x:v>
      </x:c>
      <x:c r="C277" s="1" t="str">
        <x:v>07815RWBBLK</x:v>
      </x:c>
      <x:c r="D277" s="1" t="str">
        <x:v>1061329</x:v>
      </x:c>
      <x:c r="E277" s="1" t="str">
        <x:v>0</x:v>
      </x:c>
      <x:c r="F277" s="1" t="str">
        <x:v>56</x:v>
      </x:c>
      <x:c r="G277" s="7" t="n">
        <x:v>46395</x:v>
      </x:c>
      <x:c r="H277" s="1" t="n">
        <x:v>5000</x:v>
      </x:c>
      <x:c r="I277" s="1" t="n">
        <x:v>1</x:v>
      </x:c>
      <x:c r="J277" s="1" t="n">
        <x:v>4.28</x:v>
      </x:c>
      <x:c r="K277" s="1" t="n">
        <x:v>100</x:v>
      </x:c>
      <x:c r="L277" s="1" t="str">
        <x:v>a</x:v>
      </x:c>
      <x:c r="M277" s="1" t="n">
        <x:v>5000</x:v>
      </x:c>
      <x:c r="N277" s="1" t="n">
        <x:v>0</x:v>
      </x:c>
      <x:c r="O277" s="1" t="str">
        <x:v>updated receipts.csv</x:v>
      </x:c>
      <x:c r="P277" s="10" t="n">
        <x:f>H277*I277</x:f>
        <x:v>5000</x:v>
      </x:c>
      <x:c r="Q277" s="10" t="n">
        <x:f>IF(K277&gt;0,J277/K277,"n.a.")</x:f>
        <x:v>0.042800000000000005</x:v>
      </x:c>
      <x:c r="R277" s="11" t="n">
        <x:f>IF(ISNUMBER(Q277),P277*Q277,"n.a.")</x:f>
        <x:v>214.00000000000003</x:v>
      </x:c>
    </x:row>
    <x:row r="278" ht="21" customHeight="1">
      <x:c r="A278" s="1" t="str">
        <x:v>PLAS</x:v>
      </x:c>
      <x:c r="B278" s="1" t="str">
        <x:v>10</x:v>
      </x:c>
      <x:c r="C278" s="1" t="str">
        <x:v>07815RWBBRN</x:v>
      </x:c>
      <x:c r="D278" s="1" t="str">
        <x:v>1061329</x:v>
      </x:c>
      <x:c r="E278" s="1" t="str">
        <x:v>0</x:v>
      </x:c>
      <x:c r="F278" s="1" t="str">
        <x:v>61</x:v>
      </x:c>
      <x:c r="G278" s="7" t="n">
        <x:v>46395</x:v>
      </x:c>
      <x:c r="H278" s="1" t="n">
        <x:v>1000</x:v>
      </x:c>
      <x:c r="I278" s="1" t="n">
        <x:v>1</x:v>
      </x:c>
      <x:c r="J278" s="1" t="n">
        <x:v>4.28</x:v>
      </x:c>
      <x:c r="K278" s="1" t="n">
        <x:v>100</x:v>
      </x:c>
      <x:c r="L278" s="1" t="str">
        <x:v>a</x:v>
      </x:c>
      <x:c r="M278" s="1" t="n">
        <x:v>1000</x:v>
      </x:c>
      <x:c r="N278" s="1" t="n">
        <x:v>0</x:v>
      </x:c>
      <x:c r="O278" s="1" t="str">
        <x:v>updated receipts.csv</x:v>
      </x:c>
      <x:c r="P278" s="10" t="n">
        <x:f>H278*I278</x:f>
        <x:v>1000</x:v>
      </x:c>
      <x:c r="Q278" s="10" t="n">
        <x:f>IF(K278&gt;0,J278/K278,"n.a.")</x:f>
        <x:v>0.042800000000000005</x:v>
      </x:c>
      <x:c r="R278" s="11" t="n">
        <x:f>IF(ISNUMBER(Q278),P278*Q278,"n.a.")</x:f>
        <x:v>42.800000000000004</x:v>
      </x:c>
    </x:row>
    <x:row r="279" ht="21" customHeight="1">
      <x:c r="A279" s="1" t="str">
        <x:v>PLAS</x:v>
      </x:c>
      <x:c r="B279" s="1" t="str">
        <x:v>10</x:v>
      </x:c>
      <x:c r="C279" s="1" t="str">
        <x:v>07819RWBBLK</x:v>
      </x:c>
      <x:c r="D279" s="1" t="str">
        <x:v>1061329</x:v>
      </x:c>
      <x:c r="E279" s="1" t="str">
        <x:v>0</x:v>
      </x:c>
      <x:c r="F279" s="1" t="str">
        <x:v>9</x:v>
      </x:c>
      <x:c r="G279" s="7" t="n">
        <x:v>46395</x:v>
      </x:c>
      <x:c r="H279" s="1" t="n">
        <x:v>35000</x:v>
      </x:c>
      <x:c r="I279" s="1" t="n">
        <x:v>1</x:v>
      </x:c>
      <x:c r="J279" s="1" t="n">
        <x:v>6.34</x:v>
      </x:c>
      <x:c r="K279" s="1" t="n">
        <x:v>100</x:v>
      </x:c>
      <x:c r="L279" s="1" t="str">
        <x:v>a</x:v>
      </x:c>
      <x:c r="M279" s="1" t="n">
        <x:v>35000</x:v>
      </x:c>
      <x:c r="N279" s="1" t="n">
        <x:v>0</x:v>
      </x:c>
      <x:c r="O279" s="1" t="str">
        <x:v>updated receipts.csv</x:v>
      </x:c>
      <x:c r="P279" s="10" t="n">
        <x:f>H279*I279</x:f>
        <x:v>35000</x:v>
      </x:c>
      <x:c r="Q279" s="10" t="n">
        <x:f>IF(K279&gt;0,J279/K279,"n.a.")</x:f>
        <x:v>0.0634</x:v>
      </x:c>
      <x:c r="R279" s="11" t="n">
        <x:f>IF(ISNUMBER(Q279),P279*Q279,"n.a.")</x:f>
        <x:v>2219</x:v>
      </x:c>
    </x:row>
    <x:row r="280" ht="21" customHeight="1">
      <x:c r="A280" s="1" t="str">
        <x:v>PLAS</x:v>
      </x:c>
      <x:c r="B280" s="1" t="str">
        <x:v>10</x:v>
      </x:c>
      <x:c r="C280" s="1" t="str">
        <x:v>07819RWBNAV</x:v>
      </x:c>
      <x:c r="D280" s="1" t="str">
        <x:v>1061329</x:v>
      </x:c>
      <x:c r="E280" s="1" t="str">
        <x:v>0</x:v>
      </x:c>
      <x:c r="F280" s="1" t="str">
        <x:v>38</x:v>
      </x:c>
      <x:c r="G280" s="7" t="n">
        <x:v>46395</x:v>
      </x:c>
      <x:c r="H280" s="1" t="n">
        <x:v>2000</x:v>
      </x:c>
      <x:c r="I280" s="1" t="n">
        <x:v>1</x:v>
      </x:c>
      <x:c r="J280" s="1" t="n">
        <x:v>6.34</x:v>
      </x:c>
      <x:c r="K280" s="1" t="n">
        <x:v>100</x:v>
      </x:c>
      <x:c r="L280" s="1" t="str">
        <x:v>a</x:v>
      </x:c>
      <x:c r="M280" s="1" t="n">
        <x:v>2000</x:v>
      </x:c>
      <x:c r="N280" s="1" t="n">
        <x:v>0</x:v>
      </x:c>
      <x:c r="O280" s="1" t="str">
        <x:v>updated receipts.csv</x:v>
      </x:c>
      <x:c r="P280" s="10" t="n">
        <x:f>H280*I280</x:f>
        <x:v>2000</x:v>
      </x:c>
      <x:c r="Q280" s="10" t="n">
        <x:f>IF(K280&gt;0,J280/K280,"n.a.")</x:f>
        <x:v>0.0634</x:v>
      </x:c>
      <x:c r="R280" s="11" t="n">
        <x:f>IF(ISNUMBER(Q280),P280*Q280,"n.a.")</x:f>
        <x:v>126.8</x:v>
      </x:c>
    </x:row>
    <x:row r="281" ht="21" customHeight="1">
      <x:c r="A281" s="1" t="str">
        <x:v>PLAS</x:v>
      </x:c>
      <x:c r="B281" s="1" t="str">
        <x:v>10</x:v>
      </x:c>
      <x:c r="C281" s="1" t="str">
        <x:v>07819RWBWHT</x:v>
      </x:c>
      <x:c r="D281" s="1" t="str">
        <x:v>1061329</x:v>
      </x:c>
      <x:c r="E281" s="1" t="str">
        <x:v>0</x:v>
      </x:c>
      <x:c r="F281" s="1" t="str">
        <x:v>46</x:v>
      </x:c>
      <x:c r="G281" s="7" t="n">
        <x:v>46395</x:v>
      </x:c>
      <x:c r="H281" s="1" t="n">
        <x:v>10000</x:v>
      </x:c>
      <x:c r="I281" s="1" t="n">
        <x:v>1</x:v>
      </x:c>
      <x:c r="J281" s="1" t="n">
        <x:v>6.34</x:v>
      </x:c>
      <x:c r="K281" s="1" t="n">
        <x:v>100</x:v>
      </x:c>
      <x:c r="L281" s="1" t="str">
        <x:v>a</x:v>
      </x:c>
      <x:c r="M281" s="1" t="n">
        <x:v>10000</x:v>
      </x:c>
      <x:c r="N281" s="1" t="n">
        <x:v>0</x:v>
      </x:c>
      <x:c r="O281" s="1" t="str">
        <x:v>updated receipts.csv</x:v>
      </x:c>
      <x:c r="P281" s="10" t="n">
        <x:f>H281*I281</x:f>
        <x:v>10000</x:v>
      </x:c>
      <x:c r="Q281" s="10" t="n">
        <x:f>IF(K281&gt;0,J281/K281,"n.a.")</x:f>
        <x:v>0.0634</x:v>
      </x:c>
      <x:c r="R281" s="11" t="n">
        <x:f>IF(ISNUMBER(Q281),P281*Q281,"n.a.")</x:f>
        <x:v>634</x:v>
      </x:c>
    </x:row>
    <x:row r="282" ht="21" customHeight="1">
      <x:c r="A282" s="1" t="str">
        <x:v>PLAS</x:v>
      </x:c>
      <x:c r="B282" s="1" t="str">
        <x:v>10</x:v>
      </x:c>
      <x:c r="C282" s="1" t="str">
        <x:v>11215RSLCLR</x:v>
      </x:c>
      <x:c r="D282" s="1" t="str">
        <x:v>1061329</x:v>
      </x:c>
      <x:c r="E282" s="1" t="str">
        <x:v>0</x:v>
      </x:c>
      <x:c r="F282" s="1" t="str">
        <x:v>62</x:v>
      </x:c>
      <x:c r="G282" s="7" t="n">
        <x:v>46395</x:v>
      </x:c>
      <x:c r="H282" s="1" t="n">
        <x:v>1000</x:v>
      </x:c>
      <x:c r="I282" s="1" t="n">
        <x:v>1</x:v>
      </x:c>
      <x:c r="J282" s="1" t="n">
        <x:v>7.06</x:v>
      </x:c>
      <x:c r="K282" s="1" t="n">
        <x:v>100</x:v>
      </x:c>
      <x:c r="L282" s="1" t="str">
        <x:v>a</x:v>
      </x:c>
      <x:c r="M282" s="1" t="n">
        <x:v>1000</x:v>
      </x:c>
      <x:c r="N282" s="1" t="n">
        <x:v>0</x:v>
      </x:c>
      <x:c r="O282" s="1" t="str">
        <x:v>updated receipts.csv</x:v>
      </x:c>
      <x:c r="P282" s="10" t="n">
        <x:f>H282*I282</x:f>
        <x:v>1000</x:v>
      </x:c>
      <x:c r="Q282" s="10" t="n">
        <x:f>IF(K282&gt;0,J282/K282,"n.a.")</x:f>
        <x:v>0.0706</x:v>
      </x:c>
      <x:c r="R282" s="11" t="n">
        <x:f>IF(ISNUMBER(Q282),P282*Q282,"n.a.")</x:f>
        <x:v>70.6</x:v>
      </x:c>
    </x:row>
    <x:row r="283" ht="21" customHeight="1">
      <x:c r="A283" s="1" t="str">
        <x:v>PLAS</x:v>
      </x:c>
      <x:c r="B283" s="1" t="str">
        <x:v>10</x:v>
      </x:c>
      <x:c r="C283" s="1" t="str">
        <x:v>11216RSLBLK</x:v>
      </x:c>
      <x:c r="D283" s="1" t="str">
        <x:v>1061329</x:v>
      </x:c>
      <x:c r="E283" s="1" t="str">
        <x:v>0</x:v>
      </x:c>
      <x:c r="F283" s="1" t="str">
        <x:v>67</x:v>
      </x:c>
      <x:c r="G283" s="7" t="n">
        <x:v>46395</x:v>
      </x:c>
      <x:c r="H283" s="1" t="n">
        <x:v>2000</x:v>
      </x:c>
      <x:c r="I283" s="1" t="n">
        <x:v>1</x:v>
      </x:c>
      <x:c r="J283" s="1" t="n">
        <x:v>7.53</x:v>
      </x:c>
      <x:c r="K283" s="1" t="n">
        <x:v>100</x:v>
      </x:c>
      <x:c r="L283" s="1" t="str">
        <x:v>a</x:v>
      </x:c>
      <x:c r="M283" s="1" t="n">
        <x:v>2000</x:v>
      </x:c>
      <x:c r="N283" s="1" t="n">
        <x:v>0</x:v>
      </x:c>
      <x:c r="O283" s="1" t="str">
        <x:v>updated receipts.csv</x:v>
      </x:c>
      <x:c r="P283" s="10" t="n">
        <x:f>H283*I283</x:f>
        <x:v>2000</x:v>
      </x:c>
      <x:c r="Q283" s="10" t="n">
        <x:f>IF(K283&gt;0,J283/K283,"n.a.")</x:f>
        <x:v>0.0753</x:v>
      </x:c>
      <x:c r="R283" s="11" t="n">
        <x:f>IF(ISNUMBER(Q283),P283*Q283,"n.a.")</x:f>
        <x:v>150.60000000000002</x:v>
      </x:c>
    </x:row>
    <x:row r="284" ht="21" customHeight="1">
      <x:c r="A284" s="1" t="str">
        <x:v>PLAS</x:v>
      </x:c>
      <x:c r="B284" s="1" t="str">
        <x:v>10</x:v>
      </x:c>
      <x:c r="C284" s="1" t="str">
        <x:v>11219RSLBLK</x:v>
      </x:c>
      <x:c r="D284" s="1" t="str">
        <x:v>1061329</x:v>
      </x:c>
      <x:c r="E284" s="1" t="str">
        <x:v>0</x:v>
      </x:c>
      <x:c r="F284" s="1" t="str">
        <x:v>13</x:v>
      </x:c>
      <x:c r="G284" s="7" t="n">
        <x:v>46395</x:v>
      </x:c>
      <x:c r="H284" s="1" t="n">
        <x:v>2000</x:v>
      </x:c>
      <x:c r="I284" s="1" t="n">
        <x:v>1</x:v>
      </x:c>
      <x:c r="J284" s="1" t="n">
        <x:v>10.33</x:v>
      </x:c>
      <x:c r="K284" s="1" t="n">
        <x:v>100</x:v>
      </x:c>
      <x:c r="L284" s="1" t="str">
        <x:v>a</x:v>
      </x:c>
      <x:c r="M284" s="1" t="n">
        <x:v>2000</x:v>
      </x:c>
      <x:c r="N284" s="1" t="n">
        <x:v>0</x:v>
      </x:c>
      <x:c r="O284" s="1" t="str">
        <x:v>updated receipts.csv</x:v>
      </x:c>
      <x:c r="P284" s="10" t="n">
        <x:f>H284*I284</x:f>
        <x:v>2000</x:v>
      </x:c>
      <x:c r="Q284" s="10" t="n">
        <x:f>IF(K284&gt;0,J284/K284,"n.a.")</x:f>
        <x:v>0.1033</x:v>
      </x:c>
      <x:c r="R284" s="11" t="n">
        <x:f>IF(ISNUMBER(Q284),P284*Q284,"n.a.")</x:f>
        <x:v>206.6</x:v>
      </x:c>
    </x:row>
    <x:row r="285" ht="21" customHeight="1">
      <x:c r="A285" s="1" t="str">
        <x:v>PLAS</x:v>
      </x:c>
      <x:c r="B285" s="1" t="str">
        <x:v>10</x:v>
      </x:c>
      <x:c r="C285" s="1" t="str">
        <x:v>11221RSLBLK</x:v>
      </x:c>
      <x:c r="D285" s="1" t="str">
        <x:v>1061329</x:v>
      </x:c>
      <x:c r="E285" s="1" t="str">
        <x:v>0</x:v>
      </x:c>
      <x:c r="F285" s="1" t="str">
        <x:v>68</x:v>
      </x:c>
      <x:c r="G285" s="7" t="n">
        <x:v>46395</x:v>
      </x:c>
      <x:c r="H285" s="1" t="n">
        <x:v>3000</x:v>
      </x:c>
      <x:c r="I285" s="1" t="n">
        <x:v>1</x:v>
      </x:c>
      <x:c r="J285" s="1" t="n">
        <x:v>9.93</x:v>
      </x:c>
      <x:c r="K285" s="1" t="n">
        <x:v>100</x:v>
      </x:c>
      <x:c r="L285" s="1" t="str">
        <x:v>a</x:v>
      </x:c>
      <x:c r="M285" s="1" t="n">
        <x:v>3000</x:v>
      </x:c>
      <x:c r="N285" s="1" t="n">
        <x:v>0</x:v>
      </x:c>
      <x:c r="O285" s="1" t="str">
        <x:v>updated receipts.csv</x:v>
      </x:c>
      <x:c r="P285" s="10" t="n">
        <x:f>H285*I285</x:f>
        <x:v>3000</x:v>
      </x:c>
      <x:c r="Q285" s="10" t="n">
        <x:f>IF(K285&gt;0,J285/K285,"n.a.")</x:f>
        <x:v>0.0993</x:v>
      </x:c>
      <x:c r="R285" s="11" t="n">
        <x:f>IF(ISNUMBER(Q285),P285*Q285,"n.a.")</x:f>
        <x:v>297.9</x:v>
      </x:c>
    </x:row>
    <x:row r="286" ht="21" customHeight="1">
      <x:c r="A286" s="1" t="str">
        <x:v>PLAS</x:v>
      </x:c>
      <x:c r="B286" s="1" t="str">
        <x:v>10</x:v>
      </x:c>
      <x:c r="C286" s="1" t="str">
        <x:v>11419RSLBLK</x:v>
      </x:c>
      <x:c r="D286" s="1" t="str">
        <x:v>1061329</x:v>
      </x:c>
      <x:c r="E286" s="1" t="str">
        <x:v>0</x:v>
      </x:c>
      <x:c r="F286" s="1" t="str">
        <x:v>12</x:v>
      </x:c>
      <x:c r="G286" s="7" t="n">
        <x:v>46395</x:v>
      </x:c>
      <x:c r="H286" s="1" t="n">
        <x:v>10000</x:v>
      </x:c>
      <x:c r="I286" s="1" t="n">
        <x:v>1</x:v>
      </x:c>
      <x:c r="J286" s="1" t="n">
        <x:v>8.83</x:v>
      </x:c>
      <x:c r="K286" s="1" t="n">
        <x:v>100</x:v>
      </x:c>
      <x:c r="L286" s="1" t="str">
        <x:v>a</x:v>
      </x:c>
      <x:c r="M286" s="1" t="n">
        <x:v>10000</x:v>
      </x:c>
      <x:c r="N286" s="1" t="n">
        <x:v>0</x:v>
      </x:c>
      <x:c r="O286" s="1" t="str">
        <x:v>updated receipts.csv</x:v>
      </x:c>
      <x:c r="P286" s="10" t="n">
        <x:f>H286*I286</x:f>
        <x:v>10000</x:v>
      </x:c>
      <x:c r="Q286" s="10" t="n">
        <x:f>IF(K286&gt;0,J286/K286,"n.a.")</x:f>
        <x:v>0.0883</x:v>
      </x:c>
      <x:c r="R286" s="11" t="n">
        <x:f>IF(ISNUMBER(Q286),P286*Q286,"n.a.")</x:f>
        <x:v>883</x:v>
      </x:c>
    </x:row>
    <x:row r="287" ht="21" customHeight="1">
      <x:c r="A287" s="1" t="str">
        <x:v>PLAS</x:v>
      </x:c>
      <x:c r="B287" s="1" t="str">
        <x:v>10</x:v>
      </x:c>
      <x:c r="C287" s="1" t="str">
        <x:v>11419RSLWHT</x:v>
      </x:c>
      <x:c r="D287" s="1" t="str">
        <x:v>1061329</x:v>
      </x:c>
      <x:c r="E287" s="1" t="str">
        <x:v>0</x:v>
      </x:c>
      <x:c r="F287" s="1" t="str">
        <x:v>48</x:v>
      </x:c>
      <x:c r="G287" s="7" t="n">
        <x:v>46395</x:v>
      </x:c>
      <x:c r="H287" s="1" t="n">
        <x:v>4000</x:v>
      </x:c>
      <x:c r="I287" s="1" t="n">
        <x:v>1</x:v>
      </x:c>
      <x:c r="J287" s="1" t="n">
        <x:v>8.83</x:v>
      </x:c>
      <x:c r="K287" s="1" t="n">
        <x:v>100</x:v>
      </x:c>
      <x:c r="L287" s="1" t="str">
        <x:v>a</x:v>
      </x:c>
      <x:c r="M287" s="1" t="n">
        <x:v>4000</x:v>
      </x:c>
      <x:c r="N287" s="1" t="n">
        <x:v>0</x:v>
      </x:c>
      <x:c r="O287" s="1" t="str">
        <x:v>updated receipts.csv</x:v>
      </x:c>
      <x:c r="P287" s="10" t="n">
        <x:f>H287*I287</x:f>
        <x:v>4000</x:v>
      </x:c>
      <x:c r="Q287" s="10" t="n">
        <x:f>IF(K287&gt;0,J287/K287,"n.a.")</x:f>
        <x:v>0.0883</x:v>
      </x:c>
      <x:c r="R287" s="11" t="n">
        <x:f>IF(ISNUMBER(Q287),P287*Q287,"n.a.")</x:f>
        <x:v>353.2</x:v>
      </x:c>
    </x:row>
    <x:row r="288" ht="21" customHeight="1">
      <x:c r="A288" s="1" t="str">
        <x:v>PLAS</x:v>
      </x:c>
      <x:c r="B288" s="1" t="str">
        <x:v>10</x:v>
      </x:c>
      <x:c r="C288" s="1" t="str">
        <x:v>11819RWBBLK</x:v>
      </x:c>
      <x:c r="D288" s="1" t="str">
        <x:v>1061329</x:v>
      </x:c>
      <x:c r="E288" s="1" t="str">
        <x:v>0</x:v>
      </x:c>
      <x:c r="F288" s="1" t="str">
        <x:v>11</x:v>
      </x:c>
      <x:c r="G288" s="7" t="n">
        <x:v>46395</x:v>
      </x:c>
      <x:c r="H288" s="1" t="n">
        <x:v>15000</x:v>
      </x:c>
      <x:c r="I288" s="1" t="n">
        <x:v>1</x:v>
      </x:c>
      <x:c r="J288" s="1" t="n">
        <x:v>10.53</x:v>
      </x:c>
      <x:c r="K288" s="1" t="n">
        <x:v>100</x:v>
      </x:c>
      <x:c r="L288" s="1" t="str">
        <x:v>a</x:v>
      </x:c>
      <x:c r="M288" s="1" t="n">
        <x:v>15000</x:v>
      </x:c>
      <x:c r="N288" s="1" t="n">
        <x:v>0</x:v>
      </x:c>
      <x:c r="O288" s="1" t="str">
        <x:v>updated receipts.csv</x:v>
      </x:c>
      <x:c r="P288" s="10" t="n">
        <x:f>H288*I288</x:f>
        <x:v>15000</x:v>
      </x:c>
      <x:c r="Q288" s="10" t="n">
        <x:f>IF(K288&gt;0,J288/K288,"n.a.")</x:f>
        <x:v>0.10529999999999999</x:v>
      </x:c>
      <x:c r="R288" s="11" t="n">
        <x:f>IF(ISNUMBER(Q288),P288*Q288,"n.a.")</x:f>
        <x:v>1579.4999999999998</x:v>
      </x:c>
    </x:row>
    <x:row r="289" ht="21" customHeight="1">
      <x:c r="A289" s="1" t="str">
        <x:v>PLAS</x:v>
      </x:c>
      <x:c r="B289" s="1" t="str">
        <x:v>10</x:v>
      </x:c>
      <x:c r="C289" s="1" t="str">
        <x:v>11819RWBCLR</x:v>
      </x:c>
      <x:c r="D289" s="1" t="str">
        <x:v>1061329</x:v>
      </x:c>
      <x:c r="E289" s="1" t="str">
        <x:v>0</x:v>
      </x:c>
      <x:c r="F289" s="1" t="str">
        <x:v>22</x:v>
      </x:c>
      <x:c r="G289" s="7" t="n">
        <x:v>46395</x:v>
      </x:c>
      <x:c r="H289" s="1" t="n">
        <x:v>2000</x:v>
      </x:c>
      <x:c r="I289" s="1" t="n">
        <x:v>1</x:v>
      </x:c>
      <x:c r="J289" s="1" t="n">
        <x:v>10.53</x:v>
      </x:c>
      <x:c r="K289" s="1" t="n">
        <x:v>100</x:v>
      </x:c>
      <x:c r="L289" s="1" t="str">
        <x:v>a</x:v>
      </x:c>
      <x:c r="M289" s="1" t="n">
        <x:v>2000</x:v>
      </x:c>
      <x:c r="N289" s="1" t="n">
        <x:v>0</x:v>
      </x:c>
      <x:c r="O289" s="1" t="str">
        <x:v>updated receipts.csv</x:v>
      </x:c>
      <x:c r="P289" s="10" t="n">
        <x:f>H289*I289</x:f>
        <x:v>2000</x:v>
      </x:c>
      <x:c r="Q289" s="10" t="n">
        <x:f>IF(K289&gt;0,J289/K289,"n.a.")</x:f>
        <x:v>0.10529999999999999</x:v>
      </x:c>
      <x:c r="R289" s="11" t="n">
        <x:f>IF(ISNUMBER(Q289),P289*Q289,"n.a.")</x:f>
        <x:v>210.6</x:v>
      </x:c>
    </x:row>
    <x:row r="290" ht="21" customHeight="1">
      <x:c r="A290" s="1" t="str">
        <x:v>PLAS</x:v>
      </x:c>
      <x:c r="B290" s="1" t="str">
        <x:v>10</x:v>
      </x:c>
      <x:c r="C290" s="1" t="str">
        <x:v>13415RSLFG</x:v>
      </x:c>
      <x:c r="D290" s="1" t="str">
        <x:v>1061329</x:v>
      </x:c>
      <x:c r="E290" s="1" t="str">
        <x:v>0</x:v>
      </x:c>
      <x:c r="F290" s="1" t="str">
        <x:v>64</x:v>
      </x:c>
      <x:c r="G290" s="7" t="n">
        <x:v>46395</x:v>
      </x:c>
      <x:c r="H290" s="1" t="n">
        <x:v>2000</x:v>
      </x:c>
      <x:c r="I290" s="1" t="n">
        <x:v>1</x:v>
      </x:c>
      <x:c r="J290" s="1" t="n">
        <x:v>8</x:v>
      </x:c>
      <x:c r="K290" s="1" t="n">
        <x:v>100</x:v>
      </x:c>
      <x:c r="L290" s="1" t="str">
        <x:v>a</x:v>
      </x:c>
      <x:c r="M290" s="1" t="n">
        <x:v>2000</x:v>
      </x:c>
      <x:c r="N290" s="1" t="n">
        <x:v>0</x:v>
      </x:c>
      <x:c r="O290" s="1" t="str">
        <x:v>updated receipts.csv</x:v>
      </x:c>
      <x:c r="P290" s="10" t="n">
        <x:f>H290*I290</x:f>
        <x:v>2000</x:v>
      </x:c>
      <x:c r="Q290" s="10" t="n">
        <x:f>IF(K290&gt;0,J290/K290,"n.a.")</x:f>
        <x:v>0.08</x:v>
      </x:c>
      <x:c r="R290" s="11" t="n">
        <x:f>IF(ISNUMBER(Q290),P290*Q290,"n.a.")</x:f>
        <x:v>160</x:v>
      </x:c>
    </x:row>
    <x:row r="291" ht="21" customHeight="1">
      <x:c r="A291" s="1" t="str">
        <x:v>PLAS</x:v>
      </x:c>
      <x:c r="B291" s="1" t="str">
        <x:v>10</x:v>
      </x:c>
      <x:c r="C291" s="1" t="str">
        <x:v>51619RWBBLK</x:v>
      </x:c>
      <x:c r="D291" s="1" t="str">
        <x:v>1061329</x:v>
      </x:c>
      <x:c r="E291" s="1" t="str">
        <x:v>0</x:v>
      </x:c>
      <x:c r="F291" s="1" t="str">
        <x:v>2</x:v>
      </x:c>
      <x:c r="G291" s="7" t="n">
        <x:v>46395</x:v>
      </x:c>
      <x:c r="H291" s="1" t="n">
        <x:v>110000</x:v>
      </x:c>
      <x:c r="I291" s="1" t="n">
        <x:v>1</x:v>
      </x:c>
      <x:c r="J291" s="1" t="n">
        <x:v>1.72</x:v>
      </x:c>
      <x:c r="K291" s="1" t="n">
        <x:v>100</x:v>
      </x:c>
      <x:c r="L291" s="1" t="str">
        <x:v>a</x:v>
      </x:c>
      <x:c r="M291" s="1" t="n">
        <x:v>110000</x:v>
      </x:c>
      <x:c r="N291" s="1" t="n">
        <x:v>0</x:v>
      </x:c>
      <x:c r="O291" s="1" t="str">
        <x:v>updated receipts.csv</x:v>
      </x:c>
      <x:c r="P291" s="10" t="n">
        <x:f>H291*I291</x:f>
        <x:v>110000</x:v>
      </x:c>
      <x:c r="Q291" s="10" t="n">
        <x:f>IF(K291&gt;0,J291/K291,"n.a.")</x:f>
        <x:v>0.0172</x:v>
      </x:c>
      <x:c r="R291" s="11" t="n">
        <x:f>IF(ISNUMBER(Q291),P291*Q291,"n.a.")</x:f>
        <x:v>1892</x:v>
      </x:c>
    </x:row>
    <x:row r="292" ht="21" customHeight="1">
      <x:c r="A292" s="1" t="str">
        <x:v>PLAS</x:v>
      </x:c>
      <x:c r="B292" s="1" t="str">
        <x:v>10</x:v>
      </x:c>
      <x:c r="C292" s="1" t="str">
        <x:v>51619RWBMAR</x:v>
      </x:c>
      <x:c r="D292" s="1" t="str">
        <x:v>1061329</x:v>
      </x:c>
      <x:c r="E292" s="1" t="str">
        <x:v>0</x:v>
      </x:c>
      <x:c r="F292" s="1" t="str">
        <x:v>25</x:v>
      </x:c>
      <x:c r="G292" s="7" t="n">
        <x:v>46395</x:v>
      </x:c>
      <x:c r="H292" s="1" t="n">
        <x:v>2000</x:v>
      </x:c>
      <x:c r="I292" s="1" t="n">
        <x:v>1</x:v>
      </x:c>
      <x:c r="J292" s="1" t="n">
        <x:v>1.72</x:v>
      </x:c>
      <x:c r="K292" s="1" t="n">
        <x:v>100</x:v>
      </x:c>
      <x:c r="L292" s="1" t="str">
        <x:v>a</x:v>
      </x:c>
      <x:c r="M292" s="1" t="n">
        <x:v>2000</x:v>
      </x:c>
      <x:c r="N292" s="1" t="n">
        <x:v>0</x:v>
      </x:c>
      <x:c r="O292" s="1" t="str">
        <x:v>updated receipts.csv</x:v>
      </x:c>
      <x:c r="P292" s="10" t="n">
        <x:f>H292*I292</x:f>
        <x:v>2000</x:v>
      </x:c>
      <x:c r="Q292" s="10" t="n">
        <x:f>IF(K292&gt;0,J292/K292,"n.a.")</x:f>
        <x:v>0.0172</x:v>
      </x:c>
      <x:c r="R292" s="11" t="n">
        <x:f>IF(ISNUMBER(Q292),P292*Q292,"n.a.")</x:f>
        <x:v>34.4</x:v>
      </x:c>
    </x:row>
    <x:row r="293" ht="21" customHeight="1">
      <x:c r="A293" s="1" t="str">
        <x:v>PLAS</x:v>
      </x:c>
      <x:c r="B293" s="1" t="str">
        <x:v>10</x:v>
      </x:c>
      <x:c r="C293" s="1" t="str">
        <x:v>51619RWBNAV</x:v>
      </x:c>
      <x:c r="D293" s="1" t="str">
        <x:v>1061329</x:v>
      </x:c>
      <x:c r="E293" s="1" t="str">
        <x:v>0</x:v>
      </x:c>
      <x:c r="F293" s="1" t="str">
        <x:v>32</x:v>
      </x:c>
      <x:c r="G293" s="7" t="n">
        <x:v>46395</x:v>
      </x:c>
      <x:c r="H293" s="1" t="n">
        <x:v>10000</x:v>
      </x:c>
      <x:c r="I293" s="1" t="n">
        <x:v>1</x:v>
      </x:c>
      <x:c r="J293" s="1" t="n">
        <x:v>1.72</x:v>
      </x:c>
      <x:c r="K293" s="1" t="n">
        <x:v>100</x:v>
      </x:c>
      <x:c r="L293" s="1" t="str">
        <x:v>a</x:v>
      </x:c>
      <x:c r="M293" s="1" t="n">
        <x:v>10000</x:v>
      </x:c>
      <x:c r="N293" s="1" t="n">
        <x:v>0</x:v>
      </x:c>
      <x:c r="O293" s="1" t="str">
        <x:v>updated receipts.csv</x:v>
      </x:c>
      <x:c r="P293" s="10" t="n">
        <x:f>H293*I293</x:f>
        <x:v>10000</x:v>
      </x:c>
      <x:c r="Q293" s="10" t="n">
        <x:f>IF(K293&gt;0,J293/K293,"n.a.")</x:f>
        <x:v>0.0172</x:v>
      </x:c>
      <x:c r="R293" s="11" t="n">
        <x:f>IF(ISNUMBER(Q293),P293*Q293,"n.a.")</x:f>
        <x:v>172</x:v>
      </x:c>
    </x:row>
    <x:row r="294" ht="21" customHeight="1">
      <x:c r="A294" s="1" t="str">
        <x:v>PLAS</x:v>
      </x:c>
      <x:c r="B294" s="1" t="str">
        <x:v>10</x:v>
      </x:c>
      <x:c r="C294" s="1" t="str">
        <x:v>51619RWBRED</x:v>
      </x:c>
      <x:c r="D294" s="1" t="str">
        <x:v>1061329</x:v>
      </x:c>
      <x:c r="E294" s="1" t="str">
        <x:v>0</x:v>
      </x:c>
      <x:c r="F294" s="1" t="str">
        <x:v>41</x:v>
      </x:c>
      <x:c r="G294" s="7" t="n">
        <x:v>46395</x:v>
      </x:c>
      <x:c r="H294" s="1" t="n">
        <x:v>7000</x:v>
      </x:c>
      <x:c r="I294" s="1" t="n">
        <x:v>1</x:v>
      </x:c>
      <x:c r="J294" s="1" t="n">
        <x:v>1.72</x:v>
      </x:c>
      <x:c r="K294" s="1" t="n">
        <x:v>100</x:v>
      </x:c>
      <x:c r="L294" s="1" t="str">
        <x:v>a</x:v>
      </x:c>
      <x:c r="M294" s="1" t="n">
        <x:v>7000</x:v>
      </x:c>
      <x:c r="N294" s="1" t="n">
        <x:v>0</x:v>
      </x:c>
      <x:c r="O294" s="1" t="str">
        <x:v>updated receipts.csv</x:v>
      </x:c>
      <x:c r="P294" s="10" t="n">
        <x:f>H294*I294</x:f>
        <x:v>7000</x:v>
      </x:c>
      <x:c r="Q294" s="10" t="n">
        <x:f>IF(K294&gt;0,J294/K294,"n.a.")</x:f>
        <x:v>0.0172</x:v>
      </x:c>
      <x:c r="R294" s="11" t="n">
        <x:f>IF(ISNUMBER(Q294),P294*Q294,"n.a.")</x:f>
        <x:v>120.4</x:v>
      </x:c>
    </x:row>
    <x:row r="295" ht="21" customHeight="1">
      <x:c r="A295" s="1" t="str">
        <x:v>PLAS</x:v>
      </x:c>
      <x:c r="B295" s="1" t="str">
        <x:v>10</x:v>
      </x:c>
      <x:c r="C295" s="1" t="str">
        <x:v>71615RWBBLK</x:v>
      </x:c>
      <x:c r="D295" s="1" t="str">
        <x:v>1061329</x:v>
      </x:c>
      <x:c r="E295" s="1" t="str">
        <x:v>0</x:v>
      </x:c>
      <x:c r="F295" s="1" t="str">
        <x:v>51</x:v>
      </x:c>
      <x:c r="G295" s="7" t="n">
        <x:v>46395</x:v>
      </x:c>
      <x:c r="H295" s="1" t="n">
        <x:v>6000</x:v>
      </x:c>
      <x:c r="I295" s="1" t="n">
        <x:v>1</x:v>
      </x:c>
      <x:c r="J295" s="1" t="n">
        <x:v>1.74</x:v>
      </x:c>
      <x:c r="K295" s="1" t="n">
        <x:v>100</x:v>
      </x:c>
      <x:c r="L295" s="1" t="str">
        <x:v>a</x:v>
      </x:c>
      <x:c r="M295" s="1" t="n">
        <x:v>6000</x:v>
      </x:c>
      <x:c r="N295" s="1" t="n">
        <x:v>0</x:v>
      </x:c>
      <x:c r="O295" s="1" t="str">
        <x:v>updated receipts.csv</x:v>
      </x:c>
      <x:c r="P295" s="10" t="n">
        <x:f>H295*I295</x:f>
        <x:v>6000</x:v>
      </x:c>
      <x:c r="Q295" s="10" t="n">
        <x:f>IF(K295&gt;0,J295/K295,"n.a.")</x:f>
        <x:v>0.0174</x:v>
      </x:c>
      <x:c r="R295" s="11" t="n">
        <x:f>IF(ISNUMBER(Q295),P295*Q295,"n.a.")</x:f>
        <x:v>104.39999999999999</x:v>
      </x:c>
    </x:row>
    <x:row r="296" ht="21" customHeight="1">
      <x:c r="A296" s="1" t="str">
        <x:v>PLAS</x:v>
      </x:c>
      <x:c r="B296" s="1" t="str">
        <x:v>10</x:v>
      </x:c>
      <x:c r="C296" s="1" t="str">
        <x:v>71619RWBBLK</x:v>
      </x:c>
      <x:c r="D296" s="1" t="str">
        <x:v>1061329</x:v>
      </x:c>
      <x:c r="E296" s="1" t="str">
        <x:v>0</x:v>
      </x:c>
      <x:c r="F296" s="1" t="str">
        <x:v>4</x:v>
      </x:c>
      <x:c r="G296" s="7" t="n">
        <x:v>46395</x:v>
      </x:c>
      <x:c r="H296" s="1" t="n">
        <x:v>57000</x:v>
      </x:c>
      <x:c r="I296" s="1" t="n">
        <x:v>1</x:v>
      </x:c>
      <x:c r="J296" s="1" t="n">
        <x:v>2.5</x:v>
      </x:c>
      <x:c r="K296" s="1" t="n">
        <x:v>100</x:v>
      </x:c>
      <x:c r="L296" s="1" t="str">
        <x:v>a</x:v>
      </x:c>
      <x:c r="M296" s="1" t="n">
        <x:v>57000</x:v>
      </x:c>
      <x:c r="N296" s="1" t="n">
        <x:v>0</x:v>
      </x:c>
      <x:c r="O296" s="1" t="str">
        <x:v>updated receipts.csv</x:v>
      </x:c>
      <x:c r="P296" s="10" t="n">
        <x:f>H296*I296</x:f>
        <x:v>57000</x:v>
      </x:c>
      <x:c r="Q296" s="10" t="n">
        <x:f>IF(K296&gt;0,J296/K296,"n.a.")</x:f>
        <x:v>0.025</x:v>
      </x:c>
      <x:c r="R296" s="11" t="n">
        <x:f>IF(ISNUMBER(Q296),P296*Q296,"n.a.")</x:f>
        <x:v>1425</x:v>
      </x:c>
    </x:row>
    <x:row r="297" ht="21" customHeight="1">
      <x:c r="A297" s="1" t="str">
        <x:v>PLAS</x:v>
      </x:c>
      <x:c r="B297" s="1" t="str">
        <x:v>10</x:v>
      </x:c>
      <x:c r="C297" s="1" t="str">
        <x:v>71619RWBCLR</x:v>
      </x:c>
      <x:c r="D297" s="1" t="str">
        <x:v>1061329</x:v>
      </x:c>
      <x:c r="E297" s="1" t="str">
        <x:v>0</x:v>
      </x:c>
      <x:c r="F297" s="1" t="str">
        <x:v>19</x:v>
      </x:c>
      <x:c r="G297" s="7" t="n">
        <x:v>46395</x:v>
      </x:c>
      <x:c r="H297" s="1" t="n">
        <x:v>2000</x:v>
      </x:c>
      <x:c r="I297" s="1" t="n">
        <x:v>1</x:v>
      </x:c>
      <x:c r="J297" s="1" t="n">
        <x:v>2.5</x:v>
      </x:c>
      <x:c r="K297" s="1" t="n">
        <x:v>100</x:v>
      </x:c>
      <x:c r="L297" s="1" t="str">
        <x:v>a</x:v>
      </x:c>
      <x:c r="M297" s="1" t="n">
        <x:v>2000</x:v>
      </x:c>
      <x:c r="N297" s="1" t="n">
        <x:v>0</x:v>
      </x:c>
      <x:c r="O297" s="1" t="str">
        <x:v>updated receipts.csv</x:v>
      </x:c>
      <x:c r="P297" s="10" t="n">
        <x:f>H297*I297</x:f>
        <x:v>2000</x:v>
      </x:c>
      <x:c r="Q297" s="10" t="n">
        <x:f>IF(K297&gt;0,J297/K297,"n.a.")</x:f>
        <x:v>0.025</x:v>
      </x:c>
      <x:c r="R297" s="11" t="n">
        <x:f>IF(ISNUMBER(Q297),P297*Q297,"n.a.")</x:f>
        <x:v>50</x:v>
      </x:c>
    </x:row>
    <x:row r="298" ht="21" customHeight="1">
      <x:c r="A298" s="1" t="str">
        <x:v>PLAS</x:v>
      </x:c>
      <x:c r="B298" s="1" t="str">
        <x:v>10</x:v>
      </x:c>
      <x:c r="C298" s="1" t="str">
        <x:v>71619RWBFG</x:v>
      </x:c>
      <x:c r="D298" s="1" t="str">
        <x:v>1061329</x:v>
      </x:c>
      <x:c r="E298" s="1" t="str">
        <x:v>0</x:v>
      </x:c>
      <x:c r="F298" s="1" t="str">
        <x:v>23</x:v>
      </x:c>
      <x:c r="G298" s="7" t="n">
        <x:v>46395</x:v>
      </x:c>
      <x:c r="H298" s="1" t="n">
        <x:v>4000</x:v>
      </x:c>
      <x:c r="I298" s="1" t="n">
        <x:v>1</x:v>
      </x:c>
      <x:c r="J298" s="1" t="n">
        <x:v>2.5</x:v>
      </x:c>
      <x:c r="K298" s="1" t="n">
        <x:v>100</x:v>
      </x:c>
      <x:c r="L298" s="1" t="str">
        <x:v>a</x:v>
      </x:c>
      <x:c r="M298" s="1" t="n">
        <x:v>4000</x:v>
      </x:c>
      <x:c r="N298" s="1" t="n">
        <x:v>0</x:v>
      </x:c>
      <x:c r="O298" s="1" t="str">
        <x:v>updated receipts.csv</x:v>
      </x:c>
      <x:c r="P298" s="10" t="n">
        <x:f>H298*I298</x:f>
        <x:v>4000</x:v>
      </x:c>
      <x:c r="Q298" s="10" t="n">
        <x:f>IF(K298&gt;0,J298/K298,"n.a.")</x:f>
        <x:v>0.025</x:v>
      </x:c>
      <x:c r="R298" s="11" t="n">
        <x:f>IF(ISNUMBER(Q298),P298*Q298,"n.a.")</x:f>
        <x:v>100</x:v>
      </x:c>
    </x:row>
    <x:row r="299" ht="21" customHeight="1">
      <x:c r="A299" s="1" t="str">
        <x:v>PLAS</x:v>
      </x:c>
      <x:c r="B299" s="1" t="str">
        <x:v>10</x:v>
      </x:c>
      <x:c r="C299" s="1" t="str">
        <x:v>71619RWBNAV</x:v>
      </x:c>
      <x:c r="D299" s="1" t="str">
        <x:v>1061329</x:v>
      </x:c>
      <x:c r="E299" s="1" t="str">
        <x:v>0</x:v>
      </x:c>
      <x:c r="F299" s="1" t="str">
        <x:v>34</x:v>
      </x:c>
      <x:c r="G299" s="7" t="n">
        <x:v>46395</x:v>
      </x:c>
      <x:c r="H299" s="1" t="n">
        <x:v>10000</x:v>
      </x:c>
      <x:c r="I299" s="1" t="n">
        <x:v>1</x:v>
      </x:c>
      <x:c r="J299" s="1" t="n">
        <x:v>2.5</x:v>
      </x:c>
      <x:c r="K299" s="1" t="n">
        <x:v>100</x:v>
      </x:c>
      <x:c r="L299" s="1" t="str">
        <x:v>a</x:v>
      </x:c>
      <x:c r="M299" s="1" t="n">
        <x:v>10000</x:v>
      </x:c>
      <x:c r="N299" s="1" t="n">
        <x:v>0</x:v>
      </x:c>
      <x:c r="O299" s="1" t="str">
        <x:v>updated receipts.csv</x:v>
      </x:c>
      <x:c r="P299" s="10" t="n">
        <x:f>H299*I299</x:f>
        <x:v>10000</x:v>
      </x:c>
      <x:c r="Q299" s="10" t="n">
        <x:f>IF(K299&gt;0,J299/K299,"n.a.")</x:f>
        <x:v>0.025</x:v>
      </x:c>
      <x:c r="R299" s="11" t="n">
        <x:f>IF(ISNUMBER(Q299),P299*Q299,"n.a.")</x:f>
        <x:v>250</x:v>
      </x:c>
    </x:row>
    <x:row r="300" ht="21" customHeight="1">
      <x:c r="A300" s="1" t="str">
        <x:v>PLAS</x:v>
      </x:c>
      <x:c r="B300" s="1" t="str">
        <x:v>10</x:v>
      </x:c>
      <x:c r="C300" s="1" t="str">
        <x:v>91615RWBBLK</x:v>
      </x:c>
      <x:c r="D300" s="1" t="str">
        <x:v>1061329</x:v>
      </x:c>
      <x:c r="E300" s="1" t="str">
        <x:v>0</x:v>
      </x:c>
      <x:c r="F300" s="1" t="str">
        <x:v>53</x:v>
      </x:c>
      <x:c r="G300" s="7" t="n">
        <x:v>46395</x:v>
      </x:c>
      <x:c r="H300" s="1" t="n">
        <x:v>6000</x:v>
      </x:c>
      <x:c r="I300" s="1" t="n">
        <x:v>1</x:v>
      </x:c>
      <x:c r="J300" s="1" t="n">
        <x:v>2.32</x:v>
      </x:c>
      <x:c r="K300" s="1" t="n">
        <x:v>100</x:v>
      </x:c>
      <x:c r="L300" s="1" t="str">
        <x:v>a</x:v>
      </x:c>
      <x:c r="M300" s="1" t="n">
        <x:v>6000</x:v>
      </x:c>
      <x:c r="N300" s="1" t="n">
        <x:v>0</x:v>
      </x:c>
      <x:c r="O300" s="1" t="str">
        <x:v>updated receipts.csv</x:v>
      </x:c>
      <x:c r="P300" s="10" t="n">
        <x:f>H300*I300</x:f>
        <x:v>6000</x:v>
      </x:c>
      <x:c r="Q300" s="10" t="n">
        <x:f>IF(K300&gt;0,J300/K300,"n.a.")</x:f>
        <x:v>0.0232</x:v>
      </x:c>
      <x:c r="R300" s="11" t="n">
        <x:f>IF(ISNUMBER(Q300),P300*Q300,"n.a.")</x:f>
        <x:v>139.2</x:v>
      </x:c>
    </x:row>
    <x:row r="301" ht="21" customHeight="1">
      <x:c r="A301" s="1" t="str">
        <x:v>PLAS</x:v>
      </x:c>
      <x:c r="B301" s="1" t="str">
        <x:v>10</x:v>
      </x:c>
      <x:c r="C301" s="1" t="str">
        <x:v>91615RWBBLU</x:v>
      </x:c>
      <x:c r="D301" s="1" t="str">
        <x:v>1061329</x:v>
      </x:c>
      <x:c r="E301" s="1" t="str">
        <x:v>0</x:v>
      </x:c>
      <x:c r="F301" s="1" t="str">
        <x:v>58</x:v>
      </x:c>
      <x:c r="G301" s="7" t="n">
        <x:v>46395</x:v>
      </x:c>
      <x:c r="H301" s="1" t="n">
        <x:v>1500</x:v>
      </x:c>
      <x:c r="I301" s="1" t="n">
        <x:v>1</x:v>
      </x:c>
      <x:c r="J301" s="1" t="n">
        <x:v>2.32</x:v>
      </x:c>
      <x:c r="K301" s="1" t="n">
        <x:v>100</x:v>
      </x:c>
      <x:c r="L301" s="1" t="str">
        <x:v>a</x:v>
      </x:c>
      <x:c r="M301" s="1" t="n">
        <x:v>1500</x:v>
      </x:c>
      <x:c r="N301" s="1" t="n">
        <x:v>0</x:v>
      </x:c>
      <x:c r="O301" s="1" t="str">
        <x:v>updated receipts.csv</x:v>
      </x:c>
      <x:c r="P301" s="10" t="n">
        <x:f>H301*I301</x:f>
        <x:v>1500</x:v>
      </x:c>
      <x:c r="Q301" s="10" t="n">
        <x:f>IF(K301&gt;0,J301/K301,"n.a.")</x:f>
        <x:v>0.0232</x:v>
      </x:c>
      <x:c r="R301" s="11" t="n">
        <x:f>IF(ISNUMBER(Q301),P301*Q301,"n.a.")</x:f>
        <x:v>34.8</x:v>
      </x:c>
    </x:row>
    <x:row r="302" ht="21" customHeight="1">
      <x:c r="A302" s="1" t="str">
        <x:v>PLAS</x:v>
      </x:c>
      <x:c r="B302" s="1" t="str">
        <x:v>10</x:v>
      </x:c>
      <x:c r="C302" s="1" t="str">
        <x:v>91619RWBBLK</x:v>
      </x:c>
      <x:c r="D302" s="1" t="str">
        <x:v>1061329</x:v>
      </x:c>
      <x:c r="E302" s="1" t="str">
        <x:v>0</x:v>
      </x:c>
      <x:c r="F302" s="1" t="str">
        <x:v>6</x:v>
      </x:c>
      <x:c r="G302" s="7" t="n">
        <x:v>46395</x:v>
      </x:c>
      <x:c r="H302" s="1" t="n">
        <x:v>35000</x:v>
      </x:c>
      <x:c r="I302" s="1" t="n">
        <x:v>1</x:v>
      </x:c>
      <x:c r="J302" s="1" t="n">
        <x:v>3.4</x:v>
      </x:c>
      <x:c r="K302" s="1" t="n">
        <x:v>100</x:v>
      </x:c>
      <x:c r="L302" s="1" t="str">
        <x:v>a</x:v>
      </x:c>
      <x:c r="M302" s="1" t="n">
        <x:v>35000</x:v>
      </x:c>
      <x:c r="N302" s="1" t="n">
        <x:v>0</x:v>
      </x:c>
      <x:c r="O302" s="1" t="str">
        <x:v>updated receipts.csv</x:v>
      </x:c>
      <x:c r="P302" s="10" t="n">
        <x:f>H302*I302</x:f>
        <x:v>35000</x:v>
      </x:c>
      <x:c r="Q302" s="10" t="n">
        <x:f>IF(K302&gt;0,J302/K302,"n.a.")</x:f>
        <x:v>0.034</x:v>
      </x:c>
      <x:c r="R302" s="11" t="n">
        <x:f>IF(ISNUMBER(Q302),P302*Q302,"n.a.")</x:f>
        <x:v>1190</x:v>
      </x:c>
    </x:row>
    <x:row r="303" ht="21" customHeight="1">
      <x:c r="A303" s="1" t="str">
        <x:v>PLAS</x:v>
      </x:c>
      <x:c r="B303" s="1" t="str">
        <x:v>10</x:v>
      </x:c>
      <x:c r="C303" s="1" t="str">
        <x:v>91619RWBFG</x:v>
      </x:c>
      <x:c r="D303" s="1" t="str">
        <x:v>1061329</x:v>
      </x:c>
      <x:c r="E303" s="1" t="str">
        <x:v>0</x:v>
      </x:c>
      <x:c r="F303" s="1" t="str">
        <x:v>24</x:v>
      </x:c>
      <x:c r="G303" s="7" t="n">
        <x:v>46395</x:v>
      </x:c>
      <x:c r="H303" s="1" t="n">
        <x:v>4000</x:v>
      </x:c>
      <x:c r="I303" s="1" t="n">
        <x:v>1</x:v>
      </x:c>
      <x:c r="J303" s="1" t="n">
        <x:v>3.4</x:v>
      </x:c>
      <x:c r="K303" s="1" t="n">
        <x:v>100</x:v>
      </x:c>
      <x:c r="L303" s="1" t="str">
        <x:v>a</x:v>
      </x:c>
      <x:c r="M303" s="1" t="n">
        <x:v>4000</x:v>
      </x:c>
      <x:c r="N303" s="1" t="n">
        <x:v>0</x:v>
      </x:c>
      <x:c r="O303" s="1" t="str">
        <x:v>updated receipts.csv</x:v>
      </x:c>
      <x:c r="P303" s="10" t="n">
        <x:f>H303*I303</x:f>
        <x:v>4000</x:v>
      </x:c>
      <x:c r="Q303" s="10" t="n">
        <x:f>IF(K303&gt;0,J303/K303,"n.a.")</x:f>
        <x:v>0.034</x:v>
      </x:c>
      <x:c r="R303" s="11" t="n">
        <x:f>IF(ISNUMBER(Q303),P303*Q303,"n.a.")</x:f>
        <x:v>136</x:v>
      </x:c>
    </x:row>
    <x:row r="304" ht="21" customHeight="1">
      <x:c r="A304" s="1" t="str">
        <x:v>PLAS</x:v>
      </x:c>
      <x:c r="B304" s="1" t="str">
        <x:v>10</x:v>
      </x:c>
      <x:c r="C304" s="1" t="str">
        <x:v>91619RWBMAR</x:v>
      </x:c>
      <x:c r="D304" s="1" t="str">
        <x:v>1061329</x:v>
      </x:c>
      <x:c r="E304" s="1" t="str">
        <x:v>0</x:v>
      </x:c>
      <x:c r="F304" s="1" t="str">
        <x:v>28</x:v>
      </x:c>
      <x:c r="G304" s="7" t="n">
        <x:v>46395</x:v>
      </x:c>
      <x:c r="H304" s="1" t="n">
        <x:v>2000</x:v>
      </x:c>
      <x:c r="I304" s="1" t="n">
        <x:v>1</x:v>
      </x:c>
      <x:c r="J304" s="1" t="n">
        <x:v>3.4</x:v>
      </x:c>
      <x:c r="K304" s="1" t="n">
        <x:v>100</x:v>
      </x:c>
      <x:c r="L304" s="1" t="str">
        <x:v>a</x:v>
      </x:c>
      <x:c r="M304" s="1" t="n">
        <x:v>2000</x:v>
      </x:c>
      <x:c r="N304" s="1" t="n">
        <x:v>0</x:v>
      </x:c>
      <x:c r="O304" s="1" t="str">
        <x:v>updated receipts.csv</x:v>
      </x:c>
      <x:c r="P304" s="10" t="n">
        <x:f>H304*I304</x:f>
        <x:v>2000</x:v>
      </x:c>
      <x:c r="Q304" s="10" t="n">
        <x:f>IF(K304&gt;0,J304/K304,"n.a.")</x:f>
        <x:v>0.034</x:v>
      </x:c>
      <x:c r="R304" s="11" t="n">
        <x:f>IF(ISNUMBER(Q304),P304*Q304,"n.a.")</x:f>
        <x:v>68</x:v>
      </x:c>
    </x:row>
    <x:row r="305" ht="21" customHeight="1">
      <x:c r="A305" s="1" t="str">
        <x:v>PLAS</x:v>
      </x:c>
      <x:c r="B305" s="1" t="str">
        <x:v>10</x:v>
      </x:c>
      <x:c r="C305" s="1" t="str">
        <x:v>91619RWBNAV</x:v>
      </x:c>
      <x:c r="D305" s="1" t="str">
        <x:v>1061329</x:v>
      </x:c>
      <x:c r="E305" s="1" t="str">
        <x:v>0</x:v>
      </x:c>
      <x:c r="F305" s="1" t="str">
        <x:v>36</x:v>
      </x:c>
      <x:c r="G305" s="7" t="n">
        <x:v>46395</x:v>
      </x:c>
      <x:c r="H305" s="1" t="n">
        <x:v>2000</x:v>
      </x:c>
      <x:c r="I305" s="1" t="n">
        <x:v>1</x:v>
      </x:c>
      <x:c r="J305" s="1" t="n">
        <x:v>3.4</x:v>
      </x:c>
      <x:c r="K305" s="1" t="n">
        <x:v>100</x:v>
      </x:c>
      <x:c r="L305" s="1" t="str">
        <x:v>a</x:v>
      </x:c>
      <x:c r="M305" s="1" t="n">
        <x:v>2000</x:v>
      </x:c>
      <x:c r="N305" s="1" t="n">
        <x:v>0</x:v>
      </x:c>
      <x:c r="O305" s="1" t="str">
        <x:v>updated receipts.csv</x:v>
      </x:c>
      <x:c r="P305" s="10" t="n">
        <x:f>H305*I305</x:f>
        <x:v>2000</x:v>
      </x:c>
      <x:c r="Q305" s="10" t="n">
        <x:f>IF(K305&gt;0,J305/K305,"n.a.")</x:f>
        <x:v>0.034</x:v>
      </x:c>
      <x:c r="R305" s="11" t="n">
        <x:f>IF(ISNUMBER(Q305),P305*Q305,"n.a.")</x:f>
        <x:v>68</x:v>
      </x:c>
    </x:row>
  </x:sheetData>
  <x:pageMargins left="0.7" right="0.7" top="0.75" bottom="0.75" header="0.3" footer="0.3"/>
  <x:tableParts count="1">
    <x:tablePart xmlns:r="http://schemas.openxmlformats.org/officeDocument/2006/relationships" r:id="R9c844587d01f4c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6" hidden="0" customWidth="1"/>
    <x:col min="4" max="4" width="16" hidden="0" customWidth="1"/>
    <x:col min="5" max="5" width="100" hidden="0" customWidth="1"/>
  </x:cols>
  <x:sheetData>
    <x:row r="1" ht="40" customHeight="1">
      <x:c r="A1" s="6" t="str">
        <x:v>Scope</x:v>
      </x:c>
      <x:c r="B1" s="6" t="str">
        <x:v>Source file</x:v>
      </x:c>
      <x:c r="C1" s="6" t="str">
        <x:v>As-of date</x:v>
      </x:c>
      <x:c r="D1" s="6" t="str">
        <x:v>Source rows</x:v>
      </x:c>
      <x:c r="E1" s="6" t="str">
        <x:v>Use and limitations</x:v>
      </x:c>
    </x:row>
    <x:row r="2" ht="36" customHeight="1">
      <x:c r="A2" s="1" t="str">
        <x:v>C400</x:v>
      </x:c>
      <x:c r="B2" s="1" t="str">
        <x:v>C400 Product WH With Listupdated.csv</x:v>
      </x:c>
      <x:c r="C2" s="7" t="n">
        <x:v>46303</x:v>
      </x:c>
      <x:c r="D2" s="1" t="n">
        <x:v>91</x:v>
      </x:c>
      <x:c r="E2" s="31" t="str">
        <x:v>Inventory and monthly usage; snapshot date confirmed for Plastic and assumed for Film/C400.</x:v>
      </x:c>
    </x:row>
    <x:row r="3" ht="36" customHeight="1">
      <x:c r="A3" s="1" t="str">
        <x:v>PLAS</x:v>
      </x:c>
      <x:c r="B3" s="1" t="str">
        <x:v>Plastic Product Information.csv</x:v>
      </x:c>
      <x:c r="C3" s="7" t="n">
        <x:v>46303</x:v>
      </x:c>
      <x:c r="D3" s="1" t="n">
        <x:v>776</x:v>
      </x:c>
      <x:c r="E3" s="31" t="str">
        <x:v>Inventory and monthly usage; snapshot date confirmed for Plastic and assumed for Film/C400.</x:v>
      </x:c>
    </x:row>
    <x:row r="4" ht="36" customHeight="1">
      <x:c r="A4" s="1" t="str">
        <x:v>FILM</x:v>
      </x:c>
      <x:c r="B4" s="1" t="str">
        <x:v>FilmInventory Data.csv</x:v>
      </x:c>
      <x:c r="C4" s="7" t="n">
        <x:v>46304</x:v>
      </x:c>
      <x:c r="D4" s="1" t="n">
        <x:v>196</x:v>
      </x:c>
      <x:c r="E4" s="31" t="str">
        <x:v>Inventory and monthly usage; snapshot date confirmed for Plastic and assumed for Film/C400.</x:v>
      </x:c>
    </x:row>
    <x:row r="5" ht="36" customHeight="1">
      <x:c r="A5" s="1" t="str">
        <x:v>All</x:v>
      </x:c>
      <x:c r="B5" s="1" t="str">
        <x:v>updated receipts.csv</x:v>
      </x:c>
      <x:c r="C5" s="7" t="n">
        <x:v>46304</x:v>
      </x:c>
      <x:c r="D5" s="1" t="n">
        <x:v>574</x:v>
      </x:c>
      <x:c r="E5" s="31" t="str">
        <x:v>Only blank-receipt-date records. Active a lines are incoming at full ordered quantity, per user confirmation.</x:v>
      </x:c>
    </x:row>
    <x:row r="6" ht="36" customHeight="1">
      <x:c r="A6" s="1" t="str">
        <x:v>FILM</x:v>
      </x:c>
      <x:c r="B6" s="1" t="str">
        <x:v>Film Receipts.csv</x:v>
      </x:c>
      <x:c r="C6" s="7" t="n">
        <x:v>46304</x:v>
      </x:c>
      <x:c r="D6" s="1" t="n">
        <x:v>704</x:v>
      </x:c>
      <x:c r="E6" s="31" t="str">
        <x:v>Receipt-based remaining layers; original baseline from Chris workbook.</x:v>
      </x:c>
    </x:row>
    <x:row r="7" ht="36" customHeight="1">
      <x:c r="A7" s="1" t="str">
        <x:v>C400</x:v>
      </x:c>
      <x:c r="B7" s="1" t="str">
        <x:v>C400 all wareshouses.csv</x:v>
      </x:c>
      <x:c r="C7" s="7" t="n">
        <x:v>46303</x:v>
      </x:c>
      <x:c r="D7" s="1" t="n">
        <x:v>433</x:v>
      </x:c>
      <x:c r="E7" s="31" t="str">
        <x:v>Receipt-based remaining layers; original baseline from Chris workbook.</x:v>
      </x:c>
    </x:row>
    <x:row r="8" ht="36" customHeight="1">
      <x:c r="A8" s="1" t="str">
        <x:v>PLAS</x:v>
      </x:c>
      <x:c r="B8" s="1" t="str">
        <x:v>Plastic Receipts.csv</x:v>
      </x:c>
      <x:c r="C8" s="7" t="n">
        <x:v>46303</x:v>
      </x:c>
      <x:c r="D8" s="1" t="n">
        <x:v>851</x:v>
      </x:c>
      <x:c r="E8" s="31" t="str">
        <x:v>Receipt-based remaining layers; original baseline from Chris workbook.</x:v>
      </x:c>
    </x:row>
    <x:row r="9" ht="36" customHeight="1">
      <x:c r="A9" s="1" t="str">
        <x:v>All</x:v>
      </x:c>
      <x:c r="B9" s="1" t="str">
        <x:v>Chris Price Increases.xlsx</x:v>
      </x:c>
      <x:c r="C9" s="7"/>
      <x:c r="D9" s="1"/>
      <x:c r="E9" s="31" t="str">
        <x:v>Original PO-price baseline; C400 44% and Plastic 47% proposed add-ons.</x:v>
      </x:c>
    </x:row>
    <x:row r="10" ht="36" customHeight="1">
      <x:c r="A10" s="1"/>
      <x:c r="B10" s="1"/>
      <x:c r="C10" s="7"/>
      <x:c r="D10" s="1"/>
      <x:c r="E10" s="31"/>
    </x:row>
    <x:row r="11" ht="21" customHeight="1">
      <x:c r="A11" s="1"/>
      <x:c r="B11" s="1"/>
      <x:c r="C11" s="1"/>
      <x:c r="D11" s="1"/>
      <x:c r="E11" s="1"/>
    </x:row>
    <x:row r="12" ht="44" customHeight="1">
      <x:c r="A12" s="1" t="str">
        <x:v>Refresh</x:v>
      </x:c>
      <x:c r="B12" s="31" t="str">
        <x:v>This version is a snapshot of uploaded files, not a live database connection. Upload replacement inventory and all-category receipt/open-PO exports for a reviewed refresh.</x:v>
      </x:c>
      <x:c r="C12" s="31"/>
      <x:c r="D12" s="31"/>
      <x:c r="E12" s="31"/>
    </x:row>
    <x:row r="13" ht="44" customHeight="1">
      <x:c r="A13" s="1" t="str">
        <x:v>Receipt recognition</x:v>
      </x:c>
      <x:c r="B13" s="31" t="str">
        <x:v>Receipt date present means received. Active a with blank date means incoming. Other blank-date statuses are excluded; overdue active lines remain visible.</x:v>
      </x:c>
      <x:c r="C13" s="31"/>
      <x:c r="D13" s="31"/>
      <x:c r="E13" s="31"/>
    </x:row>
    <x:row r="14" ht="44" customHeight="1">
      <x:c r="A14" s="1" t="str">
        <x:v>Old-cost layers</x:v>
      </x:c>
      <x:c r="B14" s="31" t="str">
        <x:v>Estimated remaining receipt quantities at original PO baseline plus 1% tolerance. Classify only reconciled product/warehouse records with known original baseline.</x:v>
      </x:c>
      <x:c r="C14" s="31"/>
      <x:c r="D14" s="31"/>
      <x:c r="E14" s="31"/>
    </x:row>
    <x:row r="15" ht="44" customHeight="1">
      <x:c r="A15" s="1" t="str">
        <x:v>Cost basis</x:v>
      </x:c>
      <x:c r="B15" s="31" t="str">
        <x:v>C400 = replacement x 1.44 /100. Plastic = replacement x 1.47 /100. Film = replacement cost per unit, with no additional add-on assumed. Missing replacement costs remain unavailable.</x:v>
      </x:c>
      <x:c r="C15" s="31"/>
      <x:c r="D15" s="31"/>
      <x:c r="E15" s="31"/>
    </x:row>
    <x:row r="16" ht="44" customHeight="1">
      <x:c r="A16" s="1" t="str">
        <x:v>Forecast</x:v>
      </x:c>
      <x:c r="B16" s="31" t="str">
        <x:v>Incoming lines due on/after each snapshot and before forecast date are added. Usage = monthly rate x selected factor x elapsed days /30.4375. Inventory is capped at zero; unmet demand shown in forecast detail. This is a period-end planning model, not a daily availability simulation.</x:v>
      </x:c>
      <x:c r="C16" s="31"/>
      <x:c r="D16" s="31"/>
      <x:c r="E16" s="31"/>
    </x:row>
    <x:row r="17" ht="44" customHeight="1">
      <x:c r="A17" s="1" t="str">
        <x:v>FIFO forecast</x:v>
      </x:c>
      <x:c r="B17" s="31" t="str">
        <x:v>Old units forecast = max(0, old units + old-cost incoming units - fulfilled modeled usage). Unclassified stock is not assigned to old or higher-cost layers.</x:v>
      </x:c>
      <x:c r="C17" s="31"/>
      <x:c r="D17" s="31"/>
      <x:c r="E17" s="31"/>
    </x:row>
    <x:row r="18" ht="44" customHeight="1">
      <x:c r="A18" s="1" t="str">
        <x:v>Revaluation</x:v>
      </x:c>
      <x:c r="B18" s="31" t="str">
        <x:v>Projected units x (selected new standard - current standard). Known-cost totals exclude unavailable cost rows; review Missing-cost rows before approving an adjustment.</x:v>
      </x:c>
      <x:c r="C18" s="31"/>
      <x:c r="D18" s="31"/>
      <x:c r="E18" s="31"/>
    </x:row>
    <x:row r="19" ht="44" customHeight="1">
      <x:c r="A19" s="1" t="str">
        <x:v>Dates</x:v>
      </x:c>
      <x:c r="B19" s="31" t="str">
        <x:v>Forecast should be later than each selected inventory snapshot. Excel date input is editable. No future receipts or transfers beyond the supplied open orders are assumed.</x:v>
      </x:c>
      <x:c r="C19" s="31"/>
      <x:c r="D19" s="31"/>
      <x:c r="E19" s="31"/>
    </x:row>
    <x:row r="20" ht="44" customHeight="1">
      <x:c r="A20" s="1" t="str">
        <x:v>Stock valuation</x:v>
      </x:c>
      <x:c r="B20" s="31" t="str">
        <x:v>Current values at unit-normalized standards may differ from reported inventory due to unavailable stock, scope or unit exceptions. Difference is explicit.</x:v>
      </x:c>
      <x:c r="C20" s="31"/>
      <x:c r="D20" s="31"/>
      <x:c r="E20" s="31"/>
    </x:row>
    <x:row r="21" ht="44" customHeight="1">
      <x:c r="A21" s="1" t="str">
        <x:v>Scope gaps</x:v>
      </x:c>
      <x:c r="B21" s="31" t="str">
        <x:v>C800 current inventory is missing. Plastic classified coverage is about 55%; unknown old/new layers remain visible. Category-specific snapshot dates differ by one day.</x:v>
      </x:c>
      <x:c r="C21" s="31"/>
      <x:c r="D21" s="31"/>
      <x:c r="E21" s="31"/>
    </x:row>
    <x:row r="22" ht="44" customHeight="1">
      <x:c r="A22" s="1" t="str">
        <x:v>Open PO units</x:v>
      </x:c>
      <x:c r="B22" s="31" t="str">
        <x:v>Full ordered quantities are incoming where active and receipt date blank, even if qtyrcv is populated. User confirmed this rule. Unitconv applied to ordered quantities; all current active lines have conversion 1.</x:v>
      </x:c>
      <x:c r="C22" s="31"/>
      <x:c r="D22" s="31"/>
      <x:c r="E22" s="31"/>
    </x:row>
    <x:row r="23" ht="21" customHeight="1">
      <x:c r="A23" s="1"/>
      <x:c r="B23" s="1"/>
      <x:c r="C23" s="1"/>
      <x:c r="D23" s="1"/>
      <x:c r="E23" s="1"/>
    </x:row>
    <x:row r="24" ht="21" customHeight="1">
      <x:c r="A24" s="1"/>
      <x:c r="B24" s="1"/>
      <x:c r="C24" s="1"/>
      <x:c r="D24" s="1"/>
      <x:c r="E24" s="1"/>
    </x:row>
    <x:row r="25" ht="21" customHeight="1">
      <x:c r="A25" s="1"/>
      <x:c r="B25" s="1"/>
      <x:c r="C25" s="1"/>
      <x:c r="D25" s="1"/>
      <x:c r="E25" s="1"/>
    </x:row>
  </x:sheetData>
  <x:mergeCells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</x:mergeCells>
  <x:pageMargins left="0.7" right="0.7" top="0.75" bottom="0.75" header="0.3" footer="0.3"/>
</x:worksheet>
</file>