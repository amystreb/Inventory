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0629a1a7b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s to be received in" sheetId="1" r:id="Rb8404250a5d94e01"/>
    <x:sheet xmlns:r="http://schemas.openxmlformats.org/officeDocument/2006/relationships" name="Product Inventory 1092026" sheetId="2" r:id="R20edae8ec4e445dc"/>
  </x:sheets>
</x:workbook>
</file>

<file path=xl/sharedStrings.xml><?xml version="1.0" encoding="utf-8"?>
<x:sst xmlns:x="http://schemas.openxmlformats.org/spreadsheetml/2006/main">
  <x:si>
    <x:t xml:space="preserve">Product Category</x:t>
  </x:si>
  <x:si>
    <x:t xml:space="preserve">whse</x:t>
  </x:si>
  <x:si>
    <x:t xml:space="preserve">shipprod</x:t>
  </x:si>
  <x:si>
    <x:t xml:space="preserve">pono</x:t>
  </x:si>
  <x:si>
    <x:t xml:space="preserve">posuf</x:t>
  </x:si>
  <x:si>
    <x:t xml:space="preserve">lineno</x:t>
  </x:si>
  <x:si>
    <x:t xml:space="preserve">Sum of qtyrcv</x:t>
  </x:si>
  <x:si>
    <x:t xml:space="preserve">Sum of qtyord</x:t>
  </x:si>
  <x:si>
    <x:t xml:space="preserve">Sum of qtyunavail</x:t>
  </x:si>
  <x:si>
    <x:t xml:space="preserve">unitconv</x:t>
  </x:si>
  <x:si>
    <x:t xml:space="preserve">price</x:t>
  </x:si>
  <x:si>
    <x:t xml:space="preserve">Sum of glcostrcv</x:t>
  </x:si>
  <x:si>
    <x:t xml:space="preserve">poeh.receiptdt</x:t>
  </x:si>
  <x:si>
    <x:t xml:space="preserve">statustype</x:t>
  </x:si>
  <x:si>
    <x:t xml:space="preserve">duedt</x:t>
  </x:si>
  <x:si>
    <x:t xml:space="preserve">FILM</x:t>
  </x:si>
  <x:si>
    <x:t xml:space="preserve">1250010C3</x:t>
  </x:si>
  <x:si>
    <x:t xml:space="preserve">a</x:t>
  </x:si>
  <x:si>
    <x:t xml:space="preserve">125005C2</x:t>
  </x:si>
  <x:si>
    <x:t xml:space="preserve">1850010C3</x:t>
  </x:si>
  <x:si>
    <x:t xml:space="preserve">252005C1</x:t>
  </x:si>
  <x:si>
    <x:t xml:space="preserve">252503C1</x:t>
  </x:si>
  <x:si>
    <x:t xml:space="preserve">2550015C1</x:t>
  </x:si>
  <x:si>
    <x:t xml:space="preserve">2550017C1</x:t>
  </x:si>
  <x:si>
    <x:t xml:space="preserve">272005C1</x:t>
  </x:si>
  <x:si>
    <x:t xml:space="preserve">272503C1</x:t>
  </x:si>
  <x:si>
    <x:t xml:space="preserve">2750015C1</x:t>
  </x:si>
  <x:si>
    <x:t xml:space="preserve">382005C3</x:t>
  </x:si>
  <x:si>
    <x:t xml:space="preserve">122005C1</x:t>
  </x:si>
  <x:si>
    <x:t xml:space="preserve">182005C1</x:t>
  </x:si>
  <x:si>
    <x:t xml:space="preserve">2510010C1</x:t>
  </x:si>
  <x:si>
    <x:t xml:space="preserve">PR122503C1</x:t>
  </x:si>
  <x:si>
    <x:t xml:space="preserve">PR252503C1</x:t>
  </x:si>
  <x:si>
    <x:t xml:space="preserve">PR432503C3</x:t>
  </x:si>
  <x:si>
    <x:t xml:space="preserve">1810005C3</x:t>
  </x:si>
  <x:si>
    <x:t xml:space="preserve">1850015C1</x:t>
  </x:si>
  <x:si>
    <x:t xml:space="preserve">2550015C2</x:t>
  </x:si>
  <x:si>
    <x:t xml:space="preserve">2750017C1</x:t>
  </x:si>
  <x:si>
    <x:t xml:space="preserve">ST252503M1</x:t>
  </x:si>
  <x:si>
    <x:t xml:space="preserve">182503C1</x:t>
  </x:si>
  <x:si>
    <x:t xml:space="preserve">185005C2</x:t>
  </x:si>
  <x:si>
    <x:t xml:space="preserve">382005C2</x:t>
  </x:si>
  <x:si>
    <x:t xml:space="preserve">3850017C3</x:t>
  </x:si>
  <x:si>
    <x:t xml:space="preserve">ST382005M3</x:t>
  </x:si>
  <x:si>
    <x:t xml:space="preserve">prodcat</x:t>
  </x:si>
  <x:si>
    <x:t xml:space="preserve">WhseId</x:t>
  </x:si>
  <x:si>
    <x:t xml:space="preserve">VendorName</x:t>
  </x:si>
  <x:si>
    <x:t xml:space="preserve">ProdId</x:t>
  </x:si>
  <x:si>
    <x:t xml:space="preserve">UsageRate</x:t>
  </x:si>
  <x:si>
    <x:t xml:space="preserve">Sum of QtyOnHand</x:t>
  </x:si>
  <x:si>
    <x:t xml:space="preserve">Sum of QtyOnOrder</x:t>
  </x:si>
  <x:si>
    <x:t xml:space="preserve">ReplacCost</x:t>
  </x:si>
  <x:si>
    <x:t xml:space="preserve">ReplacCostDate</x:t>
  </x:si>
  <x:si>
    <x:t xml:space="preserve">StndCost</x:t>
  </x:si>
  <x:si>
    <x:t xml:space="preserve">StndCostDate</x:t>
  </x:si>
  <x:si>
    <x:t xml:space="preserve">LastRecptDate</x:t>
  </x:si>
  <x:si>
    <x:t xml:space="preserve">Sum of ADD ON</x:t>
  </x:si>
  <x:si>
    <x:t xml:space="preserve">MONTHS SUPPLY WITH ON ORDER</x:t>
  </x:si>
  <x:si>
    <x:t xml:space="preserve">MONTHS SUPPPLY</x:t>
  </x:si>
  <x:si>
    <x:t xml:space="preserve">On-Hand Cost Change</x:t>
  </x:si>
  <x:si>
    <x:t xml:space="preserve">On-Order Cost Difference</x:t>
  </x:si>
  <x:si>
    <x:t xml:space="preserve">Sum of Total Standard Cost</x:t>
  </x:si>
  <x:si>
    <x:t xml:space="preserve">Sum of Total Replacement Cost</x:t>
  </x:si>
  <x:si>
    <x:t xml:space="preserve">ListPrice</x:t>
  </x:si>
  <x:si>
    <x:t xml:space="preserve">**PAY ACH** POLYPLEX USA LLC</x:t>
  </x:si>
  <x:si>
    <x:t xml:space="preserve">PR272503C1</x:t>
  </x:si>
  <x:si>
    <x:t xml:space="preserve">SG25500C1</x:t>
  </x:si>
  <x:si>
    <x:t xml:space="preserve">MARTIN YALE INDUSTRIES</x:t>
  </x:si>
  <x:si>
    <x:t xml:space="preserve">HLA123G</x:t>
  </x:si>
  <x:si>
    <x:t xml:space="preserve">1210010C1</x:t>
  </x:si>
  <x:si>
    <x:t xml:space="preserve">2710010C1</x:t>
  </x:si>
  <x:si>
    <x:t xml:space="preserve">1810010C1</x:t>
  </x:si>
  <x:si>
    <x:t xml:space="preserve">132005C1</x:t>
  </x:si>
  <x:si>
    <x:t xml:space="preserve">Infinity</x:t>
  </x:si>
  <x:si>
    <x:t xml:space="preserve">182503C2</x:t>
  </x:si>
  <x:si>
    <x:t xml:space="preserve">ST2550017M1</x:t>
  </x:si>
  <x:si>
    <x:t xml:space="preserve">122503C1</x:t>
  </x:si>
  <x:si>
    <x:t xml:space="preserve">252503C2</x:t>
  </x:si>
  <x:si>
    <x:t xml:space="preserve">255003C1</x:t>
  </x:si>
  <x:si>
    <x:t xml:space="preserve">1250015C1</x:t>
  </x:si>
  <x:si>
    <x:t xml:space="preserve">252005C2</x:t>
  </x:si>
  <x:si>
    <x:t xml:space="preserve">125003C1</x:t>
  </x:si>
  <x:si>
    <x:t xml:space="preserve">92503C1</x:t>
  </x:si>
  <x:si>
    <x:t xml:space="preserve">PR402503C2</x:t>
  </x:si>
  <x:si>
    <x:t xml:space="preserve">TRANSCENDIA</x:t>
  </x:si>
  <x:si>
    <x:t xml:space="preserve">PR382503C2</x:t>
  </x:si>
  <x:si>
    <x:t xml:space="preserve">HLA1215G</x:t>
  </x:si>
  <x:si>
    <x:t xml:space="preserve">402005C2</x:t>
  </x:si>
  <x:si>
    <x:t xml:space="preserve">PR182503C1</x:t>
  </x:si>
  <x:si>
    <x:t xml:space="preserve">HLA125G</x:t>
  </x:si>
  <x:si>
    <x:t xml:space="preserve">1250015C2</x:t>
  </x:si>
  <x:si>
    <x:t xml:space="preserve">PR142503C1</x:t>
  </x:si>
  <x:si>
    <x:t xml:space="preserve">432005C3</x:t>
  </x:si>
  <x:si>
    <x:t xml:space="preserve">PR382503C3</x:t>
  </x:si>
  <x:si>
    <x:t xml:space="preserve">ST252005M1</x:t>
  </x:si>
  <x:si>
    <x:t xml:space="preserve">92005C1</x:t>
  </x:si>
  <x:si>
    <x:t xml:space="preserve">255005C2</x:t>
  </x:si>
  <x:si>
    <x:t xml:space="preserve">1850015C2</x:t>
  </x:si>
  <x:si>
    <x:t xml:space="preserve">122005C2</x:t>
  </x:si>
  <x:si>
    <x:t xml:space="preserve">1210005C3</x:t>
  </x:si>
  <x:si>
    <x:t xml:space="preserve">SG25200C1</x:t>
  </x:si>
  <x:si>
    <x:t xml:space="preserve">ST382503M3</x:t>
  </x:si>
  <x:si>
    <x:t xml:space="preserve">ST432503M3</x:t>
  </x:si>
  <x:si>
    <x:t xml:space="preserve">2510005C3</x:t>
  </x:si>
  <x:si>
    <x:t xml:space="preserve">122005M1</x:t>
  </x:si>
  <x:si>
    <x:t xml:space="preserve">122503M1</x:t>
  </x:si>
  <x:si>
    <x:t xml:space="preserve">12300017C3</x:t>
  </x:si>
  <x:si>
    <x:t xml:space="preserve">NaN</x:t>
  </x:si>
  <x:si>
    <x:t xml:space="preserve">1250015M1</x:t>
  </x:si>
  <x:si>
    <x:t xml:space="preserve">142005C1</x:t>
  </x:si>
  <x:si>
    <x:t xml:space="preserve">182005M1</x:t>
  </x:si>
  <x:si>
    <x:t xml:space="preserve">182503M1</x:t>
  </x:si>
  <x:si>
    <x:t xml:space="preserve">18300017C3</x:t>
  </x:si>
  <x:si>
    <x:t xml:space="preserve">1850015M1</x:t>
  </x:si>
  <x:si>
    <x:t xml:space="preserve">25100015C1</x:t>
  </x:si>
  <x:si>
    <x:t xml:space="preserve">2510003C2</x:t>
  </x:si>
  <x:si>
    <x:t xml:space="preserve">252503M1</x:t>
  </x:si>
  <x:si>
    <x:t xml:space="preserve">25300017C3</x:t>
  </x:si>
  <x:si>
    <x:t xml:space="preserve">2550010C3</x:t>
  </x:si>
  <x:si>
    <x:t xml:space="preserve">2550015M1</x:t>
  </x:si>
  <x:si>
    <x:t xml:space="preserve">272005m1</x:t>
  </x:si>
  <x:si>
    <x:t xml:space="preserve">272503M1</x:t>
  </x:si>
  <x:si>
    <x:t xml:space="preserve">2750015M1</x:t>
  </x:si>
  <x:si>
    <x:t xml:space="preserve">4350017C3</x:t>
  </x:si>
  <x:si>
    <x:t xml:space="preserve">PPFS</x:t>
  </x:si>
  <x:si>
    <x:t xml:space="preserve">PR1210003C2</x:t>
  </x:si>
  <x:si>
    <x:t xml:space="preserve">PR1220003C3</x:t>
  </x:si>
  <x:si>
    <x:t xml:space="preserve">PR122503M1</x:t>
  </x:si>
  <x:si>
    <x:t xml:space="preserve">PR132503C1</x:t>
  </x:si>
  <x:si>
    <x:t xml:space="preserve">PR1820003C3</x:t>
  </x:si>
  <x:si>
    <x:t xml:space="preserve">PR182503M1</x:t>
  </x:si>
  <x:si>
    <x:t xml:space="preserve">PR2520003C3</x:t>
  </x:si>
  <x:si>
    <x:t xml:space="preserve">PR252503M1</x:t>
  </x:si>
  <x:si>
    <x:t xml:space="preserve">PR272503M1</x:t>
  </x:si>
  <x:si>
    <x:t xml:space="preserve">SG27500C1</x:t>
  </x:si>
  <x:si>
    <x:t xml:space="preserve">ST3850017M3</x:t>
  </x:si>
  <x:si>
    <x:t xml:space="preserve">ST432005M3</x:t>
  </x:si>
  <x:si>
    <x:t xml:space="preserve">ST4350017M3</x:t>
  </x:si>
  <x:si>
    <x:t xml:space="preserve">382005M2</x:t>
  </x:si>
  <x:si>
    <x:t xml:space="preserve">382005M3</x:t>
  </x:si>
  <x:si>
    <x:t xml:space="preserve">ST252503M3</x:t>
  </x:si>
</x:sst>
</file>

<file path=xl/styles.xml><?xml version="1.0" encoding="utf-8"?>
<x:styleSheet xmlns:x="http://schemas.openxmlformats.org/spreadsheetml/2006/main">
  <x:numFmts count="9">
    <x:numFmt numFmtId="200" formatCode="mm/dd/yy"/>
    <x:numFmt numFmtId="201" formatCode="0%"/>
    <x:numFmt numFmtId="202" formatCode="0.0000"/>
    <x:numFmt numFmtId="203" formatCode="0"/>
    <x:numFmt numFmtId="204" formatCode="#,##0"/>
    <x:numFmt numFmtId="205" formatCode="#,##0.0;(#,##0.0);&quot;–&quot;"/>
    <x:numFmt numFmtId="206" formatCode="$#,##0.00;($#,##0.00);&quot;–&quot;"/>
    <x:numFmt numFmtId="207" formatCode="0.0%;(0.0%);&quot;–&quot;"/>
    <x:numFmt numFmtId="208" formatCode="0.0%"/>
  </x:numFmts>
  <x:fonts count="15">
    <x:font>
      <x:sz val="11"/>
      <x:color theme="1"/>
      <x:name val="Aptos Narrow"/>
    </x:font>
    <x:font>
      <x:b/>
      <x:sz val="14"/>
      <x:color rgb="FF17324D"/>
      <x:name val="Arial"/>
    </x:font>
    <x:font>
      <x:sz val="11"/>
      <x:color rgb="FF0000FF"/>
      <x:name val="Arial"/>
    </x:font>
    <x:font>
      <x:sz val="11"/>
      <x:color rgb="FF111111"/>
      <x:name val="Aptos Narrow"/>
    </x:font>
    <x:font>
      <x:sz val="11"/>
      <x:color rgb="FF008000"/>
      <x:name val="Aptos Narrow"/>
    </x:font>
    <x:font>
      <x:i/>
      <x:sz val="11"/>
      <x:color rgb="FF111111"/>
      <x:name val="Aptos Narrow"/>
    </x:font>
    <x:font>
      <x:b/>
      <x:sz val="11"/>
      <x:color rgb="FFFFFFFF"/>
      <x:name val="Arial"/>
    </x:font>
    <x:font>
      <x:b/>
      <x:sz val="11"/>
      <x:color theme="1"/>
      <x:name val="Aptos Narrow"/>
    </x:font>
    <x:font>
      <x:sz val="11"/>
      <x:color rgb="FF17324D"/>
      <x:name val="Arial"/>
    </x:font>
    <x:font>
      <x:b/>
      <x:sz val="11"/>
      <x:color rgb="FF17324D"/>
      <x:name val="Arial"/>
    </x:font>
    <x:font>
      <x:sz val="10"/>
      <x:color rgb="FF596774"/>
      <x:name val="Arial"/>
    </x:font>
    <x:font>
      <x:sz val="11"/>
      <x:color rgb="FF111111"/>
      <x:name val="Arial"/>
    </x:font>
    <x:font>
      <x:b/>
      <x:sz val="11"/>
      <x:color rgb="FF111111"/>
      <x:name val="Arial"/>
    </x:font>
    <x:font>
      <x:i/>
      <x:sz val="11"/>
      <x:color rgb="FF17324D"/>
      <x:name val="Arial"/>
    </x:font>
    <x:font>
      <x:i/>
      <x:sz val="11"/>
      <x:color rgb="FF1111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6" tint="0.39998"/>
      </x:patternFill>
    </x:fill>
    <x:fill>
      <x:patternFill patternType="solid">
        <x:fgColor rgb="FFFFF1CB"/>
      </x:patternFill>
    </x:fill>
    <x:fill>
      <x:patternFill patternType="solid">
        <x:fgColor rgb="FF45CE50"/>
      </x:patternFill>
    </x:fill>
    <x:fill>
      <x:patternFill patternType="solid">
        <x:fgColor rgb="FF17324D"/>
      </x:patternFill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58">
    <x:xf numFmtId="0" fontId="0" fillId="0" borderId="0" xfId="0"/>
    <x:xf numFmtId="14" fontId="0" fillId="0" borderId="0" xfId="0" applyNumberFormat="1"/>
    <x:xf numFmtId="10" fontId="0" fillId="0" borderId="0" xfId="0" applyNumberFormat="1"/>
    <x:xf numFmtId="22" fontId="0" fillId="0" borderId="0" xfId="0" applyNumberFormat="1"/>
    <x:xf numFmtId="0" fontId="0" fillId="2" borderId="0" xfId="0" applyFill="1"/>
    <x:xf numFmtId="0" fontId="0" fillId="2" borderId="0" xfId="0" applyFill="1" applyAlignment="1">
      <x:alignment wrapText="1"/>
    </x:xf>
    <x:xf numFmtId="14" fontId="0" fillId="2" borderId="0" xfId="0" applyNumberFormat="1" applyFill="1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1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3" fillId="0" borderId="0" xfId="0" applyNumberFormat="1" applyFont="1" applyFill="1" applyBorder="1"/>
    <x:xf numFmtId="204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5" fontId="4" fillId="0" borderId="0" xfId="0" applyNumberFormat="1" applyFont="1" applyFill="1" applyBorder="1"/>
    <x:xf numFmtId="205" fontId="3" fillId="0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6" fontId="3" fillId="0" borderId="0" xfId="0" applyNumberFormat="1" applyFont="1" applyFill="1" applyBorder="1"/>
    <x:xf numFmtId="207" fontId="3" fillId="0" borderId="0" xfId="0" applyNumberFormat="1" applyFont="1" applyFill="1" applyBorder="1"/>
    <x:xf numFmtId="207" fontId="5" fillId="0" borderId="0" xfId="0" applyNumberFormat="1" applyFont="1" applyFill="1" applyBorder="1"/>
    <x:xf numFmtId="206" fontId="3" fillId="0" borderId="0" xfId="0" applyNumberFormat="1" applyFont="1" applyFill="1" applyBorder="1" applyAlignment="1">
      <x:alignment horizontal="right"/>
    </x:xf>
    <x:xf numFmtId="207" fontId="5" fillId="0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8" fontId="0" fillId="0" borderId="0" xfId="0" applyNumberFormat="1" applyFont="1" applyFill="1" applyBorder="1"/>
    <x:xf numFmtId="0" fontId="7" fillId="0" borderId="0" xfId="0" applyNumberFormat="1" applyFont="1" applyFill="1" applyBorder="1"/>
    <x:xf numFmtId="205" fontId="7" fillId="0" borderId="0" xfId="0" applyNumberFormat="1" applyFont="1" applyFill="1" applyBorder="1"/>
    <x:xf numFmtId="206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205" fontId="11" fillId="0" borderId="0" xfId="0" applyNumberFormat="1" applyFont="1" applyFill="1" applyBorder="1"/>
    <x:xf numFmtId="205" fontId="12" fillId="0" borderId="0" xfId="0" applyNumberFormat="1" applyFont="1" applyFill="1" applyBorder="1"/>
    <x:xf numFmtId="206" fontId="11" fillId="0" borderId="0" xfId="0" applyNumberFormat="1" applyFont="1" applyFill="1" applyBorder="1"/>
    <x:xf numFmtId="206" fontId="12" fillId="0" borderId="0" xfId="0" applyNumberFormat="1" applyFont="1" applyFill="1" applyBorder="1"/>
    <x:xf numFmtId="208" fontId="11" fillId="0" borderId="0" xfId="0" applyNumberFormat="1" applyFont="1" applyFill="1" applyBorder="1"/>
    <x:xf numFmtId="203" fontId="11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206" fontId="12" fillId="6" borderId="0" xfId="0" applyNumberFormat="1" applyFont="1" applyFill="1" applyBorder="1"/>
    <x:xf numFmtId="206" fontId="9" fillId="6" borderId="0" xfId="0" applyNumberFormat="1" applyFont="1" applyFill="1" applyBorder="1"/>
    <x:xf numFmtId="0" fontId="13" fillId="0" borderId="0" xfId="0" applyNumberFormat="1" applyFont="1" applyFill="1" applyBorder="1"/>
    <x:xf numFmtId="208" fontId="14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color rgb="FF805B18"/>
      </x:font>
      <x:fill>
        <x:patternFill patternType="solid">
          <x:bgColor rgb="FFFFF1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50fc1db0946a0" /><Relationship Type="http://schemas.openxmlformats.org/officeDocument/2006/relationships/theme" Target="/xl/theme/theme1.xml" Id="R89597505725f4955" /><Relationship Type="http://schemas.openxmlformats.org/officeDocument/2006/relationships/sharedStrings" Target="/xl/sharedStrings.xml" Id="R8e54b1e06f26456c" /><Relationship Type="http://schemas.openxmlformats.org/officeDocument/2006/relationships/worksheet" Target="/xl/worksheets/sheet1.xml" Id="Rb8404250a5d94e01" /><Relationship Type="http://schemas.openxmlformats.org/officeDocument/2006/relationships/worksheet" Target="/xl/worksheets/sheet2.xml" Id="R20edae8ec4e445d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5" max="15" width="10.33203125" style="1" customWidth="1"/>
    <x:col min="16" max="16" width="18" hidden="0" customWidth="1"/>
    <x:col min="17" max="17" width="36" hidden="0" customWidth="1"/>
    <x:col min="18" max="18" width="20" hidden="0" customWidth="1"/>
    <x:col min="19" max="19" width="78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s="1" t="s">
        <x:v>14</x:v>
      </x:c>
      <x:c r="P1" s="20" t="str">
        <x:v>October incoming units</x:v>
      </x:c>
    </x:row>
    <x:row r="2">
      <x:c r="A2" t="s">
        <x:v>15</x:v>
      </x:c>
      <x:c r="B2">
        <x:v>10</x:v>
      </x:c>
      <x:c r="C2" t="s">
        <x:v>16</x:v>
      </x:c>
      <x:c r="D2">
        <x:v>1060936</x:v>
      </x:c>
      <x:c r="E2">
        <x:v>0</x:v>
      </x:c>
      <x:c r="F2">
        <x:v>11</x:v>
      </x:c>
      <x:c r="G2">
        <x:v>16</x:v>
      </x:c>
      <x:c r="H2">
        <x:v>16</x:v>
      </x:c>
      <x:c r="I2">
        <x:v>0</x:v>
      </x:c>
      <x:c r="J2">
        <x:v>1</x:v>
      </x:c>
      <x:c r="K2">
        <x:v>68.260000000000005</x:v>
      </x:c>
      <x:c r="L2">
        <x:v>0</x:v>
      </x:c>
      <x:c r="N2" t="s">
        <x:v>17</x:v>
      </x:c>
      <x:c r="O2" s="1">
        <x:v>46311</x:v>
      </x:c>
      <x:c r="P2" s="19" t="n">
        <x:f>IF(AND(M2="",N2="a",ISNUMBER(O2),O2&gt;=$R$4,O2&lt;=$R$11),H2*J2,0)</x:f>
        <x:v>16</x:v>
      </x:c>
      <x:c r="Q2" s="7" t="str">
        <x:v>Film forecast through November 30</x:v>
      </x:c>
    </x:row>
    <x:row r="3">
      <x:c r="A3" t="s">
        <x:v>15</x:v>
      </x:c>
      <x:c r="B3">
        <x:v>10</x:v>
      </x:c>
      <x:c r="C3" t="s">
        <x:v>18</x:v>
      </x:c>
      <x:c r="D3">
        <x:v>1060936</x:v>
      </x:c>
      <x:c r="E3">
        <x:v>0</x:v>
      </x:c>
      <x:c r="F3">
        <x:v>10</x:v>
      </x:c>
      <x:c r="G3">
        <x:v>20</x:v>
      </x:c>
      <x:c r="H3">
        <x:v>20</x:v>
      </x:c>
      <x:c r="I3">
        <x:v>0</x:v>
      </x:c>
      <x:c r="J3">
        <x:v>1</x:v>
      </x:c>
      <x:c r="K3">
        <x:v>30.53</x:v>
      </x:c>
      <x:c r="L3">
        <x:v>0</x:v>
      </x:c>
      <x:c r="N3" t="s">
        <x:v>17</x:v>
      </x:c>
      <x:c r="O3" s="1">
        <x:v>46311</x:v>
      </x:c>
      <x:c r="P3" s="19" t="n">
        <x:f>IF(AND(M3="",N3="a",ISNUMBER(O3),O3&gt;=$R$4,O3&lt;=$R$11),H3*J3,0)</x:f>
        <x:v>20</x:v>
      </x:c>
    </x:row>
    <x:row r="4" ht="23" customHeight="1">
      <x:c r="A4" t="s">
        <x:v>15</x:v>
      </x:c>
      <x:c r="B4">
        <x:v>10</x:v>
      </x:c>
      <x:c r="C4" t="s">
        <x:v>19</x:v>
      </x:c>
      <x:c r="D4">
        <x:v>1060936</x:v>
      </x:c>
      <x:c r="E4">
        <x:v>0</x:v>
      </x:c>
      <x:c r="F4">
        <x:v>9</x:v>
      </x:c>
      <x:c r="G4">
        <x:v>16</x:v>
      </x:c>
      <x:c r="H4">
        <x:v>16</x:v>
      </x:c>
      <x:c r="I4">
        <x:v>0</x:v>
      </x:c>
      <x:c r="J4">
        <x:v>1</x:v>
      </x:c>
      <x:c r="K4">
        <x:v>102.38</x:v>
      </x:c>
      <x:c r="L4">
        <x:v>0</x:v>
      </x:c>
      <x:c r="N4" t="s">
        <x:v>17</x:v>
      </x:c>
      <x:c r="O4" s="1">
        <x:v>46311</x:v>
      </x:c>
      <x:c r="P4" s="19" t="n">
        <x:f>IF(AND(M4="",N4="a",ISNUMBER(O4),O4&gt;=$R$4,O4&lt;=$R$11),H4*J4,0)</x:f>
        <x:v>16</x:v>
      </x:c>
      <x:c r="Q4" s="42" t="str">
        <x:v>Inventory snapshot</x:v>
      </x:c>
      <x:c r="R4" s="13" t="n">
        <x:v>46304</x:v>
      </x:c>
      <x:c r="S4" s="52" t="str">
        <x:v>Assumed beginning-of-day stock on October 9, 2026.</x:v>
      </x:c>
    </x:row>
    <x:row r="5" ht="23" customHeight="1">
      <x:c r="A5" t="s">
        <x:v>15</x:v>
      </x:c>
      <x:c r="B5">
        <x:v>10</x:v>
      </x:c>
      <x:c r="C5" t="s">
        <x:v>20</x:v>
      </x:c>
      <x:c r="D5">
        <x:v>1060936</x:v>
      </x:c>
      <x:c r="E5">
        <x:v>0</x:v>
      </x:c>
      <x:c r="F5">
        <x:v>6</x:v>
      </x:c>
      <x:c r="G5">
        <x:v>216</x:v>
      </x:c>
      <x:c r="H5">
        <x:v>216</x:v>
      </x:c>
      <x:c r="I5">
        <x:v>0</x:v>
      </x:c>
      <x:c r="J5">
        <x:v>1</x:v>
      </x:c>
      <x:c r="K5">
        <x:v>25.44</x:v>
      </x:c>
      <x:c r="L5">
        <x:v>0</x:v>
      </x:c>
      <x:c r="N5" t="s">
        <x:v>17</x:v>
      </x:c>
      <x:c r="O5" s="1">
        <x:v>46311</x:v>
      </x:c>
      <x:c r="P5" s="19" t="n">
        <x:f>IF(AND(M5="",N5="a",ISNUMBER(O5),O5&gt;=$R$4,O5&lt;=$R$11),H5*J5,0)</x:f>
        <x:v>216</x:v>
      </x:c>
      <x:c r="Q5" s="42" t="str">
        <x:v>Forecast ending date</x:v>
      </x:c>
      <x:c r="R5" s="13" t="n">
        <x:v>46356</x:v>
      </x:c>
      <x:c r="S5" s="52"/>
    </x:row>
    <x:row r="6" ht="23" customHeight="1">
      <x:c r="A6" t="s">
        <x:v>15</x:v>
      </x:c>
      <x:c r="B6">
        <x:v>10</x:v>
      </x:c>
      <x:c r="C6" t="s">
        <x:v>21</x:v>
      </x:c>
      <x:c r="D6">
        <x:v>1060936</x:v>
      </x:c>
      <x:c r="E6">
        <x:v>0</x:v>
      </x:c>
      <x:c r="F6">
        <x:v>4</x:v>
      </x:c>
      <x:c r="G6">
        <x:v>960</x:v>
      </x:c>
      <x:c r="H6">
        <x:v>960</x:v>
      </x:c>
      <x:c r="I6">
        <x:v>0</x:v>
      </x:c>
      <x:c r="J6">
        <x:v>1</x:v>
      </x:c>
      <x:c r="K6">
        <x:v>17.55</x:v>
      </x:c>
      <x:c r="L6">
        <x:v>0</x:v>
      </x:c>
      <x:c r="N6" t="s">
        <x:v>17</x:v>
      </x:c>
      <x:c r="O6" s="1">
        <x:v>46311</x:v>
      </x:c>
      <x:c r="P6" s="19" t="n">
        <x:f>IF(AND(M6="",N6="a",ISNUMBER(O6),O6&gt;=$R$4,O6&lt;=$R$11),H6*J6,0)</x:f>
        <x:v>960</x:v>
      </x:c>
      <x:c r="Q6" s="42" t="str">
        <x:v>Standard change date</x:v>
      </x:c>
      <x:c r="R6" s="8" t="n">
        <x:f>R5+1</x:f>
        <x:v>46357</x:v>
      </x:c>
      <x:c r="S6" s="52"/>
    </x:row>
    <x:row r="7" ht="23" customHeight="1">
      <x:c r="A7" t="s">
        <x:v>15</x:v>
      </x:c>
      <x:c r="B7">
        <x:v>10</x:v>
      </x:c>
      <x:c r="C7" t="s">
        <x:v>22</x:v>
      </x:c>
      <x:c r="D7">
        <x:v>1060936</x:v>
      </x:c>
      <x:c r="E7">
        <x:v>0</x:v>
      </x:c>
      <x:c r="F7">
        <x:v>1</x:v>
      </x:c>
      <x:c r="G7">
        <x:v>1800</x:v>
      </x:c>
      <x:c r="H7">
        <x:v>1800</x:v>
      </x:c>
      <x:c r="I7">
        <x:v>0</x:v>
      </x:c>
      <x:c r="J7">
        <x:v>1</x:v>
      </x:c>
      <x:c r="K7">
        <x:v>16.2</x:v>
      </x:c>
      <x:c r="L7">
        <x:v>0</x:v>
      </x:c>
      <x:c r="N7" t="s">
        <x:v>17</x:v>
      </x:c>
      <x:c r="O7" s="1">
        <x:v>46311</x:v>
      </x:c>
      <x:c r="P7" s="19" t="n">
        <x:f>IF(AND(M7="",N7="a",ISNUMBER(O7),O7&gt;=$R$4,O7&lt;=$R$11),H7*J7,0)</x:f>
        <x:v>1800</x:v>
      </x:c>
      <x:c r="Q7" s="42" t="str">
        <x:v>Usage factor</x:v>
      </x:c>
      <x:c r="R7" s="16" t="n">
        <x:v>1</x:v>
      </x:c>
      <x:c r="S7" s="52" t="str">
        <x:v>100% of UsageRate, as confirmed. Amber cells are editable.</x:v>
      </x:c>
    </x:row>
    <x:row r="8" ht="34" customHeight="1">
      <x:c r="A8" t="s">
        <x:v>15</x:v>
      </x:c>
      <x:c r="B8">
        <x:v>10</x:v>
      </x:c>
      <x:c r="C8" t="s">
        <x:v>23</x:v>
      </x:c>
      <x:c r="D8">
        <x:v>1060936</x:v>
      </x:c>
      <x:c r="E8">
        <x:v>0</x:v>
      </x:c>
      <x:c r="F8">
        <x:v>3</x:v>
      </x:c>
      <x:c r="G8">
        <x:v>90</x:v>
      </x:c>
      <x:c r="H8">
        <x:v>90</x:v>
      </x:c>
      <x:c r="I8">
        <x:v>0</x:v>
      </x:c>
      <x:c r="J8">
        <x:v>1</x:v>
      </x:c>
      <x:c r="K8">
        <x:v>23.35</x:v>
      </x:c>
      <x:c r="L8">
        <x:v>0</x:v>
      </x:c>
      <x:c r="N8" t="s">
        <x:v>17</x:v>
      </x:c>
      <x:c r="O8" s="1">
        <x:v>46311</x:v>
      </x:c>
      <x:c r="P8" s="19" t="n">
        <x:f>IF(AND(M8="",N8="a",ISNUMBER(O8),O8&gt;=$R$4,O8&lt;=$R$11),H8*J8,0)</x:f>
        <x:v>90</x:v>
      </x:c>
      <x:c r="Q8" s="42" t="str">
        <x:v>Days per usage month</x:v>
      </x:c>
      <x:c r="R8" s="17" t="n">
        <x:v>30.4375</x:v>
      </x:c>
      <x:c r="S8" s="52" t="str">
        <x:v>UsageRate is monthly. Divide by 30.4375 to estimate daily usage.</x:v>
      </x:c>
    </x:row>
    <x:row r="9" ht="23" customHeight="1">
      <x:c r="A9" t="s">
        <x:v>15</x:v>
      </x:c>
      <x:c r="B9">
        <x:v>10</x:v>
      </x:c>
      <x:c r="C9" t="s">
        <x:v>24</x:v>
      </x:c>
      <x:c r="D9">
        <x:v>1060936</x:v>
      </x:c>
      <x:c r="E9">
        <x:v>0</x:v>
      </x:c>
      <x:c r="F9">
        <x:v>7</x:v>
      </x:c>
      <x:c r="G9">
        <x:v>144</x:v>
      </x:c>
      <x:c r="H9">
        <x:v>144</x:v>
      </x:c>
      <x:c r="I9">
        <x:v>0</x:v>
      </x:c>
      <x:c r="J9">
        <x:v>1</x:v>
      </x:c>
      <x:c r="K9">
        <x:v>27.48</x:v>
      </x:c>
      <x:c r="L9">
        <x:v>0</x:v>
      </x:c>
      <x:c r="N9" t="s">
        <x:v>17</x:v>
      </x:c>
      <x:c r="O9" s="1">
        <x:v>46311</x:v>
      </x:c>
      <x:c r="P9" s="19" t="n">
        <x:f>IF(AND(M9="",N9="a",ISNUMBER(O9),O9&gt;=$R$4,O9&lt;=$R$11),H9*J9,0)</x:f>
        <x:v>144</x:v>
      </x:c>
      <x:c r="Q9" s="42" t="str">
        <x:v>Forecast days</x:v>
      </x:c>
      <x:c r="R9" s="11" t="n">
        <x:f>MAX(0,R5-R4+1)</x:f>
        <x:v>53</x:v>
      </x:c>
      <x:c r="S9" s="52"/>
    </x:row>
    <x:row r="10" ht="23" customHeight="1">
      <x:c r="A10" t="s">
        <x:v>15</x:v>
      </x:c>
      <x:c r="B10">
        <x:v>10</x:v>
      </x:c>
      <x:c r="C10" t="s">
        <x:v>25</x:v>
      </x:c>
      <x:c r="D10">
        <x:v>1060936</x:v>
      </x:c>
      <x:c r="E10">
        <x:v>0</x:v>
      </x:c>
      <x:c r="F10">
        <x:v>5</x:v>
      </x:c>
      <x:c r="G10">
        <x:v>240</x:v>
      </x:c>
      <x:c r="H10">
        <x:v>240</x:v>
      </x:c>
      <x:c r="I10">
        <x:v>0</x:v>
      </x:c>
      <x:c r="J10">
        <x:v>1</x:v>
      </x:c>
      <x:c r="K10">
        <x:v>18.95</x:v>
      </x:c>
      <x:c r="L10">
        <x:v>0</x:v>
      </x:c>
      <x:c r="N10" t="s">
        <x:v>17</x:v>
      </x:c>
      <x:c r="O10" s="1">
        <x:v>46311</x:v>
      </x:c>
      <x:c r="P10" s="19" t="n">
        <x:f>IF(AND(M10="",N10="a",ISNUMBER(O10),O10&gt;=$R$4,O10&lt;=$R$11),H10*J10,0)</x:f>
        <x:v>240</x:v>
      </x:c>
      <x:c r="Q10" s="42" t="str">
        <x:v>Usage months</x:v>
      </x:c>
      <x:c r="R10" s="10" t="n">
        <x:f>R9/R8</x:f>
        <x:v>1.7412731006160165</x:v>
      </x:c>
      <x:c r="S10" s="52"/>
    </x:row>
    <x:row r="11" ht="23" customHeight="1">
      <x:c r="A11" t="s">
        <x:v>15</x:v>
      </x:c>
      <x:c r="B11">
        <x:v>10</x:v>
      </x:c>
      <x:c r="C11" t="s">
        <x:v>26</x:v>
      </x:c>
      <x:c r="D11">
        <x:v>1060936</x:v>
      </x:c>
      <x:c r="E11">
        <x:v>0</x:v>
      </x:c>
      <x:c r="F11">
        <x:v>2</x:v>
      </x:c>
      <x:c r="G11">
        <x:v>720</x:v>
      </x:c>
      <x:c r="H11">
        <x:v>720</x:v>
      </x:c>
      <x:c r="I11">
        <x:v>0</x:v>
      </x:c>
      <x:c r="J11">
        <x:v>1</x:v>
      </x:c>
      <x:c r="K11">
        <x:v>17.5</x:v>
      </x:c>
      <x:c r="L11">
        <x:v>0</x:v>
      </x:c>
      <x:c r="N11" t="s">
        <x:v>17</x:v>
      </x:c>
      <x:c r="O11" s="1">
        <x:v>46311</x:v>
      </x:c>
      <x:c r="P11" s="19" t="n">
        <x:f>IF(AND(M11="",N11="a",ISNUMBER(O11),O11&gt;=$R$4,O11&lt;=$R$11),H11*J11,0)</x:f>
        <x:v>720</x:v>
      </x:c>
      <x:c r="Q11" s="42" t="str">
        <x:v>October receipt cutoff</x:v>
      </x:c>
      <x:c r="R11" s="8" t="n">
        <x:f>DATE(YEAR(R4),MONTH(R4)+1,1)-1</x:f>
        <x:v>46326</x:v>
      </x:c>
      <x:c r="S11" s="52" t="str">
        <x:v>Only October arrivals are included. December 4 PO stays excluded.</x:v>
      </x:c>
    </x:row>
    <x:row r="12" ht="23" customHeight="1">
      <x:c r="A12" t="s">
        <x:v>15</x:v>
      </x:c>
      <x:c r="B12">
        <x:v>10</x:v>
      </x:c>
      <x:c r="C12" t="s">
        <x:v>27</x:v>
      </x:c>
      <x:c r="D12">
        <x:v>1060936</x:v>
      </x:c>
      <x:c r="E12">
        <x:v>0</x:v>
      </x:c>
      <x:c r="F12">
        <x:v>8</x:v>
      </x:c>
      <x:c r="G12">
        <x:v>25</x:v>
      </x:c>
      <x:c r="H12">
        <x:v>25</x:v>
      </x:c>
      <x:c r="I12">
        <x:v>0</x:v>
      </x:c>
      <x:c r="J12">
        <x:v>1</x:v>
      </x:c>
      <x:c r="K12">
        <x:v>38.67</x:v>
      </x:c>
      <x:c r="L12">
        <x:v>0</x:v>
      </x:c>
      <x:c r="N12" t="s">
        <x:v>17</x:v>
      </x:c>
      <x:c r="O12" s="1">
        <x:v>46311</x:v>
      </x:c>
      <x:c r="P12" s="19" t="n">
        <x:f>IF(AND(M12="",N12="a",ISNUMBER(O12),O12&gt;=$R$4,O12&lt;=$R$11),H12*J12,0)</x:f>
        <x:v>25</x:v>
      </x:c>
      <x:c r="Q12" s="42"/>
      <x:c r="S12" s="52"/>
    </x:row>
    <x:row r="13" ht="28" customHeight="1">
      <x:c r="A13" t="s">
        <x:v>15</x:v>
      </x:c>
      <x:c r="B13">
        <x:v>10</x:v>
      </x:c>
      <x:c r="C13" t="s">
        <x:v>28</x:v>
      </x:c>
      <x:c r="D13">
        <x:v>1061082</x:v>
      </x:c>
      <x:c r="E13">
        <x:v>0</x:v>
      </x:c>
      <x:c r="F13">
        <x:v>9</x:v>
      </x:c>
      <x:c r="G13">
        <x:v>72</x:v>
      </x:c>
      <x:c r="H13">
        <x:v>72</x:v>
      </x:c>
      <x:c r="I13">
        <x:v>0</x:v>
      </x:c>
      <x:c r="J13">
        <x:v>1</x:v>
      </x:c>
      <x:c r="K13">
        <x:v>12.21</x:v>
      </x:c>
      <x:c r="L13">
        <x:v>0</x:v>
      </x:c>
      <x:c r="N13" t="s">
        <x:v>17</x:v>
      </x:c>
      <x:c r="O13" s="1">
        <x:v>46311</x:v>
      </x:c>
      <x:c r="P13" s="19" t="n">
        <x:f>IF(AND(M13="",N13="a",ISNUMBER(O13),O13&gt;=$R$4,O13&lt;=$R$11),H13*J13,0)</x:f>
        <x:v>72</x:v>
      </x:c>
      <x:c r="Q13" s="36" t="str">
        <x:v>FORECAST RESULT</x:v>
      </x:c>
      <x:c r="R13" s="36" t="str">
        <x:v>AMOUNT</x:v>
      </x:c>
      <x:c r="S13" s="52"/>
    </x:row>
    <x:row r="14" ht="23" customHeight="1">
      <x:c r="A14" t="s">
        <x:v>15</x:v>
      </x:c>
      <x:c r="B14">
        <x:v>10</x:v>
      </x:c>
      <x:c r="C14" t="s">
        <x:v>29</x:v>
      </x:c>
      <x:c r="D14">
        <x:v>1061082</x:v>
      </x:c>
      <x:c r="E14">
        <x:v>0</x:v>
      </x:c>
      <x:c r="F14">
        <x:v>10</x:v>
      </x:c>
      <x:c r="G14">
        <x:v>72</x:v>
      </x:c>
      <x:c r="H14">
        <x:v>72</x:v>
      </x:c>
      <x:c r="I14">
        <x:v>0</x:v>
      </x:c>
      <x:c r="J14">
        <x:v>1</x:v>
      </x:c>
      <x:c r="K14">
        <x:v>18.32</x:v>
      </x:c>
      <x:c r="L14">
        <x:v>0</x:v>
      </x:c>
      <x:c r="N14" t="s">
        <x:v>17</x:v>
      </x:c>
      <x:c r="O14" s="1">
        <x:v>46311</x:v>
      </x:c>
      <x:c r="P14" s="19" t="n">
        <x:f>IF(AND(M14="",N14="a",ISNUMBER(O14),O14&gt;=$R$4,O14&lt;=$R$11),H14*J14,0)</x:f>
        <x:v>72</x:v>
      </x:c>
      <x:c r="Q14" s="42" t="str">
        <x:v>Current on-hand units</x:v>
      </x:c>
      <x:c r="R14" s="46" t="n">
        <x:f>SUM('Product Inventory 1092026'!F2:F276)</x:f>
        <x:v>37879</x:v>
      </x:c>
      <x:c r="S14" s="52"/>
    </x:row>
    <x:row r="15" ht="23" customHeight="1">
      <x:c r="A15" t="s">
        <x:v>15</x:v>
      </x:c>
      <x:c r="B15">
        <x:v>10</x:v>
      </x:c>
      <x:c r="C15" t="s">
        <x:v>30</x:v>
      </x:c>
      <x:c r="D15">
        <x:v>1061082</x:v>
      </x:c>
      <x:c r="E15">
        <x:v>0</x:v>
      </x:c>
      <x:c r="F15">
        <x:v>13</x:v>
      </x:c>
      <x:c r="G15">
        <x:v>72</x:v>
      </x:c>
      <x:c r="H15">
        <x:v>72</x:v>
      </x:c>
      <x:c r="I15">
        <x:v>0</x:v>
      </x:c>
      <x:c r="J15">
        <x:v>1</x:v>
      </x:c>
      <x:c r="K15">
        <x:v>28.44</x:v>
      </x:c>
      <x:c r="L15">
        <x:v>0</x:v>
      </x:c>
      <x:c r="N15" t="s">
        <x:v>17</x:v>
      </x:c>
      <x:c r="O15" s="1">
        <x:v>46311</x:v>
      </x:c>
      <x:c r="P15" s="19" t="n">
        <x:f>IF(AND(M15="",N15="a",ISNUMBER(O15),O15&gt;=$R$4,O15&lt;=$R$11),H15*J15,0)</x:f>
        <x:v>72</x:v>
      </x:c>
      <x:c r="Q15" s="42" t="str">
        <x:v>October receipts units</x:v>
      </x:c>
      <x:c r="R15" s="46" t="n">
        <x:f>SUM('Product Inventory 1092026'!G2:G276)</x:f>
        <x:v>12866</x:v>
      </x:c>
      <x:c r="S15" s="52"/>
    </x:row>
    <x:row r="16" ht="23" customHeight="1">
      <x:c r="A16" t="s">
        <x:v>15</x:v>
      </x:c>
      <x:c r="B16">
        <x:v>10</x:v>
      </x:c>
      <x:c r="C16" t="s">
        <x:v>20</x:v>
      </x:c>
      <x:c r="D16">
        <x:v>1061082</x:v>
      </x:c>
      <x:c r="E16">
        <x:v>0</x:v>
      </x:c>
      <x:c r="F16">
        <x:v>11</x:v>
      </x:c>
      <x:c r="G16">
        <x:v>72</x:v>
      </x:c>
      <x:c r="H16">
        <x:v>72</x:v>
      </x:c>
      <x:c r="I16">
        <x:v>0</x:v>
      </x:c>
      <x:c r="J16">
        <x:v>1</x:v>
      </x:c>
      <x:c r="K16">
        <x:v>25.44</x:v>
      </x:c>
      <x:c r="L16">
        <x:v>0</x:v>
      </x:c>
      <x:c r="N16" t="s">
        <x:v>17</x:v>
      </x:c>
      <x:c r="O16" s="1">
        <x:v>46311</x:v>
      </x:c>
      <x:c r="P16" s="19" t="n">
        <x:f>IF(AND(M16="",N16="a",ISNUMBER(O16),O16&gt;=$R$4,O16&lt;=$R$11),H16*J16,0)</x:f>
        <x:v>72</x:v>
      </x:c>
      <x:c r="Q16" s="42" t="str">
        <x:v>Total available units</x:v>
      </x:c>
      <x:c r="R16" s="46" t="n">
        <x:f>SUM('Product Inventory 1092026'!H2:H276)</x:f>
        <x:v>50745</x:v>
      </x:c>
      <x:c r="S16" s="52"/>
    </x:row>
    <x:row r="17" ht="23" customHeight="1">
      <x:c r="A17" t="s">
        <x:v>15</x:v>
      </x:c>
      <x:c r="B17">
        <x:v>10</x:v>
      </x:c>
      <x:c r="C17" t="s">
        <x:v>21</x:v>
      </x:c>
      <x:c r="D17">
        <x:v>1061082</x:v>
      </x:c>
      <x:c r="E17">
        <x:v>0</x:v>
      </x:c>
      <x:c r="F17">
        <x:v>4</x:v>
      </x:c>
      <x:c r="G17">
        <x:v>600</x:v>
      </x:c>
      <x:c r="H17">
        <x:v>600</x:v>
      </x:c>
      <x:c r="I17">
        <x:v>0</x:v>
      </x:c>
      <x:c r="J17">
        <x:v>1</x:v>
      </x:c>
      <x:c r="K17">
        <x:v>17.55</x:v>
      </x:c>
      <x:c r="L17">
        <x:v>0</x:v>
      </x:c>
      <x:c r="N17" t="s">
        <x:v>17</x:v>
      </x:c>
      <x:c r="O17" s="1">
        <x:v>46311</x:v>
      </x:c>
      <x:c r="P17" s="19" t="n">
        <x:f>IF(AND(M17="",N17="a",ISNUMBER(O17),O17&gt;=$R$4,O17&lt;=$R$11),H17*J17,0)</x:f>
        <x:v>600</x:v>
      </x:c>
      <x:c r="Q17" s="42" t="str">
        <x:v>Estimated usage units</x:v>
      </x:c>
      <x:c r="R17" s="46" t="n">
        <x:f>SUM('Product Inventory 1092026'!I2:I276)</x:f>
        <x:v>13003.305133470207</x:v>
      </x:c>
      <x:c r="S17" s="52"/>
    </x:row>
    <x:row r="18" ht="23" customHeight="1">
      <x:c r="A18" t="s">
        <x:v>15</x:v>
      </x:c>
      <x:c r="B18">
        <x:v>10</x:v>
      </x:c>
      <x:c r="C18" t="s">
        <x:v>22</x:v>
      </x:c>
      <x:c r="D18">
        <x:v>1061082</x:v>
      </x:c>
      <x:c r="E18">
        <x:v>0</x:v>
      </x:c>
      <x:c r="F18">
        <x:v>1</x:v>
      </x:c>
      <x:c r="G18">
        <x:v>2520</x:v>
      </x:c>
      <x:c r="H18">
        <x:v>2520</x:v>
      </x:c>
      <x:c r="I18">
        <x:v>0</x:v>
      </x:c>
      <x:c r="J18">
        <x:v>1</x:v>
      </x:c>
      <x:c r="K18">
        <x:v>16.2</x:v>
      </x:c>
      <x:c r="L18">
        <x:v>0</x:v>
      </x:c>
      <x:c r="N18" t="s">
        <x:v>17</x:v>
      </x:c>
      <x:c r="O18" s="1">
        <x:v>46311</x:v>
      </x:c>
      <x:c r="P18" s="19" t="n">
        <x:f>IF(AND(M18="",N18="a",ISNUMBER(O18),O18&gt;=$R$4,O18&lt;=$R$11),H18*J18,0)</x:f>
        <x:v>2520</x:v>
      </x:c>
      <x:c r="Q18" s="44" t="str">
        <x:v>Projected 11/30 units</x:v>
      </x:c>
      <x:c r="R18" s="47" t="n">
        <x:f>SUM('Product Inventory 1092026'!J2:J276)</x:f>
        <x:v>37784.134620123186</x:v>
      </x:c>
      <x:c r="S18" s="52"/>
    </x:row>
    <x:row r="19" ht="23" customHeight="1">
      <x:c r="A19" t="s">
        <x:v>15</x:v>
      </x:c>
      <x:c r="B19">
        <x:v>10</x:v>
      </x:c>
      <x:c r="C19" t="s">
        <x:v>23</x:v>
      </x:c>
      <x:c r="D19">
        <x:v>1061082</x:v>
      </x:c>
      <x:c r="E19">
        <x:v>0</x:v>
      </x:c>
      <x:c r="F19">
        <x:v>3</x:v>
      </x:c>
      <x:c r="G19">
        <x:v>90</x:v>
      </x:c>
      <x:c r="H19">
        <x:v>90</x:v>
      </x:c>
      <x:c r="I19">
        <x:v>0</x:v>
      </x:c>
      <x:c r="J19">
        <x:v>1</x:v>
      </x:c>
      <x:c r="K19">
        <x:v>23.35</x:v>
      </x:c>
      <x:c r="L19">
        <x:v>0</x:v>
      </x:c>
      <x:c r="N19" t="s">
        <x:v>17</x:v>
      </x:c>
      <x:c r="O19" s="1">
        <x:v>46311</x:v>
      </x:c>
      <x:c r="P19" s="19" t="n">
        <x:f>IF(AND(M19="",N19="a",ISNUMBER(O19),O19&gt;=$R$4,O19&lt;=$R$11),H19*J19,0)</x:f>
        <x:v>90</x:v>
      </x:c>
      <x:c r="Q19" s="42" t="str">
        <x:v>11/30 value at current standard</x:v>
      </x:c>
      <x:c r="R19" s="48" t="n">
        <x:f>SUM('Product Inventory 1092026'!Y2:Y276)</x:f>
        <x:v>631213.6738201227</x:v>
      </x:c>
      <x:c r="S19" s="52"/>
    </x:row>
    <x:row r="20" ht="23" customHeight="1">
      <x:c r="A20" t="s">
        <x:v>15</x:v>
      </x:c>
      <x:c r="B20">
        <x:v>10</x:v>
      </x:c>
      <x:c r="C20" t="s">
        <x:v>24</x:v>
      </x:c>
      <x:c r="D20">
        <x:v>1061082</x:v>
      </x:c>
      <x:c r="E20">
        <x:v>0</x:v>
      </x:c>
      <x:c r="F20">
        <x:v>12</x:v>
      </x:c>
      <x:c r="G20">
        <x:v>72</x:v>
      </x:c>
      <x:c r="H20">
        <x:v>72</x:v>
      </x:c>
      <x:c r="I20">
        <x:v>0</x:v>
      </x:c>
      <x:c r="J20">
        <x:v>1</x:v>
      </x:c>
      <x:c r="K20">
        <x:v>27.48</x:v>
      </x:c>
      <x:c r="L20">
        <x:v>0</x:v>
      </x:c>
      <x:c r="N20" t="s">
        <x:v>17</x:v>
      </x:c>
      <x:c r="O20" s="1">
        <x:v>46311</x:v>
      </x:c>
      <x:c r="P20" s="19" t="n">
        <x:f>IF(AND(M20="",N20="a",ISNUMBER(O20),O20&gt;=$R$4,O20&lt;=$R$11),H20*J20,0)</x:f>
        <x:v>72</x:v>
      </x:c>
      <x:c r="Q20" s="42" t="str">
        <x:v>Known-cost value at replacement</x:v>
      </x:c>
      <x:c r="R20" s="48" t="n">
        <x:f>SUM('Product Inventory 1092026'!Z2:Z276)</x:f>
        <x:v>752637.9919802875</x:v>
      </x:c>
      <x:c r="S20" s="52"/>
    </x:row>
    <x:row r="21" ht="34" customHeight="1">
      <x:c r="A21" t="s">
        <x:v>15</x:v>
      </x:c>
      <x:c r="B21">
        <x:v>10</x:v>
      </x:c>
      <x:c r="C21" t="s">
        <x:v>25</x:v>
      </x:c>
      <x:c r="D21">
        <x:v>1061082</x:v>
      </x:c>
      <x:c r="E21">
        <x:v>0</x:v>
      </x:c>
      <x:c r="F21">
        <x:v>5</x:v>
      </x:c>
      <x:c r="G21">
        <x:v>240</x:v>
      </x:c>
      <x:c r="H21">
        <x:v>240</x:v>
      </x:c>
      <x:c r="I21">
        <x:v>0</x:v>
      </x:c>
      <x:c r="J21">
        <x:v>1</x:v>
      </x:c>
      <x:c r="K21">
        <x:v>18.95</x:v>
      </x:c>
      <x:c r="L21">
        <x:v>0</x:v>
      </x:c>
      <x:c r="N21" t="s">
        <x:v>17</x:v>
      </x:c>
      <x:c r="O21" s="1">
        <x:v>46311</x:v>
      </x:c>
      <x:c r="P21" s="19" t="n">
        <x:f>IF(AND(M21="",N21="a",ISNUMBER(O21),O21&gt;=$R$4,O21&lt;=$R$11),H21*J21,0)</x:f>
        <x:v>240</x:v>
      </x:c>
      <x:c r="Q21" s="53" t="str">
        <x:v>Known-cost revaluation on 12/1</x:v>
      </x:c>
      <x:c r="R21" s="55" t="n">
        <x:f>SUM('Product Inventory 1092026'!AA2:AA276)</x:f>
        <x:v>124180.32148172485</x:v>
      </x:c>
      <x:c r="S21" s="52" t="str">
        <x:v>Projected quantity × (replacement cost − current standard), summed by product/warehouse.</x:v>
      </x:c>
    </x:row>
    <x:row r="22" ht="34" customHeight="1">
      <x:c r="A22" t="s">
        <x:v>15</x:v>
      </x:c>
      <x:c r="B22">
        <x:v>10</x:v>
      </x:c>
      <x:c r="C22" t="s">
        <x:v>26</x:v>
      </x:c>
      <x:c r="D22">
        <x:v>1061082</x:v>
      </x:c>
      <x:c r="E22">
        <x:v>0</x:v>
      </x:c>
      <x:c r="F22">
        <x:v>2</x:v>
      </x:c>
      <x:c r="G22">
        <x:v>480</x:v>
      </x:c>
      <x:c r="H22">
        <x:v>480</x:v>
      </x:c>
      <x:c r="I22">
        <x:v>0</x:v>
      </x:c>
      <x:c r="J22">
        <x:v>1</x:v>
      </x:c>
      <x:c r="K22">
        <x:v>17.5</x:v>
      </x:c>
      <x:c r="L22">
        <x:v>0</x:v>
      </x:c>
      <x:c r="N22" t="s">
        <x:v>17</x:v>
      </x:c>
      <x:c r="O22" s="1">
        <x:v>46311</x:v>
      </x:c>
      <x:c r="P22" s="19" t="n">
        <x:f>IF(AND(M22="",N22="a",ISNUMBER(O22),O22&gt;=$R$4,O22&lt;=$R$11),H22*J22,0)</x:f>
        <x:v>480</x:v>
      </x:c>
      <x:c r="Q22" s="56" t="str">
        <x:v>Known-cost weighted increase</x:v>
      </x:c>
      <x:c r="R22" s="57" t="n">
        <x:f>IF(SUMIFS('Product Inventory 1092026'!Y2:Y276,'Product Inventory 1092026'!L2:L276,"&gt;0")=0,"n.a.",R21/SUMIFS('Product Inventory 1092026'!Y2:Y276,'Product Inventory 1092026'!L2:L276,"&gt;0"))</x:f>
        <x:v>0.1975953629195285</x:v>
      </x:c>
      <x:c r="S22" s="52" t="str">
        <x:v>Increase is weighted by the projected value of rows with known replacement costs.</x:v>
      </x:c>
    </x:row>
    <x:row r="23" ht="23" customHeight="1">
      <x:c r="A23" t="s">
        <x:v>15</x:v>
      </x:c>
      <x:c r="B23">
        <x:v>10</x:v>
      </x:c>
      <x:c r="C23" t="s">
        <x:v>31</x:v>
      </x:c>
      <x:c r="D23">
        <x:v>1061082</x:v>
      </x:c>
      <x:c r="E23">
        <x:v>0</x:v>
      </x:c>
      <x:c r="F23">
        <x:v>6</x:v>
      </x:c>
      <x:c r="G23">
        <x:v>120</x:v>
      </x:c>
      <x:c r="H23">
        <x:v>120</x:v>
      </x:c>
      <x:c r="I23">
        <x:v>0</x:v>
      </x:c>
      <x:c r="J23">
        <x:v>1</x:v>
      </x:c>
      <x:c r="K23">
        <x:v>9.7200000000000006</x:v>
      </x:c>
      <x:c r="L23">
        <x:v>0</x:v>
      </x:c>
      <x:c r="N23" t="s">
        <x:v>17</x:v>
      </x:c>
      <x:c r="O23" s="1">
        <x:v>46311</x:v>
      </x:c>
      <x:c r="P23" s="19" t="n">
        <x:f>IF(AND(M23="",N23="a",ISNUMBER(O23),O23&gt;=$R$4,O23&lt;=$R$11),H23*J23,0)</x:f>
        <x:v>120</x:v>
      </x:c>
      <x:c r="Q23" s="42" t="str">
        <x:v>Stock missing replacement: units</x:v>
      </x:c>
      <x:c r="R23" s="46" t="n">
        <x:f>SUMIFS('Product Inventory 1092026'!J2:J276,'Product Inventory 1092026'!L2:L276,"&lt;=0")</x:f>
        <x:v>468.9356057494867</x:v>
      </x:c>
      <x:c r="S23" s="52"/>
    </x:row>
    <x:row r="24" ht="34" customHeight="1">
      <x:c r="A24" t="s">
        <x:v>15</x:v>
      </x:c>
      <x:c r="B24">
        <x:v>10</x:v>
      </x:c>
      <x:c r="C24" t="s">
        <x:v>32</x:v>
      </x:c>
      <x:c r="D24">
        <x:v>1061082</x:v>
      </x:c>
      <x:c r="E24">
        <x:v>0</x:v>
      </x:c>
      <x:c r="F24">
        <x:v>7</x:v>
      </x:c>
      <x:c r="G24">
        <x:v>120</x:v>
      </x:c>
      <x:c r="H24">
        <x:v>120</x:v>
      </x:c>
      <x:c r="I24">
        <x:v>0</x:v>
      </x:c>
      <x:c r="J24">
        <x:v>1</x:v>
      </x:c>
      <x:c r="K24">
        <x:v>20.25</x:v>
      </x:c>
      <x:c r="L24">
        <x:v>0</x:v>
      </x:c>
      <x:c r="N24" t="s">
        <x:v>17</x:v>
      </x:c>
      <x:c r="O24" s="1">
        <x:v>46311</x:v>
      </x:c>
      <x:c r="P24" s="19" t="n">
        <x:f>IF(AND(M24="",N24="a",ISNUMBER(O24),O24&gt;=$R$4,O24&lt;=$R$11),H24*J24,0)</x:f>
        <x:v>120</x:v>
      </x:c>
      <x:c r="Q24" s="42" t="str">
        <x:v>Stock missing replacement: value</x:v>
      </x:c>
      <x:c r="R24" s="48" t="n">
        <x:f>SUMIFS('Product Inventory 1092026'!Y2:Y276,'Product Inventory 1092026'!L2:L276,"&lt;=0")</x:f>
        <x:v>2756.0033215605745</x:v>
      </x:c>
      <x:c r="S24" s="52" t="str">
        <x:v>Missing-cost rows are excluded from the replacement value and adjustment.</x:v>
      </x:c>
    </x:row>
    <x:row r="25" ht="23" customHeight="1">
      <x:c r="A25" t="s">
        <x:v>15</x:v>
      </x:c>
      <x:c r="B25">
        <x:v>10</x:v>
      </x:c>
      <x:c r="C25" t="s">
        <x:v>33</x:v>
      </x:c>
      <x:c r="D25">
        <x:v>1061082</x:v>
      </x:c>
      <x:c r="E25">
        <x:v>0</x:v>
      </x:c>
      <x:c r="F25">
        <x:v>8</x:v>
      </x:c>
      <x:c r="G25">
        <x:v>36</x:v>
      </x:c>
      <x:c r="H25">
        <x:v>36</x:v>
      </x:c>
      <x:c r="I25">
        <x:v>0</x:v>
      </x:c>
      <x:c r="J25">
        <x:v>1</x:v>
      </x:c>
      <x:c r="K25">
        <x:v>34.83</x:v>
      </x:c>
      <x:c r="L25">
        <x:v>0</x:v>
      </x:c>
      <x:c r="N25" t="s">
        <x:v>17</x:v>
      </x:c>
      <x:c r="O25" s="1">
        <x:v>46311</x:v>
      </x:c>
      <x:c r="P25" s="19" t="n">
        <x:f>IF(AND(M25="",N25="a",ISNUMBER(O25),O25&gt;=$R$4,O25&lt;=$R$11),H25*J25,0)</x:f>
        <x:v>36</x:v>
      </x:c>
      <x:c r="Q25" s="42" t="str">
        <x:v>Stock missing replacement: rows</x:v>
      </x:c>
      <x:c r="R25" s="51" t="n">
        <x:f>COUNTIFS('Product Inventory 1092026'!J2:J276,"&gt;0",'Product Inventory 1092026'!L2:L276,"&lt;=0")</x:f>
        <x:v>12</x:v>
      </x:c>
      <x:c r="S25" s="52"/>
    </x:row>
    <x:row r="26" ht="34" customHeight="1">
      <x:c r="A26" t="s">
        <x:v>15</x:v>
      </x:c>
      <x:c r="B26">
        <x:v>30</x:v>
      </x:c>
      <x:c r="C26" t="s">
        <x:v>16</x:v>
      </x:c>
      <x:c r="D26">
        <x:v>3003960</x:v>
      </x:c>
      <x:c r="E26">
        <x:v>0</x:v>
      </x:c>
      <x:c r="F26">
        <x:v>12</x:v>
      </x:c>
      <x:c r="G26">
        <x:v>32</x:v>
      </x:c>
      <x:c r="H26">
        <x:v>32</x:v>
      </x:c>
      <x:c r="I26">
        <x:v>0</x:v>
      </x:c>
      <x:c r="J26">
        <x:v>1</x:v>
      </x:c>
      <x:c r="K26">
        <x:v>68.260000000000005</x:v>
      </x:c>
      <x:c r="L26">
        <x:v>0</x:v>
      </x:c>
      <x:c r="N26" t="s">
        <x:v>17</x:v>
      </x:c>
      <x:c r="O26" s="1">
        <x:v>46311</x:v>
      </x:c>
      <x:c r="P26" s="19" t="n">
        <x:f>IF(AND(M26="",N26="a",ISNUMBER(O26),O26&gt;=$R$4,O26&lt;=$R$11),H26*J26,0)</x:f>
        <x:v>32</x:v>
      </x:c>
      <x:c r="Q26" s="42" t="str">
        <x:v>Usage exceeds stock: rows</x:v>
      </x:c>
      <x:c r="R26" s="51" t="n">
        <x:f>COUNTIFS('Product Inventory 1092026'!AC2:AC276,"Usage exceeds stock")</x:f>
        <x:v>8</x:v>
      </x:c>
      <x:c r="S26" s="52" t="str">
        <x:v>Ending stock is capped at zero separately for each product and warehouse.</x:v>
      </x:c>
    </x:row>
    <x:row r="27" ht="23" customHeight="1">
      <x:c r="A27" t="s">
        <x:v>15</x:v>
      </x:c>
      <x:c r="B27">
        <x:v>30</x:v>
      </x:c>
      <x:c r="C27" t="s">
        <x:v>34</x:v>
      </x:c>
      <x:c r="D27">
        <x:v>3003960</x:v>
      </x:c>
      <x:c r="E27">
        <x:v>0</x:v>
      </x:c>
      <x:c r="F27">
        <x:v>9</x:v>
      </x:c>
      <x:c r="G27">
        <x:v>16</x:v>
      </x:c>
      <x:c r="H27">
        <x:v>16</x:v>
      </x:c>
      <x:c r="I27">
        <x:v>0</x:v>
      </x:c>
      <x:c r="J27">
        <x:v>1</x:v>
      </x:c>
      <x:c r="K27">
        <x:v>91.58</x:v>
      </x:c>
      <x:c r="L27">
        <x:v>0</x:v>
      </x:c>
      <x:c r="N27" t="s">
        <x:v>17</x:v>
      </x:c>
      <x:c r="O27" s="1">
        <x:v>46311</x:v>
      </x:c>
      <x:c r="P27" s="19" t="n">
        <x:f>IF(AND(M27="",N27="a",ISNUMBER(O27),O27&gt;=$R$4,O27&lt;=$R$11),H27*J27,0)</x:f>
        <x:v>16</x:v>
      </x:c>
      <x:c r="Q27" s="42" t="str">
        <x:v>Reported snapshot inventory</x:v>
      </x:c>
      <x:c r="R27" s="48" t="n">
        <x:f>SUM('Product Inventory 1092026'!V2:V276)</x:f>
        <x:v>633210.2499999997</x:v>
      </x:c>
      <x:c r="S27" s="52"/>
    </x:row>
    <x:row r="28" ht="23" customHeight="1">
      <x:c r="A28" t="s">
        <x:v>15</x:v>
      </x:c>
      <x:c r="B28">
        <x:v>30</x:v>
      </x:c>
      <x:c r="C28" t="s">
        <x:v>29</x:v>
      </x:c>
      <x:c r="D28">
        <x:v>3003960</x:v>
      </x:c>
      <x:c r="E28">
        <x:v>0</x:v>
      </x:c>
      <x:c r="F28">
        <x:v>6</x:v>
      </x:c>
      <x:c r="G28">
        <x:v>144</x:v>
      </x:c>
      <x:c r="H28">
        <x:v>144</x:v>
      </x:c>
      <x:c r="I28">
        <x:v>0</x:v>
      </x:c>
      <x:c r="J28">
        <x:v>1</x:v>
      </x:c>
      <x:c r="K28">
        <x:v>18.32</x:v>
      </x:c>
      <x:c r="L28">
        <x:v>0</x:v>
      </x:c>
      <x:c r="N28" t="s">
        <x:v>17</x:v>
      </x:c>
      <x:c r="O28" s="1">
        <x:v>46311</x:v>
      </x:c>
      <x:c r="P28" s="19" t="n">
        <x:f>IF(AND(M28="",N28="a",ISNUMBER(O28),O28&gt;=$R$4,O28&lt;=$R$11),H28*J28,0)</x:f>
        <x:v>144</x:v>
      </x:c>
      <x:c r="Q28" s="42" t="str">
        <x:v>Calculated snapshot inventory</x:v>
      </x:c>
      <x:c r="R28" s="48" t="n">
        <x:f>SUMPRODUCT('Product Inventory 1092026'!F2:F276,'Product Inventory 1092026'!N2:N276)</x:f>
        <x:v>631844.4099999998</x:v>
      </x:c>
      <x:c r="S28" s="52"/>
    </x:row>
    <x:row r="29" ht="34" customHeight="1">
      <x:c r="A29" t="s">
        <x:v>15</x:v>
      </x:c>
      <x:c r="B29">
        <x:v>30</x:v>
      </x:c>
      <x:c r="C29" t="s">
        <x:v>35</x:v>
      </x:c>
      <x:c r="D29">
        <x:v>3003960</x:v>
      </x:c>
      <x:c r="E29">
        <x:v>0</x:v>
      </x:c>
      <x:c r="F29">
        <x:v>1</x:v>
      </x:c>
      <x:c r="G29">
        <x:v>240</x:v>
      </x:c>
      <x:c r="H29">
        <x:v>240</x:v>
      </x:c>
      <x:c r="I29">
        <x:v>0</x:v>
      </x:c>
      <x:c r="J29">
        <x:v>1</x:v>
      </x:c>
      <x:c r="K29">
        <x:v>11.66</x:v>
      </x:c>
      <x:c r="L29">
        <x:v>0</x:v>
      </x:c>
      <x:c r="N29" t="s">
        <x:v>17</x:v>
      </x:c>
      <x:c r="O29" s="1">
        <x:v>46311</x:v>
      </x:c>
      <x:c r="P29" s="19" t="n">
        <x:f>IF(AND(M29="",N29="a",ISNUMBER(O29),O29&gt;=$R$4,O29&lt;=$R$11),H29*J29,0)</x:f>
        <x:v>240</x:v>
      </x:c>
      <x:c r="Q29" s="42" t="str">
        <x:v>Snapshot valuation difference</x:v>
      </x:c>
      <x:c r="R29" s="48" t="n">
        <x:f>R27-R28</x:f>
        <x:v>1365.839999999851</x:v>
      </x:c>
      <x:c r="S29" s="52" t="str">
        <x:v>The reported valuation differs from QtyOnHand × StndCost. Forecast uses quantity × cost.</x:v>
      </x:c>
    </x:row>
    <x:row r="30" ht="23" customHeight="1">
      <x:c r="A30" t="s">
        <x:v>15</x:v>
      </x:c>
      <x:c r="B30">
        <x:v>30</x:v>
      </x:c>
      <x:c r="C30" t="s">
        <x:v>30</x:v>
      </x:c>
      <x:c r="D30">
        <x:v>3003960</x:v>
      </x:c>
      <x:c r="E30">
        <x:v>0</x:v>
      </x:c>
      <x:c r="F30">
        <x:v>11</x:v>
      </x:c>
      <x:c r="G30">
        <x:v>72</x:v>
      </x:c>
      <x:c r="H30">
        <x:v>72</x:v>
      </x:c>
      <x:c r="I30">
        <x:v>0</x:v>
      </x:c>
      <x:c r="J30">
        <x:v>1</x:v>
      </x:c>
      <x:c r="K30">
        <x:v>28.44</x:v>
      </x:c>
      <x:c r="L30">
        <x:v>0</x:v>
      </x:c>
      <x:c r="N30" t="s">
        <x:v>17</x:v>
      </x:c>
      <x:c r="O30" s="1">
        <x:v>46311</x:v>
      </x:c>
      <x:c r="P30" s="19" t="n">
        <x:f>IF(AND(M30="",N30="a",ISNUMBER(O30),O30&gt;=$R$4,O30&lt;=$R$11),H30*J30,0)</x:f>
        <x:v>72</x:v>
      </x:c>
      <x:c r="Q30" s="42"/>
      <x:c r="S30" s="52"/>
    </x:row>
    <x:row r="31" ht="34" customHeight="1">
      <x:c r="A31" t="s">
        <x:v>15</x:v>
      </x:c>
      <x:c r="B31">
        <x:v>30</x:v>
      </x:c>
      <x:c r="C31" t="s">
        <x:v>20</x:v>
      </x:c>
      <x:c r="D31">
        <x:v>3003960</x:v>
      </x:c>
      <x:c r="E31">
        <x:v>0</x:v>
      </x:c>
      <x:c r="F31">
        <x:v>7</x:v>
      </x:c>
      <x:c r="G31">
        <x:v>144</x:v>
      </x:c>
      <x:c r="H31">
        <x:v>144</x:v>
      </x:c>
      <x:c r="I31">
        <x:v>0</x:v>
      </x:c>
      <x:c r="J31">
        <x:v>1</x:v>
      </x:c>
      <x:c r="K31">
        <x:v>25.44</x:v>
      </x:c>
      <x:c r="L31">
        <x:v>0</x:v>
      </x:c>
      <x:c r="N31" t="s">
        <x:v>17</x:v>
      </x:c>
      <x:c r="O31" s="1">
        <x:v>46311</x:v>
      </x:c>
      <x:c r="P31" s="19" t="n">
        <x:f>IF(AND(M31="",N31="a",ISNUMBER(O31),O31&gt;=$R$4,O31&lt;=$R$11),H31*J31,0)</x:f>
        <x:v>144</x:v>
      </x:c>
      <x:c r="Q31" s="42" t="str">
        <x:v>Forecast method</x:v>
      </x:c>
      <x:c r="S31" s="52" t="str">
        <x:v>Current stock + October arrivals − daily average usage through November 30.</x:v>
      </x:c>
    </x:row>
    <x:row r="32" ht="34" customHeight="1">
      <x:c r="A32" t="s">
        <x:v>15</x:v>
      </x:c>
      <x:c r="B32">
        <x:v>30</x:v>
      </x:c>
      <x:c r="C32" t="s">
        <x:v>21</x:v>
      </x:c>
      <x:c r="D32">
        <x:v>3003960</x:v>
      </x:c>
      <x:c r="E32">
        <x:v>0</x:v>
      </x:c>
      <x:c r="F32">
        <x:v>4</x:v>
      </x:c>
      <x:c r="G32">
        <x:v>720</x:v>
      </x:c>
      <x:c r="H32">
        <x:v>720</x:v>
      </x:c>
      <x:c r="I32">
        <x:v>0</x:v>
      </x:c>
      <x:c r="J32">
        <x:v>1</x:v>
      </x:c>
      <x:c r="K32">
        <x:v>17.55</x:v>
      </x:c>
      <x:c r="L32">
        <x:v>0</x:v>
      </x:c>
      <x:c r="N32" t="s">
        <x:v>17</x:v>
      </x:c>
      <x:c r="O32" s="1">
        <x:v>46311</x:v>
      </x:c>
      <x:c r="P32" s="19" t="n">
        <x:f>IF(AND(M32="",N32="a",ISNUMBER(O32),O32&gt;=$R$4,O32&lt;=$R$11),H32*J32,0)</x:f>
        <x:v>720</x:v>
      </x:c>
      <x:c r="Q32" s="42"/>
      <x:c r="S32" s="52" t="str">
        <x:v>Dates are expected arrivals. No other receipts, transfers, or daily stockout effects are modeled.</x:v>
      </x:c>
    </x:row>
    <x:row r="33" ht="23" customHeight="1">
      <x:c r="A33" t="s">
        <x:v>15</x:v>
      </x:c>
      <x:c r="B33">
        <x:v>30</x:v>
      </x:c>
      <x:c r="C33" t="s">
        <x:v>36</x:v>
      </x:c>
      <x:c r="D33">
        <x:v>3003960</x:v>
      </x:c>
      <x:c r="E33">
        <x:v>0</x:v>
      </x:c>
      <x:c r="F33">
        <x:v>14</x:v>
      </x:c>
      <x:c r="G33">
        <x:v>128</x:v>
      </x:c>
      <x:c r="H33">
        <x:v>128</x:v>
      </x:c>
      <x:c r="I33">
        <x:v>0</x:v>
      </x:c>
      <x:c r="J33">
        <x:v>1</x:v>
      </x:c>
      <x:c r="K33">
        <x:v>16.2</x:v>
      </x:c>
      <x:c r="L33">
        <x:v>0</x:v>
      </x:c>
      <x:c r="N33" t="s">
        <x:v>17</x:v>
      </x:c>
      <x:c r="O33" s="1">
        <x:v>46311</x:v>
      </x:c>
      <x:c r="P33" s="19" t="n">
        <x:f>IF(AND(M33="",N33="a",ISNUMBER(O33),O33&gt;=$R$4,O33&lt;=$R$11),H33*J33,0)</x:f>
        <x:v>128</x:v>
      </x:c>
      <x:c r="Q33" s="42"/>
      <x:c r="S33" s="52"/>
    </x:row>
    <x:row r="34" ht="34" customHeight="1">
      <x:c r="A34" t="s">
        <x:v>15</x:v>
      </x:c>
      <x:c r="B34">
        <x:v>30</x:v>
      </x:c>
      <x:c r="C34" t="s">
        <x:v>24</x:v>
      </x:c>
      <x:c r="D34">
        <x:v>3003960</x:v>
      </x:c>
      <x:c r="E34">
        <x:v>0</x:v>
      </x:c>
      <x:c r="F34">
        <x:v>8</x:v>
      </x:c>
      <x:c r="G34">
        <x:v>72</x:v>
      </x:c>
      <x:c r="H34">
        <x:v>72</x:v>
      </x:c>
      <x:c r="I34">
        <x:v>0</x:v>
      </x:c>
      <x:c r="J34">
        <x:v>1</x:v>
      </x:c>
      <x:c r="K34">
        <x:v>27.48</x:v>
      </x:c>
      <x:c r="L34">
        <x:v>0</x:v>
      </x:c>
      <x:c r="N34" t="s">
        <x:v>17</x:v>
      </x:c>
      <x:c r="O34" s="1">
        <x:v>46311</x:v>
      </x:c>
      <x:c r="P34" s="19" t="n">
        <x:f>IF(AND(M34="",N34="a",ISNUMBER(O34),O34&gt;=$R$4,O34&lt;=$R$11),H34*J34,0)</x:f>
        <x:v>72</x:v>
      </x:c>
      <x:c r="Q34" s="42" t="str">
        <x:v>Source</x:v>
      </x:c>
      <x:c r="S34" s="52" t="str">
        <x:v>FILM Short Term predicgtion.xlsx, both supplied worksheets. Film costs are per stock unit.</x:v>
      </x:c>
    </x:row>
    <x:row r="35">
      <x:c r="A35" t="s">
        <x:v>15</x:v>
      </x:c>
      <x:c r="B35">
        <x:v>30</x:v>
      </x:c>
      <x:c r="C35" t="s">
        <x:v>25</x:v>
      </x:c>
      <x:c r="D35">
        <x:v>3003960</x:v>
      </x:c>
      <x:c r="E35">
        <x:v>0</x:v>
      </x:c>
      <x:c r="F35">
        <x:v>5</x:v>
      </x:c>
      <x:c r="G35">
        <x:v>1080</x:v>
      </x:c>
      <x:c r="H35">
        <x:v>1080</x:v>
      </x:c>
      <x:c r="I35">
        <x:v>0</x:v>
      </x:c>
      <x:c r="J35">
        <x:v>1</x:v>
      </x:c>
      <x:c r="K35">
        <x:v>18.95</x:v>
      </x:c>
      <x:c r="L35">
        <x:v>0</x:v>
      </x:c>
      <x:c r="N35" t="s">
        <x:v>17</x:v>
      </x:c>
      <x:c r="O35" s="1">
        <x:v>46311</x:v>
      </x:c>
      <x:c r="P35" s="19" t="n">
        <x:f>IF(AND(M35="",N35="a",ISNUMBER(O35),O35&gt;=$R$4,O35&lt;=$R$11),H35*J35,0)</x:f>
        <x:v>1080</x:v>
      </x:c>
    </x:row>
    <x:row r="36">
      <x:c r="A36" t="s">
        <x:v>15</x:v>
      </x:c>
      <x:c r="B36">
        <x:v>30</x:v>
      </x:c>
      <x:c r="C36" t="s">
        <x:v>26</x:v>
      </x:c>
      <x:c r="D36">
        <x:v>3003960</x:v>
      </x:c>
      <x:c r="E36">
        <x:v>0</x:v>
      </x:c>
      <x:c r="F36">
        <x:v>2</x:v>
      </x:c>
      <x:c r="G36">
        <x:v>1080</x:v>
      </x:c>
      <x:c r="H36">
        <x:v>1080</x:v>
      </x:c>
      <x:c r="I36">
        <x:v>0</x:v>
      </x:c>
      <x:c r="J36">
        <x:v>1</x:v>
      </x:c>
      <x:c r="K36">
        <x:v>17.5</x:v>
      </x:c>
      <x:c r="L36">
        <x:v>0</x:v>
      </x:c>
      <x:c r="N36" t="s">
        <x:v>17</x:v>
      </x:c>
      <x:c r="O36" s="1">
        <x:v>46311</x:v>
      </x:c>
      <x:c r="P36" s="19" t="n">
        <x:f>IF(AND(M36="",N36="a",ISNUMBER(O36),O36&gt;=$R$4,O36&lt;=$R$11),H36*J36,0)</x:f>
        <x:v>1080</x:v>
      </x:c>
    </x:row>
    <x:row r="37">
      <x:c r="A37" t="s">
        <x:v>15</x:v>
      </x:c>
      <x:c r="B37">
        <x:v>30</x:v>
      </x:c>
      <x:c r="C37" t="s">
        <x:v>37</x:v>
      </x:c>
      <x:c r="D37">
        <x:v>3003960</x:v>
      </x:c>
      <x:c r="E37">
        <x:v>0</x:v>
      </x:c>
      <x:c r="F37">
        <x:v>3</x:v>
      </x:c>
      <x:c r="G37">
        <x:v>180</x:v>
      </x:c>
      <x:c r="H37">
        <x:v>180</x:v>
      </x:c>
      <x:c r="I37">
        <x:v>0</x:v>
      </x:c>
      <x:c r="J37">
        <x:v>1</x:v>
      </x:c>
      <x:c r="K37">
        <x:v>25.11</x:v>
      </x:c>
      <x:c r="L37">
        <x:v>0</x:v>
      </x:c>
      <x:c r="N37" t="s">
        <x:v>17</x:v>
      </x:c>
      <x:c r="O37" s="1">
        <x:v>46311</x:v>
      </x:c>
      <x:c r="P37" s="19" t="n">
        <x:f>IF(AND(M37="",N37="a",ISNUMBER(O37),O37&gt;=$R$4,O37&lt;=$R$11),H37*J37,0)</x:f>
        <x:v>180</x:v>
      </x:c>
    </x:row>
    <x:row r="38">
      <x:c r="A38" t="s">
        <x:v>15</x:v>
      </x:c>
      <x:c r="B38">
        <x:v>30</x:v>
      </x:c>
      <x:c r="C38" t="s">
        <x:v>27</x:v>
      </x:c>
      <x:c r="D38">
        <x:v>3003960</x:v>
      </x:c>
      <x:c r="E38">
        <x:v>0</x:v>
      </x:c>
      <x:c r="F38">
        <x:v>10</x:v>
      </x:c>
      <x:c r="G38">
        <x:v>25</x:v>
      </x:c>
      <x:c r="H38">
        <x:v>25</x:v>
      </x:c>
      <x:c r="I38">
        <x:v>0</x:v>
      </x:c>
      <x:c r="J38">
        <x:v>1</x:v>
      </x:c>
      <x:c r="K38">
        <x:v>38.67</x:v>
      </x:c>
      <x:c r="L38">
        <x:v>0</x:v>
      </x:c>
      <x:c r="N38" t="s">
        <x:v>17</x:v>
      </x:c>
      <x:c r="O38" s="1">
        <x:v>46311</x:v>
      </x:c>
      <x:c r="P38" s="19" t="n">
        <x:f>IF(AND(M38="",N38="a",ISNUMBER(O38),O38&gt;=$R$4,O38&lt;=$R$11),H38*J38,0)</x:f>
        <x:v>25</x:v>
      </x:c>
    </x:row>
    <x:row r="39">
      <x:c r="A39" t="s">
        <x:v>15</x:v>
      </x:c>
      <x:c r="B39">
        <x:v>30</x:v>
      </x:c>
      <x:c r="C39" t="s">
        <x:v>38</x:v>
      </x:c>
      <x:c r="D39">
        <x:v>3003960</x:v>
      </x:c>
      <x:c r="E39">
        <x:v>0</x:v>
      </x:c>
      <x:c r="F39">
        <x:v>13</x:v>
      </x:c>
      <x:c r="G39">
        <x:v>120</x:v>
      </x:c>
      <x:c r="H39">
        <x:v>120</x:v>
      </x:c>
      <x:c r="I39">
        <x:v>0</x:v>
      </x:c>
      <x:c r="J39">
        <x:v>1</x:v>
      </x:c>
      <x:c r="K39">
        <x:v>49.05</x:v>
      </x:c>
      <x:c r="L39">
        <x:v>0</x:v>
      </x:c>
      <x:c r="N39" t="s">
        <x:v>17</x:v>
      </x:c>
      <x:c r="O39" s="1">
        <x:v>46311</x:v>
      </x:c>
      <x:c r="P39" s="19" t="n">
        <x:f>IF(AND(M39="",N39="a",ISNUMBER(O39),O39&gt;=$R$4,O39&lt;=$R$11),H39*J39,0)</x:f>
        <x:v>120</x:v>
      </x:c>
    </x:row>
    <x:row r="40">
      <x:c r="A40" t="s">
        <x:v>15</x:v>
      </x:c>
      <x:c r="B40">
        <x:v>10</x:v>
      </x:c>
      <x:c r="C40" t="s">
        <x:v>16</x:v>
      </x:c>
      <x:c r="D40">
        <x:v>1061283</x:v>
      </x:c>
      <x:c r="E40">
        <x:v>0</x:v>
      </x:c>
      <x:c r="F40">
        <x:v>13</x:v>
      </x:c>
      <x:c r="G40">
        <x:v>32</x:v>
      </x:c>
      <x:c r="H40">
        <x:v>32</x:v>
      </x:c>
      <x:c r="I40">
        <x:v>0</x:v>
      </x:c>
      <x:c r="J40">
        <x:v>1</x:v>
      </x:c>
      <x:c r="K40">
        <x:v>68.260000000000005</x:v>
      </x:c>
      <x:c r="L40">
        <x:v>0</x:v>
      </x:c>
      <x:c r="N40" t="s">
        <x:v>17</x:v>
      </x:c>
      <x:c r="O40" s="1">
        <x:v>46360</x:v>
      </x:c>
      <x:c r="P40" s="19" t="n">
        <x:f>IF(AND(M40="",N40="a",ISNUMBER(O40),O40&gt;=$R$4,O40&lt;=$R$11),H40*J40,0)</x:f>
        <x:v>0</x:v>
      </x:c>
    </x:row>
    <x:row r="41">
      <x:c r="A41" t="s">
        <x:v>15</x:v>
      </x:c>
      <x:c r="B41">
        <x:v>10</x:v>
      </x:c>
      <x:c r="C41" t="s">
        <x:v>29</x:v>
      </x:c>
      <x:c r="D41">
        <x:v>1061283</x:v>
      </x:c>
      <x:c r="E41">
        <x:v>0</x:v>
      </x:c>
      <x:c r="F41">
        <x:v>8</x:v>
      </x:c>
      <x:c r="G41">
        <x:v>72</x:v>
      </x:c>
      <x:c r="H41">
        <x:v>72</x:v>
      </x:c>
      <x:c r="I41">
        <x:v>0</x:v>
      </x:c>
      <x:c r="J41">
        <x:v>1</x:v>
      </x:c>
      <x:c r="K41">
        <x:v>18.32</x:v>
      </x:c>
      <x:c r="L41">
        <x:v>0</x:v>
      </x:c>
      <x:c r="N41" t="s">
        <x:v>17</x:v>
      </x:c>
      <x:c r="O41" s="1">
        <x:v>46360</x:v>
      </x:c>
      <x:c r="P41" s="19" t="n">
        <x:f>IF(AND(M41="",N41="a",ISNUMBER(O41),O41&gt;=$R$4,O41&lt;=$R$11),H41*J41,0)</x:f>
        <x:v>0</x:v>
      </x:c>
    </x:row>
    <x:row r="42">
      <x:c r="A42" t="s">
        <x:v>15</x:v>
      </x:c>
      <x:c r="B42">
        <x:v>10</x:v>
      </x:c>
      <x:c r="C42" t="s">
        <x:v>39</x:v>
      </x:c>
      <x:c r="D42">
        <x:v>1061283</x:v>
      </x:c>
      <x:c r="E42">
        <x:v>0</x:v>
      </x:c>
      <x:c r="F42">
        <x:v>4</x:v>
      </x:c>
      <x:c r="G42">
        <x:v>120</x:v>
      </x:c>
      <x:c r="H42">
        <x:v>120</x:v>
      </x:c>
      <x:c r="I42">
        <x:v>0</x:v>
      </x:c>
      <x:c r="J42">
        <x:v>1</x:v>
      </x:c>
      <x:c r="K42">
        <x:v>12.64</x:v>
      </x:c>
      <x:c r="L42">
        <x:v>0</x:v>
      </x:c>
      <x:c r="N42" t="s">
        <x:v>17</x:v>
      </x:c>
      <x:c r="O42" s="1">
        <x:v>46360</x:v>
      </x:c>
      <x:c r="P42" s="19" t="n">
        <x:f>IF(AND(M42="",N42="a",ISNUMBER(O42),O42&gt;=$R$4,O42&lt;=$R$11),H42*J42,0)</x:f>
        <x:v>0</x:v>
      </x:c>
    </x:row>
    <x:row r="43">
      <x:c r="A43" t="s">
        <x:v>15</x:v>
      </x:c>
      <x:c r="B43">
        <x:v>10</x:v>
      </x:c>
      <x:c r="C43" t="s">
        <x:v>40</x:v>
      </x:c>
      <x:c r="D43">
        <x:v>1061283</x:v>
      </x:c>
      <x:c r="E43">
        <x:v>0</x:v>
      </x:c>
      <x:c r="F43">
        <x:v>10</x:v>
      </x:c>
      <x:c r="G43">
        <x:v>20</x:v>
      </x:c>
      <x:c r="H43">
        <x:v>20</x:v>
      </x:c>
      <x:c r="I43">
        <x:v>0</x:v>
      </x:c>
      <x:c r="J43">
        <x:v>1</x:v>
      </x:c>
      <x:c r="K43">
        <x:v>45.79</x:v>
      </x:c>
      <x:c r="L43">
        <x:v>0</x:v>
      </x:c>
      <x:c r="N43" t="s">
        <x:v>17</x:v>
      </x:c>
      <x:c r="O43" s="1">
        <x:v>46360</x:v>
      </x:c>
      <x:c r="P43" s="19" t="n">
        <x:f>IF(AND(M43="",N43="a",ISNUMBER(O43),O43&gt;=$R$4,O43&lt;=$R$11),H43*J43,0)</x:f>
        <x:v>0</x:v>
      </x:c>
    </x:row>
    <x:row r="44">
      <x:c r="A44" t="s">
        <x:v>15</x:v>
      </x:c>
      <x:c r="B44">
        <x:v>10</x:v>
      </x:c>
      <x:c r="C44" t="s">
        <x:v>30</x:v>
      </x:c>
      <x:c r="D44">
        <x:v>1061283</x:v>
      </x:c>
      <x:c r="E44">
        <x:v>0</x:v>
      </x:c>
      <x:c r="F44">
        <x:v>12</x:v>
      </x:c>
      <x:c r="G44">
        <x:v>72</x:v>
      </x:c>
      <x:c r="H44">
        <x:v>72</x:v>
      </x:c>
      <x:c r="I44">
        <x:v>0</x:v>
      </x:c>
      <x:c r="J44">
        <x:v>1</x:v>
      </x:c>
      <x:c r="K44">
        <x:v>28.44</x:v>
      </x:c>
      <x:c r="L44">
        <x:v>0</x:v>
      </x:c>
      <x:c r="N44" t="s">
        <x:v>17</x:v>
      </x:c>
      <x:c r="O44" s="1">
        <x:v>46360</x:v>
      </x:c>
      <x:c r="P44" s="19" t="n">
        <x:f>IF(AND(M44="",N44="a",ISNUMBER(O44),O44&gt;=$R$4,O44&lt;=$R$11),H44*J44,0)</x:f>
        <x:v>0</x:v>
      </x:c>
    </x:row>
    <x:row r="45">
      <x:c r="A45" t="s">
        <x:v>15</x:v>
      </x:c>
      <x:c r="B45">
        <x:v>10</x:v>
      </x:c>
      <x:c r="C45" t="s">
        <x:v>21</x:v>
      </x:c>
      <x:c r="D45">
        <x:v>1061283</x:v>
      </x:c>
      <x:c r="E45">
        <x:v>0</x:v>
      </x:c>
      <x:c r="F45">
        <x:v>5</x:v>
      </x:c>
      <x:c r="G45">
        <x:v>600</x:v>
      </x:c>
      <x:c r="H45">
        <x:v>600</x:v>
      </x:c>
      <x:c r="I45">
        <x:v>0</x:v>
      </x:c>
      <x:c r="J45">
        <x:v>1</x:v>
      </x:c>
      <x:c r="K45">
        <x:v>17.55</x:v>
      </x:c>
      <x:c r="L45">
        <x:v>0</x:v>
      </x:c>
      <x:c r="N45" t="s">
        <x:v>17</x:v>
      </x:c>
      <x:c r="O45" s="1">
        <x:v>46360</x:v>
      </x:c>
      <x:c r="P45" s="19" t="n">
        <x:f>IF(AND(M45="",N45="a",ISNUMBER(O45),O45&gt;=$R$4,O45&lt;=$R$11),H45*J45,0)</x:f>
        <x:v>0</x:v>
      </x:c>
    </x:row>
    <x:row r="46">
      <x:c r="A46" t="s">
        <x:v>15</x:v>
      </x:c>
      <x:c r="B46">
        <x:v>10</x:v>
      </x:c>
      <x:c r="C46" t="s">
        <x:v>22</x:v>
      </x:c>
      <x:c r="D46">
        <x:v>1061283</x:v>
      </x:c>
      <x:c r="E46">
        <x:v>0</x:v>
      </x:c>
      <x:c r="F46">
        <x:v>1</x:v>
      </x:c>
      <x:c r="G46">
        <x:v>1680</x:v>
      </x:c>
      <x:c r="H46">
        <x:v>1680</x:v>
      </x:c>
      <x:c r="I46">
        <x:v>0</x:v>
      </x:c>
      <x:c r="J46">
        <x:v>1</x:v>
      </x:c>
      <x:c r="K46">
        <x:v>16.2</x:v>
      </x:c>
      <x:c r="L46">
        <x:v>0</x:v>
      </x:c>
      <x:c r="N46" t="s">
        <x:v>17</x:v>
      </x:c>
      <x:c r="O46" s="1">
        <x:v>46360</x:v>
      </x:c>
      <x:c r="P46" s="19" t="n">
        <x:f>IF(AND(M46="",N46="a",ISNUMBER(O46),O46&gt;=$R$4,O46&lt;=$R$11),H46*J46,0)</x:f>
        <x:v>0</x:v>
      </x:c>
    </x:row>
    <x:row r="47">
      <x:c r="A47" t="s">
        <x:v>15</x:v>
      </x:c>
      <x:c r="B47">
        <x:v>10</x:v>
      </x:c>
      <x:c r="C47" t="s">
        <x:v>24</x:v>
      </x:c>
      <x:c r="D47">
        <x:v>1061283</x:v>
      </x:c>
      <x:c r="E47">
        <x:v>0</x:v>
      </x:c>
      <x:c r="F47">
        <x:v>9</x:v>
      </x:c>
      <x:c r="G47">
        <x:v>72</x:v>
      </x:c>
      <x:c r="H47">
        <x:v>72</x:v>
      </x:c>
      <x:c r="I47">
        <x:v>0</x:v>
      </x:c>
      <x:c r="J47">
        <x:v>1</x:v>
      </x:c>
      <x:c r="K47">
        <x:v>27.48</x:v>
      </x:c>
      <x:c r="L47">
        <x:v>0</x:v>
      </x:c>
      <x:c r="N47" t="s">
        <x:v>17</x:v>
      </x:c>
      <x:c r="O47" s="1">
        <x:v>46360</x:v>
      </x:c>
      <x:c r="P47" s="19" t="n">
        <x:f>IF(AND(M47="",N47="a",ISNUMBER(O47),O47&gt;=$R$4,O47&lt;=$R$11),H47*J47,0)</x:f>
        <x:v>0</x:v>
      </x:c>
    </x:row>
    <x:row r="48">
      <x:c r="A48" t="s">
        <x:v>15</x:v>
      </x:c>
      <x:c r="B48">
        <x:v>10</x:v>
      </x:c>
      <x:c r="C48" t="s">
        <x:v>25</x:v>
      </x:c>
      <x:c r="D48">
        <x:v>1061283</x:v>
      </x:c>
      <x:c r="E48">
        <x:v>0</x:v>
      </x:c>
      <x:c r="F48">
        <x:v>6</x:v>
      </x:c>
      <x:c r="G48">
        <x:v>720</x:v>
      </x:c>
      <x:c r="H48">
        <x:v>720</x:v>
      </x:c>
      <x:c r="I48">
        <x:v>0</x:v>
      </x:c>
      <x:c r="J48">
        <x:v>1</x:v>
      </x:c>
      <x:c r="K48">
        <x:v>18.95</x:v>
      </x:c>
      <x:c r="L48">
        <x:v>0</x:v>
      </x:c>
      <x:c r="N48" t="s">
        <x:v>17</x:v>
      </x:c>
      <x:c r="O48" s="1">
        <x:v>46360</x:v>
      </x:c>
      <x:c r="P48" s="19" t="n">
        <x:f>IF(AND(M48="",N48="a",ISNUMBER(O48),O48&gt;=$R$4,O48&lt;=$R$11),H48*J48,0)</x:f>
        <x:v>0</x:v>
      </x:c>
    </x:row>
    <x:row r="49">
      <x:c r="A49" t="s">
        <x:v>15</x:v>
      </x:c>
      <x:c r="B49">
        <x:v>10</x:v>
      </x:c>
      <x:c r="C49" t="s">
        <x:v>26</x:v>
      </x:c>
      <x:c r="D49">
        <x:v>1061283</x:v>
      </x:c>
      <x:c r="E49">
        <x:v>0</x:v>
      </x:c>
      <x:c r="F49">
        <x:v>2</x:v>
      </x:c>
      <x:c r="G49">
        <x:v>600</x:v>
      </x:c>
      <x:c r="H49">
        <x:v>600</x:v>
      </x:c>
      <x:c r="I49">
        <x:v>0</x:v>
      </x:c>
      <x:c r="J49">
        <x:v>1</x:v>
      </x:c>
      <x:c r="K49">
        <x:v>17.5</x:v>
      </x:c>
      <x:c r="L49">
        <x:v>0</x:v>
      </x:c>
      <x:c r="N49" t="s">
        <x:v>17</x:v>
      </x:c>
      <x:c r="O49" s="1">
        <x:v>46360</x:v>
      </x:c>
      <x:c r="P49" s="19" t="n">
        <x:f>IF(AND(M49="",N49="a",ISNUMBER(O49),O49&gt;=$R$4,O49&lt;=$R$11),H49*J49,0)</x:f>
        <x:v>0</x:v>
      </x:c>
    </x:row>
    <x:row r="50">
      <x:c r="A50" t="s">
        <x:v>15</x:v>
      </x:c>
      <x:c r="B50">
        <x:v>10</x:v>
      </x:c>
      <x:c r="C50" t="s">
        <x:v>41</x:v>
      </x:c>
      <x:c r="D50">
        <x:v>1061283</x:v>
      </x:c>
      <x:c r="E50">
        <x:v>0</x:v>
      </x:c>
      <x:c r="F50">
        <x:v>11</x:v>
      </x:c>
      <x:c r="G50">
        <x:v>64</x:v>
      </x:c>
      <x:c r="H50">
        <x:v>64</x:v>
      </x:c>
      <x:c r="I50">
        <x:v>0</x:v>
      </x:c>
      <x:c r="J50">
        <x:v>1</x:v>
      </x:c>
      <x:c r="K50">
        <x:v>38.67</x:v>
      </x:c>
      <x:c r="L50">
        <x:v>0</x:v>
      </x:c>
      <x:c r="N50" t="s">
        <x:v>17</x:v>
      </x:c>
      <x:c r="O50" s="1">
        <x:v>46360</x:v>
      </x:c>
      <x:c r="P50" s="19" t="n">
        <x:f>IF(AND(M50="",N50="a",ISNUMBER(O50),O50&gt;=$R$4,O50&lt;=$R$11),H50*J50,0)</x:f>
        <x:v>0</x:v>
      </x:c>
    </x:row>
    <x:row r="51">
      <x:c r="A51" t="s">
        <x:v>15</x:v>
      </x:c>
      <x:c r="B51">
        <x:v>10</x:v>
      </x:c>
      <x:c r="C51" t="s">
        <x:v>42</x:v>
      </x:c>
      <x:c r="D51">
        <x:v>1061283</x:v>
      </x:c>
      <x:c r="E51">
        <x:v>0</x:v>
      </x:c>
      <x:c r="F51">
        <x:v>3</x:v>
      </x:c>
      <x:c r="G51">
        <x:v>36</x:v>
      </x:c>
      <x:c r="H51">
        <x:v>36</x:v>
      </x:c>
      <x:c r="I51">
        <x:v>0</x:v>
      </x:c>
      <x:c r="J51">
        <x:v>1</x:v>
      </x:c>
      <x:c r="K51">
        <x:v>35.340000000000003</x:v>
      </x:c>
      <x:c r="L51">
        <x:v>0</x:v>
      </x:c>
      <x:c r="N51" t="s">
        <x:v>17</x:v>
      </x:c>
      <x:c r="O51" s="1">
        <x:v>46360</x:v>
      </x:c>
      <x:c r="P51" s="19" t="n">
        <x:f>IF(AND(M51="",N51="a",ISNUMBER(O51),O51&gt;=$R$4,O51&lt;=$R$11),H51*J51,0)</x:f>
        <x:v>0</x:v>
      </x:c>
    </x:row>
    <x:row r="52">
      <x:c r="A52" t="s">
        <x:v>15</x:v>
      </x:c>
      <x:c r="B52">
        <x:v>10</x:v>
      </x:c>
      <x:c r="C52" t="s">
        <x:v>32</x:v>
      </x:c>
      <x:c r="D52">
        <x:v>1061283</x:v>
      </x:c>
      <x:c r="E52">
        <x:v>0</x:v>
      </x:c>
      <x:c r="F52">
        <x:v>7</x:v>
      </x:c>
      <x:c r="G52">
        <x:v>120</x:v>
      </x:c>
      <x:c r="H52">
        <x:v>120</x:v>
      </x:c>
      <x:c r="I52">
        <x:v>0</x:v>
      </x:c>
      <x:c r="J52">
        <x:v>1</x:v>
      </x:c>
      <x:c r="K52">
        <x:v>20.25</x:v>
      </x:c>
      <x:c r="L52">
        <x:v>0</x:v>
      </x:c>
      <x:c r="N52" t="s">
        <x:v>17</x:v>
      </x:c>
      <x:c r="O52" s="1">
        <x:v>46360</x:v>
      </x:c>
      <x:c r="P52" s="19" t="n">
        <x:f>IF(AND(M52="",N52="a",ISNUMBER(O52),O52&gt;=$R$4,O52&lt;=$R$11),H52*J52,0)</x:f>
        <x:v>0</x:v>
      </x:c>
    </x:row>
    <x:row r="53">
      <x:c r="A53" t="s">
        <x:v>15</x:v>
      </x:c>
      <x:c r="B53">
        <x:v>10</x:v>
      </x:c>
      <x:c r="C53" t="s">
        <x:v>43</x:v>
      </x:c>
      <x:c r="D53">
        <x:v>1061283</x:v>
      </x:c>
      <x:c r="E53">
        <x:v>0</x:v>
      </x:c>
      <x:c r="F53">
        <x:v>14</x:v>
      </x:c>
      <x:c r="G53">
        <x:v>25</x:v>
      </x:c>
      <x:c r="H53">
        <x:v>25</x:v>
      </x:c>
      <x:c r="I53">
        <x:v>0</x:v>
      </x:c>
      <x:c r="J53">
        <x:v>1</x:v>
      </x:c>
      <x:c r="K53">
        <x:v>92.11</x:v>
      </x:c>
      <x:c r="L53">
        <x:v>0</x:v>
      </x:c>
      <x:c r="N53" t="s">
        <x:v>17</x:v>
      </x:c>
      <x:c r="O53" s="1">
        <x:v>46360</x:v>
      </x:c>
      <x:c r="P53" s="19" t="n">
        <x:f>IF(AND(M53="",N53="a",ISNUMBER(O53),O53&gt;=$R$4,O53&lt;=$R$11),H53*J53,0)</x:f>
        <x:v>0</x:v>
      </x:c>
    </x:row>
  </x:sheetData>
  <x:dataValidations count="1">
    <x:dataValidation type="decimal" operator="between" sqref="R7">
      <x:formula1>0</x:formula1>
      <x:formula2>2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4" max="4" width="12.44140625" customWidth="1"/>
    <x:col min="7" max="7" width="20" hidden="0" customWidth="1"/>
    <x:col min="9" max="9" width="20" hidden="0" customWidth="1"/>
    <x:col min="13" max="13" width="9.33203125" style="1" customWidth="1"/>
    <x:col min="8" max="8" width="20" hidden="0" customWidth="1"/>
    <x:col min="10" max="10" width="20" hidden="0" customWidth="1"/>
    <x:col min="25" max="25" width="22" hidden="0" customWidth="1"/>
    <x:col min="26" max="26" width="22" hidden="0" customWidth="1"/>
    <x:col min="27" max="27" width="22" hidden="0" customWidth="1"/>
    <x:col min="28" max="28" width="16" hidden="0" customWidth="1"/>
    <x:col min="29" max="29" width="29" hidden="0" customWidth="1"/>
  </x:cols>
  <x:sheetData>
    <x:row r="1" ht="60" customHeight="1">
      <x:c r="A1" s="4" t="s">
        <x:v>44</x:v>
      </x:c>
      <x:c r="B1" s="4" t="s">
        <x:v>45</x:v>
      </x:c>
      <x:c r="C1" s="4" t="s">
        <x:v>46</x:v>
      </x:c>
      <x:c r="D1" s="4" t="s">
        <x:v>47</x:v>
      </x:c>
      <x:c r="E1" s="4" t="s">
        <x:v>48</x:v>
      </x:c>
      <x:c r="F1" s="24" t="s">
        <x:v>49</x:v>
      </x:c>
      <x:c r="G1" s="24" t="str">
        <x:v>QTY TO BE RECEIVED OCT</x:v>
      </x:c>
      <x:c r="H1" s="24" t="str">
        <x:v>TOTAL AVAILABLE QTY</x:v>
      </x:c>
      <x:c r="I1" s="24" t="str">
        <x:v>ESTIMATED USAGE THROUGH 11/30/2026</x:v>
      </x:c>
      <x:c r="J1" s="24" t="str">
        <x:v>ESTIMATED QTY ON 11/30/2026</x:v>
      </x:c>
      <x:c r="K1" s="4" t="s">
        <x:v>50</x:v>
      </x:c>
      <x:c r="L1" s="4" t="s">
        <x:v>51</x:v>
      </x:c>
      <x:c r="M1" s="6" t="s">
        <x:v>52</x:v>
      </x:c>
      <x:c r="N1" s="4" t="s">
        <x:v>53</x:v>
      </x:c>
      <x:c r="O1" s="4" t="s">
        <x:v>54</x:v>
      </x:c>
      <x:c r="P1" s="4" t="s">
        <x:v>55</x:v>
      </x:c>
      <x:c r="Q1" s="4" t="s">
        <x:v>56</x:v>
      </x:c>
      <x:c r="R1" s="4" t="s">
        <x:v>57</x:v>
      </x:c>
      <x:c r="S1" s="4" t="s">
        <x:v>58</x:v>
      </x:c>
      <x:c r="T1" s="4" t="s">
        <x:v>59</x:v>
      </x:c>
      <x:c r="U1" s="4" t="s">
        <x:v>60</x:v>
      </x:c>
      <x:c r="V1" s="4" t="s">
        <x:v>61</x:v>
      </x:c>
      <x:c r="W1" s="4" t="s">
        <x:v>62</x:v>
      </x:c>
      <x:c r="X1" s="4" t="s">
        <x:v>63</x:v>
      </x:c>
      <x:c r="Y1" s="25" t="str">
        <x:v>11/30 VALUE AT CURRENT STANDARD</x:v>
      </x:c>
      <x:c r="Z1" s="25" t="str">
        <x:v>12/1 VALUE AT REPLACEMENT COST</x:v>
      </x:c>
      <x:c r="AA1" s="25" t="str">
        <x:v>12/1 INVENTORY COST CHANGE</x:v>
      </x:c>
      <x:c r="AB1" s="25" t="str">
        <x:v>COST INCREASE %</x:v>
      </x:c>
      <x:c r="AC1" s="25" t="str">
        <x:v>FORECAST REVIEW</x:v>
      </x:c>
    </x:row>
    <x:row r="2">
      <x:c r="A2" t="s">
        <x:v>15</x:v>
      </x:c>
      <x:c r="B2">
        <x:v>10</x:v>
      </x:c>
      <x:c r="C2" t="s">
        <x:v>64</x:v>
      </x:c>
      <x:c r="D2" t="s">
        <x:v>22</x:v>
      </x:c>
      <x:c r="E2">
        <x:v>2361</x:v>
      </x:c>
      <x:c r="F2">
        <x:v>8486</x:v>
      </x:c>
      <x:c r="G2" s="22" t="n">
        <x:f>SUMIFS('Receipts to be received in'!$P$2:$P$53,'Receipts to be received in'!$B$2:$B$53,B2,'Receipts to be received in'!$C$2:$C$53,D2)</x:f>
        <x:v>4320</x:v>
      </x:c>
      <x:c r="H2" s="23" t="n">
        <x:f>F2+G2</x:f>
        <x:v>12806</x:v>
      </x:c>
      <x:c r="I2" s="22" t="n">
        <x:f>E2*'Receipts to be received in'!$R$7*'Receipts to be received in'!$R$10</x:f>
        <x:v>4111.145790554415</x:v>
      </x:c>
      <x:c r="J2" s="23" t="n">
        <x:f>MAX(0,H2-I2)</x:f>
        <x:v>8694.854209445584</x:v>
      </x:c>
      <x:c r="K2">
        <x:v>8040</x:v>
      </x:c>
      <x:c r="L2">
        <x:v>16.2</x:v>
      </x:c>
      <x:c r="M2" s="1">
        <x:v>46133</x:v>
      </x:c>
      <x:c r="N2">
        <x:v>13.5</x:v>
      </x:c>
      <x:c r="O2" s="3">
        <x:v>46027</x:v>
      </x:c>
      <x:c r="P2" s="3">
        <x:v>46252</x:v>
      </x:c>
      <x:c r="Q2" s="2">
        <x:v>-0.16669999999999999</x:v>
      </x:c>
      <x:c r="R2">
        <x:v>6.9995764506564999</x:v>
      </x:c>
      <x:c r="S2">
        <x:v>3.5942397289284198</x:v>
      </x:c>
      <x:c r="T2">
        <x:v>22912.199999999899</x:v>
      </x:c>
      <x:c r="U2">
        <x:v>21707.999999999902</x:v>
      </x:c>
      <x:c r="V2">
        <x:v>114561</x:v>
      </x:c>
      <x:c r="W2">
        <x:v>137473.19999999899</x:v>
      </x:c>
      <x:c r="X2">
        <x:v>353.56</x:v>
      </x:c>
      <x:c r="Y2" s="31" t="n">
        <x:f>J2*N2</x:f>
        <x:v>117380.53182751538</x:v>
      </x:c>
      <x:c r="Z2" s="31" t="n">
        <x:f>IF(J2=0,0,IF(L2&gt;0,J2*L2,"n.a."))</x:f>
        <x:v>140856.63819301847</x:v>
      </x:c>
      <x:c r="AA2" s="31" t="n">
        <x:f>IF(J2=0,0,IF(ISNUMBER(Z2),Z2-Y2,"n.a."))</x:f>
        <x:v>23476.10636550309</x:v>
      </x:c>
      <x:c r="AB2" s="32" t="n">
        <x:f>IF(AND(J2&gt;0,L2&gt;0,N2&gt;0),L2/N2-1,"n.a.")</x:f>
        <x:v>0.19999999999999996</x:v>
      </x:c>
      <x:c r="AC2" s="18" t="str">
        <x:f>IF(AND(J2&gt;0,L2&lt;=0),"Missing replacement cost",IF(I2&gt;H2,"Usage exceeds stock",""))</x:f>
      </x:c>
    </x:row>
    <x:row r="3">
      <x:c r="A3" t="s">
        <x:v>15</x:v>
      </x:c>
      <x:c r="B3">
        <x:v>10</x:v>
      </x:c>
      <x:c r="C3" t="s">
        <x:v>64</x:v>
      </x:c>
      <x:c r="D3" t="s">
        <x:v>26</x:v>
      </x:c>
      <x:c r="E3">
        <x:v>699.58</x:v>
      </x:c>
      <x:c r="F3">
        <x:v>1868</x:v>
      </x:c>
      <x:c r="G3" s="22" t="n">
        <x:f>SUMIFS('Receipts to be received in'!$P$2:$P$53,'Receipts to be received in'!$B$2:$B$53,B3,'Receipts to be received in'!$C$2:$C$53,D3)</x:f>
        <x:v>1200</x:v>
      </x:c>
      <x:c r="H3" s="23" t="n">
        <x:f>F3+G3</x:f>
        <x:v>3068</x:v>
      </x:c>
      <x:c r="I3" s="22" t="n">
        <x:f>E3*'Receipts to be received in'!$R$7*'Receipts to be received in'!$R$10</x:f>
        <x:v>1218.1598357289529</x:v>
      </x:c>
      <x:c r="J3" s="23" t="n">
        <x:f>MAX(0,H3-I3)</x:f>
        <x:v>1849.8401642710471</x:v>
      </x:c>
      <x:c r="K3">
        <x:v>2280</x:v>
      </x:c>
      <x:c r="L3">
        <x:v>17.5</x:v>
      </x:c>
      <x:c r="M3" s="1">
        <x:v>46133</x:v>
      </x:c>
      <x:c r="N3">
        <x:v>14.58</x:v>
      </x:c>
      <x:c r="O3" s="3">
        <x:v>46027</x:v>
      </x:c>
      <x:c r="P3" s="3">
        <x:v>46252</x:v>
      </x:c>
      <x:c r="Q3" s="2">
        <x:v>-0.16689999999999999</x:v>
      </x:c>
      <x:c r="R3">
        <x:v>5.9292718488235696</x:v>
      </x:c>
      <x:c r="S3">
        <x:v>2.6701735326910399</x:v>
      </x:c>
      <x:c r="T3">
        <x:v>5460.4</x:v>
      </x:c>
      <x:c r="U3">
        <x:v>6657.5999999999904</x:v>
      </x:c>
      <x:c r="V3">
        <x:v>27264.6</x:v>
      </x:c>
      <x:c r="W3">
        <x:v>32725</x:v>
      </x:c>
      <x:c r="X3">
        <x:v>381.84</x:v>
      </x:c>
      <x:c r="Y3" s="31" t="n">
        <x:f>J3*N3</x:f>
        <x:v>26970.669595071868</x:v>
      </x:c>
      <x:c r="Z3" s="31" t="n">
        <x:f>IF(J3=0,0,IF(L3&gt;0,J3*L3,"n.a."))</x:f>
        <x:v>32372.202874743325</x:v>
      </x:c>
      <x:c r="AA3" s="31" t="n">
        <x:f>IF(J3=0,0,IF(ISNUMBER(Z3),Z3-Y3,"n.a."))</x:f>
        <x:v>5401.533279671457</x:v>
      </x:c>
      <x:c r="AB3" s="32" t="n">
        <x:f>IF(AND(J3&gt;0,L3&gt;0,N3&gt;0),L3/N3-1,"n.a.")</x:f>
        <x:v>0.20027434842249647</x:v>
      </x:c>
      <x:c r="AC3" s="18" t="str">
        <x:f>IF(AND(J3&gt;0,L3&lt;=0),"Missing replacement cost",IF(I3&gt;H3,"Usage exceeds stock",""))</x:f>
      </x:c>
    </x:row>
    <x:row r="4">
      <x:c r="A4" t="s">
        <x:v>15</x:v>
      </x:c>
      <x:c r="B4">
        <x:v>10</x:v>
      </x:c>
      <x:c r="C4" t="s">
        <x:v>64</x:v>
      </x:c>
      <x:c r="D4" t="s">
        <x:v>21</x:v>
      </x:c>
      <x:c r="E4">
        <x:v>659</x:v>
      </x:c>
      <x:c r="F4">
        <x:v>1014</x:v>
      </x:c>
      <x:c r="G4" s="22" t="n">
        <x:f>SUMIFS('Receipts to be received in'!$P$2:$P$53,'Receipts to be received in'!$B$2:$B$53,B4,'Receipts to be received in'!$C$2:$C$53,D4)</x:f>
        <x:v>1560</x:v>
      </x:c>
      <x:c r="H4" s="23" t="n">
        <x:f>F4+G4</x:f>
        <x:v>2574</x:v>
      </x:c>
      <x:c r="I4" s="22" t="n">
        <x:f>E4*'Receipts to be received in'!$R$7*'Receipts to be received in'!$R$10</x:f>
        <x:v>1147.498973305955</x:v>
      </x:c>
      <x:c r="J4" s="23" t="n">
        <x:f>MAX(0,H4-I4)</x:f>
        <x:v>1426.501026694045</x:v>
      </x:c>
      <x:c r="K4">
        <x:v>3120</x:v>
      </x:c>
      <x:c r="L4">
        <x:v>17.55</x:v>
      </x:c>
      <x:c r="M4" s="1">
        <x:v>46134</x:v>
      </x:c>
      <x:c r="N4">
        <x:v>14.63</x:v>
      </x:c>
      <x:c r="O4" s="3">
        <x:v>46027</x:v>
      </x:c>
      <x:c r="P4" s="3">
        <x:v>46252</x:v>
      </x:c>
      <x:c r="Q4" s="2">
        <x:v>-0.16639999999999999</x:v>
      </x:c>
      <x:c r="R4">
        <x:v>6.2731411229134997</x:v>
      </x:c>
      <x:c r="S4">
        <x:v>1.53869499241274</x:v>
      </x:c>
      <x:c r="T4">
        <x:v>2960.88</x:v>
      </x:c>
      <x:c r="U4">
        <x:v>9110.4</x:v>
      </x:c>
      <x:c r="V4">
        <x:v>14834.82</x:v>
      </x:c>
      <x:c r="W4">
        <x:v>17795.7</x:v>
      </x:c>
      <x:c r="X4">
        <x:v>300.27999999999997</x:v>
      </x:c>
      <x:c r="Y4" s="31" t="n">
        <x:f>J4*N4</x:f>
        <x:v>20869.71002053388</x:v>
      </x:c>
      <x:c r="Z4" s="31" t="n">
        <x:f>IF(J4=0,0,IF(L4&gt;0,J4*L4,"n.a."))</x:f>
        <x:v>25035.093018480493</x:v>
      </x:c>
      <x:c r="AA4" s="31" t="n">
        <x:f>IF(J4=0,0,IF(ISNUMBER(Z4),Z4-Y4,"n.a."))</x:f>
        <x:v>4165.382997946614</x:v>
      </x:c>
      <x:c r="AB4" s="32" t="n">
        <x:f>IF(AND(J4&gt;0,L4&gt;0,N4&gt;0),L4/N4-1,"n.a.")</x:f>
        <x:v>0.1995898838004102</x:v>
      </x:c>
      <x:c r="AC4" s="18" t="str">
        <x:f>IF(AND(J4&gt;0,L4&lt;=0),"Missing replacement cost",IF(I4&gt;H4,"Usage exceeds stock",""))</x:f>
      </x:c>
    </x:row>
    <x:row r="5">
      <x:c r="A5" t="s">
        <x:v>15</x:v>
      </x:c>
      <x:c r="B5">
        <x:v>30</x:v>
      </x:c>
      <x:c r="C5" t="s">
        <x:v>64</x:v>
      </x:c>
      <x:c r="D5" t="s">
        <x:v>22</x:v>
      </x:c>
      <x:c r="E5">
        <x:v>542.33000000000004</x:v>
      </x:c>
      <x:c r="F5">
        <x:v>5195</x:v>
      </x:c>
      <x:c r="G5" s="22" t="n">
        <x:f>SUMIFS('Receipts to be received in'!$P$2:$P$53,'Receipts to be received in'!$B$2:$B$53,B5,'Receipts to be received in'!$C$2:$C$53,D5)</x:f>
        <x:v>0</x:v>
      </x:c>
      <x:c r="H5" s="23" t="n">
        <x:f>F5+G5</x:f>
        <x:v>5195</x:v>
      </x:c>
      <x:c r="I5" s="22" t="n">
        <x:f>E5*'Receipts to be received in'!$R$7*'Receipts to be received in'!$R$10</x:f>
        <x:v>944.3446406570843</x:v>
      </x:c>
      <x:c r="J5" s="23" t="n">
        <x:f>MAX(0,H5-I5)</x:f>
        <x:v>4250.655359342916</x:v>
      </x:c>
      <x:c r="K5">
        <x:v>0</x:v>
      </x:c>
      <x:c r="L5">
        <x:v>16.2</x:v>
      </x:c>
      <x:c r="M5" s="1">
        <x:v>46133</x:v>
      </x:c>
      <x:c r="N5">
        <x:v>13.5</x:v>
      </x:c>
      <x:c r="O5" s="3">
        <x:v>46027</x:v>
      </x:c>
      <x:c r="P5" s="3">
        <x:v>46224</x:v>
      </x:c>
      <x:c r="Q5" s="2">
        <x:v>-0.16669999999999999</x:v>
      </x:c>
      <x:c r="R5">
        <x:v>9.5790385927387298</x:v>
      </x:c>
      <x:c r="S5">
        <x:v>9.5790385927387298</x:v>
      </x:c>
      <x:c r="T5">
        <x:v>14026.4999999999</x:v>
      </x:c>
      <x:c r="U5">
        <x:v>0</x:v>
      </x:c>
      <x:c r="V5">
        <x:v>70132.5</x:v>
      </x:c>
      <x:c r="W5">
        <x:v>84159</x:v>
      </x:c>
      <x:c r="X5">
        <x:v>353.56</x:v>
      </x:c>
      <x:c r="Y5" s="31" t="n">
        <x:f>J5*N5</x:f>
        <x:v>57383.84735112937</x:v>
      </x:c>
      <x:c r="Z5" s="31" t="n">
        <x:f>IF(J5=0,0,IF(L5&gt;0,J5*L5,"n.a."))</x:f>
        <x:v>68860.61682135524</x:v>
      </x:c>
      <x:c r="AA5" s="31" t="n">
        <x:f>IF(J5=0,0,IF(ISNUMBER(Z5),Z5-Y5,"n.a."))</x:f>
        <x:v>11476.769470225874</x:v>
      </x:c>
      <x:c r="AB5" s="32" t="n">
        <x:f>IF(AND(J5&gt;0,L5&gt;0,N5&gt;0),L5/N5-1,"n.a.")</x:f>
        <x:v>0.19999999999999996</x:v>
      </x:c>
      <x:c r="AC5" s="18" t="str">
        <x:f>IF(AND(J5&gt;0,L5&lt;=0),"Missing replacement cost",IF(I5&gt;H5,"Usage exceeds stock",""))</x:f>
      </x:c>
    </x:row>
    <x:row r="6">
      <x:c r="A6" t="s">
        <x:v>15</x:v>
      </x:c>
      <x:c r="B6">
        <x:v>60</x:v>
      </x:c>
      <x:c r="C6" t="s">
        <x:v>64</x:v>
      </x:c>
      <x:c r="D6" t="s">
        <x:v>22</x:v>
      </x:c>
      <x:c r="E6">
        <x:v>536.33000000000004</x:v>
      </x:c>
      <x:c r="F6">
        <x:v>2718</x:v>
      </x:c>
      <x:c r="G6" s="22" t="n">
        <x:f>SUMIFS('Receipts to be received in'!$P$2:$P$53,'Receipts to be received in'!$B$2:$B$53,B6,'Receipts to be received in'!$C$2:$C$53,D6)</x:f>
        <x:v>0</x:v>
      </x:c>
      <x:c r="H6" s="23" t="n">
        <x:f>F6+G6</x:f>
        <x:v>2718</x:v>
      </x:c>
      <x:c r="I6" s="22" t="n">
        <x:f>E6*'Receipts to be received in'!$R$7*'Receipts to be received in'!$R$10</x:f>
        <x:v>933.8970020533882</x:v>
      </x:c>
      <x:c r="J6" s="23" t="n">
        <x:f>MAX(0,H6-I6)</x:f>
        <x:v>1784.1029979466118</x:v>
      </x:c>
      <x:c r="K6">
        <x:v>1680</x:v>
      </x:c>
      <x:c r="L6">
        <x:v>16.2</x:v>
      </x:c>
      <x:c r="M6" s="1">
        <x:v>46133</x:v>
      </x:c>
      <x:c r="N6">
        <x:v>13.5</x:v>
      </x:c>
      <x:c r="O6" s="3">
        <x:v>46027</x:v>
      </x:c>
      <x:c r="P6" s="3">
        <x:v>46244</x:v>
      </x:c>
      <x:c r="Q6" s="2">
        <x:v>-0.16669999999999999</x:v>
      </x:c>
      <x:c r="R6">
        <x:v>8.2001752652284896</x:v>
      </x:c>
      <x:c r="S6">
        <x:v>5.0677754367646699</x:v>
      </x:c>
      <x:c r="T6">
        <x:v>7341.2999999999902</x:v>
      </x:c>
      <x:c r="U6">
        <x:v>4535.99999999999</x:v>
      </x:c>
      <x:c r="V6">
        <x:v>36706.5</x:v>
      </x:c>
      <x:c r="W6">
        <x:v>44047.799999999901</x:v>
      </x:c>
      <x:c r="X6">
        <x:v>353.56</x:v>
      </x:c>
      <x:c r="Y6" s="31" t="n">
        <x:f>J6*N6</x:f>
        <x:v>24085.39047227926</x:v>
      </x:c>
      <x:c r="Z6" s="31" t="n">
        <x:f>IF(J6=0,0,IF(L6&gt;0,J6*L6,"n.a."))</x:f>
        <x:v>28902.46856673511</x:v>
      </x:c>
      <x:c r="AA6" s="31" t="n">
        <x:f>IF(J6=0,0,IF(ISNUMBER(Z6),Z6-Y6,"n.a."))</x:f>
        <x:v>4817.07809445585</x:v>
      </x:c>
      <x:c r="AB6" s="32" t="n">
        <x:f>IF(AND(J6&gt;0,L6&gt;0,N6&gt;0),L6/N6-1,"n.a.")</x:f>
        <x:v>0.19999999999999996</x:v>
      </x:c>
      <x:c r="AC6" s="18" t="str">
        <x:f>IF(AND(J6&gt;0,L6&lt;=0),"Missing replacement cost",IF(I6&gt;H6,"Usage exceeds stock",""))</x:f>
      </x:c>
    </x:row>
    <x:row r="7">
      <x:c r="A7" t="s">
        <x:v>15</x:v>
      </x:c>
      <x:c r="B7">
        <x:v>10</x:v>
      </x:c>
      <x:c r="C7" t="s">
        <x:v>64</x:v>
      </x:c>
      <x:c r="D7" t="s">
        <x:v>25</x:v>
      </x:c>
      <x:c r="E7">
        <x:v>326.33</x:v>
      </x:c>
      <x:c r="F7">
        <x:v>716</x:v>
      </x:c>
      <x:c r="G7" s="22" t="n">
        <x:f>SUMIFS('Receipts to be received in'!$P$2:$P$53,'Receipts to be received in'!$B$2:$B$53,B7,'Receipts to be received in'!$C$2:$C$53,D7)</x:f>
        <x:v>480</x:v>
      </x:c>
      <x:c r="H7" s="23" t="n">
        <x:f>F7+G7</x:f>
        <x:v>1196</x:v>
      </x:c>
      <x:c r="I7" s="22" t="n">
        <x:f>E7*'Receipts to be received in'!$R$7*'Receipts to be received in'!$R$10</x:f>
        <x:v>568.2296509240247</x:v>
      </x:c>
      <x:c r="J7" s="23" t="n">
        <x:f>MAX(0,H7-I7)</x:f>
        <x:v>627.7703490759753</x:v>
      </x:c>
      <x:c r="K7">
        <x:v>1440</x:v>
      </x:c>
      <x:c r="L7">
        <x:v>18.95</x:v>
      </x:c>
      <x:c r="M7" s="1">
        <x:v>46134</x:v>
      </x:c>
      <x:c r="N7">
        <x:v>15.8</x:v>
      </x:c>
      <x:c r="O7" s="3">
        <x:v>46027</x:v>
      </x:c>
      <x:c r="P7" s="3">
        <x:v>46231</x:v>
      </x:c>
      <x:c r="Q7" s="2">
        <x:v>-0.16619999999999999</x:v>
      </x:c>
      <x:c r="R7">
        <x:v>6.6068090583151999</x:v>
      </x:c>
      <x:c r="S7">
        <x:v>2.1940979989581102</x:v>
      </x:c>
      <x:c r="T7">
        <x:v>2255.3999999999901</x:v>
      </x:c>
      <x:c r="U7">
        <x:v>4535.99999999999</x:v>
      </x:c>
      <x:c r="V7">
        <x:v>11312.8</x:v>
      </x:c>
      <x:c r="W7">
        <x:v>13568.199999999901</x:v>
      </x:c>
      <x:c r="X7">
        <x:v>324.35000000000002</x:v>
      </x:c>
      <x:c r="Y7" s="31" t="n">
        <x:f>J7*N7</x:f>
        <x:v>9918.77151540041</x:v>
      </x:c>
      <x:c r="Z7" s="31" t="n">
        <x:f>IF(J7=0,0,IF(L7&gt;0,J7*L7,"n.a."))</x:f>
        <x:v>11896.248114989732</x:v>
      </x:c>
      <x:c r="AA7" s="31" t="n">
        <x:f>IF(J7=0,0,IF(ISNUMBER(Z7),Z7-Y7,"n.a."))</x:f>
        <x:v>1977.4765995893213</x:v>
      </x:c>
      <x:c r="AB7" s="32" t="n">
        <x:f>IF(AND(J7&gt;0,L7&gt;0,N7&gt;0),L7/N7-1,"n.a.")</x:f>
        <x:v>0.1993670886075949</x:v>
      </x:c>
      <x:c r="AC7" s="18" t="str">
        <x:f>IF(AND(J7&gt;0,L7&lt;=0),"Missing replacement cost",IF(I7&gt;H7,"Usage exceeds stock",""))</x:f>
      </x:c>
    </x:row>
    <x:row r="8">
      <x:c r="A8" t="s">
        <x:v>15</x:v>
      </x:c>
      <x:c r="B8">
        <x:v>30</x:v>
      </x:c>
      <x:c r="C8" t="s">
        <x:v>64</x:v>
      </x:c>
      <x:c r="D8" t="s">
        <x:v>26</x:v>
      </x:c>
      <x:c r="E8">
        <x:v>231.33</x:v>
      </x:c>
      <x:c r="F8">
        <x:v>527</x:v>
      </x:c>
      <x:c r="G8" s="22" t="n">
        <x:f>SUMIFS('Receipts to be received in'!$P$2:$P$53,'Receipts to be received in'!$B$2:$B$53,B8,'Receipts to be received in'!$C$2:$C$53,D8)</x:f>
        <x:v>1080</x:v>
      </x:c>
      <x:c r="H8" s="23" t="n">
        <x:f>F8+G8</x:f>
        <x:v>1607</x:v>
      </x:c>
      <x:c r="I8" s="22" t="n">
        <x:f>E8*'Receipts to be received in'!$R$7*'Receipts to be received in'!$R$10</x:f>
        <x:v>402.8087063655031</x:v>
      </x:c>
      <x:c r="J8" s="23" t="n">
        <x:f>MAX(0,H8-I8)</x:f>
        <x:v>1204.191293634497</x:v>
      </x:c>
      <x:c r="K8">
        <x:v>1080</x:v>
      </x:c>
      <x:c r="L8">
        <x:v>17.5</x:v>
      </x:c>
      <x:c r="M8" s="1">
        <x:v>46133</x:v>
      </x:c>
      <x:c r="N8">
        <x:v>14.58</x:v>
      </x:c>
      <x:c r="O8" s="3">
        <x:v>46027</x:v>
      </x:c>
      <x:c r="P8" s="3">
        <x:v>46224</x:v>
      </x:c>
      <x:c r="Q8" s="2">
        <x:v>-0.16689999999999999</x:v>
      </x:c>
      <x:c r="R8">
        <x:v>6.9467859767431799</x:v>
      </x:c>
      <x:c r="S8">
        <x:v>2.2781308088012699</x:v>
      </x:c>
      <x:c r="T8">
        <x:v>1538.84</x:v>
      </x:c>
      <x:c r="U8">
        <x:v>3153.6</x:v>
      </x:c>
      <x:c r="V8">
        <x:v>7683.66</x:v>
      </x:c>
      <x:c r="W8">
        <x:v>9222.5</x:v>
      </x:c>
      <x:c r="X8">
        <x:v>381.84</x:v>
      </x:c>
      <x:c r="Y8" s="31" t="n">
        <x:f>J8*N8</x:f>
        <x:v>17557.109061190968</x:v>
      </x:c>
      <x:c r="Z8" s="31" t="n">
        <x:f>IF(J8=0,0,IF(L8&gt;0,J8*L8,"n.a."))</x:f>
        <x:v>21073.347638603696</x:v>
      </x:c>
      <x:c r="AA8" s="31" t="n">
        <x:f>IF(J8=0,0,IF(ISNUMBER(Z8),Z8-Y8,"n.a."))</x:f>
        <x:v>3516.238577412729</x:v>
      </x:c>
      <x:c r="AB8" s="32" t="n">
        <x:f>IF(AND(J8&gt;0,L8&gt;0,N8&gt;0),L8/N8-1,"n.a.")</x:f>
        <x:v>0.20027434842249647</x:v>
      </x:c>
      <x:c r="AC8" s="18" t="str">
        <x:f>IF(AND(J8&gt;0,L8&lt;=0),"Missing replacement cost",IF(I8&gt;H8,"Usage exceeds stock",""))</x:f>
      </x:c>
    </x:row>
    <x:row r="9">
      <x:c r="A9" t="s">
        <x:v>15</x:v>
      </x:c>
      <x:c r="B9">
        <x:v>60</x:v>
      </x:c>
      <x:c r="C9" t="s">
        <x:v>64</x:v>
      </x:c>
      <x:c r="D9" t="s">
        <x:v>26</x:v>
      </x:c>
      <x:c r="E9">
        <x:v>180.5</x:v>
      </x:c>
      <x:c r="F9">
        <x:v>1122</x:v>
      </x:c>
      <x:c r="G9" s="22" t="n">
        <x:f>SUMIFS('Receipts to be received in'!$P$2:$P$53,'Receipts to be received in'!$B$2:$B$53,B9,'Receipts to be received in'!$C$2:$C$53,D9)</x:f>
        <x:v>0</x:v>
      </x:c>
      <x:c r="H9" s="23" t="n">
        <x:f>F9+G9</x:f>
        <x:v>1122</x:v>
      </x:c>
      <x:c r="I9" s="22" t="n">
        <x:f>E9*'Receipts to be received in'!$R$7*'Receipts to be received in'!$R$10</x:f>
        <x:v>314.29979466119096</x:v>
      </x:c>
      <x:c r="J9" s="23" t="n">
        <x:f>MAX(0,H9-I9)</x:f>
        <x:v>807.700205338809</x:v>
      </x:c>
      <x:c r="K9">
        <x:v>480</x:v>
      </x:c>
      <x:c r="L9">
        <x:v>17.5</x:v>
      </x:c>
      <x:c r="M9" s="1">
        <x:v>46133</x:v>
      </x:c>
      <x:c r="N9">
        <x:v>14.58</x:v>
      </x:c>
      <x:c r="O9" s="3">
        <x:v>46027</x:v>
      </x:c>
      <x:c r="P9" s="3">
        <x:v>46244</x:v>
      </x:c>
      <x:c r="Q9" s="2">
        <x:v>-0.16689999999999999</x:v>
      </x:c>
      <x:c r="R9">
        <x:v>8.8753462603878095</x:v>
      </x:c>
      <x:c r="S9">
        <x:v>6.21606648199446</x:v>
      </x:c>
      <x:c r="T9">
        <x:v>3276.24</x:v>
      </x:c>
      <x:c r="U9">
        <x:v>1401.6</x:v>
      </x:c>
      <x:c r="V9">
        <x:v>16358.76</x:v>
      </x:c>
      <x:c r="W9">
        <x:v>19635</x:v>
      </x:c>
      <x:c r="X9">
        <x:v>381.84</x:v>
      </x:c>
      <x:c r="Y9" s="31" t="n">
        <x:f>J9*N9</x:f>
        <x:v>11776.268993839836</x:v>
      </x:c>
      <x:c r="Z9" s="31" t="n">
        <x:f>IF(J9=0,0,IF(L9&gt;0,J9*L9,"n.a."))</x:f>
        <x:v>14134.753593429159</x:v>
      </x:c>
      <x:c r="AA9" s="31" t="n">
        <x:f>IF(J9=0,0,IF(ISNUMBER(Z9),Z9-Y9,"n.a."))</x:f>
        <x:v>2358.484599589323</x:v>
      </x:c>
      <x:c r="AB9" s="32" t="n">
        <x:f>IF(AND(J9&gt;0,L9&gt;0,N9&gt;0),L9/N9-1,"n.a.")</x:f>
        <x:v>0.20027434842249647</x:v>
      </x:c>
      <x:c r="AC9" s="18" t="str">
        <x:f>IF(AND(J9&gt;0,L9&lt;=0),"Missing replacement cost",IF(I9&gt;H9,"Usage exceeds stock",""))</x:f>
      </x:c>
    </x:row>
    <x:row r="10">
      <x:c r="A10" t="s">
        <x:v>15</x:v>
      </x:c>
      <x:c r="B10">
        <x:v>30</x:v>
      </x:c>
      <x:c r="C10" t="s">
        <x:v>64</x:v>
      </x:c>
      <x:c r="D10" t="s">
        <x:v>25</x:v>
      </x:c>
      <x:c r="E10">
        <x:v>160</x:v>
      </x:c>
      <x:c r="F10">
        <x:v>356</x:v>
      </x:c>
      <x:c r="G10" s="22" t="n">
        <x:f>SUMIFS('Receipts to be received in'!$P$2:$P$53,'Receipts to be received in'!$B$2:$B$53,B10,'Receipts to be received in'!$C$2:$C$53,D10)</x:f>
        <x:v>1080</x:v>
      </x:c>
      <x:c r="H10" s="23" t="n">
        <x:f>F10+G10</x:f>
        <x:v>1436</x:v>
      </x:c>
      <x:c r="I10" s="22" t="n">
        <x:f>E10*'Receipts to be received in'!$R$7*'Receipts to be received in'!$R$10</x:f>
        <x:v>278.60369609856264</x:v>
      </x:c>
      <x:c r="J10" s="23" t="n">
        <x:f>MAX(0,H10-I10)</x:f>
        <x:v>1157.3963039014375</x:v>
      </x:c>
      <x:c r="K10">
        <x:v>1080</x:v>
      </x:c>
      <x:c r="L10">
        <x:v>18.95</x:v>
      </x:c>
      <x:c r="M10" s="1">
        <x:v>46134</x:v>
      </x:c>
      <x:c r="N10">
        <x:v>15.8</x:v>
      </x:c>
      <x:c r="O10" s="3">
        <x:v>46027</x:v>
      </x:c>
      <x:c r="P10" s="3">
        <x:v>46224</x:v>
      </x:c>
      <x:c r="Q10" s="2">
        <x:v>-0.16619999999999999</x:v>
      </x:c>
      <x:c r="R10">
        <x:v>8.9749999999999996</x:v>
      </x:c>
      <x:c r="S10">
        <x:v>2.2250000000000001</x:v>
      </x:c>
      <x:c r="T10">
        <x:v>1127.69999999999</x:v>
      </x:c>
      <x:c r="U10">
        <x:v>3401.99999999999</x:v>
      </x:c>
      <x:c r="V10">
        <x:v>5656.4</x:v>
      </x:c>
      <x:c r="W10">
        <x:v>6784.0999999999904</x:v>
      </x:c>
      <x:c r="X10">
        <x:v>324.35000000000002</x:v>
      </x:c>
      <x:c r="Y10" s="31" t="n">
        <x:f>J10*N10</x:f>
        <x:v>18286.86160164271</x:v>
      </x:c>
      <x:c r="Z10" s="31" t="n">
        <x:f>IF(J10=0,0,IF(L10&gt;0,J10*L10,"n.a."))</x:f>
        <x:v>21932.65995893224</x:v>
      </x:c>
      <x:c r="AA10" s="31" t="n">
        <x:f>IF(J10=0,0,IF(ISNUMBER(Z10),Z10-Y10,"n.a."))</x:f>
        <x:v>3645.798357289528</x:v>
      </x:c>
      <x:c r="AB10" s="32" t="n">
        <x:f>IF(AND(J10&gt;0,L10&gt;0,N10&gt;0),L10/N10-1,"n.a.")</x:f>
        <x:v>0.1993670886075949</x:v>
      </x:c>
      <x:c r="AC10" s="18" t="str">
        <x:f>IF(AND(J10&gt;0,L10&lt;=0),"Missing replacement cost",IF(I10&gt;H10,"Usage exceeds stock",""))</x:f>
      </x:c>
    </x:row>
    <x:row r="11">
      <x:c r="A11" t="s">
        <x:v>15</x:v>
      </x:c>
      <x:c r="B11">
        <x:v>30</x:v>
      </x:c>
      <x:c r="C11" t="s">
        <x:v>64</x:v>
      </x:c>
      <x:c r="D11" t="s">
        <x:v>21</x:v>
      </x:c>
      <x:c r="E11">
        <x:v>122.67</x:v>
      </x:c>
      <x:c r="F11">
        <x:v>440</x:v>
      </x:c>
      <x:c r="G11" s="22" t="n">
        <x:f>SUMIFS('Receipts to be received in'!$P$2:$P$53,'Receipts to be received in'!$B$2:$B$53,B11,'Receipts to be received in'!$C$2:$C$53,D11)</x:f>
        <x:v>720</x:v>
      </x:c>
      <x:c r="H11" s="23" t="n">
        <x:f>F11+G11</x:f>
        <x:v>1160</x:v>
      </x:c>
      <x:c r="I11" s="22" t="n">
        <x:f>E11*'Receipts to be received in'!$R$7*'Receipts to be received in'!$R$10</x:f>
        <x:v>213.60197125256676</x:v>
      </x:c>
      <x:c r="J11" s="23" t="n">
        <x:f>MAX(0,H11-I11)</x:f>
        <x:v>946.3980287474333</x:v>
      </x:c>
      <x:c r="K11">
        <x:v>720</x:v>
      </x:c>
      <x:c r="L11">
        <x:v>17.55</x:v>
      </x:c>
      <x:c r="M11" s="1">
        <x:v>46134</x:v>
      </x:c>
      <x:c r="N11">
        <x:v>14.63</x:v>
      </x:c>
      <x:c r="O11" s="3">
        <x:v>46027</x:v>
      </x:c>
      <x:c r="P11" s="3">
        <x:v>46224</x:v>
      </x:c>
      <x:c r="Q11" s="2">
        <x:v>-0.16639999999999999</x:v>
      </x:c>
      <x:c r="R11">
        <x:v>9.4562647754137092</x:v>
      </x:c>
      <x:c r="S11">
        <x:v>3.5868590527431299</x:v>
      </x:c>
      <x:c r="T11">
        <x:v>1284.8</x:v>
      </x:c>
      <x:c r="U11">
        <x:v>2102.4</x:v>
      </x:c>
      <x:c r="V11">
        <x:v>6437.2</x:v>
      </x:c>
      <x:c r="W11">
        <x:v>7722</x:v>
      </x:c>
      <x:c r="X11">
        <x:v>300.27999999999997</x:v>
      </x:c>
      <x:c r="Y11" s="31" t="n">
        <x:f>J11*N11</x:f>
        <x:v>13845.80316057495</x:v>
      </x:c>
      <x:c r="Z11" s="31" t="n">
        <x:f>IF(J11=0,0,IF(L11&gt;0,J11*L11,"n.a."))</x:f>
        <x:v>16609.285404517454</x:v>
      </x:c>
      <x:c r="AA11" s="31" t="n">
        <x:f>IF(J11=0,0,IF(ISNUMBER(Z11),Z11-Y11,"n.a."))</x:f>
        <x:v>2763.4822439425043</x:v>
      </x:c>
      <x:c r="AB11" s="32" t="n">
        <x:f>IF(AND(J11&gt;0,L11&gt;0,N11&gt;0),L11/N11-1,"n.a.")</x:f>
        <x:v>0.1995898838004102</x:v>
      </x:c>
      <x:c r="AC11" s="18" t="str">
        <x:f>IF(AND(J11&gt;0,L11&lt;=0),"Missing replacement cost",IF(I11&gt;H11,"Usage exceeds stock",""))</x:f>
      </x:c>
    </x:row>
    <x:row r="12">
      <x:c r="A12" t="s">
        <x:v>15</x:v>
      </x:c>
      <x:c r="B12">
        <x:v>60</x:v>
      </x:c>
      <x:c r="C12" t="s">
        <x:v>64</x:v>
      </x:c>
      <x:c r="D12" t="s">
        <x:v>21</x:v>
      </x:c>
      <x:c r="E12">
        <x:v>112.25</x:v>
      </x:c>
      <x:c r="F12">
        <x:v>291</x:v>
      </x:c>
      <x:c r="G12" s="22" t="n">
        <x:f>SUMIFS('Receipts to be received in'!$P$2:$P$53,'Receipts to be received in'!$B$2:$B$53,B12,'Receipts to be received in'!$C$2:$C$53,D12)</x:f>
        <x:v>0</x:v>
      </x:c>
      <x:c r="H12" s="23" t="n">
        <x:f>F12+G12</x:f>
        <x:v>291</x:v>
      </x:c>
      <x:c r="I12" s="22" t="n">
        <x:f>E12*'Receipts to be received in'!$R$7*'Receipts to be received in'!$R$10</x:f>
        <x:v>195.45790554414785</x:v>
      </x:c>
      <x:c r="J12" s="23" t="n">
        <x:f>MAX(0,H12-I12)</x:f>
        <x:v>95.54209445585215</x:v>
      </x:c>
      <x:c r="K12">
        <x:v>480</x:v>
      </x:c>
      <x:c r="L12">
        <x:v>17.55</x:v>
      </x:c>
      <x:c r="M12" s="1">
        <x:v>46134</x:v>
      </x:c>
      <x:c r="N12">
        <x:v>14.63</x:v>
      </x:c>
      <x:c r="O12" s="3">
        <x:v>46027</x:v>
      </x:c>
      <x:c r="P12" s="3">
        <x:v>46244</x:v>
      </x:c>
      <x:c r="Q12" s="2">
        <x:v>-0.16639999999999999</x:v>
      </x:c>
      <x:c r="R12">
        <x:v>6.8685968819599097</x:v>
      </x:c>
      <x:c r="S12">
        <x:v>2.5924276169264999</x:v>
      </x:c>
      <x:c r="T12">
        <x:v>878.92</x:v>
      </x:c>
      <x:c r="U12">
        <x:v>1401.6</x:v>
      </x:c>
      <x:c r="V12">
        <x:v>4403.63</x:v>
      </x:c>
      <x:c r="W12">
        <x:v>5282.55</x:v>
      </x:c>
      <x:c r="X12">
        <x:v>300.27999999999997</x:v>
      </x:c>
      <x:c r="Y12" s="31" t="n">
        <x:f>J12*N12</x:f>
        <x:v>1397.780841889117</x:v>
      </x:c>
      <x:c r="Z12" s="31" t="n">
        <x:f>IF(J12=0,0,IF(L12&gt;0,J12*L12,"n.a."))</x:f>
        <x:v>1676.7637577002054</x:v>
      </x:c>
      <x:c r="AA12" s="31" t="n">
        <x:f>IF(J12=0,0,IF(ISNUMBER(Z12),Z12-Y12,"n.a."))</x:f>
        <x:v>278.98291581108833</x:v>
      </x:c>
      <x:c r="AB12" s="32" t="n">
        <x:f>IF(AND(J12&gt;0,L12&gt;0,N12&gt;0),L12/N12-1,"n.a.")</x:f>
        <x:v>0.1995898838004102</x:v>
      </x:c>
      <x:c r="AC12" s="18" t="str">
        <x:f>IF(AND(J12&gt;0,L12&lt;=0),"Missing replacement cost",IF(I12&gt;H12,"Usage exceeds stock",""))</x:f>
      </x:c>
    </x:row>
    <x:row r="13">
      <x:c r="A13" t="s">
        <x:v>15</x:v>
      </x:c>
      <x:c r="B13">
        <x:v>60</x:v>
      </x:c>
      <x:c r="C13" t="s">
        <x:v>64</x:v>
      </x:c>
      <x:c r="D13" t="s">
        <x:v>25</x:v>
      </x:c>
      <x:c r="E13">
        <x:v>95.67</x:v>
      </x:c>
      <x:c r="F13">
        <x:v>552</x:v>
      </x:c>
      <x:c r="G13" s="22" t="n">
        <x:f>SUMIFS('Receipts to be received in'!$P$2:$P$53,'Receipts to be received in'!$B$2:$B$53,B13,'Receipts to be received in'!$C$2:$C$53,D13)</x:f>
        <x:v>0</x:v>
      </x:c>
      <x:c r="H13" s="23" t="n">
        <x:f>F13+G13</x:f>
        <x:v>552</x:v>
      </x:c>
      <x:c r="I13" s="22" t="n">
        <x:f>E13*'Receipts to be received in'!$R$7*'Receipts to be received in'!$R$10</x:f>
        <x:v>166.5875975359343</x:v>
      </x:c>
      <x:c r="J13" s="23" t="n">
        <x:f>MAX(0,H13-I13)</x:f>
        <x:v>385.41240246406574</x:v>
      </x:c>
      <x:c r="K13">
        <x:v>240</x:v>
      </x:c>
      <x:c r="L13">
        <x:v>18.95</x:v>
      </x:c>
      <x:c r="M13" s="1">
        <x:v>46134</x:v>
      </x:c>
      <x:c r="N13">
        <x:v>15.8</x:v>
      </x:c>
      <x:c r="O13" s="3">
        <x:v>46027</x:v>
      </x:c>
      <x:c r="P13" s="3">
        <x:v>46244</x:v>
      </x:c>
      <x:c r="Q13" s="2">
        <x:v>-0.16619999999999999</x:v>
      </x:c>
      <x:c r="R13">
        <x:v>8.2784571966133491</x:v>
      </x:c>
      <x:c r="S13">
        <x:v>5.7698338037002097</x:v>
      </x:c>
      <x:c r="T13">
        <x:v>1738.79999999999</x:v>
      </x:c>
      <x:c r="U13">
        <x:v>755.99999999999898</x:v>
      </x:c>
      <x:c r="V13">
        <x:v>8721.6</x:v>
      </x:c>
      <x:c r="W13">
        <x:v>10460.4</x:v>
      </x:c>
      <x:c r="X13">
        <x:v>324.35000000000002</x:v>
      </x:c>
      <x:c r="Y13" s="31" t="n">
        <x:f>J13*N13</x:f>
        <x:v>6089.515958932239</x:v>
      </x:c>
      <x:c r="Z13" s="31" t="n">
        <x:f>IF(J13=0,0,IF(L13&gt;0,J13*L13,"n.a."))</x:f>
        <x:v>7303.565026694046</x:v>
      </x:c>
      <x:c r="AA13" s="31" t="n">
        <x:f>IF(J13=0,0,IF(ISNUMBER(Z13),Z13-Y13,"n.a."))</x:f>
        <x:v>1214.0490677618063</x:v>
      </x:c>
      <x:c r="AB13" s="32" t="n">
        <x:f>IF(AND(J13&gt;0,L13&gt;0,N13&gt;0),L13/N13-1,"n.a.")</x:f>
        <x:v>0.1993670886075949</x:v>
      </x:c>
      <x:c r="AC13" s="18" t="str">
        <x:f>IF(AND(J13&gt;0,L13&lt;=0),"Missing replacement cost",IF(I13&gt;H13,"Usage exceeds stock",""))</x:f>
      </x:c>
    </x:row>
    <x:row r="14">
      <x:c r="A14" t="s">
        <x:v>15</x:v>
      </x:c>
      <x:c r="B14">
        <x:v>10</x:v>
      </x:c>
      <x:c r="C14" t="s">
        <x:v>64</x:v>
      </x:c>
      <x:c r="D14" t="s">
        <x:v>65</x:v>
      </x:c>
      <x:c r="E14">
        <x:v>90</x:v>
      </x:c>
      <x:c r="F14">
        <x:v>1409</x:v>
      </x:c>
      <x:c r="G14" s="22" t="n">
        <x:f>SUMIFS('Receipts to be received in'!$P$2:$P$53,'Receipts to be received in'!$B$2:$B$53,B14,'Receipts to be received in'!$C$2:$C$53,D14)</x:f>
        <x:v>0</x:v>
      </x:c>
      <x:c r="H14" s="23" t="n">
        <x:f>F14+G14</x:f>
        <x:v>1409</x:v>
      </x:c>
      <x:c r="I14" s="22" t="n">
        <x:f>E14*'Receipts to be received in'!$R$7*'Receipts to be received in'!$R$10</x:f>
        <x:v>156.71457905544148</x:v>
      </x:c>
      <x:c r="J14" s="23" t="n">
        <x:f>MAX(0,H14-I14)</x:f>
        <x:v>1252.2854209445586</x:v>
      </x:c>
      <x:c r="K14">
        <x:v>0</x:v>
      </x:c>
      <x:c r="L14">
        <x:v>21.87</x:v>
      </x:c>
      <x:c r="M14" s="1">
        <x:v>46134</x:v>
      </x:c>
      <x:c r="N14">
        <x:v>18.23</x:v>
      </x:c>
      <x:c r="O14" s="3">
        <x:v>46027</x:v>
      </x:c>
      <x:c r="P14" s="3">
        <x:v>46121</x:v>
      </x:c>
      <x:c r="Q14" s="2">
        <x:v>-0.16639999999999999</x:v>
      </x:c>
      <x:c r="R14">
        <x:v>15.6555555555555</x:v>
      </x:c>
      <x:c r="S14">
        <x:v>15.6555555555555</x:v>
      </x:c>
      <x:c r="T14">
        <x:v>5128.76</x:v>
      </x:c>
      <x:c r="U14">
        <x:v>0</x:v>
      </x:c>
      <x:c r="V14">
        <x:v>25686.07</x:v>
      </x:c>
      <x:c r="W14">
        <x:v>30814.83</x:v>
      </x:c>
      <x:c r="X14">
        <x:v>374.17</x:v>
      </x:c>
      <x:c r="Y14" s="31" t="n">
        <x:f>J14*N14</x:f>
        <x:v>22829.163223819305</x:v>
      </x:c>
      <x:c r="Z14" s="31" t="n">
        <x:f>IF(J14=0,0,IF(L14&gt;0,J14*L14,"n.a."))</x:f>
        <x:v>27387.482156057496</x:v>
      </x:c>
      <x:c r="AA14" s="31" t="n">
        <x:f>IF(J14=0,0,IF(ISNUMBER(Z14),Z14-Y14,"n.a."))</x:f>
        <x:v>4558.318932238191</x:v>
      </x:c>
      <x:c r="AB14" s="32" t="n">
        <x:f>IF(AND(J14&gt;0,L14&gt;0,N14&gt;0),L14/N14-1,"n.a.")</x:f>
        <x:v>0.19967087218869994</x:v>
      </x:c>
      <x:c r="AC14" s="18" t="str">
        <x:f>IF(AND(J14&gt;0,L14&lt;=0),"Missing replacement cost",IF(I14&gt;H14,"Usage exceeds stock",""))</x:f>
      </x:c>
    </x:row>
    <x:row r="15">
      <x:c r="A15" t="s">
        <x:v>15</x:v>
      </x:c>
      <x:c r="B15">
        <x:v>10</x:v>
      </x:c>
      <x:c r="C15" t="s">
        <x:v>64</x:v>
      </x:c>
      <x:c r="D15" t="s">
        <x:v>66</x:v>
      </x:c>
      <x:c r="E15">
        <x:v>84.67</x:v>
      </x:c>
      <x:c r="F15">
        <x:v>780</x:v>
      </x:c>
      <x:c r="G15" s="22" t="n">
        <x:f>SUMIFS('Receipts to be received in'!$P$2:$P$53,'Receipts to be received in'!$B$2:$B$53,B15,'Receipts to be received in'!$C$2:$C$53,D15)</x:f>
        <x:v>0</x:v>
      </x:c>
      <x:c r="H15" s="23" t="n">
        <x:f>F15+G15</x:f>
        <x:v>780</x:v>
      </x:c>
      <x:c r="I15" s="22" t="n">
        <x:f>E15*'Receipts to be received in'!$R$7*'Receipts to be received in'!$R$10</x:f>
        <x:v>147.43359342915812</x:v>
      </x:c>
      <x:c r="J15" s="23" t="n">
        <x:f>MAX(0,H15-I15)</x:f>
        <x:v>632.5664065708419</x:v>
      </x:c>
      <x:c r="K15">
        <x:v>0</x:v>
      </x:c>
      <x:c r="L15">
        <x:v>14.85</x:v>
      </x:c>
      <x:c r="M15" s="1">
        <x:v>46134</x:v>
      </x:c>
      <x:c r="N15">
        <x:v>12.3</x:v>
      </x:c>
      <x:c r="O15" s="3">
        <x:v>46027</x:v>
      </x:c>
      <x:c r="P15" s="3">
        <x:v>46153</x:v>
      </x:c>
      <x:c r="Q15" s="2">
        <x:v>-0.17169999999999999</x:v>
      </x:c>
      <x:c r="R15">
        <x:v>9.2122357387504401</x:v>
      </x:c>
      <x:c r="S15">
        <x:v>9.2122357387504401</x:v>
      </x:c>
      <x:c r="T15">
        <x:v>1988.99999999999</x:v>
      </x:c>
      <x:c r="U15">
        <x:v>0</x:v>
      </x:c>
      <x:c r="V15">
        <x:v>9594</x:v>
      </x:c>
      <x:c r="W15">
        <x:v>11583</x:v>
      </x:c>
      <x:c r="X15">
        <x:v>293.35000000000002</x:v>
      </x:c>
      <x:c r="Y15" s="31" t="n">
        <x:f>J15*N15</x:f>
        <x:v>7780.566800821355</x:v>
      </x:c>
      <x:c r="Z15" s="31" t="n">
        <x:f>IF(J15=0,0,IF(L15&gt;0,J15*L15,"n.a."))</x:f>
        <x:v>9393.611137577002</x:v>
      </x:c>
      <x:c r="AA15" s="31" t="n">
        <x:f>IF(J15=0,0,IF(ISNUMBER(Z15),Z15-Y15,"n.a."))</x:f>
        <x:v>1613.0443367556463</x:v>
      </x:c>
      <x:c r="AB15" s="32" t="n">
        <x:f>IF(AND(J15&gt;0,L15&gt;0,N15&gt;0),L15/N15-1,"n.a.")</x:f>
        <x:v>0.20731707317073167</x:v>
      </x:c>
      <x:c r="AC15" s="18" t="str">
        <x:f>IF(AND(J15&gt;0,L15&lt;=0),"Missing replacement cost",IF(I15&gt;H15,"Usage exceeds stock",""))</x:f>
      </x:c>
    </x:row>
    <x:row r="16">
      <x:c r="A16" t="s">
        <x:v>15</x:v>
      </x:c>
      <x:c r="B16">
        <x:v>10</x:v>
      </x:c>
      <x:c r="C16" t="s">
        <x:v>64</x:v>
      </x:c>
      <x:c r="D16" t="s">
        <x:v>20</x:v>
      </x:c>
      <x:c r="E16">
        <x:v>71.25</x:v>
      </x:c>
      <x:c r="F16">
        <x:v>264</x:v>
      </x:c>
      <x:c r="G16" s="22" t="n">
        <x:f>SUMIFS('Receipts to be received in'!$P$2:$P$53,'Receipts to be received in'!$B$2:$B$53,B16,'Receipts to be received in'!$C$2:$C$53,D16)</x:f>
        <x:v>288</x:v>
      </x:c>
      <x:c r="H16" s="23" t="n">
        <x:f>F16+G16</x:f>
        <x:v>552</x:v>
      </x:c>
      <x:c r="I16" s="22" t="n">
        <x:f>E16*'Receipts to be received in'!$R$7*'Receipts to be received in'!$R$10</x:f>
        <x:v>124.06570841889118</x:v>
      </x:c>
      <x:c r="J16" s="23" t="n">
        <x:f>MAX(0,H16-I16)</x:f>
        <x:v>427.9342915811088</x:v>
      </x:c>
      <x:c r="K16">
        <x:v>360</x:v>
      </x:c>
      <x:c r="L16">
        <x:v>25.44</x:v>
      </x:c>
      <x:c r="M16" s="1">
        <x:v>46134</x:v>
      </x:c>
      <x:c r="N16">
        <x:v>21.18</x:v>
      </x:c>
      <x:c r="O16" s="3">
        <x:v>46027</x:v>
      </x:c>
      <x:c r="P16" s="3">
        <x:v>46231</x:v>
      </x:c>
      <x:c r="Q16" s="2">
        <x:v>-0.16750000000000001</x:v>
      </x:c>
      <x:c r="R16">
        <x:v>8.7578947368421005</x:v>
      </x:c>
      <x:c r="S16">
        <x:v>3.7052631578947302</x:v>
      </x:c>
      <x:c r="T16">
        <x:v>1124.6400000000001</x:v>
      </x:c>
      <x:c r="U16">
        <x:v>1533.6</x:v>
      </x:c>
      <x:c r="V16">
        <x:v>5591.5199999999904</x:v>
      </x:c>
      <x:c r="W16">
        <x:v>6716.16</x:v>
      </x:c>
      <x:c r="X16">
        <x:v>474.38</x:v>
      </x:c>
      <x:c r="Y16" s="31" t="n">
        <x:f>J16*N16</x:f>
        <x:v>9063.648295687884</x:v>
      </x:c>
      <x:c r="Z16" s="31" t="n">
        <x:f>IF(J16=0,0,IF(L16&gt;0,J16*L16,"n.a."))</x:f>
        <x:v>10886.648377823409</x:v>
      </x:c>
      <x:c r="AA16" s="31" t="n">
        <x:f>IF(J16=0,0,IF(ISNUMBER(Z16),Z16-Y16,"n.a."))</x:f>
        <x:v>1823.0000821355243</x:v>
      </x:c>
      <x:c r="AB16" s="32" t="n">
        <x:f>IF(AND(J16&gt;0,L16&gt;0,N16&gt;0),L16/N16-1,"n.a.")</x:f>
        <x:v>0.2011331444759208</x:v>
      </x:c>
      <x:c r="AC16" s="18" t="str">
        <x:f>IF(AND(J16&gt;0,L16&lt;=0),"Missing replacement cost",IF(I16&gt;H16,"Usage exceeds stock",""))</x:f>
      </x:c>
    </x:row>
    <x:row r="17">
      <x:c r="A17" t="s">
        <x:v>15</x:v>
      </x:c>
      <x:c r="B17">
        <x:v>10</x:v>
      </x:c>
      <x:c r="C17" t="s">
        <x:v>64</x:v>
      </x:c>
      <x:c r="D17" t="s">
        <x:v>24</x:v>
      </x:c>
      <x:c r="E17">
        <x:v>67.58</x:v>
      </x:c>
      <x:c r="F17">
        <x:v>145</x:v>
      </x:c>
      <x:c r="G17" s="22" t="n">
        <x:f>SUMIFS('Receipts to be received in'!$P$2:$P$53,'Receipts to be received in'!$B$2:$B$53,B17,'Receipts to be received in'!$C$2:$C$53,D17)</x:f>
        <x:v>216</x:v>
      </x:c>
      <x:c r="H17" s="23" t="n">
        <x:f>F17+G17</x:f>
        <x:v>361</x:v>
      </x:c>
      <x:c r="I17" s="22" t="n">
        <x:f>E17*'Receipts to be received in'!$R$7*'Receipts to be received in'!$R$10</x:f>
        <x:v>117.67523613963039</x:v>
      </x:c>
      <x:c r="J17" s="23" t="n">
        <x:f>MAX(0,H17-I17)</x:f>
        <x:v>243.32476386036961</x:v>
      </x:c>
      <x:c r="K17">
        <x:v>360</x:v>
      </x:c>
      <x:c r="L17">
        <x:v>27.48</x:v>
      </x:c>
      <x:c r="M17" s="1">
        <x:v>46134</x:v>
      </x:c>
      <x:c r="N17">
        <x:v>22.87</x:v>
      </x:c>
      <x:c r="O17" s="3">
        <x:v>46027</x:v>
      </x:c>
      <x:c r="P17" s="3">
        <x:v>46252</x:v>
      </x:c>
      <x:c r="Q17" s="2">
        <x:v>-0.1678</x:v>
      </x:c>
      <x:c r="R17">
        <x:v>7.4726250369931897</x:v>
      </x:c>
      <x:c r="S17">
        <x:v>2.14560520864161</x:v>
      </x:c>
      <x:c r="T17">
        <x:v>668.44999999999902</x:v>
      </x:c>
      <x:c r="U17">
        <x:v>1659.6</x:v>
      </x:c>
      <x:c r="V17">
        <x:v>3316.15</x:v>
      </x:c>
      <x:c r="W17">
        <x:v>3984.6</x:v>
      </x:c>
      <x:c r="X17">
        <x:v>512.01</x:v>
      </x:c>
      <x:c r="Y17" s="31" t="n">
        <x:f>J17*N17</x:f>
        <x:v>5564.837349486654</x:v>
      </x:c>
      <x:c r="Z17" s="31" t="n">
        <x:f>IF(J17=0,0,IF(L17&gt;0,J17*L17,"n.a."))</x:f>
        <x:v>6686.564510882957</x:v>
      </x:c>
      <x:c r="AA17" s="31" t="n">
        <x:f>IF(J17=0,0,IF(ISNUMBER(Z17),Z17-Y17,"n.a."))</x:f>
        <x:v>1121.727161396303</x:v>
      </x:c>
      <x:c r="AB17" s="32" t="n">
        <x:f>IF(AND(J17&gt;0,L17&gt;0,N17&gt;0),L17/N17-1,"n.a.")</x:f>
        <x:v>0.20157411456055963</x:v>
      </x:c>
      <x:c r="AC17" s="18" t="str">
        <x:f>IF(AND(J17&gt;0,L17&lt;=0),"Missing replacement cost",IF(I17&gt;H17,"Usage exceeds stock",""))</x:f>
      </x:c>
    </x:row>
    <x:row r="18">
      <x:c r="A18" t="s">
        <x:v>15</x:v>
      </x:c>
      <x:c r="B18">
        <x:v>60</x:v>
      </x:c>
      <x:c r="C18" t="s">
        <x:v>64</x:v>
      </x:c>
      <x:c r="D18" t="s">
        <x:v>20</x:v>
      </x:c>
      <x:c r="E18">
        <x:v>62.92</x:v>
      </x:c>
      <x:c r="F18">
        <x:v>398</x:v>
      </x:c>
      <x:c r="G18" s="22" t="n">
        <x:f>SUMIFS('Receipts to be received in'!$P$2:$P$53,'Receipts to be received in'!$B$2:$B$53,B18,'Receipts to be received in'!$C$2:$C$53,D18)</x:f>
        <x:v>0</x:v>
      </x:c>
      <x:c r="H18" s="23" t="n">
        <x:f>F18+G18</x:f>
        <x:v>398</x:v>
      </x:c>
      <x:c r="I18" s="22" t="n">
        <x:f>E18*'Receipts to be received in'!$R$7*'Receipts to be received in'!$R$10</x:f>
        <x:v>109.56090349075976</x:v>
      </x:c>
      <x:c r="J18" s="23" t="n">
        <x:f>MAX(0,H18-I18)</x:f>
        <x:v>288.43909650924024</x:v>
      </x:c>
      <x:c r="K18">
        <x:v>144</x:v>
      </x:c>
      <x:c r="L18">
        <x:v>25.44</x:v>
      </x:c>
      <x:c r="M18" s="1">
        <x:v>46134</x:v>
      </x:c>
      <x:c r="N18">
        <x:v>21.18</x:v>
      </x:c>
      <x:c r="O18" s="3">
        <x:v>46027</x:v>
      </x:c>
      <x:c r="P18" s="3">
        <x:v>46244</x:v>
      </x:c>
      <x:c r="Q18" s="2">
        <x:v>-0.16750000000000001</x:v>
      </x:c>
      <x:c r="R18">
        <x:v>8.6141131595676992</x:v>
      </x:c>
      <x:c r="S18">
        <x:v>6.3254926891290504</x:v>
      </x:c>
      <x:c r="T18">
        <x:v>1695.48</x:v>
      </x:c>
      <x:c r="U18">
        <x:v>613.44000000000005</x:v>
      </x:c>
      <x:c r="V18">
        <x:v>8429.64</x:v>
      </x:c>
      <x:c r="W18">
        <x:v>10125.120000000001</x:v>
      </x:c>
      <x:c r="X18">
        <x:v>474.38</x:v>
      </x:c>
      <x:c r="Y18" s="31" t="n">
        <x:f>J18*N18</x:f>
        <x:v>6109.140064065708</x:v>
      </x:c>
      <x:c r="Z18" s="31" t="n">
        <x:f>IF(J18=0,0,IF(L18&gt;0,J18*L18,"n.a."))</x:f>
        <x:v>7337.890615195072</x:v>
      </x:c>
      <x:c r="AA18" s="31" t="n">
        <x:f>IF(J18=0,0,IF(ISNUMBER(Z18),Z18-Y18,"n.a."))</x:f>
        <x:v>1228.7505511293639</x:v>
      </x:c>
      <x:c r="AB18" s="32" t="n">
        <x:f>IF(AND(J18&gt;0,L18&gt;0,N18&gt;0),L18/N18-1,"n.a.")</x:f>
        <x:v>0.2011331444759208</x:v>
      </x:c>
      <x:c r="AC18" s="18" t="str">
        <x:f>IF(AND(J18&gt;0,L18&lt;=0),"Missing replacement cost",IF(I18&gt;H18,"Usage exceeds stock",""))</x:f>
      </x:c>
    </x:row>
    <x:row r="19">
      <x:c r="A19" t="s">
        <x:v>15</x:v>
      </x:c>
      <x:c r="B19">
        <x:v>10</x:v>
      </x:c>
      <x:c r="C19" t="s">
        <x:v>64</x:v>
      </x:c>
      <x:c r="D19" t="s">
        <x:v>32</x:v>
      </x:c>
      <x:c r="E19">
        <x:v>46.67</x:v>
      </x:c>
      <x:c r="F19">
        <x:v>126</x:v>
      </x:c>
      <x:c r="G19" s="22" t="n">
        <x:f>SUMIFS('Receipts to be received in'!$P$2:$P$53,'Receipts to be received in'!$B$2:$B$53,B19,'Receipts to be received in'!$C$2:$C$53,D19)</x:f>
        <x:v>120</x:v>
      </x:c>
      <x:c r="H19" s="23" t="n">
        <x:f>F19+G19</x:f>
        <x:v>246</x:v>
      </x:c>
      <x:c r="I19" s="22" t="n">
        <x:f>E19*'Receipts to be received in'!$R$7*'Receipts to be received in'!$R$10</x:f>
        <x:v>81.26521560574949</x:v>
      </x:c>
      <x:c r="J19" s="23" t="n">
        <x:f>MAX(0,H19-I19)</x:f>
        <x:v>164.7347843942505</x:v>
      </x:c>
      <x:c r="K19">
        <x:v>240</x:v>
      </x:c>
      <x:c r="L19">
        <x:v>20.25</x:v>
      </x:c>
      <x:c r="M19" s="1">
        <x:v>46134</x:v>
      </x:c>
      <x:c r="N19">
        <x:v>16.88</x:v>
      </x:c>
      <x:c r="O19" s="3">
        <x:v>46027</x:v>
      </x:c>
      <x:c r="P19" s="3">
        <x:v>46121</x:v>
      </x:c>
      <x:c r="Q19" s="2">
        <x:v>-0.16639999999999999</x:v>
      </x:c>
      <x:c r="R19">
        <x:v>7.8422969787872203</x:v>
      </x:c>
      <x:c r="S19">
        <x:v>2.6998071566316599</x:v>
      </x:c>
      <x:c r="T19">
        <x:v>427.99</x:v>
      </x:c>
      <x:c r="U19">
        <x:v>808.8</x:v>
      </x:c>
      <x:c r="V19">
        <x:v>2143.7599999999902</x:v>
      </x:c>
      <x:c r="W19">
        <x:v>2571.75</x:v>
      </x:c>
      <x:c r="X19">
        <x:v>346.4</x:v>
      </x:c>
      <x:c r="Y19" s="31" t="n">
        <x:f>J19*N19</x:f>
        <x:v>2780.7231605749485</x:v>
      </x:c>
      <x:c r="Z19" s="31" t="n">
        <x:f>IF(J19=0,0,IF(L19&gt;0,J19*L19,"n.a."))</x:f>
        <x:v>3335.879383983573</x:v>
      </x:c>
      <x:c r="AA19" s="31" t="n">
        <x:f>IF(J19=0,0,IF(ISNUMBER(Z19),Z19-Y19,"n.a."))</x:f>
        <x:v>555.1562234086246</x:v>
      </x:c>
      <x:c r="AB19" s="32" t="n">
        <x:f>IF(AND(J19&gt;0,L19&gt;0,N19&gt;0),L19/N19-1,"n.a.")</x:f>
        <x:v>0.19964454976303325</x:v>
      </x:c>
      <x:c r="AC19" s="18" t="str">
        <x:f>IF(AND(J19&gt;0,L19&lt;=0),"Missing replacement cost",IF(I19&gt;H19,"Usage exceeds stock",""))</x:f>
      </x:c>
    </x:row>
    <x:row r="20">
      <x:c r="A20" t="s">
        <x:v>15</x:v>
      </x:c>
      <x:c r="B20">
        <x:v>30</x:v>
      </x:c>
      <x:c r="C20" t="s">
        <x:v>64</x:v>
      </x:c>
      <x:c r="D20" t="s">
        <x:v>24</x:v>
      </x:c>
      <x:c r="E20">
        <x:v>40.83</x:v>
      </x:c>
      <x:c r="F20">
        <x:v>192</x:v>
      </x:c>
      <x:c r="G20" s="22" t="n">
        <x:f>SUMIFS('Receipts to be received in'!$P$2:$P$53,'Receipts to be received in'!$B$2:$B$53,B20,'Receipts to be received in'!$C$2:$C$53,D20)</x:f>
        <x:v>72</x:v>
      </x:c>
      <x:c r="H20" s="23" t="n">
        <x:f>F20+G20</x:f>
        <x:v>264</x:v>
      </x:c>
      <x:c r="I20" s="22" t="n">
        <x:f>E20*'Receipts to be received in'!$R$7*'Receipts to be received in'!$R$10</x:f>
        <x:v>71.09618069815195</x:v>
      </x:c>
      <x:c r="J20" s="23" t="n">
        <x:f>MAX(0,H20-I20)</x:f>
        <x:v>192.90381930184805</x:v>
      </x:c>
      <x:c r="K20">
        <x:v>72</x:v>
      </x:c>
      <x:c r="L20">
        <x:v>27.48</x:v>
      </x:c>
      <x:c r="M20" s="1">
        <x:v>46134</x:v>
      </x:c>
      <x:c r="N20">
        <x:v>22.87</x:v>
      </x:c>
      <x:c r="O20" s="3">
        <x:v>46027</x:v>
      </x:c>
      <x:c r="P20" s="3">
        <x:v>46224</x:v>
      </x:c>
      <x:c r="Q20" s="2">
        <x:v>-0.1678</x:v>
      </x:c>
      <x:c r="R20">
        <x:v>6.4658339456282103</x:v>
      </x:c>
      <x:c r="S20">
        <x:v>4.7024246877296099</x:v>
      </x:c>
      <x:c r="T20">
        <x:v>921.99999999999898</x:v>
      </x:c>
      <x:c r="U20">
        <x:v>331.91999999999899</x:v>
      </x:c>
      <x:c r="V20">
        <x:v>4574</x:v>
      </x:c>
      <x:c r="W20">
        <x:v>5496</x:v>
      </x:c>
      <x:c r="X20">
        <x:v>512.01</x:v>
      </x:c>
      <x:c r="Y20" s="31" t="n">
        <x:f>J20*N20</x:f>
        <x:v>4411.710347433265</x:v>
      </x:c>
      <x:c r="Z20" s="31" t="n">
        <x:f>IF(J20=0,0,IF(L20&gt;0,J20*L20,"n.a."))</x:f>
        <x:v>5300.996954414784</x:v>
      </x:c>
      <x:c r="AA20" s="31" t="n">
        <x:f>IF(J20=0,0,IF(ISNUMBER(Z20),Z20-Y20,"n.a."))</x:f>
        <x:v>889.2866069815191</x:v>
      </x:c>
      <x:c r="AB20" s="32" t="n">
        <x:f>IF(AND(J20&gt;0,L20&gt;0,N20&gt;0),L20/N20-1,"n.a.")</x:f>
        <x:v>0.20157411456055963</x:v>
      </x:c>
      <x:c r="AC20" s="18" t="str">
        <x:f>IF(AND(J20&gt;0,L20&lt;=0),"Missing replacement cost",IF(I20&gt;H20,"Usage exceeds stock",""))</x:f>
      </x:c>
    </x:row>
    <x:row r="21">
      <x:c r="A21" t="s">
        <x:v>15</x:v>
      </x:c>
      <x:c r="B21">
        <x:v>10</x:v>
      </x:c>
      <x:c r="C21" t="s">
        <x:v>64</x:v>
      </x:c>
      <x:c r="D21" t="s">
        <x:v>29</x:v>
      </x:c>
      <x:c r="E21">
        <x:v>38.33</x:v>
      </x:c>
      <x:c r="F21">
        <x:v>80</x:v>
      </x:c>
      <x:c r="G21" s="22" t="n">
        <x:f>SUMIFS('Receipts to be received in'!$P$2:$P$53,'Receipts to be received in'!$B$2:$B$53,B21,'Receipts to be received in'!$C$2:$C$53,D21)</x:f>
        <x:v>72</x:v>
      </x:c>
      <x:c r="H21" s="23" t="n">
        <x:f>F21+G21</x:f>
        <x:v>152</x:v>
      </x:c>
      <x:c r="I21" s="22" t="n">
        <x:f>E21*'Receipts to be received in'!$R$7*'Receipts to be received in'!$R$10</x:f>
        <x:v>66.74299794661191</x:v>
      </x:c>
      <x:c r="J21" s="23" t="n">
        <x:f>MAX(0,H21-I21)</x:f>
        <x:v>85.25700205338809</x:v>
      </x:c>
      <x:c r="K21">
        <x:v>216</x:v>
      </x:c>
      <x:c r="L21">
        <x:v>18.32</x:v>
      </x:c>
      <x:c r="M21" s="1">
        <x:v>46134</x:v>
      </x:c>
      <x:c r="N21">
        <x:v>15.25</x:v>
      </x:c>
      <x:c r="O21" s="3">
        <x:v>46027</x:v>
      </x:c>
      <x:c r="P21" s="3">
        <x:v>46252</x:v>
      </x:c>
      <x:c r="Q21" s="2">
        <x:v>-0.1676</x:v>
      </x:c>
      <x:c r="R21">
        <x:v>7.72241064440386</x:v>
      </x:c>
      <x:c r="S21">
        <x:v>2.0871380120010401</x:v>
      </x:c>
      <x:c r="T21">
        <x:v>251.74</x:v>
      </x:c>
      <x:c r="U21">
        <x:v>663.12</x:v>
      </x:c>
      <x:c r="V21">
        <x:v>1250.5</x:v>
      </x:c>
      <x:c r="W21">
        <x:v>1502.24</x:v>
      </x:c>
      <x:c r="X21">
        <x:v>341.52</x:v>
      </x:c>
      <x:c r="Y21" s="31" t="n">
        <x:f>J21*N21</x:f>
        <x:v>1300.1692813141683</x:v>
      </x:c>
      <x:c r="Z21" s="31" t="n">
        <x:f>IF(J21=0,0,IF(L21&gt;0,J21*L21,"n.a."))</x:f>
        <x:v>1561.9082776180699</x:v>
      </x:c>
      <x:c r="AA21" s="31" t="n">
        <x:f>IF(J21=0,0,IF(ISNUMBER(Z21),Z21-Y21,"n.a."))</x:f>
        <x:v>261.73899630390156</x:v>
      </x:c>
      <x:c r="AB21" s="32" t="n">
        <x:f>IF(AND(J21&gt;0,L21&gt;0,N21&gt;0),L21/N21-1,"n.a.")</x:f>
        <x:v>0.20131147540983618</x:v>
      </x:c>
      <x:c r="AC21" s="18" t="str">
        <x:f>IF(AND(J21&gt;0,L21&lt;=0),"Missing replacement cost",IF(I21&gt;H21,"Usage exceeds stock",""))</x:f>
      </x:c>
    </x:row>
    <x:row r="22">
      <x:c r="A22" t="s">
        <x:v>15</x:v>
      </x:c>
      <x:c r="B22">
        <x:v>60</x:v>
      </x:c>
      <x:c r="C22" t="s">
        <x:v>64</x:v>
      </x:c>
      <x:c r="D22" t="s">
        <x:v>24</x:v>
      </x:c>
      <x:c r="E22">
        <x:v>37.83</x:v>
      </x:c>
      <x:c r="F22">
        <x:v>168</x:v>
      </x:c>
      <x:c r="G22" s="22" t="n">
        <x:f>SUMIFS('Receipts to be received in'!$P$2:$P$53,'Receipts to be received in'!$B$2:$B$53,B22,'Receipts to be received in'!$C$2:$C$53,D22)</x:f>
        <x:v>0</x:v>
      </x:c>
      <x:c r="H22" s="23" t="n">
        <x:f>F22+G22</x:f>
        <x:v>168</x:v>
      </x:c>
      <x:c r="I22" s="22" t="n">
        <x:f>E22*'Receipts to be received in'!$R$7*'Receipts to be received in'!$R$10</x:f>
        <x:v>65.8723613963039</x:v>
      </x:c>
      <x:c r="J22" s="23" t="n">
        <x:f>MAX(0,H22-I22)</x:f>
        <x:v>102.1276386036961</x:v>
      </x:c>
      <x:c r="K22">
        <x:v>144</x:v>
      </x:c>
      <x:c r="L22">
        <x:v>27.48</x:v>
      </x:c>
      <x:c r="M22" s="1">
        <x:v>46134</x:v>
      </x:c>
      <x:c r="N22">
        <x:v>22.87</x:v>
      </x:c>
      <x:c r="O22" s="3">
        <x:v>46027</x:v>
      </x:c>
      <x:c r="P22" s="3">
        <x:v>46244</x:v>
      </x:c>
      <x:c r="Q22" s="2">
        <x:v>-0.1678</x:v>
      </x:c>
      <x:c r="R22">
        <x:v>8.2474226804123703</x:v>
      </x:c>
      <x:c r="S22">
        <x:v>4.4409199048374299</x:v>
      </x:c>
      <x:c r="T22">
        <x:v>774.479999999999</x:v>
      </x:c>
      <x:c r="U22">
        <x:v>663.83999999999901</x:v>
      </x:c>
      <x:c r="V22">
        <x:v>3842.16</x:v>
      </x:c>
      <x:c r="W22">
        <x:v>4616.6400000000003</x:v>
      </x:c>
      <x:c r="X22">
        <x:v>512.01</x:v>
      </x:c>
      <x:c r="Y22" s="31" t="n">
        <x:f>J22*N22</x:f>
        <x:v>2335.65909486653</x:v>
      </x:c>
      <x:c r="Z22" s="31" t="n">
        <x:f>IF(J22=0,0,IF(L22&gt;0,J22*L22,"n.a."))</x:f>
        <x:v>2806.467508829569</x:v>
      </x:c>
      <x:c r="AA22" s="31" t="n">
        <x:f>IF(J22=0,0,IF(ISNUMBER(Z22),Z22-Y22,"n.a."))</x:f>
        <x:v>470.80841396303913</x:v>
      </x:c>
      <x:c r="AB22" s="32" t="n">
        <x:f>IF(AND(J22&gt;0,L22&gt;0,N22&gt;0),L22/N22-1,"n.a.")</x:f>
        <x:v>0.20157411456055963</x:v>
      </x:c>
      <x:c r="AC22" s="18" t="str">
        <x:f>IF(AND(J22&gt;0,L22&lt;=0),"Missing replacement cost",IF(I22&gt;H22,"Usage exceeds stock",""))</x:f>
      </x:c>
    </x:row>
    <x:row r="23">
      <x:c r="A23" t="s">
        <x:v>15</x:v>
      </x:c>
      <x:c r="B23">
        <x:v>30</x:v>
      </x:c>
      <x:c r="C23" t="s">
        <x:v>64</x:v>
      </x:c>
      <x:c r="D23" t="s">
        <x:v>66</x:v>
      </x:c>
      <x:c r="E23">
        <x:v>36</x:v>
      </x:c>
      <x:c r="F23">
        <x:v>218</x:v>
      </x:c>
      <x:c r="G23" s="22" t="n">
        <x:f>SUMIFS('Receipts to be received in'!$P$2:$P$53,'Receipts to be received in'!$B$2:$B$53,B23,'Receipts to be received in'!$C$2:$C$53,D23)</x:f>
        <x:v>0</x:v>
      </x:c>
      <x:c r="H23" s="23" t="n">
        <x:f>F23+G23</x:f>
        <x:v>218</x:v>
      </x:c>
      <x:c r="I23" s="22" t="n">
        <x:f>E23*'Receipts to be received in'!$R$7*'Receipts to be received in'!$R$10</x:f>
        <x:v>62.68583162217659</x:v>
      </x:c>
      <x:c r="J23" s="23" t="n">
        <x:f>MAX(0,H23-I23)</x:f>
        <x:v>155.31416837782342</x:v>
      </x:c>
      <x:c r="K23">
        <x:v>0</x:v>
      </x:c>
      <x:c r="L23">
        <x:v>14.85</x:v>
      </x:c>
      <x:c r="M23" s="1">
        <x:v>46134</x:v>
      </x:c>
      <x:c r="N23">
        <x:v>12.3</x:v>
      </x:c>
      <x:c r="O23" s="3">
        <x:v>46027</x:v>
      </x:c>
      <x:c r="P23" s="3">
        <x:v>46036</x:v>
      </x:c>
      <x:c r="Q23" s="2">
        <x:v>-0.17169999999999999</x:v>
      </x:c>
      <x:c r="R23">
        <x:v>6.05555555555555</x:v>
      </x:c>
      <x:c r="S23">
        <x:v>6.05555555555555</x:v>
      </x:c>
      <x:c r="T23">
        <x:v>555.89999999999895</x:v>
      </x:c>
      <x:c r="U23">
        <x:v>0</x:v>
      </x:c>
      <x:c r="V23">
        <x:v>2681.4</x:v>
      </x:c>
      <x:c r="W23">
        <x:v>3237.2999999999902</x:v>
      </x:c>
      <x:c r="X23">
        <x:v>293.35000000000002</x:v>
      </x:c>
      <x:c r="Y23" s="31" t="n">
        <x:f>J23*N23</x:f>
        <x:v>1910.3642710472282</x:v>
      </x:c>
      <x:c r="Z23" s="31" t="n">
        <x:f>IF(J23=0,0,IF(L23&gt;0,J23*L23,"n.a."))</x:f>
        <x:v>2306.4154004106776</x:v>
      </x:c>
      <x:c r="AA23" s="31" t="n">
        <x:f>IF(J23=0,0,IF(ISNUMBER(Z23),Z23-Y23,"n.a."))</x:f>
        <x:v>396.0511293634495</x:v>
      </x:c>
      <x:c r="AB23" s="32" t="n">
        <x:f>IF(AND(J23&gt;0,L23&gt;0,N23&gt;0),L23/N23-1,"n.a.")</x:f>
        <x:v>0.20731707317073167</x:v>
      </x:c>
      <x:c r="AC23" s="18" t="str">
        <x:f>IF(AND(J23&gt;0,L23&lt;=0),"Missing replacement cost",IF(I23&gt;H23,"Usage exceeds stock",""))</x:f>
      </x:c>
    </x:row>
    <x:row r="24">
      <x:c r="A24" t="s">
        <x:v>15</x:v>
      </x:c>
      <x:c r="B24">
        <x:v>10</x:v>
      </x:c>
      <x:c r="C24" t="s">
        <x:v>64</x:v>
      </x:c>
      <x:c r="D24" t="s">
        <x:v>23</x:v>
      </x:c>
      <x:c r="E24">
        <x:v>32.5</x:v>
      </x:c>
      <x:c r="F24">
        <x:v>84</x:v>
      </x:c>
      <x:c r="G24" s="22" t="n">
        <x:f>SUMIFS('Receipts to be received in'!$P$2:$P$53,'Receipts to be received in'!$B$2:$B$53,B24,'Receipts to be received in'!$C$2:$C$53,D24)</x:f>
        <x:v>180</x:v>
      </x:c>
      <x:c r="H24" s="23" t="n">
        <x:f>F24+G24</x:f>
        <x:v>264</x:v>
      </x:c>
      <x:c r="I24" s="22" t="n">
        <x:f>E24*'Receipts to be received in'!$R$7*'Receipts to be received in'!$R$10</x:f>
        <x:v>56.591375770020534</x:v>
      </x:c>
      <x:c r="J24" s="23" t="n">
        <x:f>MAX(0,H24-I24)</x:f>
        <x:v>207.40862422997947</x:v>
      </x:c>
      <x:c r="K24">
        <x:v>270</x:v>
      </x:c>
      <x:c r="L24">
        <x:v>23.35</x:v>
      </x:c>
      <x:c r="M24" s="1">
        <x:v>46134</x:v>
      </x:c>
      <x:c r="N24">
        <x:v>19.350000000000001</x:v>
      </x:c>
      <x:c r="O24" s="3">
        <x:v>46027</x:v>
      </x:c>
      <x:c r="P24" s="3">
        <x:v>46252</x:v>
      </x:c>
      <x:c r="Q24" s="2">
        <x:v>-0.17130000000000001</x:v>
      </x:c>
      <x:c r="R24">
        <x:v>10.8923076923076</x:v>
      </x:c>
      <x:c r="S24">
        <x:v>2.5846153846153799</x:v>
      </x:c>
      <x:c r="T24">
        <x:v>336</x:v>
      </x:c>
      <x:c r="U24">
        <x:v>1080</x:v>
      </x:c>
      <x:c r="V24">
        <x:v>1625.4</x:v>
      </x:c>
      <x:c r="W24">
        <x:v>1961.4</x:v>
      </x:c>
      <x:c r="X24">
        <x:v>620.92999999999995</x:v>
      </x:c>
      <x:c r="Y24" s="31" t="n">
        <x:f>J24*N24</x:f>
        <x:v>4013.356878850103</x:v>
      </x:c>
      <x:c r="Z24" s="31" t="n">
        <x:f>IF(J24=0,0,IF(L24&gt;0,J24*L24,"n.a."))</x:f>
        <x:v>4842.991375770021</x:v>
      </x:c>
      <x:c r="AA24" s="31" t="n">
        <x:f>IF(J24=0,0,IF(ISNUMBER(Z24),Z24-Y24,"n.a."))</x:f>
        <x:v>829.6344969199176</x:v>
      </x:c>
      <x:c r="AB24" s="32" t="n">
        <x:f>IF(AND(J24&gt;0,L24&gt;0,N24&gt;0),L24/N24-1,"n.a.")</x:f>
        <x:v>0.20671834625323005</x:v>
      </x:c>
      <x:c r="AC24" s="18" t="str">
        <x:f>IF(AND(J24&gt;0,L24&lt;=0),"Missing replacement cost",IF(I24&gt;H24,"Usage exceeds stock",""))</x:f>
      </x:c>
    </x:row>
    <x:row r="25">
      <x:c r="A25" t="s">
        <x:v>15</x:v>
      </x:c>
      <x:c r="B25">
        <x:v>10</x:v>
      </x:c>
      <x:c r="C25" t="s">
        <x:v>64</x:v>
      </x:c>
      <x:c r="D25" t="s">
        <x:v>28</x:v>
      </x:c>
      <x:c r="E25">
        <x:v>31</x:v>
      </x:c>
      <x:c r="F25">
        <x:v>112</x:v>
      </x:c>
      <x:c r="G25" s="22" t="n">
        <x:f>SUMIFS('Receipts to be received in'!$P$2:$P$53,'Receipts to be received in'!$B$2:$B$53,B25,'Receipts to be received in'!$C$2:$C$53,D25)</x:f>
        <x:v>72</x:v>
      </x:c>
      <x:c r="H25" s="23" t="n">
        <x:f>F25+G25</x:f>
        <x:v>184</x:v>
      </x:c>
      <x:c r="I25" s="22" t="n">
        <x:f>E25*'Receipts to be received in'!$R$7*'Receipts to be received in'!$R$10</x:f>
        <x:v>53.979466119096514</x:v>
      </x:c>
      <x:c r="J25" s="23" t="n">
        <x:f>MAX(0,H25-I25)</x:f>
        <x:v>130.02053388090349</x:v>
      </x:c>
      <x:c r="K25">
        <x:v>144</x:v>
      </x:c>
      <x:c r="L25">
        <x:v>12.21</x:v>
      </x:c>
      <x:c r="M25" s="1">
        <x:v>46134</x:v>
      </x:c>
      <x:c r="N25">
        <x:v>10.17</x:v>
      </x:c>
      <x:c r="O25" s="3">
        <x:v>46027</x:v>
      </x:c>
      <x:c r="P25" s="3">
        <x:v>46231</x:v>
      </x:c>
      <x:c r="Q25" s="2">
        <x:v>-0.1671</x:v>
      </x:c>
      <x:c r="R25">
        <x:v>8.2580645161290303</x:v>
      </x:c>
      <x:c r="S25">
        <x:v>3.6129032258064502</x:v>
      </x:c>
      <x:c r="T25">
        <x:v>228.48</x:v>
      </x:c>
      <x:c r="U25">
        <x:v>293.76</x:v>
      </x:c>
      <x:c r="V25">
        <x:v>1139.04</x:v>
      </x:c>
      <x:c r="W25">
        <x:v>1367.52</x:v>
      </x:c>
      <x:c r="X25">
        <x:v>227.93</x:v>
      </x:c>
      <x:c r="Y25" s="31" t="n">
        <x:f>J25*N25</x:f>
        <x:v>1322.3088295687885</x:v>
      </x:c>
      <x:c r="Z25" s="31" t="n">
        <x:f>IF(J25=0,0,IF(L25&gt;0,J25*L25,"n.a."))</x:f>
        <x:v>1587.5507186858317</x:v>
      </x:c>
      <x:c r="AA25" s="31" t="n">
        <x:f>IF(J25=0,0,IF(ISNUMBER(Z25),Z25-Y25,"n.a."))</x:f>
        <x:v>265.24188911704323</x:v>
      </x:c>
      <x:c r="AB25" s="32" t="n">
        <x:f>IF(AND(J25&gt;0,L25&gt;0,N25&gt;0),L25/N25-1,"n.a.")</x:f>
        <x:v>0.2005899705014751</x:v>
      </x:c>
      <x:c r="AC25" s="18" t="str">
        <x:f>IF(AND(J25&gt;0,L25&lt;=0),"Missing replacement cost",IF(I25&gt;H25,"Usage exceeds stock",""))</x:f>
      </x:c>
    </x:row>
    <x:row r="26">
      <x:c r="A26" t="s">
        <x:v>15</x:v>
      </x:c>
      <x:c r="B26">
        <x:v>30</x:v>
      </x:c>
      <x:c r="C26" t="s">
        <x:v>64</x:v>
      </x:c>
      <x:c r="D26" t="s">
        <x:v>35</x:v>
      </x:c>
      <x:c r="E26">
        <x:v>30</x:v>
      </x:c>
      <x:c r="F26">
        <x:v>42</x:v>
      </x:c>
      <x:c r="G26" s="22" t="n">
        <x:f>SUMIFS('Receipts to be received in'!$P$2:$P$53,'Receipts to be received in'!$B$2:$B$53,B26,'Receipts to be received in'!$C$2:$C$53,D26)</x:f>
        <x:v>240</x:v>
      </x:c>
      <x:c r="H26" s="23" t="n">
        <x:f>F26+G26</x:f>
        <x:v>282</x:v>
      </x:c>
      <x:c r="I26" s="22" t="n">
        <x:f>E26*'Receipts to be received in'!$R$7*'Receipts to be received in'!$R$10</x:f>
        <x:v>52.238193018480494</x:v>
      </x:c>
      <x:c r="J26" s="23" t="n">
        <x:f>MAX(0,H26-I26)</x:f>
        <x:v>229.7618069815195</x:v>
      </x:c>
      <x:c r="K26">
        <x:v>240</x:v>
      </x:c>
      <x:c r="L26">
        <x:v>11.66</x:v>
      </x:c>
      <x:c r="M26" s="1">
        <x:v>46133</x:v>
      </x:c>
      <x:c r="N26">
        <x:v>9.7200000000000006</x:v>
      </x:c>
      <x:c r="O26" s="3">
        <x:v>46027</x:v>
      </x:c>
      <x:c r="P26" s="3">
        <x:v>46224</x:v>
      </x:c>
      <x:c r="Q26" s="2">
        <x:v>-0.16639999999999999</x:v>
      </x:c>
      <x:c r="R26">
        <x:v>9.4</x:v>
      </x:c>
      <x:c r="S26">
        <x:v>1.4</x:v>
      </x:c>
      <x:c r="T26">
        <x:v>81.479999999999905</x:v>
      </x:c>
      <x:c r="U26">
        <x:v>465.599999999999</x:v>
      </x:c>
      <x:c r="V26">
        <x:v>408.24</x:v>
      </x:c>
      <x:c r="W26">
        <x:v>489.72</x:v>
      </x:c>
      <x:c r="X26">
        <x:v>254.28</x:v>
      </x:c>
      <x:c r="Y26" s="31" t="n">
        <x:f>J26*N26</x:f>
        <x:v>2233.28476386037</x:v>
      </x:c>
      <x:c r="Z26" s="31" t="n">
        <x:f>IF(J26=0,0,IF(L26&gt;0,J26*L26,"n.a."))</x:f>
        <x:v>2679.0226694045173</x:v>
      </x:c>
      <x:c r="AA26" s="31" t="n">
        <x:f>IF(J26=0,0,IF(ISNUMBER(Z26),Z26-Y26,"n.a."))</x:f>
        <x:v>445.73790554414745</x:v>
      </x:c>
      <x:c r="AB26" s="32" t="n">
        <x:f>IF(AND(J26&gt;0,L26&gt;0,N26&gt;0),L26/N26-1,"n.a.")</x:f>
        <x:v>0.19958847736625507</x:v>
      </x:c>
      <x:c r="AC26" s="18" t="str">
        <x:f>IF(AND(J26&gt;0,L26&lt;=0),"Missing replacement cost",IF(I26&gt;H26,"Usage exceeds stock",""))</x:f>
      </x:c>
    </x:row>
    <x:row r="27">
      <x:c r="A27" t="s">
        <x:v>15</x:v>
      </x:c>
      <x:c r="B27">
        <x:v>30</x:v>
      </x:c>
      <x:c r="C27" t="s">
        <x:v>64</x:v>
      </x:c>
      <x:c r="D27" t="s">
        <x:v>20</x:v>
      </x:c>
      <x:c r="E27">
        <x:v>30</x:v>
      </x:c>
      <x:c r="F27">
        <x:v>142</x:v>
      </x:c>
      <x:c r="G27" s="22" t="n">
        <x:f>SUMIFS('Receipts to be received in'!$P$2:$P$53,'Receipts to be received in'!$B$2:$B$53,B27,'Receipts to be received in'!$C$2:$C$53,D27)</x:f>
        <x:v>144</x:v>
      </x:c>
      <x:c r="H27" s="23" t="n">
        <x:f>F27+G27</x:f>
        <x:v>286</x:v>
      </x:c>
      <x:c r="I27" s="22" t="n">
        <x:f>E27*'Receipts to be received in'!$R$7*'Receipts to be received in'!$R$10</x:f>
        <x:v>52.238193018480494</x:v>
      </x:c>
      <x:c r="J27" s="23" t="n">
        <x:f>MAX(0,H27-I27)</x:f>
        <x:v>233.7618069815195</x:v>
      </x:c>
      <x:c r="K27">
        <x:v>144</x:v>
      </x:c>
      <x:c r="L27">
        <x:v>25.44</x:v>
      </x:c>
      <x:c r="M27" s="1">
        <x:v>46134</x:v>
      </x:c>
      <x:c r="N27">
        <x:v>21.18</x:v>
      </x:c>
      <x:c r="O27" s="3">
        <x:v>46027</x:v>
      </x:c>
      <x:c r="P27" s="3">
        <x:v>46224</x:v>
      </x:c>
      <x:c r="Q27" s="2">
        <x:v>-0.16750000000000001</x:v>
      </x:c>
      <x:c r="R27">
        <x:v>9.5333333333333297</x:v>
      </x:c>
      <x:c r="S27">
        <x:v>4.7333333333333298</x:v>
      </x:c>
      <x:c r="T27">
        <x:v>613.44000000000005</x:v>
      </x:c>
      <x:c r="U27">
        <x:v>613.44000000000005</x:v>
      </x:c>
      <x:c r="V27">
        <x:v>3049.92</x:v>
      </x:c>
      <x:c r="W27">
        <x:v>3663.36</x:v>
      </x:c>
      <x:c r="X27">
        <x:v>474.38</x:v>
      </x:c>
      <x:c r="Y27" s="31" t="n">
        <x:f>J27*N27</x:f>
        <x:v>4951.075071868583</x:v>
      </x:c>
      <x:c r="Z27" s="31" t="n">
        <x:f>IF(J27=0,0,IF(L27&gt;0,J27*L27,"n.a."))</x:f>
        <x:v>5946.900369609856</x:v>
      </x:c>
      <x:c r="AA27" s="31" t="n">
        <x:f>IF(J27=0,0,IF(ISNUMBER(Z27),Z27-Y27,"n.a."))</x:f>
        <x:v>995.8252977412731</x:v>
      </x:c>
      <x:c r="AB27" s="32" t="n">
        <x:f>IF(AND(J27&gt;0,L27&gt;0,N27&gt;0),L27/N27-1,"n.a.")</x:f>
        <x:v>0.2011331444759208</x:v>
      </x:c>
      <x:c r="AC27" s="18" t="str">
        <x:f>IF(AND(J27&gt;0,L27&lt;=0),"Missing replacement cost",IF(I27&gt;H27,"Usage exceeds stock",""))</x:f>
      </x:c>
    </x:row>
    <x:row r="28">
      <x:c r="A28" t="s">
        <x:v>15</x:v>
      </x:c>
      <x:c r="B28">
        <x:v>10</x:v>
      </x:c>
      <x:c r="C28" t="s">
        <x:v>67</x:v>
      </x:c>
      <x:c r="D28" t="s">
        <x:v>68</x:v>
      </x:c>
      <x:c r="E28">
        <x:v>29.33</x:v>
      </x:c>
      <x:c r="F28">
        <x:v>134</x:v>
      </x:c>
      <x:c r="G28" s="22" t="n">
        <x:f>SUMIFS('Receipts to be received in'!$P$2:$P$53,'Receipts to be received in'!$B$2:$B$53,B28,'Receipts to be received in'!$C$2:$C$53,D28)</x:f>
        <x:v>0</x:v>
      </x:c>
      <x:c r="H28" s="23" t="n">
        <x:f>F28+G28</x:f>
        <x:v>134</x:v>
      </x:c>
      <x:c r="I28" s="22" t="n">
        <x:f>E28*'Receipts to be received in'!$R$7*'Receipts to be received in'!$R$10</x:f>
        <x:v>51.07154004106776</x:v>
      </x:c>
      <x:c r="J28" s="23" t="n">
        <x:f>MAX(0,H28-I28)</x:f>
        <x:v>82.92845995893224</x:v>
      </x:c>
      <x:c r="K28">
        <x:v>0</x:v>
      </x:c>
      <x:c r="L28">
        <x:v>65.98</x:v>
      </x:c>
      <x:c r="M28" s="1">
        <x:v>45876</x:v>
      </x:c>
      <x:c r="N28">
        <x:v>65.98</x:v>
      </x:c>
      <x:c r="O28" s="3">
        <x:v>45876</x:v>
      </x:c>
      <x:c r="P28" s="3">
        <x:v>46303</x:v>
      </x:c>
      <x:c r="Q28" s="2">
        <x:v>0</x:v>
      </x:c>
      <x:c r="R28">
        <x:v>4.56870098874872</x:v>
      </x:c>
      <x:c r="S28">
        <x:v>4.56870098874872</x:v>
      </x:c>
      <x:c r="T28">
        <x:v>0</x:v>
      </x:c>
      <x:c r="U28">
        <x:v>0</x:v>
      </x:c>
      <x:c r="V28">
        <x:v>8841.32</x:v>
      </x:c>
      <x:c r="W28">
        <x:v>8841.32</x:v>
      </x:c>
      <x:c r="X28">
        <x:v>119.96</x:v>
      </x:c>
      <x:c r="Y28" s="31" t="n">
        <x:f>J28*N28</x:f>
        <x:v>5471.619788090349</x:v>
      </x:c>
      <x:c r="Z28" s="31" t="n">
        <x:f>IF(J28=0,0,IF(L28&gt;0,J28*L28,"n.a."))</x:f>
        <x:v>5471.619788090349</x:v>
      </x:c>
      <x:c r="AA28" s="31" t="n">
        <x:f>IF(J28=0,0,IF(ISNUMBER(Z28),Z28-Y28,"n.a."))</x:f>
        <x:v>0</x:v>
      </x:c>
      <x:c r="AB28" s="32" t="n">
        <x:f>IF(AND(J28&gt;0,L28&gt;0,N28&gt;0),L28/N28-1,"n.a.")</x:f>
        <x:v>0</x:v>
      </x:c>
      <x:c r="AC28" s="18" t="str">
        <x:f>IF(AND(J28&gt;0,L28&lt;=0),"Missing replacement cost",IF(I28&gt;H28,"Usage exceeds stock",""))</x:f>
      </x:c>
    </x:row>
    <x:row r="29">
      <x:c r="A29" t="s">
        <x:v>15</x:v>
      </x:c>
      <x:c r="B29">
        <x:v>60</x:v>
      </x:c>
      <x:c r="C29" t="s">
        <x:v>64</x:v>
      </x:c>
      <x:c r="D29" t="s">
        <x:v>65</x:v>
      </x:c>
      <x:c r="E29">
        <x:v>26</x:v>
      </x:c>
      <x:c r="F29">
        <x:v>878</x:v>
      </x:c>
      <x:c r="G29" s="22" t="n">
        <x:f>SUMIFS('Receipts to be received in'!$P$2:$P$53,'Receipts to be received in'!$B$2:$B$53,B29,'Receipts to be received in'!$C$2:$C$53,D29)</x:f>
        <x:v>0</x:v>
      </x:c>
      <x:c r="H29" s="23" t="n">
        <x:f>F29+G29</x:f>
        <x:v>878</x:v>
      </x:c>
      <x:c r="I29" s="22" t="n">
        <x:f>E29*'Receipts to be received in'!$R$7*'Receipts to be received in'!$R$10</x:f>
        <x:v>45.27310061601643</x:v>
      </x:c>
      <x:c r="J29" s="23" t="n">
        <x:f>MAX(0,H29-I29)</x:f>
        <x:v>832.7268993839836</x:v>
      </x:c>
      <x:c r="K29">
        <x:v>0</x:v>
      </x:c>
      <x:c r="L29">
        <x:v>21.87</x:v>
      </x:c>
      <x:c r="M29" s="1">
        <x:v>46134</x:v>
      </x:c>
      <x:c r="N29">
        <x:v>18.23</x:v>
      </x:c>
      <x:c r="O29" s="3">
        <x:v>46027</x:v>
      </x:c>
      <x:c r="P29" s="3">
        <x:v>46104</x:v>
      </x:c>
      <x:c r="Q29" s="2">
        <x:v>-0.16639999999999999</x:v>
      </x:c>
      <x:c r="R29">
        <x:v>33.769230769230703</x:v>
      </x:c>
      <x:c r="S29">
        <x:v>33.769230769230703</x:v>
      </x:c>
      <x:c r="T29">
        <x:v>3195.92</x:v>
      </x:c>
      <x:c r="U29">
        <x:v>0</x:v>
      </x:c>
      <x:c r="V29">
        <x:v>16005.94</x:v>
      </x:c>
      <x:c r="W29">
        <x:v>19201.86</x:v>
      </x:c>
      <x:c r="X29">
        <x:v>374.17</x:v>
      </x:c>
      <x:c r="Y29" s="31" t="n">
        <x:f>J29*N29</x:f>
        <x:v>15180.61137577002</x:v>
      </x:c>
      <x:c r="Z29" s="31" t="n">
        <x:f>IF(J29=0,0,IF(L29&gt;0,J29*L29,"n.a."))</x:f>
        <x:v>18211.737289527722</x:v>
      </x:c>
      <x:c r="AA29" s="31" t="n">
        <x:f>IF(J29=0,0,IF(ISNUMBER(Z29),Z29-Y29,"n.a."))</x:f>
        <x:v>3031.1259137577017</x:v>
      </x:c>
      <x:c r="AB29" s="32" t="n">
        <x:f>IF(AND(J29&gt;0,L29&gt;0,N29&gt;0),L29/N29-1,"n.a.")</x:f>
        <x:v>0.19967087218869994</x:v>
      </x:c>
      <x:c r="AC29" s="18" t="str">
        <x:f>IF(AND(J29&gt;0,L29&lt;=0),"Missing replacement cost",IF(I29&gt;H29,"Usage exceeds stock",""))</x:f>
      </x:c>
    </x:row>
    <x:row r="30">
      <x:c r="A30" t="s">
        <x:v>15</x:v>
      </x:c>
      <x:c r="B30">
        <x:v>60</x:v>
      </x:c>
      <x:c r="C30" t="s">
        <x:v>64</x:v>
      </x:c>
      <x:c r="D30" t="s">
        <x:v>37</x:v>
      </x:c>
      <x:c r="E30">
        <x:v>25.33</x:v>
      </x:c>
      <x:c r="F30">
        <x:v>297</x:v>
      </x:c>
      <x:c r="G30" s="22" t="n">
        <x:f>SUMIFS('Receipts to be received in'!$P$2:$P$53,'Receipts to be received in'!$B$2:$B$53,B30,'Receipts to be received in'!$C$2:$C$53,D30)</x:f>
        <x:v>0</x:v>
      </x:c>
      <x:c r="H30" s="23" t="n">
        <x:f>F30+G30</x:f>
        <x:v>297</x:v>
      </x:c>
      <x:c r="I30" s="22" t="n">
        <x:f>E30*'Receipts to be received in'!$R$7*'Receipts to be received in'!$R$10</x:f>
        <x:v>44.1064476386037</x:v>
      </x:c>
      <x:c r="J30" s="23" t="n">
        <x:f>MAX(0,H30-I30)</x:f>
        <x:v>252.8935523613963</x:v>
      </x:c>
      <x:c r="K30">
        <x:v>0</x:v>
      </x:c>
      <x:c r="L30">
        <x:v>25.11</x:v>
      </x:c>
      <x:c r="M30" s="1">
        <x:v>46134</x:v>
      </x:c>
      <x:c r="N30">
        <x:v>20.9</x:v>
      </x:c>
      <x:c r="O30" s="3">
        <x:v>46027</x:v>
      </x:c>
      <x:c r="P30" s="3">
        <x:v>46244</x:v>
      </x:c>
      <x:c r="Q30" s="2">
        <x:v>-0.16769999999999999</x:v>
      </x:c>
      <x:c r="R30">
        <x:v>11.725227003553099</x:v>
      </x:c>
      <x:c r="S30">
        <x:v>11.725227003553099</x:v>
      </x:c>
      <x:c r="T30">
        <x:v>1250.3699999999999</x:v>
      </x:c>
      <x:c r="U30">
        <x:v>0</x:v>
      </x:c>
      <x:c r="V30">
        <x:v>6207.2999999999902</x:v>
      </x:c>
      <x:c r="W30">
        <x:v>7457.67</x:v>
      </x:c>
      <x:c r="X30">
        <x:v>670.44</x:v>
      </x:c>
      <x:c r="Y30" s="31" t="n">
        <x:f>J30*N30</x:f>
        <x:v>5285.4752443531825</x:v>
      </x:c>
      <x:c r="Z30" s="31" t="n">
        <x:f>IF(J30=0,0,IF(L30&gt;0,J30*L30,"n.a."))</x:f>
        <x:v>6350.157099794661</x:v>
      </x:c>
      <x:c r="AA30" s="31" t="n">
        <x:f>IF(J30=0,0,IF(ISNUMBER(Z30),Z30-Y30,"n.a."))</x:f>
        <x:v>1064.6818554414785</x:v>
      </x:c>
      <x:c r="AB30" s="32" t="n">
        <x:f>IF(AND(J30&gt;0,L30&gt;0,N30&gt;0),L30/N30-1,"n.a.")</x:f>
        <x:v>0.20143540669856463</x:v>
      </x:c>
      <x:c r="AC30" s="18" t="str">
        <x:f>IF(AND(J30&gt;0,L30&lt;=0),"Missing replacement cost",IF(I30&gt;H30,"Usage exceeds stock",""))</x:f>
      </x:c>
    </x:row>
    <x:row r="31">
      <x:c r="A31" t="s">
        <x:v>15</x:v>
      </x:c>
      <x:c r="B31">
        <x:v>60</x:v>
      </x:c>
      <x:c r="C31" t="s">
        <x:v>64</x:v>
      </x:c>
      <x:c r="D31" t="s">
        <x:v>29</x:v>
      </x:c>
      <x:c r="E31">
        <x:v>24.92</x:v>
      </x:c>
      <x:c r="F31">
        <x:v>146</x:v>
      </x:c>
      <x:c r="G31" s="22" t="n">
        <x:f>SUMIFS('Receipts to be received in'!$P$2:$P$53,'Receipts to be received in'!$B$2:$B$53,B31,'Receipts to be received in'!$C$2:$C$53,D31)</x:f>
        <x:v>0</x:v>
      </x:c>
      <x:c r="H31" s="23" t="n">
        <x:f>F31+G31</x:f>
        <x:v>146</x:v>
      </x:c>
      <x:c r="I31" s="22" t="n">
        <x:f>E31*'Receipts to be received in'!$R$7*'Receipts to be received in'!$R$10</x:f>
        <x:v>43.39252566735114</x:v>
      </x:c>
      <x:c r="J31" s="23" t="n">
        <x:f>MAX(0,H31-I31)</x:f>
        <x:v>102.60747433264886</x:v>
      </x:c>
      <x:c r="K31">
        <x:v>72</x:v>
      </x:c>
      <x:c r="L31">
        <x:v>18.32</x:v>
      </x:c>
      <x:c r="M31" s="1">
        <x:v>46134</x:v>
      </x:c>
      <x:c r="N31">
        <x:v>15.25</x:v>
      </x:c>
      <x:c r="O31" s="3">
        <x:v>46027</x:v>
      </x:c>
      <x:c r="P31" s="3">
        <x:v>46244</x:v>
      </x:c>
      <x:c r="Q31" s="2">
        <x:v>-0.1676</x:v>
      </x:c>
      <x:c r="R31">
        <x:v>8.7479935794542492</x:v>
      </x:c>
      <x:c r="S31">
        <x:v>5.85874799357945</x:v>
      </x:c>
      <x:c r="T31">
        <x:v>448.22</x:v>
      </x:c>
      <x:c r="U31">
        <x:v>221.04</x:v>
      </x:c>
      <x:c r="V31">
        <x:v>2226.5</x:v>
      </x:c>
      <x:c r="W31">
        <x:v>2674.72</x:v>
      </x:c>
      <x:c r="X31">
        <x:v>341.52</x:v>
      </x:c>
      <x:c r="Y31" s="31" t="n">
        <x:f>J31*N31</x:f>
        <x:v>1564.763983572895</x:v>
      </x:c>
      <x:c r="Z31" s="31" t="n">
        <x:f>IF(J31=0,0,IF(L31&gt;0,J31*L31,"n.a."))</x:f>
        <x:v>1879.7689297741272</x:v>
      </x:c>
      <x:c r="AA31" s="31" t="n">
        <x:f>IF(J31=0,0,IF(ISNUMBER(Z31),Z31-Y31,"n.a."))</x:f>
        <x:v>315.0049462012321</x:v>
      </x:c>
      <x:c r="AB31" s="32" t="n">
        <x:f>IF(AND(J31&gt;0,L31&gt;0,N31&gt;0),L31/N31-1,"n.a.")</x:f>
        <x:v>0.20131147540983618</x:v>
      </x:c>
      <x:c r="AC31" s="18" t="str">
        <x:f>IF(AND(J31&gt;0,L31&lt;=0),"Missing replacement cost",IF(I31&gt;H31,"Usage exceeds stock",""))</x:f>
      </x:c>
    </x:row>
    <x:row r="32">
      <x:c r="A32" t="s">
        <x:v>15</x:v>
      </x:c>
      <x:c r="B32">
        <x:v>30</x:v>
      </x:c>
      <x:c r="C32" t="s">
        <x:v>64</x:v>
      </x:c>
      <x:c r="D32" t="s">
        <x:v>29</x:v>
      </x:c>
      <x:c r="E32">
        <x:v>24</x:v>
      </x:c>
      <x:c r="F32">
        <x:v>72</x:v>
      </x:c>
      <x:c r="G32" s="22" t="n">
        <x:f>SUMIFS('Receipts to be received in'!$P$2:$P$53,'Receipts to be received in'!$B$2:$B$53,B32,'Receipts to be received in'!$C$2:$C$53,D32)</x:f>
        <x:v>144</x:v>
      </x:c>
      <x:c r="H32" s="23" t="n">
        <x:f>F32+G32</x:f>
        <x:v>216</x:v>
      </x:c>
      <x:c r="I32" s="22" t="n">
        <x:f>E32*'Receipts to be received in'!$R$7*'Receipts to be received in'!$R$10</x:f>
        <x:v>41.790554414784395</x:v>
      </x:c>
      <x:c r="J32" s="23" t="n">
        <x:f>MAX(0,H32-I32)</x:f>
        <x:v>174.2094455852156</x:v>
      </x:c>
      <x:c r="K32">
        <x:v>144</x:v>
      </x:c>
      <x:c r="L32">
        <x:v>18.32</x:v>
      </x:c>
      <x:c r="M32" s="1">
        <x:v>46134</x:v>
      </x:c>
      <x:c r="N32">
        <x:v>15.25</x:v>
      </x:c>
      <x:c r="O32" s="3">
        <x:v>46027</x:v>
      </x:c>
      <x:c r="P32" s="3">
        <x:v>46143</x:v>
      </x:c>
      <x:c r="Q32" s="2">
        <x:v>-0.1676</x:v>
      </x:c>
      <x:c r="R32">
        <x:v>9</x:v>
      </x:c>
      <x:c r="S32">
        <x:v>3</x:v>
      </x:c>
      <x:c r="T32">
        <x:v>221.04</x:v>
      </x:c>
      <x:c r="U32">
        <x:v>442.08</x:v>
      </x:c>
      <x:c r="V32">
        <x:v>1098</x:v>
      </x:c>
      <x:c r="W32">
        <x:v>1319.04</x:v>
      </x:c>
      <x:c r="X32">
        <x:v>341.52</x:v>
      </x:c>
      <x:c r="Y32" s="31" t="n">
        <x:f>J32*N32</x:f>
        <x:v>2656.694045174538</x:v>
      </x:c>
      <x:c r="Z32" s="31" t="n">
        <x:f>IF(J32=0,0,IF(L32&gt;0,J32*L32,"n.a."))</x:f>
        <x:v>3191.51704312115</x:v>
      </x:c>
      <x:c r="AA32" s="31" t="n">
        <x:f>IF(J32=0,0,IF(ISNUMBER(Z32),Z32-Y32,"n.a."))</x:f>
        <x:v>534.8229979466118</x:v>
      </x:c>
      <x:c r="AB32" s="32" t="n">
        <x:f>IF(AND(J32&gt;0,L32&gt;0,N32&gt;0),L32/N32-1,"n.a.")</x:f>
        <x:v>0.20131147540983618</x:v>
      </x:c>
      <x:c r="AC32" s="18" t="str">
        <x:f>IF(AND(J32&gt;0,L32&lt;=0),"Missing replacement cost",IF(I32&gt;H32,"Usage exceeds stock",""))</x:f>
      </x:c>
    </x:row>
    <x:row r="33">
      <x:c r="A33" t="s">
        <x:v>15</x:v>
      </x:c>
      <x:c r="B33">
        <x:v>60</x:v>
      </x:c>
      <x:c r="C33" t="s">
        <x:v>64</x:v>
      </x:c>
      <x:c r="D33" t="s">
        <x:v>32</x:v>
      </x:c>
      <x:c r="E33">
        <x:v>23.33</x:v>
      </x:c>
      <x:c r="F33">
        <x:v>57</x:v>
      </x:c>
      <x:c r="G33" s="22" t="n">
        <x:f>SUMIFS('Receipts to be received in'!$P$2:$P$53,'Receipts to be received in'!$B$2:$B$53,B33,'Receipts to be received in'!$C$2:$C$53,D33)</x:f>
        <x:v>0</x:v>
      </x:c>
      <x:c r="H33" s="23" t="n">
        <x:f>F33+G33</x:f>
        <x:v>57</x:v>
      </x:c>
      <x:c r="I33" s="22" t="n">
        <x:f>E33*'Receipts to be received in'!$R$7*'Receipts to be received in'!$R$10</x:f>
        <x:v>40.623901437371664</x:v>
      </x:c>
      <x:c r="J33" s="23" t="n">
        <x:f>MAX(0,H33-I33)</x:f>
        <x:v>16.376098562628336</x:v>
      </x:c>
      <x:c r="K33">
        <x:v>120</x:v>
      </x:c>
      <x:c r="L33">
        <x:v>20.25</x:v>
      </x:c>
      <x:c r="M33" s="1">
        <x:v>46134</x:v>
      </x:c>
      <x:c r="N33">
        <x:v>16.88</x:v>
      </x:c>
      <x:c r="O33" s="3">
        <x:v>46027</x:v>
      </x:c>
      <x:c r="P33" s="3">
        <x:v>46174</x:v>
      </x:c>
      <x:c r="Q33" s="2">
        <x:v>-0.16639999999999999</x:v>
      </x:c>
      <x:c r="R33">
        <x:v>7.5867981140162799</x:v>
      </x:c>
      <x:c r="S33">
        <x:v>2.44320617231033</x:v>
      </x:c>
      <x:c r="T33">
        <x:v>192.09</x:v>
      </x:c>
      <x:c r="U33">
        <x:v>404.4</x:v>
      </x:c>
      <x:c r="V33">
        <x:v>962.16</x:v>
      </x:c>
      <x:c r="W33">
        <x:v>1154.25</x:v>
      </x:c>
      <x:c r="X33">
        <x:v>346.4</x:v>
      </x:c>
      <x:c r="Y33" s="31" t="n">
        <x:f>J33*N33</x:f>
        <x:v>276.4285437371663</x:v>
      </x:c>
      <x:c r="Z33" s="31" t="n">
        <x:f>IF(J33=0,0,IF(L33&gt;0,J33*L33,"n.a."))</x:f>
        <x:v>331.6159958932238</x:v>
      </x:c>
      <x:c r="AA33" s="31" t="n">
        <x:f>IF(J33=0,0,IF(ISNUMBER(Z33),Z33-Y33,"n.a."))</x:f>
        <x:v>55.187452156057475</x:v>
      </x:c>
      <x:c r="AB33" s="32" t="n">
        <x:f>IF(AND(J33&gt;0,L33&gt;0,N33&gt;0),L33/N33-1,"n.a.")</x:f>
        <x:v>0.19964454976303325</x:v>
      </x:c>
      <x:c r="AC33" s="18" t="str">
        <x:f>IF(AND(J33&gt;0,L33&lt;=0),"Missing replacement cost",IF(I33&gt;H33,"Usage exceeds stock",""))</x:f>
      </x:c>
    </x:row>
    <x:row r="34">
      <x:c r="A34" t="s">
        <x:v>15</x:v>
      </x:c>
      <x:c r="B34">
        <x:v>10</x:v>
      </x:c>
      <x:c r="C34" t="s">
        <x:v>64</x:v>
      </x:c>
      <x:c r="D34" t="s">
        <x:v>39</x:v>
      </x:c>
      <x:c r="E34">
        <x:v>19.75</x:v>
      </x:c>
      <x:c r="F34">
        <x:v>87</x:v>
      </x:c>
      <x:c r="G34" s="22" t="n">
        <x:f>SUMIFS('Receipts to be received in'!$P$2:$P$53,'Receipts to be received in'!$B$2:$B$53,B34,'Receipts to be received in'!$C$2:$C$53,D34)</x:f>
        <x:v>0</x:v>
      </x:c>
      <x:c r="H34" s="23" t="n">
        <x:f>F34+G34</x:f>
        <x:v>87</x:v>
      </x:c>
      <x:c r="I34" s="22" t="n">
        <x:f>E34*'Receipts to be received in'!$R$7*'Receipts to be received in'!$R$10</x:f>
        <x:v>34.390143737166326</x:v>
      </x:c>
      <x:c r="J34" s="23" t="n">
        <x:f>MAX(0,H34-I34)</x:f>
        <x:v>52.609856262833674</x:v>
      </x:c>
      <x:c r="K34">
        <x:v>120</x:v>
      </x:c>
      <x:c r="L34">
        <x:v>12.64</x:v>
      </x:c>
      <x:c r="M34" s="1">
        <x:v>46133</x:v>
      </x:c>
      <x:c r="N34">
        <x:v>10.53</x:v>
      </x:c>
      <x:c r="O34" s="3">
        <x:v>46027</x:v>
      </x:c>
      <x:c r="P34" s="3">
        <x:v>46070</x:v>
      </x:c>
      <x:c r="Q34" s="2">
        <x:v>-0.16689999999999999</x:v>
      </x:c>
      <x:c r="R34">
        <x:v>10.481012658227799</x:v>
      </x:c>
      <x:c r="S34">
        <x:v>4.40506329113924</x:v>
      </x:c>
      <x:c r="T34">
        <x:v>183.57</x:v>
      </x:c>
      <x:c r="U34">
        <x:v>253.2</x:v>
      </x:c>
      <x:c r="V34">
        <x:v>916.10999999999899</x:v>
      </x:c>
      <x:c r="W34">
        <x:v>1099.68</x:v>
      </x:c>
      <x:c r="X34">
        <x:v>216.1</x:v>
      </x:c>
      <x:c r="Y34" s="31" t="n">
        <x:f>J34*N34</x:f>
        <x:v>553.9817864476386</x:v>
      </x:c>
      <x:c r="Z34" s="31" t="n">
        <x:f>IF(J34=0,0,IF(L34&gt;0,J34*L34,"n.a."))</x:f>
        <x:v>664.9885831622177</x:v>
      </x:c>
      <x:c r="AA34" s="31" t="n">
        <x:f>IF(J34=0,0,IF(ISNUMBER(Z34),Z34-Y34,"n.a."))</x:f>
        <x:v>111.00679671457908</x:v>
      </x:c>
      <x:c r="AB34" s="32" t="n">
        <x:f>IF(AND(J34&gt;0,L34&gt;0,N34&gt;0),L34/N34-1,"n.a.")</x:f>
        <x:v>0.20037986704653377</x:v>
      </x:c>
      <x:c r="AC34" s="18" t="str">
        <x:f>IF(AND(J34&gt;0,L34&lt;=0),"Missing replacement cost",IF(I34&gt;H34,"Usage exceeds stock",""))</x:f>
      </x:c>
    </x:row>
    <x:row r="35">
      <x:c r="A35" t="s">
        <x:v>15</x:v>
      </x:c>
      <x:c r="B35">
        <x:v>10</x:v>
      </x:c>
      <x:c r="C35" t="s">
        <x:v>64</x:v>
      </x:c>
      <x:c r="D35" t="s">
        <x:v>27</x:v>
      </x:c>
      <x:c r="E35">
        <x:v>17.920000000000002</x:v>
      </x:c>
      <x:c r="F35">
        <x:v>58</x:v>
      </x:c>
      <x:c r="G35" s="22" t="n">
        <x:f>SUMIFS('Receipts to be received in'!$P$2:$P$53,'Receipts to be received in'!$B$2:$B$53,B35,'Receipts to be received in'!$C$2:$C$53,D35)</x:f>
        <x:v>25</x:v>
      </x:c>
      <x:c r="H35" s="23" t="n">
        <x:f>F35+G35</x:f>
        <x:v>83</x:v>
      </x:c>
      <x:c r="I35" s="22" t="n">
        <x:f>E35*'Receipts to be received in'!$R$7*'Receipts to be received in'!$R$10</x:f>
        <x:v>31.203613963039018</x:v>
      </x:c>
      <x:c r="J35" s="23" t="n">
        <x:f>MAX(0,H35-I35)</x:f>
        <x:v>51.79638603696098</x:v>
      </x:c>
      <x:c r="K35">
        <x:v>75</x:v>
      </x:c>
      <x:c r="L35">
        <x:v>38.67</x:v>
      </x:c>
      <x:c r="M35" s="1">
        <x:v>46134</x:v>
      </x:c>
      <x:c r="N35">
        <x:v>32.19</x:v>
      </x:c>
      <x:c r="O35" s="3">
        <x:v>46027</x:v>
      </x:c>
      <x:c r="P35" s="3">
        <x:v>46231</x:v>
      </x:c>
      <x:c r="Q35" s="2">
        <x:v>-0.1676</x:v>
      </x:c>
      <x:c r="R35">
        <x:v>7.4218749999999902</x:v>
      </x:c>
      <x:c r="S35">
        <x:v>3.2366071428571401</x:v>
      </x:c>
      <x:c r="T35">
        <x:v>375.84</x:v>
      </x:c>
      <x:c r="U35">
        <x:v>486</x:v>
      </x:c>
      <x:c r="V35">
        <x:v>1867.02</x:v>
      </x:c>
      <x:c r="W35">
        <x:v>2242.86</x:v>
      </x:c>
      <x:c r="X35">
        <x:v>720.75</x:v>
      </x:c>
      <x:c r="Y35" s="31" t="n">
        <x:f>J35*N35</x:f>
        <x:v>1667.3256665297738</x:v>
      </x:c>
      <x:c r="Z35" s="31" t="n">
        <x:f>IF(J35=0,0,IF(L35&gt;0,J35*L35,"n.a."))</x:f>
        <x:v>2002.9662480492811</x:v>
      </x:c>
      <x:c r="AA35" s="31" t="n">
        <x:f>IF(J35=0,0,IF(ISNUMBER(Z35),Z35-Y35,"n.a."))</x:f>
        <x:v>335.64058151950735</x:v>
      </x:c>
      <x:c r="AB35" s="32" t="n">
        <x:f>IF(AND(J35&gt;0,L35&gt;0,N35&gt;0),L35/N35-1,"n.a.")</x:f>
        <x:v>0.20130475302889117</x:v>
      </x:c>
      <x:c r="AC35" s="18" t="str">
        <x:f>IF(AND(J35&gt;0,L35&lt;=0),"Missing replacement cost",IF(I35&gt;H35,"Usage exceeds stock",""))</x:f>
      </x:c>
    </x:row>
    <x:row r="36">
      <x:c r="A36" t="s">
        <x:v>15</x:v>
      </x:c>
      <x:c r="B36">
        <x:v>30</x:v>
      </x:c>
      <x:c r="C36" t="s">
        <x:v>64</x:v>
      </x:c>
      <x:c r="D36" t="s">
        <x:v>37</x:v>
      </x:c>
      <x:c r="E36">
        <x:v>17.170000000000002</x:v>
      </x:c>
      <x:c r="F36">
        <x:v>10</x:v>
      </x:c>
      <x:c r="G36" s="22" t="n">
        <x:f>SUMIFS('Receipts to be received in'!$P$2:$P$53,'Receipts to be received in'!$B$2:$B$53,B36,'Receipts to be received in'!$C$2:$C$53,D36)</x:f>
        <x:v>180</x:v>
      </x:c>
      <x:c r="H36" s="23" t="n">
        <x:f>F36+G36</x:f>
        <x:v>190</x:v>
      </x:c>
      <x:c r="I36" s="22" t="n">
        <x:f>E36*'Receipts to be received in'!$R$7*'Receipts to be received in'!$R$10</x:f>
        <x:v>29.897659137577005</x:v>
      </x:c>
      <x:c r="J36" s="23" t="n">
        <x:f>MAX(0,H36-I36)</x:f>
        <x:v>160.102340862423</x:v>
      </x:c>
      <x:c r="K36">
        <x:v>180</x:v>
      </x:c>
      <x:c r="L36">
        <x:v>25.11</x:v>
      </x:c>
      <x:c r="M36" s="1">
        <x:v>46134</x:v>
      </x:c>
      <x:c r="N36">
        <x:v>20.9</x:v>
      </x:c>
      <x:c r="O36" s="3">
        <x:v>46027</x:v>
      </x:c>
      <x:c r="P36" s="3">
        <x:v>46143</x:v>
      </x:c>
      <x:c r="Q36" s="2">
        <x:v>-0.16769999999999999</x:v>
      </x:c>
      <x:c r="R36">
        <x:v>11.0658124635993</x:v>
      </x:c>
      <x:c r="S36">
        <x:v>0.58241118229470001</x:v>
      </x:c>
      <x:c r="T36">
        <x:v>42.1</x:v>
      </x:c>
      <x:c r="U36">
        <x:v>757.8</x:v>
      </x:c>
      <x:c r="V36">
        <x:v>209</x:v>
      </x:c>
      <x:c r="W36">
        <x:v>251.1</x:v>
      </x:c>
      <x:c r="X36">
        <x:v>670.44</x:v>
      </x:c>
      <x:c r="Y36" s="31" t="n">
        <x:f>J36*N36</x:f>
        <x:v>3346.138924024641</x:v>
      </x:c>
      <x:c r="Z36" s="31" t="n">
        <x:f>IF(J36=0,0,IF(L36&gt;0,J36*L36,"n.a."))</x:f>
        <x:v>4020.1697790554417</x:v>
      </x:c>
      <x:c r="AA36" s="31" t="n">
        <x:f>IF(J36=0,0,IF(ISNUMBER(Z36),Z36-Y36,"n.a."))</x:f>
        <x:v>674.0308550308009</x:v>
      </x:c>
      <x:c r="AB36" s="32" t="n">
        <x:f>IF(AND(J36&gt;0,L36&gt;0,N36&gt;0),L36/N36-1,"n.a.")</x:f>
        <x:v>0.20143540669856463</x:v>
      </x:c>
      <x:c r="AC36" s="18" t="str">
        <x:f>IF(AND(J36&gt;0,L36&lt;=0),"Missing replacement cost",IF(I36&gt;H36,"Usage exceeds stock",""))</x:f>
      </x:c>
    </x:row>
    <x:row r="37">
      <x:c r="A37" t="s">
        <x:v>15</x:v>
      </x:c>
      <x:c r="B37">
        <x:v>60</x:v>
      </x:c>
      <x:c r="C37" t="s">
        <x:v>64</x:v>
      </x:c>
      <x:c r="D37" t="s">
        <x:v>39</x:v>
      </x:c>
      <x:c r="E37">
        <x:v>16.329999999999998</x:v>
      </x:c>
      <x:c r="F37">
        <x:v>186</x:v>
      </x:c>
      <x:c r="G37" s="22" t="n">
        <x:f>SUMIFS('Receipts to be received in'!$P$2:$P$53,'Receipts to be received in'!$B$2:$B$53,B37,'Receipts to be received in'!$C$2:$C$53,D37)</x:f>
        <x:v>0</x:v>
      </x:c>
      <x:c r="H37" s="23" t="n">
        <x:f>F37+G37</x:f>
        <x:v>186</x:v>
      </x:c>
      <x:c r="I37" s="22" t="n">
        <x:f>E37*'Receipts to be received in'!$R$7*'Receipts to be received in'!$R$10</x:f>
        <x:v>28.434989733059545</x:v>
      </x:c>
      <x:c r="J37" s="23" t="n">
        <x:f>MAX(0,H37-I37)</x:f>
        <x:v>157.56501026694045</x:v>
      </x:c>
      <x:c r="K37">
        <x:v>0</x:v>
      </x:c>
      <x:c r="L37">
        <x:v>12.64</x:v>
      </x:c>
      <x:c r="M37" s="1">
        <x:v>46133</x:v>
      </x:c>
      <x:c r="N37">
        <x:v>10.53</x:v>
      </x:c>
      <x:c r="O37" s="3">
        <x:v>46027</x:v>
      </x:c>
      <x:c r="P37" s="3">
        <x:v>46174</x:v>
      </x:c>
      <x:c r="Q37" s="2">
        <x:v>-0.16689999999999999</x:v>
      </x:c>
      <x:c r="R37">
        <x:v>11.3900796080832</x:v>
      </x:c>
      <x:c r="S37">
        <x:v>11.3900796080832</x:v>
      </x:c>
      <x:c r="T37">
        <x:v>392.46</x:v>
      </x:c>
      <x:c r="U37">
        <x:v>0</x:v>
      </x:c>
      <x:c r="V37">
        <x:v>1958.58</x:v>
      </x:c>
      <x:c r="W37">
        <x:v>2351.04</x:v>
      </x:c>
      <x:c r="X37">
        <x:v>216.1</x:v>
      </x:c>
      <x:c r="Y37" s="31" t="n">
        <x:f>J37*N37</x:f>
        <x:v>1659.1595581108827</x:v>
      </x:c>
      <x:c r="Z37" s="31" t="n">
        <x:f>IF(J37=0,0,IF(L37&gt;0,J37*L37,"n.a."))</x:f>
        <x:v>1991.6217297741273</x:v>
      </x:c>
      <x:c r="AA37" s="31" t="n">
        <x:f>IF(J37=0,0,IF(ISNUMBER(Z37),Z37-Y37,"n.a."))</x:f>
        <x:v>332.4621716632446</x:v>
      </x:c>
      <x:c r="AB37" s="32" t="n">
        <x:f>IF(AND(J37&gt;0,L37&gt;0,N37&gt;0),L37/N37-1,"n.a.")</x:f>
        <x:v>0.20037986704653377</x:v>
      </x:c>
      <x:c r="AC37" s="18" t="str">
        <x:f>IF(AND(J37&gt;0,L37&lt;=0),"Missing replacement cost",IF(I37&gt;H37,"Usage exceeds stock",""))</x:f>
      </x:c>
    </x:row>
    <x:row r="38">
      <x:c r="A38" t="s">
        <x:v>15</x:v>
      </x:c>
      <x:c r="B38">
        <x:v>10</x:v>
      </x:c>
      <x:c r="C38" t="s">
        <x:v>64</x:v>
      </x:c>
      <x:c r="D38" t="s">
        <x:v>69</x:v>
      </x:c>
      <x:c r="E38">
        <x:v>15.17</x:v>
      </x:c>
      <x:c r="F38">
        <x:v>103</x:v>
      </x:c>
      <x:c r="G38" s="22" t="n">
        <x:f>SUMIFS('Receipts to be received in'!$P$2:$P$53,'Receipts to be received in'!$B$2:$B$53,B38,'Receipts to be received in'!$C$2:$C$53,D38)</x:f>
        <x:v>0</x:v>
      </x:c>
      <x:c r="H38" s="23" t="n">
        <x:f>F38+G38</x:f>
        <x:v>103</x:v>
      </x:c>
      <x:c r="I38" s="22" t="n">
        <x:f>E38*'Receipts to be received in'!$R$7*'Receipts to be received in'!$R$10</x:f>
        <x:v>26.41511293634497</x:v>
      </x:c>
      <x:c r="J38" s="23" t="n">
        <x:f>MAX(0,H38-I38)</x:f>
        <x:v>76.58488706365503</x:v>
      </x:c>
      <x:c r="K38">
        <x:v>72</x:v>
      </x:c>
      <x:c r="L38">
        <x:v>13.66</x:v>
      </x:c>
      <x:c r="M38" s="1">
        <x:v>46133</x:v>
      </x:c>
      <x:c r="N38">
        <x:v>11.38</x:v>
      </x:c>
      <x:c r="O38" s="3">
        <x:v>46027</x:v>
      </x:c>
      <x:c r="P38" s="3">
        <x:v>46252</x:v>
      </x:c>
      <x:c r="Q38" s="2">
        <x:v>-0.16689999999999999</x:v>
      </x:c>
      <x:c r="R38">
        <x:v>11.5359261700725</x:v>
      </x:c>
      <x:c r="S38">
        <x:v>6.7897165458141</x:v>
      </x:c>
      <x:c r="T38">
        <x:v>234.83999999999901</x:v>
      </x:c>
      <x:c r="U38">
        <x:v>164.159999999999</x:v>
      </x:c>
      <x:c r="V38">
        <x:v>1172.1400000000001</x:v>
      </x:c>
      <x:c r="W38">
        <x:v>1406.98</x:v>
      </x:c>
      <x:c r="X38">
        <x:v>245.25</x:v>
      </x:c>
      <x:c r="Y38" s="31" t="n">
        <x:f>J38*N38</x:f>
        <x:v>871.5360147843943</x:v>
      </x:c>
      <x:c r="Z38" s="31" t="n">
        <x:f>IF(J38=0,0,IF(L38&gt;0,J38*L38,"n.a."))</x:f>
        <x:v>1046.1495572895278</x:v>
      </x:c>
      <x:c r="AA38" s="31" t="n">
        <x:f>IF(J38=0,0,IF(ISNUMBER(Z38),Z38-Y38,"n.a."))</x:f>
        <x:v>174.61354250513352</x:v>
      </x:c>
      <x:c r="AB38" s="32" t="n">
        <x:f>IF(AND(J38&gt;0,L38&gt;0,N38&gt;0),L38/N38-1,"n.a.")</x:f>
        <x:v>0.20035149384885753</x:v>
      </x:c>
      <x:c r="AC38" s="18" t="str">
        <x:f>IF(AND(J38&gt;0,L38&lt;=0),"Missing replacement cost",IF(I38&gt;H38,"Usage exceeds stock",""))</x:f>
      </x:c>
    </x:row>
    <x:row r="39">
      <x:c r="A39" t="s">
        <x:v>15</x:v>
      </x:c>
      <x:c r="B39">
        <x:v>30</x:v>
      </x:c>
      <x:c r="C39" t="s">
        <x:v>64</x:v>
      </x:c>
      <x:c r="D39" t="s">
        <x:v>38</x:v>
      </x:c>
      <x:c r="E39">
        <x:v>14.67</x:v>
      </x:c>
      <x:c r="F39">
        <x:v>158</x:v>
      </x:c>
      <x:c r="G39" s="22" t="n">
        <x:f>SUMIFS('Receipts to be received in'!$P$2:$P$53,'Receipts to be received in'!$B$2:$B$53,B39,'Receipts to be received in'!$C$2:$C$53,D39)</x:f>
        <x:v>120</x:v>
      </x:c>
      <x:c r="H39" s="23" t="n">
        <x:f>F39+G39</x:f>
        <x:v>278</x:v>
      </x:c>
      <x:c r="I39" s="22" t="n">
        <x:f>E39*'Receipts to be received in'!$R$7*'Receipts to be received in'!$R$10</x:f>
        <x:v>25.544476386036962</x:v>
      </x:c>
      <x:c r="J39" s="23" t="n">
        <x:f>MAX(0,H39-I39)</x:f>
        <x:v>252.45552361396304</x:v>
      </x:c>
      <x:c r="K39">
        <x:v>120</x:v>
      </x:c>
      <x:c r="L39">
        <x:v>49.05</x:v>
      </x:c>
      <x:c r="M39" s="1">
        <x:v>46134</x:v>
      </x:c>
      <x:c r="N39">
        <x:v>40.880000000000003</x:v>
      </x:c>
      <x:c r="O39" s="3">
        <x:v>46027</x:v>
      </x:c>
      <x:c r="P39" s="3">
        <x:v>46036</x:v>
      </x:c>
      <x:c r="Q39" s="2">
        <x:v>-0.1666</x:v>
      </x:c>
      <x:c r="R39">
        <x:v>18.9502385821404</x:v>
      </x:c>
      <x:c r="S39">
        <x:v>10.7702794819359</x:v>
      </x:c>
      <x:c r="T39">
        <x:v>1290.8599999999899</x:v>
      </x:c>
      <x:c r="U39">
        <x:v>980.39999999999895</x:v>
      </x:c>
      <x:c r="V39">
        <x:v>6459.04</x:v>
      </x:c>
      <x:c r="W39">
        <x:v>7749.9</x:v>
      </x:c>
      <x:c r="X39">
        <x:v>904.98</x:v>
      </x:c>
      <x:c r="Y39" s="31" t="n">
        <x:f>J39*N39</x:f>
        <x:v>10320.38180533881</x:v>
      </x:c>
      <x:c r="Z39" s="31" t="n">
        <x:f>IF(J39=0,0,IF(L39&gt;0,J39*L39,"n.a."))</x:f>
        <x:v>12382.943433264887</x:v>
      </x:c>
      <x:c r="AA39" s="31" t="n">
        <x:f>IF(J39=0,0,IF(ISNUMBER(Z39),Z39-Y39,"n.a."))</x:f>
        <x:v>2062.5616279260776</x:v>
      </x:c>
      <x:c r="AB39" s="32" t="n">
        <x:f>IF(AND(J39&gt;0,L39&gt;0,N39&gt;0),L39/N39-1,"n.a.")</x:f>
        <x:v>0.19985322896281787</x:v>
      </x:c>
      <x:c r="AC39" s="18" t="str">
        <x:f>IF(AND(J39&gt;0,L39&lt;=0),"Missing replacement cost",IF(I39&gt;H39,"Usage exceeds stock",""))</x:f>
      </x:c>
    </x:row>
    <x:row r="40">
      <x:c r="A40" t="s">
        <x:v>15</x:v>
      </x:c>
      <x:c r="B40">
        <x:v>10</x:v>
      </x:c>
      <x:c r="C40" t="s">
        <x:v>64</x:v>
      </x:c>
      <x:c r="D40" t="s">
        <x:v>35</x:v>
      </x:c>
      <x:c r="E40">
        <x:v>14.5</x:v>
      </x:c>
      <x:c r="F40">
        <x:v>307</x:v>
      </x:c>
      <x:c r="G40" s="22" t="n">
        <x:f>SUMIFS('Receipts to be received in'!$P$2:$P$53,'Receipts to be received in'!$B$2:$B$53,B40,'Receipts to be received in'!$C$2:$C$53,D40)</x:f>
        <x:v>0</x:v>
      </x:c>
      <x:c r="H40" s="23" t="n">
        <x:f>F40+G40</x:f>
        <x:v>307</x:v>
      </x:c>
      <x:c r="I40" s="22" t="n">
        <x:f>E40*'Receipts to be received in'!$R$7*'Receipts to be received in'!$R$10</x:f>
        <x:v>25.248459958932237</x:v>
      </x:c>
      <x:c r="J40" s="23" t="n">
        <x:f>MAX(0,H40-I40)</x:f>
        <x:v>281.75154004106776</x:v>
      </x:c>
      <x:c r="K40">
        <x:v>0</x:v>
      </x:c>
      <x:c r="L40">
        <x:v>11.66</x:v>
      </x:c>
      <x:c r="M40" s="1">
        <x:v>46133</x:v>
      </x:c>
      <x:c r="N40">
        <x:v>9.7200000000000006</x:v>
      </x:c>
      <x:c r="O40" s="3">
        <x:v>46027</x:v>
      </x:c>
      <x:c r="P40" s="3">
        <x:v>46231</x:v>
      </x:c>
      <x:c r="Q40" s="2">
        <x:v>-0.16639999999999999</x:v>
      </x:c>
      <x:c r="R40">
        <x:v>21.172413793103399</x:v>
      </x:c>
      <x:c r="S40">
        <x:v>21.172413793103399</x:v>
      </x:c>
      <x:c r="T40">
        <x:v>595.57999999999902</x:v>
      </x:c>
      <x:c r="U40">
        <x:v>0</x:v>
      </x:c>
      <x:c r="V40">
        <x:v>2984.04</x:v>
      </x:c>
      <x:c r="W40">
        <x:v>3579.62</x:v>
      </x:c>
      <x:c r="X40">
        <x:v>254.28</x:v>
      </x:c>
      <x:c r="Y40" s="31" t="n">
        <x:f>J40*N40</x:f>
        <x:v>2738.624969199179</x:v>
      </x:c>
      <x:c r="Z40" s="31" t="n">
        <x:f>IF(J40=0,0,IF(L40&gt;0,J40*L40,"n.a."))</x:f>
        <x:v>3285.2229568788503</x:v>
      </x:c>
      <x:c r="AA40" s="31" t="n">
        <x:f>IF(J40=0,0,IF(ISNUMBER(Z40),Z40-Y40,"n.a."))</x:f>
        <x:v>546.5979876796714</x:v>
      </x:c>
      <x:c r="AB40" s="32" t="n">
        <x:f>IF(AND(J40&gt;0,L40&gt;0,N40&gt;0),L40/N40-1,"n.a.")</x:f>
        <x:v>0.19958847736625507</x:v>
      </x:c>
      <x:c r="AC40" s="18" t="str">
        <x:f>IF(AND(J40&gt;0,L40&lt;=0),"Missing replacement cost",IF(I40&gt;H40,"Usage exceeds stock",""))</x:f>
      </x:c>
    </x:row>
    <x:row r="41">
      <x:c r="A41" t="s">
        <x:v>15</x:v>
      </x:c>
      <x:c r="B41">
        <x:v>60</x:v>
      </x:c>
      <x:c r="C41" t="s">
        <x:v>64</x:v>
      </x:c>
      <x:c r="D41" t="s">
        <x:v>28</x:v>
      </x:c>
      <x:c r="E41">
        <x:v>14.17</x:v>
      </x:c>
      <x:c r="F41">
        <x:v>53</x:v>
      </x:c>
      <x:c r="G41" s="22" t="n">
        <x:f>SUMIFS('Receipts to be received in'!$P$2:$P$53,'Receipts to be received in'!$B$2:$B$53,B41,'Receipts to be received in'!$C$2:$C$53,D41)</x:f>
        <x:v>0</x:v>
      </x:c>
      <x:c r="H41" s="23" t="n">
        <x:f>F41+G41</x:f>
        <x:v>53</x:v>
      </x:c>
      <x:c r="I41" s="22" t="n">
        <x:f>E41*'Receipts to be received in'!$R$7*'Receipts to be received in'!$R$10</x:f>
        <x:v>24.673839835728952</x:v>
      </x:c>
      <x:c r="J41" s="23" t="n">
        <x:f>MAX(0,H41-I41)</x:f>
        <x:v>28.326160164271048</x:v>
      </x:c>
      <x:c r="K41">
        <x:v>159</x:v>
      </x:c>
      <x:c r="L41">
        <x:v>12.21</x:v>
      </x:c>
      <x:c r="M41" s="1">
        <x:v>46134</x:v>
      </x:c>
      <x:c r="N41">
        <x:v>10.17</x:v>
      </x:c>
      <x:c r="O41" s="3">
        <x:v>46027</x:v>
      </x:c>
      <x:c r="P41" s="3">
        <x:v>46104</x:v>
      </x:c>
      <x:c r="Q41" s="2">
        <x:v>-0.1671</x:v>
      </x:c>
      <x:c r="R41">
        <x:v>14.961185603387399</x:v>
      </x:c>
      <x:c r="S41">
        <x:v>3.7402964008468498</x:v>
      </x:c>
      <x:c r="T41">
        <x:v>108.12</x:v>
      </x:c>
      <x:c r="U41">
        <x:v>324.36</x:v>
      </x:c>
      <x:c r="V41">
        <x:v>539.01</x:v>
      </x:c>
      <x:c r="W41">
        <x:v>647.13</x:v>
      </x:c>
      <x:c r="X41">
        <x:v>227.93</x:v>
      </x:c>
      <x:c r="Y41" s="31" t="n">
        <x:f>J41*N41</x:f>
        <x:v>288.07704887063653</x:v>
      </x:c>
      <x:c r="Z41" s="31" t="n">
        <x:f>IF(J41=0,0,IF(L41&gt;0,J41*L41,"n.a."))</x:f>
        <x:v>345.8624156057495</x:v>
      </x:c>
      <x:c r="AA41" s="31" t="n">
        <x:f>IF(J41=0,0,IF(ISNUMBER(Z41),Z41-Y41,"n.a."))</x:f>
        <x:v>57.78536673511297</x:v>
      </x:c>
      <x:c r="AB41" s="32" t="n">
        <x:f>IF(AND(J41&gt;0,L41&gt;0,N41&gt;0),L41/N41-1,"n.a.")</x:f>
        <x:v>0.2005899705014751</x:v>
      </x:c>
      <x:c r="AC41" s="18" t="str">
        <x:f>IF(AND(J41&gt;0,L41&lt;=0),"Missing replacement cost",IF(I41&gt;H41,"Usage exceeds stock",""))</x:f>
      </x:c>
    </x:row>
    <x:row r="42">
      <x:c r="A42" t="s">
        <x:v>15</x:v>
      </x:c>
      <x:c r="B42">
        <x:v>10</x:v>
      </x:c>
      <x:c r="C42" t="s">
        <x:v>64</x:v>
      </x:c>
      <x:c r="D42" t="s">
        <x:v>31</x:v>
      </x:c>
      <x:c r="E42">
        <x:v>14</x:v>
      </x:c>
      <x:c r="F42">
        <x:v>96</x:v>
      </x:c>
      <x:c r="G42" s="22" t="n">
        <x:f>SUMIFS('Receipts to be received in'!$P$2:$P$53,'Receipts to be received in'!$B$2:$B$53,B42,'Receipts to be received in'!$C$2:$C$53,D42)</x:f>
        <x:v>120</x:v>
      </x:c>
      <x:c r="H42" s="23" t="n">
        <x:f>F42+G42</x:f>
        <x:v>216</x:v>
      </x:c>
      <x:c r="I42" s="22" t="n">
        <x:f>E42*'Receipts to be received in'!$R$7*'Receipts to be received in'!$R$10</x:f>
        <x:v>24.37782340862423</x:v>
      </x:c>
      <x:c r="J42" s="23" t="n">
        <x:f>MAX(0,H42-I42)</x:f>
        <x:v>191.62217659137576</x:v>
      </x:c>
      <x:c r="K42">
        <x:v>120</x:v>
      </x:c>
      <x:c r="L42">
        <x:v>9.7200000000000006</x:v>
      </x:c>
      <x:c r="M42" s="1">
        <x:v>46133</x:v>
      </x:c>
      <x:c r="N42">
        <x:v>8.1</x:v>
      </x:c>
      <x:c r="O42" s="3">
        <x:v>46027</x:v>
      </x:c>
      <x:c r="P42" s="3">
        <x:v>46189</x:v>
      </x:c>
      <x:c r="Q42" s="2">
        <x:v>-0.16669999999999999</x:v>
      </x:c>
      <x:c r="R42">
        <x:v>15.4285714285714</x:v>
      </x:c>
      <x:c r="S42">
        <x:v>6.8571428571428497</x:v>
      </x:c>
      <x:c r="T42">
        <x:v>155.52000000000001</x:v>
      </x:c>
      <x:c r="U42">
        <x:v>194.4</x:v>
      </x:c>
      <x:c r="V42">
        <x:v>777.599999999999</x:v>
      </x:c>
      <x:c r="W42">
        <x:v>933.12</x:v>
      </x:c>
      <x:c r="X42">
        <x:v>166.33</x:v>
      </x:c>
      <x:c r="Y42" s="31" t="n">
        <x:f>J42*N42</x:f>
        <x:v>1552.1396303901436</x:v>
      </x:c>
      <x:c r="Z42" s="31" t="n">
        <x:f>IF(J42=0,0,IF(L42&gt;0,J42*L42,"n.a."))</x:f>
        <x:v>1862.5675564681726</x:v>
      </x:c>
      <x:c r="AA42" s="31" t="n">
        <x:f>IF(J42=0,0,IF(ISNUMBER(Z42),Z42-Y42,"n.a."))</x:f>
        <x:v>310.42792607802903</x:v>
      </x:c>
      <x:c r="AB42" s="32" t="n">
        <x:f>IF(AND(J42&gt;0,L42&gt;0,N42&gt;0),L42/N42-1,"n.a.")</x:f>
        <x:v>0.20000000000000018</x:v>
      </x:c>
      <x:c r="AC42" s="18" t="str">
        <x:f>IF(AND(J42&gt;0,L42&lt;=0),"Missing replacement cost",IF(I42&gt;H42,"Usage exceeds stock",""))</x:f>
      </x:c>
    </x:row>
    <x:row r="43">
      <x:c r="A43" t="s">
        <x:v>15</x:v>
      </x:c>
      <x:c r="B43">
        <x:v>10</x:v>
      </x:c>
      <x:c r="C43" t="s">
        <x:v>64</x:v>
      </x:c>
      <x:c r="D43" t="s">
        <x:v>30</x:v>
      </x:c>
      <x:c r="E43">
        <x:v>13.33</x:v>
      </x:c>
      <x:c r="F43">
        <x:v>1</x:v>
      </x:c>
      <x:c r="G43" s="22" t="n">
        <x:f>SUMIFS('Receipts to be received in'!$P$2:$P$53,'Receipts to be received in'!$B$2:$B$53,B43,'Receipts to be received in'!$C$2:$C$53,D43)</x:f>
        <x:v>72</x:v>
      </x:c>
      <x:c r="H43" s="23" t="n">
        <x:f>F43+G43</x:f>
        <x:v>73</x:v>
      </x:c>
      <x:c r="I43" s="22" t="n">
        <x:f>E43*'Receipts to be received in'!$R$7*'Receipts to be received in'!$R$10</x:f>
        <x:v>23.2111704312115</x:v>
      </x:c>
      <x:c r="J43" s="23" t="n">
        <x:f>MAX(0,H43-I43)</x:f>
        <x:v>49.7888295687885</x:v>
      </x:c>
      <x:c r="K43">
        <x:v>144</x:v>
      </x:c>
      <x:c r="L43">
        <x:v>28.44</x:v>
      </x:c>
      <x:c r="M43" s="1">
        <x:v>46133</x:v>
      </x:c>
      <x:c r="N43">
        <x:v>23.7</x:v>
      </x:c>
      <x:c r="O43" s="3">
        <x:v>46027</x:v>
      </x:c>
      <x:c r="P43" s="3">
        <x:v>46189</x:v>
      </x:c>
      <x:c r="Q43" s="2">
        <x:v>-0.16669999999999999</x:v>
      </x:c>
      <x:c r="R43">
        <x:v>10.8777194298574</x:v>
      </x:c>
      <x:c r="S43">
        <x:v>7.5018754688672099E-2</x:v>
      </x:c>
      <x:c r="T43">
        <x:v>4.74</x:v>
      </x:c>
      <x:c r="U43">
        <x:v>682.56</x:v>
      </x:c>
      <x:c r="V43">
        <x:v>23.7</x:v>
      </x:c>
      <x:c r="W43">
        <x:v>28.44</x:v>
      </x:c>
      <x:c r="X43">
        <x:v>510.71</x:v>
      </x:c>
      <x:c r="Y43" s="31" t="n">
        <x:f>J43*N43</x:f>
        <x:v>1179.9952607802875</x:v>
      </x:c>
      <x:c r="Z43" s="31" t="n">
        <x:f>IF(J43=0,0,IF(L43&gt;0,J43*L43,"n.a."))</x:f>
        <x:v>1415.994312936345</x:v>
      </x:c>
      <x:c r="AA43" s="31" t="n">
        <x:f>IF(J43=0,0,IF(ISNUMBER(Z43),Z43-Y43,"n.a."))</x:f>
        <x:v>235.9990521560576</x:v>
      </x:c>
      <x:c r="AB43" s="32" t="n">
        <x:f>IF(AND(J43&gt;0,L43&gt;0,N43&gt;0),L43/N43-1,"n.a.")</x:f>
        <x:v>0.20000000000000018</x:v>
      </x:c>
      <x:c r="AC43" s="18" t="str">
        <x:f>IF(AND(J43&gt;0,L43&lt;=0),"Missing replacement cost",IF(I43&gt;H43,"Usage exceeds stock",""))</x:f>
      </x:c>
    </x:row>
    <x:row r="44">
      <x:c r="A44" t="s">
        <x:v>15</x:v>
      </x:c>
      <x:c r="B44">
        <x:v>30</x:v>
      </x:c>
      <x:c r="C44" t="s">
        <x:v>64</x:v>
      </x:c>
      <x:c r="D44" t="s">
        <x:v>27</x:v>
      </x:c>
      <x:c r="E44">
        <x:v>12.33</x:v>
      </x:c>
      <x:c r="F44">
        <x:v>56</x:v>
      </x:c>
      <x:c r="G44" s="22" t="n">
        <x:f>SUMIFS('Receipts to be received in'!$P$2:$P$53,'Receipts to be received in'!$B$2:$B$53,B44,'Receipts to be received in'!$C$2:$C$53,D44)</x:f>
        <x:v>25</x:v>
      </x:c>
      <x:c r="H44" s="23" t="n">
        <x:f>F44+G44</x:f>
        <x:v>81</x:v>
      </x:c>
      <x:c r="I44" s="22" t="n">
        <x:f>E44*'Receipts to be received in'!$R$7*'Receipts to be received in'!$R$10</x:f>
        <x:v>21.469897330595483</x:v>
      </x:c>
      <x:c r="J44" s="23" t="n">
        <x:f>MAX(0,H44-I44)</x:f>
        <x:v>59.53010266940451</x:v>
      </x:c>
      <x:c r="K44">
        <x:v>25</x:v>
      </x:c>
      <x:c r="L44">
        <x:v>38.67</x:v>
      </x:c>
      <x:c r="M44" s="1">
        <x:v>46134</x:v>
      </x:c>
      <x:c r="N44">
        <x:v>32.19</x:v>
      </x:c>
      <x:c r="O44" s="3">
        <x:v>46027</x:v>
      </x:c>
      <x:c r="P44" s="3">
        <x:v>46224</x:v>
      </x:c>
      <x:c r="Q44" s="2">
        <x:v>-0.1676</x:v>
      </x:c>
      <x:c r="R44">
        <x:v>6.5693430656934302</x:v>
      </x:c>
      <x:c r="S44">
        <x:v>4.5417680454176796</x:v>
      </x:c>
      <x:c r="T44">
        <x:v>369.36</x:v>
      </x:c>
      <x:c r="U44">
        <x:v>162</x:v>
      </x:c>
      <x:c r="V44">
        <x:v>1834.83</x:v>
      </x:c>
      <x:c r="W44">
        <x:v>2204.19</x:v>
      </x:c>
      <x:c r="X44">
        <x:v>720.75</x:v>
      </x:c>
      <x:c r="Y44" s="31" t="n">
        <x:f>J44*N44</x:f>
        <x:v>1916.2740049281313</x:v>
      </x:c>
      <x:c r="Z44" s="31" t="n">
        <x:f>IF(J44=0,0,IF(L44&gt;0,J44*L44,"n.a."))</x:f>
        <x:v>2302.0290702258726</x:v>
      </x:c>
      <x:c r="AA44" s="31" t="n">
        <x:f>IF(J44=0,0,IF(ISNUMBER(Z44),Z44-Y44,"n.a."))</x:f>
        <x:v>385.75506529774134</x:v>
      </x:c>
      <x:c r="AB44" s="32" t="n">
        <x:f>IF(AND(J44&gt;0,L44&gt;0,N44&gt;0),L44/N44-1,"n.a.")</x:f>
        <x:v>0.20130475302889117</x:v>
      </x:c>
      <x:c r="AC44" s="18" t="str">
        <x:f>IF(AND(J44&gt;0,L44&lt;=0),"Missing replacement cost",IF(I44&gt;H44,"Usage exceeds stock",""))</x:f>
      </x:c>
    </x:row>
    <x:row r="45">
      <x:c r="A45" t="s">
        <x:v>15</x:v>
      </x:c>
      <x:c r="B45">
        <x:v>30</x:v>
      </x:c>
      <x:c r="C45" t="s">
        <x:v>64</x:v>
      </x:c>
      <x:c r="D45" t="s">
        <x:v>36</x:v>
      </x:c>
      <x:c r="E45">
        <x:v>12.17</x:v>
      </x:c>
      <x:c r="F45">
        <x:v>8</x:v>
      </x:c>
      <x:c r="G45" s="22" t="n">
        <x:f>SUMIFS('Receipts to be received in'!$P$2:$P$53,'Receipts to be received in'!$B$2:$B$53,B45,'Receipts to be received in'!$C$2:$C$53,D45)</x:f>
        <x:v>128</x:v>
      </x:c>
      <x:c r="H45" s="23" t="n">
        <x:f>F45+G45</x:f>
        <x:v>136</x:v>
      </x:c>
      <x:c r="I45" s="22" t="n">
        <x:f>E45*'Receipts to be received in'!$R$7*'Receipts to be received in'!$R$10</x:f>
        <x:v>21.19129363449692</x:v>
      </x:c>
      <x:c r="J45" s="23" t="n">
        <x:f>MAX(0,H45-I45)</x:f>
        <x:v>114.80870636550308</x:v>
      </x:c>
      <x:c r="K45">
        <x:v>128</x:v>
      </x:c>
      <x:c r="L45">
        <x:v>16.2</x:v>
      </x:c>
      <x:c r="M45" s="1">
        <x:v>46133</x:v>
      </x:c>
      <x:c r="N45">
        <x:v>13.5</x:v>
      </x:c>
      <x:c r="O45" s="3">
        <x:v>46027</x:v>
      </x:c>
      <x:c r="P45" s="3">
        <x:v>45965</x:v>
      </x:c>
      <x:c r="Q45" s="2">
        <x:v>-0.16669999999999999</x:v>
      </x:c>
      <x:c r="R45">
        <x:v>11.1750205423171</x:v>
      </x:c>
      <x:c r="S45">
        <x:v>0.65735414954806903</x:v>
      </x:c>
      <x:c r="T45">
        <x:v>21.599999999999898</x:v>
      </x:c>
      <x:c r="U45">
        <x:v>345.599999999999</x:v>
      </x:c>
      <x:c r="V45">
        <x:v>108</x:v>
      </x:c>
      <x:c r="W45">
        <x:v>129.6</x:v>
      </x:c>
      <x:c r="X45">
        <x:v>353.42</x:v>
      </x:c>
      <x:c r="Y45" s="31" t="n">
        <x:f>J45*N45</x:f>
        <x:v>1549.9175359342917</x:v>
      </x:c>
      <x:c r="Z45" s="31" t="n">
        <x:f>IF(J45=0,0,IF(L45&gt;0,J45*L45,"n.a."))</x:f>
        <x:v>1859.90104312115</x:v>
      </x:c>
      <x:c r="AA45" s="31" t="n">
        <x:f>IF(J45=0,0,IF(ISNUMBER(Z45),Z45-Y45,"n.a."))</x:f>
        <x:v>309.98350718685833</x:v>
      </x:c>
      <x:c r="AB45" s="32" t="n">
        <x:f>IF(AND(J45&gt;0,L45&gt;0,N45&gt;0),L45/N45-1,"n.a.")</x:f>
        <x:v>0.19999999999999996</x:v>
      </x:c>
      <x:c r="AC45" s="18" t="str">
        <x:f>IF(AND(J45&gt;0,L45&lt;=0),"Missing replacement cost",IF(I45&gt;H45,"Usage exceeds stock",""))</x:f>
      </x:c>
    </x:row>
    <x:row r="46">
      <x:c r="A46" t="s">
        <x:v>15</x:v>
      </x:c>
      <x:c r="B46">
        <x:v>10</x:v>
      </x:c>
      <x:c r="C46" t="s">
        <x:v>64</x:v>
      </x:c>
      <x:c r="D46" t="s">
        <x:v>70</x:v>
      </x:c>
      <x:c r="E46">
        <x:v>12</x:v>
      </x:c>
      <x:c r="F46">
        <x:v>88</x:v>
      </x:c>
      <x:c r="G46" s="22" t="n">
        <x:f>SUMIFS('Receipts to be received in'!$P$2:$P$53,'Receipts to be received in'!$B$2:$B$53,B46,'Receipts to be received in'!$C$2:$C$53,D46)</x:f>
        <x:v>0</x:v>
      </x:c>
      <x:c r="H46" s="23" t="n">
        <x:f>F46+G46</x:f>
        <x:v>88</x:v>
      </x:c>
      <x:c r="I46" s="22" t="n">
        <x:f>E46*'Receipts to be received in'!$R$7*'Receipts to be received in'!$R$10</x:f>
        <x:v>20.895277207392198</x:v>
      </x:c>
      <x:c r="J46" s="23" t="n">
        <x:f>MAX(0,H46-I46)</x:f>
        <x:v>67.1047227926078</x:v>
      </x:c>
      <x:c r="K46">
        <x:v>0</x:v>
      </x:c>
      <x:c r="L46">
        <x:v>30.72</x:v>
      </x:c>
      <x:c r="M46" s="1">
        <x:v>46133</x:v>
      </x:c>
      <x:c r="N46">
        <x:v>25.6</x:v>
      </x:c>
      <x:c r="O46" s="3">
        <x:v>46027</x:v>
      </x:c>
      <x:c r="P46" s="3">
        <x:v>46231</x:v>
      </x:c>
      <x:c r="Q46" s="2">
        <x:v>-0.16669999999999999</x:v>
      </x:c>
      <x:c r="R46">
        <x:v>7.3333333333333304</x:v>
      </x:c>
      <x:c r="S46">
        <x:v>7.3333333333333304</x:v>
      </x:c>
      <x:c r="T46">
        <x:v>450.55999999999898</x:v>
      </x:c>
      <x:c r="U46">
        <x:v>0</x:v>
      </x:c>
      <x:c r="V46">
        <x:v>2252.8000000000002</x:v>
      </x:c>
      <x:c r="W46">
        <x:v>2703.3599999999901</x:v>
      </x:c>
      <x:c r="X46">
        <x:v>551.85</x:v>
      </x:c>
      <x:c r="Y46" s="31" t="n">
        <x:f>J46*N46</x:f>
        <x:v>1717.88090349076</x:v>
      </x:c>
      <x:c r="Z46" s="31" t="n">
        <x:f>IF(J46=0,0,IF(L46&gt;0,J46*L46,"n.a."))</x:f>
        <x:v>2061.4570841889117</x:v>
      </x:c>
      <x:c r="AA46" s="31" t="n">
        <x:f>IF(J46=0,0,IF(ISNUMBER(Z46),Z46-Y46,"n.a."))</x:f>
        <x:v>343.5761806981518</x:v>
      </x:c>
      <x:c r="AB46" s="32" t="n">
        <x:f>IF(AND(J46&gt;0,L46&gt;0,N46&gt;0),L46/N46-1,"n.a.")</x:f>
        <x:v>0.19999999999999996</x:v>
      </x:c>
      <x:c r="AC46" s="18" t="str">
        <x:f>IF(AND(J46&gt;0,L46&lt;=0),"Missing replacement cost",IF(I46&gt;H46,"Usage exceeds stock",""))</x:f>
      </x:c>
    </x:row>
    <x:row r="47">
      <x:c r="A47" t="s">
        <x:v>15</x:v>
      </x:c>
      <x:c r="B47">
        <x:v>30</x:v>
      </x:c>
      <x:c r="C47" t="s">
        <x:v>64</x:v>
      </x:c>
      <x:c r="D47" t="s">
        <x:v>23</x:v>
      </x:c>
      <x:c r="E47">
        <x:v>11.33</x:v>
      </x:c>
      <x:c r="F47">
        <x:v>44</x:v>
      </x:c>
      <x:c r="G47" s="22" t="n">
        <x:f>SUMIFS('Receipts to be received in'!$P$2:$P$53,'Receipts to be received in'!$B$2:$B$53,B47,'Receipts to be received in'!$C$2:$C$53,D47)</x:f>
        <x:v>0</x:v>
      </x:c>
      <x:c r="H47" s="23" t="n">
        <x:f>F47+G47</x:f>
        <x:v>44</x:v>
      </x:c>
      <x:c r="I47" s="22" t="n">
        <x:f>E47*'Receipts to be received in'!$R$7*'Receipts to be received in'!$R$10</x:f>
        <x:v>19.728624229979467</x:v>
      </x:c>
      <x:c r="J47" s="23" t="n">
        <x:f>MAX(0,H47-I47)</x:f>
        <x:v>24.271375770020533</x:v>
      </x:c>
      <x:c r="K47">
        <x:v>20</x:v>
      </x:c>
      <x:c r="L47">
        <x:v>23.35</x:v>
      </x:c>
      <x:c r="M47" s="1">
        <x:v>46134</x:v>
      </x:c>
      <x:c r="N47">
        <x:v>19.350000000000001</x:v>
      </x:c>
      <x:c r="O47" s="3">
        <x:v>46027</x:v>
      </x:c>
      <x:c r="P47" s="3">
        <x:v>45894</x:v>
      </x:c>
      <x:c r="Q47" s="2">
        <x:v>-0.17130000000000001</x:v>
      </x:c>
      <x:c r="R47">
        <x:v>5.6487202118270003</x:v>
      </x:c>
      <x:c r="S47">
        <x:v>3.88349514563106</x:v>
      </x:c>
      <x:c r="T47">
        <x:v>176</x:v>
      </x:c>
      <x:c r="U47">
        <x:v>80</x:v>
      </x:c>
      <x:c r="V47">
        <x:v>851.4</x:v>
      </x:c>
      <x:c r="W47">
        <x:v>1027.4000000000001</x:v>
      </x:c>
      <x:c r="X47">
        <x:v>620.92999999999995</x:v>
      </x:c>
      <x:c r="Y47" s="31" t="n">
        <x:f>J47*N47</x:f>
        <x:v>469.65112114989734</x:v>
      </x:c>
      <x:c r="Z47" s="31" t="n">
        <x:f>IF(J47=0,0,IF(L47&gt;0,J47*L47,"n.a."))</x:f>
        <x:v>566.7366242299795</x:v>
      </x:c>
      <x:c r="AA47" s="31" t="n">
        <x:f>IF(J47=0,0,IF(ISNUMBER(Z47),Z47-Y47,"n.a."))</x:f>
        <x:v>97.08550308008216</x:v>
      </x:c>
      <x:c r="AB47" s="32" t="n">
        <x:f>IF(AND(J47&gt;0,L47&gt;0,N47&gt;0),L47/N47-1,"n.a.")</x:f>
        <x:v>0.20671834625323005</x:v>
      </x:c>
      <x:c r="AC47" s="18" t="str">
        <x:f>IF(AND(J47&gt;0,L47&lt;=0),"Missing replacement cost",IF(I47&gt;H47,"Usage exceeds stock",""))</x:f>
      </x:c>
    </x:row>
    <x:row r="48">
      <x:c r="A48" t="s">
        <x:v>15</x:v>
      </x:c>
      <x:c r="B48">
        <x:v>60</x:v>
      </x:c>
      <x:c r="C48" t="s">
        <x:v>64</x:v>
      </x:c>
      <x:c r="D48" t="s">
        <x:v>30</x:v>
      </x:c>
      <x:c r="E48">
        <x:v>11.33</x:v>
      </x:c>
      <x:c r="F48">
        <x:v>55</x:v>
      </x:c>
      <x:c r="G48" s="22" t="n">
        <x:f>SUMIFS('Receipts to be received in'!$P$2:$P$53,'Receipts to be received in'!$B$2:$B$53,B48,'Receipts to be received in'!$C$2:$C$53,D48)</x:f>
        <x:v>0</x:v>
      </x:c>
      <x:c r="H48" s="23" t="n">
        <x:f>F48+G48</x:f>
        <x:v>55</x:v>
      </x:c>
      <x:c r="I48" s="22" t="n">
        <x:f>E48*'Receipts to be received in'!$R$7*'Receipts to be received in'!$R$10</x:f>
        <x:v>19.728624229979467</x:v>
      </x:c>
      <x:c r="J48" s="23" t="n">
        <x:f>MAX(0,H48-I48)</x:f>
        <x:v>35.27137577002053</x:v>
      </x:c>
      <x:c r="K48">
        <x:v>72</x:v>
      </x:c>
      <x:c r="L48">
        <x:v>28.44</x:v>
      </x:c>
      <x:c r="M48" s="1">
        <x:v>46133</x:v>
      </x:c>
      <x:c r="N48">
        <x:v>23.7</x:v>
      </x:c>
      <x:c r="O48" s="3">
        <x:v>46027</x:v>
      </x:c>
      <x:c r="P48" s="3">
        <x:v>46244</x:v>
      </x:c>
      <x:c r="Q48" s="2">
        <x:v>-0.16669999999999999</x:v>
      </x:c>
      <x:c r="R48">
        <x:v>11.2091791703442</x:v>
      </x:c>
      <x:c r="S48">
        <x:v>4.8543689320388301</x:v>
      </x:c>
      <x:c r="T48">
        <x:v>260.7</x:v>
      </x:c>
      <x:c r="U48">
        <x:v>341.28</x:v>
      </x:c>
      <x:c r="V48">
        <x:v>1303.5</x:v>
      </x:c>
      <x:c r="W48">
        <x:v>1564.2</x:v>
      </x:c>
      <x:c r="X48">
        <x:v>510.71</x:v>
      </x:c>
      <x:c r="Y48" s="31" t="n">
        <x:f>J48*N48</x:f>
        <x:v>835.9316057494866</x:v>
      </x:c>
      <x:c r="Z48" s="31" t="n">
        <x:f>IF(J48=0,0,IF(L48&gt;0,J48*L48,"n.a."))</x:f>
        <x:v>1003.117926899384</x:v>
      </x:c>
      <x:c r="AA48" s="31" t="n">
        <x:f>IF(J48=0,0,IF(ISNUMBER(Z48),Z48-Y48,"n.a."))</x:f>
        <x:v>167.18632114989737</x:v>
      </x:c>
      <x:c r="AB48" s="32" t="n">
        <x:f>IF(AND(J48&gt;0,L48&gt;0,N48&gt;0),L48/N48-1,"n.a.")</x:f>
        <x:v>0.20000000000000018</x:v>
      </x:c>
      <x:c r="AC48" s="18" t="str">
        <x:f>IF(AND(J48&gt;0,L48&lt;=0),"Missing replacement cost",IF(I48&gt;H48,"Usage exceeds stock",""))</x:f>
      </x:c>
    </x:row>
    <x:row r="49">
      <x:c r="A49" t="s">
        <x:v>15</x:v>
      </x:c>
      <x:c r="B49">
        <x:v>60</x:v>
      </x:c>
      <x:c r="C49" t="s">
        <x:v>64</x:v>
      </x:c>
      <x:c r="D49" t="s">
        <x:v>71</x:v>
      </x:c>
      <x:c r="E49">
        <x:v>10.83</x:v>
      </x:c>
      <x:c r="F49">
        <x:v>86</x:v>
      </x:c>
      <x:c r="G49" s="22" t="n">
        <x:f>SUMIFS('Receipts to be received in'!$P$2:$P$53,'Receipts to be received in'!$B$2:$B$53,B49,'Receipts to be received in'!$C$2:$C$53,D49)</x:f>
        <x:v>0</x:v>
      </x:c>
      <x:c r="H49" s="23" t="n">
        <x:f>F49+G49</x:f>
        <x:v>86</x:v>
      </x:c>
      <x:c r="I49" s="22" t="n">
        <x:f>E49*'Receipts to be received in'!$R$7*'Receipts to be received in'!$R$10</x:f>
        <x:v>18.85798767967146</x:v>
      </x:c>
      <x:c r="J49" s="23" t="n">
        <x:f>MAX(0,H49-I49)</x:f>
        <x:v>67.14201232032855</x:v>
      </x:c>
      <x:c r="K49">
        <x:v>72</x:v>
      </x:c>
      <x:c r="L49">
        <x:v>20.47</x:v>
      </x:c>
      <x:c r="M49" s="1">
        <x:v>46133</x:v>
      </x:c>
      <x:c r="N49">
        <x:v>17.059999999999999</x:v>
      </x:c>
      <x:c r="O49" s="3">
        <x:v>46027</x:v>
      </x:c>
      <x:c r="P49" s="3">
        <x:v>46174</x:v>
      </x:c>
      <x:c r="Q49" s="2">
        <x:v>-0.1666</x:v>
      </x:c>
      <x:c r="R49">
        <x:v>14.589104339796799</x:v>
      </x:c>
      <x:c r="S49">
        <x:v>7.9409048938134799</x:v>
      </x:c>
      <x:c r="T49">
        <x:v>293.26</x:v>
      </x:c>
      <x:c r="U49">
        <x:v>245.52</x:v>
      </x:c>
      <x:c r="V49">
        <x:v>1467.1599999999901</x:v>
      </x:c>
      <x:c r="W49">
        <x:v>1760.4199999999901</x:v>
      </x:c>
      <x:c r="X49">
        <x:v>367.75</x:v>
      </x:c>
      <x:c r="Y49" s="31" t="n">
        <x:f>J49*N49</x:f>
        <x:v>1145.442730184805</x:v>
      </x:c>
      <x:c r="Z49" s="31" t="n">
        <x:f>IF(J49=0,0,IF(L49&gt;0,J49*L49,"n.a."))</x:f>
        <x:v>1374.3969921971252</x:v>
      </x:c>
      <x:c r="AA49" s="31" t="n">
        <x:f>IF(J49=0,0,IF(ISNUMBER(Z49),Z49-Y49,"n.a."))</x:f>
        <x:v>228.9542620123202</x:v>
      </x:c>
      <x:c r="AB49" s="32" t="n">
        <x:f>IF(AND(J49&gt;0,L49&gt;0,N49&gt;0),L49/N49-1,"n.a.")</x:f>
        <x:v>0.19988276670574456</x:v>
      </x:c>
      <x:c r="AC49" s="18" t="str">
        <x:f>IF(AND(J49&gt;0,L49&lt;=0),"Missing replacement cost",IF(I49&gt;H49,"Usage exceeds stock",""))</x:f>
      </x:c>
    </x:row>
    <x:row r="50">
      <x:c r="A50" t="s">
        <x:v>15</x:v>
      </x:c>
      <x:c r="B50">
        <x:v>10</x:v>
      </x:c>
      <x:c r="C50" t="s">
        <x:v>64</x:v>
      </x:c>
      <x:c r="D50" t="s">
        <x:v>16</x:v>
      </x:c>
      <x:c r="E50">
        <x:v>10.67</x:v>
      </x:c>
      <x:c r="F50">
        <x:v>54</x:v>
      </x:c>
      <x:c r="G50" s="22" t="n">
        <x:f>SUMIFS('Receipts to be received in'!$P$2:$P$53,'Receipts to be received in'!$B$2:$B$53,B50,'Receipts to be received in'!$C$2:$C$53,D50)</x:f>
        <x:v>16</x:v>
      </x:c>
      <x:c r="H50" s="23" t="n">
        <x:f>F50+G50</x:f>
        <x:v>70</x:v>
      </x:c>
      <x:c r="I50" s="22" t="n">
        <x:f>E50*'Receipts to be received in'!$R$7*'Receipts to be received in'!$R$10</x:f>
        <x:v>18.579383983572896</x:v>
      </x:c>
      <x:c r="J50" s="23" t="n">
        <x:f>MAX(0,H50-I50)</x:f>
        <x:v>51.420616016427104</x:v>
      </x:c>
      <x:c r="K50">
        <x:v>48</x:v>
      </x:c>
      <x:c r="L50">
        <x:v>68.260000000000005</x:v>
      </x:c>
      <x:c r="M50" s="1">
        <x:v>46133</x:v>
      </x:c>
      <x:c r="N50">
        <x:v>56.88</x:v>
      </x:c>
      <x:c r="O50" s="3">
        <x:v>46027</x:v>
      </x:c>
      <x:c r="P50" s="3">
        <x:v>46231</x:v>
      </x:c>
      <x:c r="Q50" s="2">
        <x:v>-0.16669999999999999</x:v>
      </x:c>
      <x:c r="R50">
        <x:v>9.5595126522961493</x:v>
      </x:c>
      <x:c r="S50">
        <x:v>5.0609184629803101</x:v>
      </x:c>
      <x:c r="T50">
        <x:v>614.52</x:v>
      </x:c>
      <x:c r="U50">
        <x:v>546.24</x:v>
      </x:c>
      <x:c r="V50">
        <x:v>3071.52</x:v>
      </x:c>
      <x:c r="W50">
        <x:v>3686.04</x:v>
      </x:c>
      <x:c r="X50">
        <x:v>1225.74</x:v>
      </x:c>
      <x:c r="Y50" s="31" t="n">
        <x:f>J50*N50</x:f>
        <x:v>2924.8046390143736</x:v>
      </x:c>
      <x:c r="Z50" s="31" t="n">
        <x:f>IF(J50=0,0,IF(L50&gt;0,J50*L50,"n.a."))</x:f>
        <x:v>3509.971249281314</x:v>
      </x:c>
      <x:c r="AA50" s="31" t="n">
        <x:f>IF(J50=0,0,IF(ISNUMBER(Z50),Z50-Y50,"n.a."))</x:f>
        <x:v>585.1666102669406</x:v>
      </x:c>
      <x:c r="AB50" s="32" t="n">
        <x:f>IF(AND(J50&gt;0,L50&gt;0,N50&gt;0),L50/N50-1,"n.a.")</x:f>
        <x:v>0.200070323488045</x:v>
      </x:c>
      <x:c r="AC50" s="18" t="str">
        <x:f>IF(AND(J50&gt;0,L50&lt;=0),"Missing replacement cost",IF(I50&gt;H50,"Usage exceeds stock",""))</x:f>
      </x:c>
    </x:row>
    <x:row r="51">
      <x:c r="A51" t="s">
        <x:v>15</x:v>
      </x:c>
      <x:c r="B51">
        <x:v>60</x:v>
      </x:c>
      <x:c r="C51" t="s">
        <x:v>64</x:v>
      </x:c>
      <x:c r="D51" t="s">
        <x:v>66</x:v>
      </x:c>
      <x:c r="E51">
        <x:v>10.33</x:v>
      </x:c>
      <x:c r="F51">
        <x:v>524</x:v>
      </x:c>
      <x:c r="G51" s="22" t="n">
        <x:f>SUMIFS('Receipts to be received in'!$P$2:$P$53,'Receipts to be received in'!$B$2:$B$53,B51,'Receipts to be received in'!$C$2:$C$53,D51)</x:f>
        <x:v>0</x:v>
      </x:c>
      <x:c r="H51" s="23" t="n">
        <x:f>F51+G51</x:f>
        <x:v>524</x:v>
      </x:c>
      <x:c r="I51" s="22" t="n">
        <x:f>E51*'Receipts to be received in'!$R$7*'Receipts to be received in'!$R$10</x:f>
        <x:v>17.98735112936345</x:v>
      </x:c>
      <x:c r="J51" s="23" t="n">
        <x:f>MAX(0,H51-I51)</x:f>
        <x:v>506.01264887063655</x:v>
      </x:c>
      <x:c r="K51">
        <x:v>0</x:v>
      </x:c>
      <x:c r="L51">
        <x:v>14.85</x:v>
      </x:c>
      <x:c r="M51" s="1">
        <x:v>46134</x:v>
      </x:c>
      <x:c r="N51">
        <x:v>12.3</x:v>
      </x:c>
      <x:c r="O51" s="3">
        <x:v>46027</x:v>
      </x:c>
      <x:c r="P51" s="3">
        <x:v>45805</x:v>
      </x:c>
      <x:c r="Q51" s="2">
        <x:v>-0.17169999999999999</x:v>
      </x:c>
      <x:c r="R51">
        <x:v>50.726040658276801</x:v>
      </x:c>
      <x:c r="S51">
        <x:v>50.726040658276801</x:v>
      </x:c>
      <x:c r="T51">
        <x:v>1336.19999999999</x:v>
      </x:c>
      <x:c r="U51">
        <x:v>0</x:v>
      </x:c>
      <x:c r="V51">
        <x:v>6445.2</x:v>
      </x:c>
      <x:c r="W51">
        <x:v>7781.4</x:v>
      </x:c>
      <x:c r="X51">
        <x:v>293.35000000000002</x:v>
      </x:c>
      <x:c r="Y51" s="31" t="n">
        <x:f>J51*N51</x:f>
        <x:v>6223.95558110883</x:v>
      </x:c>
      <x:c r="Z51" s="31" t="n">
        <x:f>IF(J51=0,0,IF(L51&gt;0,J51*L51,"n.a."))</x:f>
        <x:v>7514.287835728953</x:v>
      </x:c>
      <x:c r="AA51" s="31" t="n">
        <x:f>IF(J51=0,0,IF(ISNUMBER(Z51),Z51-Y51,"n.a."))</x:f>
        <x:v>1290.3322546201225</x:v>
      </x:c>
      <x:c r="AB51" s="32" t="n">
        <x:f>IF(AND(J51&gt;0,L51&gt;0,N51&gt;0),L51/N51-1,"n.a.")</x:f>
        <x:v>0.20731707317073167</x:v>
      </x:c>
      <x:c r="AC51" s="18" t="str">
        <x:f>IF(AND(J51&gt;0,L51&lt;=0),"Missing replacement cost",IF(I51&gt;H51,"Usage exceeds stock",""))</x:f>
      </x:c>
    </x:row>
    <x:row r="52">
      <x:c r="A52" t="s">
        <x:v>15</x:v>
      </x:c>
      <x:c r="B52">
        <x:v>60</x:v>
      </x:c>
      <x:c r="C52" t="s">
        <x:v>64</x:v>
      </x:c>
      <x:c r="D52" t="s">
        <x:v>23</x:v>
      </x:c>
      <x:c r="E52">
        <x:v>9.83</x:v>
      </x:c>
      <x:c r="F52">
        <x:v>172</x:v>
      </x:c>
      <x:c r="G52" s="22" t="n">
        <x:f>SUMIFS('Receipts to be received in'!$P$2:$P$53,'Receipts to be received in'!$B$2:$B$53,B52,'Receipts to be received in'!$C$2:$C$53,D52)</x:f>
        <x:v>0</x:v>
      </x:c>
      <x:c r="H52" s="23" t="n">
        <x:f>F52+G52</x:f>
        <x:v>172</x:v>
      </x:c>
      <x:c r="I52" s="22" t="n">
        <x:f>E52*'Receipts to be received in'!$R$7*'Receipts to be received in'!$R$10</x:f>
        <x:v>17.116714579055444</x:v>
      </x:c>
      <x:c r="J52" s="23" t="n">
        <x:f>MAX(0,H52-I52)</x:f>
        <x:v>154.88328542094456</x:v>
      </x:c>
      <x:c r="K52">
        <x:v>0</x:v>
      </x:c>
      <x:c r="L52">
        <x:v>23.35</x:v>
      </x:c>
      <x:c r="M52" s="1">
        <x:v>46134</x:v>
      </x:c>
      <x:c r="N52">
        <x:v>19.350000000000001</x:v>
      </x:c>
      <x:c r="O52" s="3">
        <x:v>46027</x:v>
      </x:c>
      <x:c r="P52" s="3">
        <x:v>45877</x:v>
      </x:c>
      <x:c r="Q52" s="2">
        <x:v>-0.17130000000000001</x:v>
      </x:c>
      <x:c r="R52">
        <x:v>17.497456765005001</x:v>
      </x:c>
      <x:c r="S52">
        <x:v>17.497456765005001</x:v>
      </x:c>
      <x:c r="T52">
        <x:v>688</x:v>
      </x:c>
      <x:c r="U52">
        <x:v>0</x:v>
      </x:c>
      <x:c r="V52">
        <x:v>3328.2</x:v>
      </x:c>
      <x:c r="W52">
        <x:v>4016.2</x:v>
      </x:c>
      <x:c r="X52">
        <x:v>620.92999999999995</x:v>
      </x:c>
      <x:c r="Y52" s="31" t="n">
        <x:f>J52*N52</x:f>
        <x:v>2996.9915728952774</x:v>
      </x:c>
      <x:c r="Z52" s="31" t="n">
        <x:f>IF(J52=0,0,IF(L52&gt;0,J52*L52,"n.a."))</x:f>
        <x:v>3616.524714579056</x:v>
      </x:c>
      <x:c r="AA52" s="31" t="n">
        <x:f>IF(J52=0,0,IF(ISNUMBER(Z52),Z52-Y52,"n.a."))</x:f>
        <x:v>619.5331416837785</x:v>
      </x:c>
      <x:c r="AB52" s="32" t="n">
        <x:f>IF(AND(J52&gt;0,L52&gt;0,N52&gt;0),L52/N52-1,"n.a.")</x:f>
        <x:v>0.20671834625323005</x:v>
      </x:c>
      <x:c r="AC52" s="18" t="str">
        <x:f>IF(AND(J52&gt;0,L52&lt;=0),"Missing replacement cost",IF(I52&gt;H52,"Usage exceeds stock",""))</x:f>
      </x:c>
    </x:row>
    <x:row r="53">
      <x:c r="A53" t="s">
        <x:v>15</x:v>
      </x:c>
      <x:c r="B53">
        <x:v>10</x:v>
      </x:c>
      <x:c r="C53" t="s">
        <x:v>64</x:v>
      </x:c>
      <x:c r="D53" t="s">
        <x:v>72</x:v>
      </x:c>
      <x:c r="E53">
        <x:v>9.67</x:v>
      </x:c>
      <x:c r="F53">
        <x:v>0</x:v>
      </x:c>
      <x:c r="G53" s="22" t="n">
        <x:f>SUMIFS('Receipts to be received in'!$P$2:$P$53,'Receipts to be received in'!$B$2:$B$53,B53,'Receipts to be received in'!$C$2:$C$53,D53)</x:f>
        <x:v>0</x:v>
      </x:c>
      <x:c r="H53" s="23" t="n">
        <x:f>F53+G53</x:f>
        <x:v>0</x:v>
      </x:c>
      <x:c r="I53" s="22" t="n">
        <x:f>E53*'Receipts to be received in'!$R$7*'Receipts to be received in'!$R$10</x:f>
        <x:v>16.83811088295688</x:v>
      </x:c>
      <x:c r="J53" s="23" t="n">
        <x:f>MAX(0,H53-I53)</x:f>
        <x:v>0</x:v>
      </x:c>
      <x:c r="K53">
        <x:v>0</x:v>
      </x:c>
      <x:c r="L53">
        <x:v>0</x:v>
      </x:c>
      <x:c r="M53" s="1">
        <x:v>45078</x:v>
      </x:c>
      <x:c r="N53">
        <x:v>7.61</x:v>
      </x:c>
      <x:c r="O53" s="3">
        <x:v>45269</x:v>
      </x:c>
      <x:c r="P53" s="3">
        <x:v>43928</x:v>
      </x:c>
      <x:c r="Q53" t="s">
        <x:v>73</x:v>
      </x:c>
      <x:c r="R53">
        <x:v>0</x:v>
      </x:c>
      <x:c r="S53">
        <x:v>0</x:v>
      </x:c>
      <x:c r="T53">
        <x:v>0</x:v>
      </x:c>
      <x:c r="U53">
        <x:v>0</x:v>
      </x:c>
      <x:c r="V53">
        <x:v>0</x:v>
      </x:c>
      <x:c r="W53">
        <x:v>0</x:v>
      </x:c>
      <x:c r="X53">
        <x:v>108.75</x:v>
      </x:c>
      <x:c r="Y53" s="31" t="n">
        <x:f>J53*N53</x:f>
        <x:v>0</x:v>
      </x:c>
      <x:c r="Z53" s="31" t="n">
        <x:f>IF(J53=0,0,IF(L53&gt;0,J53*L53,"n.a."))</x:f>
        <x:v>0</x:v>
      </x:c>
      <x:c r="AA53" s="31" t="n">
        <x:f>IF(J53=0,0,IF(ISNUMBER(Z53),Z53-Y53,"n.a."))</x:f>
        <x:v>0</x:v>
      </x:c>
      <x:c r="AB53" s="32" t="str">
        <x:f>IF(AND(J53&gt;0,L53&gt;0,N53&gt;0),L53/N53-1,"n.a.")</x:f>
        <x:v>n.a.</x:v>
      </x:c>
      <x:c r="AC53" s="18" t="str">
        <x:f>IF(AND(J53&gt;0,L53&lt;=0),"Missing replacement cost",IF(I53&gt;H53,"Usage exceeds stock",""))</x:f>
        <x:v>Usage exceeds stock</x:v>
      </x:c>
    </x:row>
    <x:row r="54">
      <x:c r="A54" t="s">
        <x:v>15</x:v>
      </x:c>
      <x:c r="B54">
        <x:v>10</x:v>
      </x:c>
      <x:c r="C54" t="s">
        <x:v>64</x:v>
      </x:c>
      <x:c r="D54" t="s">
        <x:v>71</x:v>
      </x:c>
      <x:c r="E54">
        <x:v>9.67</x:v>
      </x:c>
      <x:c r="F54">
        <x:v>80</x:v>
      </x:c>
      <x:c r="G54" s="22" t="n">
        <x:f>SUMIFS('Receipts to be received in'!$P$2:$P$53,'Receipts to be received in'!$B$2:$B$53,B54,'Receipts to be received in'!$C$2:$C$53,D54)</x:f>
        <x:v>0</x:v>
      </x:c>
      <x:c r="H54" s="23" t="n">
        <x:f>F54+G54</x:f>
        <x:v>80</x:v>
      </x:c>
      <x:c r="I54" s="22" t="n">
        <x:f>E54*'Receipts to be received in'!$R$7*'Receipts to be received in'!$R$10</x:f>
        <x:v>16.83811088295688</x:v>
      </x:c>
      <x:c r="J54" s="23" t="n">
        <x:f>MAX(0,H54-I54)</x:f>
        <x:v>63.16188911704312</x:v>
      </x:c>
      <x:c r="K54">
        <x:v>72</x:v>
      </x:c>
      <x:c r="L54">
        <x:v>20.47</x:v>
      </x:c>
      <x:c r="M54" s="1">
        <x:v>46133</x:v>
      </x:c>
      <x:c r="N54">
        <x:v>17.059999999999999</x:v>
      </x:c>
      <x:c r="O54" s="3">
        <x:v>46027</x:v>
      </x:c>
      <x:c r="P54" s="3">
        <x:v>46189</x:v>
      </x:c>
      <x:c r="Q54" s="2">
        <x:v>-0.1666</x:v>
      </x:c>
      <x:c r="R54">
        <x:v>15.718717683557299</x:v>
      </x:c>
      <x:c r="S54">
        <x:v>8.2730093071354691</x:v>
      </x:c>
      <x:c r="T54">
        <x:v>272.8</x:v>
      </x:c>
      <x:c r="U54">
        <x:v>245.52</x:v>
      </x:c>
      <x:c r="V54">
        <x:v>1364.8</x:v>
      </x:c>
      <x:c r="W54">
        <x:v>1637.6</x:v>
      </x:c>
      <x:c r="X54">
        <x:v>367.75</x:v>
      </x:c>
      <x:c r="Y54" s="31" t="n">
        <x:f>J54*N54</x:f>
        <x:v>1077.5418283367555</x:v>
      </x:c>
      <x:c r="Z54" s="31" t="n">
        <x:f>IF(J54=0,0,IF(L54&gt;0,J54*L54,"n.a."))</x:f>
        <x:v>1292.9238702258726</x:v>
      </x:c>
      <x:c r="AA54" s="31" t="n">
        <x:f>IF(J54=0,0,IF(ISNUMBER(Z54),Z54-Y54,"n.a."))</x:f>
        <x:v>215.3820418891171</x:v>
      </x:c>
      <x:c r="AB54" s="32" t="n">
        <x:f>IF(AND(J54&gt;0,L54&gt;0,N54&gt;0),L54/N54-1,"n.a.")</x:f>
        <x:v>0.19988276670574456</x:v>
      </x:c>
      <x:c r="AC54" s="18" t="str">
        <x:f>IF(AND(J54&gt;0,L54&lt;=0),"Missing replacement cost",IF(I54&gt;H54,"Usage exceeds stock",""))</x:f>
      </x:c>
    </x:row>
    <x:row r="55">
      <x:c r="A55" t="s">
        <x:v>15</x:v>
      </x:c>
      <x:c r="B55">
        <x:v>10</x:v>
      </x:c>
      <x:c r="C55" t="s">
        <x:v>64</x:v>
      </x:c>
      <x:c r="D55" t="s">
        <x:v>38</x:v>
      </x:c>
      <x:c r="E55">
        <x:v>9.67</x:v>
      </x:c>
      <x:c r="F55">
        <x:v>75</x:v>
      </x:c>
      <x:c r="G55" s="22" t="n">
        <x:f>SUMIFS('Receipts to be received in'!$P$2:$P$53,'Receipts to be received in'!$B$2:$B$53,B55,'Receipts to be received in'!$C$2:$C$53,D55)</x:f>
        <x:v>0</x:v>
      </x:c>
      <x:c r="H55" s="23" t="n">
        <x:f>F55+G55</x:f>
        <x:v>75</x:v>
      </x:c>
      <x:c r="I55" s="22" t="n">
        <x:f>E55*'Receipts to be received in'!$R$7*'Receipts to be received in'!$R$10</x:f>
        <x:v>16.83811088295688</x:v>
      </x:c>
      <x:c r="J55" s="23" t="n">
        <x:f>MAX(0,H55-I55)</x:f>
        <x:v>58.16188911704312</x:v>
      </x:c>
      <x:c r="K55">
        <x:v>0</x:v>
      </x:c>
      <x:c r="L55">
        <x:v>49.05</x:v>
      </x:c>
      <x:c r="M55" s="1">
        <x:v>46134</x:v>
      </x:c>
      <x:c r="N55">
        <x:v>40.880000000000003</x:v>
      </x:c>
      <x:c r="O55" s="3">
        <x:v>46027</x:v>
      </x:c>
      <x:c r="P55" s="3">
        <x:v>46010</x:v>
      </x:c>
      <x:c r="Q55" s="2">
        <x:v>-0.1666</x:v>
      </x:c>
      <x:c r="R55">
        <x:v>7.7559462254394997</x:v>
      </x:c>
      <x:c r="S55">
        <x:v>7.7559462254394997</x:v>
      </x:c>
      <x:c r="T55">
        <x:v>612.74999999999898</x:v>
      </x:c>
      <x:c r="U55">
        <x:v>0</x:v>
      </x:c>
      <x:c r="V55">
        <x:v>3066</x:v>
      </x:c>
      <x:c r="W55">
        <x:v>3678.75</x:v>
      </x:c>
      <x:c r="X55">
        <x:v>904.98</x:v>
      </x:c>
      <x:c r="Y55" s="31" t="n">
        <x:f>J55*N55</x:f>
        <x:v>2377.658027104723</x:v>
      </x:c>
      <x:c r="Z55" s="31" t="n">
        <x:f>IF(J55=0,0,IF(L55&gt;0,J55*L55,"n.a."))</x:f>
        <x:v>2852.8406611909645</x:v>
      </x:c>
      <x:c r="AA55" s="31" t="n">
        <x:f>IF(J55=0,0,IF(ISNUMBER(Z55),Z55-Y55,"n.a."))</x:f>
        <x:v>475.1826340862417</x:v>
      </x:c>
      <x:c r="AB55" s="32" t="n">
        <x:f>IF(AND(J55&gt;0,L55&gt;0,N55&gt;0),L55/N55-1,"n.a.")</x:f>
        <x:v>0.19985322896281787</x:v>
      </x:c>
      <x:c r="AC55" s="18" t="str">
        <x:f>IF(AND(J55&gt;0,L55&lt;=0),"Missing replacement cost",IF(I55&gt;H55,"Usage exceeds stock",""))</x:f>
      </x:c>
    </x:row>
    <x:row r="56">
      <x:c r="A56" t="s">
        <x:v>15</x:v>
      </x:c>
      <x:c r="B56">
        <x:v>10</x:v>
      </x:c>
      <x:c r="C56" t="s">
        <x:v>64</x:v>
      </x:c>
      <x:c r="D56" t="s">
        <x:v>74</x:v>
      </x:c>
      <x:c r="E56">
        <x:v>9.33</x:v>
      </x:c>
      <x:c r="F56">
        <x:v>82</x:v>
      </x:c>
      <x:c r="G56" s="22" t="n">
        <x:f>SUMIFS('Receipts to be received in'!$P$2:$P$53,'Receipts to be received in'!$B$2:$B$53,B56,'Receipts to be received in'!$C$2:$C$53,D56)</x:f>
        <x:v>0</x:v>
      </x:c>
      <x:c r="H56" s="23" t="n">
        <x:f>F56+G56</x:f>
        <x:v>82</x:v>
      </x:c>
      <x:c r="I56" s="22" t="n">
        <x:f>E56*'Receipts to be received in'!$R$7*'Receipts to be received in'!$R$10</x:f>
        <x:v>16.246078028747434</x:v>
      </x:c>
      <x:c r="J56" s="23" t="n">
        <x:f>MAX(0,H56-I56)</x:f>
        <x:v>65.75392197125257</x:v>
      </x:c>
      <x:c r="K56">
        <x:v>0</x:v>
      </x:c>
      <x:c r="L56">
        <x:v>12.64</x:v>
      </x:c>
      <x:c r="M56" s="1">
        <x:v>46133</x:v>
      </x:c>
      <x:c r="N56">
        <x:v>10.53</x:v>
      </x:c>
      <x:c r="O56" s="3">
        <x:v>46027</x:v>
      </x:c>
      <x:c r="P56" s="3">
        <x:v>46252</x:v>
      </x:c>
      <x:c r="Q56" s="2">
        <x:v>-0.16689999999999999</x:v>
      </x:c>
      <x:c r="R56">
        <x:v>8.7888531618435106</x:v>
      </x:c>
      <x:c r="S56">
        <x:v>8.7888531618435106</x:v>
      </x:c>
      <x:c r="T56">
        <x:v>173.02</x:v>
      </x:c>
      <x:c r="U56">
        <x:v>0</x:v>
      </x:c>
      <x:c r="V56">
        <x:v>863.45999999999901</x:v>
      </x:c>
      <x:c r="W56">
        <x:v>1036.48</x:v>
      </x:c>
      <x:c r="X56">
        <x:v>216.1</x:v>
      </x:c>
      <x:c r="Y56" s="31" t="n">
        <x:f>J56*N56</x:f>
        <x:v>692.3887983572895</x:v>
      </x:c>
      <x:c r="Z56" s="31" t="n">
        <x:f>IF(J56=0,0,IF(L56&gt;0,J56*L56,"n.a."))</x:f>
        <x:v>831.1295737166324</x:v>
      </x:c>
      <x:c r="AA56" s="31" t="n">
        <x:f>IF(J56=0,0,IF(ISNUMBER(Z56),Z56-Y56,"n.a."))</x:f>
        <x:v>138.74077535934293</x:v>
      </x:c>
      <x:c r="AB56" s="32" t="n">
        <x:f>IF(AND(J56&gt;0,L56&gt;0,N56&gt;0),L56/N56-1,"n.a.")</x:f>
        <x:v>0.20037986704653377</x:v>
      </x:c>
      <x:c r="AC56" s="18" t="str">
        <x:f>IF(AND(J56&gt;0,L56&lt;=0),"Missing replacement cost",IF(I56&gt;H56,"Usage exceeds stock",""))</x:f>
      </x:c>
    </x:row>
    <x:row r="57">
      <x:c r="A57" t="s">
        <x:v>15</x:v>
      </x:c>
      <x:c r="B57">
        <x:v>10</x:v>
      </x:c>
      <x:c r="C57" t="s">
        <x:v>64</x:v>
      </x:c>
      <x:c r="D57" t="s">
        <x:v>75</x:v>
      </x:c>
      <x:c r="E57">
        <x:v>9</x:v>
      </x:c>
      <x:c r="F57">
        <x:v>158</x:v>
      </x:c>
      <x:c r="G57" s="22" t="n">
        <x:f>SUMIFS('Receipts to be received in'!$P$2:$P$53,'Receipts to be received in'!$B$2:$B$53,B57,'Receipts to be received in'!$C$2:$C$53,D57)</x:f>
        <x:v>0</x:v>
      </x:c>
      <x:c r="H57" s="23" t="n">
        <x:f>F57+G57</x:f>
        <x:v>158</x:v>
      </x:c>
      <x:c r="I57" s="22" t="n">
        <x:f>E57*'Receipts to be received in'!$R$7*'Receipts to be received in'!$R$10</x:f>
        <x:v>15.671457905544148</x:v>
      </x:c>
      <x:c r="J57" s="23" t="n">
        <x:f>MAX(0,H57-I57)</x:f>
        <x:v>142.32854209445586</x:v>
      </x:c>
      <x:c r="K57">
        <x:v>0</x:v>
      </x:c>
      <x:c r="L57">
        <x:v>75.599999999999994</x:v>
      </x:c>
      <x:c r="M57" s="1">
        <x:v>46133</x:v>
      </x:c>
      <x:c r="N57">
        <x:v>63</x:v>
      </x:c>
      <x:c r="O57" s="3">
        <x:v>46027</x:v>
      </x:c>
      <x:c r="P57" s="3">
        <x:v>46231</x:v>
      </x:c>
      <x:c r="Q57" s="2">
        <x:v>-0.16669999999999999</x:v>
      </x:c>
      <x:c r="R57">
        <x:v>17.5555555555555</x:v>
      </x:c>
      <x:c r="S57">
        <x:v>17.5555555555555</x:v>
      </x:c>
      <x:c r="T57">
        <x:v>1990.79999999999</x:v>
      </x:c>
      <x:c r="U57">
        <x:v>0</x:v>
      </x:c>
      <x:c r="V57">
        <x:v>9954</x:v>
      </x:c>
      <x:c r="W57">
        <x:v>11944.8</x:v>
      </x:c>
      <x:c r="X57">
        <x:v>1381.52</x:v>
      </x:c>
      <x:c r="Y57" s="31" t="n">
        <x:f>J57*N57</x:f>
        <x:v>8966.698151950719</x:v>
      </x:c>
      <x:c r="Z57" s="31" t="n">
        <x:f>IF(J57=0,0,IF(L57&gt;0,J57*L57,"n.a."))</x:f>
        <x:v>10760.037782340862</x:v>
      </x:c>
      <x:c r="AA57" s="31" t="n">
        <x:f>IF(J57=0,0,IF(ISNUMBER(Z57),Z57-Y57,"n.a."))</x:f>
        <x:v>1793.3396303901427</x:v>
      </x:c>
      <x:c r="AB57" s="32" t="n">
        <x:f>IF(AND(J57&gt;0,L57&gt;0,N57&gt;0),L57/N57-1,"n.a.")</x:f>
        <x:v>0.19999999999999996</x:v>
      </x:c>
      <x:c r="AC57" s="18" t="str">
        <x:f>IF(AND(J57&gt;0,L57&lt;=0),"Missing replacement cost",IF(I57&gt;H57,"Usage exceeds stock",""))</x:f>
      </x:c>
    </x:row>
    <x:row r="58">
      <x:c r="A58" t="s">
        <x:v>15</x:v>
      </x:c>
      <x:c r="B58">
        <x:v>60</x:v>
      </x:c>
      <x:c r="C58" t="s">
        <x:v>64</x:v>
      </x:c>
      <x:c r="D58" t="s">
        <x:v>76</x:v>
      </x:c>
      <x:c r="E58">
        <x:v>8.67</x:v>
      </x:c>
      <x:c r="F58">
        <x:v>218</x:v>
      </x:c>
      <x:c r="G58" s="22" t="n">
        <x:f>SUMIFS('Receipts to be received in'!$P$2:$P$53,'Receipts to be received in'!$B$2:$B$53,B58,'Receipts to be received in'!$C$2:$C$53,D58)</x:f>
        <x:v>0</x:v>
      </x:c>
      <x:c r="H58" s="23" t="n">
        <x:f>F58+G58</x:f>
        <x:v>218</x:v>
      </x:c>
      <x:c r="I58" s="22" t="n">
        <x:f>E58*'Receipts to be received in'!$R$7*'Receipts to be received in'!$R$10</x:f>
        <x:v>15.096837782340863</x:v>
      </x:c>
      <x:c r="J58" s="23" t="n">
        <x:f>MAX(0,H58-I58)</x:f>
        <x:v>202.90316221765914</x:v>
      </x:c>
      <x:c r="K58">
        <x:v>0</x:v>
      </x:c>
      <x:c r="L58">
        <x:v>8.42</x:v>
      </x:c>
      <x:c r="M58" s="1">
        <x:v>46133</x:v>
      </x:c>
      <x:c r="N58">
        <x:v>7.02</x:v>
      </x:c>
      <x:c r="O58" s="3">
        <x:v>46027</x:v>
      </x:c>
      <x:c r="P58" s="3">
        <x:v>46174</x:v>
      </x:c>
      <x:c r="Q58" s="2">
        <x:v>-0.1663</x:v>
      </x:c>
      <x:c r="R58">
        <x:v>25.144175317185699</x:v>
      </x:c>
      <x:c r="S58">
        <x:v>25.144175317185699</x:v>
      </x:c>
      <x:c r="T58">
        <x:v>305.2</x:v>
      </x:c>
      <x:c r="U58">
        <x:v>0</x:v>
      </x:c>
      <x:c r="V58">
        <x:v>1530.36</x:v>
      </x:c>
      <x:c r="W58">
        <x:v>1835.56</x:v>
      </x:c>
      <x:c r="X58">
        <x:v>144.16</x:v>
      </x:c>
      <x:c r="Y58" s="31" t="n">
        <x:f>J58*N58</x:f>
        <x:v>1424.3801987679672</x:v>
      </x:c>
      <x:c r="Z58" s="31" t="n">
        <x:f>IF(J58=0,0,IF(L58&gt;0,J58*L58,"n.a."))</x:f>
        <x:v>1708.44462587269</x:v>
      </x:c>
      <x:c r="AA58" s="31" t="n">
        <x:f>IF(J58=0,0,IF(ISNUMBER(Z58),Z58-Y58,"n.a."))</x:f>
        <x:v>284.0644271047229</x:v>
      </x:c>
      <x:c r="AB58" s="32" t="n">
        <x:f>IF(AND(J58&gt;0,L58&gt;0,N58&gt;0),L58/N58-1,"n.a.")</x:f>
        <x:v>0.19943019943019946</x:v>
      </x:c>
      <x:c r="AC58" s="18" t="str">
        <x:f>IF(AND(J58&gt;0,L58&lt;=0),"Missing replacement cost",IF(I58&gt;H58,"Usage exceeds stock",""))</x:f>
      </x:c>
    </x:row>
    <x:row r="59">
      <x:c r="A59" t="s">
        <x:v>15</x:v>
      </x:c>
      <x:c r="B59">
        <x:v>60</x:v>
      </x:c>
      <x:c r="C59" t="s">
        <x:v>64</x:v>
      </x:c>
      <x:c r="D59" t="s">
        <x:v>74</x:v>
      </x:c>
      <x:c r="E59">
        <x:v>8.33</x:v>
      </x:c>
      <x:c r="F59">
        <x:v>94</x:v>
      </x:c>
      <x:c r="G59" s="22" t="n">
        <x:f>SUMIFS('Receipts to be received in'!$P$2:$P$53,'Receipts to be received in'!$B$2:$B$53,B59,'Receipts to be received in'!$C$2:$C$53,D59)</x:f>
        <x:v>0</x:v>
      </x:c>
      <x:c r="H59" s="23" t="n">
        <x:f>F59+G59</x:f>
        <x:v>94</x:v>
      </x:c>
      <x:c r="I59" s="22" t="n">
        <x:f>E59*'Receipts to be received in'!$R$7*'Receipts to be received in'!$R$10</x:f>
        <x:v>14.504804928131417</x:v>
      </x:c>
      <x:c r="J59" s="23" t="n">
        <x:f>MAX(0,H59-I59)</x:f>
        <x:v>79.49519507186858</x:v>
      </x:c>
      <x:c r="K59">
        <x:v>0</x:v>
      </x:c>
      <x:c r="L59">
        <x:v>12.64</x:v>
      </x:c>
      <x:c r="M59" s="1">
        <x:v>46133</x:v>
      </x:c>
      <x:c r="N59">
        <x:v>10.53</x:v>
      </x:c>
      <x:c r="O59" s="3">
        <x:v>46027</x:v>
      </x:c>
      <x:c r="P59" s="3">
        <x:v>46244</x:v>
      </x:c>
      <x:c r="Q59" s="2">
        <x:v>-0.16689999999999999</x:v>
      </x:c>
      <x:c r="R59">
        <x:v>11.284513805522201</x:v>
      </x:c>
      <x:c r="S59">
        <x:v>11.284513805522201</x:v>
      </x:c>
      <x:c r="T59">
        <x:v>198.34</x:v>
      </x:c>
      <x:c r="U59">
        <x:v>0</x:v>
      </x:c>
      <x:c r="V59">
        <x:v>989.81999999999903</x:v>
      </x:c>
      <x:c r="W59">
        <x:v>1188.1600000000001</x:v>
      </x:c>
      <x:c r="X59">
        <x:v>216.1</x:v>
      </x:c>
      <x:c r="Y59" s="31" t="n">
        <x:f>J59*N59</x:f>
        <x:v>837.0844041067761</x:v>
      </x:c>
      <x:c r="Z59" s="31" t="n">
        <x:f>IF(J59=0,0,IF(L59&gt;0,J59*L59,"n.a."))</x:f>
        <x:v>1004.8192657084189</x:v>
      </x:c>
      <x:c r="AA59" s="31" t="n">
        <x:f>IF(J59=0,0,IF(ISNUMBER(Z59),Z59-Y59,"n.a."))</x:f>
        <x:v>167.73486160164282</x:v>
      </x:c>
      <x:c r="AB59" s="32" t="n">
        <x:f>IF(AND(J59&gt;0,L59&gt;0,N59&gt;0),L59/N59-1,"n.a.")</x:f>
        <x:v>0.20037986704653377</x:v>
      </x:c>
      <x:c r="AC59" s="18" t="str">
        <x:f>IF(AND(J59&gt;0,L59&lt;=0),"Missing replacement cost",IF(I59&gt;H59,"Usage exceeds stock",""))</x:f>
      </x:c>
    </x:row>
    <x:row r="60">
      <x:c r="A60" t="s">
        <x:v>15</x:v>
      </x:c>
      <x:c r="B60">
        <x:v>10</x:v>
      </x:c>
      <x:c r="C60" t="s">
        <x:v>64</x:v>
      </x:c>
      <x:c r="D60" t="s">
        <x:v>33</x:v>
      </x:c>
      <x:c r="E60">
        <x:v>7.83</x:v>
      </x:c>
      <x:c r="F60">
        <x:v>28</x:v>
      </x:c>
      <x:c r="G60" s="22" t="n">
        <x:f>SUMIFS('Receipts to be received in'!$P$2:$P$53,'Receipts to be received in'!$B$2:$B$53,B60,'Receipts to be received in'!$C$2:$C$53,D60)</x:f>
        <x:v>36</x:v>
      </x:c>
      <x:c r="H60" s="23" t="n">
        <x:f>F60+G60</x:f>
        <x:v>64</x:v>
      </x:c>
      <x:c r="I60" s="22" t="n">
        <x:f>E60*'Receipts to be received in'!$R$7*'Receipts to be received in'!$R$10</x:f>
        <x:v>13.634168377823409</x:v>
      </x:c>
      <x:c r="J60" s="23" t="n">
        <x:f>MAX(0,H60-I60)</x:f>
        <x:v>50.36583162217659</x:v>
      </x:c>
      <x:c r="K60">
        <x:v>36</x:v>
      </x:c>
      <x:c r="L60">
        <x:v>34.83</x:v>
      </x:c>
      <x:c r="M60" s="1">
        <x:v>46134</x:v>
      </x:c>
      <x:c r="N60">
        <x:v>29.03</x:v>
      </x:c>
      <x:c r="O60" s="3">
        <x:v>46027</x:v>
      </x:c>
      <x:c r="P60" s="3">
        <x:v>46252</x:v>
      </x:c>
      <x:c r="Q60" s="2">
        <x:v>-0.16650000000000001</x:v>
      </x:c>
      <x:c r="R60">
        <x:v>8.1736909323116205</x:v>
      </x:c>
      <x:c r="S60">
        <x:v>3.5759897828863298</x:v>
      </x:c>
      <x:c r="T60">
        <x:v>162.39999999999901</x:v>
      </x:c>
      <x:c r="U60">
        <x:v>208.79999999999899</x:v>
      </x:c>
      <x:c r="V60">
        <x:v>812.84</x:v>
      </x:c>
      <x:c r="W60">
        <x:v>975.24</x:v>
      </x:c>
      <x:c r="X60">
        <x:v>595.76</x:v>
      </x:c>
      <x:c r="Y60" s="31" t="n">
        <x:f>J60*N60</x:f>
        <x:v>1462.1200919917865</x:v>
      </x:c>
      <x:c r="Z60" s="31" t="n">
        <x:f>IF(J60=0,0,IF(L60&gt;0,J60*L60,"n.a."))</x:f>
        <x:v>1754.2419154004106</x:v>
      </x:c>
      <x:c r="AA60" s="31" t="n">
        <x:f>IF(J60=0,0,IF(ISNUMBER(Z60),Z60-Y60,"n.a."))</x:f>
        <x:v>292.1218234086241</x:v>
      </x:c>
      <x:c r="AB60" s="32" t="n">
        <x:f>IF(AND(J60&gt;0,L60&gt;0,N60&gt;0),L60/N60-1,"n.a.")</x:f>
        <x:v>0.19979331725800886</x:v>
      </x:c>
      <x:c r="AC60" s="18" t="str">
        <x:f>IF(AND(J60&gt;0,L60&lt;=0),"Missing replacement cost",IF(I60&gt;H60,"Usage exceeds stock",""))</x:f>
      </x:c>
    </x:row>
    <x:row r="61">
      <x:c r="A61" t="s">
        <x:v>15</x:v>
      </x:c>
      <x:c r="B61">
        <x:v>10</x:v>
      </x:c>
      <x:c r="C61" t="s">
        <x:v>64</x:v>
      </x:c>
      <x:c r="D61" t="s">
        <x:v>76</x:v>
      </x:c>
      <x:c r="E61">
        <x:v>7.75</x:v>
      </x:c>
      <x:c r="F61">
        <x:v>107</x:v>
      </x:c>
      <x:c r="G61" s="22" t="n">
        <x:f>SUMIFS('Receipts to be received in'!$P$2:$P$53,'Receipts to be received in'!$B$2:$B$53,B61,'Receipts to be received in'!$C$2:$C$53,D61)</x:f>
        <x:v>0</x:v>
      </x:c>
      <x:c r="H61" s="23" t="n">
        <x:f>F61+G61</x:f>
        <x:v>107</x:v>
      </x:c>
      <x:c r="I61" s="22" t="n">
        <x:f>E61*'Receipts to be received in'!$R$7*'Receipts to be received in'!$R$10</x:f>
        <x:v>13.494866529774129</x:v>
      </x:c>
      <x:c r="J61" s="23" t="n">
        <x:f>MAX(0,H61-I61)</x:f>
        <x:v>93.50513347022587</x:v>
      </x:c>
      <x:c r="K61">
        <x:v>0</x:v>
      </x:c>
      <x:c r="L61">
        <x:v>8.42</x:v>
      </x:c>
      <x:c r="M61" s="1">
        <x:v>46133</x:v>
      </x:c>
      <x:c r="N61">
        <x:v>7.02</x:v>
      </x:c>
      <x:c r="O61" s="3">
        <x:v>46027</x:v>
      </x:c>
      <x:c r="P61" s="3">
        <x:v>46189</x:v>
      </x:c>
      <x:c r="Q61" s="2">
        <x:v>-0.1663</x:v>
      </x:c>
      <x:c r="R61">
        <x:v>13.806451612903199</x:v>
      </x:c>
      <x:c r="S61">
        <x:v>13.806451612903199</x:v>
      </x:c>
      <x:c r="T61">
        <x:v>149.80000000000001</x:v>
      </x:c>
      <x:c r="U61">
        <x:v>0</x:v>
      </x:c>
      <x:c r="V61">
        <x:v>751.14</x:v>
      </x:c>
      <x:c r="W61">
        <x:v>900.93999999999903</x:v>
      </x:c>
      <x:c r="X61">
        <x:v>144.16</x:v>
      </x:c>
      <x:c r="Y61" s="31" t="n">
        <x:f>J61*N61</x:f>
        <x:v>656.4060369609856</x:v>
      </x:c>
      <x:c r="Z61" s="31" t="n">
        <x:f>IF(J61=0,0,IF(L61&gt;0,J61*L61,"n.a."))</x:f>
        <x:v>787.3132238193018</x:v>
      </x:c>
      <x:c r="AA61" s="31" t="n">
        <x:f>IF(J61=0,0,IF(ISNUMBER(Z61),Z61-Y61,"n.a."))</x:f>
        <x:v>130.9071868583162</x:v>
      </x:c>
      <x:c r="AB61" s="32" t="n">
        <x:f>IF(AND(J61&gt;0,L61&gt;0,N61&gt;0),L61/N61-1,"n.a.")</x:f>
        <x:v>0.19943019943019946</x:v>
      </x:c>
      <x:c r="AC61" s="18" t="str">
        <x:f>IF(AND(J61&gt;0,L61&lt;=0),"Missing replacement cost",IF(I61&gt;H61,"Usage exceeds stock",""))</x:f>
      </x:c>
    </x:row>
    <x:row r="62">
      <x:c r="A62" t="s">
        <x:v>15</x:v>
      </x:c>
      <x:c r="B62">
        <x:v>60</x:v>
      </x:c>
      <x:c r="C62" t="s">
        <x:v>64</x:v>
      </x:c>
      <x:c r="D62" t="s">
        <x:v>38</x:v>
      </x:c>
      <x:c r="E62">
        <x:v>7.67</x:v>
      </x:c>
      <x:c r="F62">
        <x:v>16</x:v>
      </x:c>
      <x:c r="G62" s="22" t="n">
        <x:f>SUMIFS('Receipts to be received in'!$P$2:$P$53,'Receipts to be received in'!$B$2:$B$53,B62,'Receipts to be received in'!$C$2:$C$53,D62)</x:f>
        <x:v>0</x:v>
      </x:c>
      <x:c r="H62" s="23" t="n">
        <x:f>F62+G62</x:f>
        <x:v>16</x:v>
      </x:c>
      <x:c r="I62" s="22" t="n">
        <x:f>E62*'Receipts to be received in'!$R$7*'Receipts to be received in'!$R$10</x:f>
        <x:v>13.355564681724847</x:v>
      </x:c>
      <x:c r="J62" s="23" t="n">
        <x:f>MAX(0,H62-I62)</x:f>
        <x:v>2.6444353182751534</x:v>
      </x:c>
      <x:c r="K62">
        <x:v>120</x:v>
      </x:c>
      <x:c r="L62">
        <x:v>49.05</x:v>
      </x:c>
      <x:c r="M62" s="1">
        <x:v>46134</x:v>
      </x:c>
      <x:c r="N62">
        <x:v>40.880000000000003</x:v>
      </x:c>
      <x:c r="O62" s="3">
        <x:v>46027</x:v>
      </x:c>
      <x:c r="P62" s="3">
        <x:v>46254</x:v>
      </x:c>
      <x:c r="Q62" s="2">
        <x:v>-0.1666</x:v>
      </x:c>
      <x:c r="R62">
        <x:v>17.7314211212516</x:v>
      </x:c>
      <x:c r="S62">
        <x:v>2.0860495436766602</x:v>
      </x:c>
      <x:c r="T62">
        <x:v>130.719999999999</x:v>
      </x:c>
      <x:c r="U62">
        <x:v>980.39999999999895</x:v>
      </x:c>
      <x:c r="V62">
        <x:v>654.08000000000004</x:v>
      </x:c>
      <x:c r="W62">
        <x:v>784.8</x:v>
      </x:c>
      <x:c r="X62">
        <x:v>904.98</x:v>
      </x:c>
      <x:c r="Y62" s="31" t="n">
        <x:f>J62*N62</x:f>
        <x:v>108.10451581108828</x:v>
      </x:c>
      <x:c r="Z62" s="31" t="n">
        <x:f>IF(J62=0,0,IF(L62&gt;0,J62*L62,"n.a."))</x:f>
        <x:v>129.70955236139628</x:v>
      </x:c>
      <x:c r="AA62" s="31" t="n">
        <x:f>IF(J62=0,0,IF(ISNUMBER(Z62),Z62-Y62,"n.a."))</x:f>
        <x:v>21.605036550308</x:v>
      </x:c>
      <x:c r="AB62" s="32" t="n">
        <x:f>IF(AND(J62&gt;0,L62&gt;0,N62&gt;0),L62/N62-1,"n.a.")</x:f>
        <x:v>0.19985322896281787</x:v>
      </x:c>
      <x:c r="AC62" s="18" t="str">
        <x:f>IF(AND(J62&gt;0,L62&lt;=0),"Missing replacement cost",IF(I62&gt;H62,"Usage exceeds stock",""))</x:f>
      </x:c>
    </x:row>
    <x:row r="63">
      <x:c r="A63" t="s">
        <x:v>15</x:v>
      </x:c>
      <x:c r="B63">
        <x:v>30</x:v>
      </x:c>
      <x:c r="C63" t="s">
        <x:v>64</x:v>
      </x:c>
      <x:c r="D63" t="s">
        <x:v>41</x:v>
      </x:c>
      <x:c r="E63">
        <x:v>7.17</x:v>
      </x:c>
      <x:c r="F63">
        <x:v>83</x:v>
      </x:c>
      <x:c r="G63" s="22" t="n">
        <x:f>SUMIFS('Receipts to be received in'!$P$2:$P$53,'Receipts to be received in'!$B$2:$B$53,B63,'Receipts to be received in'!$C$2:$C$53,D63)</x:f>
        <x:v>0</x:v>
      </x:c>
      <x:c r="H63" s="23" t="n">
        <x:f>F63+G63</x:f>
        <x:v>83</x:v>
      </x:c>
      <x:c r="I63" s="22" t="n">
        <x:f>E63*'Receipts to be received in'!$R$7*'Receipts to be received in'!$R$10</x:f>
        <x:v>12.484928131416838</x:v>
      </x:c>
      <x:c r="J63" s="23" t="n">
        <x:f>MAX(0,H63-I63)</x:f>
        <x:v>70.51507186858316</x:v>
      </x:c>
      <x:c r="K63">
        <x:v>0</x:v>
      </x:c>
      <x:c r="L63">
        <x:v>38.67</x:v>
      </x:c>
      <x:c r="M63" s="1">
        <x:v>46134</x:v>
      </x:c>
      <x:c r="N63">
        <x:v>32.19</x:v>
      </x:c>
      <x:c r="O63" s="3">
        <x:v>46027</x:v>
      </x:c>
      <x:c r="P63" s="3">
        <x:v>46224</x:v>
      </x:c>
      <x:c r="Q63" s="2">
        <x:v>-0.1676</x:v>
      </x:c>
      <x:c r="R63">
        <x:v>11.5760111576011</x:v>
      </x:c>
      <x:c r="S63">
        <x:v>11.5760111576011</x:v>
      </x:c>
      <x:c r="T63">
        <x:v>537.84</x:v>
      </x:c>
      <x:c r="U63">
        <x:v>0</x:v>
      </x:c>
      <x:c r="V63">
        <x:v>2671.77</x:v>
      </x:c>
      <x:c r="W63">
        <x:v>3209.61</x:v>
      </x:c>
      <x:c r="X63">
        <x:v>720.75</x:v>
      </x:c>
      <x:c r="Y63" s="31" t="n">
        <x:f>J63*N63</x:f>
        <x:v>2269.8801634496917</x:v>
      </x:c>
      <x:c r="Z63" s="31" t="n">
        <x:f>IF(J63=0,0,IF(L63&gt;0,J63*L63,"n.a."))</x:f>
        <x:v>2726.817829158111</x:v>
      </x:c>
      <x:c r="AA63" s="31" t="n">
        <x:f>IF(J63=0,0,IF(ISNUMBER(Z63),Z63-Y63,"n.a."))</x:f>
        <x:v>456.93766570841944</x:v>
      </x:c>
      <x:c r="AB63" s="32" t="n">
        <x:f>IF(AND(J63&gt;0,L63&gt;0,N63&gt;0),L63/N63-1,"n.a.")</x:f>
        <x:v>0.20130475302889117</x:v>
      </x:c>
      <x:c r="AC63" s="18" t="str">
        <x:f>IF(AND(J63&gt;0,L63&lt;=0),"Missing replacement cost",IF(I63&gt;H63,"Usage exceeds stock",""))</x:f>
      </x:c>
    </x:row>
    <x:row r="64">
      <x:c r="A64" t="s">
        <x:v>15</x:v>
      </x:c>
      <x:c r="B64">
        <x:v>10</x:v>
      </x:c>
      <x:c r="C64" t="s">
        <x:v>64</x:v>
      </x:c>
      <x:c r="D64" t="s">
        <x:v>77</x:v>
      </x:c>
      <x:c r="E64">
        <x:v>6.83</x:v>
      </x:c>
      <x:c r="F64">
        <x:v>76</x:v>
      </x:c>
      <x:c r="G64" s="22" t="n">
        <x:f>SUMIFS('Receipts to be received in'!$P$2:$P$53,'Receipts to be received in'!$B$2:$B$53,B64,'Receipts to be received in'!$C$2:$C$53,D64)</x:f>
        <x:v>0</x:v>
      </x:c>
      <x:c r="H64" s="23" t="n">
        <x:f>F64+G64</x:f>
        <x:v>76</x:v>
      </x:c>
      <x:c r="I64" s="22" t="n">
        <x:f>E64*'Receipts to be received in'!$R$7*'Receipts to be received in'!$R$10</x:f>
        <x:v>11.892895277207392</x:v>
      </x:c>
      <x:c r="J64" s="23" t="n">
        <x:f>MAX(0,H64-I64)</x:f>
        <x:v>64.10710472279261</x:v>
      </x:c>
      <x:c r="K64">
        <x:v>0</x:v>
      </x:c>
      <x:c r="L64">
        <x:v>17.55</x:v>
      </x:c>
      <x:c r="M64" s="1">
        <x:v>46134</x:v>
      </x:c>
      <x:c r="N64">
        <x:v>14.63</x:v>
      </x:c>
      <x:c r="O64" s="3">
        <x:v>46027</x:v>
      </x:c>
      <x:c r="P64" s="3">
        <x:v>46231</x:v>
      </x:c>
      <x:c r="Q64" s="2">
        <x:v>-0.16639999999999999</x:v>
      </x:c>
      <x:c r="R64">
        <x:v>11.1273792093704</x:v>
      </x:c>
      <x:c r="S64">
        <x:v>11.1273792093704</x:v>
      </x:c>
      <x:c r="T64">
        <x:v>221.92</x:v>
      </x:c>
      <x:c r="U64">
        <x:v>0</x:v>
      </x:c>
      <x:c r="V64">
        <x:v>1111.8800000000001</x:v>
      </x:c>
      <x:c r="W64">
        <x:v>1333.8</x:v>
      </x:c>
      <x:c r="X64">
        <x:v>300.31</x:v>
      </x:c>
      <x:c r="Y64" s="31" t="n">
        <x:f>J64*N64</x:f>
        <x:v>937.886942094456</x:v>
      </x:c>
      <x:c r="Z64" s="31" t="n">
        <x:f>IF(J64=0,0,IF(L64&gt;0,J64*L64,"n.a."))</x:f>
        <x:v>1125.0796878850103</x:v>
      </x:c>
      <x:c r="AA64" s="31" t="n">
        <x:f>IF(J64=0,0,IF(ISNUMBER(Z64),Z64-Y64,"n.a."))</x:f>
        <x:v>187.19274579055434</x:v>
      </x:c>
      <x:c r="AB64" s="32" t="n">
        <x:f>IF(AND(J64&gt;0,L64&gt;0,N64&gt;0),L64/N64-1,"n.a.")</x:f>
        <x:v>0.1995898838004102</x:v>
      </x:c>
      <x:c r="AC64" s="18" t="str">
        <x:f>IF(AND(J64&gt;0,L64&lt;=0),"Missing replacement cost",IF(I64&gt;H64,"Usage exceeds stock",""))</x:f>
      </x:c>
    </x:row>
    <x:row r="65">
      <x:c r="A65" t="s">
        <x:v>15</x:v>
      </x:c>
      <x:c r="B65">
        <x:v>30</x:v>
      </x:c>
      <x:c r="C65" t="s">
        <x:v>64</x:v>
      </x:c>
      <x:c r="D65" t="s">
        <x:v>75</x:v>
      </x:c>
      <x:c r="E65">
        <x:v>6.67</x:v>
      </x:c>
      <x:c r="F65">
        <x:v>44</x:v>
      </x:c>
      <x:c r="G65" s="22" t="n">
        <x:f>SUMIFS('Receipts to be received in'!$P$2:$P$53,'Receipts to be received in'!$B$2:$B$53,B65,'Receipts to be received in'!$C$2:$C$53,D65)</x:f>
        <x:v>0</x:v>
      </x:c>
      <x:c r="H65" s="23" t="n">
        <x:f>F65+G65</x:f>
        <x:v>44</x:v>
      </x:c>
      <x:c r="I65" s="22" t="n">
        <x:f>E65*'Receipts to be received in'!$R$7*'Receipts to be received in'!$R$10</x:f>
        <x:v>11.61429158110883</x:v>
      </x:c>
      <x:c r="J65" s="23" t="n">
        <x:f>MAX(0,H65-I65)</x:f>
        <x:v>32.38570841889117</x:v>
      </x:c>
      <x:c r="K65">
        <x:v>0</x:v>
      </x:c>
      <x:c r="L65">
        <x:v>75.599999999999994</x:v>
      </x:c>
      <x:c r="M65" s="1">
        <x:v>46133</x:v>
      </x:c>
      <x:c r="N65">
        <x:v>63</x:v>
      </x:c>
      <x:c r="O65" s="3">
        <x:v>46027</x:v>
      </x:c>
      <x:c r="P65" s="3">
        <x:v>45579</x:v>
      </x:c>
      <x:c r="Q65" s="2">
        <x:v>-0.16669999999999999</x:v>
      </x:c>
      <x:c r="R65">
        <x:v>6.5967016491754098</x:v>
      </x:c>
      <x:c r="S65">
        <x:v>6.5967016491754098</x:v>
      </x:c>
      <x:c r="T65">
        <x:v>554.39999999999895</x:v>
      </x:c>
      <x:c r="U65">
        <x:v>0</x:v>
      </x:c>
      <x:c r="V65">
        <x:v>2772</x:v>
      </x:c>
      <x:c r="W65">
        <x:v>3326.3999999999901</x:v>
      </x:c>
      <x:c r="X65">
        <x:v>1381.52</x:v>
      </x:c>
      <x:c r="Y65" s="31" t="n">
        <x:f>J65*N65</x:f>
        <x:v>2040.2996303901436</x:v>
      </x:c>
      <x:c r="Z65" s="31" t="n">
        <x:f>IF(J65=0,0,IF(L65&gt;0,J65*L65,"n.a."))</x:f>
        <x:v>2448.3595564681723</x:v>
      </x:c>
      <x:c r="AA65" s="31" t="n">
        <x:f>IF(J65=0,0,IF(ISNUMBER(Z65),Z65-Y65,"n.a."))</x:f>
        <x:v>408.05992607802864</x:v>
      </x:c>
      <x:c r="AB65" s="32" t="n">
        <x:f>IF(AND(J65&gt;0,L65&gt;0,N65&gt;0),L65/N65-1,"n.a.")</x:f>
        <x:v>0.19999999999999996</x:v>
      </x:c>
      <x:c r="AC65" s="18" t="str">
        <x:f>IF(AND(J65&gt;0,L65&lt;=0),"Missing replacement cost",IF(I65&gt;H65,"Usage exceeds stock",""))</x:f>
      </x:c>
    </x:row>
    <x:row r="66">
      <x:c r="A66" t="s">
        <x:v>15</x:v>
      </x:c>
      <x:c r="B66">
        <x:v>60</x:v>
      </x:c>
      <x:c r="C66" t="s">
        <x:v>64</x:v>
      </x:c>
      <x:c r="D66" t="s">
        <x:v>69</x:v>
      </x:c>
      <x:c r="E66">
        <x:v>6.42</x:v>
      </x:c>
      <x:c r="F66">
        <x:v>3</x:v>
      </x:c>
      <x:c r="G66" s="22" t="n">
        <x:f>SUMIFS('Receipts to be received in'!$P$2:$P$53,'Receipts to be received in'!$B$2:$B$53,B66,'Receipts to be received in'!$C$2:$C$53,D66)</x:f>
        <x:v>0</x:v>
      </x:c>
      <x:c r="H66" s="23" t="n">
        <x:f>F66+G66</x:f>
        <x:v>3</x:v>
      </x:c>
      <x:c r="I66" s="22" t="n">
        <x:f>E66*'Receipts to be received in'!$R$7*'Receipts to be received in'!$R$10</x:f>
        <x:v>11.178973305954825</x:v>
      </x:c>
      <x:c r="J66" s="23" t="n">
        <x:f>MAX(0,H66-I66)</x:f>
        <x:v>0</x:v>
      </x:c>
      <x:c r="K66">
        <x:v>87</x:v>
      </x:c>
      <x:c r="L66">
        <x:v>13.66</x:v>
      </x:c>
      <x:c r="M66" s="1">
        <x:v>46133</x:v>
      </x:c>
      <x:c r="N66">
        <x:v>11.38</x:v>
      </x:c>
      <x:c r="O66" s="3">
        <x:v>46027</x:v>
      </x:c>
      <x:c r="P66" s="3">
        <x:v>46104</x:v>
      </x:c>
      <x:c r="Q66" s="2">
        <x:v>-0.16689999999999999</x:v>
      </x:c>
      <x:c r="R66">
        <x:v>14.018691588785</x:v>
      </x:c>
      <x:c r="S66">
        <x:v>0.467289719626168</x:v>
      </x:c>
      <x:c r="T66">
        <x:v>6.8399999999999901</x:v>
      </x:c>
      <x:c r="U66">
        <x:v>198.35999999999899</x:v>
      </x:c>
      <x:c r="V66">
        <x:v>34.14</x:v>
      </x:c>
      <x:c r="W66">
        <x:v>40.98</x:v>
      </x:c>
      <x:c r="X66">
        <x:v>245.25</x:v>
      </x:c>
      <x:c r="Y66" s="31" t="n">
        <x:f>J66*N66</x:f>
        <x:v>0</x:v>
      </x:c>
      <x:c r="Z66" s="31" t="n">
        <x:f>IF(J66=0,0,IF(L66&gt;0,J66*L66,"n.a."))</x:f>
        <x:v>0</x:v>
      </x:c>
      <x:c r="AA66" s="31" t="n">
        <x:f>IF(J66=0,0,IF(ISNUMBER(Z66),Z66-Y66,"n.a."))</x:f>
        <x:v>0</x:v>
      </x:c>
      <x:c r="AB66" s="32" t="str">
        <x:f>IF(AND(J66&gt;0,L66&gt;0,N66&gt;0),L66/N66-1,"n.a.")</x:f>
        <x:v>n.a.</x:v>
      </x:c>
      <x:c r="AC66" s="18" t="str">
        <x:f>IF(AND(J66&gt;0,L66&lt;=0),"Missing replacement cost",IF(I66&gt;H66,"Usage exceeds stock",""))</x:f>
        <x:v>Usage exceeds stock</x:v>
      </x:c>
    </x:row>
    <x:row r="67">
      <x:c r="A67" t="s">
        <x:v>15</x:v>
      </x:c>
      <x:c r="B67">
        <x:v>60</x:v>
      </x:c>
      <x:c r="C67" t="s">
        <x:v>64</x:v>
      </x:c>
      <x:c r="D67" t="s">
        <x:v>27</x:v>
      </x:c>
      <x:c r="E67">
        <x:v>6.42</x:v>
      </x:c>
      <x:c r="F67">
        <x:v>36</x:v>
      </x:c>
      <x:c r="G67" s="22" t="n">
        <x:f>SUMIFS('Receipts to be received in'!$P$2:$P$53,'Receipts to be received in'!$B$2:$B$53,B67,'Receipts to be received in'!$C$2:$C$53,D67)</x:f>
        <x:v>0</x:v>
      </x:c>
      <x:c r="H67" s="23" t="n">
        <x:f>F67+G67</x:f>
        <x:v>36</x:v>
      </x:c>
      <x:c r="I67" s="22" t="n">
        <x:f>E67*'Receipts to be received in'!$R$7*'Receipts to be received in'!$R$10</x:f>
        <x:v>11.178973305954825</x:v>
      </x:c>
      <x:c r="J67" s="23" t="n">
        <x:f>MAX(0,H67-I67)</x:f>
        <x:v>24.821026694045173</x:v>
      </x:c>
      <x:c r="K67">
        <x:v>25</x:v>
      </x:c>
      <x:c r="L67">
        <x:v>38.67</x:v>
      </x:c>
      <x:c r="M67" s="1">
        <x:v>46134</x:v>
      </x:c>
      <x:c r="N67">
        <x:v>32.19</x:v>
      </x:c>
      <x:c r="O67" s="3">
        <x:v>46027</x:v>
      </x:c>
      <x:c r="P67" s="3">
        <x:v>46244</x:v>
      </x:c>
      <x:c r="Q67" s="2">
        <x:v>-0.1676</x:v>
      </x:c>
      <x:c r="R67">
        <x:v>9.5015576323987503</x:v>
      </x:c>
      <x:c r="S67">
        <x:v>5.6074766355140104</x:v>
      </x:c>
      <x:c r="T67">
        <x:v>239.76</x:v>
      </x:c>
      <x:c r="U67">
        <x:v>162</x:v>
      </x:c>
      <x:c r="V67">
        <x:v>1191.03</x:v>
      </x:c>
      <x:c r="W67">
        <x:v>1430.79</x:v>
      </x:c>
      <x:c r="X67">
        <x:v>720.75</x:v>
      </x:c>
      <x:c r="Y67" s="31" t="n">
        <x:f>J67*N67</x:f>
        <x:v>798.9888492813141</x:v>
      </x:c>
      <x:c r="Z67" s="31" t="n">
        <x:f>IF(J67=0,0,IF(L67&gt;0,J67*L67,"n.a."))</x:f>
        <x:v>959.8291022587268</x:v>
      </x:c>
      <x:c r="AA67" s="31" t="n">
        <x:f>IF(J67=0,0,IF(ISNUMBER(Z67),Z67-Y67,"n.a."))</x:f>
        <x:v>160.84025297741277</x:v>
      </x:c>
      <x:c r="AB67" s="32" t="n">
        <x:f>IF(AND(J67&gt;0,L67&gt;0,N67&gt;0),L67/N67-1,"n.a.")</x:f>
        <x:v>0.20130475302889117</x:v>
      </x:c>
      <x:c r="AC67" s="18" t="str">
        <x:f>IF(AND(J67&gt;0,L67&lt;=0),"Missing replacement cost",IF(I67&gt;H67,"Usage exceeds stock",""))</x:f>
      </x:c>
    </x:row>
    <x:row r="68">
      <x:c r="A68" t="s">
        <x:v>15</x:v>
      </x:c>
      <x:c r="B68">
        <x:v>10</x:v>
      </x:c>
      <x:c r="C68" t="s">
        <x:v>64</x:v>
      </x:c>
      <x:c r="D68" t="s">
        <x:v>41</x:v>
      </x:c>
      <x:c r="E68">
        <x:v>6.33</x:v>
      </x:c>
      <x:c r="F68">
        <x:v>43</x:v>
      </x:c>
      <x:c r="G68" s="22" t="n">
        <x:f>SUMIFS('Receipts to be received in'!$P$2:$P$53,'Receipts to be received in'!$B$2:$B$53,B68,'Receipts to be received in'!$C$2:$C$53,D68)</x:f>
        <x:v>0</x:v>
      </x:c>
      <x:c r="H68" s="23" t="n">
        <x:f>F68+G68</x:f>
        <x:v>43</x:v>
      </x:c>
      <x:c r="I68" s="22" t="n">
        <x:f>E68*'Receipts to be received in'!$R$7*'Receipts to be received in'!$R$10</x:f>
        <x:v>11.022258726899384</x:v>
      </x:c>
      <x:c r="J68" s="23" t="n">
        <x:f>MAX(0,H68-I68)</x:f>
        <x:v>31.977741273100616</x:v>
      </x:c>
      <x:c r="K68">
        <x:v>64</x:v>
      </x:c>
      <x:c r="L68">
        <x:v>38.67</x:v>
      </x:c>
      <x:c r="M68" s="1">
        <x:v>46134</x:v>
      </x:c>
      <x:c r="N68">
        <x:v>32.19</x:v>
      </x:c>
      <x:c r="O68" s="3">
        <x:v>46027</x:v>
      </x:c>
      <x:c r="P68" s="3">
        <x:v>46070</x:v>
      </x:c>
      <x:c r="Q68" s="2">
        <x:v>-0.1676</x:v>
      </x:c>
      <x:c r="R68">
        <x:v>16.903633491311201</x:v>
      </x:c>
      <x:c r="S68">
        <x:v>6.79304897314376</x:v>
      </x:c>
      <x:c r="T68">
        <x:v>278.64</x:v>
      </x:c>
      <x:c r="U68">
        <x:v>414.72</x:v>
      </x:c>
      <x:c r="V68">
        <x:v>1384.1699999999901</x:v>
      </x:c>
      <x:c r="W68">
        <x:v>1662.81</x:v>
      </x:c>
      <x:c r="X68">
        <x:v>720.75</x:v>
      </x:c>
      <x:c r="Y68" s="31" t="n">
        <x:f>J68*N68</x:f>
        <x:v>1029.3634915811087</x:v>
      </x:c>
      <x:c r="Z68" s="31" t="n">
        <x:f>IF(J68=0,0,IF(L68&gt;0,J68*L68,"n.a."))</x:f>
        <x:v>1236.5792550308008</x:v>
      </x:c>
      <x:c r="AA68" s="31" t="n">
        <x:f>IF(J68=0,0,IF(ISNUMBER(Z68),Z68-Y68,"n.a."))</x:f>
        <x:v>207.21576344969208</x:v>
      </x:c>
      <x:c r="AB68" s="32" t="n">
        <x:f>IF(AND(J68&gt;0,L68&gt;0,N68&gt;0),L68/N68-1,"n.a.")</x:f>
        <x:v>0.20130475302889117</x:v>
      </x:c>
      <x:c r="AC68" s="18" t="str">
        <x:f>IF(AND(J68&gt;0,L68&lt;=0),"Missing replacement cost",IF(I68&gt;H68,"Usage exceeds stock",""))</x:f>
      </x:c>
    </x:row>
    <x:row r="69">
      <x:c r="A69" t="s">
        <x:v>15</x:v>
      </x:c>
      <x:c r="B69">
        <x:v>10</x:v>
      </x:c>
      <x:c r="C69" t="s">
        <x:v>64</x:v>
      </x:c>
      <x:c r="D69" t="s">
        <x:v>78</x:v>
      </x:c>
      <x:c r="E69">
        <x:v>6.17</x:v>
      </x:c>
      <x:c r="F69">
        <x:v>66</x:v>
      </x:c>
      <x:c r="G69" s="22" t="n">
        <x:f>SUMIFS('Receipts to be received in'!$P$2:$P$53,'Receipts to be received in'!$B$2:$B$53,B69,'Receipts to be received in'!$C$2:$C$53,D69)</x:f>
        <x:v>0</x:v>
      </x:c>
      <x:c r="H69" s="23" t="n">
        <x:f>F69+G69</x:f>
        <x:v>66</x:v>
      </x:c>
      <x:c r="I69" s="22" t="n">
        <x:f>E69*'Receipts to be received in'!$R$7*'Receipts to be received in'!$R$10</x:f>
        <x:v>10.743655030800822</x:v>
      </x:c>
      <x:c r="J69" s="23" t="n">
        <x:f>MAX(0,H69-I69)</x:f>
        <x:v>55.256344969199176</x:v>
      </x:c>
      <x:c r="K69">
        <x:v>0</x:v>
      </x:c>
      <x:c r="L69">
        <x:v>35.1</x:v>
      </x:c>
      <x:c r="M69" s="1">
        <x:v>46133</x:v>
      </x:c>
      <x:c r="N69">
        <x:v>29.25</x:v>
      </x:c>
      <x:c r="O69" s="3">
        <x:v>46027</x:v>
      </x:c>
      <x:c r="P69" s="3">
        <x:v>46153</x:v>
      </x:c>
      <x:c r="Q69" s="2">
        <x:v>-0.16669999999999999</x:v>
      </x:c>
      <x:c r="R69">
        <x:v>10.6969205834683</x:v>
      </x:c>
      <x:c r="S69">
        <x:v>10.6969205834683</x:v>
      </x:c>
      <x:c r="T69">
        <x:v>386.1</x:v>
      </x:c>
      <x:c r="U69">
        <x:v>0</x:v>
      </x:c>
      <x:c r="V69">
        <x:v>1930.5</x:v>
      </x:c>
      <x:c r="W69">
        <x:v>2316.6</x:v>
      </x:c>
      <x:c r="X69">
        <x:v>600.4</x:v>
      </x:c>
      <x:c r="Y69" s="31" t="n">
        <x:f>J69*N69</x:f>
        <x:v>1616.248090349076</x:v>
      </x:c>
      <x:c r="Z69" s="31" t="n">
        <x:f>IF(J69=0,0,IF(L69&gt;0,J69*L69,"n.a."))</x:f>
        <x:v>1939.497708418891</x:v>
      </x:c>
      <x:c r="AA69" s="31" t="n">
        <x:f>IF(J69=0,0,IF(ISNUMBER(Z69),Z69-Y69,"n.a."))</x:f>
        <x:v>323.24961806981514</x:v>
      </x:c>
      <x:c r="AB69" s="32" t="n">
        <x:f>IF(AND(J69&gt;0,L69&gt;0,N69&gt;0),L69/N69-1,"n.a.")</x:f>
        <x:v>0.19999999999999996</x:v>
      </x:c>
      <x:c r="AC69" s="18" t="str">
        <x:f>IF(AND(J69&gt;0,L69&lt;=0),"Missing replacement cost",IF(I69&gt;H69,"Usage exceeds stock",""))</x:f>
      </x:c>
    </x:row>
    <x:row r="70">
      <x:c r="A70" t="s">
        <x:v>15</x:v>
      </x:c>
      <x:c r="B70">
        <x:v>10</x:v>
      </x:c>
      <x:c r="C70" t="s">
        <x:v>64</x:v>
      </x:c>
      <x:c r="D70" t="s">
        <x:v>79</x:v>
      </x:c>
      <x:c r="E70">
        <x:v>5.83</x:v>
      </x:c>
      <x:c r="F70">
        <x:v>71</x:v>
      </x:c>
      <x:c r="G70" s="22" t="n">
        <x:f>SUMIFS('Receipts to be received in'!$P$2:$P$53,'Receipts to be received in'!$B$2:$B$53,B70,'Receipts to be received in'!$C$2:$C$53,D70)</x:f>
        <x:v>0</x:v>
      </x:c>
      <x:c r="H70" s="23" t="n">
        <x:f>F70+G70</x:f>
        <x:v>71</x:v>
      </x:c>
      <x:c r="I70" s="22" t="n">
        <x:f>E70*'Receipts to be received in'!$R$7*'Receipts to be received in'!$R$10</x:f>
        <x:v>10.151622176591376</x:v>
      </x:c>
      <x:c r="J70" s="23" t="n">
        <x:f>MAX(0,H70-I70)</x:f>
        <x:v>60.848377823408626</x:v>
      </x:c>
      <x:c r="K70">
        <x:v>0</x:v>
      </x:c>
      <x:c r="L70">
        <x:v>7.78</x:v>
      </x:c>
      <x:c r="M70" s="1">
        <x:v>46133</x:v>
      </x:c>
      <x:c r="N70">
        <x:v>6.48</x:v>
      </x:c>
      <x:c r="O70" s="3">
        <x:v>46027</x:v>
      </x:c>
      <x:c r="P70" s="3">
        <x:v>46153</x:v>
      </x:c>
      <x:c r="Q70" s="2">
        <x:v>-0.1671</x:v>
      </x:c>
      <x:c r="R70">
        <x:v>12.1783876500857</x:v>
      </x:c>
      <x:c r="S70">
        <x:v>12.1783876500857</x:v>
      </x:c>
      <x:c r="T70">
        <x:v>92.299999999999898</x:v>
      </x:c>
      <x:c r="U70">
        <x:v>0</x:v>
      </x:c>
      <x:c r="V70">
        <x:v>460.08</x:v>
      </x:c>
      <x:c r="W70">
        <x:v>552.38</x:v>
      </x:c>
      <x:c r="X70">
        <x:v>169.82</x:v>
      </x:c>
      <x:c r="Y70" s="31" t="n">
        <x:f>J70*N70</x:f>
        <x:v>394.2974882956879</x:v>
      </x:c>
      <x:c r="Z70" s="31" t="n">
        <x:f>IF(J70=0,0,IF(L70&gt;0,J70*L70,"n.a."))</x:f>
        <x:v>473.40037946611915</x:v>
      </x:c>
      <x:c r="AA70" s="31" t="n">
        <x:f>IF(J70=0,0,IF(ISNUMBER(Z70),Z70-Y70,"n.a."))</x:f>
        <x:v>79.10289117043123</x:v>
      </x:c>
      <x:c r="AB70" s="32" t="n">
        <x:f>IF(AND(J70&gt;0,L70&gt;0,N70&gt;0),L70/N70-1,"n.a.")</x:f>
        <x:v>0.2006172839506173</x:v>
      </x:c>
      <x:c r="AC70" s="18" t="str">
        <x:f>IF(AND(J70&gt;0,L70&lt;=0),"Missing replacement cost",IF(I70&gt;H70,"Usage exceeds stock",""))</x:f>
      </x:c>
    </x:row>
    <x:row r="71">
      <x:c r="A71" t="s">
        <x:v>15</x:v>
      </x:c>
      <x:c r="B71">
        <x:v>10</x:v>
      </x:c>
      <x:c r="C71" t="s">
        <x:v>64</x:v>
      </x:c>
      <x:c r="D71" t="s">
        <x:v>80</x:v>
      </x:c>
      <x:c r="E71">
        <x:v>5.67</x:v>
      </x:c>
      <x:c r="F71">
        <x:v>52</x:v>
      </x:c>
      <x:c r="G71" s="22" t="n">
        <x:f>SUMIFS('Receipts to be received in'!$P$2:$P$53,'Receipts to be received in'!$B$2:$B$53,B71,'Receipts to be received in'!$C$2:$C$53,D71)</x:f>
        <x:v>0</x:v>
      </x:c>
      <x:c r="H71" s="23" t="n">
        <x:f>F71+G71</x:f>
        <x:v>52</x:v>
      </x:c>
      <x:c r="I71" s="22" t="n">
        <x:f>E71*'Receipts to be received in'!$R$7*'Receipts to be received in'!$R$10</x:f>
        <x:v>9.873018480492814</x:v>
      </x:c>
      <x:c r="J71" s="23" t="n">
        <x:f>MAX(0,H71-I71)</x:f>
        <x:v>42.12698151950718</x:v>
      </x:c>
      <x:c r="K71">
        <x:v>0</x:v>
      </x:c>
      <x:c r="L71">
        <x:v>25.44</x:v>
      </x:c>
      <x:c r="M71" s="1">
        <x:v>46134</x:v>
      </x:c>
      <x:c r="N71">
        <x:v>21.18</x:v>
      </x:c>
      <x:c r="O71" s="3">
        <x:v>46027</x:v>
      </x:c>
      <x:c r="P71" s="3">
        <x:v>46189</x:v>
      </x:c>
      <x:c r="Q71" s="2">
        <x:v>-0.16750000000000001</x:v>
      </x:c>
      <x:c r="R71">
        <x:v>9.1710758377424995</x:v>
      </x:c>
      <x:c r="S71">
        <x:v>9.1710758377424995</x:v>
      </x:c>
      <x:c r="T71">
        <x:v>221.52</x:v>
      </x:c>
      <x:c r="U71">
        <x:v>0</x:v>
      </x:c>
      <x:c r="V71">
        <x:v>1101.3599999999999</x:v>
      </x:c>
      <x:c r="W71">
        <x:v>1322.88</x:v>
      </x:c>
      <x:c r="X71">
        <x:v>474.27</x:v>
      </x:c>
      <x:c r="Y71" s="31" t="n">
        <x:f>J71*N71</x:f>
        <x:v>892.2494685831621</x:v>
      </x:c>
      <x:c r="Z71" s="31" t="n">
        <x:f>IF(J71=0,0,IF(L71&gt;0,J71*L71,"n.a."))</x:f>
        <x:v>1071.7104098562627</x:v>
      </x:c>
      <x:c r="AA71" s="31" t="n">
        <x:f>IF(J71=0,0,IF(ISNUMBER(Z71),Z71-Y71,"n.a."))</x:f>
        <x:v>179.46094127310062</x:v>
      </x:c>
      <x:c r="AB71" s="32" t="n">
        <x:f>IF(AND(J71&gt;0,L71&gt;0,N71&gt;0),L71/N71-1,"n.a.")</x:f>
        <x:v>0.2011331444759208</x:v>
      </x:c>
      <x:c r="AC71" s="18" t="str">
        <x:f>IF(AND(J71&gt;0,L71&lt;=0),"Missing replacement cost",IF(I71&gt;H71,"Usage exceeds stock",""))</x:f>
      </x:c>
    </x:row>
    <x:row r="72">
      <x:c r="A72" t="s">
        <x:v>15</x:v>
      </x:c>
      <x:c r="B72">
        <x:v>10</x:v>
      </x:c>
      <x:c r="C72" t="s">
        <x:v>64</x:v>
      </x:c>
      <x:c r="D72" t="s">
        <x:v>81</x:v>
      </x:c>
      <x:c r="E72">
        <x:v>5.5</x:v>
      </x:c>
      <x:c r="F72">
        <x:v>1</x:v>
      </x:c>
      <x:c r="G72" s="22" t="n">
        <x:f>SUMIFS('Receipts to be received in'!$P$2:$P$53,'Receipts to be received in'!$B$2:$B$53,B72,'Receipts to be received in'!$C$2:$C$53,D72)</x:f>
        <x:v>0</x:v>
      </x:c>
      <x:c r="H72" s="23" t="n">
        <x:f>F72+G72</x:f>
        <x:v>1</x:v>
      </x:c>
      <x:c r="I72" s="22" t="n">
        <x:f>E72*'Receipts to be received in'!$R$7*'Receipts to be received in'!$R$10</x:f>
        <x:v>9.57700205338809</x:v>
      </x:c>
      <x:c r="J72" s="23" t="n">
        <x:f>MAX(0,H72-I72)</x:f>
        <x:v>0</x:v>
      </x:c>
      <x:c r="K72">
        <x:v>0</x:v>
      </x:c>
      <x:c r="L72">
        <x:v>0</x:v>
      </x:c>
      <x:c r="M72" s="1">
        <x:v>45078</x:v>
      </x:c>
      <x:c r="N72">
        <x:v>10.73</x:v>
      </x:c>
      <x:c r="O72" s="3">
        <x:v>45269</x:v>
      </x:c>
      <x:c r="P72" s="3">
        <x:v>45460</x:v>
      </x:c>
      <x:c r="Q72" t="s">
        <x:v>73</x:v>
      </x:c>
      <x:c r="R72">
        <x:v>0.18181818181818099</x:v>
      </x:c>
      <x:c r="S72">
        <x:v>0.18181818181818099</x:v>
      </x:c>
      <x:c r="T72">
        <x:v>-10.73</x:v>
      </x:c>
      <x:c r="U72">
        <x:v>0</x:v>
      </x:c>
      <x:c r="V72">
        <x:v>10.73</x:v>
      </x:c>
      <x:c r="W72">
        <x:v>0</x:v>
      </x:c>
      <x:c r="X72">
        <x:v>137.97</x:v>
      </x:c>
      <x:c r="Y72" s="31" t="n">
        <x:f>J72*N72</x:f>
        <x:v>0</x:v>
      </x:c>
      <x:c r="Z72" s="31" t="n">
        <x:f>IF(J72=0,0,IF(L72&gt;0,J72*L72,"n.a."))</x:f>
        <x:v>0</x:v>
      </x:c>
      <x:c r="AA72" s="31" t="n">
        <x:f>IF(J72=0,0,IF(ISNUMBER(Z72),Z72-Y72,"n.a."))</x:f>
        <x:v>0</x:v>
      </x:c>
      <x:c r="AB72" s="32" t="str">
        <x:f>IF(AND(J72&gt;0,L72&gt;0,N72&gt;0),L72/N72-1,"n.a.")</x:f>
        <x:v>n.a.</x:v>
      </x:c>
      <x:c r="AC72" s="18" t="str">
        <x:f>IF(AND(J72&gt;0,L72&lt;=0),"Missing replacement cost",IF(I72&gt;H72,"Usage exceeds stock",""))</x:f>
        <x:v>Usage exceeds stock</x:v>
      </x:c>
    </x:row>
    <x:row r="73">
      <x:c r="A73" t="s">
        <x:v>15</x:v>
      </x:c>
      <x:c r="B73">
        <x:v>30</x:v>
      </x:c>
      <x:c r="C73" t="s">
        <x:v>64</x:v>
      </x:c>
      <x:c r="D73" t="s">
        <x:v>82</x:v>
      </x:c>
      <x:c r="E73">
        <x:v>5.33</x:v>
      </x:c>
      <x:c r="F73">
        <x:v>83</x:v>
      </x:c>
      <x:c r="G73" s="22" t="n">
        <x:f>SUMIFS('Receipts to be received in'!$P$2:$P$53,'Receipts to be received in'!$B$2:$B$53,B73,'Receipts to be received in'!$C$2:$C$53,D73)</x:f>
        <x:v>0</x:v>
      </x:c>
      <x:c r="H73" s="23" t="n">
        <x:f>F73+G73</x:f>
        <x:v>83</x:v>
      </x:c>
      <x:c r="I73" s="22" t="n">
        <x:f>E73*'Receipts to be received in'!$R$7*'Receipts to be received in'!$R$10</x:f>
        <x:v>9.280985626283368</x:v>
      </x:c>
      <x:c r="J73" s="23" t="n">
        <x:f>MAX(0,H73-I73)</x:f>
        <x:v>73.71901437371663</x:v>
      </x:c>
      <x:c r="K73">
        <x:v>0</x:v>
      </x:c>
      <x:c r="L73">
        <x:v>0</x:v>
      </x:c>
      <x:c r="M73" s="1">
        <x:v>45078</x:v>
      </x:c>
      <x:c r="N73">
        <x:v>3.75</x:v>
      </x:c>
      <x:c r="O73" s="3">
        <x:v>45269</x:v>
      </x:c>
      <x:c r="P73" s="3">
        <x:v>42921</x:v>
      </x:c>
      <x:c r="Q73" t="s">
        <x:v>73</x:v>
      </x:c>
      <x:c r="R73">
        <x:v>15.5722326454033</x:v>
      </x:c>
      <x:c r="S73">
        <x:v>15.5722326454033</x:v>
      </x:c>
      <x:c r="T73">
        <x:v>-311.25</x:v>
      </x:c>
      <x:c r="U73">
        <x:v>0</x:v>
      </x:c>
      <x:c r="V73">
        <x:v>311.25</x:v>
      </x:c>
      <x:c r="W73">
        <x:v>0</x:v>
      </x:c>
      <x:c r="X73">
        <x:v>51.21</x:v>
      </x:c>
      <x:c r="Y73" s="31" t="n">
        <x:f>J73*N73</x:f>
        <x:v>276.4463039014374</x:v>
      </x:c>
      <x:c r="Z73" s="31" t="str">
        <x:f>IF(J73=0,0,IF(L73&gt;0,J73*L73,"n.a."))</x:f>
        <x:v>n.a.</x:v>
      </x:c>
      <x:c r="AA73" s="31" t="str">
        <x:f>IF(J73=0,0,IF(ISNUMBER(Z73),Z73-Y73,"n.a."))</x:f>
        <x:v>n.a.</x:v>
      </x:c>
      <x:c r="AB73" s="32" t="str">
        <x:f>IF(AND(J73&gt;0,L73&gt;0,N73&gt;0),L73/N73-1,"n.a.")</x:f>
        <x:v>n.a.</x:v>
      </x:c>
      <x:c r="AC73" s="18" t="str">
        <x:f>IF(AND(J73&gt;0,L73&lt;=0),"Missing replacement cost",IF(I73&gt;H73,"Usage exceeds stock",""))</x:f>
        <x:v>Missing replacement cost</x:v>
      </x:c>
    </x:row>
    <x:row r="74">
      <x:c r="A74" t="s">
        <x:v>15</x:v>
      </x:c>
      <x:c r="B74">
        <x:v>30</x:v>
      </x:c>
      <x:c r="C74" t="s">
        <x:v>64</x:v>
      </x:c>
      <x:c r="D74" t="s">
        <x:v>32</x:v>
      </x:c>
      <x:c r="E74">
        <x:v>5.25</x:v>
      </x:c>
      <x:c r="F74">
        <x:v>129</x:v>
      </x:c>
      <x:c r="G74" s="22" t="n">
        <x:f>SUMIFS('Receipts to be received in'!$P$2:$P$53,'Receipts to be received in'!$B$2:$B$53,B74,'Receipts to be received in'!$C$2:$C$53,D74)</x:f>
        <x:v>0</x:v>
      </x:c>
      <x:c r="H74" s="23" t="n">
        <x:f>F74+G74</x:f>
        <x:v>129</x:v>
      </x:c>
      <x:c r="I74" s="22" t="n">
        <x:f>E74*'Receipts to be received in'!$R$7*'Receipts to be received in'!$R$10</x:f>
        <x:v>9.141683778234086</x:v>
      </x:c>
      <x:c r="J74" s="23" t="n">
        <x:f>MAX(0,H74-I74)</x:f>
        <x:v>119.85831622176592</x:v>
      </x:c>
      <x:c r="K74">
        <x:v>0</x:v>
      </x:c>
      <x:c r="L74">
        <x:v>20.25</x:v>
      </x:c>
      <x:c r="M74" s="1">
        <x:v>46134</x:v>
      </x:c>
      <x:c r="N74">
        <x:v>16.88</x:v>
      </x:c>
      <x:c r="O74" s="3">
        <x:v>46027</x:v>
      </x:c>
      <x:c r="P74" s="3">
        <x:v>45894</x:v>
      </x:c>
      <x:c r="Q74" s="2">
        <x:v>-0.16639999999999999</x:v>
      </x:c>
      <x:c r="R74">
        <x:v>24.571428571428498</x:v>
      </x:c>
      <x:c r="S74">
        <x:v>24.571428571428498</x:v>
      </x:c>
      <x:c r="T74">
        <x:v>434.73</x:v>
      </x:c>
      <x:c r="U74">
        <x:v>0</x:v>
      </x:c>
      <x:c r="V74">
        <x:v>2177.52</x:v>
      </x:c>
      <x:c r="W74">
        <x:v>2612.25</x:v>
      </x:c>
      <x:c r="X74">
        <x:v>346.4</x:v>
      </x:c>
      <x:c r="Y74" s="31" t="n">
        <x:f>J74*N74</x:f>
        <x:v>2023.2083778234087</x:v>
      </x:c>
      <x:c r="Z74" s="31" t="n">
        <x:f>IF(J74=0,0,IF(L74&gt;0,J74*L74,"n.a."))</x:f>
        <x:v>2427.13090349076</x:v>
      </x:c>
      <x:c r="AA74" s="31" t="n">
        <x:f>IF(J74=0,0,IF(ISNUMBER(Z74),Z74-Y74,"n.a."))</x:f>
        <x:v>403.92252566735124</x:v>
      </x:c>
      <x:c r="AB74" s="32" t="n">
        <x:f>IF(AND(J74&gt;0,L74&gt;0,N74&gt;0),L74/N74-1,"n.a.")</x:f>
        <x:v>0.19964454976303325</x:v>
      </x:c>
      <x:c r="AC74" s="18" t="str">
        <x:f>IF(AND(J74&gt;0,L74&lt;=0),"Missing replacement cost",IF(I74&gt;H74,"Usage exceeds stock",""))</x:f>
      </x:c>
    </x:row>
    <x:row r="75">
      <x:c r="A75" t="s">
        <x:v>15</x:v>
      </x:c>
      <x:c r="B75">
        <x:v>60</x:v>
      </x:c>
      <x:c r="C75" t="s">
        <x:v>64</x:v>
      </x:c>
      <x:c r="D75" t="s">
        <x:v>78</x:v>
      </x:c>
      <x:c r="E75">
        <x:v>5</x:v>
      </x:c>
      <x:c r="F75">
        <x:v>85</x:v>
      </x:c>
      <x:c r="G75" s="22" t="n">
        <x:f>SUMIFS('Receipts to be received in'!$P$2:$P$53,'Receipts to be received in'!$B$2:$B$53,B75,'Receipts to be received in'!$C$2:$C$53,D75)</x:f>
        <x:v>0</x:v>
      </x:c>
      <x:c r="H75" s="23" t="n">
        <x:f>F75+G75</x:f>
        <x:v>85</x:v>
      </x:c>
      <x:c r="I75" s="22" t="n">
        <x:f>E75*'Receipts to be received in'!$R$7*'Receipts to be received in'!$R$10</x:f>
        <x:v>8.706365503080082</x:v>
      </x:c>
      <x:c r="J75" s="23" t="n">
        <x:f>MAX(0,H75-I75)</x:f>
        <x:v>76.29363449691992</x:v>
      </x:c>
      <x:c r="K75">
        <x:v>0</x:v>
      </x:c>
      <x:c r="L75">
        <x:v>35.1</x:v>
      </x:c>
      <x:c r="M75" s="1">
        <x:v>46133</x:v>
      </x:c>
      <x:c r="N75">
        <x:v>29.25</x:v>
      </x:c>
      <x:c r="O75" s="3">
        <x:v>46027</x:v>
      </x:c>
      <x:c r="P75" s="3">
        <x:v>46104</x:v>
      </x:c>
      <x:c r="Q75" s="2">
        <x:v>-0.16669999999999999</x:v>
      </x:c>
      <x:c r="R75">
        <x:v>17</x:v>
      </x:c>
      <x:c r="S75">
        <x:v>17</x:v>
      </x:c>
      <x:c r="T75">
        <x:v>497.25</x:v>
      </x:c>
      <x:c r="U75">
        <x:v>0</x:v>
      </x:c>
      <x:c r="V75">
        <x:v>2486.25</x:v>
      </x:c>
      <x:c r="W75">
        <x:v>2983.5</x:v>
      </x:c>
      <x:c r="X75">
        <x:v>600.4</x:v>
      </x:c>
      <x:c r="Y75" s="31" t="n">
        <x:f>J75*N75</x:f>
        <x:v>2231.5888090349076</x:v>
      </x:c>
      <x:c r="Z75" s="31" t="n">
        <x:f>IF(J75=0,0,IF(L75&gt;0,J75*L75,"n.a."))</x:f>
        <x:v>2677.9065708418893</x:v>
      </x:c>
      <x:c r="AA75" s="31" t="n">
        <x:f>IF(J75=0,0,IF(ISNUMBER(Z75),Z75-Y75,"n.a."))</x:f>
        <x:v>446.3177618069817</x:v>
      </x:c>
      <x:c r="AB75" s="32" t="n">
        <x:f>IF(AND(J75&gt;0,L75&gt;0,N75&gt;0),L75/N75-1,"n.a.")</x:f>
        <x:v>0.19999999999999996</x:v>
      </x:c>
      <x:c r="AC75" s="18" t="str">
        <x:f>IF(AND(J75&gt;0,L75&lt;=0),"Missing replacement cost",IF(I75&gt;H75,"Usage exceeds stock",""))</x:f>
      </x:c>
    </x:row>
    <x:row r="76">
      <x:c r="A76" t="s">
        <x:v>15</x:v>
      </x:c>
      <x:c r="B76">
        <x:v>60</x:v>
      </x:c>
      <x:c r="C76" t="s">
        <x:v>64</x:v>
      </x:c>
      <x:c r="D76" t="s">
        <x:v>83</x:v>
      </x:c>
      <x:c r="E76">
        <x:v>5</x:v>
      </x:c>
      <x:c r="F76">
        <x:v>31</x:v>
      </x:c>
      <x:c r="G76" s="22" t="n">
        <x:f>SUMIFS('Receipts to be received in'!$P$2:$P$53,'Receipts to be received in'!$B$2:$B$53,B76,'Receipts to be received in'!$C$2:$C$53,D76)</x:f>
        <x:v>0</x:v>
      </x:c>
      <x:c r="H76" s="23" t="n">
        <x:f>F76+G76</x:f>
        <x:v>31</x:v>
      </x:c>
      <x:c r="I76" s="22" t="n">
        <x:f>E76*'Receipts to be received in'!$R$7*'Receipts to be received in'!$R$10</x:f>
        <x:v>8.706365503080082</x:v>
      </x:c>
      <x:c r="J76" s="23" t="n">
        <x:f>MAX(0,H76-I76)</x:f>
        <x:v>22.293634496919918</x:v>
      </x:c>
      <x:c r="K76">
        <x:v>64</x:v>
      </x:c>
      <x:c r="L76">
        <x:v>32.4</x:v>
      </x:c>
      <x:c r="M76" s="1">
        <x:v>46133</x:v>
      </x:c>
      <x:c r="N76">
        <x:v>27</x:v>
      </x:c>
      <x:c r="O76" s="3">
        <x:v>46027</x:v>
      </x:c>
      <x:c r="P76" s="3">
        <x:v>45805</x:v>
      </x:c>
      <x:c r="Q76" s="2">
        <x:v>-0.16669999999999999</x:v>
      </x:c>
      <x:c r="R76">
        <x:v>19</x:v>
      </x:c>
      <x:c r="S76">
        <x:v>6.2</x:v>
      </x:c>
      <x:c r="T76">
        <x:v>167.39999999999901</x:v>
      </x:c>
      <x:c r="U76">
        <x:v>345.599999999999</x:v>
      </x:c>
      <x:c r="V76">
        <x:v>837</x:v>
      </x:c>
      <x:c r="W76">
        <x:v>1004.4</x:v>
      </x:c>
      <x:c r="X76">
        <x:v>554.28</x:v>
      </x:c>
      <x:c r="Y76" s="31" t="n">
        <x:f>J76*N76</x:f>
        <x:v>601.9281314168378</x:v>
      </x:c>
      <x:c r="Z76" s="31" t="n">
        <x:f>IF(J76=0,0,IF(L76&gt;0,J76*L76,"n.a."))</x:f>
        <x:v>722.3137577002053</x:v>
      </x:c>
      <x:c r="AA76" s="31" t="n">
        <x:f>IF(J76=0,0,IF(ISNUMBER(Z76),Z76-Y76,"n.a."))</x:f>
        <x:v>120.38562628336751</x:v>
      </x:c>
      <x:c r="AB76" s="32" t="n">
        <x:f>IF(AND(J76&gt;0,L76&gt;0,N76&gt;0),L76/N76-1,"n.a.")</x:f>
        <x:v>0.19999999999999996</x:v>
      </x:c>
      <x:c r="AC76" s="18" t="str">
        <x:f>IF(AND(J76&gt;0,L76&lt;=0),"Missing replacement cost",IF(I76&gt;H76,"Usage exceeds stock",""))</x:f>
      </x:c>
    </x:row>
    <x:row r="77">
      <x:c r="A77" t="s">
        <x:v>15</x:v>
      </x:c>
      <x:c r="B77">
        <x:v>10</x:v>
      </x:c>
      <x:c r="C77" t="s">
        <x:v>84</x:v>
      </x:c>
      <x:c r="D77" t="s">
        <x:v>85</x:v>
      </x:c>
      <x:c r="E77">
        <x:v>4.83</x:v>
      </x:c>
      <x:c r="F77">
        <x:v>21</x:v>
      </x:c>
      <x:c r="G77" s="22" t="n">
        <x:f>SUMIFS('Receipts to be received in'!$P$2:$P$53,'Receipts to be received in'!$B$2:$B$53,B77,'Receipts to be received in'!$C$2:$C$53,D77)</x:f>
        <x:v>0</x:v>
      </x:c>
      <x:c r="H77" s="23" t="n">
        <x:f>F77+G77</x:f>
        <x:v>21</x:v>
      </x:c>
      <x:c r="I77" s="22" t="n">
        <x:f>E77*'Receipts to be received in'!$R$7*'Receipts to be received in'!$R$10</x:f>
        <x:v>8.41034907597536</x:v>
      </x:c>
      <x:c r="J77" s="23" t="n">
        <x:f>MAX(0,H77-I77)</x:f>
        <x:v>12.58965092402464</x:v>
      </x:c>
      <x:c r="K77">
        <x:v>0</x:v>
      </x:c>
      <x:c r="L77">
        <x:v>26.22</x:v>
      </x:c>
      <x:c r="M77" s="1">
        <x:v>46224</x:v>
      </x:c>
      <x:c r="N77">
        <x:v>24.97</x:v>
      </x:c>
      <x:c r="O77" s="3">
        <x:v>46174</x:v>
      </x:c>
      <x:c r="P77" s="3">
        <x:v>46244</x:v>
      </x:c>
      <x:c r="Q77" s="2">
        <x:v>-4.7699999999999999E-2</x:v>
      </x:c>
      <x:c r="R77">
        <x:v>4.3478260869565197</x:v>
      </x:c>
      <x:c r="S77">
        <x:v>4.3478260869565197</x:v>
      </x:c>
      <x:c r="T77">
        <x:v>45</x:v>
      </x:c>
      <x:c r="U77">
        <x:v>0</x:v>
      </x:c>
      <x:c r="V77">
        <x:v>898.92</x:v>
      </x:c>
      <x:c r="W77">
        <x:v>943.92</x:v>
      </x:c>
      <x:c r="X77">
        <x:v>429.17</x:v>
      </x:c>
      <x:c r="Y77" s="31" t="n">
        <x:f>J77*N77</x:f>
        <x:v>314.36358357289527</x:v>
      </x:c>
      <x:c r="Z77" s="31" t="n">
        <x:f>IF(J77=0,0,IF(L77&gt;0,J77*L77,"n.a."))</x:f>
        <x:v>330.10064722792606</x:v>
      </x:c>
      <x:c r="AA77" s="31" t="n">
        <x:f>IF(J77=0,0,IF(ISNUMBER(Z77),Z77-Y77,"n.a."))</x:f>
        <x:v>15.737063655030795</x:v>
      </x:c>
      <x:c r="AB77" s="32" t="n">
        <x:f>IF(AND(J77&gt;0,L77&gt;0,N77&gt;0),L77/N77-1,"n.a.")</x:f>
        <x:v>0.05006007208650387</x:v>
      </x:c>
      <x:c r="AC77" s="18" t="str">
        <x:f>IF(AND(J77&gt;0,L77&lt;=0),"Missing replacement cost",IF(I77&gt;H77,"Usage exceeds stock",""))</x:f>
      </x:c>
    </x:row>
    <x:row r="78">
      <x:c r="A78" t="s">
        <x:v>15</x:v>
      </x:c>
      <x:c r="B78">
        <x:v>30</x:v>
      </x:c>
      <x:c r="C78" t="s">
        <x:v>64</x:v>
      </x:c>
      <x:c r="D78" t="s">
        <x:v>79</x:v>
      </x:c>
      <x:c r="E78">
        <x:v>4.83</x:v>
      </x:c>
      <x:c r="F78">
        <x:v>53</x:v>
      </x:c>
      <x:c r="G78" s="22" t="n">
        <x:f>SUMIFS('Receipts to be received in'!$P$2:$P$53,'Receipts to be received in'!$B$2:$B$53,B78,'Receipts to be received in'!$C$2:$C$53,D78)</x:f>
        <x:v>0</x:v>
      </x:c>
      <x:c r="H78" s="23" t="n">
        <x:f>F78+G78</x:f>
        <x:v>53</x:v>
      </x:c>
      <x:c r="I78" s="22" t="n">
        <x:f>E78*'Receipts to be received in'!$R$7*'Receipts to be received in'!$R$10</x:f>
        <x:v>8.41034907597536</x:v>
      </x:c>
      <x:c r="J78" s="23" t="n">
        <x:f>MAX(0,H78-I78)</x:f>
        <x:v>44.58965092402464</x:v>
      </x:c>
      <x:c r="K78">
        <x:v>0</x:v>
      </x:c>
      <x:c r="L78">
        <x:v>7.78</x:v>
      </x:c>
      <x:c r="M78" s="1">
        <x:v>46133</x:v>
      </x:c>
      <x:c r="N78">
        <x:v>6.48</x:v>
      </x:c>
      <x:c r="O78" s="3">
        <x:v>46027</x:v>
      </x:c>
      <x:c r="P78" s="3">
        <x:v>45671</x:v>
      </x:c>
      <x:c r="Q78" s="2">
        <x:v>-0.1671</x:v>
      </x:c>
      <x:c r="R78">
        <x:v>10.9730848861283</x:v>
      </x:c>
      <x:c r="S78">
        <x:v>10.9730848861283</x:v>
      </x:c>
      <x:c r="T78">
        <x:v>68.899999999999906</x:v>
      </x:c>
      <x:c r="U78">
        <x:v>0</x:v>
      </x:c>
      <x:c r="V78">
        <x:v>343.44</x:v>
      </x:c>
      <x:c r="W78">
        <x:v>412.34</x:v>
      </x:c>
      <x:c r="X78">
        <x:v>169.82</x:v>
      </x:c>
      <x:c r="Y78" s="31" t="n">
        <x:f>J78*N78</x:f>
        <x:v>288.94093798767966</x:v>
      </x:c>
      <x:c r="Z78" s="31" t="n">
        <x:f>IF(J78=0,0,IF(L78&gt;0,J78*L78,"n.a."))</x:f>
        <x:v>346.9074841889117</x:v>
      </x:c>
      <x:c r="AA78" s="31" t="n">
        <x:f>IF(J78=0,0,IF(ISNUMBER(Z78),Z78-Y78,"n.a."))</x:f>
        <x:v>57.96654620123206</x:v>
      </x:c>
      <x:c r="AB78" s="32" t="n">
        <x:f>IF(AND(J78&gt;0,L78&gt;0,N78&gt;0),L78/N78-1,"n.a.")</x:f>
        <x:v>0.2006172839506173</x:v>
      </x:c>
      <x:c r="AC78" s="18" t="str">
        <x:f>IF(AND(J78&gt;0,L78&lt;=0),"Missing replacement cost",IF(I78&gt;H78,"Usage exceeds stock",""))</x:f>
      </x:c>
    </x:row>
    <x:row r="79">
      <x:c r="A79" t="s">
        <x:v>15</x:v>
      </x:c>
      <x:c r="B79">
        <x:v>60</x:v>
      </x:c>
      <x:c r="C79" t="s">
        <x:v>64</x:v>
      </x:c>
      <x:c r="D79" t="s">
        <x:v>80</x:v>
      </x:c>
      <x:c r="E79">
        <x:v>4.83</x:v>
      </x:c>
      <x:c r="F79">
        <x:v>38</x:v>
      </x:c>
      <x:c r="G79" s="22" t="n">
        <x:f>SUMIFS('Receipts to be received in'!$P$2:$P$53,'Receipts to be received in'!$B$2:$B$53,B79,'Receipts to be received in'!$C$2:$C$53,D79)</x:f>
        <x:v>0</x:v>
      </x:c>
      <x:c r="H79" s="23" t="n">
        <x:f>F79+G79</x:f>
        <x:v>38</x:v>
      </x:c>
      <x:c r="I79" s="22" t="n">
        <x:f>E79*'Receipts to be received in'!$R$7*'Receipts to be received in'!$R$10</x:f>
        <x:v>8.41034907597536</x:v>
      </x:c>
      <x:c r="J79" s="23" t="n">
        <x:f>MAX(0,H79-I79)</x:f>
        <x:v>29.58965092402464</x:v>
      </x:c>
      <x:c r="K79">
        <x:v>0</x:v>
      </x:c>
      <x:c r="L79">
        <x:v>25.44</x:v>
      </x:c>
      <x:c r="M79" s="1">
        <x:v>46134</x:v>
      </x:c>
      <x:c r="N79">
        <x:v>21.18</x:v>
      </x:c>
      <x:c r="O79" s="3">
        <x:v>46027</x:v>
      </x:c>
      <x:c r="P79" s="3">
        <x:v>46174</x:v>
      </x:c>
      <x:c r="Q79" s="2">
        <x:v>-0.16750000000000001</x:v>
      </x:c>
      <x:c r="R79">
        <x:v>7.8674948240165596</x:v>
      </x:c>
      <x:c r="S79">
        <x:v>7.8674948240165596</x:v>
      </x:c>
      <x:c r="T79">
        <x:v>161.88</x:v>
      </x:c>
      <x:c r="U79">
        <x:v>0</x:v>
      </x:c>
      <x:c r="V79">
        <x:v>804.84</x:v>
      </x:c>
      <x:c r="W79">
        <x:v>966.72</x:v>
      </x:c>
      <x:c r="X79">
        <x:v>474.27</x:v>
      </x:c>
      <x:c r="Y79" s="31" t="n">
        <x:f>J79*N79</x:f>
        <x:v>626.7088065708418</x:v>
      </x:c>
      <x:c r="Z79" s="31" t="n">
        <x:f>IF(J79=0,0,IF(L79&gt;0,J79*L79,"n.a."))</x:f>
        <x:v>752.7607195071869</x:v>
      </x:c>
      <x:c r="AA79" s="31" t="n">
        <x:f>IF(J79=0,0,IF(ISNUMBER(Z79),Z79-Y79,"n.a."))</x:f>
        <x:v>126.05191293634505</x:v>
      </x:c>
      <x:c r="AB79" s="32" t="n">
        <x:f>IF(AND(J79&gt;0,L79&gt;0,N79&gt;0),L79/N79-1,"n.a.")</x:f>
        <x:v>0.2011331444759208</x:v>
      </x:c>
      <x:c r="AC79" s="18" t="str">
        <x:f>IF(AND(J79&gt;0,L79&lt;=0),"Missing replacement cost",IF(I79&gt;H79,"Usage exceeds stock",""))</x:f>
      </x:c>
    </x:row>
    <x:row r="80">
      <x:c r="A80" t="s">
        <x:v>15</x:v>
      </x:c>
      <x:c r="B80">
        <x:v>60</x:v>
      </x:c>
      <x:c r="C80" t="s">
        <x:v>64</x:v>
      </x:c>
      <x:c r="D80" t="s">
        <x:v>36</x:v>
      </x:c>
      <x:c r="E80">
        <x:v>4.5</x:v>
      </x:c>
      <x:c r="F80">
        <x:v>136</x:v>
      </x:c>
      <x:c r="G80" s="22" t="n">
        <x:f>SUMIFS('Receipts to be received in'!$P$2:$P$53,'Receipts to be received in'!$B$2:$B$53,B80,'Receipts to be received in'!$C$2:$C$53,D80)</x:f>
        <x:v>0</x:v>
      </x:c>
      <x:c r="H80" s="23" t="n">
        <x:f>F80+G80</x:f>
        <x:v>136</x:v>
      </x:c>
      <x:c r="I80" s="22" t="n">
        <x:f>E80*'Receipts to be received in'!$R$7*'Receipts to be received in'!$R$10</x:f>
        <x:v>7.835728952772074</x:v>
      </x:c>
      <x:c r="J80" s="23" t="n">
        <x:f>MAX(0,H80-I80)</x:f>
        <x:v>128.1642710472279</x:v>
      </x:c>
      <x:c r="K80">
        <x:v>0</x:v>
      </x:c>
      <x:c r="L80">
        <x:v>16.2</x:v>
      </x:c>
      <x:c r="M80" s="1">
        <x:v>46133</x:v>
      </x:c>
      <x:c r="N80">
        <x:v>13.5</x:v>
      </x:c>
      <x:c r="O80" s="3">
        <x:v>46027</x:v>
      </x:c>
      <x:c r="P80" s="3">
        <x:v>45805</x:v>
      </x:c>
      <x:c r="Q80" s="2">
        <x:v>-0.16669999999999999</x:v>
      </x:c>
      <x:c r="R80">
        <x:v>30.2222222222222</x:v>
      </x:c>
      <x:c r="S80">
        <x:v>30.2222222222222</x:v>
      </x:c>
      <x:c r="T80">
        <x:v>367.19999999999902</x:v>
      </x:c>
      <x:c r="U80">
        <x:v>0</x:v>
      </x:c>
      <x:c r="V80">
        <x:v>1836</x:v>
      </x:c>
      <x:c r="W80">
        <x:v>2203.1999999999998</x:v>
      </x:c>
      <x:c r="X80">
        <x:v>353.42</x:v>
      </x:c>
      <x:c r="Y80" s="31" t="n">
        <x:f>J80*N80</x:f>
        <x:v>1730.217659137577</x:v>
      </x:c>
      <x:c r="Z80" s="31" t="n">
        <x:f>IF(J80=0,0,IF(L80&gt;0,J80*L80,"n.a."))</x:f>
        <x:v>2076.2611909650923</x:v>
      </x:c>
      <x:c r="AA80" s="31" t="n">
        <x:f>IF(J80=0,0,IF(ISNUMBER(Z80),Z80-Y80,"n.a."))</x:f>
        <x:v>346.0435318275154</x:v>
      </x:c>
      <x:c r="AB80" s="32" t="n">
        <x:f>IF(AND(J80&gt;0,L80&gt;0,N80&gt;0),L80/N80-1,"n.a.")</x:f>
        <x:v>0.19999999999999996</x:v>
      </x:c>
      <x:c r="AC80" s="18" t="str">
        <x:f>IF(AND(J80&gt;0,L80&lt;=0),"Missing replacement cost",IF(I80&gt;H80,"Usage exceeds stock",""))</x:f>
      </x:c>
    </x:row>
    <x:row r="81">
      <x:c r="A81" t="s">
        <x:v>15</x:v>
      </x:c>
      <x:c r="B81">
        <x:v>10</x:v>
      </x:c>
      <x:c r="C81" t="s">
        <x:v>67</x:v>
      </x:c>
      <x:c r="D81" t="s">
        <x:v>86</x:v>
      </x:c>
      <x:c r="E81">
        <x:v>4.33</x:v>
      </x:c>
      <x:c r="F81">
        <x:v>30</x:v>
      </x:c>
      <x:c r="G81" s="22" t="n">
        <x:f>SUMIFS('Receipts to be received in'!$P$2:$P$53,'Receipts to be received in'!$B$2:$B$53,B81,'Receipts to be received in'!$C$2:$C$53,D81)</x:f>
        <x:v>0</x:v>
      </x:c>
      <x:c r="H81" s="23" t="n">
        <x:f>F81+G81</x:f>
        <x:v>30</x:v>
      </x:c>
      <x:c r="I81" s="22" t="n">
        <x:f>E81*'Receipts to be received in'!$R$7*'Receipts to be received in'!$R$10</x:f>
        <x:v>7.539712525667351</x:v>
      </x:c>
      <x:c r="J81" s="23" t="n">
        <x:f>MAX(0,H81-I81)</x:f>
        <x:v>22.46028747433265</x:v>
      </x:c>
      <x:c r="K81">
        <x:v>0</x:v>
      </x:c>
      <x:c r="L81">
        <x:v>70.680000000000007</x:v>
      </x:c>
      <x:c r="M81" s="1">
        <x:v>45876</x:v>
      </x:c>
      <x:c r="N81">
        <x:v>70.680000000000007</x:v>
      </x:c>
      <x:c r="O81" s="3">
        <x:v>45876</x:v>
      </x:c>
      <x:c r="P81" s="3">
        <x:v>46303</x:v>
      </x:c>
      <x:c r="Q81" s="2">
        <x:v>0</x:v>
      </x:c>
      <x:c r="R81">
        <x:v>6.9284064665127003</x:v>
      </x:c>
      <x:c r="S81">
        <x:v>6.9284064665127003</x:v>
      </x:c>
      <x:c r="T81">
        <x:v>0</x:v>
      </x:c>
      <x:c r="U81">
        <x:v>0</x:v>
      </x:c>
      <x:c r="V81">
        <x:v>2120.4</x:v>
      </x:c>
      <x:c r="W81">
        <x:v>2120.4</x:v>
      </x:c>
      <x:c r="X81">
        <x:v>128.51</x:v>
      </x:c>
      <x:c r="Y81" s="31" t="n">
        <x:f>J81*N81</x:f>
        <x:v>1587.4931186858319</x:v>
      </x:c>
      <x:c r="Z81" s="31" t="n">
        <x:f>IF(J81=0,0,IF(L81&gt;0,J81*L81,"n.a."))</x:f>
        <x:v>1587.4931186858319</x:v>
      </x:c>
      <x:c r="AA81" s="31" t="n">
        <x:f>IF(J81=0,0,IF(ISNUMBER(Z81),Z81-Y81,"n.a."))</x:f>
        <x:v>0</x:v>
      </x:c>
      <x:c r="AB81" s="32" t="n">
        <x:f>IF(AND(J81&gt;0,L81&gt;0,N81&gt;0),L81/N81-1,"n.a.")</x:f>
        <x:v>0</x:v>
      </x:c>
      <x:c r="AC81" s="18" t="str">
        <x:f>IF(AND(J81&gt;0,L81&lt;=0),"Missing replacement cost",IF(I81&gt;H81,"Usage exceeds stock",""))</x:f>
      </x:c>
    </x:row>
    <x:row r="82">
      <x:c r="A82" t="s">
        <x:v>15</x:v>
      </x:c>
      <x:c r="B82">
        <x:v>60</x:v>
      </x:c>
      <x:c r="C82" t="s">
        <x:v>64</x:v>
      </x:c>
      <x:c r="D82" t="s">
        <x:v>87</x:v>
      </x:c>
      <x:c r="E82">
        <x:v>4.33</x:v>
      </x:c>
      <x:c r="F82">
        <x:v>162</x:v>
      </x:c>
      <x:c r="G82" s="22" t="n">
        <x:f>SUMIFS('Receipts to be received in'!$P$2:$P$53,'Receipts to be received in'!$B$2:$B$53,B82,'Receipts to be received in'!$C$2:$C$53,D82)</x:f>
        <x:v>0</x:v>
      </x:c>
      <x:c r="H82" s="23" t="n">
        <x:f>F82+G82</x:f>
        <x:v>162</x:v>
      </x:c>
      <x:c r="I82" s="22" t="n">
        <x:f>E82*'Receipts to be received in'!$R$7*'Receipts to be received in'!$R$10</x:f>
        <x:v>7.539712525667351</x:v>
      </x:c>
      <x:c r="J82" s="23" t="n">
        <x:f>MAX(0,H82-I82)</x:f>
        <x:v>154.46028747433266</x:v>
      </x:c>
      <x:c r="K82">
        <x:v>0</x:v>
      </x:c>
      <x:c r="L82">
        <x:v>40.700000000000003</x:v>
      </x:c>
      <x:c r="M82" s="1">
        <x:v>46134</x:v>
      </x:c>
      <x:c r="N82">
        <x:v>33.89</x:v>
      </x:c>
      <x:c r="O82" s="3">
        <x:v>46027</x:v>
      </x:c>
      <x:c r="P82" s="3">
        <x:v>46174</x:v>
      </x:c>
      <x:c r="Q82" s="2">
        <x:v>-0.1673</x:v>
      </x:c>
      <x:c r="R82">
        <x:v>37.413394919168503</x:v>
      </x:c>
      <x:c r="S82">
        <x:v>37.413394919168503</x:v>
      </x:c>
      <x:c r="T82">
        <x:v>1103.22</x:v>
      </x:c>
      <x:c r="U82">
        <x:v>0</x:v>
      </x:c>
      <x:c r="V82">
        <x:v>5490.18</x:v>
      </x:c>
      <x:c r="W82">
        <x:v>6593.4</x:v>
      </x:c>
      <x:c r="X82">
        <x:v>758.95</x:v>
      </x:c>
      <x:c r="Y82" s="31" t="n">
        <x:f>J82*N82</x:f>
        <x:v>5234.659142505134</x:v>
      </x:c>
      <x:c r="Z82" s="31" t="n">
        <x:f>IF(J82=0,0,IF(L82&gt;0,J82*L82,"n.a."))</x:f>
        <x:v>6286.533700205339</x:v>
      </x:c>
      <x:c r="AA82" s="31" t="n">
        <x:f>IF(J82=0,0,IF(ISNUMBER(Z82),Z82-Y82,"n.a."))</x:f>
        <x:v>1051.8745577002055</x:v>
      </x:c>
      <x:c r="AB82" s="32" t="n">
        <x:f>IF(AND(J82&gt;0,L82&gt;0,N82&gt;0),L82/N82-1,"n.a.")</x:f>
        <x:v>0.2009442313366776</x:v>
      </x:c>
      <x:c r="AC82" s="18" t="str">
        <x:f>IF(AND(J82&gt;0,L82&lt;=0),"Missing replacement cost",IF(I82&gt;H82,"Usage exceeds stock",""))</x:f>
      </x:c>
    </x:row>
    <x:row r="83">
      <x:c r="A83" t="s">
        <x:v>15</x:v>
      </x:c>
      <x:c r="B83">
        <x:v>10</x:v>
      </x:c>
      <x:c r="C83" t="s">
        <x:v>64</x:v>
      </x:c>
      <x:c r="D83" t="s">
        <x:v>37</x:v>
      </x:c>
      <x:c r="E83">
        <x:v>4.17</x:v>
      </x:c>
      <x:c r="F83">
        <x:v>84</x:v>
      </x:c>
      <x:c r="G83" s="22" t="n">
        <x:f>SUMIFS('Receipts to be received in'!$P$2:$P$53,'Receipts to be received in'!$B$2:$B$53,B83,'Receipts to be received in'!$C$2:$C$53,D83)</x:f>
        <x:v>0</x:v>
      </x:c>
      <x:c r="H83" s="23" t="n">
        <x:f>F83+G83</x:f>
        <x:v>84</x:v>
      </x:c>
      <x:c r="I83" s="22" t="n">
        <x:f>E83*'Receipts to be received in'!$R$7*'Receipts to be received in'!$R$10</x:f>
        <x:v>7.261108829568789</x:v>
      </x:c>
      <x:c r="J83" s="23" t="n">
        <x:f>MAX(0,H83-I83)</x:f>
        <x:v>76.73889117043122</x:v>
      </x:c>
      <x:c r="K83">
        <x:v>0</x:v>
      </x:c>
      <x:c r="L83">
        <x:v>25.11</x:v>
      </x:c>
      <x:c r="M83" s="1">
        <x:v>46134</x:v>
      </x:c>
      <x:c r="N83">
        <x:v>20.9</x:v>
      </x:c>
      <x:c r="O83" s="3">
        <x:v>46027</x:v>
      </x:c>
      <x:c r="P83" s="3">
        <x:v>46231</x:v>
      </x:c>
      <x:c r="Q83" s="2">
        <x:v>-0.16769999999999999</x:v>
      </x:c>
      <x:c r="R83">
        <x:v>20.143884892086302</x:v>
      </x:c>
      <x:c r="S83">
        <x:v>20.143884892086302</x:v>
      </x:c>
      <x:c r="T83">
        <x:v>353.64</x:v>
      </x:c>
      <x:c r="U83">
        <x:v>0</x:v>
      </x:c>
      <x:c r="V83">
        <x:v>1755.6</x:v>
      </x:c>
      <x:c r="W83">
        <x:v>2109.2399999999998</x:v>
      </x:c>
      <x:c r="X83">
        <x:v>670.44</x:v>
      </x:c>
      <x:c r="Y83" s="31" t="n">
        <x:f>J83*N83</x:f>
        <x:v>1603.8428254620123</x:v>
      </x:c>
      <x:c r="Z83" s="31" t="n">
        <x:f>IF(J83=0,0,IF(L83&gt;0,J83*L83,"n.a."))</x:f>
        <x:v>1926.9135572895277</x:v>
      </x:c>
      <x:c r="AA83" s="31" t="n">
        <x:f>IF(J83=0,0,IF(ISNUMBER(Z83),Z83-Y83,"n.a."))</x:f>
        <x:v>323.0707318275154</x:v>
      </x:c>
      <x:c r="AB83" s="32" t="n">
        <x:f>IF(AND(J83&gt;0,L83&gt;0,N83&gt;0),L83/N83-1,"n.a.")</x:f>
        <x:v>0.20143540669856463</x:v>
      </x:c>
      <x:c r="AC83" s="18" t="str">
        <x:f>IF(AND(J83&gt;0,L83&lt;=0),"Missing replacement cost",IF(I83&gt;H83,"Usage exceeds stock",""))</x:f>
      </x:c>
    </x:row>
    <x:row r="84">
      <x:c r="A84" t="s">
        <x:v>15</x:v>
      </x:c>
      <x:c r="B84">
        <x:v>10</x:v>
      </x:c>
      <x:c r="C84" t="s">
        <x:v>64</x:v>
      </x:c>
      <x:c r="D84" t="s">
        <x:v>83</x:v>
      </x:c>
      <x:c r="E84">
        <x:v>4</x:v>
      </x:c>
      <x:c r="F84">
        <x:v>62</x:v>
      </x:c>
      <x:c r="G84" s="22" t="n">
        <x:f>SUMIFS('Receipts to be received in'!$P$2:$P$53,'Receipts to be received in'!$B$2:$B$53,B84,'Receipts to be received in'!$C$2:$C$53,D84)</x:f>
        <x:v>0</x:v>
      </x:c>
      <x:c r="H84" s="23" t="n">
        <x:f>F84+G84</x:f>
        <x:v>62</x:v>
      </x:c>
      <x:c r="I84" s="22" t="n">
        <x:f>E84*'Receipts to be received in'!$R$7*'Receipts to be received in'!$R$10</x:f>
        <x:v>6.965092402464066</x:v>
      </x:c>
      <x:c r="J84" s="23" t="n">
        <x:f>MAX(0,H84-I84)</x:f>
        <x:v>55.034907597535934</x:v>
      </x:c>
      <x:c r="K84">
        <x:v>0</x:v>
      </x:c>
      <x:c r="L84">
        <x:v>32.4</x:v>
      </x:c>
      <x:c r="M84" s="1">
        <x:v>46133</x:v>
      </x:c>
      <x:c r="N84">
        <x:v>27</x:v>
      </x:c>
      <x:c r="O84" s="3">
        <x:v>46027</x:v>
      </x:c>
      <x:c r="P84" s="3">
        <x:v>46252</x:v>
      </x:c>
      <x:c r="Q84" s="2">
        <x:v>-0.16669999999999999</x:v>
      </x:c>
      <x:c r="R84">
        <x:v>15.5</x:v>
      </x:c>
      <x:c r="S84">
        <x:v>15.5</x:v>
      </x:c>
      <x:c r="T84">
        <x:v>334.79999999999899</x:v>
      </x:c>
      <x:c r="U84">
        <x:v>0</x:v>
      </x:c>
      <x:c r="V84">
        <x:v>1674</x:v>
      </x:c>
      <x:c r="W84">
        <x:v>2008.8</x:v>
      </x:c>
      <x:c r="X84">
        <x:v>554.28</x:v>
      </x:c>
      <x:c r="Y84" s="31" t="n">
        <x:f>J84*N84</x:f>
        <x:v>1485.9425051334701</x:v>
      </x:c>
      <x:c r="Z84" s="31" t="n">
        <x:f>IF(J84=0,0,IF(L84&gt;0,J84*L84,"n.a."))</x:f>
        <x:v>1783.1310061601641</x:v>
      </x:c>
      <x:c r="AA84" s="31" t="n">
        <x:f>IF(J84=0,0,IF(ISNUMBER(Z84),Z84-Y84,"n.a."))</x:f>
        <x:v>297.188501026694</x:v>
      </x:c>
      <x:c r="AB84" s="32" t="n">
        <x:f>IF(AND(J84&gt;0,L84&gt;0,N84&gt;0),L84/N84-1,"n.a.")</x:f>
        <x:v>0.19999999999999996</x:v>
      </x:c>
      <x:c r="AC84" s="18" t="str">
        <x:f>IF(AND(J84&gt;0,L84&lt;=0),"Missing replacement cost",IF(I84&gt;H84,"Usage exceeds stock",""))</x:f>
      </x:c>
    </x:row>
    <x:row r="85">
      <x:c r="A85" t="s">
        <x:v>15</x:v>
      </x:c>
      <x:c r="B85">
        <x:v>10</x:v>
      </x:c>
      <x:c r="C85" t="s">
        <x:v>64</x:v>
      </x:c>
      <x:c r="D85" t="s">
        <x:v>19</x:v>
      </x:c>
      <x:c r="E85">
        <x:v>3.67</x:v>
      </x:c>
      <x:c r="F85">
        <x:v>5</x:v>
      </x:c>
      <x:c r="G85" s="22" t="n">
        <x:f>SUMIFS('Receipts to be received in'!$P$2:$P$53,'Receipts to be received in'!$B$2:$B$53,B85,'Receipts to be received in'!$C$2:$C$53,D85)</x:f>
        <x:v>16</x:v>
      </x:c>
      <x:c r="H85" s="23" t="n">
        <x:f>F85+G85</x:f>
        <x:v>21</x:v>
      </x:c>
      <x:c r="I85" s="22" t="n">
        <x:f>E85*'Receipts to be received in'!$R$7*'Receipts to be received in'!$R$10</x:f>
        <x:v>6.390472279260781</x:v>
      </x:c>
      <x:c r="J85" s="23" t="n">
        <x:f>MAX(0,H85-I85)</x:f>
        <x:v>14.60952772073922</x:v>
      </x:c>
      <x:c r="K85">
        <x:v>32</x:v>
      </x:c>
      <x:c r="L85">
        <x:v>102.38</x:v>
      </x:c>
      <x:c r="M85" s="1">
        <x:v>46133</x:v>
      </x:c>
      <x:c r="N85">
        <x:v>85.32</x:v>
      </x:c>
      <x:c r="O85" s="3">
        <x:v>46027</x:v>
      </x:c>
      <x:c r="P85" s="3">
        <x:v>46231</x:v>
      </x:c>
      <x:c r="Q85" s="2">
        <x:v>-0.1666</x:v>
      </x:c>
      <x:c r="R85">
        <x:v>10.0817438692098</x:v>
      </x:c>
      <x:c r="S85">
        <x:v>1.3623978201634801</x:v>
      </x:c>
      <x:c r="T85">
        <x:v>85.3</x:v>
      </x:c>
      <x:c r="U85">
        <x:v>545.91999999999996</x:v>
      </x:c>
      <x:c r="V85">
        <x:v>426.599999999999</x:v>
      </x:c>
      <x:c r="W85">
        <x:v>511.9</x:v>
      </x:c>
      <x:c r="X85">
        <x:v>1838.52</x:v>
      </x:c>
      <x:c r="Y85" s="31" t="n">
        <x:f>J85*N85</x:f>
        <x:v>1246.4849051334702</x:v>
      </x:c>
      <x:c r="Z85" s="31" t="n">
        <x:f>IF(J85=0,0,IF(L85&gt;0,J85*L85,"n.a."))</x:f>
        <x:v>1495.7234480492812</x:v>
      </x:c>
      <x:c r="AA85" s="31" t="n">
        <x:f>IF(J85=0,0,IF(ISNUMBER(Z85),Z85-Y85,"n.a."))</x:f>
        <x:v>249.23854291581097</x:v>
      </x:c>
      <x:c r="AB85" s="32" t="n">
        <x:f>IF(AND(J85&gt;0,L85&gt;0,N85&gt;0),L85/N85-1,"n.a.")</x:f>
        <x:v>0.19995311767463675</x:v>
      </x:c>
      <x:c r="AC85" s="18" t="str">
        <x:f>IF(AND(J85&gt;0,L85&lt;=0),"Missing replacement cost",IF(I85&gt;H85,"Usage exceeds stock",""))</x:f>
      </x:c>
    </x:row>
    <x:row r="86">
      <x:c r="A86" t="s">
        <x:v>15</x:v>
      </x:c>
      <x:c r="B86">
        <x:v>10</x:v>
      </x:c>
      <x:c r="C86" t="s">
        <x:v>64</x:v>
      </x:c>
      <x:c r="D86" t="s">
        <x:v>88</x:v>
      </x:c>
      <x:c r="E86">
        <x:v>3.67</x:v>
      </x:c>
      <x:c r="F86">
        <x:v>150</x:v>
      </x:c>
      <x:c r="G86" s="22" t="n">
        <x:f>SUMIFS('Receipts to be received in'!$P$2:$P$53,'Receipts to be received in'!$B$2:$B$53,B86,'Receipts to be received in'!$C$2:$C$53,D86)</x:f>
        <x:v>0</x:v>
      </x:c>
      <x:c r="H86" s="23" t="n">
        <x:f>F86+G86</x:f>
        <x:v>150</x:v>
      </x:c>
      <x:c r="I86" s="22" t="n">
        <x:f>E86*'Receipts to be received in'!$R$7*'Receipts to be received in'!$R$10</x:f>
        <x:v>6.390472279260781</x:v>
      </x:c>
      <x:c r="J86" s="23" t="n">
        <x:f>MAX(0,H86-I86)</x:f>
        <x:v>143.6095277207392</x:v>
      </x:c>
      <x:c r="K86">
        <x:v>0</x:v>
      </x:c>
      <x:c r="L86">
        <x:v>14.58</x:v>
      </x:c>
      <x:c r="M86" s="1">
        <x:v>46133</x:v>
      </x:c>
      <x:c r="N86">
        <x:v>12.15</x:v>
      </x:c>
      <x:c r="O86" s="3">
        <x:v>46027</x:v>
      </x:c>
      <x:c r="P86" s="3">
        <x:v>45736</x:v>
      </x:c>
      <x:c r="Q86" s="2">
        <x:v>-0.16669999999999999</x:v>
      </x:c>
      <x:c r="R86">
        <x:v>40.871934604904602</x:v>
      </x:c>
      <x:c r="S86">
        <x:v>40.871934604904602</x:v>
      </x:c>
      <x:c r="T86">
        <x:v>364.49999999999898</x:v>
      </x:c>
      <x:c r="U86">
        <x:v>0</x:v>
      </x:c>
      <x:c r="V86">
        <x:v>1822.5</x:v>
      </x:c>
      <x:c r="W86">
        <x:v>2187</x:v>
      </x:c>
      <x:c r="X86">
        <x:v>249.38</x:v>
      </x:c>
      <x:c r="Y86" s="31" t="n">
        <x:f>J86*N86</x:f>
        <x:v>1744.8557618069815</x:v>
      </x:c>
      <x:c r="Z86" s="31" t="n">
        <x:f>IF(J86=0,0,IF(L86&gt;0,J86*L86,"n.a."))</x:f>
        <x:v>2093.8269141683777</x:v>
      </x:c>
      <x:c r="AA86" s="31" t="n">
        <x:f>IF(J86=0,0,IF(ISNUMBER(Z86),Z86-Y86,"n.a."))</x:f>
        <x:v>348.9711523613962</x:v>
      </x:c>
      <x:c r="AB86" s="32" t="n">
        <x:f>IF(AND(J86&gt;0,L86&gt;0,N86&gt;0),L86/N86-1,"n.a.")</x:f>
        <x:v>0.19999999999999996</x:v>
      </x:c>
      <x:c r="AC86" s="18" t="str">
        <x:f>IF(AND(J86&gt;0,L86&lt;=0),"Missing replacement cost",IF(I86&gt;H86,"Usage exceeds stock",""))</x:f>
      </x:c>
    </x:row>
    <x:row r="87">
      <x:c r="A87" t="s">
        <x:v>15</x:v>
      </x:c>
      <x:c r="B87">
        <x:v>10</x:v>
      </x:c>
      <x:c r="C87" t="s">
        <x:v>67</x:v>
      </x:c>
      <x:c r="D87" t="s">
        <x:v>89</x:v>
      </x:c>
      <x:c r="E87">
        <x:v>3.67</x:v>
      </x:c>
      <x:c r="F87">
        <x:v>32</x:v>
      </x:c>
      <x:c r="G87" s="22" t="n">
        <x:f>SUMIFS('Receipts to be received in'!$P$2:$P$53,'Receipts to be received in'!$B$2:$B$53,B87,'Receipts to be received in'!$C$2:$C$53,D87)</x:f>
        <x:v>0</x:v>
      </x:c>
      <x:c r="H87" s="23" t="n">
        <x:f>F87+G87</x:f>
        <x:v>32</x:v>
      </x:c>
      <x:c r="I87" s="22" t="n">
        <x:f>E87*'Receipts to be received in'!$R$7*'Receipts to be received in'!$R$10</x:f>
        <x:v>6.390472279260781</x:v>
      </x:c>
      <x:c r="J87" s="23" t="n">
        <x:f>MAX(0,H87-I87)</x:f>
        <x:v>25.60952772073922</x:v>
      </x:c>
      <x:c r="K87">
        <x:v>0</x:v>
      </x:c>
      <x:c r="L87">
        <x:v>65.05</x:v>
      </x:c>
      <x:c r="M87" s="1">
        <x:v>45876</x:v>
      </x:c>
      <x:c r="N87">
        <x:v>65.05</x:v>
      </x:c>
      <x:c r="O87" s="3">
        <x:v>45876</x:v>
      </x:c>
      <x:c r="P87" s="3">
        <x:v>46183</x:v>
      </x:c>
      <x:c r="Q87" s="2">
        <x:v>0</x:v>
      </x:c>
      <x:c r="R87">
        <x:v>8.7193460490463206</x:v>
      </x:c>
      <x:c r="S87">
        <x:v>8.7193460490463206</x:v>
      </x:c>
      <x:c r="T87">
        <x:v>0</x:v>
      </x:c>
      <x:c r="U87">
        <x:v>0</x:v>
      </x:c>
      <x:c r="V87">
        <x:v>2081.6</x:v>
      </x:c>
      <x:c r="W87">
        <x:v>2081.6</x:v>
      </x:c>
      <x:c r="X87">
        <x:v>118.27</x:v>
      </x:c>
      <x:c r="Y87" s="31" t="n">
        <x:f>J87*N87</x:f>
        <x:v>1665.8997782340862</x:v>
      </x:c>
      <x:c r="Z87" s="31" t="n">
        <x:f>IF(J87=0,0,IF(L87&gt;0,J87*L87,"n.a."))</x:f>
        <x:v>1665.8997782340862</x:v>
      </x:c>
      <x:c r="AA87" s="31" t="n">
        <x:f>IF(J87=0,0,IF(ISNUMBER(Z87),Z87-Y87,"n.a."))</x:f>
        <x:v>0</x:v>
      </x:c>
      <x:c r="AB87" s="32" t="n">
        <x:f>IF(AND(J87&gt;0,L87&gt;0,N87&gt;0),L87/N87-1,"n.a.")</x:f>
        <x:v>0</x:v>
      </x:c>
      <x:c r="AC87" s="18" t="str">
        <x:f>IF(AND(J87&gt;0,L87&lt;=0),"Missing replacement cost",IF(I87&gt;H87,"Usage exceeds stock",""))</x:f>
      </x:c>
    </x:row>
    <x:row r="88">
      <x:c r="A88" t="s">
        <x:v>15</x:v>
      </x:c>
      <x:c r="B88">
        <x:v>30</x:v>
      </x:c>
      <x:c r="C88" t="s">
        <x:v>64</x:v>
      </x:c>
      <x:c r="D88" t="s">
        <x:v>28</x:v>
      </x:c>
      <x:c r="E88">
        <x:v>3.67</x:v>
      </x:c>
      <x:c r="F88">
        <x:v>108</x:v>
      </x:c>
      <x:c r="G88" s="22" t="n">
        <x:f>SUMIFS('Receipts to be received in'!$P$2:$P$53,'Receipts to be received in'!$B$2:$B$53,B88,'Receipts to be received in'!$C$2:$C$53,D88)</x:f>
        <x:v>0</x:v>
      </x:c>
      <x:c r="H88" s="23" t="n">
        <x:f>F88+G88</x:f>
        <x:v>108</x:v>
      </x:c>
      <x:c r="I88" s="22" t="n">
        <x:f>E88*'Receipts to be received in'!$R$7*'Receipts to be received in'!$R$10</x:f>
        <x:v>6.390472279260781</x:v>
      </x:c>
      <x:c r="J88" s="23" t="n">
        <x:f>MAX(0,H88-I88)</x:f>
        <x:v>101.60952772073922</x:v>
      </x:c>
      <x:c r="K88">
        <x:v>0</x:v>
      </x:c>
      <x:c r="L88">
        <x:v>12.21</x:v>
      </x:c>
      <x:c r="M88" s="1">
        <x:v>46134</x:v>
      </x:c>
      <x:c r="N88">
        <x:v>10.17</x:v>
      </x:c>
      <x:c r="O88" s="3">
        <x:v>46027</x:v>
      </x:c>
      <x:c r="P88" s="3">
        <x:v>45894</x:v>
      </x:c>
      <x:c r="Q88" s="2">
        <x:v>-0.1671</x:v>
      </x:c>
      <x:c r="R88">
        <x:v>29.427792915531299</x:v>
      </x:c>
      <x:c r="S88">
        <x:v>29.427792915531299</x:v>
      </x:c>
      <x:c r="T88">
        <x:v>220.32</x:v>
      </x:c>
      <x:c r="U88">
        <x:v>0</x:v>
      </x:c>
      <x:c r="V88">
        <x:v>1098.3599999999999</x:v>
      </x:c>
      <x:c r="W88">
        <x:v>1318.68</x:v>
      </x:c>
      <x:c r="X88">
        <x:v>227.93</x:v>
      </x:c>
      <x:c r="Y88" s="31" t="n">
        <x:f>J88*N88</x:f>
        <x:v>1033.368896919918</x:v>
      </x:c>
      <x:c r="Z88" s="31" t="n">
        <x:f>IF(J88=0,0,IF(L88&gt;0,J88*L88,"n.a."))</x:f>
        <x:v>1240.652333470226</x:v>
      </x:c>
      <x:c r="AA88" s="31" t="n">
        <x:f>IF(J88=0,0,IF(ISNUMBER(Z88),Z88-Y88,"n.a."))</x:f>
        <x:v>207.28343655030812</x:v>
      </x:c>
      <x:c r="AB88" s="32" t="n">
        <x:f>IF(AND(J88&gt;0,L88&gt;0,N88&gt;0),L88/N88-1,"n.a.")</x:f>
        <x:v>0.2005899705014751</x:v>
      </x:c>
      <x:c r="AC88" s="18" t="str">
        <x:f>IF(AND(J88&gt;0,L88&lt;=0),"Missing replacement cost",IF(I88&gt;H88,"Usage exceeds stock",""))</x:f>
      </x:c>
    </x:row>
    <x:row r="89">
      <x:c r="A89" t="s">
        <x:v>15</x:v>
      </x:c>
      <x:c r="B89">
        <x:v>30</x:v>
      </x:c>
      <x:c r="C89" t="s">
        <x:v>64</x:v>
      </x:c>
      <x:c r="D89" t="s">
        <x:v>90</x:v>
      </x:c>
      <x:c r="E89">
        <x:v>3.67</x:v>
      </x:c>
      <x:c r="F89">
        <x:v>112</x:v>
      </x:c>
      <x:c r="G89" s="22" t="n">
        <x:f>SUMIFS('Receipts to be received in'!$P$2:$P$53,'Receipts to be received in'!$B$2:$B$53,B89,'Receipts to be received in'!$C$2:$C$53,D89)</x:f>
        <x:v>0</x:v>
      </x:c>
      <x:c r="H89" s="23" t="n">
        <x:f>F89+G89</x:f>
        <x:v>112</x:v>
      </x:c>
      <x:c r="I89" s="22" t="n">
        <x:f>E89*'Receipts to be received in'!$R$7*'Receipts to be received in'!$R$10</x:f>
        <x:v>6.390472279260781</x:v>
      </x:c>
      <x:c r="J89" s="23" t="n">
        <x:f>MAX(0,H89-I89)</x:f>
        <x:v>105.60952772073922</x:v>
      </x:c>
      <x:c r="K89">
        <x:v>0</x:v>
      </x:c>
      <x:c r="L89">
        <x:v>7.78</x:v>
      </x:c>
      <x:c r="M89" s="1">
        <x:v>46133</x:v>
      </x:c>
      <x:c r="N89">
        <x:v>6.48</x:v>
      </x:c>
      <x:c r="O89" s="3">
        <x:v>46027</x:v>
      </x:c>
      <x:c r="P89" s="3">
        <x:v>45779</x:v>
      </x:c>
      <x:c r="Q89" s="2">
        <x:v>-0.1671</x:v>
      </x:c>
      <x:c r="R89">
        <x:v>30.5177111716621</x:v>
      </x:c>
      <x:c r="S89">
        <x:v>30.5177111716621</x:v>
      </x:c>
      <x:c r="T89">
        <x:v>145.599999999999</x:v>
      </x:c>
      <x:c r="U89">
        <x:v>0</x:v>
      </x:c>
      <x:c r="V89">
        <x:v>725.76</x:v>
      </x:c>
      <x:c r="W89">
        <x:v>871.36</x:v>
      </x:c>
      <x:c r="X89">
        <x:v>169.82</x:v>
      </x:c>
      <x:c r="Y89" s="31" t="n">
        <x:f>J89*N89</x:f>
        <x:v>684.3497396303902</x:v>
      </x:c>
      <x:c r="Z89" s="31" t="n">
        <x:f>IF(J89=0,0,IF(L89&gt;0,J89*L89,"n.a."))</x:f>
        <x:v>821.6421256673511</x:v>
      </x:c>
      <x:c r="AA89" s="31" t="n">
        <x:f>IF(J89=0,0,IF(ISNUMBER(Z89),Z89-Y89,"n.a."))</x:f>
        <x:v>137.29238603696092</x:v>
      </x:c>
      <x:c r="AB89" s="32" t="n">
        <x:f>IF(AND(J89&gt;0,L89&gt;0,N89&gt;0),L89/N89-1,"n.a.")</x:f>
        <x:v>0.2006172839506173</x:v>
      </x:c>
      <x:c r="AC89" s="18" t="str">
        <x:f>IF(AND(J89&gt;0,L89&lt;=0),"Missing replacement cost",IF(I89&gt;H89,"Usage exceeds stock",""))</x:f>
      </x:c>
    </x:row>
    <x:row r="90">
      <x:c r="A90" t="s">
        <x:v>15</x:v>
      </x:c>
      <x:c r="B90">
        <x:v>10</x:v>
      </x:c>
      <x:c r="C90" t="s">
        <x:v>64</x:v>
      </x:c>
      <x:c r="D90" t="s">
        <x:v>40</x:v>
      </x:c>
      <x:c r="E90">
        <x:v>3.5</x:v>
      </x:c>
      <x:c r="F90">
        <x:v>22</x:v>
      </x:c>
      <x:c r="G90" s="22" t="n">
        <x:f>SUMIFS('Receipts to be received in'!$P$2:$P$53,'Receipts to be received in'!$B$2:$B$53,B90,'Receipts to be received in'!$C$2:$C$53,D90)</x:f>
        <x:v>0</x:v>
      </x:c>
      <x:c r="H90" s="23" t="n">
        <x:f>F90+G90</x:f>
        <x:v>22</x:v>
      </x:c>
      <x:c r="I90" s="22" t="n">
        <x:f>E90*'Receipts to be received in'!$R$7*'Receipts to be received in'!$R$10</x:f>
        <x:v>6.094455852156058</x:v>
      </x:c>
      <x:c r="J90" s="23" t="n">
        <x:f>MAX(0,H90-I90)</x:f>
        <x:v>15.905544147843942</x:v>
      </x:c>
      <x:c r="K90">
        <x:v>20</x:v>
      </x:c>
      <x:c r="L90">
        <x:v>45.79</x:v>
      </x:c>
      <x:c r="M90" s="1">
        <x:v>46134</x:v>
      </x:c>
      <x:c r="N90">
        <x:v>38.119999999999997</x:v>
      </x:c>
      <x:c r="O90" s="3">
        <x:v>46027</x:v>
      </x:c>
      <x:c r="P90" s="3">
        <x:v>46042</x:v>
      </x:c>
      <x:c r="Q90" s="2">
        <x:v>-0.16750000000000001</x:v>
      </x:c>
      <x:c r="R90">
        <x:v>12</x:v>
      </x:c>
      <x:c r="S90">
        <x:v>6.2857142857142803</x:v>
      </x:c>
      <x:c r="T90">
        <x:v>168.74</x:v>
      </x:c>
      <x:c r="U90">
        <x:v>153.4</x:v>
      </x:c>
      <x:c r="V90">
        <x:v>838.64</x:v>
      </x:c>
      <x:c r="W90">
        <x:v>1007.38</x:v>
      </x:c>
      <x:c r="X90">
        <x:v>853.58</x:v>
      </x:c>
      <x:c r="Y90" s="31" t="n">
        <x:f>J90*N90</x:f>
        <x:v>606.319342915811</x:v>
      </x:c>
      <x:c r="Z90" s="31" t="n">
        <x:f>IF(J90=0,0,IF(L90&gt;0,J90*L90,"n.a."))</x:f>
        <x:v>728.3148665297741</x:v>
      </x:c>
      <x:c r="AA90" s="31" t="n">
        <x:f>IF(J90=0,0,IF(ISNUMBER(Z90),Z90-Y90,"n.a."))</x:f>
        <x:v>121.99552361396309</x:v>
      </x:c>
      <x:c r="AB90" s="32" t="n">
        <x:f>IF(AND(J90&gt;0,L90&gt;0,N90&gt;0),L90/N90-1,"n.a.")</x:f>
        <x:v>0.20120671563483739</x:v>
      </x:c>
      <x:c r="AC90" s="18" t="str">
        <x:f>IF(AND(J90&gt;0,L90&lt;=0),"Missing replacement cost",IF(I90&gt;H90,"Usage exceeds stock",""))</x:f>
      </x:c>
    </x:row>
    <x:row r="91">
      <x:c r="A91" t="s">
        <x:v>15</x:v>
      </x:c>
      <x:c r="B91">
        <x:v>10</x:v>
      </x:c>
      <x:c r="C91" t="s">
        <x:v>64</x:v>
      </x:c>
      <x:c r="D91" t="s">
        <x:v>36</x:v>
      </x:c>
      <x:c r="E91">
        <x:v>3.33</x:v>
      </x:c>
      <x:c r="F91">
        <x:v>76</x:v>
      </x:c>
      <x:c r="G91" s="22" t="n">
        <x:f>SUMIFS('Receipts to be received in'!$P$2:$P$53,'Receipts to be received in'!$B$2:$B$53,B91,'Receipts to be received in'!$C$2:$C$53,D91)</x:f>
        <x:v>0</x:v>
      </x:c>
      <x:c r="H91" s="23" t="n">
        <x:f>F91+G91</x:f>
        <x:v>76</x:v>
      </x:c>
      <x:c r="I91" s="22" t="n">
        <x:f>E91*'Receipts to be received in'!$R$7*'Receipts to be received in'!$R$10</x:f>
        <x:v>5.798439425051335</x:v>
      </x:c>
      <x:c r="J91" s="23" t="n">
        <x:f>MAX(0,H91-I91)</x:f>
        <x:v>70.20156057494867</x:v>
      </x:c>
      <x:c r="K91">
        <x:v>0</x:v>
      </x:c>
      <x:c r="L91">
        <x:v>16.2</x:v>
      </x:c>
      <x:c r="M91" s="1">
        <x:v>46133</x:v>
      </x:c>
      <x:c r="N91">
        <x:v>13.5</x:v>
      </x:c>
      <x:c r="O91" s="3">
        <x:v>46027</x:v>
      </x:c>
      <x:c r="P91" s="3">
        <x:v>46231</x:v>
      </x:c>
      <x:c r="Q91" s="2">
        <x:v>-0.16669999999999999</x:v>
      </x:c>
      <x:c r="R91">
        <x:v>22.822822822822801</x:v>
      </x:c>
      <x:c r="S91">
        <x:v>22.822822822822801</x:v>
      </x:c>
      <x:c r="T91">
        <x:v>205.19999999999899</x:v>
      </x:c>
      <x:c r="U91">
        <x:v>0</x:v>
      </x:c>
      <x:c r="V91">
        <x:v>1026</x:v>
      </x:c>
      <x:c r="W91">
        <x:v>1231.2</x:v>
      </x:c>
      <x:c r="X91">
        <x:v>353.42</x:v>
      </x:c>
      <x:c r="Y91" s="31" t="n">
        <x:f>J91*N91</x:f>
        <x:v>947.721067761807</x:v>
      </x:c>
      <x:c r="Z91" s="31" t="n">
        <x:f>IF(J91=0,0,IF(L91&gt;0,J91*L91,"n.a."))</x:f>
        <x:v>1137.2652813141685</x:v>
      </x:c>
      <x:c r="AA91" s="31" t="n">
        <x:f>IF(J91=0,0,IF(ISNUMBER(Z91),Z91-Y91,"n.a."))</x:f>
        <x:v>189.5442135523615</x:v>
      </x:c>
      <x:c r="AB91" s="32" t="n">
        <x:f>IF(AND(J91&gt;0,L91&gt;0,N91&gt;0),L91/N91-1,"n.a.")</x:f>
        <x:v>0.19999999999999996</x:v>
      </x:c>
      <x:c r="AC91" s="18" t="str">
        <x:f>IF(AND(J91&gt;0,L91&lt;=0),"Missing replacement cost",IF(I91&gt;H91,"Usage exceeds stock",""))</x:f>
      </x:c>
    </x:row>
    <x:row r="92">
      <x:c r="A92" t="s">
        <x:v>15</x:v>
      </x:c>
      <x:c r="B92">
        <x:v>10</x:v>
      </x:c>
      <x:c r="C92" t="s">
        <x:v>64</x:v>
      </x:c>
      <x:c r="D92" t="s">
        <x:v>91</x:v>
      </x:c>
      <x:c r="E92">
        <x:v>3.33</x:v>
      </x:c>
      <x:c r="F92">
        <x:v>68</x:v>
      </x:c>
      <x:c r="G92" s="22" t="n">
        <x:f>SUMIFS('Receipts to be received in'!$P$2:$P$53,'Receipts to be received in'!$B$2:$B$53,B92,'Receipts to be received in'!$C$2:$C$53,D92)</x:f>
        <x:v>0</x:v>
      </x:c>
      <x:c r="H92" s="23" t="n">
        <x:f>F92+G92</x:f>
        <x:v>68</x:v>
      </x:c>
      <x:c r="I92" s="22" t="n">
        <x:f>E92*'Receipts to be received in'!$R$7*'Receipts to be received in'!$R$10</x:f>
        <x:v>5.798439425051335</x:v>
      </x:c>
      <x:c r="J92" s="23" t="n">
        <x:f>MAX(0,H92-I92)</x:f>
        <x:v>62.201560574948665</x:v>
      </x:c>
      <x:c r="K92">
        <x:v>0</x:v>
      </x:c>
      <x:c r="L92">
        <x:v>0</x:v>
      </x:c>
      <x:c r="M92" s="1">
        <x:v>45078</x:v>
      </x:c>
      <x:c r="N92">
        <x:v>6.38</x:v>
      </x:c>
      <x:c r="O92" s="3">
        <x:v>45269</x:v>
      </x:c>
      <x:c r="P92" s="3">
        <x:v>43928</x:v>
      </x:c>
      <x:c r="Q92" t="s">
        <x:v>73</x:v>
      </x:c>
      <x:c r="R92">
        <x:v>20.420420420420399</x:v>
      </x:c>
      <x:c r="S92">
        <x:v>20.420420420420399</x:v>
      </x:c>
      <x:c r="T92">
        <x:v>-433.84</x:v>
      </x:c>
      <x:c r="U92">
        <x:v>0</x:v>
      </x:c>
      <x:c r="V92">
        <x:v>433.84</x:v>
      </x:c>
      <x:c r="W92">
        <x:v>0</x:v>
      </x:c>
      <x:c r="X92">
        <x:v>82.56</x:v>
      </x:c>
      <x:c r="Y92" s="31" t="n">
        <x:f>J92*N92</x:f>
        <x:v>396.84595646817246</x:v>
      </x:c>
      <x:c r="Z92" s="31" t="str">
        <x:f>IF(J92=0,0,IF(L92&gt;0,J92*L92,"n.a."))</x:f>
        <x:v>n.a.</x:v>
      </x:c>
      <x:c r="AA92" s="31" t="str">
        <x:f>IF(J92=0,0,IF(ISNUMBER(Z92),Z92-Y92,"n.a."))</x:f>
        <x:v>n.a.</x:v>
      </x:c>
      <x:c r="AB92" s="32" t="str">
        <x:f>IF(AND(J92&gt;0,L92&gt;0,N92&gt;0),L92/N92-1,"n.a.")</x:f>
        <x:v>n.a.</x:v>
      </x:c>
      <x:c r="AC92" s="18" t="str">
        <x:f>IF(AND(J92&gt;0,L92&lt;=0),"Missing replacement cost",IF(I92&gt;H92,"Usage exceeds stock",""))</x:f>
        <x:v>Missing replacement cost</x:v>
      </x:c>
    </x:row>
    <x:row r="93">
      <x:c r="A93" t="s">
        <x:v>15</x:v>
      </x:c>
      <x:c r="B93">
        <x:v>30</x:v>
      </x:c>
      <x:c r="C93" t="s">
        <x:v>64</x:v>
      </x:c>
      <x:c r="D93" t="s">
        <x:v>71</x:v>
      </x:c>
      <x:c r="E93">
        <x:v>3.33</x:v>
      </x:c>
      <x:c r="F93">
        <x:v>31</x:v>
      </x:c>
      <x:c r="G93" s="22" t="n">
        <x:f>SUMIFS('Receipts to be received in'!$P$2:$P$53,'Receipts to be received in'!$B$2:$B$53,B93,'Receipts to be received in'!$C$2:$C$53,D93)</x:f>
        <x:v>0</x:v>
      </x:c>
      <x:c r="H93" s="23" t="n">
        <x:f>F93+G93</x:f>
        <x:v>31</x:v>
      </x:c>
      <x:c r="I93" s="22" t="n">
        <x:f>E93*'Receipts to be received in'!$R$7*'Receipts to be received in'!$R$10</x:f>
        <x:v>5.798439425051335</x:v>
      </x:c>
      <x:c r="J93" s="23" t="n">
        <x:f>MAX(0,H93-I93)</x:f>
        <x:v>25.201560574948665</x:v>
      </x:c>
      <x:c r="K93">
        <x:v>0</x:v>
      </x:c>
      <x:c r="L93">
        <x:v>20.47</x:v>
      </x:c>
      <x:c r="M93" s="1">
        <x:v>46133</x:v>
      </x:c>
      <x:c r="N93">
        <x:v>17.059999999999999</x:v>
      </x:c>
      <x:c r="O93" s="3">
        <x:v>46027</x:v>
      </x:c>
      <x:c r="P93" s="3">
        <x:v>44812</x:v>
      </x:c>
      <x:c r="Q93" s="2">
        <x:v>-0.1666</x:v>
      </x:c>
      <x:c r="R93">
        <x:v>9.3093093093093096</x:v>
      </x:c>
      <x:c r="S93">
        <x:v>9.3093093093093096</x:v>
      </x:c>
      <x:c r="T93">
        <x:v>105.71</x:v>
      </x:c>
      <x:c r="U93">
        <x:v>0</x:v>
      </x:c>
      <x:c r="V93">
        <x:v>528.86</x:v>
      </x:c>
      <x:c r="W93">
        <x:v>634.56999999999903</x:v>
      </x:c>
      <x:c r="X93">
        <x:v>367.75</x:v>
      </x:c>
      <x:c r="Y93" s="31" t="n">
        <x:f>J93*N93</x:f>
        <x:v>429.9386234086242</x:v>
      </x:c>
      <x:c r="Z93" s="31" t="n">
        <x:f>IF(J93=0,0,IF(L93&gt;0,J93*L93,"n.a."))</x:f>
        <x:v>515.8759449691992</x:v>
      </x:c>
      <x:c r="AA93" s="31" t="n">
        <x:f>IF(J93=0,0,IF(ISNUMBER(Z93),Z93-Y93,"n.a."))</x:f>
        <x:v>85.93732156057496</x:v>
      </x:c>
      <x:c r="AB93" s="32" t="n">
        <x:f>IF(AND(J93&gt;0,L93&gt;0,N93&gt;0),L93/N93-1,"n.a.")</x:f>
        <x:v>0.19988276670574456</x:v>
      </x:c>
      <x:c r="AC93" s="18" t="str">
        <x:f>IF(AND(J93&gt;0,L93&lt;=0),"Missing replacement cost",IF(I93&gt;H93,"Usage exceeds stock",""))</x:f>
      </x:c>
    </x:row>
    <x:row r="94">
      <x:c r="A94" t="s">
        <x:v>15</x:v>
      </x:c>
      <x:c r="B94">
        <x:v>30</x:v>
      </x:c>
      <x:c r="C94" t="s">
        <x:v>64</x:v>
      </x:c>
      <x:c r="D94" t="s">
        <x:v>70</x:v>
      </x:c>
      <x:c r="E94">
        <x:v>3.33</x:v>
      </x:c>
      <x:c r="F94">
        <x:v>60</x:v>
      </x:c>
      <x:c r="G94" s="22" t="n">
        <x:f>SUMIFS('Receipts to be received in'!$P$2:$P$53,'Receipts to be received in'!$B$2:$B$53,B94,'Receipts to be received in'!$C$2:$C$53,D94)</x:f>
        <x:v>0</x:v>
      </x:c>
      <x:c r="H94" s="23" t="n">
        <x:f>F94+G94</x:f>
        <x:v>60</x:v>
      </x:c>
      <x:c r="I94" s="22" t="n">
        <x:f>E94*'Receipts to be received in'!$R$7*'Receipts to be received in'!$R$10</x:f>
        <x:v>5.798439425051335</x:v>
      </x:c>
      <x:c r="J94" s="23" t="n">
        <x:f>MAX(0,H94-I94)</x:f>
        <x:v>54.201560574948665</x:v>
      </x:c>
      <x:c r="K94">
        <x:v>0</x:v>
      </x:c>
      <x:c r="L94">
        <x:v>30.72</x:v>
      </x:c>
      <x:c r="M94" s="1">
        <x:v>46133</x:v>
      </x:c>
      <x:c r="N94">
        <x:v>25.6</x:v>
      </x:c>
      <x:c r="O94" s="3">
        <x:v>46027</x:v>
      </x:c>
      <x:c r="P94" s="3">
        <x:v>46143</x:v>
      </x:c>
      <x:c r="Q94" s="2">
        <x:v>-0.16669999999999999</x:v>
      </x:c>
      <x:c r="R94">
        <x:v>18.018018018018001</x:v>
      </x:c>
      <x:c r="S94">
        <x:v>18.018018018018001</x:v>
      </x:c>
      <x:c r="T94">
        <x:v>307.19999999999902</x:v>
      </x:c>
      <x:c r="U94">
        <x:v>0</x:v>
      </x:c>
      <x:c r="V94">
        <x:v>1536</x:v>
      </x:c>
      <x:c r="W94">
        <x:v>1843.19999999999</x:v>
      </x:c>
      <x:c r="X94">
        <x:v>551.85</x:v>
      </x:c>
      <x:c r="Y94" s="31" t="n">
        <x:f>J94*N94</x:f>
        <x:v>1387.559950718686</x:v>
      </x:c>
      <x:c r="Z94" s="31" t="n">
        <x:f>IF(J94=0,0,IF(L94&gt;0,J94*L94,"n.a."))</x:f>
        <x:v>1665.071940862423</x:v>
      </x:c>
      <x:c r="AA94" s="31" t="n">
        <x:f>IF(J94=0,0,IF(ISNUMBER(Z94),Z94-Y94,"n.a."))</x:f>
        <x:v>277.51199014373697</x:v>
      </x:c>
      <x:c r="AB94" s="32" t="n">
        <x:f>IF(AND(J94&gt;0,L94&gt;0,N94&gt;0),L94/N94-1,"n.a.")</x:f>
        <x:v>0.19999999999999996</x:v>
      </x:c>
      <x:c r="AC94" s="18" t="str">
        <x:f>IF(AND(J94&gt;0,L94&lt;=0),"Missing replacement cost",IF(I94&gt;H94,"Usage exceeds stock",""))</x:f>
      </x:c>
    </x:row>
    <x:row r="95">
      <x:c r="A95" t="s">
        <x:v>15</x:v>
      </x:c>
      <x:c r="B95">
        <x:v>30</x:v>
      </x:c>
      <x:c r="C95" t="s">
        <x:v>64</x:v>
      </x:c>
      <x:c r="D95" t="s">
        <x:v>87</x:v>
      </x:c>
      <x:c r="E95">
        <x:v>3.33</x:v>
      </x:c>
      <x:c r="F95">
        <x:v>57</x:v>
      </x:c>
      <x:c r="G95" s="22" t="n">
        <x:f>SUMIFS('Receipts to be received in'!$P$2:$P$53,'Receipts to be received in'!$B$2:$B$53,B95,'Receipts to be received in'!$C$2:$C$53,D95)</x:f>
        <x:v>0</x:v>
      </x:c>
      <x:c r="H95" s="23" t="n">
        <x:f>F95+G95</x:f>
        <x:v>57</x:v>
      </x:c>
      <x:c r="I95" s="22" t="n">
        <x:f>E95*'Receipts to be received in'!$R$7*'Receipts to be received in'!$R$10</x:f>
        <x:v>5.798439425051335</x:v>
      </x:c>
      <x:c r="J95" s="23" t="n">
        <x:f>MAX(0,H95-I95)</x:f>
        <x:v>51.201560574948665</x:v>
      </x:c>
      <x:c r="K95">
        <x:v>0</x:v>
      </x:c>
      <x:c r="L95">
        <x:v>40.700000000000003</x:v>
      </x:c>
      <x:c r="M95" s="1">
        <x:v>46134</x:v>
      </x:c>
      <x:c r="N95">
        <x:v>33.89</x:v>
      </x:c>
      <x:c r="O95" s="3">
        <x:v>46027</x:v>
      </x:c>
      <x:c r="P95" s="3">
        <x:v>45965</x:v>
      </x:c>
      <x:c r="Q95" s="2">
        <x:v>-0.1673</x:v>
      </x:c>
      <x:c r="R95">
        <x:v>17.1171171171171</x:v>
      </x:c>
      <x:c r="S95">
        <x:v>17.1171171171171</x:v>
      </x:c>
      <x:c r="T95">
        <x:v>388.17</x:v>
      </x:c>
      <x:c r="U95">
        <x:v>0</x:v>
      </x:c>
      <x:c r="V95">
        <x:v>1931.73</x:v>
      </x:c>
      <x:c r="W95">
        <x:v>2319.9</x:v>
      </x:c>
      <x:c r="X95">
        <x:v>758.95</x:v>
      </x:c>
      <x:c r="Y95" s="31" t="n">
        <x:f>J95*N95</x:f>
        <x:v>1735.2208878850104</x:v>
      </x:c>
      <x:c r="Z95" s="31" t="n">
        <x:f>IF(J95=0,0,IF(L95&gt;0,J95*L95,"n.a."))</x:f>
        <x:v>2083.903515400411</x:v>
      </x:c>
      <x:c r="AA95" s="31" t="n">
        <x:f>IF(J95=0,0,IF(ISNUMBER(Z95),Z95-Y95,"n.a."))</x:f>
        <x:v>348.68262751540055</x:v>
      </x:c>
      <x:c r="AB95" s="32" t="n">
        <x:f>IF(AND(J95&gt;0,L95&gt;0,N95&gt;0),L95/N95-1,"n.a.")</x:f>
        <x:v>0.2009442313366776</x:v>
      </x:c>
      <x:c r="AC95" s="18" t="str">
        <x:f>IF(AND(J95&gt;0,L95&lt;=0),"Missing replacement cost",IF(I95&gt;H95,"Usage exceeds stock",""))</x:f>
      </x:c>
    </x:row>
    <x:row r="96">
      <x:c r="A96" t="s">
        <x:v>15</x:v>
      </x:c>
      <x:c r="B96">
        <x:v>30</x:v>
      </x:c>
      <x:c r="C96" t="s">
        <x:v>64</x:v>
      </x:c>
      <x:c r="D96" t="s">
        <x:v>92</x:v>
      </x:c>
      <x:c r="E96">
        <x:v>3.17</x:v>
      </x:c>
      <x:c r="F96">
        <x:v>12</x:v>
      </x:c>
      <x:c r="G96" s="22" t="n">
        <x:f>SUMIFS('Receipts to be received in'!$P$2:$P$53,'Receipts to be received in'!$B$2:$B$53,B96,'Receipts to be received in'!$C$2:$C$53,D96)</x:f>
        <x:v>0</x:v>
      </x:c>
      <x:c r="H96" s="23" t="n">
        <x:f>F96+G96</x:f>
        <x:v>12</x:v>
      </x:c>
      <x:c r="I96" s="22" t="n">
        <x:f>E96*'Receipts to be received in'!$R$7*'Receipts to be received in'!$R$10</x:f>
        <x:v>5.519835728952772</x:v>
      </x:c>
      <x:c r="J96" s="23" t="n">
        <x:f>MAX(0,H96-I96)</x:f>
        <x:v>6.480164271047228</x:v>
      </x:c>
      <x:c r="K96">
        <x:v>0</x:v>
      </x:c>
      <x:c r="L96">
        <x:v>43.76</x:v>
      </x:c>
      <x:c r="M96" s="1">
        <x:v>46134</x:v>
      </x:c>
      <x:c r="N96">
        <x:v>36.43</x:v>
      </x:c>
      <x:c r="O96" s="3">
        <x:v>46027</x:v>
      </x:c>
      <x:c r="P96" s="3">
        <x:v>46143</x:v>
      </x:c>
      <x:c r="Q96" s="2">
        <x:v>-0.16750000000000001</x:v>
      </x:c>
      <x:c r="R96">
        <x:v>3.7854889589905301</x:v>
      </x:c>
      <x:c r="S96">
        <x:v>3.7854889589905301</x:v>
      </x:c>
      <x:c r="T96">
        <x:v>109.94999999999899</x:v>
      </x:c>
      <x:c r="U96">
        <x:v>0</x:v>
      </x:c>
      <x:c r="V96">
        <x:v>546.45000000000005</x:v>
      </x:c>
      <x:c r="W96">
        <x:v>656.4</x:v>
      </x:c>
      <x:c r="X96">
        <x:v>815.89</x:v>
      </x:c>
      <x:c r="Y96" s="31" t="n">
        <x:f>J96*N96</x:f>
        <x:v>236.0723843942505</x:v>
      </x:c>
      <x:c r="Z96" s="31" t="n">
        <x:f>IF(J96=0,0,IF(L96&gt;0,J96*L96,"n.a."))</x:f>
        <x:v>283.5719885010267</x:v>
      </x:c>
      <x:c r="AA96" s="31" t="n">
        <x:f>IF(J96=0,0,IF(ISNUMBER(Z96),Z96-Y96,"n.a."))</x:f>
        <x:v>47.49960410677619</x:v>
      </x:c>
      <x:c r="AB96" s="32" t="n">
        <x:f>IF(AND(J96&gt;0,L96&gt;0,N96&gt;0),L96/N96-1,"n.a.")</x:f>
        <x:v>0.20120779577271475</x:v>
      </x:c>
      <x:c r="AC96" s="18" t="str">
        <x:f>IF(AND(J96&gt;0,L96&lt;=0),"Missing replacement cost",IF(I96&gt;H96,"Usage exceeds stock",""))</x:f>
      </x:c>
    </x:row>
    <x:row r="97">
      <x:c r="A97" t="s">
        <x:v>15</x:v>
      </x:c>
      <x:c r="B97">
        <x:v>10</x:v>
      </x:c>
      <x:c r="C97" t="s">
        <x:v>64</x:v>
      </x:c>
      <x:c r="D97" t="s">
        <x:v>93</x:v>
      </x:c>
      <x:c r="E97">
        <x:v>3</x:v>
      </x:c>
      <x:c r="F97">
        <x:v>118</x:v>
      </x:c>
      <x:c r="G97" s="22" t="n">
        <x:f>SUMIFS('Receipts to be received in'!$P$2:$P$53,'Receipts to be received in'!$B$2:$B$53,B97,'Receipts to be received in'!$C$2:$C$53,D97)</x:f>
        <x:v>0</x:v>
      </x:c>
      <x:c r="H97" s="23" t="n">
        <x:f>F97+G97</x:f>
        <x:v>118</x:v>
      </x:c>
      <x:c r="I97" s="22" t="n">
        <x:f>E97*'Receipts to be received in'!$R$7*'Receipts to be received in'!$R$10</x:f>
        <x:v>5.223819301848049</x:v>
      </x:c>
      <x:c r="J97" s="23" t="n">
        <x:f>MAX(0,H97-I97)</x:f>
        <x:v>112.77618069815195</x:v>
      </x:c>
      <x:c r="K97">
        <x:v>0</x:v>
      </x:c>
      <x:c r="L97">
        <x:v>30.78</x:v>
      </x:c>
      <x:c r="M97" s="1">
        <x:v>46133</x:v>
      </x:c>
      <x:c r="N97">
        <x:v>25.65</x:v>
      </x:c>
      <x:c r="O97" s="3">
        <x:v>46027</x:v>
      </x:c>
      <x:c r="P97" s="3">
        <x:v>46231</x:v>
      </x:c>
      <x:c r="Q97" s="2">
        <x:v>-0.16669999999999999</x:v>
      </x:c>
      <x:c r="R97">
        <x:v>39.3333333333333</x:v>
      </x:c>
      <x:c r="S97">
        <x:v>39.3333333333333</x:v>
      </x:c>
      <x:c r="T97">
        <x:v>605.34</x:v>
      </x:c>
      <x:c r="U97">
        <x:v>0</x:v>
      </x:c>
      <x:c r="V97">
        <x:v>3026.7</x:v>
      </x:c>
      <x:c r="W97">
        <x:v>3632.04</x:v>
      </x:c>
      <x:c r="X97">
        <x:v>526.41</x:v>
      </x:c>
      <x:c r="Y97" s="31" t="n">
        <x:f>J97*N97</x:f>
        <x:v>2892.7090349075975</x:v>
      </x:c>
      <x:c r="Z97" s="31" t="n">
        <x:f>IF(J97=0,0,IF(L97&gt;0,J97*L97,"n.a."))</x:f>
        <x:v>3471.250841889117</x:v>
      </x:c>
      <x:c r="AA97" s="31" t="n">
        <x:f>IF(J97=0,0,IF(ISNUMBER(Z97),Z97-Y97,"n.a."))</x:f>
        <x:v>578.5418069815196</x:v>
      </x:c>
      <x:c r="AB97" s="32" t="n">
        <x:f>IF(AND(J97&gt;0,L97&gt;0,N97&gt;0),L97/N97-1,"n.a.")</x:f>
        <x:v>0.20000000000000018</x:v>
      </x:c>
      <x:c r="AC97" s="18" t="str">
        <x:f>IF(AND(J97&gt;0,L97&lt;=0),"Missing replacement cost",IF(I97&gt;H97,"Usage exceeds stock",""))</x:f>
      </x:c>
    </x:row>
    <x:row r="98">
      <x:c r="A98" t="s">
        <x:v>15</x:v>
      </x:c>
      <x:c r="B98">
        <x:v>60</x:v>
      </x:c>
      <x:c r="C98" t="s">
        <x:v>64</x:v>
      </x:c>
      <x:c r="D98" t="s">
        <x:v>94</x:v>
      </x:c>
      <x:c r="E98">
        <x:v>3</x:v>
      </x:c>
      <x:c r="F98">
        <x:v>22</x:v>
      </x:c>
      <x:c r="G98" s="22" t="n">
        <x:f>SUMIFS('Receipts to be received in'!$P$2:$P$53,'Receipts to be received in'!$B$2:$B$53,B98,'Receipts to be received in'!$C$2:$C$53,D98)</x:f>
        <x:v>0</x:v>
      </x:c>
      <x:c r="H98" s="23" t="n">
        <x:f>F98+G98</x:f>
        <x:v>22</x:v>
      </x:c>
      <x:c r="I98" s="22" t="n">
        <x:f>E98*'Receipts to be received in'!$R$7*'Receipts to be received in'!$R$10</x:f>
        <x:v>5.223819301848049</x:v>
      </x:c>
      <x:c r="J98" s="23" t="n">
        <x:f>MAX(0,H98-I98)</x:f>
        <x:v>16.77618069815195</x:v>
      </x:c>
      <x:c r="K98">
        <x:v>72</x:v>
      </x:c>
      <x:c r="L98">
        <x:v>60.6</x:v>
      </x:c>
      <x:c r="M98" s="1">
        <x:v>46134</x:v>
      </x:c>
      <x:c r="N98">
        <x:v>50.34</x:v>
      </x:c>
      <x:c r="O98" s="3">
        <x:v>46027</x:v>
      </x:c>
      <x:c r="P98" s="3">
        <x:v>45405</x:v>
      </x:c>
      <x:c r="Q98" s="2">
        <x:v>-0.16930000000000001</x:v>
      </x:c>
      <x:c r="R98">
        <x:v>31.3333333333333</x:v>
      </x:c>
      <x:c r="S98">
        <x:v>7.3333333333333304</x:v>
      </x:c>
      <x:c r="T98">
        <x:v>225.719999999999</x:v>
      </x:c>
      <x:c r="U98">
        <x:v>738.719999999999</x:v>
      </x:c>
      <x:c r="V98">
        <x:v>1107.48</x:v>
      </x:c>
      <x:c r="W98">
        <x:v>1333.2</x:v>
      </x:c>
      <x:c r="X98">
        <x:v>1026.0899999999999</x:v>
      </x:c>
      <x:c r="Y98" s="31" t="n">
        <x:f>J98*N98</x:f>
        <x:v>844.5129363449693</x:v>
      </x:c>
      <x:c r="Z98" s="31" t="n">
        <x:f>IF(J98=0,0,IF(L98&gt;0,J98*L98,"n.a."))</x:f>
        <x:v>1016.6365503080083</x:v>
      </x:c>
      <x:c r="AA98" s="31" t="n">
        <x:f>IF(J98=0,0,IF(ISNUMBER(Z98),Z98-Y98,"n.a."))</x:f>
        <x:v>172.12361396303902</x:v>
      </x:c>
      <x:c r="AB98" s="32" t="n">
        <x:f>IF(AND(J98&gt;0,L98&gt;0,N98&gt;0),L98/N98-1,"n.a.")</x:f>
        <x:v>0.20381406436233607</x:v>
      </x:c>
      <x:c r="AC98" s="18" t="str">
        <x:f>IF(AND(J98&gt;0,L98&lt;=0),"Missing replacement cost",IF(I98&gt;H98,"Usage exceeds stock",""))</x:f>
      </x:c>
    </x:row>
    <x:row r="99">
      <x:c r="A99" t="s">
        <x:v>15</x:v>
      </x:c>
      <x:c r="B99">
        <x:v>60</x:v>
      </x:c>
      <x:c r="C99" t="s">
        <x:v>64</x:v>
      </x:c>
      <x:c r="D99" t="s">
        <x:v>75</x:v>
      </x:c>
      <x:c r="E99">
        <x:v>3</x:v>
      </x:c>
      <x:c r="F99">
        <x:v>20</x:v>
      </x:c>
      <x:c r="G99" s="22" t="n">
        <x:f>SUMIFS('Receipts to be received in'!$P$2:$P$53,'Receipts to be received in'!$B$2:$B$53,B99,'Receipts to be received in'!$C$2:$C$53,D99)</x:f>
        <x:v>0</x:v>
      </x:c>
      <x:c r="H99" s="23" t="n">
        <x:f>F99+G99</x:f>
        <x:v>20</x:v>
      </x:c>
      <x:c r="I99" s="22" t="n">
        <x:f>E99*'Receipts to be received in'!$R$7*'Receipts to be received in'!$R$10</x:f>
        <x:v>5.223819301848049</x:v>
      </x:c>
      <x:c r="J99" s="23" t="n">
        <x:f>MAX(0,H99-I99)</x:f>
        <x:v>14.77618069815195</x:v>
      </x:c>
      <x:c r="K99">
        <x:v>90</x:v>
      </x:c>
      <x:c r="L99">
        <x:v>75.599999999999994</x:v>
      </x:c>
      <x:c r="M99" s="1">
        <x:v>46133</x:v>
      </x:c>
      <x:c r="N99">
        <x:v>63</x:v>
      </x:c>
      <x:c r="O99" s="3">
        <x:v>46027</x:v>
      </x:c>
      <x:c r="P99" s="3">
        <x:v>46254</x:v>
      </x:c>
      <x:c r="Q99" s="2">
        <x:v>-0.16669999999999999</x:v>
      </x:c>
      <x:c r="R99">
        <x:v>36.6666666666666</x:v>
      </x:c>
      <x:c r="S99">
        <x:v>6.6666666666666599</x:v>
      </x:c>
      <x:c r="T99">
        <x:v>251.99999999999901</x:v>
      </x:c>
      <x:c r="U99">
        <x:v>1133.99999999999</x:v>
      </x:c>
      <x:c r="V99">
        <x:v>1260</x:v>
      </x:c>
      <x:c r="W99">
        <x:v>1512</x:v>
      </x:c>
      <x:c r="X99">
        <x:v>1381.52</x:v>
      </x:c>
      <x:c r="Y99" s="31" t="n">
        <x:f>J99*N99</x:f>
        <x:v>930.8993839835729</x:v>
      </x:c>
      <x:c r="Z99" s="31" t="n">
        <x:f>IF(J99=0,0,IF(L99&gt;0,J99*L99,"n.a."))</x:f>
        <x:v>1117.0792607802873</x:v>
      </x:c>
      <x:c r="AA99" s="31" t="n">
        <x:f>IF(J99=0,0,IF(ISNUMBER(Z99),Z99-Y99,"n.a."))</x:f>
        <x:v>186.17987679671444</x:v>
      </x:c>
      <x:c r="AB99" s="32" t="n">
        <x:f>IF(AND(J99&gt;0,L99&gt;0,N99&gt;0),L99/N99-1,"n.a.")</x:f>
        <x:v>0.19999999999999996</x:v>
      </x:c>
      <x:c r="AC99" s="18" t="str">
        <x:f>IF(AND(J99&gt;0,L99&lt;=0),"Missing replacement cost",IF(I99&gt;H99,"Usage exceeds stock",""))</x:f>
      </x:c>
    </x:row>
    <x:row r="100">
      <x:c r="A100" t="s">
        <x:v>15</x:v>
      </x:c>
      <x:c r="B100">
        <x:v>10</x:v>
      </x:c>
      <x:c r="C100" t="s">
        <x:v>64</x:v>
      </x:c>
      <x:c r="D100" t="s">
        <x:v>42</x:v>
      </x:c>
      <x:c r="E100">
        <x:v>2.83</x:v>
      </x:c>
      <x:c r="F100">
        <x:v>26</x:v>
      </x:c>
      <x:c r="G100" s="22" t="n">
        <x:f>SUMIFS('Receipts to be received in'!$P$2:$P$53,'Receipts to be received in'!$B$2:$B$53,B100,'Receipts to be received in'!$C$2:$C$53,D100)</x:f>
        <x:v>0</x:v>
      </x:c>
      <x:c r="H100" s="23" t="n">
        <x:f>F100+G100</x:f>
        <x:v>26</x:v>
      </x:c>
      <x:c r="I100" s="22" t="n">
        <x:f>E100*'Receipts to be received in'!$R$7*'Receipts to be received in'!$R$10</x:f>
        <x:v>4.9278028747433265</x:v>
      </x:c>
      <x:c r="J100" s="23" t="n">
        <x:f>MAX(0,H100-I100)</x:f>
        <x:v>21.07219712525667</x:v>
      </x:c>
      <x:c r="K100">
        <x:v>36</x:v>
      </x:c>
      <x:c r="L100">
        <x:v>35.340000000000003</x:v>
      </x:c>
      <x:c r="M100" s="1">
        <x:v>46134</x:v>
      </x:c>
      <x:c r="N100">
        <x:v>29.41</x:v>
      </x:c>
      <x:c r="O100" s="3">
        <x:v>46027</x:v>
      </x:c>
      <x:c r="P100" s="3">
        <x:v>46231</x:v>
      </x:c>
      <x:c r="Q100" s="2">
        <x:v>-0.1678</x:v>
      </x:c>
      <x:c r="R100">
        <x:v>21.908127208480501</x:v>
      </x:c>
      <x:c r="S100">
        <x:v>9.1872791519434607</x:v>
      </x:c>
      <x:c r="T100">
        <x:v>154.18</x:v>
      </x:c>
      <x:c r="U100">
        <x:v>213.48</x:v>
      </x:c>
      <x:c r="V100">
        <x:v>764.66</x:v>
      </x:c>
      <x:c r="W100">
        <x:v>918.84</x:v>
      </x:c>
      <x:c r="X100">
        <x:v>943.79</x:v>
      </x:c>
      <x:c r="Y100" s="31" t="n">
        <x:f>J100*N100</x:f>
        <x:v>619.7333174537987</x:v>
      </x:c>
      <x:c r="Z100" s="31" t="n">
        <x:f>IF(J100=0,0,IF(L100&gt;0,J100*L100,"n.a."))</x:f>
        <x:v>744.6914464065709</x:v>
      </x:c>
      <x:c r="AA100" s="31" t="n">
        <x:f>IF(J100=0,0,IF(ISNUMBER(Z100),Z100-Y100,"n.a."))</x:f>
        <x:v>124.9581289527722</x:v>
      </x:c>
      <x:c r="AB100" s="32" t="n">
        <x:f>IF(AND(J100&gt;0,L100&gt;0,N100&gt;0),L100/N100-1,"n.a.")</x:f>
        <x:v>0.20163209792587566</x:v>
      </x:c>
      <x:c r="AC100" s="18" t="str">
        <x:f>IF(AND(J100&gt;0,L100&lt;=0),"Missing replacement cost",IF(I100&gt;H100,"Usage exceeds stock",""))</x:f>
      </x:c>
    </x:row>
    <x:row r="101">
      <x:c r="A101" t="s">
        <x:v>15</x:v>
      </x:c>
      <x:c r="B101">
        <x:v>30</x:v>
      </x:c>
      <x:c r="C101" t="s">
        <x:v>64</x:v>
      </x:c>
      <x:c r="D101" t="s">
        <x:v>19</x:v>
      </x:c>
      <x:c r="E101">
        <x:v>2.83</x:v>
      </x:c>
      <x:c r="F101">
        <x:v>18</x:v>
      </x:c>
      <x:c r="G101" s="22" t="n">
        <x:f>SUMIFS('Receipts to be received in'!$P$2:$P$53,'Receipts to be received in'!$B$2:$B$53,B101,'Receipts to be received in'!$C$2:$C$53,D101)</x:f>
        <x:v>0</x:v>
      </x:c>
      <x:c r="H101" s="23" t="n">
        <x:f>F101+G101</x:f>
        <x:v>18</x:v>
      </x:c>
      <x:c r="I101" s="22" t="n">
        <x:f>E101*'Receipts to be received in'!$R$7*'Receipts to be received in'!$R$10</x:f>
        <x:v>4.9278028747433265</x:v>
      </x:c>
      <x:c r="J101" s="23" t="n">
        <x:f>MAX(0,H101-I101)</x:f>
        <x:v>13.072197125256674</x:v>
      </x:c>
      <x:c r="K101">
        <x:v>0</x:v>
      </x:c>
      <x:c r="L101">
        <x:v>102.38</x:v>
      </x:c>
      <x:c r="M101" s="1">
        <x:v>46133</x:v>
      </x:c>
      <x:c r="N101">
        <x:v>85.32</x:v>
      </x:c>
      <x:c r="O101" s="3">
        <x:v>46027</x:v>
      </x:c>
      <x:c r="P101" s="3">
        <x:v>45539</x:v>
      </x:c>
      <x:c r="Q101" s="2">
        <x:v>-0.1666</x:v>
      </x:c>
      <x:c r="R101">
        <x:v>6.3604240282685502</x:v>
      </x:c>
      <x:c r="S101">
        <x:v>6.3604240282685502</x:v>
      </x:c>
      <x:c r="T101">
        <x:v>307.08</x:v>
      </x:c>
      <x:c r="U101">
        <x:v>0</x:v>
      </x:c>
      <x:c r="V101">
        <x:v>1535.75999999999</x:v>
      </x:c>
      <x:c r="W101">
        <x:v>1842.84</x:v>
      </x:c>
      <x:c r="X101">
        <x:v>1838.52</x:v>
      </x:c>
      <x:c r="Y101" s="31" t="n">
        <x:f>J101*N101</x:f>
        <x:v>1115.3198587268994</x:v>
      </x:c>
      <x:c r="Z101" s="31" t="n">
        <x:f>IF(J101=0,0,IF(L101&gt;0,J101*L101,"n.a."))</x:f>
        <x:v>1338.3315416837781</x:v>
      </x:c>
      <x:c r="AA101" s="31" t="n">
        <x:f>IF(J101=0,0,IF(ISNUMBER(Z101),Z101-Y101,"n.a."))</x:f>
        <x:v>223.01168295687876</x:v>
      </x:c>
      <x:c r="AB101" s="32" t="n">
        <x:f>IF(AND(J101&gt;0,L101&gt;0,N101&gt;0),L101/N101-1,"n.a.")</x:f>
        <x:v>0.19995311767463675</x:v>
      </x:c>
      <x:c r="AC101" s="18" t="str">
        <x:f>IF(AND(J101&gt;0,L101&lt;=0),"Missing replacement cost",IF(I101&gt;H101,"Usage exceeds stock",""))</x:f>
      </x:c>
    </x:row>
    <x:row r="102">
      <x:c r="A102" t="s">
        <x:v>15</x:v>
      </x:c>
      <x:c r="B102">
        <x:v>30</x:v>
      </x:c>
      <x:c r="C102" t="s">
        <x:v>64</x:v>
      </x:c>
      <x:c r="D102" t="s">
        <x:v>77</x:v>
      </x:c>
      <x:c r="E102">
        <x:v>2.83</x:v>
      </x:c>
      <x:c r="F102">
        <x:v>37</x:v>
      </x:c>
      <x:c r="G102" s="22" t="n">
        <x:f>SUMIFS('Receipts to be received in'!$P$2:$P$53,'Receipts to be received in'!$B$2:$B$53,B102,'Receipts to be received in'!$C$2:$C$53,D102)</x:f>
        <x:v>0</x:v>
      </x:c>
      <x:c r="H102" s="23" t="n">
        <x:f>F102+G102</x:f>
        <x:v>37</x:v>
      </x:c>
      <x:c r="I102" s="22" t="n">
        <x:f>E102*'Receipts to be received in'!$R$7*'Receipts to be received in'!$R$10</x:f>
        <x:v>4.9278028747433265</x:v>
      </x:c>
      <x:c r="J102" s="23" t="n">
        <x:f>MAX(0,H102-I102)</x:f>
        <x:v>32.07219712525667</x:v>
      </x:c>
      <x:c r="K102">
        <x:v>0</x:v>
      </x:c>
      <x:c r="L102">
        <x:v>17.55</x:v>
      </x:c>
      <x:c r="M102" s="1">
        <x:v>46134</x:v>
      </x:c>
      <x:c r="N102">
        <x:v>14.63</x:v>
      </x:c>
      <x:c r="O102" s="3">
        <x:v>46027</x:v>
      </x:c>
      <x:c r="P102" s="3">
        <x:v>45671</x:v>
      </x:c>
      <x:c r="Q102" s="2">
        <x:v>-0.16639999999999999</x:v>
      </x:c>
      <x:c r="R102">
        <x:v>13.074204946996399</x:v>
      </x:c>
      <x:c r="S102">
        <x:v>13.074204946996399</x:v>
      </x:c>
      <x:c r="T102">
        <x:v>119.72</x:v>
      </x:c>
      <x:c r="U102">
        <x:v>0</x:v>
      </x:c>
      <x:c r="V102">
        <x:v>599.83000000000004</x:v>
      </x:c>
      <x:c r="W102">
        <x:v>719.55</x:v>
      </x:c>
      <x:c r="X102">
        <x:v>300.31</x:v>
      </x:c>
      <x:c r="Y102" s="31" t="n">
        <x:f>J102*N102</x:f>
        <x:v>469.2162439425051</x:v>
      </x:c>
      <x:c r="Z102" s="31" t="n">
        <x:f>IF(J102=0,0,IF(L102&gt;0,J102*L102,"n.a."))</x:f>
        <x:v>562.8670595482546</x:v>
      </x:c>
      <x:c r="AA102" s="31" t="n">
        <x:f>IF(J102=0,0,IF(ISNUMBER(Z102),Z102-Y102,"n.a."))</x:f>
        <x:v>93.65081560574947</x:v>
      </x:c>
      <x:c r="AB102" s="32" t="n">
        <x:f>IF(AND(J102&gt;0,L102&gt;0,N102&gt;0),L102/N102-1,"n.a.")</x:f>
        <x:v>0.1995898838004102</x:v>
      </x:c>
      <x:c r="AC102" s="18" t="str">
        <x:f>IF(AND(J102&gt;0,L102&lt;=0),"Missing replacement cost",IF(I102&gt;H102,"Usage exceeds stock",""))</x:f>
      </x:c>
    </x:row>
    <x:row r="103">
      <x:c r="A103" t="s">
        <x:v>15</x:v>
      </x:c>
      <x:c r="B103">
        <x:v>60</x:v>
      </x:c>
      <x:c r="C103" t="s">
        <x:v>64</x:v>
      </x:c>
      <x:c r="D103" t="s">
        <x:v>88</x:v>
      </x:c>
      <x:c r="E103">
        <x:v>2.83</x:v>
      </x:c>
      <x:c r="F103">
        <x:v>83</x:v>
      </x:c>
      <x:c r="G103" s="22" t="n">
        <x:f>SUMIFS('Receipts to be received in'!$P$2:$P$53,'Receipts to be received in'!$B$2:$B$53,B103,'Receipts to be received in'!$C$2:$C$53,D103)</x:f>
        <x:v>0</x:v>
      </x:c>
      <x:c r="H103" s="23" t="n">
        <x:f>F103+G103</x:f>
        <x:v>83</x:v>
      </x:c>
      <x:c r="I103" s="22" t="n">
        <x:f>E103*'Receipts to be received in'!$R$7*'Receipts to be received in'!$R$10</x:f>
        <x:v>4.9278028747433265</x:v>
      </x:c>
      <x:c r="J103" s="23" t="n">
        <x:f>MAX(0,H103-I103)</x:f>
        <x:v>78.07219712525668</x:v>
      </x:c>
      <x:c r="K103">
        <x:v>0</x:v>
      </x:c>
      <x:c r="L103">
        <x:v>14.58</x:v>
      </x:c>
      <x:c r="M103" s="1">
        <x:v>46133</x:v>
      </x:c>
      <x:c r="N103">
        <x:v>12.15</x:v>
      </x:c>
      <x:c r="O103" s="3">
        <x:v>46027</x:v>
      </x:c>
      <x:c r="P103" s="3">
        <x:v>45877</x:v>
      </x:c>
      <x:c r="Q103" s="2">
        <x:v>-0.16669999999999999</x:v>
      </x:c>
      <x:c r="R103">
        <x:v>29.3286219081272</x:v>
      </x:c>
      <x:c r="S103">
        <x:v>29.3286219081272</x:v>
      </x:c>
      <x:c r="T103">
        <x:v>201.689999999999</x:v>
      </x:c>
      <x:c r="U103">
        <x:v>0</x:v>
      </x:c>
      <x:c r="V103">
        <x:v>1008.45</x:v>
      </x:c>
      <x:c r="W103">
        <x:v>1210.1400000000001</x:v>
      </x:c>
      <x:c r="X103">
        <x:v>249.38</x:v>
      </x:c>
      <x:c r="Y103" s="31" t="n">
        <x:f>J103*N103</x:f>
        <x:v>948.5771950718687</x:v>
      </x:c>
      <x:c r="Z103" s="31" t="n">
        <x:f>IF(J103=0,0,IF(L103&gt;0,J103*L103,"n.a."))</x:f>
        <x:v>1138.2926340862423</x:v>
      </x:c>
      <x:c r="AA103" s="31" t="n">
        <x:f>IF(J103=0,0,IF(ISNUMBER(Z103),Z103-Y103,"n.a."))</x:f>
        <x:v>189.7154390143736</x:v>
      </x:c>
      <x:c r="AB103" s="32" t="n">
        <x:f>IF(AND(J103&gt;0,L103&gt;0,N103&gt;0),L103/N103-1,"n.a.")</x:f>
        <x:v>0.19999999999999996</x:v>
      </x:c>
      <x:c r="AC103" s="18" t="str">
        <x:f>IF(AND(J103&gt;0,L103&lt;=0),"Missing replacement cost",IF(I103&gt;H103,"Usage exceeds stock",""))</x:f>
      </x:c>
    </x:row>
    <x:row r="104">
      <x:c r="A104" t="s">
        <x:v>15</x:v>
      </x:c>
      <x:c r="B104">
        <x:v>30</x:v>
      </x:c>
      <x:c r="C104" t="s">
        <x:v>64</x:v>
      </x:c>
      <x:c r="D104" t="s">
        <x:v>95</x:v>
      </x:c>
      <x:c r="E104">
        <x:v>2.75</x:v>
      </x:c>
      <x:c r="F104">
        <x:v>0</x:v>
      </x:c>
      <x:c r="G104" s="22" t="n">
        <x:f>SUMIFS('Receipts to be received in'!$P$2:$P$53,'Receipts to be received in'!$B$2:$B$53,B104,'Receipts to be received in'!$C$2:$C$53,D104)</x:f>
        <x:v>0</x:v>
      </x:c>
      <x:c r="H104" s="23" t="n">
        <x:f>F104+G104</x:f>
        <x:v>0</x:v>
      </x:c>
      <x:c r="I104" s="22" t="n">
        <x:f>E104*'Receipts to be received in'!$R$7*'Receipts to be received in'!$R$10</x:f>
        <x:v>4.788501026694045</x:v>
      </x:c>
      <x:c r="J104" s="23" t="n">
        <x:f>MAX(0,H104-I104)</x:f>
        <x:v>0</x:v>
      </x:c>
      <x:c r="K104">
        <x:v>0</x:v>
      </x:c>
      <x:c r="L104">
        <x:v>0</x:v>
      </x:c>
      <x:c r="M104" s="1">
        <x:v>45078</x:v>
      </x:c>
      <x:c r="N104">
        <x:v>5.14</x:v>
      </x:c>
      <x:c r="O104" s="3">
        <x:v>45269</x:v>
      </x:c>
      <x:c r="P104" s="3">
        <x:v>42921</x:v>
      </x:c>
      <x:c r="Q104" t="s">
        <x:v>73</x:v>
      </x:c>
      <x:c r="R104">
        <x:v>0</x:v>
      </x:c>
      <x:c r="S104">
        <x:v>0</x:v>
      </x:c>
      <x:c r="T104">
        <x:v>0</x:v>
      </x:c>
      <x:c r="U104">
        <x:v>0</x:v>
      </x:c>
      <x:c r="V104">
        <x:v>0</x:v>
      </x:c>
      <x:c r="W104">
        <x:v>0</x:v>
      </x:c>
      <x:c r="X104">
        <x:v>75.349999999999994</x:v>
      </x:c>
      <x:c r="Y104" s="31" t="n">
        <x:f>J104*N104</x:f>
        <x:v>0</x:v>
      </x:c>
      <x:c r="Z104" s="31" t="n">
        <x:f>IF(J104=0,0,IF(L104&gt;0,J104*L104,"n.a."))</x:f>
        <x:v>0</x:v>
      </x:c>
      <x:c r="AA104" s="31" t="n">
        <x:f>IF(J104=0,0,IF(ISNUMBER(Z104),Z104-Y104,"n.a."))</x:f>
        <x:v>0</x:v>
      </x:c>
      <x:c r="AB104" s="32" t="str">
        <x:f>IF(AND(J104&gt;0,L104&gt;0,N104&gt;0),L104/N104-1,"n.a.")</x:f>
        <x:v>n.a.</x:v>
      </x:c>
      <x:c r="AC104" s="18" t="str">
        <x:f>IF(AND(J104&gt;0,L104&lt;=0),"Missing replacement cost",IF(I104&gt;H104,"Usage exceeds stock",""))</x:f>
        <x:v>Usage exceeds stock</x:v>
      </x:c>
    </x:row>
    <x:row r="105">
      <x:c r="A105" t="s">
        <x:v>15</x:v>
      </x:c>
      <x:c r="B105">
        <x:v>30</x:v>
      </x:c>
      <x:c r="C105" t="s">
        <x:v>64</x:v>
      </x:c>
      <x:c r="D105" t="s">
        <x:v>69</x:v>
      </x:c>
      <x:c r="E105">
        <x:v>2.67</x:v>
      </x:c>
      <x:c r="F105">
        <x:v>116</x:v>
      </x:c>
      <x:c r="G105" s="22" t="n">
        <x:f>SUMIFS('Receipts to be received in'!$P$2:$P$53,'Receipts to be received in'!$B$2:$B$53,B105,'Receipts to be received in'!$C$2:$C$53,D105)</x:f>
        <x:v>0</x:v>
      </x:c>
      <x:c r="H105" s="23" t="n">
        <x:f>F105+G105</x:f>
        <x:v>116</x:v>
      </x:c>
      <x:c r="I105" s="22" t="n">
        <x:f>E105*'Receipts to be received in'!$R$7*'Receipts to be received in'!$R$10</x:f>
        <x:v>4.649199178644764</x:v>
      </x:c>
      <x:c r="J105" s="23" t="n">
        <x:f>MAX(0,H105-I105)</x:f>
        <x:v>111.35080082135524</x:v>
      </x:c>
      <x:c r="K105">
        <x:v>0</x:v>
      </x:c>
      <x:c r="L105">
        <x:v>13.66</x:v>
      </x:c>
      <x:c r="M105" s="1">
        <x:v>46133</x:v>
      </x:c>
      <x:c r="N105">
        <x:v>11.38</x:v>
      </x:c>
      <x:c r="O105" s="3">
        <x:v>46027</x:v>
      </x:c>
      <x:c r="P105" s="3">
        <x:v>46036</x:v>
      </x:c>
      <x:c r="Q105" s="2">
        <x:v>-0.16689999999999999</x:v>
      </x:c>
      <x:c r="R105">
        <x:v>43.445692883895099</x:v>
      </x:c>
      <x:c r="S105">
        <x:v>43.445692883895099</x:v>
      </x:c>
      <x:c r="T105">
        <x:v>264.479999999999</x:v>
      </x:c>
      <x:c r="U105">
        <x:v>0</x:v>
      </x:c>
      <x:c r="V105">
        <x:v>1320.08</x:v>
      </x:c>
      <x:c r="W105">
        <x:v>1584.56</x:v>
      </x:c>
      <x:c r="X105">
        <x:v>245.25</x:v>
      </x:c>
      <x:c r="Y105" s="31" t="n">
        <x:f>J105*N105</x:f>
        <x:v>1267.1721133470226</x:v>
      </x:c>
      <x:c r="Z105" s="31" t="n">
        <x:f>IF(J105=0,0,IF(L105&gt;0,J105*L105,"n.a."))</x:f>
        <x:v>1521.0519392197125</x:v>
      </x:c>
      <x:c r="AA105" s="31" t="n">
        <x:f>IF(J105=0,0,IF(ISNUMBER(Z105),Z105-Y105,"n.a."))</x:f>
        <x:v>253.87982587268993</x:v>
      </x:c>
      <x:c r="AB105" s="32" t="n">
        <x:f>IF(AND(J105&gt;0,L105&gt;0,N105&gt;0),L105/N105-1,"n.a.")</x:f>
        <x:v>0.20035149384885753</x:v>
      </x:c>
      <x:c r="AC105" s="18" t="str">
        <x:f>IF(AND(J105&gt;0,L105&lt;=0),"Missing replacement cost",IF(I105&gt;H105,"Usage exceeds stock",""))</x:f>
      </x:c>
    </x:row>
    <x:row r="106">
      <x:c r="A106" t="s">
        <x:v>15</x:v>
      </x:c>
      <x:c r="B106">
        <x:v>30</x:v>
      </x:c>
      <x:c r="C106" t="s">
        <x:v>64</x:v>
      </x:c>
      <x:c r="D106" t="s">
        <x:v>93</x:v>
      </x:c>
      <x:c r="E106">
        <x:v>2.67</x:v>
      </x:c>
      <x:c r="F106">
        <x:v>20</x:v>
      </x:c>
      <x:c r="G106" s="22" t="n">
        <x:f>SUMIFS('Receipts to be received in'!$P$2:$P$53,'Receipts to be received in'!$B$2:$B$53,B106,'Receipts to be received in'!$C$2:$C$53,D106)</x:f>
        <x:v>0</x:v>
      </x:c>
      <x:c r="H106" s="23" t="n">
        <x:f>F106+G106</x:f>
        <x:v>20</x:v>
      </x:c>
      <x:c r="I106" s="22" t="n">
        <x:f>E106*'Receipts to be received in'!$R$7*'Receipts to be received in'!$R$10</x:f>
        <x:v>4.649199178644764</x:v>
      </x:c>
      <x:c r="J106" s="23" t="n">
        <x:f>MAX(0,H106-I106)</x:f>
        <x:v>15.350800821355236</x:v>
      </x:c>
      <x:c r="K106">
        <x:v>0</x:v>
      </x:c>
      <x:c r="L106">
        <x:v>30.78</x:v>
      </x:c>
      <x:c r="M106" s="1">
        <x:v>46133</x:v>
      </x:c>
      <x:c r="N106">
        <x:v>25.65</x:v>
      </x:c>
      <x:c r="O106" s="3">
        <x:v>46027</x:v>
      </x:c>
      <x:c r="P106" s="3">
        <x:v>46143</x:v>
      </x:c>
      <x:c r="Q106" s="2">
        <x:v>-0.16669999999999999</x:v>
      </x:c>
      <x:c r="R106">
        <x:v>7.4906367041198498</x:v>
      </x:c>
      <x:c r="S106">
        <x:v>7.4906367041198498</x:v>
      </x:c>
      <x:c r="T106">
        <x:v>102.6</x:v>
      </x:c>
      <x:c r="U106">
        <x:v>0</x:v>
      </x:c>
      <x:c r="V106">
        <x:v>513</x:v>
      </x:c>
      <x:c r="W106">
        <x:v>615.6</x:v>
      </x:c>
      <x:c r="X106">
        <x:v>526.41</x:v>
      </x:c>
      <x:c r="Y106" s="31" t="n">
        <x:f>J106*N106</x:f>
        <x:v>393.7480410677618</x:v>
      </x:c>
      <x:c r="Z106" s="31" t="n">
        <x:f>IF(J106=0,0,IF(L106&gt;0,J106*L106,"n.a."))</x:f>
        <x:v>472.4976492813142</x:v>
      </x:c>
      <x:c r="AA106" s="31" t="n">
        <x:f>IF(J106=0,0,IF(ISNUMBER(Z106),Z106-Y106,"n.a."))</x:f>
        <x:v>78.74960821355239</x:v>
      </x:c>
      <x:c r="AB106" s="32" t="n">
        <x:f>IF(AND(J106&gt;0,L106&gt;0,N106&gt;0),L106/N106-1,"n.a.")</x:f>
        <x:v>0.20000000000000018</x:v>
      </x:c>
      <x:c r="AC106" s="18" t="str">
        <x:f>IF(AND(J106&gt;0,L106&lt;=0),"Missing replacement cost",IF(I106&gt;H106,"Usage exceeds stock",""))</x:f>
      </x:c>
    </x:row>
    <x:row r="107">
      <x:c r="A107" t="s">
        <x:v>15</x:v>
      </x:c>
      <x:c r="B107">
        <x:v>30</x:v>
      </x:c>
      <x:c r="C107" t="s">
        <x:v>64</x:v>
      </x:c>
      <x:c r="D107" t="s">
        <x:v>65</x:v>
      </x:c>
      <x:c r="E107">
        <x:v>2.42</x:v>
      </x:c>
      <x:c r="F107">
        <x:v>450</x:v>
      </x:c>
      <x:c r="G107" s="22" t="n">
        <x:f>SUMIFS('Receipts to be received in'!$P$2:$P$53,'Receipts to be received in'!$B$2:$B$53,B107,'Receipts to be received in'!$C$2:$C$53,D107)</x:f>
        <x:v>0</x:v>
      </x:c>
      <x:c r="H107" s="23" t="n">
        <x:f>F107+G107</x:f>
        <x:v>450</x:v>
      </x:c>
      <x:c r="I107" s="22" t="n">
        <x:f>E107*'Receipts to be received in'!$R$7*'Receipts to be received in'!$R$10</x:f>
        <x:v>4.21388090349076</x:v>
      </x:c>
      <x:c r="J107" s="23" t="n">
        <x:f>MAX(0,H107-I107)</x:f>
        <x:v>445.78611909650925</x:v>
      </x:c>
      <x:c r="K107">
        <x:v>0</x:v>
      </x:c>
      <x:c r="L107">
        <x:v>21.87</x:v>
      </x:c>
      <x:c r="M107" s="1">
        <x:v>46134</x:v>
      </x:c>
      <x:c r="N107">
        <x:v>18.23</x:v>
      </x:c>
      <x:c r="O107" s="3">
        <x:v>46027</x:v>
      </x:c>
      <x:c r="P107" s="3">
        <x:v>46036</x:v>
      </x:c>
      <x:c r="Q107" s="2">
        <x:v>-0.16639999999999999</x:v>
      </x:c>
      <x:c r="R107">
        <x:v>185.95041322314</x:v>
      </x:c>
      <x:c r="S107">
        <x:v>185.95041322314</x:v>
      </x:c>
      <x:c r="T107">
        <x:v>1638</x:v>
      </x:c>
      <x:c r="U107">
        <x:v>0</x:v>
      </x:c>
      <x:c r="V107">
        <x:v>8203.5</x:v>
      </x:c>
      <x:c r="W107">
        <x:v>9841.5</x:v>
      </x:c>
      <x:c r="X107">
        <x:v>374.17</x:v>
      </x:c>
      <x:c r="Y107" s="31" t="n">
        <x:f>J107*N107</x:f>
        <x:v>8126.680951129364</x:v>
      </x:c>
      <x:c r="Z107" s="31" t="n">
        <x:f>IF(J107=0,0,IF(L107&gt;0,J107*L107,"n.a."))</x:f>
        <x:v>9749.342424640658</x:v>
      </x:c>
      <x:c r="AA107" s="31" t="n">
        <x:f>IF(J107=0,0,IF(ISNUMBER(Z107),Z107-Y107,"n.a."))</x:f>
        <x:v>1622.6614735112935</x:v>
      </x:c>
      <x:c r="AB107" s="32" t="n">
        <x:f>IF(AND(J107&gt;0,L107&gt;0,N107&gt;0),L107/N107-1,"n.a.")</x:f>
        <x:v>0.19967087218869994</x:v>
      </x:c>
      <x:c r="AC107" s="18" t="str">
        <x:f>IF(AND(J107&gt;0,L107&lt;=0),"Missing replacement cost",IF(I107&gt;H107,"Usage exceeds stock",""))</x:f>
      </x:c>
    </x:row>
    <x:row r="108">
      <x:c r="A108" t="s">
        <x:v>15</x:v>
      </x:c>
      <x:c r="B108">
        <x:v>10</x:v>
      </x:c>
      <x:c r="C108" t="s">
        <x:v>64</x:v>
      </x:c>
      <x:c r="D108" t="s">
        <x:v>87</x:v>
      </x:c>
      <x:c r="E108">
        <x:v>2.33</x:v>
      </x:c>
      <x:c r="F108">
        <x:v>58</x:v>
      </x:c>
      <x:c r="G108" s="22" t="n">
        <x:f>SUMIFS('Receipts to be received in'!$P$2:$P$53,'Receipts to be received in'!$B$2:$B$53,B108,'Receipts to be received in'!$C$2:$C$53,D108)</x:f>
        <x:v>0</x:v>
      </x:c>
      <x:c r="H108" s="23" t="n">
        <x:f>F108+G108</x:f>
        <x:v>58</x:v>
      </x:c>
      <x:c r="I108" s="22" t="n">
        <x:f>E108*'Receipts to be received in'!$R$7*'Receipts to be received in'!$R$10</x:f>
        <x:v>4.057166324435318</x:v>
      </x:c>
      <x:c r="J108" s="23" t="n">
        <x:f>MAX(0,H108-I108)</x:f>
        <x:v>53.942833675564685</x:v>
      </x:c>
      <x:c r="K108">
        <x:v>0</x:v>
      </x:c>
      <x:c r="L108">
        <x:v>40.700000000000003</x:v>
      </x:c>
      <x:c r="M108" s="1">
        <x:v>46134</x:v>
      </x:c>
      <x:c r="N108">
        <x:v>33.89</x:v>
      </x:c>
      <x:c r="O108" s="3">
        <x:v>46027</x:v>
      </x:c>
      <x:c r="P108" s="3">
        <x:v>46010</x:v>
      </x:c>
      <x:c r="Q108" s="2">
        <x:v>-0.1673</x:v>
      </x:c>
      <x:c r="R108">
        <x:v>24.892703862660898</x:v>
      </x:c>
      <x:c r="S108">
        <x:v>24.892703862660898</x:v>
      </x:c>
      <x:c r="T108">
        <x:v>394.98</x:v>
      </x:c>
      <x:c r="U108">
        <x:v>0</x:v>
      </x:c>
      <x:c r="V108">
        <x:v>1965.62</x:v>
      </x:c>
      <x:c r="W108">
        <x:v>2360.6</x:v>
      </x:c>
      <x:c r="X108">
        <x:v>758.95</x:v>
      </x:c>
      <x:c r="Y108" s="31" t="n">
        <x:f>J108*N108</x:f>
        <x:v>1828.1226332648873</x:v>
      </x:c>
      <x:c r="Z108" s="31" t="n">
        <x:f>IF(J108=0,0,IF(L108&gt;0,J108*L108,"n.a."))</x:f>
        <x:v>2195.473330595483</x:v>
      </x:c>
      <x:c r="AA108" s="31" t="n">
        <x:f>IF(J108=0,0,IF(ISNUMBER(Z108),Z108-Y108,"n.a."))</x:f>
        <x:v>367.3506973305955</x:v>
      </x:c>
      <x:c r="AB108" s="32" t="n">
        <x:f>IF(AND(J108&gt;0,L108&gt;0,N108&gt;0),L108/N108-1,"n.a.")</x:f>
        <x:v>0.2009442313366776</x:v>
      </x:c>
      <x:c r="AC108" s="18" t="str">
        <x:f>IF(AND(J108&gt;0,L108&lt;=0),"Missing replacement cost",IF(I108&gt;H108,"Usage exceeds stock",""))</x:f>
      </x:c>
    </x:row>
    <x:row r="109">
      <x:c r="A109" t="s">
        <x:v>15</x:v>
      </x:c>
      <x:c r="B109">
        <x:v>10</x:v>
      </x:c>
      <x:c r="C109" t="s">
        <x:v>64</x:v>
      </x:c>
      <x:c r="D109" t="s">
        <x:v>94</x:v>
      </x:c>
      <x:c r="E109">
        <x:v>2.33</x:v>
      </x:c>
      <x:c r="F109">
        <x:v>68</x:v>
      </x:c>
      <x:c r="G109" s="22" t="n">
        <x:f>SUMIFS('Receipts to be received in'!$P$2:$P$53,'Receipts to be received in'!$B$2:$B$53,B109,'Receipts to be received in'!$C$2:$C$53,D109)</x:f>
        <x:v>0</x:v>
      </x:c>
      <x:c r="H109" s="23" t="n">
        <x:f>F109+G109</x:f>
        <x:v>68</x:v>
      </x:c>
      <x:c r="I109" s="22" t="n">
        <x:f>E109*'Receipts to be received in'!$R$7*'Receipts to be received in'!$R$10</x:f>
        <x:v>4.057166324435318</x:v>
      </x:c>
      <x:c r="J109" s="23" t="n">
        <x:f>MAX(0,H109-I109)</x:f>
        <x:v>63.942833675564685</x:v>
      </x:c>
      <x:c r="K109">
        <x:v>0</x:v>
      </x:c>
      <x:c r="L109">
        <x:v>60.6</x:v>
      </x:c>
      <x:c r="M109" s="1">
        <x:v>46134</x:v>
      </x:c>
      <x:c r="N109">
        <x:v>50.34</x:v>
      </x:c>
      <x:c r="O109" s="3">
        <x:v>46027</x:v>
      </x:c>
      <x:c r="P109" s="3">
        <x:v>46121</x:v>
      </x:c>
      <x:c r="Q109" s="2">
        <x:v>-0.16930000000000001</x:v>
      </x:c>
      <x:c r="R109">
        <x:v>29.184549356223101</x:v>
      </x:c>
      <x:c r="S109">
        <x:v>29.184549356223101</x:v>
      </x:c>
      <x:c r="T109">
        <x:v>697.67999999999904</x:v>
      </x:c>
      <x:c r="U109">
        <x:v>0</x:v>
      </x:c>
      <x:c r="V109">
        <x:v>3423.12</x:v>
      </x:c>
      <x:c r="W109">
        <x:v>4120.8</x:v>
      </x:c>
      <x:c r="X109">
        <x:v>1026.0899999999999</x:v>
      </x:c>
      <x:c r="Y109" s="31" t="n">
        <x:f>J109*N109</x:f>
        <x:v>3218.8822472279267</x:v>
      </x:c>
      <x:c r="Z109" s="31" t="n">
        <x:f>IF(J109=0,0,IF(L109&gt;0,J109*L109,"n.a."))</x:f>
        <x:v>3874.93572073922</x:v>
      </x:c>
      <x:c r="AA109" s="31" t="n">
        <x:f>IF(J109=0,0,IF(ISNUMBER(Z109),Z109-Y109,"n.a."))</x:f>
        <x:v>656.0534735112933</x:v>
      </x:c>
      <x:c r="AB109" s="32" t="n">
        <x:f>IF(AND(J109&gt;0,L109&gt;0,N109&gt;0),L109/N109-1,"n.a.")</x:f>
        <x:v>0.20381406436233607</x:v>
      </x:c>
      <x:c r="AC109" s="18" t="str">
        <x:f>IF(AND(J109&gt;0,L109&lt;=0),"Missing replacement cost",IF(I109&gt;H109,"Usage exceeds stock",""))</x:f>
      </x:c>
    </x:row>
    <x:row r="110">
      <x:c r="A110" t="s">
        <x:v>15</x:v>
      </x:c>
      <x:c r="B110">
        <x:v>60</x:v>
      </x:c>
      <x:c r="C110" t="s">
        <x:v>64</x:v>
      </x:c>
      <x:c r="D110" t="s">
        <x:v>96</x:v>
      </x:c>
      <x:c r="E110">
        <x:v>2.33</x:v>
      </x:c>
      <x:c r="F110">
        <x:v>48</x:v>
      </x:c>
      <x:c r="G110" s="22" t="n">
        <x:f>SUMIFS('Receipts to be received in'!$P$2:$P$53,'Receipts to be received in'!$B$2:$B$53,B110,'Receipts to be received in'!$C$2:$C$53,D110)</x:f>
        <x:v>0</x:v>
      </x:c>
      <x:c r="H110" s="23" t="n">
        <x:f>F110+G110</x:f>
        <x:v>48</x:v>
      </x:c>
      <x:c r="I110" s="22" t="n">
        <x:f>E110*'Receipts to be received in'!$R$7*'Receipts to be received in'!$R$10</x:f>
        <x:v>4.057166324435318</x:v>
      </x:c>
      <x:c r="J110" s="23" t="n">
        <x:f>MAX(0,H110-I110)</x:f>
        <x:v>43.942833675564685</x:v>
      </x:c>
      <x:c r="K110">
        <x:v>0</x:v>
      </x:c>
      <x:c r="L110">
        <x:v>63.6</x:v>
      </x:c>
      <x:c r="M110" s="1">
        <x:v>46134</x:v>
      </x:c>
      <x:c r="N110">
        <x:v>52.95</x:v>
      </x:c>
      <x:c r="O110" s="3">
        <x:v>46027</x:v>
      </x:c>
      <x:c r="P110" s="3">
        <x:v>46244</x:v>
      </x:c>
      <x:c r="Q110" s="2">
        <x:v>-0.16750000000000001</x:v>
      </x:c>
      <x:c r="R110">
        <x:v>20.600858369098699</x:v>
      </x:c>
      <x:c r="S110">
        <x:v>20.600858369098699</x:v>
      </x:c>
      <x:c r="T110">
        <x:v>511.19999999999902</x:v>
      </x:c>
      <x:c r="U110">
        <x:v>0</x:v>
      </x:c>
      <x:c r="V110">
        <x:v>2541.6</x:v>
      </x:c>
      <x:c r="W110">
        <x:v>3052.8</x:v>
      </x:c>
      <x:c r="X110">
        <x:v>1185.8399999999999</x:v>
      </x:c>
      <x:c r="Y110" s="31" t="n">
        <x:f>J110*N110</x:f>
        <x:v>2326.7730431211503</x:v>
      </x:c>
      <x:c r="Z110" s="31" t="n">
        <x:f>IF(J110=0,0,IF(L110&gt;0,J110*L110,"n.a."))</x:f>
        <x:v>2794.764221765914</x:v>
      </x:c>
      <x:c r="AA110" s="31" t="n">
        <x:f>IF(J110=0,0,IF(ISNUMBER(Z110),Z110-Y110,"n.a."))</x:f>
        <x:v>467.99117864476375</x:v>
      </x:c>
      <x:c r="AB110" s="32" t="n">
        <x:f>IF(AND(J110&gt;0,L110&gt;0,N110&gt;0),L110/N110-1,"n.a.")</x:f>
        <x:v>0.20113314447592057</x:v>
      </x:c>
      <x:c r="AC110" s="18" t="str">
        <x:f>IF(AND(J110&gt;0,L110&lt;=0),"Missing replacement cost",IF(I110&gt;H110,"Usage exceeds stock",""))</x:f>
      </x:c>
    </x:row>
    <x:row r="111">
      <x:c r="A111" t="s">
        <x:v>15</x:v>
      </x:c>
      <x:c r="B111">
        <x:v>60</x:v>
      </x:c>
      <x:c r="C111" t="s">
        <x:v>64</x:v>
      </x:c>
      <x:c r="D111" t="s">
        <x:v>77</x:v>
      </x:c>
      <x:c r="E111">
        <x:v>2.25</x:v>
      </x:c>
      <x:c r="F111">
        <x:v>74</x:v>
      </x:c>
      <x:c r="G111" s="22" t="n">
        <x:f>SUMIFS('Receipts to be received in'!$P$2:$P$53,'Receipts to be received in'!$B$2:$B$53,B111,'Receipts to be received in'!$C$2:$C$53,D111)</x:f>
        <x:v>0</x:v>
      </x:c>
      <x:c r="H111" s="23" t="n">
        <x:f>F111+G111</x:f>
        <x:v>74</x:v>
      </x:c>
      <x:c r="I111" s="22" t="n">
        <x:f>E111*'Receipts to be received in'!$R$7*'Receipts to be received in'!$R$10</x:f>
        <x:v>3.917864476386037</x:v>
      </x:c>
      <x:c r="J111" s="23" t="n">
        <x:f>MAX(0,H111-I111)</x:f>
        <x:v>70.08213552361396</x:v>
      </x:c>
      <x:c r="K111">
        <x:v>0</x:v>
      </x:c>
      <x:c r="L111">
        <x:v>17.55</x:v>
      </x:c>
      <x:c r="M111" s="1">
        <x:v>46134</x:v>
      </x:c>
      <x:c r="N111">
        <x:v>14.63</x:v>
      </x:c>
      <x:c r="O111" s="3">
        <x:v>46027</x:v>
      </x:c>
      <x:c r="P111" s="3">
        <x:v>46244</x:v>
      </x:c>
      <x:c r="Q111" s="2">
        <x:v>-0.16639999999999999</x:v>
      </x:c>
      <x:c r="R111">
        <x:v>32.8888888888888</x:v>
      </x:c>
      <x:c r="S111">
        <x:v>32.8888888888888</x:v>
      </x:c>
      <x:c r="T111">
        <x:v>216.07999999999899</x:v>
      </x:c>
      <x:c r="U111">
        <x:v>0</x:v>
      </x:c>
      <x:c r="V111">
        <x:v>1082.6199999999999</x:v>
      </x:c>
      <x:c r="W111">
        <x:v>1298.7</x:v>
      </x:c>
      <x:c r="X111">
        <x:v>300.31</x:v>
      </x:c>
      <x:c r="Y111" s="31" t="n">
        <x:f>J111*N111</x:f>
        <x:v>1025.3016427104722</x:v>
      </x:c>
      <x:c r="Z111" s="31" t="n">
        <x:f>IF(J111=0,0,IF(L111&gt;0,J111*L111,"n.a."))</x:f>
        <x:v>1229.941478439425</x:v>
      </x:c>
      <x:c r="AA111" s="31" t="n">
        <x:f>IF(J111=0,0,IF(ISNUMBER(Z111),Z111-Y111,"n.a."))</x:f>
        <x:v>204.6398357289529</x:v>
      </x:c>
      <x:c r="AB111" s="32" t="n">
        <x:f>IF(AND(J111&gt;0,L111&gt;0,N111&gt;0),L111/N111-1,"n.a.")</x:f>
        <x:v>0.1995898838004102</x:v>
      </x:c>
      <x:c r="AC111" s="18" t="str">
        <x:f>IF(AND(J111&gt;0,L111&lt;=0),"Missing replacement cost",IF(I111&gt;H111,"Usage exceeds stock",""))</x:f>
      </x:c>
    </x:row>
    <x:row r="112">
      <x:c r="A112" t="s">
        <x:v>15</x:v>
      </x:c>
      <x:c r="B112">
        <x:v>30</x:v>
      </x:c>
      <x:c r="C112" t="s">
        <x:v>64</x:v>
      </x:c>
      <x:c r="D112" t="s">
        <x:v>30</x:v>
      </x:c>
      <x:c r="E112">
        <x:v>2.17</x:v>
      </x:c>
      <x:c r="F112">
        <x:v>12</x:v>
      </x:c>
      <x:c r="G112" s="22" t="n">
        <x:f>SUMIFS('Receipts to be received in'!$P$2:$P$53,'Receipts to be received in'!$B$2:$B$53,B112,'Receipts to be received in'!$C$2:$C$53,D112)</x:f>
        <x:v>72</x:v>
      </x:c>
      <x:c r="H112" s="23" t="n">
        <x:f>F112+G112</x:f>
        <x:v>84</x:v>
      </x:c>
      <x:c r="I112" s="22" t="n">
        <x:f>E112*'Receipts to be received in'!$R$7*'Receipts to be received in'!$R$10</x:f>
        <x:v>3.7785626283367555</x:v>
      </x:c>
      <x:c r="J112" s="23" t="n">
        <x:f>MAX(0,H112-I112)</x:f>
        <x:v>80.22143737166324</x:v>
      </x:c>
      <x:c r="K112">
        <x:v>72</x:v>
      </x:c>
      <x:c r="L112">
        <x:v>28.44</x:v>
      </x:c>
      <x:c r="M112" s="1">
        <x:v>46133</x:v>
      </x:c>
      <x:c r="N112">
        <x:v>23.7</x:v>
      </x:c>
      <x:c r="O112" s="3">
        <x:v>46027</x:v>
      </x:c>
      <x:c r="P112" s="3">
        <x:v>46210</x:v>
      </x:c>
      <x:c r="Q112" s="2">
        <x:v>-0.16669999999999999</x:v>
      </x:c>
      <x:c r="R112">
        <x:v>38.709677419354797</x:v>
      </x:c>
      <x:c r="S112">
        <x:v>5.5299539170506904</x:v>
      </x:c>
      <x:c r="T112">
        <x:v>56.88</x:v>
      </x:c>
      <x:c r="U112">
        <x:v>341.28</x:v>
      </x:c>
      <x:c r="V112">
        <x:v>284.39999999999998</x:v>
      </x:c>
      <x:c r="W112">
        <x:v>341.28</x:v>
      </x:c>
      <x:c r="X112">
        <x:v>510.71</x:v>
      </x:c>
      <x:c r="Y112" s="31" t="n">
        <x:f>J112*N112</x:f>
        <x:v>1901.2480657084188</x:v>
      </x:c>
      <x:c r="Z112" s="31" t="n">
        <x:f>IF(J112=0,0,IF(L112&gt;0,J112*L112,"n.a."))</x:f>
        <x:v>2281.4976788501026</x:v>
      </x:c>
      <x:c r="AA112" s="31" t="n">
        <x:f>IF(J112=0,0,IF(ISNUMBER(Z112),Z112-Y112,"n.a."))</x:f>
        <x:v>380.24961314168377</x:v>
      </x:c>
      <x:c r="AB112" s="32" t="n">
        <x:f>IF(AND(J112&gt;0,L112&gt;0,N112&gt;0),L112/N112-1,"n.a.")</x:f>
        <x:v>0.20000000000000018</x:v>
      </x:c>
      <x:c r="AC112" s="18" t="str">
        <x:f>IF(AND(J112&gt;0,L112&lt;=0),"Missing replacement cost",IF(I112&gt;H112,"Usage exceeds stock",""))</x:f>
      </x:c>
    </x:row>
    <x:row r="113">
      <x:c r="A113" t="s">
        <x:v>15</x:v>
      </x:c>
      <x:c r="B113">
        <x:v>10</x:v>
      </x:c>
      <x:c r="C113" t="s">
        <x:v>64</x:v>
      </x:c>
      <x:c r="D113" t="s">
        <x:v>18</x:v>
      </x:c>
      <x:c r="E113">
        <x:v>2</x:v>
      </x:c>
      <x:c r="F113">
        <x:v>10</x:v>
      </x:c>
      <x:c r="G113" s="22" t="n">
        <x:f>SUMIFS('Receipts to be received in'!$P$2:$P$53,'Receipts to be received in'!$B$2:$B$53,B113,'Receipts to be received in'!$C$2:$C$53,D113)</x:f>
        <x:v>20</x:v>
      </x:c>
      <x:c r="H113" s="23" t="n">
        <x:f>F113+G113</x:f>
        <x:v>30</x:v>
      </x:c>
      <x:c r="I113" s="22" t="n">
        <x:f>E113*'Receipts to be received in'!$R$7*'Receipts to be received in'!$R$10</x:f>
        <x:v>3.482546201232033</x:v>
      </x:c>
      <x:c r="J113" s="23" t="n">
        <x:f>MAX(0,H113-I113)</x:f>
        <x:v>26.517453798767967</x:v>
      </x:c>
      <x:c r="K113">
        <x:v>20</x:v>
      </x:c>
      <x:c r="L113">
        <x:v>30.53</x:v>
      </x:c>
      <x:c r="M113" s="1">
        <x:v>46134</x:v>
      </x:c>
      <x:c r="N113">
        <x:v>25.42</x:v>
      </x:c>
      <x:c r="O113" s="3">
        <x:v>46027</x:v>
      </x:c>
      <x:c r="P113" s="3">
        <x:v>45856</x:v>
      </x:c>
      <x:c r="Q113" s="2">
        <x:v>-0.16739999999999999</x:v>
      </x:c>
      <x:c r="R113">
        <x:v>15</x:v>
      </x:c>
      <x:c r="S113">
        <x:v>5</x:v>
      </x:c>
      <x:c r="T113">
        <x:v>51.099999999999902</x:v>
      </x:c>
      <x:c r="U113">
        <x:v>102.19999999999899</x:v>
      </x:c>
      <x:c r="V113">
        <x:v>254.2</x:v>
      </x:c>
      <x:c r="W113">
        <x:v>305.3</x:v>
      </x:c>
      <x:c r="X113">
        <x:v>569.46</x:v>
      </x:c>
      <x:c r="Y113" s="31" t="n">
        <x:f>J113*N113</x:f>
        <x:v>674.0736755646818</x:v>
      </x:c>
      <x:c r="Z113" s="31" t="n">
        <x:f>IF(J113=0,0,IF(L113&gt;0,J113*L113,"n.a."))</x:f>
        <x:v>809.577864476386</x:v>
      </x:c>
      <x:c r="AA113" s="31" t="n">
        <x:f>IF(J113=0,0,IF(ISNUMBER(Z113),Z113-Y113,"n.a."))</x:f>
        <x:v>135.5041889117042</x:v>
      </x:c>
      <x:c r="AB113" s="32" t="n">
        <x:f>IF(AND(J113&gt;0,L113&gt;0,N113&gt;0),L113/N113-1,"n.a.")</x:f>
        <x:v>0.20102281667977961</x:v>
      </x:c>
      <x:c r="AC113" s="18" t="str">
        <x:f>IF(AND(J113&gt;0,L113&lt;=0),"Missing replacement cost",IF(I113&gt;H113,"Usage exceeds stock",""))</x:f>
      </x:c>
    </x:row>
    <x:row r="114">
      <x:c r="A114" t="s">
        <x:v>15</x:v>
      </x:c>
      <x:c r="B114">
        <x:v>30</x:v>
      </x:c>
      <x:c r="C114" t="s">
        <x:v>64</x:v>
      </x:c>
      <x:c r="D114" t="s">
        <x:v>16</x:v>
      </x:c>
      <x:c r="E114">
        <x:v>1.83</x:v>
      </x:c>
      <x:c r="F114">
        <x:v>14</x:v>
      </x:c>
      <x:c r="G114" s="22" t="n">
        <x:f>SUMIFS('Receipts to be received in'!$P$2:$P$53,'Receipts to be received in'!$B$2:$B$53,B114,'Receipts to be received in'!$C$2:$C$53,D114)</x:f>
        <x:v>32</x:v>
      </x:c>
      <x:c r="H114" s="23" t="n">
        <x:f>F114+G114</x:f>
        <x:v>46</x:v>
      </x:c>
      <x:c r="I114" s="22" t="n">
        <x:f>E114*'Receipts to be received in'!$R$7*'Receipts to be received in'!$R$10</x:f>
        <x:v>3.1865297741273104</x:v>
      </x:c>
      <x:c r="J114" s="23" t="n">
        <x:f>MAX(0,H114-I114)</x:f>
        <x:v>42.81347022587269</x:v>
      </x:c>
      <x:c r="K114">
        <x:v>32</x:v>
      </x:c>
      <x:c r="L114">
        <x:v>68.260000000000005</x:v>
      </x:c>
      <x:c r="M114" s="1">
        <x:v>46133</x:v>
      </x:c>
      <x:c r="N114">
        <x:v>56.88</x:v>
      </x:c>
      <x:c r="O114" s="3">
        <x:v>46027</x:v>
      </x:c>
      <x:c r="P114" s="3">
        <x:v>46210</x:v>
      </x:c>
      <x:c r="Q114" s="2">
        <x:v>-0.16669999999999999</x:v>
      </x:c>
      <x:c r="R114">
        <x:v>25.1366120218579</x:v>
      </x:c>
      <x:c r="S114">
        <x:v>7.6502732240437101</x:v>
      </x:c>
      <x:c r="T114">
        <x:v>159.32</x:v>
      </x:c>
      <x:c r="U114">
        <x:v>364.16</x:v>
      </x:c>
      <x:c r="V114">
        <x:v>796.32</x:v>
      </x:c>
      <x:c r="W114">
        <x:v>955.64</x:v>
      </x:c>
      <x:c r="X114">
        <x:v>1225.74</x:v>
      </x:c>
      <x:c r="Y114" s="31" t="n">
        <x:f>J114*N114</x:f>
        <x:v>2435.230186447639</x:v>
      </x:c>
      <x:c r="Z114" s="31" t="n">
        <x:f>IF(J114=0,0,IF(L114&gt;0,J114*L114,"n.a."))</x:f>
        <x:v>2922.44747761807</x:v>
      </x:c>
      <x:c r="AA114" s="31" t="n">
        <x:f>IF(J114=0,0,IF(ISNUMBER(Z114),Z114-Y114,"n.a."))</x:f>
        <x:v>487.21729117043105</x:v>
      </x:c>
      <x:c r="AB114" s="32" t="n">
        <x:f>IF(AND(J114&gt;0,L114&gt;0,N114&gt;0),L114/N114-1,"n.a.")</x:f>
        <x:v>0.200070323488045</x:v>
      </x:c>
      <x:c r="AC114" s="18" t="str">
        <x:f>IF(AND(J114&gt;0,L114&lt;=0),"Missing replacement cost",IF(I114&gt;H114,"Usage exceeds stock",""))</x:f>
      </x:c>
    </x:row>
    <x:row r="115">
      <x:c r="A115" t="s">
        <x:v>15</x:v>
      </x:c>
      <x:c r="B115">
        <x:v>60</x:v>
      </x:c>
      <x:c r="C115" t="s">
        <x:v>64</x:v>
      </x:c>
      <x:c r="D115" t="s">
        <x:v>79</x:v>
      </x:c>
      <x:c r="E115">
        <x:v>1.83</x:v>
      </x:c>
      <x:c r="F115">
        <x:v>11</x:v>
      </x:c>
      <x:c r="G115" s="22" t="n">
        <x:f>SUMIFS('Receipts to be received in'!$P$2:$P$53,'Receipts to be received in'!$B$2:$B$53,B115,'Receipts to be received in'!$C$2:$C$53,D115)</x:f>
        <x:v>0</x:v>
      </x:c>
      <x:c r="H115" s="23" t="n">
        <x:f>F115+G115</x:f>
        <x:v>11</x:v>
      </x:c>
      <x:c r="I115" s="22" t="n">
        <x:f>E115*'Receipts to be received in'!$R$7*'Receipts to be received in'!$R$10</x:f>
        <x:v>3.1865297741273104</x:v>
      </x:c>
      <x:c r="J115" s="23" t="n">
        <x:f>MAX(0,H115-I115)</x:f>
        <x:v>7.81347022587269</x:v>
      </x:c>
      <x:c r="K115">
        <x:v>120</x:v>
      </x:c>
      <x:c r="L115">
        <x:v>7.78</x:v>
      </x:c>
      <x:c r="M115" s="1">
        <x:v>46133</x:v>
      </x:c>
      <x:c r="N115">
        <x:v>6.48</x:v>
      </x:c>
      <x:c r="O115" s="3">
        <x:v>46027</x:v>
      </x:c>
      <x:c r="P115" s="3">
        <x:v>45132</x:v>
      </x:c>
      <x:c r="Q115" s="2">
        <x:v>-0.1671</x:v>
      </x:c>
      <x:c r="R115">
        <x:v>71.584699453551906</x:v>
      </x:c>
      <x:c r="S115">
        <x:v>6.0109289617486299</x:v>
      </x:c>
      <x:c r="T115">
        <x:v>14.299999999999899</x:v>
      </x:c>
      <x:c r="U115">
        <x:v>155.99999999999901</x:v>
      </x:c>
      <x:c r="V115">
        <x:v>71.28</x:v>
      </x:c>
      <x:c r="W115">
        <x:v>85.58</x:v>
      </x:c>
      <x:c r="X115">
        <x:v>169.82</x:v>
      </x:c>
      <x:c r="Y115" s="31" t="n">
        <x:f>J115*N115</x:f>
        <x:v>50.63128706365504</x:v>
      </x:c>
      <x:c r="Z115" s="31" t="n">
        <x:f>IF(J115=0,0,IF(L115&gt;0,J115*L115,"n.a."))</x:f>
        <x:v>60.78879835728953</x:v>
      </x:c>
      <x:c r="AA115" s="31" t="n">
        <x:f>IF(J115=0,0,IF(ISNUMBER(Z115),Z115-Y115,"n.a."))</x:f>
        <x:v>10.157511293634492</x:v>
      </x:c>
      <x:c r="AB115" s="32" t="n">
        <x:f>IF(AND(J115&gt;0,L115&gt;0,N115&gt;0),L115/N115-1,"n.a.")</x:f>
        <x:v>0.2006172839506173</x:v>
      </x:c>
      <x:c r="AC115" s="18" t="str">
        <x:f>IF(AND(J115&gt;0,L115&lt;=0),"Missing replacement cost",IF(I115&gt;H115,"Usage exceeds stock",""))</x:f>
      </x:c>
    </x:row>
    <x:row r="116">
      <x:c r="A116" t="s">
        <x:v>15</x:v>
      </x:c>
      <x:c r="B116">
        <x:v>60</x:v>
      </x:c>
      <x:c r="C116" t="s">
        <x:v>64</x:v>
      </x:c>
      <x:c r="D116" t="s">
        <x:v>31</x:v>
      </x:c>
      <x:c r="E116">
        <x:v>1.83</x:v>
      </x:c>
      <x:c r="F116">
        <x:v>222</x:v>
      </x:c>
      <x:c r="G116" s="22" t="n">
        <x:f>SUMIFS('Receipts to be received in'!$P$2:$P$53,'Receipts to be received in'!$B$2:$B$53,B116,'Receipts to be received in'!$C$2:$C$53,D116)</x:f>
        <x:v>0</x:v>
      </x:c>
      <x:c r="H116" s="23" t="n">
        <x:f>F116+G116</x:f>
        <x:v>222</x:v>
      </x:c>
      <x:c r="I116" s="22" t="n">
        <x:f>E116*'Receipts to be received in'!$R$7*'Receipts to be received in'!$R$10</x:f>
        <x:v>3.1865297741273104</x:v>
      </x:c>
      <x:c r="J116" s="23" t="n">
        <x:f>MAX(0,H116-I116)</x:f>
        <x:v>218.8134702258727</x:v>
      </x:c>
      <x:c r="K116">
        <x:v>0</x:v>
      </x:c>
      <x:c r="L116">
        <x:v>9.7200000000000006</x:v>
      </x:c>
      <x:c r="M116" s="1">
        <x:v>46133</x:v>
      </x:c>
      <x:c r="N116">
        <x:v>8.1</x:v>
      </x:c>
      <x:c r="O116" s="3">
        <x:v>46027</x:v>
      </x:c>
      <x:c r="P116" s="3">
        <x:v>45561</x:v>
      </x:c>
      <x:c r="Q116" s="2">
        <x:v>-0.16669999999999999</x:v>
      </x:c>
      <x:c r="R116">
        <x:v>121.31147540983601</x:v>
      </x:c>
      <x:c r="S116">
        <x:v>121.31147540983601</x:v>
      </x:c>
      <x:c r="T116">
        <x:v>359.64</x:v>
      </x:c>
      <x:c r="U116">
        <x:v>0</x:v>
      </x:c>
      <x:c r="V116">
        <x:v>1798.19999999999</x:v>
      </x:c>
      <x:c r="W116">
        <x:v>2157.84</x:v>
      </x:c>
      <x:c r="X116">
        <x:v>166.33</x:v>
      </x:c>
      <x:c r="Y116" s="31" t="n">
        <x:f>J116*N116</x:f>
        <x:v>1772.3891088295686</x:v>
      </x:c>
      <x:c r="Z116" s="31" t="n">
        <x:f>IF(J116=0,0,IF(L116&gt;0,J116*L116,"n.a."))</x:f>
        <x:v>2126.8669305954827</x:v>
      </x:c>
      <x:c r="AA116" s="31" t="n">
        <x:f>IF(J116=0,0,IF(ISNUMBER(Z116),Z116-Y116,"n.a."))</x:f>
        <x:v>354.4778217659141</x:v>
      </x:c>
      <x:c r="AB116" s="32" t="n">
        <x:f>IF(AND(J116&gt;0,L116&gt;0,N116&gt;0),L116/N116-1,"n.a.")</x:f>
        <x:v>0.20000000000000018</x:v>
      </x:c>
      <x:c r="AC116" s="18" t="str">
        <x:f>IF(AND(J116&gt;0,L116&lt;=0),"Missing replacement cost",IF(I116&gt;H116,"Usage exceeds stock",""))</x:f>
      </x:c>
    </x:row>
    <x:row r="117">
      <x:c r="A117" t="s">
        <x:v>15</x:v>
      </x:c>
      <x:c r="B117">
        <x:v>10</x:v>
      </x:c>
      <x:c r="C117" t="s">
        <x:v>64</x:v>
      </x:c>
      <x:c r="D117" t="s">
        <x:v>97</x:v>
      </x:c>
      <x:c r="E117">
        <x:v>1.67</x:v>
      </x:c>
      <x:c r="F117">
        <x:v>88</x:v>
      </x:c>
      <x:c r="G117" s="22" t="n">
        <x:f>SUMIFS('Receipts to be received in'!$P$2:$P$53,'Receipts to be received in'!$B$2:$B$53,B117,'Receipts to be received in'!$C$2:$C$53,D117)</x:f>
        <x:v>0</x:v>
      </x:c>
      <x:c r="H117" s="23" t="n">
        <x:f>F117+G117</x:f>
        <x:v>88</x:v>
      </x:c>
      <x:c r="I117" s="22" t="n">
        <x:f>E117*'Receipts to be received in'!$R$7*'Receipts to be received in'!$R$10</x:f>
        <x:v>2.9079260780287473</x:v>
      </x:c>
      <x:c r="J117" s="23" t="n">
        <x:f>MAX(0,H117-I117)</x:f>
        <x:v>85.09207392197125</x:v>
      </x:c>
      <x:c r="K117">
        <x:v>0</x:v>
      </x:c>
      <x:c r="L117">
        <x:v>11.66</x:v>
      </x:c>
      <x:c r="M117" s="1">
        <x:v>46133</x:v>
      </x:c>
      <x:c r="N117">
        <x:v>9.7200000000000006</x:v>
      </x:c>
      <x:c r="O117" s="3">
        <x:v>46027</x:v>
      </x:c>
      <x:c r="P117" s="3">
        <x:v>46231</x:v>
      </x:c>
      <x:c r="Q117" s="2">
        <x:v>-0.16639999999999999</x:v>
      </x:c>
      <x:c r="R117">
        <x:v>52.694610778443099</x:v>
      </x:c>
      <x:c r="S117">
        <x:v>52.694610778443099</x:v>
      </x:c>
      <x:c r="T117">
        <x:v>170.719999999999</x:v>
      </x:c>
      <x:c r="U117">
        <x:v>0</x:v>
      </x:c>
      <x:c r="V117">
        <x:v>855.36</x:v>
      </x:c>
      <x:c r="W117">
        <x:v>1026.08</x:v>
      </x:c>
      <x:c r="X117">
        <x:v>254.28</x:v>
      </x:c>
      <x:c r="Y117" s="31" t="n">
        <x:f>J117*N117</x:f>
        <x:v>827.0949585215606</x:v>
      </x:c>
      <x:c r="Z117" s="31" t="n">
        <x:f>IF(J117=0,0,IF(L117&gt;0,J117*L117,"n.a."))</x:f>
        <x:v>992.1735819301848</x:v>
      </x:c>
      <x:c r="AA117" s="31" t="n">
        <x:f>IF(J117=0,0,IF(ISNUMBER(Z117),Z117-Y117,"n.a."))</x:f>
        <x:v>165.07862340862425</x:v>
      </x:c>
      <x:c r="AB117" s="32" t="n">
        <x:f>IF(AND(J117&gt;0,L117&gt;0,N117&gt;0),L117/N117-1,"n.a.")</x:f>
        <x:v>0.19958847736625507</x:v>
      </x:c>
      <x:c r="AC117" s="18" t="str">
        <x:f>IF(AND(J117&gt;0,L117&lt;=0),"Missing replacement cost",IF(I117&gt;H117,"Usage exceeds stock",""))</x:f>
      </x:c>
    </x:row>
    <x:row r="118">
      <x:c r="A118" t="s">
        <x:v>15</x:v>
      </x:c>
      <x:c r="B118">
        <x:v>30</x:v>
      </x:c>
      <x:c r="C118" t="s">
        <x:v>64</x:v>
      </x:c>
      <x:c r="D118" t="s">
        <x:v>34</x:v>
      </x:c>
      <x:c r="E118">
        <x:v>1.67</x:v>
      </x:c>
      <x:c r="F118">
        <x:v>12</x:v>
      </x:c>
      <x:c r="G118" s="22" t="n">
        <x:f>SUMIFS('Receipts to be received in'!$P$2:$P$53,'Receipts to be received in'!$B$2:$B$53,B118,'Receipts to be received in'!$C$2:$C$53,D118)</x:f>
        <x:v>16</x:v>
      </x:c>
      <x:c r="H118" s="23" t="n">
        <x:f>F118+G118</x:f>
        <x:v>28</x:v>
      </x:c>
      <x:c r="I118" s="22" t="n">
        <x:f>E118*'Receipts to be received in'!$R$7*'Receipts to be received in'!$R$10</x:f>
        <x:v>2.9079260780287473</x:v>
      </x:c>
      <x:c r="J118" s="23" t="n">
        <x:f>MAX(0,H118-I118)</x:f>
        <x:v>25.092073921971252</x:v>
      </x:c>
      <x:c r="K118">
        <x:v>16</x:v>
      </x:c>
      <x:c r="L118">
        <x:v>91.58</x:v>
      </x:c>
      <x:c r="M118" s="1">
        <x:v>46134</x:v>
      </x:c>
      <x:c r="N118">
        <x:v>76.25</x:v>
      </x:c>
      <x:c r="O118" s="3">
        <x:v>46027</x:v>
      </x:c>
      <x:c r="P118" s="3">
        <x:v>46143</x:v>
      </x:c>
      <x:c r="Q118" s="2">
        <x:v>-0.16739999999999999</x:v>
      </x:c>
      <x:c r="R118">
        <x:v>16.766467065868198</x:v>
      </x:c>
      <x:c r="S118">
        <x:v>7.1856287425149699</x:v>
      </x:c>
      <x:c r="T118">
        <x:v>183.95999999999901</x:v>
      </x:c>
      <x:c r="U118">
        <x:v>245.27999999999901</x:v>
      </x:c>
      <x:c r="V118">
        <x:v>915</x:v>
      </x:c>
      <x:c r="W118">
        <x:v>1098.96</x:v>
      </x:c>
      <x:c r="X118">
        <x:v>1707.64</x:v>
      </x:c>
      <x:c r="Y118" s="31" t="n">
        <x:f>J118*N118</x:f>
        <x:v>1913.270636550308</x:v>
      </x:c>
      <x:c r="Z118" s="31" t="n">
        <x:f>IF(J118=0,0,IF(L118&gt;0,J118*L118,"n.a."))</x:f>
        <x:v>2297.932129774127</x:v>
      </x:c>
      <x:c r="AA118" s="31" t="n">
        <x:f>IF(J118=0,0,IF(ISNUMBER(Z118),Z118-Y118,"n.a."))</x:f>
        <x:v>384.6614932238192</x:v>
      </x:c>
      <x:c r="AB118" s="32" t="n">
        <x:f>IF(AND(J118&gt;0,L118&gt;0,N118&gt;0),L118/N118-1,"n.a.")</x:f>
        <x:v>0.2010491803278689</x:v>
      </x:c>
      <x:c r="AC118" s="18" t="str">
        <x:f>IF(AND(J118&gt;0,L118&lt;=0),"Missing replacement cost",IF(I118&gt;H118,"Usage exceeds stock",""))</x:f>
      </x:c>
    </x:row>
    <x:row r="119">
      <x:c r="A119" t="s">
        <x:v>15</x:v>
      </x:c>
      <x:c r="B119">
        <x:v>60</x:v>
      </x:c>
      <x:c r="C119" t="s">
        <x:v>64</x:v>
      </x:c>
      <x:c r="D119" t="s">
        <x:v>70</x:v>
      </x:c>
      <x:c r="E119">
        <x:v>1.67</x:v>
      </x:c>
      <x:c r="F119">
        <x:v>30</x:v>
      </x:c>
      <x:c r="G119" s="22" t="n">
        <x:f>SUMIFS('Receipts to be received in'!$P$2:$P$53,'Receipts to be received in'!$B$2:$B$53,B119,'Receipts to be received in'!$C$2:$C$53,D119)</x:f>
        <x:v>0</x:v>
      </x:c>
      <x:c r="H119" s="23" t="n">
        <x:f>F119+G119</x:f>
        <x:v>30</x:v>
      </x:c>
      <x:c r="I119" s="22" t="n">
        <x:f>E119*'Receipts to be received in'!$R$7*'Receipts to be received in'!$R$10</x:f>
        <x:v>2.9079260780287473</x:v>
      </x:c>
      <x:c r="J119" s="23" t="n">
        <x:f>MAX(0,H119-I119)</x:f>
        <x:v>27.092073921971252</x:v>
      </x:c>
      <x:c r="K119">
        <x:v>0</x:v>
      </x:c>
      <x:c r="L119">
        <x:v>30.72</x:v>
      </x:c>
      <x:c r="M119" s="1">
        <x:v>46133</x:v>
      </x:c>
      <x:c r="N119">
        <x:v>25.6</x:v>
      </x:c>
      <x:c r="O119" s="3">
        <x:v>46027</x:v>
      </x:c>
      <x:c r="P119" s="3">
        <x:v>45693</x:v>
      </x:c>
      <x:c r="Q119" s="2">
        <x:v>-0.16669999999999999</x:v>
      </x:c>
      <x:c r="R119">
        <x:v>17.964071856287401</x:v>
      </x:c>
      <x:c r="S119">
        <x:v>17.964071856287401</x:v>
      </x:c>
      <x:c r="T119">
        <x:v>153.599999999999</x:v>
      </x:c>
      <x:c r="U119">
        <x:v>0</x:v>
      </x:c>
      <x:c r="V119">
        <x:v>768</x:v>
      </x:c>
      <x:c r="W119">
        <x:v>921.599999999999</x:v>
      </x:c>
      <x:c r="X119">
        <x:v>551.85</x:v>
      </x:c>
      <x:c r="Y119" s="31" t="n">
        <x:f>J119*N119</x:f>
        <x:v>693.5570924024641</x:v>
      </x:c>
      <x:c r="Z119" s="31" t="n">
        <x:f>IF(J119=0,0,IF(L119&gt;0,J119*L119,"n.a."))</x:f>
        <x:v>832.2685108829569</x:v>
      </x:c>
      <x:c r="AA119" s="31" t="n">
        <x:f>IF(J119=0,0,IF(ISNUMBER(Z119),Z119-Y119,"n.a."))</x:f>
        <x:v>138.71141848049274</x:v>
      </x:c>
      <x:c r="AB119" s="32" t="n">
        <x:f>IF(AND(J119&gt;0,L119&gt;0,N119&gt;0),L119/N119-1,"n.a.")</x:f>
        <x:v>0.19999999999999996</x:v>
      </x:c>
      <x:c r="AC119" s="18" t="str">
        <x:f>IF(AND(J119&gt;0,L119&lt;=0),"Missing replacement cost",IF(I119&gt;H119,"Usage exceeds stock",""))</x:f>
      </x:c>
    </x:row>
    <x:row r="120">
      <x:c r="A120" t="s">
        <x:v>15</x:v>
      </x:c>
      <x:c r="B120">
        <x:v>10</x:v>
      </x:c>
      <x:c r="C120" t="s">
        <x:v>64</x:v>
      </x:c>
      <x:c r="D120" t="s">
        <x:v>82</x:v>
      </x:c>
      <x:c r="E120">
        <x:v>1.5</x:v>
      </x:c>
      <x:c r="F120">
        <x:v>30</x:v>
      </x:c>
      <x:c r="G120" s="22" t="n">
        <x:f>SUMIFS('Receipts to be received in'!$P$2:$P$53,'Receipts to be received in'!$B$2:$B$53,B120,'Receipts to be received in'!$C$2:$C$53,D120)</x:f>
        <x:v>0</x:v>
      </x:c>
      <x:c r="H120" s="23" t="n">
        <x:f>F120+G120</x:f>
        <x:v>30</x:v>
      </x:c>
      <x:c r="I120" s="22" t="n">
        <x:f>E120*'Receipts to be received in'!$R$7*'Receipts to be received in'!$R$10</x:f>
        <x:v>2.6119096509240247</x:v>
      </x:c>
      <x:c r="J120" s="23" t="n">
        <x:f>MAX(0,H120-I120)</x:f>
        <x:v>27.388090349075974</x:v>
      </x:c>
      <x:c r="K120">
        <x:v>0</x:v>
      </x:c>
      <x:c r="L120">
        <x:v>0</x:v>
      </x:c>
      <x:c r="M120" s="1">
        <x:v>45078</x:v>
      </x:c>
      <x:c r="N120">
        <x:v>3.75</x:v>
      </x:c>
      <x:c r="O120" s="3">
        <x:v>45269</x:v>
      </x:c>
      <x:c r="P120" s="3">
        <x:v>42305</x:v>
      </x:c>
      <x:c r="Q120" t="s">
        <x:v>73</x:v>
      </x:c>
      <x:c r="R120">
        <x:v>20</x:v>
      </x:c>
      <x:c r="S120">
        <x:v>20</x:v>
      </x:c>
      <x:c r="T120">
        <x:v>-112.5</x:v>
      </x:c>
      <x:c r="U120">
        <x:v>0</x:v>
      </x:c>
      <x:c r="V120">
        <x:v>112.5</x:v>
      </x:c>
      <x:c r="W120">
        <x:v>0</x:v>
      </x:c>
      <x:c r="X120">
        <x:v>51.21</x:v>
      </x:c>
      <x:c r="Y120" s="31" t="n">
        <x:f>J120*N120</x:f>
        <x:v>102.7053388090349</x:v>
      </x:c>
      <x:c r="Z120" s="31" t="str">
        <x:f>IF(J120=0,0,IF(L120&gt;0,J120*L120,"n.a."))</x:f>
        <x:v>n.a.</x:v>
      </x:c>
      <x:c r="AA120" s="31" t="str">
        <x:f>IF(J120=0,0,IF(ISNUMBER(Z120),Z120-Y120,"n.a."))</x:f>
        <x:v>n.a.</x:v>
      </x:c>
      <x:c r="AB120" s="32" t="str">
        <x:f>IF(AND(J120&gt;0,L120&gt;0,N120&gt;0),L120/N120-1,"n.a.")</x:f>
        <x:v>n.a.</x:v>
      </x:c>
      <x:c r="AC120" s="18" t="str">
        <x:f>IF(AND(J120&gt;0,L120&lt;=0),"Missing replacement cost",IF(I120&gt;H120,"Usage exceeds stock",""))</x:f>
        <x:v>Missing replacement cost</x:v>
      </x:c>
    </x:row>
    <x:row r="121">
      <x:c r="A121" t="s">
        <x:v>15</x:v>
      </x:c>
      <x:c r="B121">
        <x:v>60</x:v>
      </x:c>
      <x:c r="C121" t="s">
        <x:v>64</x:v>
      </x:c>
      <x:c r="D121" t="s">
        <x:v>98</x:v>
      </x:c>
      <x:c r="E121">
        <x:v>1.5</x:v>
      </x:c>
      <x:c r="F121">
        <x:v>14</x:v>
      </x:c>
      <x:c r="G121" s="22" t="n">
        <x:f>SUMIFS('Receipts to be received in'!$P$2:$P$53,'Receipts to be received in'!$B$2:$B$53,B121,'Receipts to be received in'!$C$2:$C$53,D121)</x:f>
        <x:v>0</x:v>
      </x:c>
      <x:c r="H121" s="23" t="n">
        <x:f>F121+G121</x:f>
        <x:v>14</x:v>
      </x:c>
      <x:c r="I121" s="22" t="n">
        <x:f>E121*'Receipts to be received in'!$R$7*'Receipts to be received in'!$R$10</x:f>
        <x:v>2.6119096509240247</x:v>
      </x:c>
      <x:c r="J121" s="23" t="n">
        <x:f>MAX(0,H121-I121)</x:f>
        <x:v>11.388090349075975</x:v>
      </x:c>
      <x:c r="K121">
        <x:v>0</x:v>
      </x:c>
      <x:c r="L121">
        <x:v>0</x:v>
      </x:c>
      <x:c r="M121" s="1">
        <x:v>45078</x:v>
      </x:c>
      <x:c r="N121">
        <x:v>7.74</x:v>
      </x:c>
      <x:c r="O121" s="3">
        <x:v>45269</x:v>
      </x:c>
      <x:c r="P121" s="3">
        <x:v>44413</x:v>
      </x:c>
      <x:c r="Q121" t="s">
        <x:v>73</x:v>
      </x:c>
      <x:c r="R121">
        <x:v>9.3333333333333304</x:v>
      </x:c>
      <x:c r="S121">
        <x:v>9.3333333333333304</x:v>
      </x:c>
      <x:c r="T121">
        <x:v>-108.36</x:v>
      </x:c>
      <x:c r="U121">
        <x:v>0</x:v>
      </x:c>
      <x:c r="V121">
        <x:v>108.36</x:v>
      </x:c>
      <x:c r="W121">
        <x:v>0</x:v>
      </x:c>
      <x:c r="X121">
        <x:v>121.94</x:v>
      </x:c>
      <x:c r="Y121" s="31" t="n">
        <x:f>J121*N121</x:f>
        <x:v>88.14381930184805</x:v>
      </x:c>
      <x:c r="Z121" s="31" t="str">
        <x:f>IF(J121=0,0,IF(L121&gt;0,J121*L121,"n.a."))</x:f>
        <x:v>n.a.</x:v>
      </x:c>
      <x:c r="AA121" s="31" t="str">
        <x:f>IF(J121=0,0,IF(ISNUMBER(Z121),Z121-Y121,"n.a."))</x:f>
        <x:v>n.a.</x:v>
      </x:c>
      <x:c r="AB121" s="32" t="str">
        <x:f>IF(AND(J121&gt;0,L121&gt;0,N121&gt;0),L121/N121-1,"n.a.")</x:f>
        <x:v>n.a.</x:v>
      </x:c>
      <x:c r="AC121" s="18" t="str">
        <x:f>IF(AND(J121&gt;0,L121&lt;=0),"Missing replacement cost",IF(I121&gt;H121,"Usage exceeds stock",""))</x:f>
        <x:v>Missing replacement cost</x:v>
      </x:c>
    </x:row>
    <x:row r="122">
      <x:c r="A122" t="s">
        <x:v>15</x:v>
      </x:c>
      <x:c r="B122">
        <x:v>60</x:v>
      </x:c>
      <x:c r="C122" t="s">
        <x:v>64</x:v>
      </x:c>
      <x:c r="D122" t="s">
        <x:v>40</x:v>
      </x:c>
      <x:c r="E122">
        <x:v>1.5</x:v>
      </x:c>
      <x:c r="F122">
        <x:v>10</x:v>
      </x:c>
      <x:c r="G122" s="22" t="n">
        <x:f>SUMIFS('Receipts to be received in'!$P$2:$P$53,'Receipts to be received in'!$B$2:$B$53,B122,'Receipts to be received in'!$C$2:$C$53,D122)</x:f>
        <x:v>0</x:v>
      </x:c>
      <x:c r="H122" s="23" t="n">
        <x:f>F122+G122</x:f>
        <x:v>10</x:v>
      </x:c>
      <x:c r="I122" s="22" t="n">
        <x:f>E122*'Receipts to be received in'!$R$7*'Receipts to be received in'!$R$10</x:f>
        <x:v>2.6119096509240247</x:v>
      </x:c>
      <x:c r="J122" s="23" t="n">
        <x:f>MAX(0,H122-I122)</x:f>
        <x:v>7.388090349075975</x:v>
      </x:c>
      <x:c r="K122">
        <x:v>20</x:v>
      </x:c>
      <x:c r="L122">
        <x:v>45.79</x:v>
      </x:c>
      <x:c r="M122" s="1">
        <x:v>46134</x:v>
      </x:c>
      <x:c r="N122">
        <x:v>38.119999999999997</x:v>
      </x:c>
      <x:c r="O122" s="3">
        <x:v>46027</x:v>
      </x:c>
      <x:c r="P122" s="3">
        <x:v>45805</x:v>
      </x:c>
      <x:c r="Q122" s="2">
        <x:v>-0.16750000000000001</x:v>
      </x:c>
      <x:c r="R122">
        <x:v>20</x:v>
      </x:c>
      <x:c r="S122">
        <x:v>6.6666666666666599</x:v>
      </x:c>
      <x:c r="T122">
        <x:v>76.7</x:v>
      </x:c>
      <x:c r="U122">
        <x:v>153.4</x:v>
      </x:c>
      <x:c r="V122">
        <x:v>381.2</x:v>
      </x:c>
      <x:c r="W122">
        <x:v>457.9</x:v>
      </x:c>
      <x:c r="X122">
        <x:v>853.58</x:v>
      </x:c>
      <x:c r="Y122" s="31" t="n">
        <x:f>J122*N122</x:f>
        <x:v>281.63400410677616</x:v>
      </x:c>
      <x:c r="Z122" s="31" t="n">
        <x:f>IF(J122=0,0,IF(L122&gt;0,J122*L122,"n.a."))</x:f>
        <x:v>338.3006570841889</x:v>
      </x:c>
      <x:c r="AA122" s="31" t="n">
        <x:f>IF(J122=0,0,IF(ISNUMBER(Z122),Z122-Y122,"n.a."))</x:f>
        <x:v>56.66665297741275</x:v>
      </x:c>
      <x:c r="AB122" s="32" t="n">
        <x:f>IF(AND(J122&gt;0,L122&gt;0,N122&gt;0),L122/N122-1,"n.a.")</x:f>
        <x:v>0.20120671563483739</x:v>
      </x:c>
      <x:c r="AC122" s="18" t="str">
        <x:f>IF(AND(J122&gt;0,L122&lt;=0),"Missing replacement cost",IF(I122&gt;H122,"Usage exceeds stock",""))</x:f>
      </x:c>
    </x:row>
    <x:row r="123">
      <x:c r="A123" t="s">
        <x:v>15</x:v>
      </x:c>
      <x:c r="B123">
        <x:v>10</x:v>
      </x:c>
      <x:c r="C123" t="s">
        <x:v>64</x:v>
      </x:c>
      <x:c r="D123" t="s">
        <x:v>99</x:v>
      </x:c>
      <x:c r="E123">
        <x:v>1.33</x:v>
      </x:c>
      <x:c r="F123">
        <x:v>25</x:v>
      </x:c>
      <x:c r="G123" s="22" t="n">
        <x:f>SUMIFS('Receipts to be received in'!$P$2:$P$53,'Receipts to be received in'!$B$2:$B$53,B123,'Receipts to be received in'!$C$2:$C$53,D123)</x:f>
        <x:v>0</x:v>
      </x:c>
      <x:c r="H123" s="23" t="n">
        <x:f>F123+G123</x:f>
        <x:v>25</x:v>
      </x:c>
      <x:c r="I123" s="22" t="n">
        <x:f>E123*'Receipts to be received in'!$R$7*'Receipts to be received in'!$R$10</x:f>
        <x:v>2.315893223819302</x:v>
      </x:c>
      <x:c r="J123" s="23" t="n">
        <x:f>MAX(0,H123-I123)</x:f>
        <x:v>22.6841067761807</x:v>
      </x:c>
      <x:c r="K123">
        <x:v>0</x:v>
      </x:c>
      <x:c r="L123">
        <x:v>61.06</x:v>
      </x:c>
      <x:c r="M123" s="1">
        <x:v>46134</x:v>
      </x:c>
      <x:c r="N123">
        <x:v>50.83</x:v>
      </x:c>
      <x:c r="O123" s="3">
        <x:v>46027</x:v>
      </x:c>
      <x:c r="P123" s="3">
        <x:v>45708</x:v>
      </x:c>
      <x:c r="Q123" s="2">
        <x:v>-0.16750000000000001</x:v>
      </x:c>
      <x:c r="R123">
        <x:v>18.796992481202999</x:v>
      </x:c>
      <x:c r="S123">
        <x:v>18.796992481202999</x:v>
      </x:c>
      <x:c r="T123">
        <x:v>255.75</x:v>
      </x:c>
      <x:c r="U123">
        <x:v>0</x:v>
      </x:c>
      <x:c r="V123">
        <x:v>1270.75</x:v>
      </x:c>
      <x:c r="W123">
        <x:v>1526.5</x:v>
      </x:c>
      <x:c r="X123">
        <x:v>1138.42</x:v>
      </x:c>
      <x:c r="Y123" s="31" t="n">
        <x:f>J123*N123</x:f>
        <x:v>1153.033147433265</x:v>
      </x:c>
      <x:c r="Z123" s="31" t="n">
        <x:f>IF(J123=0,0,IF(L123&gt;0,J123*L123,"n.a."))</x:f>
        <x:v>1385.0915597535934</x:v>
      </x:c>
      <x:c r="AA123" s="31" t="n">
        <x:f>IF(J123=0,0,IF(ISNUMBER(Z123),Z123-Y123,"n.a."))</x:f>
        <x:v>232.05841232032844</x:v>
      </x:c>
      <x:c r="AB123" s="32" t="n">
        <x:f>IF(AND(J123&gt;0,L123&gt;0,N123&gt;0),L123/N123-1,"n.a.")</x:f>
        <x:v>0.20125909895730887</x:v>
      </x:c>
      <x:c r="AC123" s="18" t="str">
        <x:f>IF(AND(J123&gt;0,L123&lt;=0),"Missing replacement cost",IF(I123&gt;H123,"Usage exceeds stock",""))</x:f>
      </x:c>
    </x:row>
    <x:row r="124">
      <x:c r="A124" t="s">
        <x:v>15</x:v>
      </x:c>
      <x:c r="B124">
        <x:v>10</x:v>
      </x:c>
      <x:c r="C124" t="s">
        <x:v>64</x:v>
      </x:c>
      <x:c r="D124" t="s">
        <x:v>92</x:v>
      </x:c>
      <x:c r="E124">
        <x:v>1.33</x:v>
      </x:c>
      <x:c r="F124">
        <x:v>28</x:v>
      </x:c>
      <x:c r="G124" s="22" t="n">
        <x:f>SUMIFS('Receipts to be received in'!$P$2:$P$53,'Receipts to be received in'!$B$2:$B$53,B124,'Receipts to be received in'!$C$2:$C$53,D124)</x:f>
        <x:v>0</x:v>
      </x:c>
      <x:c r="H124" s="23" t="n">
        <x:f>F124+G124</x:f>
        <x:v>28</x:v>
      </x:c>
      <x:c r="I124" s="22" t="n">
        <x:f>E124*'Receipts to be received in'!$R$7*'Receipts to be received in'!$R$10</x:f>
        <x:v>2.315893223819302</x:v>
      </x:c>
      <x:c r="J124" s="23" t="n">
        <x:f>MAX(0,H124-I124)</x:f>
        <x:v>25.6841067761807</x:v>
      </x:c>
      <x:c r="K124">
        <x:v>0</x:v>
      </x:c>
      <x:c r="L124">
        <x:v>43.76</x:v>
      </x:c>
      <x:c r="M124" s="1">
        <x:v>46134</x:v>
      </x:c>
      <x:c r="N124">
        <x:v>36.43</x:v>
      </x:c>
      <x:c r="O124" s="3">
        <x:v>46027</x:v>
      </x:c>
      <x:c r="P124" s="3">
        <x:v>46231</x:v>
      </x:c>
      <x:c r="Q124" s="2">
        <x:v>-0.16750000000000001</x:v>
      </x:c>
      <x:c r="R124">
        <x:v>21.052631578947299</x:v>
      </x:c>
      <x:c r="S124">
        <x:v>21.052631578947299</x:v>
      </x:c>
      <x:c r="T124">
        <x:v>234.55999999999901</x:v>
      </x:c>
      <x:c r="U124">
        <x:v>0</x:v>
      </x:c>
      <x:c r="V124">
        <x:v>1165.76</x:v>
      </x:c>
      <x:c r="W124">
        <x:v>1400.32</x:v>
      </x:c>
      <x:c r="X124">
        <x:v>815.89</x:v>
      </x:c>
      <x:c r="Y124" s="31" t="n">
        <x:f>J124*N124</x:f>
        <x:v>935.6720098562628</x:v>
      </x:c>
      <x:c r="Z124" s="31" t="n">
        <x:f>IF(J124=0,0,IF(L124&gt;0,J124*L124,"n.a."))</x:f>
        <x:v>1123.9365125256672</x:v>
      </x:c>
      <x:c r="AA124" s="31" t="n">
        <x:f>IF(J124=0,0,IF(ISNUMBER(Z124),Z124-Y124,"n.a."))</x:f>
        <x:v>188.26450266940446</x:v>
      </x:c>
      <x:c r="AB124" s="32" t="n">
        <x:f>IF(AND(J124&gt;0,L124&gt;0,N124&gt;0),L124/N124-1,"n.a.")</x:f>
        <x:v>0.20120779577271475</x:v>
      </x:c>
      <x:c r="AC124" s="18" t="str">
        <x:f>IF(AND(J124&gt;0,L124&lt;=0),"Missing replacement cost",IF(I124&gt;H124,"Usage exceeds stock",""))</x:f>
      </x:c>
    </x:row>
    <x:row r="125">
      <x:c r="A125" t="s">
        <x:v>15</x:v>
      </x:c>
      <x:c r="B125">
        <x:v>10</x:v>
      </x:c>
      <x:c r="C125" t="s">
        <x:v>64</x:v>
      </x:c>
      <x:c r="D125" t="s">
        <x:v>43</x:v>
      </x:c>
      <x:c r="E125">
        <x:v>1.33</x:v>
      </x:c>
      <x:c r="F125">
        <x:v>3</x:v>
      </x:c>
      <x:c r="G125" s="22" t="n">
        <x:f>SUMIFS('Receipts to be received in'!$P$2:$P$53,'Receipts to be received in'!$B$2:$B$53,B125,'Receipts to be received in'!$C$2:$C$53,D125)</x:f>
        <x:v>0</x:v>
      </x:c>
      <x:c r="H125" s="23" t="n">
        <x:f>F125+G125</x:f>
        <x:v>3</x:v>
      </x:c>
      <x:c r="I125" s="22" t="n">
        <x:f>E125*'Receipts to be received in'!$R$7*'Receipts to be received in'!$R$10</x:f>
        <x:v>2.315893223819302</x:v>
      </x:c>
      <x:c r="J125" s="23" t="n">
        <x:f>MAX(0,H125-I125)</x:f>
        <x:v>0.6841067761806978</x:v>
      </x:c>
      <x:c r="K125">
        <x:v>25</x:v>
      </x:c>
      <x:c r="L125">
        <x:v>92.11</x:v>
      </x:c>
      <x:c r="M125" s="1">
        <x:v>46134</x:v>
      </x:c>
      <x:c r="N125">
        <x:v>76.52</x:v>
      </x:c>
      <x:c r="O125" s="3">
        <x:v>46027</x:v>
      </x:c>
      <x:c r="P125" s="3">
        <x:v>45278</x:v>
      </x:c>
      <x:c r="Q125" s="2">
        <x:v>-0.16930000000000001</x:v>
      </x:c>
      <x:c r="R125">
        <x:v>21.052631578947299</x:v>
      </x:c>
      <x:c r="S125">
        <x:v>2.2556390977443601</x:v>
      </x:c>
      <x:c r="T125">
        <x:v>46.77</x:v>
      </x:c>
      <x:c r="U125">
        <x:v>389.75</x:v>
      </x:c>
      <x:c r="V125">
        <x:v>229.56</x:v>
      </x:c>
      <x:c r="W125">
        <x:v>276.33</x:v>
      </x:c>
      <x:c r="X125">
        <x:v>1559.76</x:v>
      </x:c>
      <x:c r="Y125" s="31" t="n">
        <x:f>J125*N125</x:f>
        <x:v>52.34785051334699</x:v>
      </x:c>
      <x:c r="Z125" s="31" t="n">
        <x:f>IF(J125=0,0,IF(L125&gt;0,J125*L125,"n.a."))</x:f>
        <x:v>63.01307515400408</x:v>
      </x:c>
      <x:c r="AA125" s="31" t="n">
        <x:f>IF(J125=0,0,IF(ISNUMBER(Z125),Z125-Y125,"n.a."))</x:f>
        <x:v>10.665224640657087</x:v>
      </x:c>
      <x:c r="AB125" s="32" t="n">
        <x:f>IF(AND(J125&gt;0,L125&gt;0,N125&gt;0),L125/N125-1,"n.a.")</x:f>
        <x:v>0.2037375849451124</x:v>
      </x:c>
      <x:c r="AC125" s="18" t="str">
        <x:f>IF(AND(J125&gt;0,L125&lt;=0),"Missing replacement cost",IF(I125&gt;H125,"Usage exceeds stock",""))</x:f>
      </x:c>
    </x:row>
    <x:row r="126">
      <x:c r="A126" t="s">
        <x:v>15</x:v>
      </x:c>
      <x:c r="B126">
        <x:v>30</x:v>
      </x:c>
      <x:c r="C126" t="s">
        <x:v>64</x:v>
      </x:c>
      <x:c r="D126" t="s">
        <x:v>98</x:v>
      </x:c>
      <x:c r="E126">
        <x:v>1.33</x:v>
      </x:c>
      <x:c r="F126">
        <x:v>0</x:v>
      </x:c>
      <x:c r="G126" s="22" t="n">
        <x:f>SUMIFS('Receipts to be received in'!$P$2:$P$53,'Receipts to be received in'!$B$2:$B$53,B126,'Receipts to be received in'!$C$2:$C$53,D126)</x:f>
        <x:v>0</x:v>
      </x:c>
      <x:c r="H126" s="23" t="n">
        <x:f>F126+G126</x:f>
        <x:v>0</x:v>
      </x:c>
      <x:c r="I126" s="22" t="n">
        <x:f>E126*'Receipts to be received in'!$R$7*'Receipts to be received in'!$R$10</x:f>
        <x:v>2.315893223819302</x:v>
      </x:c>
      <x:c r="J126" s="23" t="n">
        <x:f>MAX(0,H126-I126)</x:f>
        <x:v>0</x:v>
      </x:c>
      <x:c r="K126">
        <x:v>0</x:v>
      </x:c>
      <x:c r="L126">
        <x:v>0</x:v>
      </x:c>
      <x:c r="M126" s="1">
        <x:v>45078</x:v>
      </x:c>
      <x:c r="N126">
        <x:v>7.74</x:v>
      </x:c>
      <x:c r="O126" s="3">
        <x:v>45269</x:v>
      </x:c>
      <x:c r="P126" s="3">
        <x:v>42135</x:v>
      </x:c>
      <x:c r="Q126" t="s">
        <x:v>73</x:v>
      </x:c>
      <x:c r="R126">
        <x:v>0</x:v>
      </x:c>
      <x:c r="S126">
        <x:v>0</x:v>
      </x:c>
      <x:c r="T126">
        <x:v>0</x:v>
      </x:c>
      <x:c r="U126">
        <x:v>0</x:v>
      </x:c>
      <x:c r="V126">
        <x:v>0</x:v>
      </x:c>
      <x:c r="W126">
        <x:v>0</x:v>
      </x:c>
      <x:c r="X126">
        <x:v>121.94</x:v>
      </x:c>
      <x:c r="Y126" s="31" t="n">
        <x:f>J126*N126</x:f>
        <x:v>0</x:v>
      </x:c>
      <x:c r="Z126" s="31" t="n">
        <x:f>IF(J126=0,0,IF(L126&gt;0,J126*L126,"n.a."))</x:f>
        <x:v>0</x:v>
      </x:c>
      <x:c r="AA126" s="31" t="n">
        <x:f>IF(J126=0,0,IF(ISNUMBER(Z126),Z126-Y126,"n.a."))</x:f>
        <x:v>0</x:v>
      </x:c>
      <x:c r="AB126" s="32" t="str">
        <x:f>IF(AND(J126&gt;0,L126&gt;0,N126&gt;0),L126/N126-1,"n.a.")</x:f>
        <x:v>n.a.</x:v>
      </x:c>
      <x:c r="AC126" s="18" t="str">
        <x:f>IF(AND(J126&gt;0,L126&lt;=0),"Missing replacement cost",IF(I126&gt;H126,"Usage exceeds stock",""))</x:f>
        <x:v>Usage exceeds stock</x:v>
      </x:c>
    </x:row>
    <x:row r="127">
      <x:c r="A127" t="s">
        <x:v>15</x:v>
      </x:c>
      <x:c r="B127">
        <x:v>30</x:v>
      </x:c>
      <x:c r="C127" t="s">
        <x:v>64</x:v>
      </x:c>
      <x:c r="D127" t="s">
        <x:v>80</x:v>
      </x:c>
      <x:c r="E127">
        <x:v>1.33</x:v>
      </x:c>
      <x:c r="F127">
        <x:v>50</x:v>
      </x:c>
      <x:c r="G127" s="22" t="n">
        <x:f>SUMIFS('Receipts to be received in'!$P$2:$P$53,'Receipts to be received in'!$B$2:$B$53,B127,'Receipts to be received in'!$C$2:$C$53,D127)</x:f>
        <x:v>0</x:v>
      </x:c>
      <x:c r="H127" s="23" t="n">
        <x:f>F127+G127</x:f>
        <x:v>50</x:v>
      </x:c>
      <x:c r="I127" s="22" t="n">
        <x:f>E127*'Receipts to be received in'!$R$7*'Receipts to be received in'!$R$10</x:f>
        <x:v>2.315893223819302</x:v>
      </x:c>
      <x:c r="J127" s="23" t="n">
        <x:f>MAX(0,H127-I127)</x:f>
        <x:v>47.6841067761807</x:v>
      </x:c>
      <x:c r="K127">
        <x:v>0</x:v>
      </x:c>
      <x:c r="L127">
        <x:v>25.44</x:v>
      </x:c>
      <x:c r="M127" s="1">
        <x:v>46134</x:v>
      </x:c>
      <x:c r="N127">
        <x:v>21.18</x:v>
      </x:c>
      <x:c r="O127" s="3">
        <x:v>46027</x:v>
      </x:c>
      <x:c r="P127" s="3">
        <x:v>45579</x:v>
      </x:c>
      <x:c r="Q127" s="2">
        <x:v>-0.16750000000000001</x:v>
      </x:c>
      <x:c r="R127">
        <x:v>37.593984962405997</x:v>
      </x:c>
      <x:c r="S127">
        <x:v>37.593984962405997</x:v>
      </x:c>
      <x:c r="T127">
        <x:v>213</x:v>
      </x:c>
      <x:c r="U127">
        <x:v>0</x:v>
      </x:c>
      <x:c r="V127">
        <x:v>1059</x:v>
      </x:c>
      <x:c r="W127">
        <x:v>1272</x:v>
      </x:c>
      <x:c r="X127">
        <x:v>474.27</x:v>
      </x:c>
      <x:c r="Y127" s="31" t="n">
        <x:f>J127*N127</x:f>
        <x:v>1009.9493815195071</x:v>
      </x:c>
      <x:c r="Z127" s="31" t="n">
        <x:f>IF(J127=0,0,IF(L127&gt;0,J127*L127,"n.a."))</x:f>
        <x:v>1213.083676386037</x:v>
      </x:c>
      <x:c r="AA127" s="31" t="n">
        <x:f>IF(J127=0,0,IF(ISNUMBER(Z127),Z127-Y127,"n.a."))</x:f>
        <x:v>203.1342948665299</x:v>
      </x:c>
      <x:c r="AB127" s="32" t="n">
        <x:f>IF(AND(J127&gt;0,L127&gt;0,N127&gt;0),L127/N127-1,"n.a.")</x:f>
        <x:v>0.2011331444759208</x:v>
      </x:c>
      <x:c r="AC127" s="18" t="str">
        <x:f>IF(AND(J127&gt;0,L127&lt;=0),"Missing replacement cost",IF(I127&gt;H127,"Usage exceeds stock",""))</x:f>
      </x:c>
    </x:row>
    <x:row r="128">
      <x:c r="A128" t="s">
        <x:v>15</x:v>
      </x:c>
      <x:c r="B128">
        <x:v>30</x:v>
      </x:c>
      <x:c r="C128" t="s">
        <x:v>64</x:v>
      </x:c>
      <x:c r="D128" t="s">
        <x:v>94</x:v>
      </x:c>
      <x:c r="E128">
        <x:v>1.33</x:v>
      </x:c>
      <x:c r="F128">
        <x:v>42</x:v>
      </x:c>
      <x:c r="G128" s="22" t="n">
        <x:f>SUMIFS('Receipts to be received in'!$P$2:$P$53,'Receipts to be received in'!$B$2:$B$53,B128,'Receipts to be received in'!$C$2:$C$53,D128)</x:f>
        <x:v>0</x:v>
      </x:c>
      <x:c r="H128" s="23" t="n">
        <x:f>F128+G128</x:f>
        <x:v>42</x:v>
      </x:c>
      <x:c r="I128" s="22" t="n">
        <x:f>E128*'Receipts to be received in'!$R$7*'Receipts to be received in'!$R$10</x:f>
        <x:v>2.315893223819302</x:v>
      </x:c>
      <x:c r="J128" s="23" t="n">
        <x:f>MAX(0,H128-I128)</x:f>
        <x:v>39.6841067761807</x:v>
      </x:c>
      <x:c r="K128">
        <x:v>0</x:v>
      </x:c>
      <x:c r="L128">
        <x:v>60.6</x:v>
      </x:c>
      <x:c r="M128" s="1">
        <x:v>46134</x:v>
      </x:c>
      <x:c r="N128">
        <x:v>50.34</x:v>
      </x:c>
      <x:c r="O128" s="3">
        <x:v>46027</x:v>
      </x:c>
      <x:c r="P128" s="3">
        <x:v>45373</x:v>
      </x:c>
      <x:c r="Q128" s="2">
        <x:v>-0.16930000000000001</x:v>
      </x:c>
      <x:c r="R128">
        <x:v>31.578947368421002</x:v>
      </x:c>
      <x:c r="S128">
        <x:v>31.578947368421002</x:v>
      </x:c>
      <x:c r="T128">
        <x:v>451.43999999999897</x:v>
      </x:c>
      <x:c r="U128">
        <x:v>0</x:v>
      </x:c>
      <x:c r="V128">
        <x:v>2214.96</x:v>
      </x:c>
      <x:c r="W128">
        <x:v>2666.4</x:v>
      </x:c>
      <x:c r="X128">
        <x:v>1026.0899999999999</x:v>
      </x:c>
      <x:c r="Y128" s="31" t="n">
        <x:f>J128*N128</x:f>
        <x:v>1997.6979351129364</x:v>
      </x:c>
      <x:c r="Z128" s="31" t="n">
        <x:f>IF(J128=0,0,IF(L128&gt;0,J128*L128,"n.a."))</x:f>
        <x:v>2404.8568706365504</x:v>
      </x:c>
      <x:c r="AA128" s="31" t="n">
        <x:f>IF(J128=0,0,IF(ISNUMBER(Z128),Z128-Y128,"n.a."))</x:f>
        <x:v>407.158935523614</x:v>
      </x:c>
      <x:c r="AB128" s="32" t="n">
        <x:f>IF(AND(J128&gt;0,L128&gt;0,N128&gt;0),L128/N128-1,"n.a.")</x:f>
        <x:v>0.20381406436233607</x:v>
      </x:c>
      <x:c r="AC128" s="18" t="str">
        <x:f>IF(AND(J128&gt;0,L128&lt;=0),"Missing replacement cost",IF(I128&gt;H128,"Usage exceeds stock",""))</x:f>
      </x:c>
    </x:row>
    <x:row r="129">
      <x:c r="A129" t="s">
        <x:v>15</x:v>
      </x:c>
      <x:c r="B129">
        <x:v>60</x:v>
      </x:c>
      <x:c r="C129" t="s">
        <x:v>64</x:v>
      </x:c>
      <x:c r="D129" t="s">
        <x:v>92</x:v>
      </x:c>
      <x:c r="E129">
        <x:v>1.33</x:v>
      </x:c>
      <x:c r="F129">
        <x:v>6</x:v>
      </x:c>
      <x:c r="G129" s="22" t="n">
        <x:f>SUMIFS('Receipts to be received in'!$P$2:$P$53,'Receipts to be received in'!$B$2:$B$53,B129,'Receipts to be received in'!$C$2:$C$53,D129)</x:f>
        <x:v>0</x:v>
      </x:c>
      <x:c r="H129" s="23" t="n">
        <x:f>F129+G129</x:f>
        <x:v>6</x:v>
      </x:c>
      <x:c r="I129" s="22" t="n">
        <x:f>E129*'Receipts to be received in'!$R$7*'Receipts to be received in'!$R$10</x:f>
        <x:v>2.315893223819302</x:v>
      </x:c>
      <x:c r="J129" s="23" t="n">
        <x:f>MAX(0,H129-I129)</x:f>
        <x:v>3.684106776180698</x:v>
      </x:c>
      <x:c r="K129">
        <x:v>4</x:v>
      </x:c>
      <x:c r="L129">
        <x:v>43.76</x:v>
      </x:c>
      <x:c r="M129" s="1">
        <x:v>46134</x:v>
      </x:c>
      <x:c r="N129">
        <x:v>36.43</x:v>
      </x:c>
      <x:c r="O129" s="3">
        <x:v>46027</x:v>
      </x:c>
      <x:c r="P129" s="3">
        <x:v>45405</x:v>
      </x:c>
      <x:c r="Q129" s="2">
        <x:v>-0.16750000000000001</x:v>
      </x:c>
      <x:c r="R129">
        <x:v>7.5187969924812004</x:v>
      </x:c>
      <x:c r="S129">
        <x:v>4.5112781954887202</x:v>
      </x:c>
      <x:c r="T129">
        <x:v>43.979999999999897</x:v>
      </x:c>
      <x:c r="U129">
        <x:v>29.319999999999901</x:v>
      </x:c>
      <x:c r="V129">
        <x:v>218.57999999999899</x:v>
      </x:c>
      <x:c r="W129">
        <x:v>262.56</x:v>
      </x:c>
      <x:c r="X129">
        <x:v>815.89</x:v>
      </x:c>
      <x:c r="Y129" s="31" t="n">
        <x:f>J129*N129</x:f>
        <x:v>134.21200985626282</x:v>
      </x:c>
      <x:c r="Z129" s="31" t="n">
        <x:f>IF(J129=0,0,IF(L129&gt;0,J129*L129,"n.a."))</x:f>
        <x:v>161.21651252566733</x:v>
      </x:c>
      <x:c r="AA129" s="31" t="n">
        <x:f>IF(J129=0,0,IF(ISNUMBER(Z129),Z129-Y129,"n.a."))</x:f>
        <x:v>27.004502669404502</x:v>
      </x:c>
      <x:c r="AB129" s="32" t="n">
        <x:f>IF(AND(J129&gt;0,L129&gt;0,N129&gt;0),L129/N129-1,"n.a.")</x:f>
        <x:v>0.20120779577271475</x:v>
      </x:c>
      <x:c r="AC129" s="18" t="str">
        <x:f>IF(AND(J129&gt;0,L129&lt;=0),"Missing replacement cost",IF(I129&gt;H129,"Usage exceeds stock",""))</x:f>
      </x:c>
    </x:row>
    <x:row r="130">
      <x:c r="A130" t="s">
        <x:v>15</x:v>
      </x:c>
      <x:c r="B130">
        <x:v>10</x:v>
      </x:c>
      <x:c r="C130" t="s">
        <x:v>64</x:v>
      </x:c>
      <x:c r="D130" t="s">
        <x:v>100</x:v>
      </x:c>
      <x:c r="E130">
        <x:v>1</x:v>
      </x:c>
      <x:c r="F130">
        <x:v>220</x:v>
      </x:c>
      <x:c r="G130" s="22" t="n">
        <x:f>SUMIFS('Receipts to be received in'!$P$2:$P$53,'Receipts to be received in'!$B$2:$B$53,B130,'Receipts to be received in'!$C$2:$C$53,D130)</x:f>
        <x:v>0</x:v>
      </x:c>
      <x:c r="H130" s="23" t="n">
        <x:f>F130+G130</x:f>
        <x:v>220</x:v>
      </x:c>
      <x:c r="I130" s="22" t="n">
        <x:f>E130*'Receipts to be received in'!$R$7*'Receipts to be received in'!$R$10</x:f>
        <x:v>1.7412731006160165</x:v>
      </x:c>
      <x:c r="J130" s="23" t="n">
        <x:f>MAX(0,H130-I130)</x:f>
        <x:v>218.258726899384</x:v>
      </x:c>
      <x:c r="K130">
        <x:v>0</x:v>
      </x:c>
      <x:c r="L130">
        <x:v>0</x:v>
      </x:c>
      <x:c r="M130" s="1">
        <x:v>45078</x:v>
      </x:c>
      <x:c r="N130">
        <x:v>4.1399999999999997</x:v>
      </x:c>
      <x:c r="O130" s="3">
        <x:v>45269</x:v>
      </x:c>
      <x:c r="P130" s="3">
        <x:v>43537</x:v>
      </x:c>
      <x:c r="Q130" t="s">
        <x:v>73</x:v>
      </x:c>
      <x:c r="R130">
        <x:v>220</x:v>
      </x:c>
      <x:c r="S130">
        <x:v>220</x:v>
      </x:c>
      <x:c r="T130">
        <x:v>-910.8</x:v>
      </x:c>
      <x:c r="U130">
        <x:v>0</x:v>
      </x:c>
      <x:c r="V130">
        <x:v>910.8</x:v>
      </x:c>
      <x:c r="W130">
        <x:v>0</x:v>
      </x:c>
      <x:c r="X130">
        <x:v>67.13</x:v>
      </x:c>
      <x:c r="Y130" s="31" t="n">
        <x:f>J130*N130</x:f>
        <x:v>903.5911293634497</x:v>
      </x:c>
      <x:c r="Z130" s="31" t="str">
        <x:f>IF(J130=0,0,IF(L130&gt;0,J130*L130,"n.a."))</x:f>
        <x:v>n.a.</x:v>
      </x:c>
      <x:c r="AA130" s="31" t="str">
        <x:f>IF(J130=0,0,IF(ISNUMBER(Z130),Z130-Y130,"n.a."))</x:f>
        <x:v>n.a.</x:v>
      </x:c>
      <x:c r="AB130" s="32" t="str">
        <x:f>IF(AND(J130&gt;0,L130&gt;0,N130&gt;0),L130/N130-1,"n.a.")</x:f>
        <x:v>n.a.</x:v>
      </x:c>
      <x:c r="AC130" s="18" t="str">
        <x:f>IF(AND(J130&gt;0,L130&lt;=0),"Missing replacement cost",IF(I130&gt;H130,"Usage exceeds stock",""))</x:f>
        <x:v>Missing replacement cost</x:v>
      </x:c>
    </x:row>
    <x:row r="131">
      <x:c r="A131" t="s">
        <x:v>15</x:v>
      </x:c>
      <x:c r="B131">
        <x:v>30</x:v>
      </x:c>
      <x:c r="C131" t="s">
        <x:v>64</x:v>
      </x:c>
      <x:c r="D131" t="s">
        <x:v>40</x:v>
      </x:c>
      <x:c r="E131">
        <x:v>1</x:v>
      </x:c>
      <x:c r="F131">
        <x:v>12</x:v>
      </x:c>
      <x:c r="G131" s="22" t="n">
        <x:f>SUMIFS('Receipts to be received in'!$P$2:$P$53,'Receipts to be received in'!$B$2:$B$53,B131,'Receipts to be received in'!$C$2:$C$53,D131)</x:f>
        <x:v>0</x:v>
      </x:c>
      <x:c r="H131" s="23" t="n">
        <x:f>F131+G131</x:f>
        <x:v>12</x:v>
      </x:c>
      <x:c r="I131" s="22" t="n">
        <x:f>E131*'Receipts to be received in'!$R$7*'Receipts to be received in'!$R$10</x:f>
        <x:v>1.7412731006160165</x:v>
      </x:c>
      <x:c r="J131" s="23" t="n">
        <x:f>MAX(0,H131-I131)</x:f>
        <x:v>10.258726899383984</x:v>
      </x:c>
      <x:c r="K131">
        <x:v>0</x:v>
      </x:c>
      <x:c r="L131">
        <x:v>45.79</x:v>
      </x:c>
      <x:c r="M131" s="1">
        <x:v>46134</x:v>
      </x:c>
      <x:c r="N131">
        <x:v>38.119999999999997</x:v>
      </x:c>
      <x:c r="O131" s="3">
        <x:v>46027</x:v>
      </x:c>
      <x:c r="P131" s="3">
        <x:v>45579</x:v>
      </x:c>
      <x:c r="Q131" s="2">
        <x:v>-0.16750000000000001</x:v>
      </x:c>
      <x:c r="R131">
        <x:v>12</x:v>
      </x:c>
      <x:c r="S131">
        <x:v>12</x:v>
      </x:c>
      <x:c r="T131">
        <x:v>92.04</x:v>
      </x:c>
      <x:c r="U131">
        <x:v>0</x:v>
      </x:c>
      <x:c r="V131">
        <x:v>457.43999999999897</x:v>
      </x:c>
      <x:c r="W131">
        <x:v>549.48</x:v>
      </x:c>
      <x:c r="X131">
        <x:v>853.58</x:v>
      </x:c>
      <x:c r="Y131" s="31" t="n">
        <x:f>J131*N131</x:f>
        <x:v>391.0626694045174</x:v>
      </x:c>
      <x:c r="Z131" s="31" t="n">
        <x:f>IF(J131=0,0,IF(L131&gt;0,J131*L131,"n.a."))</x:f>
        <x:v>469.7471047227926</x:v>
      </x:c>
      <x:c r="AA131" s="31" t="n">
        <x:f>IF(J131=0,0,IF(ISNUMBER(Z131),Z131-Y131,"n.a."))</x:f>
        <x:v>78.68443531827518</x:v>
      </x:c>
      <x:c r="AB131" s="32" t="n">
        <x:f>IF(AND(J131&gt;0,L131&gt;0,N131&gt;0),L131/N131-1,"n.a.")</x:f>
        <x:v>0.20120671563483739</x:v>
      </x:c>
      <x:c r="AC131" s="18" t="str">
        <x:f>IF(AND(J131&gt;0,L131&lt;=0),"Missing replacement cost",IF(I131&gt;H131,"Usage exceeds stock",""))</x:f>
      </x:c>
    </x:row>
    <x:row r="132">
      <x:c r="A132" t="s">
        <x:v>15</x:v>
      </x:c>
      <x:c r="B132">
        <x:v>60</x:v>
      </x:c>
      <x:c r="C132" t="s">
        <x:v>64</x:v>
      </x:c>
      <x:c r="D132" t="s">
        <x:v>41</x:v>
      </x:c>
      <x:c r="E132">
        <x:v>1</x:v>
      </x:c>
      <x:c r="F132">
        <x:v>52</x:v>
      </x:c>
      <x:c r="G132" s="22" t="n">
        <x:f>SUMIFS('Receipts to be received in'!$P$2:$P$53,'Receipts to be received in'!$B$2:$B$53,B132,'Receipts to be received in'!$C$2:$C$53,D132)</x:f>
        <x:v>0</x:v>
      </x:c>
      <x:c r="H132" s="23" t="n">
        <x:f>F132+G132</x:f>
        <x:v>52</x:v>
      </x:c>
      <x:c r="I132" s="22" t="n">
        <x:f>E132*'Receipts to be received in'!$R$7*'Receipts to be received in'!$R$10</x:f>
        <x:v>1.7412731006160165</x:v>
      </x:c>
      <x:c r="J132" s="23" t="n">
        <x:f>MAX(0,H132-I132)</x:f>
        <x:v>50.25872689938399</x:v>
      </x:c>
      <x:c r="K132">
        <x:v>0</x:v>
      </x:c>
      <x:c r="L132">
        <x:v>38.67</x:v>
      </x:c>
      <x:c r="M132" s="1">
        <x:v>46134</x:v>
      </x:c>
      <x:c r="N132">
        <x:v>32.19</x:v>
      </x:c>
      <x:c r="O132" s="3">
        <x:v>46027</x:v>
      </x:c>
      <x:c r="P132" s="3">
        <x:v>45805</x:v>
      </x:c>
      <x:c r="Q132" s="2">
        <x:v>-0.1676</x:v>
      </x:c>
      <x:c r="R132">
        <x:v>52</x:v>
      </x:c>
      <x:c r="S132">
        <x:v>52</x:v>
      </x:c>
      <x:c r="T132">
        <x:v>336.96</x:v>
      </x:c>
      <x:c r="U132">
        <x:v>0</x:v>
      </x:c>
      <x:c r="V132">
        <x:v>1673.8799999999901</x:v>
      </x:c>
      <x:c r="W132">
        <x:v>2010.84</x:v>
      </x:c>
      <x:c r="X132">
        <x:v>720.75</x:v>
      </x:c>
      <x:c r="Y132" s="31" t="n">
        <x:f>J132*N132</x:f>
        <x:v>1617.8284188911705</x:v>
      </x:c>
      <x:c r="Z132" s="31" t="n">
        <x:f>IF(J132=0,0,IF(L132&gt;0,J132*L132,"n.a."))</x:f>
        <x:v>1943.504969199179</x:v>
      </x:c>
      <x:c r="AA132" s="31" t="n">
        <x:f>IF(J132=0,0,IF(ISNUMBER(Z132),Z132-Y132,"n.a."))</x:f>
        <x:v>325.6765503080085</x:v>
      </x:c>
      <x:c r="AB132" s="32" t="n">
        <x:f>IF(AND(J132&gt;0,L132&gt;0,N132&gt;0),L132/N132-1,"n.a.")</x:f>
        <x:v>0.20130475302889117</x:v>
      </x:c>
      <x:c r="AC132" s="18" t="str">
        <x:f>IF(AND(J132&gt;0,L132&lt;=0),"Missing replacement cost",IF(I132&gt;H132,"Usage exceeds stock",""))</x:f>
      </x:c>
    </x:row>
    <x:row r="133">
      <x:c r="A133" t="s">
        <x:v>15</x:v>
      </x:c>
      <x:c r="B133">
        <x:v>10</x:v>
      </x:c>
      <x:c r="C133" t="s">
        <x:v>64</x:v>
      </x:c>
      <x:c r="D133" t="s">
        <x:v>96</x:v>
      </x:c>
      <x:c r="E133">
        <x:v>0.83</x:v>
      </x:c>
      <x:c r="F133">
        <x:v>17</x:v>
      </x:c>
      <x:c r="G133" s="22" t="n">
        <x:f>SUMIFS('Receipts to be received in'!$P$2:$P$53,'Receipts to be received in'!$B$2:$B$53,B133,'Receipts to be received in'!$C$2:$C$53,D133)</x:f>
        <x:v>0</x:v>
      </x:c>
      <x:c r="H133" s="23" t="n">
        <x:f>F133+G133</x:f>
        <x:v>17</x:v>
      </x:c>
      <x:c r="I133" s="22" t="n">
        <x:f>E133*'Receipts to be received in'!$R$7*'Receipts to be received in'!$R$10</x:f>
        <x:v>1.4452566735112935</x:v>
      </x:c>
      <x:c r="J133" s="23" t="n">
        <x:f>MAX(0,H133-I133)</x:f>
        <x:v>15.554743326488707</x:v>
      </x:c>
      <x:c r="K133">
        <x:v>0</x:v>
      </x:c>
      <x:c r="L133">
        <x:v>63.6</x:v>
      </x:c>
      <x:c r="M133" s="1">
        <x:v>46134</x:v>
      </x:c>
      <x:c r="N133">
        <x:v>52.95</x:v>
      </x:c>
      <x:c r="O133" s="3">
        <x:v>46027</x:v>
      </x:c>
      <x:c r="P133" s="3">
        <x:v>46056</x:v>
      </x:c>
      <x:c r="Q133" s="2">
        <x:v>-0.16750000000000001</x:v>
      </x:c>
      <x:c r="R133">
        <x:v>20.481927710843301</x:v>
      </x:c>
      <x:c r="S133">
        <x:v>20.481927710843301</x:v>
      </x:c>
      <x:c r="T133">
        <x:v>181.04999999999899</x:v>
      </x:c>
      <x:c r="U133">
        <x:v>0</x:v>
      </x:c>
      <x:c r="V133">
        <x:v>900.15</x:v>
      </x:c>
      <x:c r="W133">
        <x:v>1081.2</x:v>
      </x:c>
      <x:c r="X133">
        <x:v>1185.8399999999999</x:v>
      </x:c>
      <x:c r="Y133" s="31" t="n">
        <x:f>J133*N133</x:f>
        <x:v>823.6236591375771</x:v>
      </x:c>
      <x:c r="Z133" s="31" t="n">
        <x:f>IF(J133=0,0,IF(L133&gt;0,J133*L133,"n.a."))</x:f>
        <x:v>989.2816755646818</x:v>
      </x:c>
      <x:c r="AA133" s="31" t="n">
        <x:f>IF(J133=0,0,IF(ISNUMBER(Z133),Z133-Y133,"n.a."))</x:f>
        <x:v>165.6580164271047</x:v>
      </x:c>
      <x:c r="AB133" s="32" t="n">
        <x:f>IF(AND(J133&gt;0,L133&gt;0,N133&gt;0),L133/N133-1,"n.a.")</x:f>
        <x:v>0.20113314447592057</x:v>
      </x:c>
      <x:c r="AC133" s="18" t="str">
        <x:f>IF(AND(J133&gt;0,L133&lt;=0),"Missing replacement cost",IF(I133&gt;H133,"Usage exceeds stock",""))</x:f>
      </x:c>
    </x:row>
    <x:row r="134">
      <x:c r="A134" t="s">
        <x:v>15</x:v>
      </x:c>
      <x:c r="B134">
        <x:v>30</x:v>
      </x:c>
      <x:c r="C134" t="s">
        <x:v>64</x:v>
      </x:c>
      <x:c r="D134" t="s">
        <x:v>74</x:v>
      </x:c>
      <x:c r="E134">
        <x:v>0.83</x:v>
      </x:c>
      <x:c r="F134">
        <x:v>64</x:v>
      </x:c>
      <x:c r="G134" s="22" t="n">
        <x:f>SUMIFS('Receipts to be received in'!$P$2:$P$53,'Receipts to be received in'!$B$2:$B$53,B134,'Receipts to be received in'!$C$2:$C$53,D134)</x:f>
        <x:v>0</x:v>
      </x:c>
      <x:c r="H134" s="23" t="n">
        <x:f>F134+G134</x:f>
        <x:v>64</x:v>
      </x:c>
      <x:c r="I134" s="22" t="n">
        <x:f>E134*'Receipts to be received in'!$R$7*'Receipts to be received in'!$R$10</x:f>
        <x:v>1.4452566735112935</x:v>
      </x:c>
      <x:c r="J134" s="23" t="n">
        <x:f>MAX(0,H134-I134)</x:f>
        <x:v>62.554743326488705</x:v>
      </x:c>
      <x:c r="K134">
        <x:v>0</x:v>
      </x:c>
      <x:c r="L134">
        <x:v>12.64</x:v>
      </x:c>
      <x:c r="M134" s="1">
        <x:v>46133</x:v>
      </x:c>
      <x:c r="N134">
        <x:v>10.53</x:v>
      </x:c>
      <x:c r="O134" s="3">
        <x:v>46027</x:v>
      </x:c>
      <x:c r="P134" s="3">
        <x:v>45579</x:v>
      </x:c>
      <x:c r="Q134" s="2">
        <x:v>-0.16689999999999999</x:v>
      </x:c>
      <x:c r="R134">
        <x:v>77.108433734939695</x:v>
      </x:c>
      <x:c r="S134">
        <x:v>77.108433734939695</x:v>
      </x:c>
      <x:c r="T134">
        <x:v>135.04</x:v>
      </x:c>
      <x:c r="U134">
        <x:v>0</x:v>
      </x:c>
      <x:c r="V134">
        <x:v>673.92</x:v>
      </x:c>
      <x:c r="W134">
        <x:v>808.96</x:v>
      </x:c>
      <x:c r="X134">
        <x:v>216.1</x:v>
      </x:c>
      <x:c r="Y134" s="31" t="n">
        <x:f>J134*N134</x:f>
        <x:v>658.701447227926</x:v>
      </x:c>
      <x:c r="Z134" s="31" t="n">
        <x:f>IF(J134=0,0,IF(L134&gt;0,J134*L134,"n.a."))</x:f>
        <x:v>790.6919556468173</x:v>
      </x:c>
      <x:c r="AA134" s="31" t="n">
        <x:f>IF(J134=0,0,IF(ISNUMBER(Z134),Z134-Y134,"n.a."))</x:f>
        <x:v>131.9905084188913</x:v>
      </x:c>
      <x:c r="AB134" s="32" t="n">
        <x:f>IF(AND(J134&gt;0,L134&gt;0,N134&gt;0),L134/N134-1,"n.a.")</x:f>
        <x:v>0.20037986704653377</x:v>
      </x:c>
      <x:c r="AC134" s="18" t="str">
        <x:f>IF(AND(J134&gt;0,L134&lt;=0),"Missing replacement cost",IF(I134&gt;H134,"Usage exceeds stock",""))</x:f>
      </x:c>
    </x:row>
    <x:row r="135">
      <x:c r="A135" t="s">
        <x:v>15</x:v>
      </x:c>
      <x:c r="B135">
        <x:v>60</x:v>
      </x:c>
      <x:c r="C135" t="s">
        <x:v>64</x:v>
      </x:c>
      <x:c r="D135" t="s">
        <x:v>90</x:v>
      </x:c>
      <x:c r="E135">
        <x:v>0.83</x:v>
      </x:c>
      <x:c r="F135">
        <x:v>138</x:v>
      </x:c>
      <x:c r="G135" s="22" t="n">
        <x:f>SUMIFS('Receipts to be received in'!$P$2:$P$53,'Receipts to be received in'!$B$2:$B$53,B135,'Receipts to be received in'!$C$2:$C$53,D135)</x:f>
        <x:v>0</x:v>
      </x:c>
      <x:c r="H135" s="23" t="n">
        <x:f>F135+G135</x:f>
        <x:v>138</x:v>
      </x:c>
      <x:c r="I135" s="22" t="n">
        <x:f>E135*'Receipts to be received in'!$R$7*'Receipts to be received in'!$R$10</x:f>
        <x:v>1.4452566735112935</x:v>
      </x:c>
      <x:c r="J135" s="23" t="n">
        <x:f>MAX(0,H135-I135)</x:f>
        <x:v>136.5547433264887</x:v>
      </x:c>
      <x:c r="K135">
        <x:v>0</x:v>
      </x:c>
      <x:c r="L135">
        <x:v>7.78</x:v>
      </x:c>
      <x:c r="M135" s="1">
        <x:v>46133</x:v>
      </x:c>
      <x:c r="N135">
        <x:v>6.48</x:v>
      </x:c>
      <x:c r="O135" s="3">
        <x:v>46027</x:v>
      </x:c>
      <x:c r="P135" s="3">
        <x:v>46244</x:v>
      </x:c>
      <x:c r="Q135" s="2">
        <x:v>-0.1671</x:v>
      </x:c>
      <x:c r="R135">
        <x:v>166.26506024096301</x:v>
      </x:c>
      <x:c r="S135">
        <x:v>166.26506024096301</x:v>
      </x:c>
      <x:c r="T135">
        <x:v>179.39999999999901</x:v>
      </x:c>
      <x:c r="U135">
        <x:v>0</x:v>
      </x:c>
      <x:c r="V135">
        <x:v>894.24</x:v>
      </x:c>
      <x:c r="W135">
        <x:v>1073.6400000000001</x:v>
      </x:c>
      <x:c r="X135">
        <x:v>169.82</x:v>
      </x:c>
      <x:c r="Y135" s="31" t="n">
        <x:f>J135*N135</x:f>
        <x:v>884.8747367556468</x:v>
      </x:c>
      <x:c r="Z135" s="31" t="n">
        <x:f>IF(J135=0,0,IF(L135&gt;0,J135*L135,"n.a."))</x:f>
        <x:v>1062.3959030800822</x:v>
      </x:c>
      <x:c r="AA135" s="31" t="n">
        <x:f>IF(J135=0,0,IF(ISNUMBER(Z135),Z135-Y135,"n.a."))</x:f>
        <x:v>177.5211663244354</x:v>
      </x:c>
      <x:c r="AB135" s="32" t="n">
        <x:f>IF(AND(J135&gt;0,L135&gt;0,N135&gt;0),L135/N135-1,"n.a.")</x:f>
        <x:v>0.2006172839506173</x:v>
      </x:c>
      <x:c r="AC135" s="18" t="str">
        <x:f>IF(AND(J135&gt;0,L135&lt;=0),"Missing replacement cost",IF(I135&gt;H135,"Usage exceeds stock",""))</x:f>
      </x:c>
    </x:row>
    <x:row r="136">
      <x:c r="A136" t="s">
        <x:v>15</x:v>
      </x:c>
      <x:c r="B136">
        <x:v>10</x:v>
      </x:c>
      <x:c r="C136" t="s">
        <x:v>64</x:v>
      </x:c>
      <x:c r="D136" t="s">
        <x:v>101</x:v>
      </x:c>
      <x:c r="E136">
        <x:v>0.67</x:v>
      </x:c>
      <x:c r="F136">
        <x:v>24</x:v>
      </x:c>
      <x:c r="G136" s="22" t="n">
        <x:f>SUMIFS('Receipts to be received in'!$P$2:$P$53,'Receipts to be received in'!$B$2:$B$53,B136,'Receipts to be received in'!$C$2:$C$53,D136)</x:f>
        <x:v>0</x:v>
      </x:c>
      <x:c r="H136" s="23" t="n">
        <x:f>F136+G136</x:f>
        <x:v>24</x:v>
      </x:c>
      <x:c r="I136" s="22" t="n">
        <x:f>E136*'Receipts to be received in'!$R$7*'Receipts to be received in'!$R$10</x:f>
        <x:v>1.1666529774127312</x:v>
      </x:c>
      <x:c r="J136" s="23" t="n">
        <x:f>MAX(0,H136-I136)</x:f>
        <x:v>22.83334702258727</x:v>
      </x:c>
      <x:c r="K136">
        <x:v>0</x:v>
      </x:c>
      <x:c r="L136">
        <x:v>74.56</x:v>
      </x:c>
      <x:c r="M136" s="1">
        <x:v>46133</x:v>
      </x:c>
      <x:c r="N136">
        <x:v>62.13</x:v>
      </x:c>
      <x:c r="O136" s="3">
        <x:v>46027</x:v>
      </x:c>
      <x:c r="P136" s="3">
        <x:v>45994</x:v>
      </x:c>
      <x:c r="Q136" s="2">
        <x:v>-0.16669999999999999</x:v>
      </x:c>
      <x:c r="R136">
        <x:v>35.820895522388</x:v>
      </x:c>
      <x:c r="S136">
        <x:v>35.820895522388</x:v>
      </x:c>
      <x:c r="T136">
        <x:v>298.32</x:v>
      </x:c>
      <x:c r="U136">
        <x:v>0</x:v>
      </x:c>
      <x:c r="V136">
        <x:v>1491.12</x:v>
      </x:c>
      <x:c r="W136">
        <x:v>1789.44</x:v>
      </x:c>
      <x:c r="X136">
        <x:v>1375.5</x:v>
      </x:c>
      <x:c r="Y136" s="31" t="n">
        <x:f>J136*N136</x:f>
        <x:v>1418.6358505133471</x:v>
      </x:c>
      <x:c r="Z136" s="31" t="n">
        <x:f>IF(J136=0,0,IF(L136&gt;0,J136*L136,"n.a."))</x:f>
        <x:v>1702.4543540041068</x:v>
      </x:c>
      <x:c r="AA136" s="31" t="n">
        <x:f>IF(J136=0,0,IF(ISNUMBER(Z136),Z136-Y136,"n.a."))</x:f>
        <x:v>283.81850349075967</x:v>
      </x:c>
      <x:c r="AB136" s="32" t="n">
        <x:f>IF(AND(J136&gt;0,L136&gt;0,N136&gt;0),L136/N136-1,"n.a.")</x:f>
        <x:v>0.20006438113632696</x:v>
      </x:c>
      <x:c r="AC136" s="18" t="str">
        <x:f>IF(AND(J136&gt;0,L136&lt;=0),"Missing replacement cost",IF(I136&gt;H136,"Usage exceeds stock",""))</x:f>
      </x:c>
    </x:row>
    <x:row r="137">
      <x:c r="A137" t="s">
        <x:v>15</x:v>
      </x:c>
      <x:c r="B137">
        <x:v>10</x:v>
      </x:c>
      <x:c r="C137" t="s">
        <x:v>64</x:v>
      </x:c>
      <x:c r="D137" t="s">
        <x:v>102</x:v>
      </x:c>
      <x:c r="E137">
        <x:v>0.67</x:v>
      </x:c>
      <x:c r="F137">
        <x:v>19</x:v>
      </x:c>
      <x:c r="G137" s="22" t="n">
        <x:f>SUMIFS('Receipts to be received in'!$P$2:$P$53,'Receipts to be received in'!$B$2:$B$53,B137,'Receipts to be received in'!$C$2:$C$53,D137)</x:f>
        <x:v>0</x:v>
      </x:c>
      <x:c r="H137" s="23" t="n">
        <x:f>F137+G137</x:f>
        <x:v>19</x:v>
      </x:c>
      <x:c r="I137" s="22" t="n">
        <x:f>E137*'Receipts to be received in'!$R$7*'Receipts to be received in'!$R$10</x:f>
        <x:v>1.1666529774127312</x:v>
      </x:c>
      <x:c r="J137" s="23" t="n">
        <x:f>MAX(0,H137-I137)</x:f>
        <x:v>17.83334702258727</x:v>
      </x:c>
      <x:c r="K137">
        <x:v>0</x:v>
      </x:c>
      <x:c r="L137">
        <x:v>84.37</x:v>
      </x:c>
      <x:c r="M137" s="1">
        <x:v>46134</x:v>
      </x:c>
      <x:c r="N137">
        <x:v>70.31</x:v>
      </x:c>
      <x:c r="O137" s="3">
        <x:v>46027</x:v>
      </x:c>
      <x:c r="P137" s="3">
        <x:v>45278</x:v>
      </x:c>
      <x:c r="Q137" s="2">
        <x:v>-0.1666</x:v>
      </x:c>
      <x:c r="R137">
        <x:v>28.358208955223802</x:v>
      </x:c>
      <x:c r="S137">
        <x:v>28.358208955223802</x:v>
      </x:c>
      <x:c r="T137">
        <x:v>267.14</x:v>
      </x:c>
      <x:c r="U137">
        <x:v>0</x:v>
      </x:c>
      <x:c r="V137">
        <x:v>1335.89</x:v>
      </x:c>
      <x:c r="W137">
        <x:v>1603.03</x:v>
      </x:c>
      <x:c r="X137">
        <x:v>1556.58</x:v>
      </x:c>
      <x:c r="Y137" s="31" t="n">
        <x:f>J137*N137</x:f>
        <x:v>1253.8626291581108</x:v>
      </x:c>
      <x:c r="Z137" s="31" t="n">
        <x:f>IF(J137=0,0,IF(L137&gt;0,J137*L137,"n.a."))</x:f>
        <x:v>1504.599488295688</x:v>
      </x:c>
      <x:c r="AA137" s="31" t="n">
        <x:f>IF(J137=0,0,IF(ISNUMBER(Z137),Z137-Y137,"n.a."))</x:f>
        <x:v>250.73685913757708</x:v>
      </x:c>
      <x:c r="AB137" s="32" t="n">
        <x:f>IF(AND(J137&gt;0,L137&gt;0,N137&gt;0),L137/N137-1,"n.a.")</x:f>
        <x:v>0.1999715545441616</x:v>
      </x:c>
      <x:c r="AC137" s="18" t="str">
        <x:f>IF(AND(J137&gt;0,L137&lt;=0),"Missing replacement cost",IF(I137&gt;H137,"Usage exceeds stock",""))</x:f>
      </x:c>
    </x:row>
    <x:row r="138">
      <x:c r="A138" t="s">
        <x:v>15</x:v>
      </x:c>
      <x:c r="B138">
        <x:v>30</x:v>
      </x:c>
      <x:c r="C138" t="s">
        <x:v>64</x:v>
      </x:c>
      <x:c r="D138" t="s">
        <x:v>78</x:v>
      </x:c>
      <x:c r="E138">
        <x:v>0.67</x:v>
      </x:c>
      <x:c r="F138">
        <x:v>58</x:v>
      </x:c>
      <x:c r="G138" s="22" t="n">
        <x:f>SUMIFS('Receipts to be received in'!$P$2:$P$53,'Receipts to be received in'!$B$2:$B$53,B138,'Receipts to be received in'!$C$2:$C$53,D138)</x:f>
        <x:v>0</x:v>
      </x:c>
      <x:c r="H138" s="23" t="n">
        <x:f>F138+G138</x:f>
        <x:v>58</x:v>
      </x:c>
      <x:c r="I138" s="22" t="n">
        <x:f>E138*'Receipts to be received in'!$R$7*'Receipts to be received in'!$R$10</x:f>
        <x:v>1.1666529774127312</x:v>
      </x:c>
      <x:c r="J138" s="23" t="n">
        <x:f>MAX(0,H138-I138)</x:f>
        <x:v>56.83334702258727</x:v>
      </x:c>
      <x:c r="K138">
        <x:v>0</x:v>
      </x:c>
      <x:c r="L138">
        <x:v>35.1</x:v>
      </x:c>
      <x:c r="M138" s="1">
        <x:v>46133</x:v>
      </x:c>
      <x:c r="N138">
        <x:v>29.25</x:v>
      </x:c>
      <x:c r="O138" s="3">
        <x:v>46027</x:v>
      </x:c>
      <x:c r="P138" s="3">
        <x:v>46143</x:v>
      </x:c>
      <x:c r="Q138" s="2">
        <x:v>-0.16669999999999999</x:v>
      </x:c>
      <x:c r="R138">
        <x:v>86.567164179104395</x:v>
      </x:c>
      <x:c r="S138">
        <x:v>86.567164179104395</x:v>
      </x:c>
      <x:c r="T138">
        <x:v>339.3</x:v>
      </x:c>
      <x:c r="U138">
        <x:v>0</x:v>
      </x:c>
      <x:c r="V138">
        <x:v>1696.5</x:v>
      </x:c>
      <x:c r="W138">
        <x:v>2035.8</x:v>
      </x:c>
      <x:c r="X138">
        <x:v>600.4</x:v>
      </x:c>
      <x:c r="Y138" s="31" t="n">
        <x:f>J138*N138</x:f>
        <x:v>1662.3754004106777</x:v>
      </x:c>
      <x:c r="Z138" s="31" t="n">
        <x:f>IF(J138=0,0,IF(L138&gt;0,J138*L138,"n.a."))</x:f>
        <x:v>1994.8504804928132</x:v>
      </x:c>
      <x:c r="AA138" s="31" t="n">
        <x:f>IF(J138=0,0,IF(ISNUMBER(Z138),Z138-Y138,"n.a."))</x:f>
        <x:v>332.4750800821355</x:v>
      </x:c>
      <x:c r="AB138" s="32" t="n">
        <x:f>IF(AND(J138&gt;0,L138&gt;0,N138&gt;0),L138/N138-1,"n.a.")</x:f>
        <x:v>0.19999999999999996</x:v>
      </x:c>
      <x:c r="AC138" s="18" t="str">
        <x:f>IF(AND(J138&gt;0,L138&lt;=0),"Missing replacement cost",IF(I138&gt;H138,"Usage exceeds stock",""))</x:f>
      </x:c>
    </x:row>
    <x:row r="139">
      <x:c r="A139" t="s">
        <x:v>15</x:v>
      </x:c>
      <x:c r="B139">
        <x:v>30</x:v>
      </x:c>
      <x:c r="C139" t="s">
        <x:v>64</x:v>
      </x:c>
      <x:c r="D139" t="s">
        <x:v>83</x:v>
      </x:c>
      <x:c r="E139">
        <x:v>0.67</x:v>
      </x:c>
      <x:c r="F139">
        <x:v>96</x:v>
      </x:c>
      <x:c r="G139" s="22" t="n">
        <x:f>SUMIFS('Receipts to be received in'!$P$2:$P$53,'Receipts to be received in'!$B$2:$B$53,B139,'Receipts to be received in'!$C$2:$C$53,D139)</x:f>
        <x:v>0</x:v>
      </x:c>
      <x:c r="H139" s="23" t="n">
        <x:f>F139+G139</x:f>
        <x:v>96</x:v>
      </x:c>
      <x:c r="I139" s="22" t="n">
        <x:f>E139*'Receipts to be received in'!$R$7*'Receipts to be received in'!$R$10</x:f>
        <x:v>1.1666529774127312</x:v>
      </x:c>
      <x:c r="J139" s="23" t="n">
        <x:f>MAX(0,H139-I139)</x:f>
        <x:v>94.83334702258728</x:v>
      </x:c>
      <x:c r="K139">
        <x:v>0</x:v>
      </x:c>
      <x:c r="L139">
        <x:v>32.4</x:v>
      </x:c>
      <x:c r="M139" s="1">
        <x:v>46133</x:v>
      </x:c>
      <x:c r="N139">
        <x:v>27</x:v>
      </x:c>
      <x:c r="O139" s="3">
        <x:v>46027</x:v>
      </x:c>
      <x:c r="P139" s="3">
        <x:v>45397</x:v>
      </x:c>
      <x:c r="Q139" s="2">
        <x:v>-0.16669999999999999</x:v>
      </x:c>
      <x:c r="R139">
        <x:v>143.283582089552</x:v>
      </x:c>
      <x:c r="S139">
        <x:v>143.283582089552</x:v>
      </x:c>
      <x:c r="T139">
        <x:v>518.39999999999895</x:v>
      </x:c>
      <x:c r="U139">
        <x:v>0</x:v>
      </x:c>
      <x:c r="V139">
        <x:v>2592</x:v>
      </x:c>
      <x:c r="W139">
        <x:v>3110.3999999999901</x:v>
      </x:c>
      <x:c r="X139">
        <x:v>554.28</x:v>
      </x:c>
      <x:c r="Y139" s="31" t="n">
        <x:f>J139*N139</x:f>
        <x:v>2560.5003696098565</x:v>
      </x:c>
      <x:c r="Z139" s="31" t="n">
        <x:f>IF(J139=0,0,IF(L139&gt;0,J139*L139,"n.a."))</x:f>
        <x:v>3072.6004435318278</x:v>
      </x:c>
      <x:c r="AA139" s="31" t="n">
        <x:f>IF(J139=0,0,IF(ISNUMBER(Z139),Z139-Y139,"n.a."))</x:f>
        <x:v>512.1000739219712</x:v>
      </x:c>
      <x:c r="AB139" s="32" t="n">
        <x:f>IF(AND(J139&gt;0,L139&gt;0,N139&gt;0),L139/N139-1,"n.a.")</x:f>
        <x:v>0.19999999999999996</x:v>
      </x:c>
      <x:c r="AC139" s="18" t="str">
        <x:f>IF(AND(J139&gt;0,L139&lt;=0),"Missing replacement cost",IF(I139&gt;H139,"Usage exceeds stock",""))</x:f>
      </x:c>
    </x:row>
    <x:row r="140">
      <x:c r="A140" t="s">
        <x:v>15</x:v>
      </x:c>
      <x:c r="B140">
        <x:v>10</x:v>
      </x:c>
      <x:c r="C140" t="s">
        <x:v>64</x:v>
      </x:c>
      <x:c r="D140" t="s">
        <x:v>98</x:v>
      </x:c>
      <x:c r="E140">
        <x:v>0.5</x:v>
      </x:c>
      <x:c r="F140">
        <x:v>4</x:v>
      </x:c>
      <x:c r="G140" s="22" t="n">
        <x:f>SUMIFS('Receipts to be received in'!$P$2:$P$53,'Receipts to be received in'!$B$2:$B$53,B140,'Receipts to be received in'!$C$2:$C$53,D140)</x:f>
        <x:v>0</x:v>
      </x:c>
      <x:c r="H140" s="23" t="n">
        <x:f>F140+G140</x:f>
        <x:v>4</x:v>
      </x:c>
      <x:c r="I140" s="22" t="n">
        <x:f>E140*'Receipts to be received in'!$R$7*'Receipts to be received in'!$R$10</x:f>
        <x:v>0.8706365503080082</x:v>
      </x:c>
      <x:c r="J140" s="23" t="n">
        <x:f>MAX(0,H140-I140)</x:f>
        <x:v>3.1293634496919918</x:v>
      </x:c>
      <x:c r="K140">
        <x:v>0</x:v>
      </x:c>
      <x:c r="L140">
        <x:v>0</x:v>
      </x:c>
      <x:c r="M140" s="1">
        <x:v>45078</x:v>
      </x:c>
      <x:c r="N140">
        <x:v>7.74</x:v>
      </x:c>
      <x:c r="O140" s="3">
        <x:v>45269</x:v>
      </x:c>
      <x:c r="P140" s="3">
        <x:v>42971</x:v>
      </x:c>
      <x:c r="Q140" t="s">
        <x:v>73</x:v>
      </x:c>
      <x:c r="R140">
        <x:v>8</x:v>
      </x:c>
      <x:c r="S140">
        <x:v>8</x:v>
      </x:c>
      <x:c r="T140">
        <x:v>-30.96</x:v>
      </x:c>
      <x:c r="U140">
        <x:v>0</x:v>
      </x:c>
      <x:c r="V140">
        <x:v>30.96</x:v>
      </x:c>
      <x:c r="W140">
        <x:v>0</x:v>
      </x:c>
      <x:c r="X140">
        <x:v>121.94</x:v>
      </x:c>
      <x:c r="Y140" s="31" t="n">
        <x:f>J140*N140</x:f>
        <x:v>24.221273100616017</x:v>
      </x:c>
      <x:c r="Z140" s="31" t="str">
        <x:f>IF(J140=0,0,IF(L140&gt;0,J140*L140,"n.a."))</x:f>
        <x:v>n.a.</x:v>
      </x:c>
      <x:c r="AA140" s="31" t="str">
        <x:f>IF(J140=0,0,IF(ISNUMBER(Z140),Z140-Y140,"n.a."))</x:f>
        <x:v>n.a.</x:v>
      </x:c>
      <x:c r="AB140" s="32" t="str">
        <x:f>IF(AND(J140&gt;0,L140&gt;0,N140&gt;0),L140/N140-1,"n.a.")</x:f>
        <x:v>n.a.</x:v>
      </x:c>
      <x:c r="AC140" s="18" t="str">
        <x:f>IF(AND(J140&gt;0,L140&lt;=0),"Missing replacement cost",IF(I140&gt;H140,"Usage exceeds stock",""))</x:f>
        <x:v>Missing replacement cost</x:v>
      </x:c>
    </x:row>
    <x:row r="141">
      <x:c r="A141" t="s">
        <x:v>15</x:v>
      </x:c>
      <x:c r="B141">
        <x:v>10</x:v>
      </x:c>
      <x:c r="C141" t="s">
        <x:v>64</x:v>
      </x:c>
      <x:c r="D141" t="s">
        <x:v>95</x:v>
      </x:c>
      <x:c r="E141">
        <x:v>0.5</x:v>
      </x:c>
      <x:c r="F141">
        <x:v>0</x:v>
      </x:c>
      <x:c r="G141" s="22" t="n">
        <x:f>SUMIFS('Receipts to be received in'!$P$2:$P$53,'Receipts to be received in'!$B$2:$B$53,B141,'Receipts to be received in'!$C$2:$C$53,D141)</x:f>
        <x:v>0</x:v>
      </x:c>
      <x:c r="H141" s="23" t="n">
        <x:f>F141+G141</x:f>
        <x:v>0</x:v>
      </x:c>
      <x:c r="I141" s="22" t="n">
        <x:f>E141*'Receipts to be received in'!$R$7*'Receipts to be received in'!$R$10</x:f>
        <x:v>0.8706365503080082</x:v>
      </x:c>
      <x:c r="J141" s="23" t="n">
        <x:f>MAX(0,H141-I141)</x:f>
        <x:v>0</x:v>
      </x:c>
      <x:c r="K141">
        <x:v>0</x:v>
      </x:c>
      <x:c r="L141">
        <x:v>0</x:v>
      </x:c>
      <x:c r="M141" s="1">
        <x:v>45078</x:v>
      </x:c>
      <x:c r="N141">
        <x:v>5.14</x:v>
      </x:c>
      <x:c r="O141" s="3">
        <x:v>45269</x:v>
      </x:c>
      <x:c r="P141" s="3">
        <x:v>43381</x:v>
      </x:c>
      <x:c r="Q141" t="s">
        <x:v>73</x:v>
      </x:c>
      <x:c r="R141">
        <x:v>0</x:v>
      </x:c>
      <x:c r="S141">
        <x:v>0</x:v>
      </x:c>
      <x:c r="T141">
        <x:v>0</x:v>
      </x:c>
      <x:c r="U141">
        <x:v>0</x:v>
      </x:c>
      <x:c r="V141">
        <x:v>0</x:v>
      </x:c>
      <x:c r="W141">
        <x:v>0</x:v>
      </x:c>
      <x:c r="X141">
        <x:v>75.349999999999994</x:v>
      </x:c>
      <x:c r="Y141" s="31" t="n">
        <x:f>J141*N141</x:f>
        <x:v>0</x:v>
      </x:c>
      <x:c r="Z141" s="31" t="n">
        <x:f>IF(J141=0,0,IF(L141&gt;0,J141*L141,"n.a."))</x:f>
        <x:v>0</x:v>
      </x:c>
      <x:c r="AA141" s="31" t="n">
        <x:f>IF(J141=0,0,IF(ISNUMBER(Z141),Z141-Y141,"n.a."))</x:f>
        <x:v>0</x:v>
      </x:c>
      <x:c r="AB141" s="32" t="str">
        <x:f>IF(AND(J141&gt;0,L141&gt;0,N141&gt;0),L141/N141-1,"n.a.")</x:f>
        <x:v>n.a.</x:v>
      </x:c>
      <x:c r="AC141" s="18" t="str">
        <x:f>IF(AND(J141&gt;0,L141&lt;=0),"Missing replacement cost",IF(I141&gt;H141,"Usage exceeds stock",""))</x:f>
        <x:v>Usage exceeds stock</x:v>
      </x:c>
    </x:row>
    <x:row r="142">
      <x:c r="A142" t="s">
        <x:v>15</x:v>
      </x:c>
      <x:c r="B142">
        <x:v>30</x:v>
      </x:c>
      <x:c r="C142" t="s">
        <x:v>64</x:v>
      </x:c>
      <x:c r="D142" t="s">
        <x:v>76</x:v>
      </x:c>
      <x:c r="E142">
        <x:v>0.5</x:v>
      </x:c>
      <x:c r="F142">
        <x:v>65</x:v>
      </x:c>
      <x:c r="G142" s="22" t="n">
        <x:f>SUMIFS('Receipts to be received in'!$P$2:$P$53,'Receipts to be received in'!$B$2:$B$53,B142,'Receipts to be received in'!$C$2:$C$53,D142)</x:f>
        <x:v>0</x:v>
      </x:c>
      <x:c r="H142" s="23" t="n">
        <x:f>F142+G142</x:f>
        <x:v>65</x:v>
      </x:c>
      <x:c r="I142" s="22" t="n">
        <x:f>E142*'Receipts to be received in'!$R$7*'Receipts to be received in'!$R$10</x:f>
        <x:v>0.8706365503080082</x:v>
      </x:c>
      <x:c r="J142" s="23" t="n">
        <x:f>MAX(0,H142-I142)</x:f>
        <x:v>64.129363449692</x:v>
      </x:c>
      <x:c r="K142">
        <x:v>0</x:v>
      </x:c>
      <x:c r="L142">
        <x:v>8.42</x:v>
      </x:c>
      <x:c r="M142" s="1">
        <x:v>46133</x:v>
      </x:c>
      <x:c r="N142">
        <x:v>7.02</x:v>
      </x:c>
      <x:c r="O142" s="3">
        <x:v>46027</x:v>
      </x:c>
      <x:c r="P142" s="3">
        <x:v>44607</x:v>
      </x:c>
      <x:c r="Q142" s="2">
        <x:v>-0.1663</x:v>
      </x:c>
      <x:c r="R142">
        <x:v>130</x:v>
      </x:c>
      <x:c r="S142">
        <x:v>130</x:v>
      </x:c>
      <x:c r="T142">
        <x:v>91</x:v>
      </x:c>
      <x:c r="U142">
        <x:v>0</x:v>
      </x:c>
      <x:c r="V142">
        <x:v>456.29999999999899</x:v>
      </x:c>
      <x:c r="W142">
        <x:v>547.29999999999995</x:v>
      </x:c>
      <x:c r="X142">
        <x:v>144.16</x:v>
      </x:c>
      <x:c r="Y142" s="31" t="n">
        <x:f>J142*N142</x:f>
        <x:v>450.1881314168378</x:v>
      </x:c>
      <x:c r="Z142" s="31" t="n">
        <x:f>IF(J142=0,0,IF(L142&gt;0,J142*L142,"n.a."))</x:f>
        <x:v>539.9692402464066</x:v>
      </x:c>
      <x:c r="AA142" s="31" t="n">
        <x:f>IF(J142=0,0,IF(ISNUMBER(Z142),Z142-Y142,"n.a."))</x:f>
        <x:v>89.78110882956878</x:v>
      </x:c>
      <x:c r="AB142" s="32" t="n">
        <x:f>IF(AND(J142&gt;0,L142&gt;0,N142&gt;0),L142/N142-1,"n.a.")</x:f>
        <x:v>0.19943019943019946</x:v>
      </x:c>
      <x:c r="AC142" s="18" t="str">
        <x:f>IF(AND(J142&gt;0,L142&lt;=0),"Missing replacement cost",IF(I142&gt;H142,"Usage exceeds stock",""))</x:f>
      </x:c>
    </x:row>
    <x:row r="143">
      <x:c r="A143" t="s">
        <x:v>15</x:v>
      </x:c>
      <x:c r="B143">
        <x:v>30</x:v>
      </x:c>
      <x:c r="C143" t="s">
        <x:v>64</x:v>
      </x:c>
      <x:c r="D143" t="s">
        <x:v>103</x:v>
      </x:c>
      <x:c r="E143">
        <x:v>0.5</x:v>
      </x:c>
      <x:c r="F143">
        <x:v>14</x:v>
      </x:c>
      <x:c r="G143" s="22" t="n">
        <x:f>SUMIFS('Receipts to be received in'!$P$2:$P$53,'Receipts to be received in'!$B$2:$B$53,B143,'Receipts to be received in'!$C$2:$C$53,D143)</x:f>
        <x:v>0</x:v>
      </x:c>
      <x:c r="H143" s="23" t="n">
        <x:f>F143+G143</x:f>
        <x:v>14</x:v>
      </x:c>
      <x:c r="I143" s="22" t="n">
        <x:f>E143*'Receipts to be received in'!$R$7*'Receipts to be received in'!$R$10</x:f>
        <x:v>0.8706365503080082</x:v>
      </x:c>
      <x:c r="J143" s="23" t="n">
        <x:f>MAX(0,H143-I143)</x:f>
        <x:v>13.129363449691992</x:v>
      </x:c>
      <x:c r="K143">
        <x:v>0</x:v>
      </x:c>
      <x:c r="L143">
        <x:v>127.2</x:v>
      </x:c>
      <x:c r="M143" s="1">
        <x:v>46134</x:v>
      </x:c>
      <x:c r="N143">
        <x:v>105.9</x:v>
      </x:c>
      <x:c r="O143" s="3">
        <x:v>46027</x:v>
      </x:c>
      <x:c r="P143" s="3">
        <x:v>45671</x:v>
      </x:c>
      <x:c r="Q143" s="2">
        <x:v>-0.16750000000000001</x:v>
      </x:c>
      <x:c r="R143">
        <x:v>28</x:v>
      </x:c>
      <x:c r="S143">
        <x:v>28</x:v>
      </x:c>
      <x:c r="T143">
        <x:v>298.19999999999902</x:v>
      </x:c>
      <x:c r="U143">
        <x:v>0</x:v>
      </x:c>
      <x:c r="V143">
        <x:v>1482.6</x:v>
      </x:c>
      <x:c r="W143">
        <x:v>1780.8</x:v>
      </x:c>
      <x:c r="X143">
        <x:v>2371.6999999999998</x:v>
      </x:c>
      <x:c r="Y143" s="31" t="n">
        <x:f>J143*N143</x:f>
        <x:v>1390.399589322382</x:v>
      </x:c>
      <x:c r="Z143" s="31" t="n">
        <x:f>IF(J143=0,0,IF(L143&gt;0,J143*L143,"n.a."))</x:f>
        <x:v>1670.0550308008214</x:v>
      </x:c>
      <x:c r="AA143" s="31" t="n">
        <x:f>IF(J143=0,0,IF(ISNUMBER(Z143),Z143-Y143,"n.a."))</x:f>
        <x:v>279.65544147843934</x:v>
      </x:c>
      <x:c r="AB143" s="32" t="n">
        <x:f>IF(AND(J143&gt;0,L143&gt;0,N143&gt;0),L143/N143-1,"n.a.")</x:f>
        <x:v>0.20113314447592057</x:v>
      </x:c>
      <x:c r="AC143" s="18" t="str">
        <x:f>IF(AND(J143&gt;0,L143&lt;=0),"Missing replacement cost",IF(I143&gt;H143,"Usage exceeds stock",""))</x:f>
      </x:c>
    </x:row>
    <x:row r="144">
      <x:c r="A144" t="s">
        <x:v>15</x:v>
      </x:c>
      <x:c r="B144">
        <x:v>10</x:v>
      </x:c>
      <x:c r="C144" t="s">
        <x:v>64</x:v>
      </x:c>
      <x:c r="D144" t="s">
        <x:v>90</x:v>
      </x:c>
      <x:c r="E144">
        <x:v>0.33</x:v>
      </x:c>
      <x:c r="F144">
        <x:v>12</x:v>
      </x:c>
      <x:c r="G144" s="22" t="n">
        <x:f>SUMIFS('Receipts to be received in'!$P$2:$P$53,'Receipts to be received in'!$B$2:$B$53,B144,'Receipts to be received in'!$C$2:$C$53,D144)</x:f>
        <x:v>0</x:v>
      </x:c>
      <x:c r="H144" s="23" t="n">
        <x:f>F144+G144</x:f>
        <x:v>12</x:v>
      </x:c>
      <x:c r="I144" s="22" t="n">
        <x:f>E144*'Receipts to be received in'!$R$7*'Receipts to be received in'!$R$10</x:f>
        <x:v>0.5746201232032855</x:v>
      </x:c>
      <x:c r="J144" s="23" t="n">
        <x:f>MAX(0,H144-I144)</x:f>
        <x:v>11.425379876796715</x:v>
      </x:c>
      <x:c r="K144">
        <x:v>0</x:v>
      </x:c>
      <x:c r="L144">
        <x:v>7.78</x:v>
      </x:c>
      <x:c r="M144" s="1">
        <x:v>46133</x:v>
      </x:c>
      <x:c r="N144">
        <x:v>6.48</x:v>
      </x:c>
      <x:c r="O144" s="3">
        <x:v>46027</x:v>
      </x:c>
      <x:c r="P144" s="3">
        <x:v>44860</x:v>
      </x:c>
      <x:c r="Q144" s="2">
        <x:v>-0.1671</x:v>
      </x:c>
      <x:c r="R144">
        <x:v>36.363636363636303</x:v>
      </x:c>
      <x:c r="S144">
        <x:v>36.363636363636303</x:v>
      </x:c>
      <x:c r="T144">
        <x:v>15.5999999999999</x:v>
      </x:c>
      <x:c r="U144">
        <x:v>0</x:v>
      </x:c>
      <x:c r="V144">
        <x:v>77.760000000000005</x:v>
      </x:c>
      <x:c r="W144">
        <x:v>93.36</x:v>
      </x:c>
      <x:c r="X144">
        <x:v>169.82</x:v>
      </x:c>
      <x:c r="Y144" s="31" t="n">
        <x:f>J144*N144</x:f>
        <x:v>74.03646160164271</x:v>
      </x:c>
      <x:c r="Z144" s="31" t="n">
        <x:f>IF(J144=0,0,IF(L144&gt;0,J144*L144,"n.a."))</x:f>
        <x:v>88.88945544147845</x:v>
      </x:c>
      <x:c r="AA144" s="31" t="n">
        <x:f>IF(J144=0,0,IF(ISNUMBER(Z144),Z144-Y144,"n.a."))</x:f>
        <x:v>14.852993839835733</x:v>
      </x:c>
      <x:c r="AB144" s="32" t="n">
        <x:f>IF(AND(J144&gt;0,L144&gt;0,N144&gt;0),L144/N144-1,"n.a.")</x:f>
        <x:v>0.2006172839506173</x:v>
      </x:c>
      <x:c r="AC144" s="18" t="str">
        <x:f>IF(AND(J144&gt;0,L144&lt;=0),"Missing replacement cost",IF(I144&gt;H144,"Usage exceeds stock",""))</x:f>
      </x:c>
    </x:row>
    <x:row r="145">
      <x:c r="A145" t="s">
        <x:v>15</x:v>
      </x:c>
      <x:c r="B145">
        <x:v>10</x:v>
      </x:c>
      <x:c r="C145" t="s">
        <x:v>64</x:v>
      </x:c>
      <x:c r="D145" t="s">
        <x:v>34</x:v>
      </x:c>
      <x:c r="E145">
        <x:v>0.33</x:v>
      </x:c>
      <x:c r="F145">
        <x:v>27</x:v>
      </x:c>
      <x:c r="G145" s="22" t="n">
        <x:f>SUMIFS('Receipts to be received in'!$P$2:$P$53,'Receipts to be received in'!$B$2:$B$53,B145,'Receipts to be received in'!$C$2:$C$53,D145)</x:f>
        <x:v>0</x:v>
      </x:c>
      <x:c r="H145" s="23" t="n">
        <x:f>F145+G145</x:f>
        <x:v>27</x:v>
      </x:c>
      <x:c r="I145" s="22" t="n">
        <x:f>E145*'Receipts to be received in'!$R$7*'Receipts to be received in'!$R$10</x:f>
        <x:v>0.5746201232032855</x:v>
      </x:c>
      <x:c r="J145" s="23" t="n">
        <x:f>MAX(0,H145-I145)</x:f>
        <x:v>26.425379876796715</x:v>
      </x:c>
      <x:c r="K145">
        <x:v>0</x:v>
      </x:c>
      <x:c r="L145">
        <x:v>91.58</x:v>
      </x:c>
      <x:c r="M145" s="1">
        <x:v>46134</x:v>
      </x:c>
      <x:c r="N145">
        <x:v>76.25</x:v>
      </x:c>
      <x:c r="O145" s="3">
        <x:v>46027</x:v>
      </x:c>
      <x:c r="P145" s="3">
        <x:v>45828</x:v>
      </x:c>
      <x:c r="Q145" s="2">
        <x:v>-0.16739999999999999</x:v>
      </x:c>
      <x:c r="R145">
        <x:v>81.818181818181799</x:v>
      </x:c>
      <x:c r="S145">
        <x:v>81.818181818181799</x:v>
      </x:c>
      <x:c r="T145">
        <x:v>413.909999999999</x:v>
      </x:c>
      <x:c r="U145">
        <x:v>0</x:v>
      </x:c>
      <x:c r="V145">
        <x:v>2058.75</x:v>
      </x:c>
      <x:c r="W145">
        <x:v>2472.66</x:v>
      </x:c>
      <x:c r="X145">
        <x:v>1707.64</x:v>
      </x:c>
      <x:c r="Y145" s="31" t="n">
        <x:f>J145*N145</x:f>
        <x:v>2014.9352156057496</x:v>
      </x:c>
      <x:c r="Z145" s="31" t="n">
        <x:f>IF(J145=0,0,IF(L145&gt;0,J145*L145,"n.a."))</x:f>
        <x:v>2420.036289117043</x:v>
      </x:c>
      <x:c r="AA145" s="31" t="n">
        <x:f>IF(J145=0,0,IF(ISNUMBER(Z145),Z145-Y145,"n.a."))</x:f>
        <x:v>405.1010735112934</x:v>
      </x:c>
      <x:c r="AB145" s="32" t="n">
        <x:f>IF(AND(J145&gt;0,L145&gt;0,N145&gt;0),L145/N145-1,"n.a.")</x:f>
        <x:v>0.2010491803278689</x:v>
      </x:c>
      <x:c r="AC145" s="18" t="str">
        <x:f>IF(AND(J145&gt;0,L145&lt;=0),"Missing replacement cost",IF(I145&gt;H145,"Usage exceeds stock",""))</x:f>
      </x:c>
    </x:row>
    <x:row r="146">
      <x:c r="A146" t="s">
        <x:v>15</x:v>
      </x:c>
      <x:c r="B146">
        <x:v>30</x:v>
      </x:c>
      <x:c r="C146" t="s">
        <x:v>64</x:v>
      </x:c>
      <x:c r="D146" t="s">
        <x:v>81</x:v>
      </x:c>
      <x:c r="E146">
        <x:v>0.33</x:v>
      </x:c>
      <x:c r="F146">
        <x:v>44</x:v>
      </x:c>
      <x:c r="G146" s="22" t="n">
        <x:f>SUMIFS('Receipts to be received in'!$P$2:$P$53,'Receipts to be received in'!$B$2:$B$53,B146,'Receipts to be received in'!$C$2:$C$53,D146)</x:f>
        <x:v>0</x:v>
      </x:c>
      <x:c r="H146" s="23" t="n">
        <x:f>F146+G146</x:f>
        <x:v>44</x:v>
      </x:c>
      <x:c r="I146" s="22" t="n">
        <x:f>E146*'Receipts to be received in'!$R$7*'Receipts to be received in'!$R$10</x:f>
        <x:v>0.5746201232032855</x:v>
      </x:c>
      <x:c r="J146" s="23" t="n">
        <x:f>MAX(0,H146-I146)</x:f>
        <x:v>43.42537987679671</x:v>
      </x:c>
      <x:c r="K146">
        <x:v>0</x:v>
      </x:c>
      <x:c r="L146">
        <x:v>0</x:v>
      </x:c>
      <x:c r="M146" s="1">
        <x:v>45078</x:v>
      </x:c>
      <x:c r="N146">
        <x:v>10.73</x:v>
      </x:c>
      <x:c r="O146" s="3">
        <x:v>45269</x:v>
      </x:c>
      <x:c r="P146" s="3">
        <x:v>42921</x:v>
      </x:c>
      <x:c r="Q146" t="s">
        <x:v>73</x:v>
      </x:c>
      <x:c r="R146">
        <x:v>133.333333333333</x:v>
      </x:c>
      <x:c r="S146">
        <x:v>133.333333333333</x:v>
      </x:c>
      <x:c r="T146">
        <x:v>-472.12</x:v>
      </x:c>
      <x:c r="U146">
        <x:v>0</x:v>
      </x:c>
      <x:c r="V146">
        <x:v>472.12</x:v>
      </x:c>
      <x:c r="W146">
        <x:v>0</x:v>
      </x:c>
      <x:c r="X146">
        <x:v>137.97</x:v>
      </x:c>
      <x:c r="Y146" s="31" t="n">
        <x:f>J146*N146</x:f>
        <x:v>465.9543260780287</x:v>
      </x:c>
      <x:c r="Z146" s="31" t="str">
        <x:f>IF(J146=0,0,IF(L146&gt;0,J146*L146,"n.a."))</x:f>
        <x:v>n.a.</x:v>
      </x:c>
      <x:c r="AA146" s="31" t="str">
        <x:f>IF(J146=0,0,IF(ISNUMBER(Z146),Z146-Y146,"n.a."))</x:f>
        <x:v>n.a.</x:v>
      </x:c>
      <x:c r="AB146" s="32" t="str">
        <x:f>IF(AND(J146&gt;0,L146&gt;0,N146&gt;0),L146/N146-1,"n.a.")</x:f>
        <x:v>n.a.</x:v>
      </x:c>
      <x:c r="AC146" s="18" t="str">
        <x:f>IF(AND(J146&gt;0,L146&lt;=0),"Missing replacement cost",IF(I146&gt;H146,"Usage exceeds stock",""))</x:f>
        <x:v>Missing replacement cost</x:v>
      </x:c>
    </x:row>
    <x:row r="147">
      <x:c r="A147" t="s">
        <x:v>15</x:v>
      </x:c>
      <x:c r="B147">
        <x:v>30</x:v>
      </x:c>
      <x:c r="C147" t="s">
        <x:v>64</x:v>
      </x:c>
      <x:c r="D147" t="s">
        <x:v>39</x:v>
      </x:c>
      <x:c r="E147">
        <x:v>0.33</x:v>
      </x:c>
      <x:c r="F147">
        <x:v>81</x:v>
      </x:c>
      <x:c r="G147" s="22" t="n">
        <x:f>SUMIFS('Receipts to be received in'!$P$2:$P$53,'Receipts to be received in'!$B$2:$B$53,B147,'Receipts to be received in'!$C$2:$C$53,D147)</x:f>
        <x:v>0</x:v>
      </x:c>
      <x:c r="H147" s="23" t="n">
        <x:f>F147+G147</x:f>
        <x:v>81</x:v>
      </x:c>
      <x:c r="I147" s="22" t="n">
        <x:f>E147*'Receipts to be received in'!$R$7*'Receipts to be received in'!$R$10</x:f>
        <x:v>0.5746201232032855</x:v>
      </x:c>
      <x:c r="J147" s="23" t="n">
        <x:f>MAX(0,H147-I147)</x:f>
        <x:v>80.42537987679671</x:v>
      </x:c>
      <x:c r="K147">
        <x:v>0</x:v>
      </x:c>
      <x:c r="L147">
        <x:v>12.64</x:v>
      </x:c>
      <x:c r="M147" s="1">
        <x:v>46133</x:v>
      </x:c>
      <x:c r="N147">
        <x:v>10.53</x:v>
      </x:c>
      <x:c r="O147" s="3">
        <x:v>46027</x:v>
      </x:c>
      <x:c r="P147" s="3">
        <x:v>45509</x:v>
      </x:c>
      <x:c r="Q147" s="2">
        <x:v>-0.16689999999999999</x:v>
      </x:c>
      <x:c r="R147">
        <x:v>245.45454545454501</x:v>
      </x:c>
      <x:c r="S147">
        <x:v>245.45454545454501</x:v>
      </x:c>
      <x:c r="T147">
        <x:v>170.91</x:v>
      </x:c>
      <x:c r="U147">
        <x:v>0</x:v>
      </x:c>
      <x:c r="V147">
        <x:v>852.93</x:v>
      </x:c>
      <x:c r="W147">
        <x:v>1023.84</x:v>
      </x:c>
      <x:c r="X147">
        <x:v>216.1</x:v>
      </x:c>
      <x:c r="Y147" s="31" t="n">
        <x:f>J147*N147</x:f>
        <x:v>846.8792501026693</x:v>
      </x:c>
      <x:c r="Z147" s="31" t="n">
        <x:f>IF(J147=0,0,IF(L147&gt;0,J147*L147,"n.a."))</x:f>
        <x:v>1016.5768016427105</x:v>
      </x:c>
      <x:c r="AA147" s="31" t="n">
        <x:f>IF(J147=0,0,IF(ISNUMBER(Z147),Z147-Y147,"n.a."))</x:f>
        <x:v>169.69755154004122</x:v>
      </x:c>
      <x:c r="AB147" s="32" t="n">
        <x:f>IF(AND(J147&gt;0,L147&gt;0,N147&gt;0),L147/N147-1,"n.a.")</x:f>
        <x:v>0.20037986704653377</x:v>
      </x:c>
      <x:c r="AC147" s="18" t="str">
        <x:f>IF(AND(J147&gt;0,L147&lt;=0),"Missing replacement cost",IF(I147&gt;H147,"Usage exceeds stock",""))</x:f>
      </x:c>
    </x:row>
    <x:row r="148">
      <x:c r="A148" t="s">
        <x:v>15</x:v>
      </x:c>
      <x:c r="B148">
        <x:v>60</x:v>
      </x:c>
      <x:c r="C148" t="s">
        <x:v>64</x:v>
      </x:c>
      <x:c r="D148" t="s">
        <x:v>81</x:v>
      </x:c>
      <x:c r="E148">
        <x:v>0.33</x:v>
      </x:c>
      <x:c r="F148">
        <x:v>0</x:v>
      </x:c>
      <x:c r="G148" s="22" t="n">
        <x:f>SUMIFS('Receipts to be received in'!$P$2:$P$53,'Receipts to be received in'!$B$2:$B$53,B148,'Receipts to be received in'!$C$2:$C$53,D148)</x:f>
        <x:v>0</x:v>
      </x:c>
      <x:c r="H148" s="23" t="n">
        <x:f>F148+G148</x:f>
        <x:v>0</x:v>
      </x:c>
      <x:c r="I148" s="22" t="n">
        <x:f>E148*'Receipts to be received in'!$R$7*'Receipts to be received in'!$R$10</x:f>
        <x:v>0.5746201232032855</x:v>
      </x:c>
      <x:c r="J148" s="23" t="n">
        <x:f>MAX(0,H148-I148)</x:f>
        <x:v>0</x:v>
      </x:c>
      <x:c r="K148">
        <x:v>0</x:v>
      </x:c>
      <x:c r="L148">
        <x:v>0</x:v>
      </x:c>
      <x:c r="M148" s="1">
        <x:v>45078</x:v>
      </x:c>
      <x:c r="N148">
        <x:v>10.73</x:v>
      </x:c>
      <x:c r="O148" s="3">
        <x:v>45269</x:v>
      </x:c>
      <x:c r="P148" s="3">
        <x:v>45468</x:v>
      </x:c>
      <x:c r="Q148" t="s">
        <x:v>73</x:v>
      </x:c>
      <x:c r="R148">
        <x:v>0</x:v>
      </x:c>
      <x:c r="S148">
        <x:v>0</x:v>
      </x:c>
      <x:c r="T148">
        <x:v>0</x:v>
      </x:c>
      <x:c r="U148">
        <x:v>0</x:v>
      </x:c>
      <x:c r="V148">
        <x:v>0</x:v>
      </x:c>
      <x:c r="W148">
        <x:v>0</x:v>
      </x:c>
      <x:c r="X148">
        <x:v>137.97</x:v>
      </x:c>
      <x:c r="Y148" s="31" t="n">
        <x:f>J148*N148</x:f>
        <x:v>0</x:v>
      </x:c>
      <x:c r="Z148" s="31" t="n">
        <x:f>IF(J148=0,0,IF(L148&gt;0,J148*L148,"n.a."))</x:f>
        <x:v>0</x:v>
      </x:c>
      <x:c r="AA148" s="31" t="n">
        <x:f>IF(J148=0,0,IF(ISNUMBER(Z148),Z148-Y148,"n.a."))</x:f>
        <x:v>0</x:v>
      </x:c>
      <x:c r="AB148" s="32" t="str">
        <x:f>IF(AND(J148&gt;0,L148&gt;0,N148&gt;0),L148/N148-1,"n.a.")</x:f>
        <x:v>n.a.</x:v>
      </x:c>
      <x:c r="AC148" s="18" t="str">
        <x:f>IF(AND(J148&gt;0,L148&lt;=0),"Missing replacement cost",IF(I148&gt;H148,"Usage exceeds stock",""))</x:f>
        <x:v>Usage exceeds stock</x:v>
      </x:c>
    </x:row>
    <x:row r="149">
      <x:c r="A149" t="s">
        <x:v>15</x:v>
      </x:c>
      <x:c r="B149">
        <x:v>60</x:v>
      </x:c>
      <x:c r="C149" t="s">
        <x:v>64</x:v>
      </x:c>
      <x:c r="D149" t="s">
        <x:v>82</x:v>
      </x:c>
      <x:c r="E149">
        <x:v>0.33</x:v>
      </x:c>
      <x:c r="F149">
        <x:v>11</x:v>
      </x:c>
      <x:c r="G149" s="22" t="n">
        <x:f>SUMIFS('Receipts to be received in'!$P$2:$P$53,'Receipts to be received in'!$B$2:$B$53,B149,'Receipts to be received in'!$C$2:$C$53,D149)</x:f>
        <x:v>0</x:v>
      </x:c>
      <x:c r="H149" s="23" t="n">
        <x:f>F149+G149</x:f>
        <x:v>11</x:v>
      </x:c>
      <x:c r="I149" s="22" t="n">
        <x:f>E149*'Receipts to be received in'!$R$7*'Receipts to be received in'!$R$10</x:f>
        <x:v>0.5746201232032855</x:v>
      </x:c>
      <x:c r="J149" s="23" t="n">
        <x:f>MAX(0,H149-I149)</x:f>
        <x:v>10.425379876796715</x:v>
      </x:c>
      <x:c r="K149">
        <x:v>0</x:v>
      </x:c>
      <x:c r="L149">
        <x:v>0</x:v>
      </x:c>
      <x:c r="M149" s="1">
        <x:v>45078</x:v>
      </x:c>
      <x:c r="N149">
        <x:v>3.75</x:v>
      </x:c>
      <x:c r="O149" s="3">
        <x:v>45269</x:v>
      </x:c>
      <x:c r="P149" s="3">
        <x:v>42194</x:v>
      </x:c>
      <x:c r="Q149" t="s">
        <x:v>73</x:v>
      </x:c>
      <x:c r="R149">
        <x:v>33.3333333333333</x:v>
      </x:c>
      <x:c r="S149">
        <x:v>33.3333333333333</x:v>
      </x:c>
      <x:c r="T149">
        <x:v>-41.25</x:v>
      </x:c>
      <x:c r="U149">
        <x:v>0</x:v>
      </x:c>
      <x:c r="V149">
        <x:v>41.25</x:v>
      </x:c>
      <x:c r="W149">
        <x:v>0</x:v>
      </x:c>
      <x:c r="X149">
        <x:v>51.21</x:v>
      </x:c>
      <x:c r="Y149" s="31" t="n">
        <x:f>J149*N149</x:f>
        <x:v>39.09517453798768</x:v>
      </x:c>
      <x:c r="Z149" s="31" t="str">
        <x:f>IF(J149=0,0,IF(L149&gt;0,J149*L149,"n.a."))</x:f>
        <x:v>n.a.</x:v>
      </x:c>
      <x:c r="AA149" s="31" t="str">
        <x:f>IF(J149=0,0,IF(ISNUMBER(Z149),Z149-Y149,"n.a."))</x:f>
        <x:v>n.a.</x:v>
      </x:c>
      <x:c r="AB149" s="32" t="str">
        <x:f>IF(AND(J149&gt;0,L149&gt;0,N149&gt;0),L149/N149-1,"n.a.")</x:f>
        <x:v>n.a.</x:v>
      </x:c>
      <x:c r="AC149" s="18" t="str">
        <x:f>IF(AND(J149&gt;0,L149&lt;=0),"Missing replacement cost",IF(I149&gt;H149,"Usage exceeds stock",""))</x:f>
        <x:v>Missing replacement cost</x:v>
      </x:c>
    </x:row>
    <x:row r="150">
      <x:c r="A150" t="s">
        <x:v>15</x:v>
      </x:c>
      <x:c r="B150">
        <x:v>10</x:v>
      </x:c>
      <x:c r="C150" t="s">
        <x:v>64</x:v>
      </x:c>
      <x:c r="D150" t="s">
        <x:v>103</x:v>
      </x:c>
      <x:c r="E150">
        <x:v>0.17</x:v>
      </x:c>
      <x:c r="F150">
        <x:v>17</x:v>
      </x:c>
      <x:c r="G150" s="22" t="n">
        <x:f>SUMIFS('Receipts to be received in'!$P$2:$P$53,'Receipts to be received in'!$B$2:$B$53,B150,'Receipts to be received in'!$C$2:$C$53,D150)</x:f>
        <x:v>0</x:v>
      </x:c>
      <x:c r="H150" s="23" t="n">
        <x:f>F150+G150</x:f>
        <x:v>17</x:v>
      </x:c>
      <x:c r="I150" s="22" t="n">
        <x:f>E150*'Receipts to be received in'!$R$7*'Receipts to be received in'!$R$10</x:f>
        <x:v>0.2960164271047228</x:v>
      </x:c>
      <x:c r="J150" s="23" t="n">
        <x:f>MAX(0,H150-I150)</x:f>
        <x:v>16.70398357289528</x:v>
      </x:c>
      <x:c r="K150">
        <x:v>0</x:v>
      </x:c>
      <x:c r="L150">
        <x:v>127.2</x:v>
      </x:c>
      <x:c r="M150" s="1">
        <x:v>46134</x:v>
      </x:c>
      <x:c r="N150">
        <x:v>105.9</x:v>
      </x:c>
      <x:c r="O150" s="3">
        <x:v>46027</x:v>
      </x:c>
      <x:c r="P150" s="3">
        <x:v>45708</x:v>
      </x:c>
      <x:c r="Q150" s="2">
        <x:v>-0.16750000000000001</x:v>
      </x:c>
      <x:c r="R150">
        <x:v>99.999999999999901</x:v>
      </x:c>
      <x:c r="S150">
        <x:v>99.999999999999901</x:v>
      </x:c>
      <x:c r="T150">
        <x:v>362.099999999999</x:v>
      </x:c>
      <x:c r="U150">
        <x:v>0</x:v>
      </x:c>
      <x:c r="V150">
        <x:v>1800.3</x:v>
      </x:c>
      <x:c r="W150">
        <x:v>2162.4</x:v>
      </x:c>
      <x:c r="X150">
        <x:v>2371.6999999999998</x:v>
      </x:c>
      <x:c r="Y150" s="31" t="n">
        <x:f>J150*N150</x:f>
        <x:v>1768.9518603696101</x:v>
      </x:c>
      <x:c r="Z150" s="31" t="n">
        <x:f>IF(J150=0,0,IF(L150&gt;0,J150*L150,"n.a."))</x:f>
        <x:v>2124.7467104722796</x:v>
      </x:c>
      <x:c r="AA150" s="31" t="n">
        <x:f>IF(J150=0,0,IF(ISNUMBER(Z150),Z150-Y150,"n.a."))</x:f>
        <x:v>355.79485010266944</x:v>
      </x:c>
      <x:c r="AB150" s="32" t="n">
        <x:f>IF(AND(J150&gt;0,L150&gt;0,N150&gt;0),L150/N150-1,"n.a.")</x:f>
        <x:v>0.20113314447592057</x:v>
      </x:c>
      <x:c r="AC150" s="18" t="str">
        <x:f>IF(AND(J150&gt;0,L150&lt;=0),"Missing replacement cost",IF(I150&gt;H150,"Usage exceeds stock",""))</x:f>
      </x:c>
    </x:row>
    <x:row r="151">
      <x:c r="A151" t="s">
        <x:v>15</x:v>
      </x:c>
      <x:c r="B151">
        <x:v>30</x:v>
      </x:c>
      <x:c r="C151" t="s">
        <x:v>64</x:v>
      </x:c>
      <x:c r="D151" t="s">
        <x:v>99</x:v>
      </x:c>
      <x:c r="E151">
        <x:v>0.17</x:v>
      </x:c>
      <x:c r="F151">
        <x:v>68</x:v>
      </x:c>
      <x:c r="G151" s="22" t="n">
        <x:f>SUMIFS('Receipts to be received in'!$P$2:$P$53,'Receipts to be received in'!$B$2:$B$53,B151,'Receipts to be received in'!$C$2:$C$53,D151)</x:f>
        <x:v>0</x:v>
      </x:c>
      <x:c r="H151" s="23" t="n">
        <x:f>F151+G151</x:f>
        <x:v>68</x:v>
      </x:c>
      <x:c r="I151" s="22" t="n">
        <x:f>E151*'Receipts to be received in'!$R$7*'Receipts to be received in'!$R$10</x:f>
        <x:v>0.2960164271047228</x:v>
      </x:c>
      <x:c r="J151" s="23" t="n">
        <x:f>MAX(0,H151-I151)</x:f>
        <x:v>67.70398357289528</x:v>
      </x:c>
      <x:c r="K151">
        <x:v>0</x:v>
      </x:c>
      <x:c r="L151">
        <x:v>61.06</x:v>
      </x:c>
      <x:c r="M151" s="1">
        <x:v>46134</x:v>
      </x:c>
      <x:c r="N151">
        <x:v>50.83</x:v>
      </x:c>
      <x:c r="O151" s="3">
        <x:v>46027</x:v>
      </x:c>
      <x:c r="P151" s="3">
        <x:v>44812</x:v>
      </x:c>
      <x:c r="Q151" s="2">
        <x:v>-0.16750000000000001</x:v>
      </x:c>
      <x:c r="R151">
        <x:v>399.99999999999898</x:v>
      </x:c>
      <x:c r="S151">
        <x:v>399.99999999999898</x:v>
      </x:c>
      <x:c r="T151">
        <x:v>695.64</x:v>
      </x:c>
      <x:c r="U151">
        <x:v>0</x:v>
      </x:c>
      <x:c r="V151">
        <x:v>3456.44</x:v>
      </x:c>
      <x:c r="W151">
        <x:v>4152.08</x:v>
      </x:c>
      <x:c r="X151">
        <x:v>1138.42</x:v>
      </x:c>
      <x:c r="Y151" s="31" t="n">
        <x:f>J151*N151</x:f>
        <x:v>3441.393485010267</x:v>
      </x:c>
      <x:c r="Z151" s="31" t="n">
        <x:f>IF(J151=0,0,IF(L151&gt;0,J151*L151,"n.a."))</x:f>
        <x:v>4134.005236960986</x:v>
      </x:c>
      <x:c r="AA151" s="31" t="n">
        <x:f>IF(J151=0,0,IF(ISNUMBER(Z151),Z151-Y151,"n.a."))</x:f>
        <x:v>692.6117519507188</x:v>
      </x:c>
      <x:c r="AB151" s="32" t="n">
        <x:f>IF(AND(J151&gt;0,L151&gt;0,N151&gt;0),L151/N151-1,"n.a.")</x:f>
        <x:v>0.20125909895730887</x:v>
      </x:c>
      <x:c r="AC151" s="18" t="str">
        <x:f>IF(AND(J151&gt;0,L151&lt;=0),"Missing replacement cost",IF(I151&gt;H151,"Usage exceeds stock",""))</x:f>
      </x:c>
    </x:row>
    <x:row r="152">
      <x:c r="A152" t="s">
        <x:v>15</x:v>
      </x:c>
      <x:c r="B152">
        <x:v>30</x:v>
      </x:c>
      <x:c r="C152" t="s">
        <x:v>64</x:v>
      </x:c>
      <x:c r="D152" t="s">
        <x:v>88</x:v>
      </x:c>
      <x:c r="E152">
        <x:v>0.17</x:v>
      </x:c>
      <x:c r="F152">
        <x:v>38</x:v>
      </x:c>
      <x:c r="G152" s="22" t="n">
        <x:f>SUMIFS('Receipts to be received in'!$P$2:$P$53,'Receipts to be received in'!$B$2:$B$53,B152,'Receipts to be received in'!$C$2:$C$53,D152)</x:f>
        <x:v>0</x:v>
      </x:c>
      <x:c r="H152" s="23" t="n">
        <x:f>F152+G152</x:f>
        <x:v>38</x:v>
      </x:c>
      <x:c r="I152" s="22" t="n">
        <x:f>E152*'Receipts to be received in'!$R$7*'Receipts to be received in'!$R$10</x:f>
        <x:v>0.2960164271047228</x:v>
      </x:c>
      <x:c r="J152" s="23" t="n">
        <x:f>MAX(0,H152-I152)</x:f>
        <x:v>37.703983572895275</x:v>
      </x:c>
      <x:c r="K152">
        <x:v>0</x:v>
      </x:c>
      <x:c r="L152">
        <x:v>14.58</x:v>
      </x:c>
      <x:c r="M152" s="1">
        <x:v>46133</x:v>
      </x:c>
      <x:c r="N152">
        <x:v>12.15</x:v>
      </x:c>
      <x:c r="O152" s="3">
        <x:v>46027</x:v>
      </x:c>
      <x:c r="P152" s="3">
        <x:v>45687</x:v>
      </x:c>
      <x:c r="Q152" s="2">
        <x:v>-0.16669999999999999</x:v>
      </x:c>
      <x:c r="R152">
        <x:v>223.529411764705</x:v>
      </x:c>
      <x:c r="S152">
        <x:v>223.529411764705</x:v>
      </x:c>
      <x:c r="T152">
        <x:v>92.339999999999904</x:v>
      </x:c>
      <x:c r="U152">
        <x:v>0</x:v>
      </x:c>
      <x:c r="V152">
        <x:v>461.7</x:v>
      </x:c>
      <x:c r="W152">
        <x:v>554.04</x:v>
      </x:c>
      <x:c r="X152">
        <x:v>249.38</x:v>
      </x:c>
      <x:c r="Y152" s="31" t="n">
        <x:f>J152*N152</x:f>
        <x:v>458.1034004106776</x:v>
      </x:c>
      <x:c r="Z152" s="31" t="n">
        <x:f>IF(J152=0,0,IF(L152&gt;0,J152*L152,"n.a."))</x:f>
        <x:v>549.7240804928131</x:v>
      </x:c>
      <x:c r="AA152" s="31" t="n">
        <x:f>IF(J152=0,0,IF(ISNUMBER(Z152),Z152-Y152,"n.a."))</x:f>
        <x:v>91.6206800821355</x:v>
      </x:c>
      <x:c r="AB152" s="32" t="n">
        <x:f>IF(AND(J152&gt;0,L152&gt;0,N152&gt;0),L152/N152-1,"n.a.")</x:f>
        <x:v>0.19999999999999996</x:v>
      </x:c>
      <x:c r="AC152" s="18" t="str">
        <x:f>IF(AND(J152&gt;0,L152&lt;=0),"Missing replacement cost",IF(I152&gt;H152,"Usage exceeds stock",""))</x:f>
      </x:c>
    </x:row>
    <x:row r="153">
      <x:c r="A153" t="s">
        <x:v>15</x:v>
      </x:c>
      <x:c r="B153">
        <x:v>60</x:v>
      </x:c>
      <x:c r="C153" t="s">
        <x:v>64</x:v>
      </x:c>
      <x:c r="D153" t="s">
        <x:v>99</x:v>
      </x:c>
      <x:c r="E153">
        <x:v>0.17</x:v>
      </x:c>
      <x:c r="F153">
        <x:v>51</x:v>
      </x:c>
      <x:c r="G153" s="22" t="n">
        <x:f>SUMIFS('Receipts to be received in'!$P$2:$P$53,'Receipts to be received in'!$B$2:$B$53,B153,'Receipts to be received in'!$C$2:$C$53,D153)</x:f>
        <x:v>0</x:v>
      </x:c>
      <x:c r="H153" s="23" t="n">
        <x:f>F153+G153</x:f>
        <x:v>51</x:v>
      </x:c>
      <x:c r="I153" s="22" t="n">
        <x:f>E153*'Receipts to be received in'!$R$7*'Receipts to be received in'!$R$10</x:f>
        <x:v>0.2960164271047228</x:v>
      </x:c>
      <x:c r="J153" s="23" t="n">
        <x:f>MAX(0,H153-I153)</x:f>
        <x:v>50.703983572895275</x:v>
      </x:c>
      <x:c r="K153">
        <x:v>0</x:v>
      </x:c>
      <x:c r="L153">
        <x:v>61.06</x:v>
      </x:c>
      <x:c r="M153" s="1">
        <x:v>46134</x:v>
      </x:c>
      <x:c r="N153">
        <x:v>50.83</x:v>
      </x:c>
      <x:c r="O153" s="3">
        <x:v>46027</x:v>
      </x:c>
      <x:c r="P153" s="3">
        <x:v>44852</x:v>
      </x:c>
      <x:c r="Q153" s="2">
        <x:v>-0.16750000000000001</x:v>
      </x:c>
      <x:c r="R153">
        <x:v>300</x:v>
      </x:c>
      <x:c r="S153">
        <x:v>300</x:v>
      </x:c>
      <x:c r="T153">
        <x:v>521.73</x:v>
      </x:c>
      <x:c r="U153">
        <x:v>0</x:v>
      </x:c>
      <x:c r="V153">
        <x:v>2592.33</x:v>
      </x:c>
      <x:c r="W153">
        <x:v>3114.06</x:v>
      </x:c>
      <x:c r="X153">
        <x:v>1138.42</x:v>
      </x:c>
      <x:c r="Y153" s="31" t="n">
        <x:f>J153*N153</x:f>
        <x:v>2577.2834850102668</x:v>
      </x:c>
      <x:c r="Z153" s="31" t="n">
        <x:f>IF(J153=0,0,IF(L153&gt;0,J153*L153,"n.a."))</x:f>
        <x:v>3095.9852369609857</x:v>
      </x:c>
      <x:c r="AA153" s="31" t="n">
        <x:f>IF(J153=0,0,IF(ISNUMBER(Z153),Z153-Y153,"n.a."))</x:f>
        <x:v>518.701751950719</x:v>
      </x:c>
      <x:c r="AB153" s="32" t="n">
        <x:f>IF(AND(J153&gt;0,L153&gt;0,N153&gt;0),L153/N153-1,"n.a.")</x:f>
        <x:v>0.20125909895730887</x:v>
      </x:c>
      <x:c r="AC153" s="18" t="str">
        <x:f>IF(AND(J153&gt;0,L153&lt;=0),"Missing replacement cost",IF(I153&gt;H153,"Usage exceeds stock",""))</x:f>
      </x:c>
    </x:row>
    <x:row r="154">
      <x:c r="A154" t="s">
        <x:v>15</x:v>
      </x:c>
      <x:c r="B154">
        <x:v>60</x:v>
      </x:c>
      <x:c r="C154" t="s">
        <x:v>64</x:v>
      </x:c>
      <x:c r="D154" t="s">
        <x:v>16</x:v>
      </x:c>
      <x:c r="E154">
        <x:v>0.17</x:v>
      </x:c>
      <x:c r="F154">
        <x:v>0</x:v>
      </x:c>
      <x:c r="G154" s="22" t="n">
        <x:f>SUMIFS('Receipts to be received in'!$P$2:$P$53,'Receipts to be received in'!$B$2:$B$53,B154,'Receipts to be received in'!$C$2:$C$53,D154)</x:f>
        <x:v>0</x:v>
      </x:c>
      <x:c r="H154" s="23" t="n">
        <x:f>F154+G154</x:f>
        <x:v>0</x:v>
      </x:c>
      <x:c r="I154" s="22" t="n">
        <x:f>E154*'Receipts to be received in'!$R$7*'Receipts to be received in'!$R$10</x:f>
        <x:v>0.2960164271047228</x:v>
      </x:c>
      <x:c r="J154" s="23" t="n">
        <x:f>MAX(0,H154-I154)</x:f>
        <x:v>0</x:v>
      </x:c>
      <x:c r="K154">
        <x:v>0</x:v>
      </x:c>
      <x:c r="L154">
        <x:v>68.260000000000005</x:v>
      </x:c>
      <x:c r="M154" s="1">
        <x:v>46133</x:v>
      </x:c>
      <x:c r="N154">
        <x:v>56.88</x:v>
      </x:c>
      <x:c r="O154" s="3">
        <x:v>46027</x:v>
      </x:c>
      <x:c r="P154" s="3">
        <x:v>43886</x:v>
      </x:c>
      <x:c r="Q154" s="2">
        <x:v>-0.16669999999999999</x:v>
      </x:c>
      <x:c r="R154">
        <x:v>0</x:v>
      </x:c>
      <x:c r="S154">
        <x:v>0</x:v>
      </x:c>
      <x:c r="T154">
        <x:v>0</x:v>
      </x:c>
      <x:c r="U154">
        <x:v>0</x:v>
      </x:c>
      <x:c r="V154">
        <x:v>0</x:v>
      </x:c>
      <x:c r="W154">
        <x:v>0</x:v>
      </x:c>
      <x:c r="X154">
        <x:v>1225.74</x:v>
      </x:c>
      <x:c r="Y154" s="31" t="n">
        <x:f>J154*N154</x:f>
        <x:v>0</x:v>
      </x:c>
      <x:c r="Z154" s="31" t="n">
        <x:f>IF(J154=0,0,IF(L154&gt;0,J154*L154,"n.a."))</x:f>
        <x:v>0</x:v>
      </x:c>
      <x:c r="AA154" s="31" t="n">
        <x:f>IF(J154=0,0,IF(ISNUMBER(Z154),Z154-Y154,"n.a."))</x:f>
        <x:v>0</x:v>
      </x:c>
      <x:c r="AB154" s="32" t="str">
        <x:f>IF(AND(J154&gt;0,L154&gt;0,N154&gt;0),L154/N154-1,"n.a.")</x:f>
        <x:v>n.a.</x:v>
      </x:c>
      <x:c r="AC154" s="18" t="str">
        <x:f>IF(AND(J154&gt;0,L154&lt;=0),"Missing replacement cost",IF(I154&gt;H154,"Usage exceeds stock",""))</x:f>
        <x:v>Usage exceeds stock</x:v>
      </x:c>
    </x:row>
    <x:row r="155">
      <x:c r="A155" t="s">
        <x:v>15</x:v>
      </x:c>
      <x:c r="B155">
        <x:v>60</x:v>
      </x:c>
      <x:c r="C155" t="s">
        <x:v>64</x:v>
      </x:c>
      <x:c r="D155" t="s">
        <x:v>103</x:v>
      </x:c>
      <x:c r="E155">
        <x:v>0.17</x:v>
      </x:c>
      <x:c r="F155">
        <x:v>18</x:v>
      </x:c>
      <x:c r="G155" s="22" t="n">
        <x:f>SUMIFS('Receipts to be received in'!$P$2:$P$53,'Receipts to be received in'!$B$2:$B$53,B155,'Receipts to be received in'!$C$2:$C$53,D155)</x:f>
        <x:v>0</x:v>
      </x:c>
      <x:c r="H155" s="23" t="n">
        <x:f>F155+G155</x:f>
        <x:v>18</x:v>
      </x:c>
      <x:c r="I155" s="22" t="n">
        <x:f>E155*'Receipts to be received in'!$R$7*'Receipts to be received in'!$R$10</x:f>
        <x:v>0.2960164271047228</x:v>
      </x:c>
      <x:c r="J155" s="23" t="n">
        <x:f>MAX(0,H155-I155)</x:f>
        <x:v>17.70398357289528</x:v>
      </x:c>
      <x:c r="K155">
        <x:v>0</x:v>
      </x:c>
      <x:c r="L155">
        <x:v>127.2</x:v>
      </x:c>
      <x:c r="M155" s="1">
        <x:v>46134</x:v>
      </x:c>
      <x:c r="N155">
        <x:v>105.9</x:v>
      </x:c>
      <x:c r="O155" s="3">
        <x:v>46027</x:v>
      </x:c>
      <x:c r="P155" s="3">
        <x:v>45693</x:v>
      </x:c>
      <x:c r="Q155" s="2">
        <x:v>-0.16750000000000001</x:v>
      </x:c>
      <x:c r="R155">
        <x:v>105.88235294117599</x:v>
      </x:c>
      <x:c r="S155">
        <x:v>105.88235294117599</x:v>
      </x:c>
      <x:c r="T155">
        <x:v>383.4</x:v>
      </x:c>
      <x:c r="U155">
        <x:v>0</x:v>
      </x:c>
      <x:c r="V155">
        <x:v>1906.2</x:v>
      </x:c>
      <x:c r="W155">
        <x:v>2289.6</x:v>
      </x:c>
      <x:c r="X155">
        <x:v>2371.6999999999998</x:v>
      </x:c>
      <x:c r="Y155" s="31" t="n">
        <x:f>J155*N155</x:f>
        <x:v>1874.8518603696102</x:v>
      </x:c>
      <x:c r="Z155" s="31" t="n">
        <x:f>IF(J155=0,0,IF(L155&gt;0,J155*L155,"n.a."))</x:f>
        <x:v>2251.9467104722794</x:v>
      </x:c>
      <x:c r="AA155" s="31" t="n">
        <x:f>IF(J155=0,0,IF(ISNUMBER(Z155),Z155-Y155,"n.a."))</x:f>
        <x:v>377.09485010266917</x:v>
      </x:c>
      <x:c r="AB155" s="32" t="n">
        <x:f>IF(AND(J155&gt;0,L155&gt;0,N155&gt;0),L155/N155-1,"n.a.")</x:f>
        <x:v>0.20113314447592057</x:v>
      </x:c>
      <x:c r="AC155" s="18" t="str">
        <x:f>IF(AND(J155&gt;0,L155&lt;=0),"Missing replacement cost",IF(I155&gt;H155,"Usage exceeds stock",""))</x:f>
      </x:c>
    </x:row>
    <x:row r="156">
      <x:c r="A156" t="s">
        <x:v>15</x:v>
      </x:c>
      <x:c r="B156">
        <x:v>10</x:v>
      </x:c>
      <x:c r="C156" t="s">
        <x:v>64</x:v>
      </x:c>
      <x:c r="D156" t="s">
        <x:v>104</x:v>
      </x:c>
      <x:c r="E156">
        <x:v>0</x:v>
      </x:c>
      <x:c r="F156">
        <x:v>0</x:v>
      </x:c>
      <x:c r="G156" s="22" t="n">
        <x:f>SUMIFS('Receipts to be received in'!$P$2:$P$53,'Receipts to be received in'!$B$2:$B$53,B156,'Receipts to be received in'!$C$2:$C$53,D156)</x:f>
        <x:v>0</x:v>
      </x:c>
      <x:c r="H156" s="23" t="n">
        <x:f>F156+G156</x:f>
        <x:v>0</x:v>
      </x:c>
      <x:c r="I156" s="22" t="n">
        <x:f>E156*'Receipts to be received in'!$R$7*'Receipts to be received in'!$R$10</x:f>
        <x:v>0</x:v>
      </x:c>
      <x:c r="J156" s="23" t="n">
        <x:f>MAX(0,H156-I156)</x:f>
        <x:v>0</x:v>
      </x:c>
      <x:c r="K156">
        <x:v>0</x:v>
      </x:c>
      <x:c r="L156">
        <x:v>0</x:v>
      </x:c>
      <x:c r="M156" s="1">
        <x:v>44937</x:v>
      </x:c>
      <x:c r="N156">
        <x:v>11.46</x:v>
      </x:c>
      <x:c r="O156" s="3">
        <x:v>43524</x:v>
      </x:c>
      <x:c r="P156" s="3">
        <x:v>44293</x:v>
      </x:c>
      <x:c r="Q156" t="s">
        <x:v>73</x:v>
      </x:c>
      <x:c r="T156">
        <x:v>0</x:v>
      </x:c>
      <x:c r="U156">
        <x:v>0</x:v>
      </x:c>
      <x:c r="V156">
        <x:v>0</x:v>
      </x:c>
      <x:c r="W156">
        <x:v>0</x:v>
      </x:c>
      <x:c r="X156">
        <x:v>155.25</x:v>
      </x:c>
      <x:c r="Y156" s="31" t="n">
        <x:f>J156*N156</x:f>
        <x:v>0</x:v>
      </x:c>
      <x:c r="Z156" s="31" t="n">
        <x:f>IF(J156=0,0,IF(L156&gt;0,J156*L156,"n.a."))</x:f>
        <x:v>0</x:v>
      </x:c>
      <x:c r="AA156" s="31" t="n">
        <x:f>IF(J156=0,0,IF(ISNUMBER(Z156),Z156-Y156,"n.a."))</x:f>
        <x:v>0</x:v>
      </x:c>
      <x:c r="AB156" s="32" t="str">
        <x:f>IF(AND(J156&gt;0,L156&gt;0,N156&gt;0),L156/N156-1,"n.a.")</x:f>
        <x:v>n.a.</x:v>
      </x:c>
      <x:c r="AC156" s="18" t="str">
        <x:f>IF(AND(J156&gt;0,L156&lt;=0),"Missing replacement cost",IF(I156&gt;H156,"Usage exceeds stock",""))</x:f>
      </x:c>
    </x:row>
    <x:row r="157">
      <x:c r="A157" t="s">
        <x:v>15</x:v>
      </x:c>
      <x:c r="B157">
        <x:v>10</x:v>
      </x:c>
      <x:c r="C157" t="s">
        <x:v>64</x:v>
      </x:c>
      <x:c r="D157" t="s">
        <x:v>105</x:v>
      </x:c>
      <x:c r="E157">
        <x:v>0</x:v>
      </x:c>
      <x:c r="F157">
        <x:v>0</x:v>
      </x:c>
      <x:c r="G157" s="22" t="n">
        <x:f>SUMIFS('Receipts to be received in'!$P$2:$P$53,'Receipts to be received in'!$B$2:$B$53,B157,'Receipts to be received in'!$C$2:$C$53,D157)</x:f>
        <x:v>0</x:v>
      </x:c>
      <x:c r="H157" s="23" t="n">
        <x:f>F157+G157</x:f>
        <x:v>0</x:v>
      </x:c>
      <x:c r="I157" s="22" t="n">
        <x:f>E157*'Receipts to be received in'!$R$7*'Receipts to be received in'!$R$10</x:f>
        <x:v>0</x:v>
      </x:c>
      <x:c r="J157" s="23" t="n">
        <x:f>MAX(0,H157-I157)</x:f>
        <x:v>0</x:v>
      </x:c>
      <x:c r="K157">
        <x:v>0</x:v>
      </x:c>
      <x:c r="L157">
        <x:v>0</x:v>
      </x:c>
      <x:c r="M157" s="1">
        <x:v>44937</x:v>
      </x:c>
      <x:c r="N157">
        <x:v>9.5</x:v>
      </x:c>
      <x:c r="O157" s="3">
        <x:v>43524</x:v>
      </x:c>
      <x:c r="P157" s="3">
        <x:v>44293</x:v>
      </x:c>
      <x:c r="Q157" t="s">
        <x:v>73</x:v>
      </x:c>
      <x:c r="T157">
        <x:v>0</x:v>
      </x:c>
      <x:c r="U157">
        <x:v>0</x:v>
      </x:c>
      <x:c r="V157">
        <x:v>0</x:v>
      </x:c>
      <x:c r="W157">
        <x:v>0</x:v>
      </x:c>
      <x:c r="X157">
        <x:v>99.45</x:v>
      </x:c>
      <x:c r="Y157" s="31" t="n">
        <x:f>J157*N157</x:f>
        <x:v>0</x:v>
      </x:c>
      <x:c r="Z157" s="31" t="n">
        <x:f>IF(J157=0,0,IF(L157&gt;0,J157*L157,"n.a."))</x:f>
        <x:v>0</x:v>
      </x:c>
      <x:c r="AA157" s="31" t="n">
        <x:f>IF(J157=0,0,IF(ISNUMBER(Z157),Z157-Y157,"n.a."))</x:f>
        <x:v>0</x:v>
      </x:c>
      <x:c r="AB157" s="32" t="str">
        <x:f>IF(AND(J157&gt;0,L157&gt;0,N157&gt;0),L157/N157-1,"n.a.")</x:f>
        <x:v>n.a.</x:v>
      </x:c>
      <x:c r="AC157" s="18" t="str">
        <x:f>IF(AND(J157&gt;0,L157&lt;=0),"Missing replacement cost",IF(I157&gt;H157,"Usage exceeds stock",""))</x:f>
      </x:c>
    </x:row>
    <x:row r="158">
      <x:c r="A158" t="s">
        <x:v>15</x:v>
      </x:c>
      <x:c r="B158">
        <x:v>10</x:v>
      </x:c>
      <x:c r="C158" t="s">
        <x:v>64</x:v>
      </x:c>
      <x:c r="D158" t="s">
        <x:v>106</x:v>
      </x:c>
      <x:c r="E158">
        <x:v>0</x:v>
      </x:c>
      <x:c r="F158">
        <x:v>0</x:v>
      </x:c>
      <x:c r="G158" s="22" t="n">
        <x:f>SUMIFS('Receipts to be received in'!$P$2:$P$53,'Receipts to be received in'!$B$2:$B$53,B158,'Receipts to be received in'!$C$2:$C$53,D158)</x:f>
        <x:v>0</x:v>
      </x:c>
      <x:c r="H158" s="23" t="n">
        <x:f>F158+G158</x:f>
        <x:v>0</x:v>
      </x:c>
      <x:c r="I158" s="22" t="n">
        <x:f>E158*'Receipts to be received in'!$R$7*'Receipts to be received in'!$R$10</x:f>
        <x:v>0</x:v>
      </x:c>
      <x:c r="J158" s="23" t="n">
        <x:f>MAX(0,H158-I158)</x:f>
        <x:v>0</x:v>
      </x:c>
      <x:c r="K158">
        <x:v>0</x:v>
      </x:c>
      <x:c r="L158">
        <x:v>0</x:v>
      </x:c>
      <x:c r="M158" s="1">
        <x:v>44937</x:v>
      </x:c>
      <x:c r="N158">
        <x:v>0</x:v>
      </x:c>
      <x:c r="O158" s="3">
        <x:v>45210</x:v>
      </x:c>
      <x:c r="P158" s="3">
        <x:v>44293</x:v>
      </x:c>
      <x:c r="Q158" t="s">
        <x:v>107</x:v>
      </x:c>
      <x:c r="T158">
        <x:v>0</x:v>
      </x:c>
      <x:c r="U158">
        <x:v>0</x:v>
      </x:c>
      <x:c r="V158">
        <x:v>0</x:v>
      </x:c>
      <x:c r="W158">
        <x:v>0</x:v>
      </x:c>
      <x:c r="X158">
        <x:v>953.27</x:v>
      </x:c>
      <x:c r="Y158" s="31" t="n">
        <x:f>J158*N158</x:f>
        <x:v>0</x:v>
      </x:c>
      <x:c r="Z158" s="31" t="n">
        <x:f>IF(J158=0,0,IF(L158&gt;0,J158*L158,"n.a."))</x:f>
        <x:v>0</x:v>
      </x:c>
      <x:c r="AA158" s="31" t="n">
        <x:f>IF(J158=0,0,IF(ISNUMBER(Z158),Z158-Y158,"n.a."))</x:f>
        <x:v>0</x:v>
      </x:c>
      <x:c r="AB158" s="32" t="str">
        <x:f>IF(AND(J158&gt;0,L158&gt;0,N158&gt;0),L158/N158-1,"n.a.")</x:f>
        <x:v>n.a.</x:v>
      </x:c>
      <x:c r="AC158" s="18" t="str">
        <x:f>IF(AND(J158&gt;0,L158&lt;=0),"Missing replacement cost",IF(I158&gt;H158,"Usage exceeds stock",""))</x:f>
      </x:c>
    </x:row>
    <x:row r="159">
      <x:c r="A159" t="s">
        <x:v>15</x:v>
      </x:c>
      <x:c r="B159">
        <x:v>10</x:v>
      </x:c>
      <x:c r="C159" t="s">
        <x:v>64</x:v>
      </x:c>
      <x:c r="D159" t="s">
        <x:v>108</x:v>
      </x:c>
      <x:c r="E159">
        <x:v>0</x:v>
      </x:c>
      <x:c r="F159">
        <x:v>0</x:v>
      </x:c>
      <x:c r="G159" s="22" t="n">
        <x:f>SUMIFS('Receipts to be received in'!$P$2:$P$53,'Receipts to be received in'!$B$2:$B$53,B159,'Receipts to be received in'!$C$2:$C$53,D159)</x:f>
        <x:v>0</x:v>
      </x:c>
      <x:c r="H159" s="23" t="n">
        <x:f>F159+G159</x:f>
        <x:v>0</x:v>
      </x:c>
      <x:c r="I159" s="22" t="n">
        <x:f>E159*'Receipts to be received in'!$R$7*'Receipts to be received in'!$R$10</x:f>
        <x:v>0</x:v>
      </x:c>
      <x:c r="J159" s="23" t="n">
        <x:f>MAX(0,H159-I159)</x:f>
        <x:v>0</x:v>
      </x:c>
      <x:c r="K159">
        <x:v>0</x:v>
      </x:c>
      <x:c r="L159">
        <x:v>0</x:v>
      </x:c>
      <x:c r="M159" s="1">
        <x:v>44937</x:v>
      </x:c>
      <x:c r="N159">
        <x:v>8.2799999999999994</x:v>
      </x:c>
      <x:c r="O159" s="3">
        <x:v>43525</x:v>
      </x:c>
      <x:c r="P159" s="3">
        <x:v>42895</x:v>
      </x:c>
      <x:c r="Q159" t="s">
        <x:v>73</x:v>
      </x:c>
      <x:c r="T159">
        <x:v>0</x:v>
      </x:c>
      <x:c r="U159">
        <x:v>0</x:v>
      </x:c>
      <x:c r="V159">
        <x:v>0</x:v>
      </x:c>
      <x:c r="W159">
        <x:v>0</x:v>
      </x:c>
      <x:c r="X159">
        <x:v>123</x:v>
      </x:c>
      <x:c r="Y159" s="31" t="n">
        <x:f>J159*N159</x:f>
        <x:v>0</x:v>
      </x:c>
      <x:c r="Z159" s="31" t="n">
        <x:f>IF(J159=0,0,IF(L159&gt;0,J159*L159,"n.a."))</x:f>
        <x:v>0</x:v>
      </x:c>
      <x:c r="AA159" s="31" t="n">
        <x:f>IF(J159=0,0,IF(ISNUMBER(Z159),Z159-Y159,"n.a."))</x:f>
        <x:v>0</x:v>
      </x:c>
      <x:c r="AB159" s="32" t="str">
        <x:f>IF(AND(J159&gt;0,L159&gt;0,N159&gt;0),L159/N159-1,"n.a.")</x:f>
        <x:v>n.a.</x:v>
      </x:c>
      <x:c r="AC159" s="18" t="str">
        <x:f>IF(AND(J159&gt;0,L159&lt;=0),"Missing replacement cost",IF(I159&gt;H159,"Usage exceeds stock",""))</x:f>
      </x:c>
    </x:row>
    <x:row r="160">
      <x:c r="A160" t="s">
        <x:v>15</x:v>
      </x:c>
      <x:c r="B160">
        <x:v>10</x:v>
      </x:c>
      <x:c r="C160" t="s">
        <x:v>64</x:v>
      </x:c>
      <x:c r="D160" t="s">
        <x:v>109</x:v>
      </x:c>
      <x:c r="E160">
        <x:v>0</x:v>
      </x:c>
      <x:c r="F160">
        <x:v>0</x:v>
      </x:c>
      <x:c r="G160" s="22" t="n">
        <x:f>SUMIFS('Receipts to be received in'!$P$2:$P$53,'Receipts to be received in'!$B$2:$B$53,B160,'Receipts to be received in'!$C$2:$C$53,D160)</x:f>
        <x:v>0</x:v>
      </x:c>
      <x:c r="H160" s="23" t="n">
        <x:f>F160+G160</x:f>
        <x:v>0</x:v>
      </x:c>
      <x:c r="I160" s="22" t="n">
        <x:f>E160*'Receipts to be received in'!$R$7*'Receipts to be received in'!$R$10</x:f>
        <x:v>0</x:v>
      </x:c>
      <x:c r="J160" s="23" t="n">
        <x:f>MAX(0,H160-I160)</x:f>
        <x:v>0</x:v>
      </x:c>
      <x:c r="K160">
        <x:v>0</x:v>
      </x:c>
      <x:c r="L160">
        <x:v>0</x:v>
      </x:c>
      <x:c r="M160" s="1">
        <x:v>45078</x:v>
      </x:c>
      <x:c r="N160">
        <x:v>8.1999999999999993</x:v>
      </x:c>
      <x:c r="O160" s="3">
        <x:v>45269</x:v>
      </x:c>
      <x:c r="P160" s="3">
        <x:v>43928</x:v>
      </x:c>
      <x:c r="Q160" t="s">
        <x:v>73</x:v>
      </x:c>
      <x:c r="T160">
        <x:v>0</x:v>
      </x:c>
      <x:c r="U160">
        <x:v>0</x:v>
      </x:c>
      <x:c r="V160">
        <x:v>0</x:v>
      </x:c>
      <x:c r="W160">
        <x:v>0</x:v>
      </x:c>
      <x:c r="X160">
        <x:v>117.11</x:v>
      </x:c>
      <x:c r="Y160" s="31" t="n">
        <x:f>J160*N160</x:f>
        <x:v>0</x:v>
      </x:c>
      <x:c r="Z160" s="31" t="n">
        <x:f>IF(J160=0,0,IF(L160&gt;0,J160*L160,"n.a."))</x:f>
        <x:v>0</x:v>
      </x:c>
      <x:c r="AA160" s="31" t="n">
        <x:f>IF(J160=0,0,IF(ISNUMBER(Z160),Z160-Y160,"n.a."))</x:f>
        <x:v>0</x:v>
      </x:c>
      <x:c r="AB160" s="32" t="str">
        <x:f>IF(AND(J160&gt;0,L160&gt;0,N160&gt;0),L160/N160-1,"n.a.")</x:f>
        <x:v>n.a.</x:v>
      </x:c>
      <x:c r="AC160" s="18" t="str">
        <x:f>IF(AND(J160&gt;0,L160&lt;=0),"Missing replacement cost",IF(I160&gt;H160,"Usage exceeds stock",""))</x:f>
      </x:c>
    </x:row>
    <x:row r="161">
      <x:c r="A161" t="s">
        <x:v>15</x:v>
      </x:c>
      <x:c r="B161">
        <x:v>10</x:v>
      </x:c>
      <x:c r="C161" t="s">
        <x:v>64</x:v>
      </x:c>
      <x:c r="D161" t="s">
        <x:v>110</x:v>
      </x:c>
      <x:c r="E161">
        <x:v>0</x:v>
      </x:c>
      <x:c r="F161">
        <x:v>0</x:v>
      </x:c>
      <x:c r="G161" s="22" t="n">
        <x:f>SUMIFS('Receipts to be received in'!$P$2:$P$53,'Receipts to be received in'!$B$2:$B$53,B161,'Receipts to be received in'!$C$2:$C$53,D161)</x:f>
        <x:v>0</x:v>
      </x:c>
      <x:c r="H161" s="23" t="n">
        <x:f>F161+G161</x:f>
        <x:v>0</x:v>
      </x:c>
      <x:c r="I161" s="22" t="n">
        <x:f>E161*'Receipts to be received in'!$R$7*'Receipts to be received in'!$R$10</x:f>
        <x:v>0</x:v>
      </x:c>
      <x:c r="J161" s="23" t="n">
        <x:f>MAX(0,H161-I161)</x:f>
        <x:v>0</x:v>
      </x:c>
      <x:c r="K161">
        <x:v>0</x:v>
      </x:c>
      <x:c r="L161">
        <x:v>0</x:v>
      </x:c>
      <x:c r="M161" s="1">
        <x:v>44937</x:v>
      </x:c>
      <x:c r="N161">
        <x:v>17.190000000000001</x:v>
      </x:c>
      <x:c r="O161" s="3">
        <x:v>43524</x:v>
      </x:c>
      <x:c r="P161" s="3">
        <x:v>44293</x:v>
      </x:c>
      <x:c r="Q161" t="s">
        <x:v>73</x:v>
      </x:c>
      <x:c r="T161">
        <x:v>0</x:v>
      </x:c>
      <x:c r="U161">
        <x:v>0</x:v>
      </x:c>
      <x:c r="V161">
        <x:v>0</x:v>
      </x:c>
      <x:c r="W161">
        <x:v>0</x:v>
      </x:c>
      <x:c r="X161">
        <x:v>233.1</x:v>
      </x:c>
      <x:c r="Y161" s="31" t="n">
        <x:f>J161*N161</x:f>
        <x:v>0</x:v>
      </x:c>
      <x:c r="Z161" s="31" t="n">
        <x:f>IF(J161=0,0,IF(L161&gt;0,J161*L161,"n.a."))</x:f>
        <x:v>0</x:v>
      </x:c>
      <x:c r="AA161" s="31" t="n">
        <x:f>IF(J161=0,0,IF(ISNUMBER(Z161),Z161-Y161,"n.a."))</x:f>
        <x:v>0</x:v>
      </x:c>
      <x:c r="AB161" s="32" t="str">
        <x:f>IF(AND(J161&gt;0,L161&gt;0,N161&gt;0),L161/N161-1,"n.a.")</x:f>
        <x:v>n.a.</x:v>
      </x:c>
      <x:c r="AC161" s="18" t="str">
        <x:f>IF(AND(J161&gt;0,L161&lt;=0),"Missing replacement cost",IF(I161&gt;H161,"Usage exceeds stock",""))</x:f>
      </x:c>
    </x:row>
    <x:row r="162">
      <x:c r="A162" t="s">
        <x:v>15</x:v>
      </x:c>
      <x:c r="B162">
        <x:v>10</x:v>
      </x:c>
      <x:c r="C162" t="s">
        <x:v>64</x:v>
      </x:c>
      <x:c r="D162" t="s">
        <x:v>111</x:v>
      </x:c>
      <x:c r="E162">
        <x:v>0</x:v>
      </x:c>
      <x:c r="F162">
        <x:v>0</x:v>
      </x:c>
      <x:c r="G162" s="22" t="n">
        <x:f>SUMIFS('Receipts to be received in'!$P$2:$P$53,'Receipts to be received in'!$B$2:$B$53,B162,'Receipts to be received in'!$C$2:$C$53,D162)</x:f>
        <x:v>0</x:v>
      </x:c>
      <x:c r="H162" s="23" t="n">
        <x:f>F162+G162</x:f>
        <x:v>0</x:v>
      </x:c>
      <x:c r="I162" s="22" t="n">
        <x:f>E162*'Receipts to be received in'!$R$7*'Receipts to be received in'!$R$10</x:f>
        <x:v>0</x:v>
      </x:c>
      <x:c r="J162" s="23" t="n">
        <x:f>MAX(0,H162-I162)</x:f>
        <x:v>0</x:v>
      </x:c>
      <x:c r="K162">
        <x:v>0</x:v>
      </x:c>
      <x:c r="L162">
        <x:v>0</x:v>
      </x:c>
      <x:c r="M162" s="1">
        <x:v>44937</x:v>
      </x:c>
      <x:c r="N162">
        <x:v>14.26</x:v>
      </x:c>
      <x:c r="O162" s="3">
        <x:v>43524</x:v>
      </x:c>
      <x:c r="P162" s="3">
        <x:v>44070</x:v>
      </x:c>
      <x:c r="Q162" t="s">
        <x:v>73</x:v>
      </x:c>
      <x:c r="T162">
        <x:v>0</x:v>
      </x:c>
      <x:c r="U162">
        <x:v>0</x:v>
      </x:c>
      <x:c r="V162">
        <x:v>0</x:v>
      </x:c>
      <x:c r="W162">
        <x:v>0</x:v>
      </x:c>
      <x:c r="X162">
        <x:v>148.94999999999999</x:v>
      </x:c>
      <x:c r="Y162" s="31" t="n">
        <x:f>J162*N162</x:f>
        <x:v>0</x:v>
      </x:c>
      <x:c r="Z162" s="31" t="n">
        <x:f>IF(J162=0,0,IF(L162&gt;0,J162*L162,"n.a."))</x:f>
        <x:v>0</x:v>
      </x:c>
      <x:c r="AA162" s="31" t="n">
        <x:f>IF(J162=0,0,IF(ISNUMBER(Z162),Z162-Y162,"n.a."))</x:f>
        <x:v>0</x:v>
      </x:c>
      <x:c r="AB162" s="32" t="str">
        <x:f>IF(AND(J162&gt;0,L162&gt;0,N162&gt;0),L162/N162-1,"n.a.")</x:f>
        <x:v>n.a.</x:v>
      </x:c>
      <x:c r="AC162" s="18" t="str">
        <x:f>IF(AND(J162&gt;0,L162&lt;=0),"Missing replacement cost",IF(I162&gt;H162,"Usage exceeds stock",""))</x:f>
      </x:c>
    </x:row>
    <x:row r="163">
      <x:c r="A163" t="s">
        <x:v>15</x:v>
      </x:c>
      <x:c r="B163">
        <x:v>10</x:v>
      </x:c>
      <x:c r="C163" t="s">
        <x:v>64</x:v>
      </x:c>
      <x:c r="D163" t="s">
        <x:v>112</x:v>
      </x:c>
      <x:c r="E163">
        <x:v>0</x:v>
      </x:c>
      <x:c r="F163">
        <x:v>0</x:v>
      </x:c>
      <x:c r="G163" s="22" t="n">
        <x:f>SUMIFS('Receipts to be received in'!$P$2:$P$53,'Receipts to be received in'!$B$2:$B$53,B163,'Receipts to be received in'!$C$2:$C$53,D163)</x:f>
        <x:v>0</x:v>
      </x:c>
      <x:c r="H163" s="23" t="n">
        <x:f>F163+G163</x:f>
        <x:v>0</x:v>
      </x:c>
      <x:c r="I163" s="22" t="n">
        <x:f>E163*'Receipts to be received in'!$R$7*'Receipts to be received in'!$R$10</x:f>
        <x:v>0</x:v>
      </x:c>
      <x:c r="J163" s="23" t="n">
        <x:f>MAX(0,H163-I163)</x:f>
        <x:v>0</x:v>
      </x:c>
      <x:c r="K163">
        <x:v>0</x:v>
      </x:c>
      <x:c r="L163">
        <x:v>0</x:v>
      </x:c>
      <x:c r="M163" s="1">
        <x:v>44937</x:v>
      </x:c>
      <x:c r="N163">
        <x:v>55.08</x:v>
      </x:c>
      <x:c r="O163" s="3">
        <x:v>43524</x:v>
      </x:c>
      <x:c r="P163" s="3">
        <x:v>43984</x:v>
      </x:c>
      <x:c r="Q163" t="s">
        <x:v>73</x:v>
      </x:c>
      <x:c r="T163">
        <x:v>0</x:v>
      </x:c>
      <x:c r="U163">
        <x:v>0</x:v>
      </x:c>
      <x:c r="V163">
        <x:v>0</x:v>
      </x:c>
      <x:c r="W163">
        <x:v>0</x:v>
      </x:c>
      <x:c r="X163">
        <x:v>1430.06</x:v>
      </x:c>
      <x:c r="Y163" s="31" t="n">
        <x:f>J163*N163</x:f>
        <x:v>0</x:v>
      </x:c>
      <x:c r="Z163" s="31" t="n">
        <x:f>IF(J163=0,0,IF(L163&gt;0,J163*L163,"n.a."))</x:f>
        <x:v>0</x:v>
      </x:c>
      <x:c r="AA163" s="31" t="n">
        <x:f>IF(J163=0,0,IF(ISNUMBER(Z163),Z163-Y163,"n.a."))</x:f>
        <x:v>0</x:v>
      </x:c>
      <x:c r="AB163" s="32" t="str">
        <x:f>IF(AND(J163&gt;0,L163&gt;0,N163&gt;0),L163/N163-1,"n.a.")</x:f>
        <x:v>n.a.</x:v>
      </x:c>
      <x:c r="AC163" s="18" t="str">
        <x:f>IF(AND(J163&gt;0,L163&lt;=0),"Missing replacement cost",IF(I163&gt;H163,"Usage exceeds stock",""))</x:f>
      </x:c>
    </x:row>
    <x:row r="164">
      <x:c r="A164" t="s">
        <x:v>15</x:v>
      </x:c>
      <x:c r="B164">
        <x:v>10</x:v>
      </x:c>
      <x:c r="C164" t="s">
        <x:v>64</x:v>
      </x:c>
      <x:c r="D164" t="s">
        <x:v>113</x:v>
      </x:c>
      <x:c r="E164">
        <x:v>0</x:v>
      </x:c>
      <x:c r="F164">
        <x:v>0</x:v>
      </x:c>
      <x:c r="G164" s="22" t="n">
        <x:f>SUMIFS('Receipts to be received in'!$P$2:$P$53,'Receipts to be received in'!$B$2:$B$53,B164,'Receipts to be received in'!$C$2:$C$53,D164)</x:f>
        <x:v>0</x:v>
      </x:c>
      <x:c r="H164" s="23" t="n">
        <x:f>F164+G164</x:f>
        <x:v>0</x:v>
      </x:c>
      <x:c r="I164" s="22" t="n">
        <x:f>E164*'Receipts to be received in'!$R$7*'Receipts to be received in'!$R$10</x:f>
        <x:v>0</x:v>
      </x:c>
      <x:c r="J164" s="23" t="n">
        <x:f>MAX(0,H164-I164)</x:f>
        <x:v>0</x:v>
      </x:c>
      <x:c r="K164">
        <x:v>0</x:v>
      </x:c>
      <x:c r="L164">
        <x:v>0</x:v>
      </x:c>
      <x:c r="M164" s="1">
        <x:v>44937</x:v>
      </x:c>
      <x:c r="N164">
        <x:v>12.42</x:v>
      </x:c>
      <x:c r="O164" s="3">
        <x:v>43525</x:v>
      </x:c>
      <x:c r="P164" s="3">
        <x:v>43105</x:v>
      </x:c>
      <x:c r="Q164" t="s">
        <x:v>73</x:v>
      </x:c>
      <x:c r="T164">
        <x:v>0</x:v>
      </x:c>
      <x:c r="U164">
        <x:v>0</x:v>
      </x:c>
      <x:c r="V164">
        <x:v>0</x:v>
      </x:c>
      <x:c r="W164">
        <x:v>0</x:v>
      </x:c>
      <x:c r="X164">
        <x:v>184.5</x:v>
      </x:c>
      <x:c r="Y164" s="31" t="n">
        <x:f>J164*N164</x:f>
        <x:v>0</x:v>
      </x:c>
      <x:c r="Z164" s="31" t="n">
        <x:f>IF(J164=0,0,IF(L164&gt;0,J164*L164,"n.a."))</x:f>
        <x:v>0</x:v>
      </x:c>
      <x:c r="AA164" s="31" t="n">
        <x:f>IF(J164=0,0,IF(ISNUMBER(Z164),Z164-Y164,"n.a."))</x:f>
        <x:v>0</x:v>
      </x:c>
      <x:c r="AB164" s="32" t="str">
        <x:f>IF(AND(J164&gt;0,L164&gt;0,N164&gt;0),L164/N164-1,"n.a.")</x:f>
        <x:v>n.a.</x:v>
      </x:c>
      <x:c r="AC164" s="18" t="str">
        <x:f>IF(AND(J164&gt;0,L164&lt;=0),"Missing replacement cost",IF(I164&gt;H164,"Usage exceeds stock",""))</x:f>
      </x:c>
    </x:row>
    <x:row r="165">
      <x:c r="A165" t="s">
        <x:v>15</x:v>
      </x:c>
      <x:c r="B165">
        <x:v>10</x:v>
      </x:c>
      <x:c r="C165" t="s">
        <x:v>64</x:v>
      </x:c>
      <x:c r="D165" t="s">
        <x:v>114</x:v>
      </x:c>
      <x:c r="E165">
        <x:v>0</x:v>
      </x:c>
      <x:c r="F165">
        <x:v>0</x:v>
      </x:c>
      <x:c r="G165" s="22" t="n">
        <x:f>SUMIFS('Receipts to be received in'!$P$2:$P$53,'Receipts to be received in'!$B$2:$B$53,B165,'Receipts to be received in'!$C$2:$C$53,D165)</x:f>
        <x:v>0</x:v>
      </x:c>
      <x:c r="H165" s="23" t="n">
        <x:f>F165+G165</x:f>
        <x:v>0</x:v>
      </x:c>
      <x:c r="I165" s="22" t="n">
        <x:f>E165*'Receipts to be received in'!$R$7*'Receipts to be received in'!$R$10</x:f>
        <x:v>0</x:v>
      </x:c>
      <x:c r="J165" s="23" t="n">
        <x:f>MAX(0,H165-I165)</x:f>
        <x:v>0</x:v>
      </x:c>
      <x:c r="K165">
        <x:v>0</x:v>
      </x:c>
      <x:c r="L165">
        <x:v>0</x:v>
      </x:c>
      <x:c r="M165" s="1">
        <x:v>44937</x:v>
      </x:c>
      <x:c r="N165">
        <x:v>19.2</x:v>
      </x:c>
      <x:c r="O165" s="3">
        <x:v>43525</x:v>
      </x:c>
      <x:c r="P165" s="3">
        <x:v>43868</x:v>
      </x:c>
      <x:c r="Q165" t="s">
        <x:v>73</x:v>
      </x:c>
      <x:c r="T165">
        <x:v>0</x:v>
      </x:c>
      <x:c r="U165">
        <x:v>0</x:v>
      </x:c>
      <x:c r="V165">
        <x:v>0</x:v>
      </x:c>
      <x:c r="W165">
        <x:v>0</x:v>
      </x:c>
      <x:c r="X165">
        <x:v>365.84</x:v>
      </x:c>
      <x:c r="Y165" s="31" t="n">
        <x:f>J165*N165</x:f>
        <x:v>0</x:v>
      </x:c>
      <x:c r="Z165" s="31" t="n">
        <x:f>IF(J165=0,0,IF(L165&gt;0,J165*L165,"n.a."))</x:f>
        <x:v>0</x:v>
      </x:c>
      <x:c r="AA165" s="31" t="n">
        <x:f>IF(J165=0,0,IF(ISNUMBER(Z165),Z165-Y165,"n.a."))</x:f>
        <x:v>0</x:v>
      </x:c>
      <x:c r="AB165" s="32" t="str">
        <x:f>IF(AND(J165&gt;0,L165&gt;0,N165&gt;0),L165/N165-1,"n.a.")</x:f>
        <x:v>n.a.</x:v>
      </x:c>
      <x:c r="AC165" s="18" t="str">
        <x:f>IF(AND(J165&gt;0,L165&lt;=0),"Missing replacement cost",IF(I165&gt;H165,"Usage exceeds stock",""))</x:f>
      </x:c>
    </x:row>
    <x:row r="166">
      <x:c r="A166" t="s">
        <x:v>15</x:v>
      </x:c>
      <x:c r="B166">
        <x:v>10</x:v>
      </x:c>
      <x:c r="C166" t="s">
        <x:v>64</x:v>
      </x:c>
      <x:c r="D166" t="s">
        <x:v>115</x:v>
      </x:c>
      <x:c r="E166">
        <x:v>0</x:v>
      </x:c>
      <x:c r="F166">
        <x:v>0</x:v>
      </x:c>
      <x:c r="G166" s="22" t="n">
        <x:f>SUMIFS('Receipts to be received in'!$P$2:$P$53,'Receipts to be received in'!$B$2:$B$53,B166,'Receipts to be received in'!$C$2:$C$53,D166)</x:f>
        <x:v>0</x:v>
      </x:c>
      <x:c r="H166" s="23" t="n">
        <x:f>F166+G166</x:f>
        <x:v>0</x:v>
      </x:c>
      <x:c r="I166" s="22" t="n">
        <x:f>E166*'Receipts to be received in'!$R$7*'Receipts to be received in'!$R$10</x:f>
        <x:v>0</x:v>
      </x:c>
      <x:c r="J166" s="23" t="n">
        <x:f>MAX(0,H166-I166)</x:f>
        <x:v>0</x:v>
      </x:c>
      <x:c r="K166">
        <x:v>0</x:v>
      </x:c>
      <x:c r="L166">
        <x:v>0</x:v>
      </x:c>
      <x:c r="M166" s="1">
        <x:v>44937</x:v>
      </x:c>
      <x:c r="N166">
        <x:v>0</x:v>
      </x:c>
      <x:c r="O166" s="3">
        <x:v>45064</x:v>
      </x:c>
      <x:c r="P166" s="3">
        <x:v>44293</x:v>
      </x:c>
      <x:c r="Q166" t="s">
        <x:v>107</x:v>
      </x:c>
      <x:c r="T166">
        <x:v>0</x:v>
      </x:c>
      <x:c r="U166">
        <x:v>0</x:v>
      </x:c>
      <x:c r="V166">
        <x:v>0</x:v>
      </x:c>
      <x:c r="W166">
        <x:v>0</x:v>
      </x:c>
      <x:c r="X166">
        <x:v>0</x:v>
      </x:c>
      <x:c r="Y166" s="31" t="n">
        <x:f>J166*N166</x:f>
        <x:v>0</x:v>
      </x:c>
      <x:c r="Z166" s="31" t="n">
        <x:f>IF(J166=0,0,IF(L166&gt;0,J166*L166,"n.a."))</x:f>
        <x:v>0</x:v>
      </x:c>
      <x:c r="AA166" s="31" t="n">
        <x:f>IF(J166=0,0,IF(ISNUMBER(Z166),Z166-Y166,"n.a."))</x:f>
        <x:v>0</x:v>
      </x:c>
      <x:c r="AB166" s="32" t="str">
        <x:f>IF(AND(J166&gt;0,L166&gt;0,N166&gt;0),L166/N166-1,"n.a.")</x:f>
        <x:v>n.a.</x:v>
      </x:c>
      <x:c r="AC166" s="18" t="str">
        <x:f>IF(AND(J166&gt;0,L166&lt;=0),"Missing replacement cost",IF(I166&gt;H166,"Usage exceeds stock",""))</x:f>
      </x:c>
    </x:row>
    <x:row r="167">
      <x:c r="A167" t="s">
        <x:v>15</x:v>
      </x:c>
      <x:c r="B167">
        <x:v>10</x:v>
      </x:c>
      <x:c r="C167" t="s">
        <x:v>64</x:v>
      </x:c>
      <x:c r="D167" t="s">
        <x:v>116</x:v>
      </x:c>
      <x:c r="E167">
        <x:v>0</x:v>
      </x:c>
      <x:c r="F167">
        <x:v>0</x:v>
      </x:c>
      <x:c r="G167" s="22" t="n">
        <x:f>SUMIFS('Receipts to be received in'!$P$2:$P$53,'Receipts to be received in'!$B$2:$B$53,B167,'Receipts to be received in'!$C$2:$C$53,D167)</x:f>
        <x:v>0</x:v>
      </x:c>
      <x:c r="H167" s="23" t="n">
        <x:f>F167+G167</x:f>
        <x:v>0</x:v>
      </x:c>
      <x:c r="I167" s="22" t="n">
        <x:f>E167*'Receipts to be received in'!$R$7*'Receipts to be received in'!$R$10</x:f>
        <x:v>0</x:v>
      </x:c>
      <x:c r="J167" s="23" t="n">
        <x:f>MAX(0,H167-I167)</x:f>
        <x:v>0</x:v>
      </x:c>
      <x:c r="K167">
        <x:v>0</x:v>
      </x:c>
      <x:c r="L167">
        <x:v>0</x:v>
      </x:c>
      <x:c r="M167" s="1">
        <x:v>44937</x:v>
      </x:c>
      <x:c r="N167">
        <x:v>19.8</x:v>
      </x:c>
      <x:c r="O167" s="3">
        <x:v>43524</x:v>
      </x:c>
      <x:c r="P167" s="3">
        <x:v>42305</x:v>
      </x:c>
      <x:c r="Q167" t="s">
        <x:v>73</x:v>
      </x:c>
      <x:c r="T167">
        <x:v>0</x:v>
      </x:c>
      <x:c r="U167">
        <x:v>0</x:v>
      </x:c>
      <x:c r="V167">
        <x:v>0</x:v>
      </x:c>
      <x:c r="W167">
        <x:v>0</x:v>
      </x:c>
      <x:c r="X167">
        <x:v>204.75</x:v>
      </x:c>
      <x:c r="Y167" s="31" t="n">
        <x:f>J167*N167</x:f>
        <x:v>0</x:v>
      </x:c>
      <x:c r="Z167" s="31" t="n">
        <x:f>IF(J167=0,0,IF(L167&gt;0,J167*L167,"n.a."))</x:f>
        <x:v>0</x:v>
      </x:c>
      <x:c r="AA167" s="31" t="n">
        <x:f>IF(J167=0,0,IF(ISNUMBER(Z167),Z167-Y167,"n.a."))</x:f>
        <x:v>0</x:v>
      </x:c>
      <x:c r="AB167" s="32" t="str">
        <x:f>IF(AND(J167&gt;0,L167&gt;0,N167&gt;0),L167/N167-1,"n.a.")</x:f>
        <x:v>n.a.</x:v>
      </x:c>
      <x:c r="AC167" s="18" t="str">
        <x:f>IF(AND(J167&gt;0,L167&lt;=0),"Missing replacement cost",IF(I167&gt;H167,"Usage exceeds stock",""))</x:f>
      </x:c>
    </x:row>
    <x:row r="168">
      <x:c r="A168" t="s">
        <x:v>15</x:v>
      </x:c>
      <x:c r="B168">
        <x:v>10</x:v>
      </x:c>
      <x:c r="C168" t="s">
        <x:v>64</x:v>
      </x:c>
      <x:c r="D168" t="s">
        <x:v>117</x:v>
      </x:c>
      <x:c r="E168">
        <x:v>0</x:v>
      </x:c>
      <x:c r="F168">
        <x:v>1</x:v>
      </x:c>
      <x:c r="G168" s="22" t="n">
        <x:f>SUMIFS('Receipts to be received in'!$P$2:$P$53,'Receipts to be received in'!$B$2:$B$53,B168,'Receipts to be received in'!$C$2:$C$53,D168)</x:f>
        <x:v>0</x:v>
      </x:c>
      <x:c r="H168" s="23" t="n">
        <x:f>F168+G168</x:f>
        <x:v>1</x:v>
      </x:c>
      <x:c r="I168" s="22" t="n">
        <x:f>E168*'Receipts to be received in'!$R$7*'Receipts to be received in'!$R$10</x:f>
        <x:v>0</x:v>
      </x:c>
      <x:c r="J168" s="23" t="n">
        <x:f>MAX(0,H168-I168)</x:f>
        <x:v>1</x:v>
      </x:c>
      <x:c r="K168">
        <x:v>0</x:v>
      </x:c>
      <x:c r="L168">
        <x:v>0</x:v>
      </x:c>
      <x:c r="M168" s="1">
        <x:v>45078</x:v>
      </x:c>
      <x:c r="N168">
        <x:v>76.5</x:v>
      </x:c>
      <x:c r="O168" s="3">
        <x:v>45269</x:v>
      </x:c>
      <x:c r="P168" s="3">
        <x:v>44050</x:v>
      </x:c>
      <x:c r="Q168" t="s">
        <x:v>73</x:v>
      </x:c>
      <x:c r="T168">
        <x:v>-76.5</x:v>
      </x:c>
      <x:c r="U168">
        <x:v>0</x:v>
      </x:c>
      <x:c r="V168">
        <x:v>76.5</x:v>
      </x:c>
      <x:c r="W168">
        <x:v>0</x:v>
      </x:c>
      <x:c r="X168">
        <x:v>1509.47</x:v>
      </x:c>
      <x:c r="Y168" s="31" t="n">
        <x:f>J168*N168</x:f>
        <x:v>76.5</x:v>
      </x:c>
      <x:c r="Z168" s="31" t="str">
        <x:f>IF(J168=0,0,IF(L168&gt;0,J168*L168,"n.a."))</x:f>
        <x:v>n.a.</x:v>
      </x:c>
      <x:c r="AA168" s="31" t="str">
        <x:f>IF(J168=0,0,IF(ISNUMBER(Z168),Z168-Y168,"n.a."))</x:f>
        <x:v>n.a.</x:v>
      </x:c>
      <x:c r="AB168" s="32" t="str">
        <x:f>IF(AND(J168&gt;0,L168&gt;0,N168&gt;0),L168/N168-1,"n.a.")</x:f>
        <x:v>n.a.</x:v>
      </x:c>
      <x:c r="AC168" s="18" t="str">
        <x:f>IF(AND(J168&gt;0,L168&lt;=0),"Missing replacement cost",IF(I168&gt;H168,"Usage exceeds stock",""))</x:f>
        <x:v>Missing replacement cost</x:v>
      </x:c>
    </x:row>
    <x:row r="169">
      <x:c r="A169" t="s">
        <x:v>15</x:v>
      </x:c>
      <x:c r="B169">
        <x:v>10</x:v>
      </x:c>
      <x:c r="C169" t="s">
        <x:v>64</x:v>
      </x:c>
      <x:c r="D169" t="s">
        <x:v>118</x:v>
      </x:c>
      <x:c r="E169">
        <x:v>0</x:v>
      </x:c>
      <x:c r="F169">
        <x:v>0</x:v>
      </x:c>
      <x:c r="G169" s="22" t="n">
        <x:f>SUMIFS('Receipts to be received in'!$P$2:$P$53,'Receipts to be received in'!$B$2:$B$53,B169,'Receipts to be received in'!$C$2:$C$53,D169)</x:f>
        <x:v>0</x:v>
      </x:c>
      <x:c r="H169" s="23" t="n">
        <x:f>F169+G169</x:f>
        <x:v>0</x:v>
      </x:c>
      <x:c r="I169" s="22" t="n">
        <x:f>E169*'Receipts to be received in'!$R$7*'Receipts to be received in'!$R$10</x:f>
        <x:v>0</x:v>
      </x:c>
      <x:c r="J169" s="23" t="n">
        <x:f>MAX(0,H169-I169)</x:f>
        <x:v>0</x:v>
      </x:c>
      <x:c r="K169">
        <x:v>0</x:v>
      </x:c>
      <x:c r="L169">
        <x:v>0</x:v>
      </x:c>
      <x:c r="M169" s="1">
        <x:v>44937</x:v>
      </x:c>
      <x:c r="N169">
        <x:v>0</x:v>
      </x:c>
      <x:c r="O169" s="3">
        <x:v>45079</x:v>
      </x:c>
      <x:c r="P169" s="3">
        <x:v>45079</x:v>
      </x:c>
      <x:c r="Q169" t="s">
        <x:v>107</x:v>
      </x:c>
      <x:c r="T169">
        <x:v>0</x:v>
      </x:c>
      <x:c r="U169">
        <x:v>0</x:v>
      </x:c>
      <x:c r="V169">
        <x:v>0</x:v>
      </x:c>
      <x:c r="W169">
        <x:v>0</x:v>
      </x:c>
      <x:c r="X169">
        <x:v>1361.58</x:v>
      </x:c>
      <x:c r="Y169" s="31" t="n">
        <x:f>J169*N169</x:f>
        <x:v>0</x:v>
      </x:c>
      <x:c r="Z169" s="31" t="n">
        <x:f>IF(J169=0,0,IF(L169&gt;0,J169*L169,"n.a."))</x:f>
        <x:v>0</x:v>
      </x:c>
      <x:c r="AA169" s="31" t="n">
        <x:f>IF(J169=0,0,IF(ISNUMBER(Z169),Z169-Y169,"n.a."))</x:f>
        <x:v>0</x:v>
      </x:c>
      <x:c r="AB169" s="32" t="str">
        <x:f>IF(AND(J169&gt;0,L169&gt;0,N169&gt;0),L169/N169-1,"n.a.")</x:f>
        <x:v>n.a.</x:v>
      </x:c>
      <x:c r="AC169" s="18" t="str">
        <x:f>IF(AND(J169&gt;0,L169&lt;=0),"Missing replacement cost",IF(I169&gt;H169,"Usage exceeds stock",""))</x:f>
      </x:c>
    </x:row>
    <x:row r="170">
      <x:c r="A170" t="s">
        <x:v>15</x:v>
      </x:c>
      <x:c r="B170">
        <x:v>10</x:v>
      </x:c>
      <x:c r="C170" t="s">
        <x:v>64</x:v>
      </x:c>
      <x:c r="D170" t="s">
        <x:v>119</x:v>
      </x:c>
      <x:c r="E170">
        <x:v>0</x:v>
      </x:c>
      <x:c r="F170">
        <x:v>0</x:v>
      </x:c>
      <x:c r="G170" s="22" t="n">
        <x:f>SUMIFS('Receipts to be received in'!$P$2:$P$53,'Receipts to be received in'!$B$2:$B$53,B170,'Receipts to be received in'!$C$2:$C$53,D170)</x:f>
        <x:v>0</x:v>
      </x:c>
      <x:c r="H170" s="23" t="n">
        <x:f>F170+G170</x:f>
        <x:v>0</x:v>
      </x:c>
      <x:c r="I170" s="22" t="n">
        <x:f>E170*'Receipts to be received in'!$R$7*'Receipts to be received in'!$R$10</x:f>
        <x:v>0</x:v>
      </x:c>
      <x:c r="J170" s="23" t="n">
        <x:f>MAX(0,H170-I170)</x:f>
        <x:v>0</x:v>
      </x:c>
      <x:c r="K170">
        <x:v>0</x:v>
      </x:c>
      <x:c r="L170">
        <x:v>0</x:v>
      </x:c>
      <x:c r="M170" s="1">
        <x:v>44937</x:v>
      </x:c>
      <x:c r="N170">
        <x:v>17.25</x:v>
      </x:c>
      <x:c r="O170" s="3">
        <x:v>43525</x:v>
      </x:c>
      <x:c r="P170" s="3">
        <x:v>44070</x:v>
      </x:c>
      <x:c r="Q170" t="s">
        <x:v>73</x:v>
      </x:c>
      <x:c r="T170">
        <x:v>0</x:v>
      </x:c>
      <x:c r="U170">
        <x:v>0</x:v>
      </x:c>
      <x:c r="V170">
        <x:v>0</x:v>
      </x:c>
      <x:c r="W170">
        <x:v>0</x:v>
      </x:c>
      <x:c r="X170">
        <x:v>248.7</x:v>
      </x:c>
      <x:c r="Y170" s="31" t="n">
        <x:f>J170*N170</x:f>
        <x:v>0</x:v>
      </x:c>
      <x:c r="Z170" s="31" t="n">
        <x:f>IF(J170=0,0,IF(L170&gt;0,J170*L170,"n.a."))</x:f>
        <x:v>0</x:v>
      </x:c>
      <x:c r="AA170" s="31" t="n">
        <x:f>IF(J170=0,0,IF(ISNUMBER(Z170),Z170-Y170,"n.a."))</x:f>
        <x:v>0</x:v>
      </x:c>
      <x:c r="AB170" s="32" t="str">
        <x:f>IF(AND(J170&gt;0,L170&gt;0,N170&gt;0),L170/N170-1,"n.a.")</x:f>
        <x:v>n.a.</x:v>
      </x:c>
      <x:c r="AC170" s="18" t="str">
        <x:f>IF(AND(J170&gt;0,L170&lt;=0),"Missing replacement cost",IF(I170&gt;H170,"Usage exceeds stock",""))</x:f>
      </x:c>
    </x:row>
    <x:row r="171">
      <x:c r="A171" t="s">
        <x:v>15</x:v>
      </x:c>
      <x:c r="B171">
        <x:v>10</x:v>
      </x:c>
      <x:c r="C171" t="s">
        <x:v>64</x:v>
      </x:c>
      <x:c r="D171" t="s">
        <x:v>120</x:v>
      </x:c>
      <x:c r="E171">
        <x:v>0</x:v>
      </x:c>
      <x:c r="F171">
        <x:v>0</x:v>
      </x:c>
      <x:c r="G171" s="22" t="n">
        <x:f>SUMIFS('Receipts to be received in'!$P$2:$P$53,'Receipts to be received in'!$B$2:$B$53,B171,'Receipts to be received in'!$C$2:$C$53,D171)</x:f>
        <x:v>0</x:v>
      </x:c>
      <x:c r="H171" s="23" t="n">
        <x:f>F171+G171</x:f>
        <x:v>0</x:v>
      </x:c>
      <x:c r="I171" s="22" t="n">
        <x:f>E171*'Receipts to be received in'!$R$7*'Receipts to be received in'!$R$10</x:f>
        <x:v>0</x:v>
      </x:c>
      <x:c r="J171" s="23" t="n">
        <x:f>MAX(0,H171-I171)</x:f>
        <x:v>0</x:v>
      </x:c>
      <x:c r="K171">
        <x:v>0</x:v>
      </x:c>
      <x:c r="L171">
        <x:v>0</x:v>
      </x:c>
      <x:c r="M171" s="1">
        <x:v>44937</x:v>
      </x:c>
      <x:c r="N171">
        <x:v>25.79</x:v>
      </x:c>
      <x:c r="O171" s="3">
        <x:v>43524</x:v>
      </x:c>
      <x:c r="P171" s="3">
        <x:v>44070</x:v>
      </x:c>
      <x:c r="Q171" t="s">
        <x:v>73</x:v>
      </x:c>
      <x:c r="T171">
        <x:v>0</x:v>
      </x:c>
      <x:c r="U171">
        <x:v>0</x:v>
      </x:c>
      <x:c r="V171">
        <x:v>0</x:v>
      </x:c>
      <x:c r="W171">
        <x:v>0</x:v>
      </x:c>
      <x:c r="X171">
        <x:v>347.25</x:v>
      </x:c>
      <x:c r="Y171" s="31" t="n">
        <x:f>J171*N171</x:f>
        <x:v>0</x:v>
      </x:c>
      <x:c r="Z171" s="31" t="n">
        <x:f>IF(J171=0,0,IF(L171&gt;0,J171*L171,"n.a."))</x:f>
        <x:v>0</x:v>
      </x:c>
      <x:c r="AA171" s="31" t="n">
        <x:f>IF(J171=0,0,IF(ISNUMBER(Z171),Z171-Y171,"n.a."))</x:f>
        <x:v>0</x:v>
      </x:c>
      <x:c r="AB171" s="32" t="str">
        <x:f>IF(AND(J171&gt;0,L171&gt;0,N171&gt;0),L171/N171-1,"n.a.")</x:f>
        <x:v>n.a.</x:v>
      </x:c>
      <x:c r="AC171" s="18" t="str">
        <x:f>IF(AND(J171&gt;0,L171&lt;=0),"Missing replacement cost",IF(I171&gt;H171,"Usage exceeds stock",""))</x:f>
      </x:c>
    </x:row>
    <x:row r="172">
      <x:c r="A172" t="s">
        <x:v>15</x:v>
      </x:c>
      <x:c r="B172">
        <x:v>10</x:v>
      </x:c>
      <x:c r="C172" t="s">
        <x:v>64</x:v>
      </x:c>
      <x:c r="D172" t="s">
        <x:v>121</x:v>
      </x:c>
      <x:c r="E172">
        <x:v>0</x:v>
      </x:c>
      <x:c r="F172">
        <x:v>0</x:v>
      </x:c>
      <x:c r="G172" s="22" t="n">
        <x:f>SUMIFS('Receipts to be received in'!$P$2:$P$53,'Receipts to be received in'!$B$2:$B$53,B172,'Receipts to be received in'!$C$2:$C$53,D172)</x:f>
        <x:v>0</x:v>
      </x:c>
      <x:c r="H172" s="23" t="n">
        <x:f>F172+G172</x:f>
        <x:v>0</x:v>
      </x:c>
      <x:c r="I172" s="22" t="n">
        <x:f>E172*'Receipts to be received in'!$R$7*'Receipts to be received in'!$R$10</x:f>
        <x:v>0</x:v>
      </x:c>
      <x:c r="J172" s="23" t="n">
        <x:f>MAX(0,H172-I172)</x:f>
        <x:v>0</x:v>
      </x:c>
      <x:c r="K172">
        <x:v>0</x:v>
      </x:c>
      <x:c r="L172">
        <x:v>0</x:v>
      </x:c>
      <x:c r="M172" s="1">
        <x:v>44937</x:v>
      </x:c>
      <x:c r="N172">
        <x:v>21.38</x:v>
      </x:c>
      <x:c r="O172" s="3">
        <x:v>43524</x:v>
      </x:c>
      <x:c r="P172" s="3">
        <x:v>44277</x:v>
      </x:c>
      <x:c r="Q172" t="s">
        <x:v>73</x:v>
      </x:c>
      <x:c r="T172">
        <x:v>0</x:v>
      </x:c>
      <x:c r="U172">
        <x:v>0</x:v>
      </x:c>
      <x:c r="V172">
        <x:v>0</x:v>
      </x:c>
      <x:c r="W172">
        <x:v>0</x:v>
      </x:c>
      <x:c r="X172">
        <x:v>221.4</x:v>
      </x:c>
      <x:c r="Y172" s="31" t="n">
        <x:f>J172*N172</x:f>
        <x:v>0</x:v>
      </x:c>
      <x:c r="Z172" s="31" t="n">
        <x:f>IF(J172=0,0,IF(L172&gt;0,J172*L172,"n.a."))</x:f>
        <x:v>0</x:v>
      </x:c>
      <x:c r="AA172" s="31" t="n">
        <x:f>IF(J172=0,0,IF(ISNUMBER(Z172),Z172-Y172,"n.a."))</x:f>
        <x:v>0</x:v>
      </x:c>
      <x:c r="AB172" s="32" t="str">
        <x:f>IF(AND(J172&gt;0,L172&gt;0,N172&gt;0),L172/N172-1,"n.a.")</x:f>
        <x:v>n.a.</x:v>
      </x:c>
      <x:c r="AC172" s="18" t="str">
        <x:f>IF(AND(J172&gt;0,L172&lt;=0),"Missing replacement cost",IF(I172&gt;H172,"Usage exceeds stock",""))</x:f>
      </x:c>
    </x:row>
    <x:row r="173">
      <x:c r="A173" t="s">
        <x:v>15</x:v>
      </x:c>
      <x:c r="B173">
        <x:v>10</x:v>
      </x:c>
      <x:c r="C173" t="s">
        <x:v>64</x:v>
      </x:c>
      <x:c r="D173" t="s">
        <x:v>122</x:v>
      </x:c>
      <x:c r="E173">
        <x:v>0</x:v>
      </x:c>
      <x:c r="F173">
        <x:v>0</x:v>
      </x:c>
      <x:c r="G173" s="22" t="n">
        <x:f>SUMIFS('Receipts to be received in'!$P$2:$P$53,'Receipts to be received in'!$B$2:$B$53,B173,'Receipts to be received in'!$C$2:$C$53,D173)</x:f>
        <x:v>0</x:v>
      </x:c>
      <x:c r="H173" s="23" t="n">
        <x:f>F173+G173</x:f>
        <x:v>0</x:v>
      </x:c>
      <x:c r="I173" s="22" t="n">
        <x:f>E173*'Receipts to be received in'!$R$7*'Receipts to be received in'!$R$10</x:f>
        <x:v>0</x:v>
      </x:c>
      <x:c r="J173" s="23" t="n">
        <x:f>MAX(0,H173-I173)</x:f>
        <x:v>0</x:v>
      </x:c>
      <x:c r="K173">
        <x:v>0</x:v>
      </x:c>
      <x:c r="L173">
        <x:v>0</x:v>
      </x:c>
      <x:c r="M173" s="1">
        <x:v>44937</x:v>
      </x:c>
      <x:c r="N173">
        <x:v>18.63</x:v>
      </x:c>
      <x:c r="O173" s="3">
        <x:v>43525</x:v>
      </x:c>
      <x:c r="P173" s="3">
        <x:v>44070</x:v>
      </x:c>
      <x:c r="Q173" t="s">
        <x:v>73</x:v>
      </x:c>
      <x:c r="T173">
        <x:v>0</x:v>
      </x:c>
      <x:c r="U173">
        <x:v>0</x:v>
      </x:c>
      <x:c r="V173">
        <x:v>0</x:v>
      </x:c>
      <x:c r="W173">
        <x:v>0</x:v>
      </x:c>
      <x:c r="X173">
        <x:v>270.14999999999998</x:v>
      </x:c>
      <x:c r="Y173" s="31" t="n">
        <x:f>J173*N173</x:f>
        <x:v>0</x:v>
      </x:c>
      <x:c r="Z173" s="31" t="n">
        <x:f>IF(J173=0,0,IF(L173&gt;0,J173*L173,"n.a."))</x:f>
        <x:v>0</x:v>
      </x:c>
      <x:c r="AA173" s="31" t="n">
        <x:f>IF(J173=0,0,IF(ISNUMBER(Z173),Z173-Y173,"n.a."))</x:f>
        <x:v>0</x:v>
      </x:c>
      <x:c r="AB173" s="32" t="str">
        <x:f>IF(AND(J173&gt;0,L173&gt;0,N173&gt;0),L173/N173-1,"n.a.")</x:f>
        <x:v>n.a.</x:v>
      </x:c>
      <x:c r="AC173" s="18" t="str">
        <x:f>IF(AND(J173&gt;0,L173&lt;=0),"Missing replacement cost",IF(I173&gt;H173,"Usage exceeds stock",""))</x:f>
      </x:c>
    </x:row>
    <x:row r="174">
      <x:c r="A174" t="s">
        <x:v>15</x:v>
      </x:c>
      <x:c r="B174">
        <x:v>10</x:v>
      </x:c>
      <x:c r="C174" t="s">
        <x:v>64</x:v>
      </x:c>
      <x:c r="D174" t="s">
        <x:v>123</x:v>
      </x:c>
      <x:c r="E174">
        <x:v>0</x:v>
      </x:c>
      <x:c r="F174">
        <x:v>34</x:v>
      </x:c>
      <x:c r="G174" s="22" t="n">
        <x:f>SUMIFS('Receipts to be received in'!$P$2:$P$53,'Receipts to be received in'!$B$2:$B$53,B174,'Receipts to be received in'!$C$2:$C$53,D174)</x:f>
        <x:v>0</x:v>
      </x:c>
      <x:c r="H174" s="23" t="n">
        <x:f>F174+G174</x:f>
        <x:v>34</x:v>
      </x:c>
      <x:c r="I174" s="22" t="n">
        <x:f>E174*'Receipts to be received in'!$R$7*'Receipts to be received in'!$R$10</x:f>
        <x:v>0</x:v>
      </x:c>
      <x:c r="J174" s="23" t="n">
        <x:f>MAX(0,H174-I174)</x:f>
        <x:v>34</x:v>
      </x:c>
      <x:c r="K174">
        <x:v>0</x:v>
      </x:c>
      <x:c r="L174">
        <x:v>39.99</x:v>
      </x:c>
      <x:c r="M174" s="1">
        <x:v>46134</x:v>
      </x:c>
      <x:c r="N174">
        <x:v>33.28</x:v>
      </x:c>
      <x:c r="O174" s="3">
        <x:v>46027</x:v>
      </x:c>
      <x:c r="P174" s="3">
        <x:v>45278</x:v>
      </x:c>
      <x:c r="Q174" s="2">
        <x:v>-0.1678</x:v>
      </x:c>
      <x:c r="T174">
        <x:v>228.14</x:v>
      </x:c>
      <x:c r="U174">
        <x:v>0</x:v>
      </x:c>
      <x:c r="V174">
        <x:v>1131.52</x:v>
      </x:c>
      <x:c r="W174">
        <x:v>1359.66</x:v>
      </x:c>
      <x:c r="X174">
        <x:v>1067.9100000000001</x:v>
      </x:c>
      <x:c r="Y174" s="31" t="n">
        <x:f>J174*N174</x:f>
        <x:v>1131.52</x:v>
      </x:c>
      <x:c r="Z174" s="31" t="n">
        <x:f>IF(J174=0,0,IF(L174&gt;0,J174*L174,"n.a."))</x:f>
        <x:v>1359.66</x:v>
      </x:c>
      <x:c r="AA174" s="31" t="n">
        <x:f>IF(J174=0,0,IF(ISNUMBER(Z174),Z174-Y174,"n.a."))</x:f>
        <x:v>228.1400000000001</x:v>
      </x:c>
      <x:c r="AB174" s="32" t="n">
        <x:f>IF(AND(J174&gt;0,L174&gt;0,N174&gt;0),L174/N174-1,"n.a.")</x:f>
        <x:v>0.20162259615384626</x:v>
      </x:c>
      <x:c r="AC174" s="18" t="str">
        <x:f>IF(AND(J174&gt;0,L174&lt;=0),"Missing replacement cost",IF(I174&gt;H174,"Usage exceeds stock",""))</x:f>
      </x:c>
    </x:row>
    <x:row r="175">
      <x:c r="A175" t="s">
        <x:v>15</x:v>
      </x:c>
      <x:c r="B175">
        <x:v>10</x:v>
      </x:c>
      <x:c r="C175" t="s">
        <x:v>64</x:v>
      </x:c>
      <x:c r="D175" t="s">
        <x:v>124</x:v>
      </x:c>
      <x:c r="E175">
        <x:v>0</x:v>
      </x:c>
      <x:c r="F175">
        <x:v>9</x:v>
      </x:c>
      <x:c r="G175" s="22" t="n">
        <x:f>SUMIFS('Receipts to be received in'!$P$2:$P$53,'Receipts to be received in'!$B$2:$B$53,B175,'Receipts to be received in'!$C$2:$C$53,D175)</x:f>
        <x:v>0</x:v>
      </x:c>
      <x:c r="H175" s="23" t="n">
        <x:f>F175+G175</x:f>
        <x:v>9</x:v>
      </x:c>
      <x:c r="I175" s="22" t="n">
        <x:f>E175*'Receipts to be received in'!$R$7*'Receipts to be received in'!$R$10</x:f>
        <x:v>0</x:v>
      </x:c>
      <x:c r="J175" s="23" t="n">
        <x:f>MAX(0,H175-I175)</x:f>
        <x:v>9</x:v>
      </x:c>
      <x:c r="K175">
        <x:v>1</x:v>
      </x:c>
      <x:c r="L175">
        <x:v>0</x:v>
      </x:c>
      <x:c r="M175" s="1">
        <x:v>44216</x:v>
      </x:c>
      <x:c r="N175">
        <x:v>0</x:v>
      </x:c>
      <x:c r="O175" s="3">
        <x:v>44216</x:v>
      </x:c>
      <x:c r="P175" s="3">
        <x:v>45957</x:v>
      </x:c>
      <x:c r="Q175" t="s">
        <x:v>107</x:v>
      </x:c>
      <x:c r="T175">
        <x:v>0</x:v>
      </x:c>
      <x:c r="U175">
        <x:v>0</x:v>
      </x:c>
      <x:c r="V175">
        <x:v>0</x:v>
      </x:c>
      <x:c r="W175">
        <x:v>0</x:v>
      </x:c>
      <x:c r="X175">
        <x:v>0</x:v>
      </x:c>
      <x:c r="Y175" s="31" t="n">
        <x:f>J175*N175</x:f>
        <x:v>0</x:v>
      </x:c>
      <x:c r="Z175" s="31" t="str">
        <x:f>IF(J175=0,0,IF(L175&gt;0,J175*L175,"n.a."))</x:f>
        <x:v>n.a.</x:v>
      </x:c>
      <x:c r="AA175" s="31" t="str">
        <x:f>IF(J175=0,0,IF(ISNUMBER(Z175),Z175-Y175,"n.a."))</x:f>
        <x:v>n.a.</x:v>
      </x:c>
      <x:c r="AB175" s="32" t="str">
        <x:f>IF(AND(J175&gt;0,L175&gt;0,N175&gt;0),L175/N175-1,"n.a.")</x:f>
        <x:v>n.a.</x:v>
      </x:c>
      <x:c r="AC175" s="18" t="str">
        <x:f>IF(AND(J175&gt;0,L175&lt;=0),"Missing replacement cost",IF(I175&gt;H175,"Usage exceeds stock",""))</x:f>
        <x:v>Missing replacement cost</x:v>
      </x:c>
    </x:row>
    <x:row r="176">
      <x:c r="A176" t="s">
        <x:v>15</x:v>
      </x:c>
      <x:c r="B176">
        <x:v>10</x:v>
      </x:c>
      <x:c r="C176" t="s">
        <x:v>64</x:v>
      </x:c>
      <x:c r="D176" t="s">
        <x:v>125</x:v>
      </x:c>
      <x:c r="E176">
        <x:v>0</x:v>
      </x:c>
      <x:c r="F176">
        <x:v>0</x:v>
      </x:c>
      <x:c r="G176" s="22" t="n">
        <x:f>SUMIFS('Receipts to be received in'!$P$2:$P$53,'Receipts to be received in'!$B$2:$B$53,B176,'Receipts to be received in'!$C$2:$C$53,D176)</x:f>
        <x:v>0</x:v>
      </x:c>
      <x:c r="H176" s="23" t="n">
        <x:f>F176+G176</x:f>
        <x:v>0</x:v>
      </x:c>
      <x:c r="I176" s="22" t="n">
        <x:f>E176*'Receipts to be received in'!$R$7*'Receipts to be received in'!$R$10</x:f>
        <x:v>0</x:v>
      </x:c>
      <x:c r="J176" s="23" t="n">
        <x:f>MAX(0,H176-I176)</x:f>
        <x:v>0</x:v>
      </x:c>
      <x:c r="K176">
        <x:v>0</x:v>
      </x:c>
      <x:c r="L176">
        <x:v>0</x:v>
      </x:c>
      <x:c r="M176" s="1">
        <x:v>44937</x:v>
      </x:c>
      <x:c r="N176">
        <x:v>0</x:v>
      </x:c>
      <x:c r="O176" s="3">
        <x:v>45064</x:v>
      </x:c>
      <x:c r="P176" s="3">
        <x:v>44293</x:v>
      </x:c>
      <x:c r="Q176" t="s">
        <x:v>107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31" t="n">
        <x:f>J176*N176</x:f>
        <x:v>0</x:v>
      </x:c>
      <x:c r="Z176" s="31" t="n">
        <x:f>IF(J176=0,0,IF(L176&gt;0,J176*L176,"n.a."))</x:f>
        <x:v>0</x:v>
      </x:c>
      <x:c r="AA176" s="31" t="n">
        <x:f>IF(J176=0,0,IF(ISNUMBER(Z176),Z176-Y176,"n.a."))</x:f>
        <x:v>0</x:v>
      </x:c>
      <x:c r="AB176" s="32" t="str">
        <x:f>IF(AND(J176&gt;0,L176&gt;0,N176&gt;0),L176/N176-1,"n.a.")</x:f>
        <x:v>n.a.</x:v>
      </x:c>
      <x:c r="AC176" s="18" t="str">
        <x:f>IF(AND(J176&gt;0,L176&lt;=0),"Missing replacement cost",IF(I176&gt;H176,"Usage exceeds stock",""))</x:f>
      </x:c>
    </x:row>
    <x:row r="177">
      <x:c r="A177" t="s">
        <x:v>15</x:v>
      </x:c>
      <x:c r="B177">
        <x:v>10</x:v>
      </x:c>
      <x:c r="C177" t="s">
        <x:v>64</x:v>
      </x:c>
      <x:c r="D177" t="s">
        <x:v>126</x:v>
      </x:c>
      <x:c r="E177">
        <x:v>0</x:v>
      </x:c>
      <x:c r="F177">
        <x:v>0</x:v>
      </x:c>
      <x:c r="G177" s="22" t="n">
        <x:f>SUMIFS('Receipts to be received in'!$P$2:$P$53,'Receipts to be received in'!$B$2:$B$53,B177,'Receipts to be received in'!$C$2:$C$53,D177)</x:f>
        <x:v>0</x:v>
      </x:c>
      <x:c r="H177" s="23" t="n">
        <x:f>F177+G177</x:f>
        <x:v>0</x:v>
      </x:c>
      <x:c r="I177" s="22" t="n">
        <x:f>E177*'Receipts to be received in'!$R$7*'Receipts to be received in'!$R$10</x:f>
        <x:v>0</x:v>
      </x:c>
      <x:c r="J177" s="23" t="n">
        <x:f>MAX(0,H177-I177)</x:f>
        <x:v>0</x:v>
      </x:c>
      <x:c r="K177">
        <x:v>0</x:v>
      </x:c>
      <x:c r="L177">
        <x:v>0</x:v>
      </x:c>
      <x:c r="M177" s="1">
        <x:v>44937</x:v>
      </x:c>
      <x:c r="N177">
        <x:v>52.99</x:v>
      </x:c>
      <x:c r="O177" s="3">
        <x:v>44459</x:v>
      </x:c>
      <x:c r="P177" s="3">
        <x:v>44293</x:v>
      </x:c>
      <x:c r="Q177" t="s">
        <x:v>73</x:v>
      </x:c>
      <x:c r="T177">
        <x:v>0</x:v>
      </x:c>
      <x:c r="U177">
        <x:v>0</x:v>
      </x:c>
      <x:c r="V177">
        <x:v>0</x:v>
      </x:c>
      <x:c r="W177">
        <x:v>0</x:v>
      </x:c>
      <x:c r="X177">
        <x:v>661.95</x:v>
      </x:c>
      <x:c r="Y177" s="31" t="n">
        <x:f>J177*N177</x:f>
        <x:v>0</x:v>
      </x:c>
      <x:c r="Z177" s="31" t="n">
        <x:f>IF(J177=0,0,IF(L177&gt;0,J177*L177,"n.a."))</x:f>
        <x:v>0</x:v>
      </x:c>
      <x:c r="AA177" s="31" t="n">
        <x:f>IF(J177=0,0,IF(ISNUMBER(Z177),Z177-Y177,"n.a."))</x:f>
        <x:v>0</x:v>
      </x:c>
      <x:c r="AB177" s="32" t="str">
        <x:f>IF(AND(J177&gt;0,L177&gt;0,N177&gt;0),L177/N177-1,"n.a.")</x:f>
        <x:v>n.a.</x:v>
      </x:c>
      <x:c r="AC177" s="18" t="str">
        <x:f>IF(AND(J177&gt;0,L177&lt;=0),"Missing replacement cost",IF(I177&gt;H177,"Usage exceeds stock",""))</x:f>
      </x:c>
    </x:row>
    <x:row r="178">
      <x:c r="A178" t="s">
        <x:v>15</x:v>
      </x:c>
      <x:c r="B178">
        <x:v>10</x:v>
      </x:c>
      <x:c r="C178" t="s">
        <x:v>64</x:v>
      </x:c>
      <x:c r="D178" t="s">
        <x:v>127</x:v>
      </x:c>
      <x:c r="E178">
        <x:v>0</x:v>
      </x:c>
      <x:c r="F178">
        <x:v>0</x:v>
      </x:c>
      <x:c r="G178" s="22" t="n">
        <x:f>SUMIFS('Receipts to be received in'!$P$2:$P$53,'Receipts to be received in'!$B$2:$B$53,B178,'Receipts to be received in'!$C$2:$C$53,D178)</x:f>
        <x:v>0</x:v>
      </x:c>
      <x:c r="H178" s="23" t="n">
        <x:f>F178+G178</x:f>
        <x:v>0</x:v>
      </x:c>
      <x:c r="I178" s="22" t="n">
        <x:f>E178*'Receipts to be received in'!$R$7*'Receipts to be received in'!$R$10</x:f>
        <x:v>0</x:v>
      </x:c>
      <x:c r="J178" s="23" t="n">
        <x:f>MAX(0,H178-I178)</x:f>
        <x:v>0</x:v>
      </x:c>
      <x:c r="K178">
        <x:v>0</x:v>
      </x:c>
      <x:c r="L178">
        <x:v>0</x:v>
      </x:c>
      <x:c r="M178" s="1">
        <x:v>44937</x:v>
      </x:c>
      <x:c r="N178">
        <x:v>8.86</x:v>
      </x:c>
      <x:c r="O178" s="3">
        <x:v>43524</x:v>
      </x:c>
      <x:c r="P178" s="3">
        <x:v>44293</x:v>
      </x:c>
      <x:c r="Q178" t="s">
        <x:v>73</x:v>
      </x:c>
      <x:c r="T178">
        <x:v>0</x:v>
      </x:c>
      <x:c r="U178">
        <x:v>0</x:v>
      </x:c>
      <x:c r="V178">
        <x:v>0</x:v>
      </x:c>
      <x:c r="W178">
        <x:v>0</x:v>
      </x:c>
      <x:c r="X178">
        <x:v>109.46</x:v>
      </x:c>
      <x:c r="Y178" s="31" t="n">
        <x:f>J178*N178</x:f>
        <x:v>0</x:v>
      </x:c>
      <x:c r="Z178" s="31" t="n">
        <x:f>IF(J178=0,0,IF(L178&gt;0,J178*L178,"n.a."))</x:f>
        <x:v>0</x:v>
      </x:c>
      <x:c r="AA178" s="31" t="n">
        <x:f>IF(J178=0,0,IF(ISNUMBER(Z178),Z178-Y178,"n.a."))</x:f>
        <x:v>0</x:v>
      </x:c>
      <x:c r="AB178" s="32" t="str">
        <x:f>IF(AND(J178&gt;0,L178&gt;0,N178&gt;0),L178/N178-1,"n.a.")</x:f>
        <x:v>n.a.</x:v>
      </x:c>
      <x:c r="AC178" s="18" t="str">
        <x:f>IF(AND(J178&gt;0,L178&lt;=0),"Missing replacement cost",IF(I178&gt;H178,"Usage exceeds stock",""))</x:f>
      </x:c>
    </x:row>
    <x:row r="179">
      <x:c r="A179" t="s">
        <x:v>15</x:v>
      </x:c>
      <x:c r="B179">
        <x:v>10</x:v>
      </x:c>
      <x:c r="C179" t="s">
        <x:v>64</x:v>
      </x:c>
      <x:c r="D179" t="s">
        <x:v>128</x:v>
      </x:c>
      <x:c r="E179">
        <x:v>0</x:v>
      </x:c>
      <x:c r="F179">
        <x:v>0</x:v>
      </x:c>
      <x:c r="G179" s="22" t="n">
        <x:f>SUMIFS('Receipts to be received in'!$P$2:$P$53,'Receipts to be received in'!$B$2:$B$53,B179,'Receipts to be received in'!$C$2:$C$53,D179)</x:f>
        <x:v>0</x:v>
      </x:c>
      <x:c r="H179" s="23" t="n">
        <x:f>F179+G179</x:f>
        <x:v>0</x:v>
      </x:c>
      <x:c r="I179" s="22" t="n">
        <x:f>E179*'Receipts to be received in'!$R$7*'Receipts to be received in'!$R$10</x:f>
        <x:v>0</x:v>
      </x:c>
      <x:c r="J179" s="23" t="n">
        <x:f>MAX(0,H179-I179)</x:f>
        <x:v>0</x:v>
      </x:c>
      <x:c r="K179">
        <x:v>0</x:v>
      </x:c>
      <x:c r="L179">
        <x:v>0</x:v>
      </x:c>
      <x:c r="M179" s="1">
        <x:v>45078</x:v>
      </x:c>
      <x:c r="N179">
        <x:v>5.93</x:v>
      </x:c>
      <x:c r="O179" s="3">
        <x:v>45269</x:v>
      </x:c>
      <x:c r="P179" s="3">
        <x:v>43928</x:v>
      </x:c>
      <x:c r="Q179" t="s">
        <x:v>73</x:v>
      </x:c>
      <x:c r="T179">
        <x:v>0</x:v>
      </x:c>
      <x:c r="U179">
        <x:v>0</x:v>
      </x:c>
      <x:c r="V179">
        <x:v>0</x:v>
      </x:c>
      <x:c r="W179">
        <x:v>0</x:v>
      </x:c>
      <x:c r="X179">
        <x:v>76.66</x:v>
      </x:c>
      <x:c r="Y179" s="31" t="n">
        <x:f>J179*N179</x:f>
        <x:v>0</x:v>
      </x:c>
      <x:c r="Z179" s="31" t="n">
        <x:f>IF(J179=0,0,IF(L179&gt;0,J179*L179,"n.a."))</x:f>
        <x:v>0</x:v>
      </x:c>
      <x:c r="AA179" s="31" t="n">
        <x:f>IF(J179=0,0,IF(ISNUMBER(Z179),Z179-Y179,"n.a."))</x:f>
        <x:v>0</x:v>
      </x:c>
      <x:c r="AB179" s="32" t="str">
        <x:f>IF(AND(J179&gt;0,L179&gt;0,N179&gt;0),L179/N179-1,"n.a.")</x:f>
        <x:v>n.a.</x:v>
      </x:c>
      <x:c r="AC179" s="18" t="str">
        <x:f>IF(AND(J179&gt;0,L179&lt;=0),"Missing replacement cost",IF(I179&gt;H179,"Usage exceeds stock",""))</x:f>
      </x:c>
    </x:row>
    <x:row r="180">
      <x:c r="A180" t="s">
        <x:v>15</x:v>
      </x:c>
      <x:c r="B180">
        <x:v>10</x:v>
      </x:c>
      <x:c r="C180" t="s">
        <x:v>64</x:v>
      </x:c>
      <x:c r="D180" t="s">
        <x:v>129</x:v>
      </x:c>
      <x:c r="E180">
        <x:v>0</x:v>
      </x:c>
      <x:c r="F180">
        <x:v>0</x:v>
      </x:c>
      <x:c r="G180" s="22" t="n">
        <x:f>SUMIFS('Receipts to be received in'!$P$2:$P$53,'Receipts to be received in'!$B$2:$B$53,B180,'Receipts to be received in'!$C$2:$C$53,D180)</x:f>
        <x:v>0</x:v>
      </x:c>
      <x:c r="H180" s="23" t="n">
        <x:f>F180+G180</x:f>
        <x:v>0</x:v>
      </x:c>
      <x:c r="I180" s="22" t="n">
        <x:f>E180*'Receipts to be received in'!$R$7*'Receipts to be received in'!$R$10</x:f>
        <x:v>0</x:v>
      </x:c>
      <x:c r="J180" s="23" t="n">
        <x:f>MAX(0,H180-I180)</x:f>
        <x:v>0</x:v>
      </x:c>
      <x:c r="K180">
        <x:v>0</x:v>
      </x:c>
      <x:c r="L180">
        <x:v>0</x:v>
      </x:c>
      <x:c r="M180" s="1">
        <x:v>44937</x:v>
      </x:c>
      <x:c r="N180">
        <x:v>72.14</x:v>
      </x:c>
      <x:c r="O180" s="3">
        <x:v>44330</x:v>
      </x:c>
      <x:c r="P180" s="3">
        <x:v>44435</x:v>
      </x:c>
      <x:c r="Q180" t="s">
        <x:v>73</x:v>
      </x:c>
      <x:c r="T180">
        <x:v>0</x:v>
      </x:c>
      <x:c r="U180">
        <x:v>0</x:v>
      </x:c>
      <x:c r="V180">
        <x:v>0</x:v>
      </x:c>
      <x:c r="W180">
        <x:v>0</x:v>
      </x:c>
      <x:c r="X180">
        <x:v>902.11</x:v>
      </x:c>
      <x:c r="Y180" s="31" t="n">
        <x:f>J180*N180</x:f>
        <x:v>0</x:v>
      </x:c>
      <x:c r="Z180" s="31" t="n">
        <x:f>IF(J180=0,0,IF(L180&gt;0,J180*L180,"n.a."))</x:f>
        <x:v>0</x:v>
      </x:c>
      <x:c r="AA180" s="31" t="n">
        <x:f>IF(J180=0,0,IF(ISNUMBER(Z180),Z180-Y180,"n.a."))</x:f>
        <x:v>0</x:v>
      </x:c>
      <x:c r="AB180" s="32" t="str">
        <x:f>IF(AND(J180&gt;0,L180&gt;0,N180&gt;0),L180/N180-1,"n.a.")</x:f>
        <x:v>n.a.</x:v>
      </x:c>
      <x:c r="AC180" s="18" t="str">
        <x:f>IF(AND(J180&gt;0,L180&lt;=0),"Missing replacement cost",IF(I180&gt;H180,"Usage exceeds stock",""))</x:f>
      </x:c>
    </x:row>
    <x:row r="181">
      <x:c r="A181" t="s">
        <x:v>15</x:v>
      </x:c>
      <x:c r="B181">
        <x:v>10</x:v>
      </x:c>
      <x:c r="C181" t="s">
        <x:v>64</x:v>
      </x:c>
      <x:c r="D181" t="s">
        <x:v>130</x:v>
      </x:c>
      <x:c r="E181">
        <x:v>0</x:v>
      </x:c>
      <x:c r="F181">
        <x:v>0</x:v>
      </x:c>
      <x:c r="G181" s="22" t="n">
        <x:f>SUMIFS('Receipts to be received in'!$P$2:$P$53,'Receipts to be received in'!$B$2:$B$53,B181,'Receipts to be received in'!$C$2:$C$53,D181)</x:f>
        <x:v>0</x:v>
      </x:c>
      <x:c r="H181" s="23" t="n">
        <x:f>F181+G181</x:f>
        <x:v>0</x:v>
      </x:c>
      <x:c r="I181" s="22" t="n">
        <x:f>E181*'Receipts to be received in'!$R$7*'Receipts to be received in'!$R$10</x:f>
        <x:v>0</x:v>
      </x:c>
      <x:c r="J181" s="23" t="n">
        <x:f>MAX(0,H181-I181)</x:f>
        <x:v>0</x:v>
      </x:c>
      <x:c r="K181">
        <x:v>0</x:v>
      </x:c>
      <x:c r="L181">
        <x:v>0</x:v>
      </x:c>
      <x:c r="M181" s="1">
        <x:v>44937</x:v>
      </x:c>
      <x:c r="N181">
        <x:v>0</x:v>
      </x:c>
      <x:c r="O181" s="3">
        <x:v>45210</x:v>
      </x:c>
      <x:c r="P181" s="3">
        <x:v>44277</x:v>
      </x:c>
      <x:c r="Q181" t="s">
        <x:v>107</x:v>
      </x:c>
      <x:c r="T181">
        <x:v>0</x:v>
      </x:c>
      <x:c r="U181">
        <x:v>0</x:v>
      </x:c>
      <x:c r="V181">
        <x:v>0</x:v>
      </x:c>
      <x:c r="W181">
        <x:v>0</x:v>
      </x:c>
      <x:c r="X181">
        <x:v>163.88</x:v>
      </x:c>
      <x:c r="Y181" s="31" t="n">
        <x:f>J181*N181</x:f>
        <x:v>0</x:v>
      </x:c>
      <x:c r="Z181" s="31" t="n">
        <x:f>IF(J181=0,0,IF(L181&gt;0,J181*L181,"n.a."))</x:f>
        <x:v>0</x:v>
      </x:c>
      <x:c r="AA181" s="31" t="n">
        <x:f>IF(J181=0,0,IF(ISNUMBER(Z181),Z181-Y181,"n.a."))</x:f>
        <x:v>0</x:v>
      </x:c>
      <x:c r="AB181" s="32" t="str">
        <x:f>IF(AND(J181&gt;0,L181&gt;0,N181&gt;0),L181/N181-1,"n.a.")</x:f>
        <x:v>n.a.</x:v>
      </x:c>
      <x:c r="AC181" s="18" t="str">
        <x:f>IF(AND(J181&gt;0,L181&lt;=0),"Missing replacement cost",IF(I181&gt;H181,"Usage exceeds stock",""))</x:f>
      </x:c>
    </x:row>
    <x:row r="182">
      <x:c r="A182" t="s">
        <x:v>15</x:v>
      </x:c>
      <x:c r="B182">
        <x:v>10</x:v>
      </x:c>
      <x:c r="C182" t="s">
        <x:v>64</x:v>
      </x:c>
      <x:c r="D182" t="s">
        <x:v>131</x:v>
      </x:c>
      <x:c r="E182">
        <x:v>0</x:v>
      </x:c>
      <x:c r="F182">
        <x:v>0</x:v>
      </x:c>
      <x:c r="G182" s="22" t="n">
        <x:f>SUMIFS('Receipts to be received in'!$P$2:$P$53,'Receipts to be received in'!$B$2:$B$53,B182,'Receipts to be received in'!$C$2:$C$53,D182)</x:f>
        <x:v>0</x:v>
      </x:c>
      <x:c r="H182" s="23" t="n">
        <x:f>F182+G182</x:f>
        <x:v>0</x:v>
      </x:c>
      <x:c r="I182" s="22" t="n">
        <x:f>E182*'Receipts to be received in'!$R$7*'Receipts to be received in'!$R$10</x:f>
        <x:v>0</x:v>
      </x:c>
      <x:c r="J182" s="23" t="n">
        <x:f>MAX(0,H182-I182)</x:f>
        <x:v>0</x:v>
      </x:c>
      <x:c r="K182">
        <x:v>0</x:v>
      </x:c>
      <x:c r="L182">
        <x:v>0</x:v>
      </x:c>
      <x:c r="M182" s="1">
        <x:v>44937</x:v>
      </x:c>
      <x:c r="N182">
        <x:v>0</x:v>
      </x:c>
      <x:c r="O182" s="3">
        <x:v>45064</x:v>
      </x:c>
      <x:c r="P182" s="3">
        <x:v>44435</x:v>
      </x:c>
      <x:c r="Q182" t="s">
        <x:v>107</x:v>
      </x:c>
      <x:c r="T182">
        <x:v>0</x:v>
      </x:c>
      <x:c r="U182">
        <x:v>0</x:v>
      </x:c>
      <x:c r="V182">
        <x:v>0</x:v>
      </x:c>
      <x:c r="W182">
        <x:v>0</x:v>
      </x:c>
      <x:c r="X182">
        <x:v>0</x:v>
      </x:c>
      <x:c r="Y182" s="31" t="n">
        <x:f>J182*N182</x:f>
        <x:v>0</x:v>
      </x:c>
      <x:c r="Z182" s="31" t="n">
        <x:f>IF(J182=0,0,IF(L182&gt;0,J182*L182,"n.a."))</x:f>
        <x:v>0</x:v>
      </x:c>
      <x:c r="AA182" s="31" t="n">
        <x:f>IF(J182=0,0,IF(ISNUMBER(Z182),Z182-Y182,"n.a."))</x:f>
        <x:v>0</x:v>
      </x:c>
      <x:c r="AB182" s="32" t="str">
        <x:f>IF(AND(J182&gt;0,L182&gt;0,N182&gt;0),L182/N182-1,"n.a.")</x:f>
        <x:v>n.a.</x:v>
      </x:c>
      <x:c r="AC182" s="18" t="str">
        <x:f>IF(AND(J182&gt;0,L182&lt;=0),"Missing replacement cost",IF(I182&gt;H182,"Usage exceeds stock",""))</x:f>
      </x:c>
    </x:row>
    <x:row r="183">
      <x:c r="A183" t="s">
        <x:v>15</x:v>
      </x:c>
      <x:c r="B183">
        <x:v>10</x:v>
      </x:c>
      <x:c r="C183" t="s">
        <x:v>64</x:v>
      </x:c>
      <x:c r="D183" t="s">
        <x:v>132</x:v>
      </x:c>
      <x:c r="E183">
        <x:v>0</x:v>
      </x:c>
      <x:c r="F183">
        <x:v>0</x:v>
      </x:c>
      <x:c r="G183" s="22" t="n">
        <x:f>SUMIFS('Receipts to be received in'!$P$2:$P$53,'Receipts to be received in'!$B$2:$B$53,B183,'Receipts to be received in'!$C$2:$C$53,D183)</x:f>
        <x:v>0</x:v>
      </x:c>
      <x:c r="H183" s="23" t="n">
        <x:f>F183+G183</x:f>
        <x:v>0</x:v>
      </x:c>
      <x:c r="I183" s="22" t="n">
        <x:f>E183*'Receipts to be received in'!$R$7*'Receipts to be received in'!$R$10</x:f>
        <x:v>0</x:v>
      </x:c>
      <x:c r="J183" s="23" t="n">
        <x:f>MAX(0,H183-I183)</x:f>
        <x:v>0</x:v>
      </x:c>
      <x:c r="K183">
        <x:v>0</x:v>
      </x:c>
      <x:c r="L183">
        <x:v>0</x:v>
      </x:c>
      <x:c r="M183" s="1">
        <x:v>44937</x:v>
      </x:c>
      <x:c r="N183">
        <x:v>18.45</x:v>
      </x:c>
      <x:c r="O183" s="3">
        <x:v>43524</x:v>
      </x:c>
      <x:c r="P183" s="3">
        <x:v>43012</x:v>
      </x:c>
      <x:c r="Q183" t="s">
        <x:v>73</x:v>
      </x:c>
      <x:c r="T183">
        <x:v>0</x:v>
      </x:c>
      <x:c r="U183">
        <x:v>0</x:v>
      </x:c>
      <x:c r="V183">
        <x:v>0</x:v>
      </x:c>
      <x:c r="W183">
        <x:v>0</x:v>
      </x:c>
      <x:c r="X183">
        <x:v>225.26</x:v>
      </x:c>
      <x:c r="Y183" s="31" t="n">
        <x:f>J183*N183</x:f>
        <x:v>0</x:v>
      </x:c>
      <x:c r="Z183" s="31" t="n">
        <x:f>IF(J183=0,0,IF(L183&gt;0,J183*L183,"n.a."))</x:f>
        <x:v>0</x:v>
      </x:c>
      <x:c r="AA183" s="31" t="n">
        <x:f>IF(J183=0,0,IF(ISNUMBER(Z183),Z183-Y183,"n.a."))</x:f>
        <x:v>0</x:v>
      </x:c>
      <x:c r="AB183" s="32" t="str">
        <x:f>IF(AND(J183&gt;0,L183&gt;0,N183&gt;0),L183/N183-1,"n.a.")</x:f>
        <x:v>n.a.</x:v>
      </x:c>
      <x:c r="AC183" s="18" t="str">
        <x:f>IF(AND(J183&gt;0,L183&lt;=0),"Missing replacement cost",IF(I183&gt;H183,"Usage exceeds stock",""))</x:f>
      </x:c>
    </x:row>
    <x:row r="184">
      <x:c r="A184" t="s">
        <x:v>15</x:v>
      </x:c>
      <x:c r="B184">
        <x:v>10</x:v>
      </x:c>
      <x:c r="C184" t="s">
        <x:v>64</x:v>
      </x:c>
      <x:c r="D184" t="s">
        <x:v>133</x:v>
      </x:c>
      <x:c r="E184">
        <x:v>0</x:v>
      </x:c>
      <x:c r="F184">
        <x:v>0</x:v>
      </x:c>
      <x:c r="G184" s="22" t="n">
        <x:f>SUMIFS('Receipts to be received in'!$P$2:$P$53,'Receipts to be received in'!$B$2:$B$53,B184,'Receipts to be received in'!$C$2:$C$53,D184)</x:f>
        <x:v>0</x:v>
      </x:c>
      <x:c r="H184" s="23" t="n">
        <x:f>F184+G184</x:f>
        <x:v>0</x:v>
      </x:c>
      <x:c r="I184" s="22" t="n">
        <x:f>E184*'Receipts to be received in'!$R$7*'Receipts to be received in'!$R$10</x:f>
        <x:v>0</x:v>
      </x:c>
      <x:c r="J184" s="23" t="n">
        <x:f>MAX(0,H184-I184)</x:f>
        <x:v>0</x:v>
      </x:c>
      <x:c r="K184">
        <x:v>0</x:v>
      </x:c>
      <x:c r="L184">
        <x:v>0</x:v>
      </x:c>
      <x:c r="M184" s="1">
        <x:v>44937</x:v>
      </x:c>
      <x:c r="N184">
        <x:v>19.93</x:v>
      </x:c>
      <x:c r="O184" s="3">
        <x:v>43524</x:v>
      </x:c>
      <x:c r="P184" s="3">
        <x:v>44293</x:v>
      </x:c>
      <x:c r="Q184" t="s">
        <x:v>73</x:v>
      </x:c>
      <x:c r="T184">
        <x:v>0</x:v>
      </x:c>
      <x:c r="U184">
        <x:v>0</x:v>
      </x:c>
      <x:c r="V184">
        <x:v>0</x:v>
      </x:c>
      <x:c r="W184">
        <x:v>0</x:v>
      </x:c>
      <x:c r="X184">
        <x:v>233.81</x:v>
      </x:c>
      <x:c r="Y184" s="31" t="n">
        <x:f>J184*N184</x:f>
        <x:v>0</x:v>
      </x:c>
      <x:c r="Z184" s="31" t="n">
        <x:f>IF(J184=0,0,IF(L184&gt;0,J184*L184,"n.a."))</x:f>
        <x:v>0</x:v>
      </x:c>
      <x:c r="AA184" s="31" t="n">
        <x:f>IF(J184=0,0,IF(ISNUMBER(Z184),Z184-Y184,"n.a."))</x:f>
        <x:v>0</x:v>
      </x:c>
      <x:c r="AB184" s="32" t="str">
        <x:f>IF(AND(J184&gt;0,L184&gt;0,N184&gt;0),L184/N184-1,"n.a.")</x:f>
        <x:v>n.a.</x:v>
      </x:c>
      <x:c r="AC184" s="18" t="str">
        <x:f>IF(AND(J184&gt;0,L184&lt;=0),"Missing replacement cost",IF(I184&gt;H184,"Usage exceeds stock",""))</x:f>
      </x:c>
    </x:row>
    <x:row r="185">
      <x:c r="A185" t="s">
        <x:v>15</x:v>
      </x:c>
      <x:c r="B185">
        <x:v>10</x:v>
      </x:c>
      <x:c r="C185" t="s">
        <x:v>64</x:v>
      </x:c>
      <x:c r="D185" t="s">
        <x:v>134</x:v>
      </x:c>
      <x:c r="E185">
        <x:v>0</x:v>
      </x:c>
      <x:c r="F185">
        <x:v>0</x:v>
      </x:c>
      <x:c r="G185" s="22" t="n">
        <x:f>SUMIFS('Receipts to be received in'!$P$2:$P$53,'Receipts to be received in'!$B$2:$B$53,B185,'Receipts to be received in'!$C$2:$C$53,D185)</x:f>
        <x:v>0</x:v>
      </x:c>
      <x:c r="H185" s="23" t="n">
        <x:f>F185+G185</x:f>
        <x:v>0</x:v>
      </x:c>
      <x:c r="I185" s="22" t="n">
        <x:f>E185*'Receipts to be received in'!$R$7*'Receipts to be received in'!$R$10</x:f>
        <x:v>0</x:v>
      </x:c>
      <x:c r="J185" s="23" t="n">
        <x:f>MAX(0,H185-I185)</x:f>
        <x:v>0</x:v>
      </x:c>
      <x:c r="K185">
        <x:v>0</x:v>
      </x:c>
      <x:c r="L185">
        <x:v>0</x:v>
      </x:c>
      <x:c r="M185" s="1">
        <x:v>45078</x:v>
      </x:c>
      <x:c r="N185">
        <x:v>10.039999999999999</x:v>
      </x:c>
      <x:c r="O185" s="3">
        <x:v>45269</x:v>
      </x:c>
      <x:c r="P185" s="3">
        <x:v>43606</x:v>
      </x:c>
      <x:c r="Q185" t="s">
        <x:v>73</x:v>
      </x:c>
      <x:c r="T185">
        <x:v>0</x:v>
      </x:c>
      <x:c r="U185">
        <x:v>0</x:v>
      </x:c>
      <x:c r="V185">
        <x:v>0</x:v>
      </x:c>
      <x:c r="W185">
        <x:v>0</x:v>
      </x:c>
      <x:c r="X185">
        <x:v>183.66</x:v>
      </x:c>
      <x:c r="Y185" s="31" t="n">
        <x:f>J185*N185</x:f>
        <x:v>0</x:v>
      </x:c>
      <x:c r="Z185" s="31" t="n">
        <x:f>IF(J185=0,0,IF(L185&gt;0,J185*L185,"n.a."))</x:f>
        <x:v>0</x:v>
      </x:c>
      <x:c r="AA185" s="31" t="n">
        <x:f>IF(J185=0,0,IF(ISNUMBER(Z185),Z185-Y185,"n.a."))</x:f>
        <x:v>0</x:v>
      </x:c>
      <x:c r="AB185" s="32" t="str">
        <x:f>IF(AND(J185&gt;0,L185&gt;0,N185&gt;0),L185/N185-1,"n.a.")</x:f>
        <x:v>n.a.</x:v>
      </x:c>
      <x:c r="AC185" s="18" t="str">
        <x:f>IF(AND(J185&gt;0,L185&lt;=0),"Missing replacement cost",IF(I185&gt;H185,"Usage exceeds stock",""))</x:f>
      </x:c>
    </x:row>
    <x:row r="186">
      <x:c r="A186" t="s">
        <x:v>15</x:v>
      </x:c>
      <x:c r="B186">
        <x:v>10</x:v>
      </x:c>
      <x:c r="C186" t="s">
        <x:v>64</x:v>
      </x:c>
      <x:c r="D186" t="s">
        <x:v>135</x:v>
      </x:c>
      <x:c r="E186">
        <x:v>0</x:v>
      </x:c>
      <x:c r="F186">
        <x:v>35</x:v>
      </x:c>
      <x:c r="G186" s="22" t="n">
        <x:f>SUMIFS('Receipts to be received in'!$P$2:$P$53,'Receipts to be received in'!$B$2:$B$53,B186,'Receipts to be received in'!$C$2:$C$53,D186)</x:f>
        <x:v>0</x:v>
      </x:c>
      <x:c r="H186" s="23" t="n">
        <x:f>F186+G186</x:f>
        <x:v>35</x:v>
      </x:c>
      <x:c r="I186" s="22" t="n">
        <x:f>E186*'Receipts to be received in'!$R$7*'Receipts to be received in'!$R$10</x:f>
        <x:v>0</x:v>
      </x:c>
      <x:c r="J186" s="23" t="n">
        <x:f>MAX(0,H186-I186)</x:f>
        <x:v>35</x:v>
      </x:c>
      <x:c r="K186">
        <x:v>0</x:v>
      </x:c>
      <x:c r="L186">
        <x:v>114.91</x:v>
      </x:c>
      <x:c r="M186" s="1">
        <x:v>46133</x:v>
      </x:c>
      <x:c r="N186">
        <x:v>95.76</x:v>
      </x:c>
      <x:c r="O186" s="3">
        <x:v>46027</x:v>
      </x:c>
      <x:c r="P186" s="3">
        <x:v>45278</x:v>
      </x:c>
      <x:c r="Q186" s="2">
        <x:v>-0.16669999999999999</x:v>
      </x:c>
      <x:c r="T186">
        <x:v>670.24999999999898</x:v>
      </x:c>
      <x:c r="U186">
        <x:v>0</x:v>
      </x:c>
      <x:c r="V186">
        <x:v>3351.6</x:v>
      </x:c>
      <x:c r="W186">
        <x:v>4021.85</x:v>
      </x:c>
      <x:c r="X186">
        <x:v>2099.91</x:v>
      </x:c>
      <x:c r="Y186" s="31" t="n">
        <x:f>J186*N186</x:f>
        <x:v>3351.6000000000004</x:v>
      </x:c>
      <x:c r="Z186" s="31" t="n">
        <x:f>IF(J186=0,0,IF(L186&gt;0,J186*L186,"n.a."))</x:f>
        <x:v>4021.85</x:v>
      </x:c>
      <x:c r="AA186" s="31" t="n">
        <x:f>IF(J186=0,0,IF(ISNUMBER(Z186),Z186-Y186,"n.a."))</x:f>
        <x:v>670.2499999999995</x:v>
      </x:c>
      <x:c r="AB186" s="32" t="n">
        <x:f>IF(AND(J186&gt;0,L186&gt;0,N186&gt;0),L186/N186-1,"n.a.")</x:f>
        <x:v>0.19997911445279848</x:v>
      </x:c>
      <x:c r="AC186" s="18" t="str">
        <x:f>IF(AND(J186&gt;0,L186&lt;=0),"Missing replacement cost",IF(I186&gt;H186,"Usage exceeds stock",""))</x:f>
      </x:c>
    </x:row>
    <x:row r="187">
      <x:c r="A187" t="s">
        <x:v>15</x:v>
      </x:c>
      <x:c r="B187">
        <x:v>10</x:v>
      </x:c>
      <x:c r="C187" t="s">
        <x:v>64</x:v>
      </x:c>
      <x:c r="D187" t="s">
        <x:v>136</x:v>
      </x:c>
      <x:c r="E187">
        <x:v>0</x:v>
      </x:c>
      <x:c r="F187">
        <x:v>33</x:v>
      </x:c>
      <x:c r="G187" s="22" t="n">
        <x:f>SUMIFS('Receipts to be received in'!$P$2:$P$53,'Receipts to be received in'!$B$2:$B$53,B187,'Receipts to be received in'!$C$2:$C$53,D187)</x:f>
        <x:v>0</x:v>
      </x:c>
      <x:c r="H187" s="23" t="n">
        <x:f>F187+G187</x:f>
        <x:v>33</x:v>
      </x:c>
      <x:c r="I187" s="22" t="n">
        <x:f>E187*'Receipts to be received in'!$R$7*'Receipts to be received in'!$R$10</x:f>
        <x:v>0</x:v>
      </x:c>
      <x:c r="J187" s="23" t="n">
        <x:f>MAX(0,H187-I187)</x:f>
        <x:v>33</x:v>
      </x:c>
      <x:c r="K187">
        <x:v>0</x:v>
      </x:c>
      <x:c r="L187">
        <x:v>104.23</x:v>
      </x:c>
      <x:c r="M187" s="1">
        <x:v>46134</x:v>
      </x:c>
      <x:c r="N187">
        <x:v>86.58</x:v>
      </x:c>
      <x:c r="O187" s="3">
        <x:v>46027</x:v>
      </x:c>
      <x:c r="P187" s="3">
        <x:v>46070</x:v>
      </x:c>
      <x:c r="Q187" s="2">
        <x:v>-0.16930000000000001</x:v>
      </x:c>
      <x:c r="T187">
        <x:v>582.45000000000005</x:v>
      </x:c>
      <x:c r="U187">
        <x:v>0</x:v>
      </x:c>
      <x:c r="V187">
        <x:v>2857.14</x:v>
      </x:c>
      <x:c r="W187">
        <x:v>3439.59</x:v>
      </x:c>
      <x:c r="X187">
        <x:v>1764.84</x:v>
      </x:c>
      <x:c r="Y187" s="31" t="n">
        <x:f>J187*N187</x:f>
        <x:v>2857.14</x:v>
      </x:c>
      <x:c r="Z187" s="31" t="n">
        <x:f>IF(J187=0,0,IF(L187&gt;0,J187*L187,"n.a."))</x:f>
        <x:v>3439.59</x:v>
      </x:c>
      <x:c r="AA187" s="31" t="n">
        <x:f>IF(J187=0,0,IF(ISNUMBER(Z187),Z187-Y187,"n.a."))</x:f>
        <x:v>582.4500000000003</x:v>
      </x:c>
      <x:c r="AB187" s="32" t="n">
        <x:f>IF(AND(J187&gt;0,L187&gt;0,N187&gt;0),L187/N187-1,"n.a.")</x:f>
        <x:v>0.20385770385770385</x:v>
      </x:c>
      <x:c r="AC187" s="18" t="str">
        <x:f>IF(AND(J187&gt;0,L187&lt;=0),"Missing replacement cost",IF(I187&gt;H187,"Usage exceeds stock",""))</x:f>
      </x:c>
    </x:row>
    <x:row r="188">
      <x:c r="A188" t="s">
        <x:v>15</x:v>
      </x:c>
      <x:c r="B188">
        <x:v>10</x:v>
      </x:c>
      <x:c r="C188" t="s">
        <x:v>64</x:v>
      </x:c>
      <x:c r="D188" t="s">
        <x:v>137</x:v>
      </x:c>
      <x:c r="E188">
        <x:v>0</x:v>
      </x:c>
      <x:c r="F188">
        <x:v>36</x:v>
      </x:c>
      <x:c r="G188" s="22" t="n">
        <x:f>SUMIFS('Receipts to be received in'!$P$2:$P$53,'Receipts to be received in'!$B$2:$B$53,B188,'Receipts to be received in'!$C$2:$C$53,D188)</x:f>
        <x:v>0</x:v>
      </x:c>
      <x:c r="H188" s="23" t="n">
        <x:f>F188+G188</x:f>
        <x:v>36</x:v>
      </x:c>
      <x:c r="I188" s="22" t="n">
        <x:f>E188*'Receipts to be received in'!$R$7*'Receipts to be received in'!$R$10</x:f>
        <x:v>0</x:v>
      </x:c>
      <x:c r="J188" s="23" t="n">
        <x:f>MAX(0,H188-I188)</x:f>
        <x:v>36</x:v>
      </x:c>
      <x:c r="K188">
        <x:v>0</x:v>
      </x:c>
      <x:c r="L188">
        <x:v>130.03</x:v>
      </x:c>
      <x:c r="M188" s="1">
        <x:v>46133</x:v>
      </x:c>
      <x:c r="N188">
        <x:v>108.36</x:v>
      </x:c>
      <x:c r="O188" s="3">
        <x:v>46027</x:v>
      </x:c>
      <x:c r="P188" s="3">
        <x:v>45378</x:v>
      </x:c>
      <x:c r="Q188" s="2">
        <x:v>-0.16669999999999999</x:v>
      </x:c>
      <x:c r="T188">
        <x:v>780.12</x:v>
      </x:c>
      <x:c r="U188">
        <x:v>0</x:v>
      </x:c>
      <x:c r="V188">
        <x:v>3900.96</x:v>
      </x:c>
      <x:c r="W188">
        <x:v>4681.08</x:v>
      </x:c>
      <x:c r="X188">
        <x:v>2376.12</x:v>
      </x:c>
      <x:c r="Y188" s="31" t="n">
        <x:f>J188*N188</x:f>
        <x:v>3900.96</x:v>
      </x:c>
      <x:c r="Z188" s="31" t="n">
        <x:f>IF(J188=0,0,IF(L188&gt;0,J188*L188,"n.a."))</x:f>
        <x:v>4681.08</x:v>
      </x:c>
      <x:c r="AA188" s="31" t="n">
        <x:f>IF(J188=0,0,IF(ISNUMBER(Z188),Z188-Y188,"n.a."))</x:f>
        <x:v>780.1199999999999</x:v>
      </x:c>
      <x:c r="AB188" s="32" t="n">
        <x:f>IF(AND(J188&gt;0,L188&gt;0,N188&gt;0),L188/N188-1,"n.a.")</x:f>
        <x:v>0.19998154300479887</x:v>
      </x:c>
      <x:c r="AC188" s="18" t="str">
        <x:f>IF(AND(J188&gt;0,L188&lt;=0),"Missing replacement cost",IF(I188&gt;H188,"Usage exceeds stock",""))</x:f>
      </x:c>
    </x:row>
    <x:row r="189">
      <x:c r="A189" t="s">
        <x:v>15</x:v>
      </x:c>
      <x:c r="B189">
        <x:v>10</x:v>
      </x:c>
      <x:c r="C189" t="s">
        <x:v>84</x:v>
      </x:c>
      <x:c r="D189" t="s">
        <x:v>138</x:v>
      </x:c>
      <x:c r="E189">
        <x:v>0</x:v>
      </x:c>
      <x:c r="F189">
        <x:v>0</x:v>
      </x:c>
      <x:c r="G189" s="22" t="n">
        <x:f>SUMIFS('Receipts to be received in'!$P$2:$P$53,'Receipts to be received in'!$B$2:$B$53,B189,'Receipts to be received in'!$C$2:$C$53,D189)</x:f>
        <x:v>0</x:v>
      </x:c>
      <x:c r="H189" s="23" t="n">
        <x:f>F189+G189</x:f>
        <x:v>0</x:v>
      </x:c>
      <x:c r="I189" s="22" t="n">
        <x:f>E189*'Receipts to be received in'!$R$7*'Receipts to be received in'!$R$10</x:f>
        <x:v>0</x:v>
      </x:c>
      <x:c r="J189" s="23" t="n">
        <x:f>MAX(0,H189-I189)</x:f>
        <x:v>0</x:v>
      </x:c>
      <x:c r="K189">
        <x:v>0</x:v>
      </x:c>
      <x:c r="L189">
        <x:v>67.03</x:v>
      </x:c>
      <x:c r="M189" s="1">
        <x:v>45006</x:v>
      </x:c>
      <x:c r="N189">
        <x:v>40</x:v>
      </x:c>
      <x:c r="O189" s="3">
        <x:v>44235</x:v>
      </x:c>
      <x:c r="P189" s="3">
        <x:v>41250</x:v>
      </x:c>
      <x:c r="Q189" s="2">
        <x:v>-0.40329999999999999</x:v>
      </x:c>
      <x:c r="T189">
        <x:v>0</x:v>
      </x:c>
      <x:c r="U189">
        <x:v>0</x:v>
      </x:c>
      <x:c r="V189">
        <x:v>0</x:v>
      </x:c>
      <x:c r="W189">
        <x:v>0</x:v>
      </x:c>
      <x:c r="X189">
        <x:v>153.26</x:v>
      </x:c>
      <x:c r="Y189" s="31" t="n">
        <x:f>J189*N189</x:f>
        <x:v>0</x:v>
      </x:c>
      <x:c r="Z189" s="31" t="n">
        <x:f>IF(J189=0,0,IF(L189&gt;0,J189*L189,"n.a."))</x:f>
        <x:v>0</x:v>
      </x:c>
      <x:c r="AA189" s="31" t="n">
        <x:f>IF(J189=0,0,IF(ISNUMBER(Z189),Z189-Y189,"n.a."))</x:f>
        <x:v>0</x:v>
      </x:c>
      <x:c r="AB189" s="32" t="str">
        <x:f>IF(AND(J189&gt;0,L189&gt;0,N189&gt;0),L189/N189-1,"n.a.")</x:f>
        <x:v>n.a.</x:v>
      </x:c>
      <x:c r="AC189" s="18" t="str">
        <x:f>IF(AND(J189&gt;0,L189&lt;=0),"Missing replacement cost",IF(I189&gt;H189,"Usage exceeds stock",""))</x:f>
      </x:c>
    </x:row>
    <x:row r="190">
      <x:c r="A190" t="s">
        <x:v>15</x:v>
      </x:c>
      <x:c r="B190">
        <x:v>10</x:v>
      </x:c>
      <x:c r="C190" t="s">
        <x:v>84</x:v>
      </x:c>
      <x:c r="D190" t="s">
        <x:v>139</x:v>
      </x:c>
      <x:c r="E190">
        <x:v>0</x:v>
      </x:c>
      <x:c r="F190">
        <x:v>0</x:v>
      </x:c>
      <x:c r="G190" s="22" t="n">
        <x:f>SUMIFS('Receipts to be received in'!$P$2:$P$53,'Receipts to be received in'!$B$2:$B$53,B190,'Receipts to be received in'!$C$2:$C$53,D190)</x:f>
        <x:v>0</x:v>
      </x:c>
      <x:c r="H190" s="23" t="n">
        <x:f>F190+G190</x:f>
        <x:v>0</x:v>
      </x:c>
      <x:c r="I190" s="22" t="n">
        <x:f>E190*'Receipts to be received in'!$R$7*'Receipts to be received in'!$R$10</x:f>
        <x:v>0</x:v>
      </x:c>
      <x:c r="J190" s="23" t="n">
        <x:f>MAX(0,H190-I190)</x:f>
        <x:v>0</x:v>
      </x:c>
      <x:c r="K190">
        <x:v>0</x:v>
      </x:c>
      <x:c r="L190">
        <x:v>67.03</x:v>
      </x:c>
      <x:c r="M190" s="1">
        <x:v>45006</x:v>
      </x:c>
      <x:c r="N190">
        <x:v>40</x:v>
      </x:c>
      <x:c r="O190" s="3">
        <x:v>44235</x:v>
      </x:c>
      <x:c r="P190" s="3">
        <x:v>41250</x:v>
      </x:c>
      <x:c r="Q190" s="2">
        <x:v>-0.40329999999999999</x:v>
      </x:c>
      <x:c r="T190">
        <x:v>0</x:v>
      </x:c>
      <x:c r="U190">
        <x:v>0</x:v>
      </x:c>
      <x:c r="V190">
        <x:v>0</x:v>
      </x:c>
      <x:c r="W190">
        <x:v>0</x:v>
      </x:c>
      <x:c r="X190">
        <x:v>153.26</x:v>
      </x:c>
      <x:c r="Y190" s="31" t="n">
        <x:f>J190*N190</x:f>
        <x:v>0</x:v>
      </x:c>
      <x:c r="Z190" s="31" t="n">
        <x:f>IF(J190=0,0,IF(L190&gt;0,J190*L190,"n.a."))</x:f>
        <x:v>0</x:v>
      </x:c>
      <x:c r="AA190" s="31" t="n">
        <x:f>IF(J190=0,0,IF(ISNUMBER(Z190),Z190-Y190,"n.a."))</x:f>
        <x:v>0</x:v>
      </x:c>
      <x:c r="AB190" s="32" t="str">
        <x:f>IF(AND(J190&gt;0,L190&gt;0,N190&gt;0),L190/N190-1,"n.a.")</x:f>
        <x:v>n.a.</x:v>
      </x:c>
      <x:c r="AC190" s="18" t="str">
        <x:f>IF(AND(J190&gt;0,L190&lt;=0),"Missing replacement cost",IF(I190&gt;H190,"Usage exceeds stock",""))</x:f>
      </x:c>
    </x:row>
    <x:row r="191">
      <x:c r="A191" t="s">
        <x:v>15</x:v>
      </x:c>
      <x:c r="B191">
        <x:v>10</x:v>
      </x:c>
      <x:c r="C191" t="s">
        <x:v>84</x:v>
      </x:c>
      <x:c r="D191" t="s">
        <x:v>140</x:v>
      </x:c>
      <x:c r="E191">
        <x:v>0</x:v>
      </x:c>
      <x:c r="F191">
        <x:v>0</x:v>
      </x:c>
      <x:c r="G191" s="22" t="n">
        <x:f>SUMIFS('Receipts to be received in'!$P$2:$P$53,'Receipts to be received in'!$B$2:$B$53,B191,'Receipts to be received in'!$C$2:$C$53,D191)</x:f>
        <x:v>0</x:v>
      </x:c>
      <x:c r="H191" s="23" t="n">
        <x:f>F191+G191</x:f>
        <x:v>0</x:v>
      </x:c>
      <x:c r="I191" s="22" t="n">
        <x:f>E191*'Receipts to be received in'!$R$7*'Receipts to be received in'!$R$10</x:f>
        <x:v>0</x:v>
      </x:c>
      <x:c r="J191" s="23" t="n">
        <x:f>MAX(0,H191-I191)</x:f>
        <x:v>0</x:v>
      </x:c>
      <x:c r="K191">
        <x:v>0</x:v>
      </x:c>
      <x:c r="L191">
        <x:v>0</x:v>
      </x:c>
      <x:c r="M191" s="1">
        <x:v>45087</x:v>
      </x:c>
      <x:c r="N191">
        <x:v>39.299999999999997</x:v>
      </x:c>
      <x:c r="O191" s="3">
        <x:v>45087</x:v>
      </x:c>
      <x:c r="Q191" t="s">
        <x:v>73</x:v>
      </x:c>
      <x:c r="T191">
        <x:v>0</x:v>
      </x:c>
      <x:c r="U191">
        <x:v>0</x:v>
      </x:c>
      <x:c r="V191">
        <x:v>0</x:v>
      </x:c>
      <x:c r="W191">
        <x:v>0</x:v>
      </x:c>
      <x:c r="X191">
        <x:v>580.03</x:v>
      </x:c>
      <x:c r="Y191" s="31" t="n">
        <x:f>J191*N191</x:f>
        <x:v>0</x:v>
      </x:c>
      <x:c r="Z191" s="31" t="n">
        <x:f>IF(J191=0,0,IF(L191&gt;0,J191*L191,"n.a."))</x:f>
        <x:v>0</x:v>
      </x:c>
      <x:c r="AA191" s="31" t="n">
        <x:f>IF(J191=0,0,IF(ISNUMBER(Z191),Z191-Y191,"n.a."))</x:f>
        <x:v>0</x:v>
      </x:c>
      <x:c r="AB191" s="32" t="str">
        <x:f>IF(AND(J191&gt;0,L191&gt;0,N191&gt;0),L191/N191-1,"n.a.")</x:f>
        <x:v>n.a.</x:v>
      </x:c>
      <x:c r="AC191" s="18" t="str">
        <x:f>IF(AND(J191&gt;0,L191&lt;=0),"Missing replacement cost",IF(I191&gt;H191,"Usage exceeds stock",""))</x:f>
      </x:c>
    </x:row>
    <x:row r="192">
      <x:c r="A192" t="s">
        <x:v>15</x:v>
      </x:c>
      <x:c r="B192">
        <x:v>30</x:v>
      </x:c>
      <x:c r="C192" t="s">
        <x:v>64</x:v>
      </x:c>
      <x:c r="D192" t="s">
        <x:v>104</x:v>
      </x:c>
      <x:c r="E192">
        <x:v>0</x:v>
      </x:c>
      <x:c r="F192">
        <x:v>0</x:v>
      </x:c>
      <x:c r="G192" s="22" t="n">
        <x:f>SUMIFS('Receipts to be received in'!$P$2:$P$53,'Receipts to be received in'!$B$2:$B$53,B192,'Receipts to be received in'!$C$2:$C$53,D192)</x:f>
        <x:v>0</x:v>
      </x:c>
      <x:c r="H192" s="23" t="n">
        <x:f>F192+G192</x:f>
        <x:v>0</x:v>
      </x:c>
      <x:c r="I192" s="22" t="n">
        <x:f>E192*'Receipts to be received in'!$R$7*'Receipts to be received in'!$R$10</x:f>
        <x:v>0</x:v>
      </x:c>
      <x:c r="J192" s="23" t="n">
        <x:f>MAX(0,H192-I192)</x:f>
        <x:v>0</x:v>
      </x:c>
      <x:c r="K192">
        <x:v>0</x:v>
      </x:c>
      <x:c r="L192">
        <x:v>0</x:v>
      </x:c>
      <x:c r="M192" s="1">
        <x:v>44937</x:v>
      </x:c>
      <x:c r="N192">
        <x:v>11.46</x:v>
      </x:c>
      <x:c r="O192" s="3">
        <x:v>43524</x:v>
      </x:c>
      <x:c r="P192" s="3">
        <x:v>41799</x:v>
      </x:c>
      <x:c r="Q192" t="s">
        <x:v>73</x:v>
      </x:c>
      <x:c r="T192">
        <x:v>0</x:v>
      </x:c>
      <x:c r="U192">
        <x:v>0</x:v>
      </x:c>
      <x:c r="V192">
        <x:v>0</x:v>
      </x:c>
      <x:c r="W192">
        <x:v>0</x:v>
      </x:c>
      <x:c r="X192">
        <x:v>155.25</x:v>
      </x:c>
      <x:c r="Y192" s="31" t="n">
        <x:f>J192*N192</x:f>
        <x:v>0</x:v>
      </x:c>
      <x:c r="Z192" s="31" t="n">
        <x:f>IF(J192=0,0,IF(L192&gt;0,J192*L192,"n.a."))</x:f>
        <x:v>0</x:v>
      </x:c>
      <x:c r="AA192" s="31" t="n">
        <x:f>IF(J192=0,0,IF(ISNUMBER(Z192),Z192-Y192,"n.a."))</x:f>
        <x:v>0</x:v>
      </x:c>
      <x:c r="AB192" s="32" t="str">
        <x:f>IF(AND(J192&gt;0,L192&gt;0,N192&gt;0),L192/N192-1,"n.a.")</x:f>
        <x:v>n.a.</x:v>
      </x:c>
      <x:c r="AC192" s="18" t="str">
        <x:f>IF(AND(J192&gt;0,L192&lt;=0),"Missing replacement cost",IF(I192&gt;H192,"Usage exceeds stock",""))</x:f>
      </x:c>
    </x:row>
    <x:row r="193">
      <x:c r="A193" t="s">
        <x:v>15</x:v>
      </x:c>
      <x:c r="B193">
        <x:v>30</x:v>
      </x:c>
      <x:c r="C193" t="s">
        <x:v>64</x:v>
      </x:c>
      <x:c r="D193" t="s">
        <x:v>105</x:v>
      </x:c>
      <x:c r="E193">
        <x:v>0</x:v>
      </x:c>
      <x:c r="F193">
        <x:v>0</x:v>
      </x:c>
      <x:c r="G193" s="22" t="n">
        <x:f>SUMIFS('Receipts to be received in'!$P$2:$P$53,'Receipts to be received in'!$B$2:$B$53,B193,'Receipts to be received in'!$C$2:$C$53,D193)</x:f>
        <x:v>0</x:v>
      </x:c>
      <x:c r="H193" s="23" t="n">
        <x:f>F193+G193</x:f>
        <x:v>0</x:v>
      </x:c>
      <x:c r="I193" s="22" t="n">
        <x:f>E193*'Receipts to be received in'!$R$7*'Receipts to be received in'!$R$10</x:f>
        <x:v>0</x:v>
      </x:c>
      <x:c r="J193" s="23" t="n">
        <x:f>MAX(0,H193-I193)</x:f>
        <x:v>0</x:v>
      </x:c>
      <x:c r="K193">
        <x:v>0</x:v>
      </x:c>
      <x:c r="L193">
        <x:v>0</x:v>
      </x:c>
      <x:c r="M193" s="1">
        <x:v>44937</x:v>
      </x:c>
      <x:c r="N193">
        <x:v>9.5</x:v>
      </x:c>
      <x:c r="O193" s="3">
        <x:v>43524</x:v>
      </x:c>
      <x:c r="P193" s="3">
        <x:v>41799</x:v>
      </x:c>
      <x:c r="Q193" t="s">
        <x:v>73</x:v>
      </x:c>
      <x:c r="T193">
        <x:v>0</x:v>
      </x:c>
      <x:c r="U193">
        <x:v>0</x:v>
      </x:c>
      <x:c r="V193">
        <x:v>0</x:v>
      </x:c>
      <x:c r="W193">
        <x:v>0</x:v>
      </x:c>
      <x:c r="X193">
        <x:v>99.45</x:v>
      </x:c>
      <x:c r="Y193" s="31" t="n">
        <x:f>J193*N193</x:f>
        <x:v>0</x:v>
      </x:c>
      <x:c r="Z193" s="31" t="n">
        <x:f>IF(J193=0,0,IF(L193&gt;0,J193*L193,"n.a."))</x:f>
        <x:v>0</x:v>
      </x:c>
      <x:c r="AA193" s="31" t="n">
        <x:f>IF(J193=0,0,IF(ISNUMBER(Z193),Z193-Y193,"n.a."))</x:f>
        <x:v>0</x:v>
      </x:c>
      <x:c r="AB193" s="32" t="str">
        <x:f>IF(AND(J193&gt;0,L193&gt;0,N193&gt;0),L193/N193-1,"n.a.")</x:f>
        <x:v>n.a.</x:v>
      </x:c>
      <x:c r="AC193" s="18" t="str">
        <x:f>IF(AND(J193&gt;0,L193&lt;=0),"Missing replacement cost",IF(I193&gt;H193,"Usage exceeds stock",""))</x:f>
      </x:c>
    </x:row>
    <x:row r="194">
      <x:c r="A194" t="s">
        <x:v>15</x:v>
      </x:c>
      <x:c r="B194">
        <x:v>30</x:v>
      </x:c>
      <x:c r="C194" t="s">
        <x:v>64</x:v>
      </x:c>
      <x:c r="D194" t="s">
        <x:v>106</x:v>
      </x:c>
      <x:c r="E194">
        <x:v>0</x:v>
      </x:c>
      <x:c r="F194">
        <x:v>0</x:v>
      </x:c>
      <x:c r="G194" s="22" t="n">
        <x:f>SUMIFS('Receipts to be received in'!$P$2:$P$53,'Receipts to be received in'!$B$2:$B$53,B194,'Receipts to be received in'!$C$2:$C$53,D194)</x:f>
        <x:v>0</x:v>
      </x:c>
      <x:c r="H194" s="23" t="n">
        <x:f>F194+G194</x:f>
        <x:v>0</x:v>
      </x:c>
      <x:c r="I194" s="22" t="n">
        <x:f>E194*'Receipts to be received in'!$R$7*'Receipts to be received in'!$R$10</x:f>
        <x:v>0</x:v>
      </x:c>
      <x:c r="J194" s="23" t="n">
        <x:f>MAX(0,H194-I194)</x:f>
        <x:v>0</x:v>
      </x:c>
      <x:c r="K194">
        <x:v>0</x:v>
      </x:c>
      <x:c r="L194">
        <x:v>0</x:v>
      </x:c>
      <x:c r="M194" s="1">
        <x:v>44937</x:v>
      </x:c>
      <x:c r="N194">
        <x:v>0</x:v>
      </x:c>
      <x:c r="O194" s="3">
        <x:v>45210</x:v>
      </x:c>
      <x:c r="P194" s="3">
        <x:v>42545</x:v>
      </x:c>
      <x:c r="Q194" t="s">
        <x:v>107</x:v>
      </x:c>
      <x:c r="T194">
        <x:v>0</x:v>
      </x:c>
      <x:c r="U194">
        <x:v>0</x:v>
      </x:c>
      <x:c r="V194">
        <x:v>0</x:v>
      </x:c>
      <x:c r="W194">
        <x:v>0</x:v>
      </x:c>
      <x:c r="X194">
        <x:v>953.27</x:v>
      </x:c>
      <x:c r="Y194" s="31" t="n">
        <x:f>J194*N194</x:f>
        <x:v>0</x:v>
      </x:c>
      <x:c r="Z194" s="31" t="n">
        <x:f>IF(J194=0,0,IF(L194&gt;0,J194*L194,"n.a."))</x:f>
        <x:v>0</x:v>
      </x:c>
      <x:c r="AA194" s="31" t="n">
        <x:f>IF(J194=0,0,IF(ISNUMBER(Z194),Z194-Y194,"n.a."))</x:f>
        <x:v>0</x:v>
      </x:c>
      <x:c r="AB194" s="32" t="str">
        <x:f>IF(AND(J194&gt;0,L194&gt;0,N194&gt;0),L194/N194-1,"n.a.")</x:f>
        <x:v>n.a.</x:v>
      </x:c>
      <x:c r="AC194" s="18" t="str">
        <x:f>IF(AND(J194&gt;0,L194&lt;=0),"Missing replacement cost",IF(I194&gt;H194,"Usage exceeds stock",""))</x:f>
      </x:c>
    </x:row>
    <x:row r="195">
      <x:c r="A195" t="s">
        <x:v>15</x:v>
      </x:c>
      <x:c r="B195">
        <x:v>30</x:v>
      </x:c>
      <x:c r="C195" t="s">
        <x:v>64</x:v>
      </x:c>
      <x:c r="D195" t="s">
        <x:v>108</x:v>
      </x:c>
      <x:c r="E195">
        <x:v>0</x:v>
      </x:c>
      <x:c r="F195">
        <x:v>0</x:v>
      </x:c>
      <x:c r="G195" s="22" t="n">
        <x:f>SUMIFS('Receipts to be received in'!$P$2:$P$53,'Receipts to be received in'!$B$2:$B$53,B195,'Receipts to be received in'!$C$2:$C$53,D195)</x:f>
        <x:v>0</x:v>
      </x:c>
      <x:c r="H195" s="23" t="n">
        <x:f>F195+G195</x:f>
        <x:v>0</x:v>
      </x:c>
      <x:c r="I195" s="22" t="n">
        <x:f>E195*'Receipts to be received in'!$R$7*'Receipts to be received in'!$R$10</x:f>
        <x:v>0</x:v>
      </x:c>
      <x:c r="J195" s="23" t="n">
        <x:f>MAX(0,H195-I195)</x:f>
        <x:v>0</x:v>
      </x:c>
      <x:c r="K195">
        <x:v>0</x:v>
      </x:c>
      <x:c r="L195">
        <x:v>0</x:v>
      </x:c>
      <x:c r="M195" s="1">
        <x:v>44937</x:v>
      </x:c>
      <x:c r="N195">
        <x:v>8.2799999999999994</x:v>
      </x:c>
      <x:c r="O195" s="3">
        <x:v>43525</x:v>
      </x:c>
      <x:c r="P195" s="3">
        <x:v>44060</x:v>
      </x:c>
      <x:c r="Q195" t="s">
        <x:v>73</x:v>
      </x:c>
      <x:c r="T195">
        <x:v>0</x:v>
      </x:c>
      <x:c r="U195">
        <x:v>0</x:v>
      </x:c>
      <x:c r="V195">
        <x:v>0</x:v>
      </x:c>
      <x:c r="W195">
        <x:v>0</x:v>
      </x:c>
      <x:c r="X195">
        <x:v>123</x:v>
      </x:c>
      <x:c r="Y195" s="31" t="n">
        <x:f>J195*N195</x:f>
        <x:v>0</x:v>
      </x:c>
      <x:c r="Z195" s="31" t="n">
        <x:f>IF(J195=0,0,IF(L195&gt;0,J195*L195,"n.a."))</x:f>
        <x:v>0</x:v>
      </x:c>
      <x:c r="AA195" s="31" t="n">
        <x:f>IF(J195=0,0,IF(ISNUMBER(Z195),Z195-Y195,"n.a."))</x:f>
        <x:v>0</x:v>
      </x:c>
      <x:c r="AB195" s="32" t="str">
        <x:f>IF(AND(J195&gt;0,L195&gt;0,N195&gt;0),L195/N195-1,"n.a.")</x:f>
        <x:v>n.a.</x:v>
      </x:c>
      <x:c r="AC195" s="18" t="str">
        <x:f>IF(AND(J195&gt;0,L195&lt;=0),"Missing replacement cost",IF(I195&gt;H195,"Usage exceeds stock",""))</x:f>
      </x:c>
    </x:row>
    <x:row r="196">
      <x:c r="A196" t="s">
        <x:v>15</x:v>
      </x:c>
      <x:c r="B196">
        <x:v>30</x:v>
      </x:c>
      <x:c r="C196" t="s">
        <x:v>64</x:v>
      </x:c>
      <x:c r="D196" t="s">
        <x:v>18</x:v>
      </x:c>
      <x:c r="E196">
        <x:v>0</x:v>
      </x:c>
      <x:c r="F196">
        <x:v>20</x:v>
      </x:c>
      <x:c r="G196" s="22" t="n">
        <x:f>SUMIFS('Receipts to be received in'!$P$2:$P$53,'Receipts to be received in'!$B$2:$B$53,B196,'Receipts to be received in'!$C$2:$C$53,D196)</x:f>
        <x:v>0</x:v>
      </x:c>
      <x:c r="H196" s="23" t="n">
        <x:f>F196+G196</x:f>
        <x:v>20</x:v>
      </x:c>
      <x:c r="I196" s="22" t="n">
        <x:f>E196*'Receipts to be received in'!$R$7*'Receipts to be received in'!$R$10</x:f>
        <x:v>0</x:v>
      </x:c>
      <x:c r="J196" s="23" t="n">
        <x:f>MAX(0,H196-I196)</x:f>
        <x:v>20</x:v>
      </x:c>
      <x:c r="K196">
        <x:v>0</x:v>
      </x:c>
      <x:c r="L196">
        <x:v>30.53</x:v>
      </x:c>
      <x:c r="M196" s="1">
        <x:v>46134</x:v>
      </x:c>
      <x:c r="N196">
        <x:v>25.42</x:v>
      </x:c>
      <x:c r="O196" s="3">
        <x:v>46027</x:v>
      </x:c>
      <x:c r="P196" s="3">
        <x:v>43763</x:v>
      </x:c>
      <x:c r="Q196" s="2">
        <x:v>-0.16739999999999999</x:v>
      </x:c>
      <x:c r="T196">
        <x:v>102.19999999999899</x:v>
      </x:c>
      <x:c r="U196">
        <x:v>0</x:v>
      </x:c>
      <x:c r="V196">
        <x:v>508.4</x:v>
      </x:c>
      <x:c r="W196">
        <x:v>610.6</x:v>
      </x:c>
      <x:c r="X196">
        <x:v>569.46</x:v>
      </x:c>
      <x:c r="Y196" s="31" t="n">
        <x:f>J196*N196</x:f>
        <x:v>508.40000000000003</x:v>
      </x:c>
      <x:c r="Z196" s="31" t="n">
        <x:f>IF(J196=0,0,IF(L196&gt;0,J196*L196,"n.a."))</x:f>
        <x:v>610.6</x:v>
      </x:c>
      <x:c r="AA196" s="31" t="n">
        <x:f>IF(J196=0,0,IF(ISNUMBER(Z196),Z196-Y196,"n.a."))</x:f>
        <x:v>102.19999999999999</x:v>
      </x:c>
      <x:c r="AB196" s="32" t="n">
        <x:f>IF(AND(J196&gt;0,L196&gt;0,N196&gt;0),L196/N196-1,"n.a.")</x:f>
        <x:v>0.20102281667977961</x:v>
      </x:c>
      <x:c r="AC196" s="18" t="str">
        <x:f>IF(AND(J196&gt;0,L196&lt;=0),"Missing replacement cost",IF(I196&gt;H196,"Usage exceeds stock",""))</x:f>
      </x:c>
    </x:row>
    <x:row r="197">
      <x:c r="A197" t="s">
        <x:v>15</x:v>
      </x:c>
      <x:c r="B197">
        <x:v>30</x:v>
      </x:c>
      <x:c r="C197" t="s">
        <x:v>64</x:v>
      </x:c>
      <x:c r="D197" t="s">
        <x:v>110</x:v>
      </x:c>
      <x:c r="E197">
        <x:v>0</x:v>
      </x:c>
      <x:c r="F197">
        <x:v>0</x:v>
      </x:c>
      <x:c r="G197" s="22" t="n">
        <x:f>SUMIFS('Receipts to be received in'!$P$2:$P$53,'Receipts to be received in'!$B$2:$B$53,B197,'Receipts to be received in'!$C$2:$C$53,D197)</x:f>
        <x:v>0</x:v>
      </x:c>
      <x:c r="H197" s="23" t="n">
        <x:f>F197+G197</x:f>
        <x:v>0</x:v>
      </x:c>
      <x:c r="I197" s="22" t="n">
        <x:f>E197*'Receipts to be received in'!$R$7*'Receipts to be received in'!$R$10</x:f>
        <x:v>0</x:v>
      </x:c>
      <x:c r="J197" s="23" t="n">
        <x:f>MAX(0,H197-I197)</x:f>
        <x:v>0</x:v>
      </x:c>
      <x:c r="K197">
        <x:v>0</x:v>
      </x:c>
      <x:c r="L197">
        <x:v>0</x:v>
      </x:c>
      <x:c r="M197" s="1">
        <x:v>44937</x:v>
      </x:c>
      <x:c r="N197">
        <x:v>17.190000000000001</x:v>
      </x:c>
      <x:c r="O197" s="3">
        <x:v>43524</x:v>
      </x:c>
      <x:c r="P197" s="3">
        <x:v>41799</x:v>
      </x:c>
      <x:c r="Q197" t="s">
        <x:v>73</x:v>
      </x:c>
      <x:c r="T197">
        <x:v>0</x:v>
      </x:c>
      <x:c r="U197">
        <x:v>0</x:v>
      </x:c>
      <x:c r="V197">
        <x:v>0</x:v>
      </x:c>
      <x:c r="W197">
        <x:v>0</x:v>
      </x:c>
      <x:c r="X197">
        <x:v>233.1</x:v>
      </x:c>
      <x:c r="Y197" s="31" t="n">
        <x:f>J197*N197</x:f>
        <x:v>0</x:v>
      </x:c>
      <x:c r="Z197" s="31" t="n">
        <x:f>IF(J197=0,0,IF(L197&gt;0,J197*L197,"n.a."))</x:f>
        <x:v>0</x:v>
      </x:c>
      <x:c r="AA197" s="31" t="n">
        <x:f>IF(J197=0,0,IF(ISNUMBER(Z197),Z197-Y197,"n.a."))</x:f>
        <x:v>0</x:v>
      </x:c>
      <x:c r="AB197" s="32" t="str">
        <x:f>IF(AND(J197&gt;0,L197&gt;0,N197&gt;0),L197/N197-1,"n.a.")</x:f>
        <x:v>n.a.</x:v>
      </x:c>
      <x:c r="AC197" s="18" t="str">
        <x:f>IF(AND(J197&gt;0,L197&lt;=0),"Missing replacement cost",IF(I197&gt;H197,"Usage exceeds stock",""))</x:f>
      </x:c>
    </x:row>
    <x:row r="198">
      <x:c r="A198" t="s">
        <x:v>15</x:v>
      </x:c>
      <x:c r="B198">
        <x:v>30</x:v>
      </x:c>
      <x:c r="C198" t="s">
        <x:v>64</x:v>
      </x:c>
      <x:c r="D198" t="s">
        <x:v>111</x:v>
      </x:c>
      <x:c r="E198">
        <x:v>0</x:v>
      </x:c>
      <x:c r="F198">
        <x:v>0</x:v>
      </x:c>
      <x:c r="G198" s="22" t="n">
        <x:f>SUMIFS('Receipts to be received in'!$P$2:$P$53,'Receipts to be received in'!$B$2:$B$53,B198,'Receipts to be received in'!$C$2:$C$53,D198)</x:f>
        <x:v>0</x:v>
      </x:c>
      <x:c r="H198" s="23" t="n">
        <x:f>F198+G198</x:f>
        <x:v>0</x:v>
      </x:c>
      <x:c r="I198" s="22" t="n">
        <x:f>E198*'Receipts to be received in'!$R$7*'Receipts to be received in'!$R$10</x:f>
        <x:v>0</x:v>
      </x:c>
      <x:c r="J198" s="23" t="n">
        <x:f>MAX(0,H198-I198)</x:f>
        <x:v>0</x:v>
      </x:c>
      <x:c r="K198">
        <x:v>0</x:v>
      </x:c>
      <x:c r="L198">
        <x:v>0</x:v>
      </x:c>
      <x:c r="M198" s="1">
        <x:v>44937</x:v>
      </x:c>
      <x:c r="N198">
        <x:v>14.26</x:v>
      </x:c>
      <x:c r="O198" s="3">
        <x:v>43524</x:v>
      </x:c>
      <x:c r="P198" s="3">
        <x:v>41799</x:v>
      </x:c>
      <x:c r="Q198" t="s">
        <x:v>73</x:v>
      </x:c>
      <x:c r="T198">
        <x:v>0</x:v>
      </x:c>
      <x:c r="U198">
        <x:v>0</x:v>
      </x:c>
      <x:c r="V198">
        <x:v>0</x:v>
      </x:c>
      <x:c r="W198">
        <x:v>0</x:v>
      </x:c>
      <x:c r="X198">
        <x:v>148.94999999999999</x:v>
      </x:c>
      <x:c r="Y198" s="31" t="n">
        <x:f>J198*N198</x:f>
        <x:v>0</x:v>
      </x:c>
      <x:c r="Z198" s="31" t="n">
        <x:f>IF(J198=0,0,IF(L198&gt;0,J198*L198,"n.a."))</x:f>
        <x:v>0</x:v>
      </x:c>
      <x:c r="AA198" s="31" t="n">
        <x:f>IF(J198=0,0,IF(ISNUMBER(Z198),Z198-Y198,"n.a."))</x:f>
        <x:v>0</x:v>
      </x:c>
      <x:c r="AB198" s="32" t="str">
        <x:f>IF(AND(J198&gt;0,L198&gt;0,N198&gt;0),L198/N198-1,"n.a.")</x:f>
        <x:v>n.a.</x:v>
      </x:c>
      <x:c r="AC198" s="18" t="str">
        <x:f>IF(AND(J198&gt;0,L198&lt;=0),"Missing replacement cost",IF(I198&gt;H198,"Usage exceeds stock",""))</x:f>
      </x:c>
    </x:row>
    <x:row r="199">
      <x:c r="A199" t="s">
        <x:v>15</x:v>
      </x:c>
      <x:c r="B199">
        <x:v>30</x:v>
      </x:c>
      <x:c r="C199" t="s">
        <x:v>64</x:v>
      </x:c>
      <x:c r="D199" t="s">
        <x:v>112</x:v>
      </x:c>
      <x:c r="E199">
        <x:v>0</x:v>
      </x:c>
      <x:c r="F199">
        <x:v>0</x:v>
      </x:c>
      <x:c r="G199" s="22" t="n">
        <x:f>SUMIFS('Receipts to be received in'!$P$2:$P$53,'Receipts to be received in'!$B$2:$B$53,B199,'Receipts to be received in'!$C$2:$C$53,D199)</x:f>
        <x:v>0</x:v>
      </x:c>
      <x:c r="H199" s="23" t="n">
        <x:f>F199+G199</x:f>
        <x:v>0</x:v>
      </x:c>
      <x:c r="I199" s="22" t="n">
        <x:f>E199*'Receipts to be received in'!$R$7*'Receipts to be received in'!$R$10</x:f>
        <x:v>0</x:v>
      </x:c>
      <x:c r="J199" s="23" t="n">
        <x:f>MAX(0,H199-I199)</x:f>
        <x:v>0</x:v>
      </x:c>
      <x:c r="K199">
        <x:v>0</x:v>
      </x:c>
      <x:c r="L199">
        <x:v>0</x:v>
      </x:c>
      <x:c r="M199" s="1">
        <x:v>44937</x:v>
      </x:c>
      <x:c r="N199">
        <x:v>55.08</x:v>
      </x:c>
      <x:c r="O199" s="3">
        <x:v>43524</x:v>
      </x:c>
      <x:c r="P199" s="3">
        <x:v>42975</x:v>
      </x:c>
      <x:c r="Q199" t="s">
        <x:v>73</x:v>
      </x:c>
      <x:c r="T199">
        <x:v>0</x:v>
      </x:c>
      <x:c r="U199">
        <x:v>0</x:v>
      </x:c>
      <x:c r="V199">
        <x:v>0</x:v>
      </x:c>
      <x:c r="W199">
        <x:v>0</x:v>
      </x:c>
      <x:c r="X199">
        <x:v>1430.06</x:v>
      </x:c>
      <x:c r="Y199" s="31" t="n">
        <x:f>J199*N199</x:f>
        <x:v>0</x:v>
      </x:c>
      <x:c r="Z199" s="31" t="n">
        <x:f>IF(J199=0,0,IF(L199&gt;0,J199*L199,"n.a."))</x:f>
        <x:v>0</x:v>
      </x:c>
      <x:c r="AA199" s="31" t="n">
        <x:f>IF(J199=0,0,IF(ISNUMBER(Z199),Z199-Y199,"n.a."))</x:f>
        <x:v>0</x:v>
      </x:c>
      <x:c r="AB199" s="32" t="str">
        <x:f>IF(AND(J199&gt;0,L199&gt;0,N199&gt;0),L199/N199-1,"n.a.")</x:f>
        <x:v>n.a.</x:v>
      </x:c>
      <x:c r="AC199" s="18" t="str">
        <x:f>IF(AND(J199&gt;0,L199&lt;=0),"Missing replacement cost",IF(I199&gt;H199,"Usage exceeds stock",""))</x:f>
      </x:c>
    </x:row>
    <x:row r="200">
      <x:c r="A200" t="s">
        <x:v>15</x:v>
      </x:c>
      <x:c r="B200">
        <x:v>30</x:v>
      </x:c>
      <x:c r="C200" t="s">
        <x:v>64</x:v>
      </x:c>
      <x:c r="D200" t="s">
        <x:v>97</x:v>
      </x:c>
      <x:c r="E200">
        <x:v>0</x:v>
      </x:c>
      <x:c r="F200">
        <x:v>70</x:v>
      </x:c>
      <x:c r="G200" s="22" t="n">
        <x:f>SUMIFS('Receipts to be received in'!$P$2:$P$53,'Receipts to be received in'!$B$2:$B$53,B200,'Receipts to be received in'!$C$2:$C$53,D200)</x:f>
        <x:v>0</x:v>
      </x:c>
      <x:c r="H200" s="23" t="n">
        <x:f>F200+G200</x:f>
        <x:v>70</x:v>
      </x:c>
      <x:c r="I200" s="22" t="n">
        <x:f>E200*'Receipts to be received in'!$R$7*'Receipts to be received in'!$R$10</x:f>
        <x:v>0</x:v>
      </x:c>
      <x:c r="J200" s="23" t="n">
        <x:f>MAX(0,H200-I200)</x:f>
        <x:v>70</x:v>
      </x:c>
      <x:c r="K200">
        <x:v>0</x:v>
      </x:c>
      <x:c r="L200">
        <x:v>11.66</x:v>
      </x:c>
      <x:c r="M200" s="1">
        <x:v>46133</x:v>
      </x:c>
      <x:c r="N200">
        <x:v>9.7200000000000006</x:v>
      </x:c>
      <x:c r="O200" s="3">
        <x:v>46027</x:v>
      </x:c>
      <x:c r="P200" s="3">
        <x:v>45894</x:v>
      </x:c>
      <x:c r="Q200" s="2">
        <x:v>-0.16639999999999999</x:v>
      </x:c>
      <x:c r="T200">
        <x:v>135.79999999999899</x:v>
      </x:c>
      <x:c r="U200">
        <x:v>0</x:v>
      </x:c>
      <x:c r="V200">
        <x:v>680.4</x:v>
      </x:c>
      <x:c r="W200">
        <x:v>816.2</x:v>
      </x:c>
      <x:c r="X200">
        <x:v>254.28</x:v>
      </x:c>
      <x:c r="Y200" s="31" t="n">
        <x:f>J200*N200</x:f>
        <x:v>680.4000000000001</x:v>
      </x:c>
      <x:c r="Z200" s="31" t="n">
        <x:f>IF(J200=0,0,IF(L200&gt;0,J200*L200,"n.a."))</x:f>
        <x:v>816.2</x:v>
      </x:c>
      <x:c r="AA200" s="31" t="n">
        <x:f>IF(J200=0,0,IF(ISNUMBER(Z200),Z200-Y200,"n.a."))</x:f>
        <x:v>135.79999999999995</x:v>
      </x:c>
      <x:c r="AB200" s="32" t="n">
        <x:f>IF(AND(J200&gt;0,L200&gt;0,N200&gt;0),L200/N200-1,"n.a.")</x:f>
        <x:v>0.19958847736625507</x:v>
      </x:c>
      <x:c r="AC200" s="18" t="str">
        <x:f>IF(AND(J200&gt;0,L200&lt;=0),"Missing replacement cost",IF(I200&gt;H200,"Usage exceeds stock",""))</x:f>
      </x:c>
    </x:row>
    <x:row r="201">
      <x:c r="A201" t="s">
        <x:v>15</x:v>
      </x:c>
      <x:c r="B201">
        <x:v>30</x:v>
      </x:c>
      <x:c r="C201" t="s">
        <x:v>64</x:v>
      </x:c>
      <x:c r="D201" t="s">
        <x:v>113</x:v>
      </x:c>
      <x:c r="E201">
        <x:v>0</x:v>
      </x:c>
      <x:c r="F201">
        <x:v>0</x:v>
      </x:c>
      <x:c r="G201" s="22" t="n">
        <x:f>SUMIFS('Receipts to be received in'!$P$2:$P$53,'Receipts to be received in'!$B$2:$B$53,B201,'Receipts to be received in'!$C$2:$C$53,D201)</x:f>
        <x:v>0</x:v>
      </x:c>
      <x:c r="H201" s="23" t="n">
        <x:f>F201+G201</x:f>
        <x:v>0</x:v>
      </x:c>
      <x:c r="I201" s="22" t="n">
        <x:f>E201*'Receipts to be received in'!$R$7*'Receipts to be received in'!$R$10</x:f>
        <x:v>0</x:v>
      </x:c>
      <x:c r="J201" s="23" t="n">
        <x:f>MAX(0,H201-I201)</x:f>
        <x:v>0</x:v>
      </x:c>
      <x:c r="K201">
        <x:v>0</x:v>
      </x:c>
      <x:c r="L201">
        <x:v>0</x:v>
      </x:c>
      <x:c r="M201" s="1">
        <x:v>44937</x:v>
      </x:c>
      <x:c r="N201">
        <x:v>12.42</x:v>
      </x:c>
      <x:c r="O201" s="3">
        <x:v>43525</x:v>
      </x:c>
      <x:c r="P201" s="3">
        <x:v>43124</x:v>
      </x:c>
      <x:c r="Q201" t="s">
        <x:v>73</x:v>
      </x:c>
      <x:c r="T201">
        <x:v>0</x:v>
      </x:c>
      <x:c r="U201">
        <x:v>0</x:v>
      </x:c>
      <x:c r="V201">
        <x:v>0</x:v>
      </x:c>
      <x:c r="W201">
        <x:v>0</x:v>
      </x:c>
      <x:c r="X201">
        <x:v>184.5</x:v>
      </x:c>
      <x:c r="Y201" s="31" t="n">
        <x:f>J201*N201</x:f>
        <x:v>0</x:v>
      </x:c>
      <x:c r="Z201" s="31" t="n">
        <x:f>IF(J201=0,0,IF(L201&gt;0,J201*L201,"n.a."))</x:f>
        <x:v>0</x:v>
      </x:c>
      <x:c r="AA201" s="31" t="n">
        <x:f>IF(J201=0,0,IF(ISNUMBER(Z201),Z201-Y201,"n.a."))</x:f>
        <x:v>0</x:v>
      </x:c>
      <x:c r="AB201" s="32" t="str">
        <x:f>IF(AND(J201&gt;0,L201&gt;0,N201&gt;0),L201/N201-1,"n.a.")</x:f>
        <x:v>n.a.</x:v>
      </x:c>
      <x:c r="AC201" s="18" t="str">
        <x:f>IF(AND(J201&gt;0,L201&lt;=0),"Missing replacement cost",IF(I201&gt;H201,"Usage exceeds stock",""))</x:f>
      </x:c>
    </x:row>
    <x:row r="202">
      <x:c r="A202" t="s">
        <x:v>15</x:v>
      </x:c>
      <x:c r="B202">
        <x:v>30</x:v>
      </x:c>
      <x:c r="C202" t="s">
        <x:v>64</x:v>
      </x:c>
      <x:c r="D202" t="s">
        <x:v>114</x:v>
      </x:c>
      <x:c r="E202">
        <x:v>0</x:v>
      </x:c>
      <x:c r="F202">
        <x:v>0</x:v>
      </x:c>
      <x:c r="G202" s="22" t="n">
        <x:f>SUMIFS('Receipts to be received in'!$P$2:$P$53,'Receipts to be received in'!$B$2:$B$53,B202,'Receipts to be received in'!$C$2:$C$53,D202)</x:f>
        <x:v>0</x:v>
      </x:c>
      <x:c r="H202" s="23" t="n">
        <x:f>F202+G202</x:f>
        <x:v>0</x:v>
      </x:c>
      <x:c r="I202" s="22" t="n">
        <x:f>E202*'Receipts to be received in'!$R$7*'Receipts to be received in'!$R$10</x:f>
        <x:v>0</x:v>
      </x:c>
      <x:c r="J202" s="23" t="n">
        <x:f>MAX(0,H202-I202)</x:f>
        <x:v>0</x:v>
      </x:c>
      <x:c r="K202">
        <x:v>0</x:v>
      </x:c>
      <x:c r="L202">
        <x:v>0</x:v>
      </x:c>
      <x:c r="M202" s="1">
        <x:v>44937</x:v>
      </x:c>
      <x:c r="N202">
        <x:v>19.2</x:v>
      </x:c>
      <x:c r="O202" s="3">
        <x:v>43525</x:v>
      </x:c>
      <x:c r="P202" s="3">
        <x:v>42765</x:v>
      </x:c>
      <x:c r="Q202" t="s">
        <x:v>73</x:v>
      </x:c>
      <x:c r="T202">
        <x:v>0</x:v>
      </x:c>
      <x:c r="U202">
        <x:v>0</x:v>
      </x:c>
      <x:c r="V202">
        <x:v>0</x:v>
      </x:c>
      <x:c r="W202">
        <x:v>0</x:v>
      </x:c>
      <x:c r="X202">
        <x:v>365.84</x:v>
      </x:c>
      <x:c r="Y202" s="31" t="n">
        <x:f>J202*N202</x:f>
        <x:v>0</x:v>
      </x:c>
      <x:c r="Z202" s="31" t="n">
        <x:f>IF(J202=0,0,IF(L202&gt;0,J202*L202,"n.a."))</x:f>
        <x:v>0</x:v>
      </x:c>
      <x:c r="AA202" s="31" t="n">
        <x:f>IF(J202=0,0,IF(ISNUMBER(Z202),Z202-Y202,"n.a."))</x:f>
        <x:v>0</x:v>
      </x:c>
      <x:c r="AB202" s="32" t="str">
        <x:f>IF(AND(J202&gt;0,L202&gt;0,N202&gt;0),L202/N202-1,"n.a.")</x:f>
        <x:v>n.a.</x:v>
      </x:c>
      <x:c r="AC202" s="18" t="str">
        <x:f>IF(AND(J202&gt;0,L202&lt;=0),"Missing replacement cost",IF(I202&gt;H202,"Usage exceeds stock",""))</x:f>
      </x:c>
    </x:row>
    <x:row r="203">
      <x:c r="A203" t="s">
        <x:v>15</x:v>
      </x:c>
      <x:c r="B203">
        <x:v>30</x:v>
      </x:c>
      <x:c r="C203" t="s">
        <x:v>64</x:v>
      </x:c>
      <x:c r="D203" t="s">
        <x:v>115</x:v>
      </x:c>
      <x:c r="E203">
        <x:v>0</x:v>
      </x:c>
      <x:c r="F203">
        <x:v>0</x:v>
      </x:c>
      <x:c r="G203" s="22" t="n">
        <x:f>SUMIFS('Receipts to be received in'!$P$2:$P$53,'Receipts to be received in'!$B$2:$B$53,B203,'Receipts to be received in'!$C$2:$C$53,D203)</x:f>
        <x:v>0</x:v>
      </x:c>
      <x:c r="H203" s="23" t="n">
        <x:f>F203+G203</x:f>
        <x:v>0</x:v>
      </x:c>
      <x:c r="I203" s="22" t="n">
        <x:f>E203*'Receipts to be received in'!$R$7*'Receipts to be received in'!$R$10</x:f>
        <x:v>0</x:v>
      </x:c>
      <x:c r="J203" s="23" t="n">
        <x:f>MAX(0,H203-I203)</x:f>
        <x:v>0</x:v>
      </x:c>
      <x:c r="K203">
        <x:v>0</x:v>
      </x:c>
      <x:c r="L203">
        <x:v>0</x:v>
      </x:c>
      <x:c r="M203" s="1">
        <x:v>44937</x:v>
      </x:c>
      <x:c r="N203">
        <x:v>0</x:v>
      </x:c>
      <x:c r="O203" s="3">
        <x:v>45064</x:v>
      </x:c>
      <x:c r="P203" s="3">
        <x:v>38609</x:v>
      </x:c>
      <x:c r="Q203" t="s">
        <x:v>107</x:v>
      </x:c>
      <x:c r="T203">
        <x:v>0</x:v>
      </x:c>
      <x:c r="U203">
        <x:v>0</x:v>
      </x:c>
      <x:c r="V203">
        <x:v>0</x:v>
      </x:c>
      <x:c r="W203">
        <x:v>0</x:v>
      </x:c>
      <x:c r="X203">
        <x:v>0</x:v>
      </x:c>
      <x:c r="Y203" s="31" t="n">
        <x:f>J203*N203</x:f>
        <x:v>0</x:v>
      </x:c>
      <x:c r="Z203" s="31" t="n">
        <x:f>IF(J203=0,0,IF(L203&gt;0,J203*L203,"n.a."))</x:f>
        <x:v>0</x:v>
      </x:c>
      <x:c r="AA203" s="31" t="n">
        <x:f>IF(J203=0,0,IF(ISNUMBER(Z203),Z203-Y203,"n.a."))</x:f>
        <x:v>0</x:v>
      </x:c>
      <x:c r="AB203" s="32" t="str">
        <x:f>IF(AND(J203&gt;0,L203&gt;0,N203&gt;0),L203/N203-1,"n.a.")</x:f>
        <x:v>n.a.</x:v>
      </x:c>
      <x:c r="AC203" s="18" t="str">
        <x:f>IF(AND(J203&gt;0,L203&lt;=0),"Missing replacement cost",IF(I203&gt;H203,"Usage exceeds stock",""))</x:f>
      </x:c>
    </x:row>
    <x:row r="204">
      <x:c r="A204" t="s">
        <x:v>15</x:v>
      </x:c>
      <x:c r="B204">
        <x:v>30</x:v>
      </x:c>
      <x:c r="C204" t="s">
        <x:v>64</x:v>
      </x:c>
      <x:c r="D204" t="s">
        <x:v>116</x:v>
      </x:c>
      <x:c r="E204">
        <x:v>0</x:v>
      </x:c>
      <x:c r="F204">
        <x:v>0</x:v>
      </x:c>
      <x:c r="G204" s="22" t="n">
        <x:f>SUMIFS('Receipts to be received in'!$P$2:$P$53,'Receipts to be received in'!$B$2:$B$53,B204,'Receipts to be received in'!$C$2:$C$53,D204)</x:f>
        <x:v>0</x:v>
      </x:c>
      <x:c r="H204" s="23" t="n">
        <x:f>F204+G204</x:f>
        <x:v>0</x:v>
      </x:c>
      <x:c r="I204" s="22" t="n">
        <x:f>E204*'Receipts to be received in'!$R$7*'Receipts to be received in'!$R$10</x:f>
        <x:v>0</x:v>
      </x:c>
      <x:c r="J204" s="23" t="n">
        <x:f>MAX(0,H204-I204)</x:f>
        <x:v>0</x:v>
      </x:c>
      <x:c r="K204">
        <x:v>0</x:v>
      </x:c>
      <x:c r="L204">
        <x:v>0</x:v>
      </x:c>
      <x:c r="M204" s="1">
        <x:v>44937</x:v>
      </x:c>
      <x:c r="N204">
        <x:v>19.8</x:v>
      </x:c>
      <x:c r="O204" s="3">
        <x:v>43524</x:v>
      </x:c>
      <x:c r="P204" s="3">
        <x:v>41799</x:v>
      </x:c>
      <x:c r="Q204" t="s">
        <x:v>73</x:v>
      </x:c>
      <x:c r="T204">
        <x:v>0</x:v>
      </x:c>
      <x:c r="U204">
        <x:v>0</x:v>
      </x:c>
      <x:c r="V204">
        <x:v>0</x:v>
      </x:c>
      <x:c r="W204">
        <x:v>0</x:v>
      </x:c>
      <x:c r="X204">
        <x:v>204.75</x:v>
      </x:c>
      <x:c r="Y204" s="31" t="n">
        <x:f>J204*N204</x:f>
        <x:v>0</x:v>
      </x:c>
      <x:c r="Z204" s="31" t="n">
        <x:f>IF(J204=0,0,IF(L204&gt;0,J204*L204,"n.a."))</x:f>
        <x:v>0</x:v>
      </x:c>
      <x:c r="AA204" s="31" t="n">
        <x:f>IF(J204=0,0,IF(ISNUMBER(Z204),Z204-Y204,"n.a."))</x:f>
        <x:v>0</x:v>
      </x:c>
      <x:c r="AB204" s="32" t="str">
        <x:f>IF(AND(J204&gt;0,L204&gt;0,N204&gt;0),L204/N204-1,"n.a.")</x:f>
        <x:v>n.a.</x:v>
      </x:c>
      <x:c r="AC204" s="18" t="str">
        <x:f>IF(AND(J204&gt;0,L204&lt;=0),"Missing replacement cost",IF(I204&gt;H204,"Usage exceeds stock",""))</x:f>
      </x:c>
    </x:row>
    <x:row r="205">
      <x:c r="A205" t="s">
        <x:v>15</x:v>
      </x:c>
      <x:c r="B205">
        <x:v>30</x:v>
      </x:c>
      <x:c r="C205" t="s">
        <x:v>64</x:v>
      </x:c>
      <x:c r="D205" t="s">
        <x:v>117</x:v>
      </x:c>
      <x:c r="E205">
        <x:v>0</x:v>
      </x:c>
      <x:c r="F205">
        <x:v>0</x:v>
      </x:c>
      <x:c r="G205" s="22" t="n">
        <x:f>SUMIFS('Receipts to be received in'!$P$2:$P$53,'Receipts to be received in'!$B$2:$B$53,B205,'Receipts to be received in'!$C$2:$C$53,D205)</x:f>
        <x:v>0</x:v>
      </x:c>
      <x:c r="H205" s="23" t="n">
        <x:f>F205+G205</x:f>
        <x:v>0</x:v>
      </x:c>
      <x:c r="I205" s="22" t="n">
        <x:f>E205*'Receipts to be received in'!$R$7*'Receipts to be received in'!$R$10</x:f>
        <x:v>0</x:v>
      </x:c>
      <x:c r="J205" s="23" t="n">
        <x:f>MAX(0,H205-I205)</x:f>
        <x:v>0</x:v>
      </x:c>
      <x:c r="K205">
        <x:v>0</x:v>
      </x:c>
      <x:c r="L205">
        <x:v>0</x:v>
      </x:c>
      <x:c r="M205" s="1">
        <x:v>45078</x:v>
      </x:c>
      <x:c r="N205">
        <x:v>76.5</x:v>
      </x:c>
      <x:c r="O205" s="3">
        <x:v>45269</x:v>
      </x:c>
      <x:c r="P205" s="3">
        <x:v>42975</x:v>
      </x:c>
      <x:c r="Q205" t="s">
        <x:v>73</x:v>
      </x:c>
      <x:c r="T205">
        <x:v>0</x:v>
      </x:c>
      <x:c r="U205">
        <x:v>0</x:v>
      </x:c>
      <x:c r="V205">
        <x:v>0</x:v>
      </x:c>
      <x:c r="W205">
        <x:v>0</x:v>
      </x:c>
      <x:c r="X205">
        <x:v>1509.47</x:v>
      </x:c>
      <x:c r="Y205" s="31" t="n">
        <x:f>J205*N205</x:f>
        <x:v>0</x:v>
      </x:c>
      <x:c r="Z205" s="31" t="n">
        <x:f>IF(J205=0,0,IF(L205&gt;0,J205*L205,"n.a."))</x:f>
        <x:v>0</x:v>
      </x:c>
      <x:c r="AA205" s="31" t="n">
        <x:f>IF(J205=0,0,IF(ISNUMBER(Z205),Z205-Y205,"n.a."))</x:f>
        <x:v>0</x:v>
      </x:c>
      <x:c r="AB205" s="32" t="str">
        <x:f>IF(AND(J205&gt;0,L205&gt;0,N205&gt;0),L205/N205-1,"n.a.")</x:f>
        <x:v>n.a.</x:v>
      </x:c>
      <x:c r="AC205" s="18" t="str">
        <x:f>IF(AND(J205&gt;0,L205&lt;=0),"Missing replacement cost",IF(I205&gt;H205,"Usage exceeds stock",""))</x:f>
      </x:c>
    </x:row>
    <x:row r="206">
      <x:c r="A206" t="s">
        <x:v>15</x:v>
      </x:c>
      <x:c r="B206">
        <x:v>30</x:v>
      </x:c>
      <x:c r="C206" t="s">
        <x:v>64</x:v>
      </x:c>
      <x:c r="D206" t="s">
        <x:v>118</x:v>
      </x:c>
      <x:c r="E206">
        <x:v>0</x:v>
      </x:c>
      <x:c r="F206">
        <x:v>0</x:v>
      </x:c>
      <x:c r="G206" s="22" t="n">
        <x:f>SUMIFS('Receipts to be received in'!$P$2:$P$53,'Receipts to be received in'!$B$2:$B$53,B206,'Receipts to be received in'!$C$2:$C$53,D206)</x:f>
        <x:v>0</x:v>
      </x:c>
      <x:c r="H206" s="23" t="n">
        <x:f>F206+G206</x:f>
        <x:v>0</x:v>
      </x:c>
      <x:c r="I206" s="22" t="n">
        <x:f>E206*'Receipts to be received in'!$R$7*'Receipts to be received in'!$R$10</x:f>
        <x:v>0</x:v>
      </x:c>
      <x:c r="J206" s="23" t="n">
        <x:f>MAX(0,H206-I206)</x:f>
        <x:v>0</x:v>
      </x:c>
      <x:c r="K206">
        <x:v>0</x:v>
      </x:c>
      <x:c r="L206">
        <x:v>0</x:v>
      </x:c>
      <x:c r="M206" s="1">
        <x:v>44937</x:v>
      </x:c>
      <x:c r="N206">
        <x:v>0</x:v>
      </x:c>
      <x:c r="O206" s="3">
        <x:v>45079</x:v>
      </x:c>
      <x:c r="P206" s="3">
        <x:v>42921</x:v>
      </x:c>
      <x:c r="Q206" t="s">
        <x:v>107</x:v>
      </x:c>
      <x:c r="T206">
        <x:v>0</x:v>
      </x:c>
      <x:c r="U206">
        <x:v>0</x:v>
      </x:c>
      <x:c r="V206">
        <x:v>0</x:v>
      </x:c>
      <x:c r="W206">
        <x:v>0</x:v>
      </x:c>
      <x:c r="X206">
        <x:v>1361.58</x:v>
      </x:c>
      <x:c r="Y206" s="31" t="n">
        <x:f>J206*N206</x:f>
        <x:v>0</x:v>
      </x:c>
      <x:c r="Z206" s="31" t="n">
        <x:f>IF(J206=0,0,IF(L206&gt;0,J206*L206,"n.a."))</x:f>
        <x:v>0</x:v>
      </x:c>
      <x:c r="AA206" s="31" t="n">
        <x:f>IF(J206=0,0,IF(ISNUMBER(Z206),Z206-Y206,"n.a."))</x:f>
        <x:v>0</x:v>
      </x:c>
      <x:c r="AB206" s="32" t="str">
        <x:f>IF(AND(J206&gt;0,L206&gt;0,N206&gt;0),L206/N206-1,"n.a.")</x:f>
        <x:v>n.a.</x:v>
      </x:c>
      <x:c r="AC206" s="18" t="str">
        <x:f>IF(AND(J206&gt;0,L206&lt;=0),"Missing replacement cost",IF(I206&gt;H206,"Usage exceeds stock",""))</x:f>
      </x:c>
    </x:row>
    <x:row r="207">
      <x:c r="A207" t="s">
        <x:v>15</x:v>
      </x:c>
      <x:c r="B207">
        <x:v>30</x:v>
      </x:c>
      <x:c r="C207" t="s">
        <x:v>64</x:v>
      </x:c>
      <x:c r="D207" t="s">
        <x:v>119</x:v>
      </x:c>
      <x:c r="E207">
        <x:v>0</x:v>
      </x:c>
      <x:c r="F207">
        <x:v>0</x:v>
      </x:c>
      <x:c r="G207" s="22" t="n">
        <x:f>SUMIFS('Receipts to be received in'!$P$2:$P$53,'Receipts to be received in'!$B$2:$B$53,B207,'Receipts to be received in'!$C$2:$C$53,D207)</x:f>
        <x:v>0</x:v>
      </x:c>
      <x:c r="H207" s="23" t="n">
        <x:f>F207+G207</x:f>
        <x:v>0</x:v>
      </x:c>
      <x:c r="I207" s="22" t="n">
        <x:f>E207*'Receipts to be received in'!$R$7*'Receipts to be received in'!$R$10</x:f>
        <x:v>0</x:v>
      </x:c>
      <x:c r="J207" s="23" t="n">
        <x:f>MAX(0,H207-I207)</x:f>
        <x:v>0</x:v>
      </x:c>
      <x:c r="K207">
        <x:v>0</x:v>
      </x:c>
      <x:c r="L207">
        <x:v>0</x:v>
      </x:c>
      <x:c r="M207" s="1">
        <x:v>44937</x:v>
      </x:c>
      <x:c r="N207">
        <x:v>17.25</x:v>
      </x:c>
      <x:c r="O207" s="3">
        <x:v>43525</x:v>
      </x:c>
      <x:c r="P207" s="3">
        <x:v>43104</x:v>
      </x:c>
      <x:c r="Q207" t="s">
        <x:v>73</x:v>
      </x:c>
      <x:c r="T207">
        <x:v>0</x:v>
      </x:c>
      <x:c r="U207">
        <x:v>0</x:v>
      </x:c>
      <x:c r="V207">
        <x:v>0</x:v>
      </x:c>
      <x:c r="W207">
        <x:v>0</x:v>
      </x:c>
      <x:c r="X207">
        <x:v>248.7</x:v>
      </x:c>
      <x:c r="Y207" s="31" t="n">
        <x:f>J207*N207</x:f>
        <x:v>0</x:v>
      </x:c>
      <x:c r="Z207" s="31" t="n">
        <x:f>IF(J207=0,0,IF(L207&gt;0,J207*L207,"n.a."))</x:f>
        <x:v>0</x:v>
      </x:c>
      <x:c r="AA207" s="31" t="n">
        <x:f>IF(J207=0,0,IF(ISNUMBER(Z207),Z207-Y207,"n.a."))</x:f>
        <x:v>0</x:v>
      </x:c>
      <x:c r="AB207" s="32" t="str">
        <x:f>IF(AND(J207&gt;0,L207&gt;0,N207&gt;0),L207/N207-1,"n.a.")</x:f>
        <x:v>n.a.</x:v>
      </x:c>
      <x:c r="AC207" s="18" t="str">
        <x:f>IF(AND(J207&gt;0,L207&lt;=0),"Missing replacement cost",IF(I207&gt;H207,"Usage exceeds stock",""))</x:f>
      </x:c>
    </x:row>
    <x:row r="208">
      <x:c r="A208" t="s">
        <x:v>15</x:v>
      </x:c>
      <x:c r="B208">
        <x:v>30</x:v>
      </x:c>
      <x:c r="C208" t="s">
        <x:v>64</x:v>
      </x:c>
      <x:c r="D208" t="s">
        <x:v>96</x:v>
      </x:c>
      <x:c r="E208">
        <x:v>0</x:v>
      </x:c>
      <x:c r="F208">
        <x:v>6</x:v>
      </x:c>
      <x:c r="G208" s="22" t="n">
        <x:f>SUMIFS('Receipts to be received in'!$P$2:$P$53,'Receipts to be received in'!$B$2:$B$53,B208,'Receipts to be received in'!$C$2:$C$53,D208)</x:f>
        <x:v>0</x:v>
      </x:c>
      <x:c r="H208" s="23" t="n">
        <x:f>F208+G208</x:f>
        <x:v>6</x:v>
      </x:c>
      <x:c r="I208" s="22" t="n">
        <x:f>E208*'Receipts to be received in'!$R$7*'Receipts to be received in'!$R$10</x:f>
        <x:v>0</x:v>
      </x:c>
      <x:c r="J208" s="23" t="n">
        <x:f>MAX(0,H208-I208)</x:f>
        <x:v>6</x:v>
      </x:c>
      <x:c r="K208">
        <x:v>0</x:v>
      </x:c>
      <x:c r="L208">
        <x:v>63.6</x:v>
      </x:c>
      <x:c r="M208" s="1">
        <x:v>46134</x:v>
      </x:c>
      <x:c r="N208">
        <x:v>52.95</x:v>
      </x:c>
      <x:c r="O208" s="3">
        <x:v>46027</x:v>
      </x:c>
      <x:c r="P208" s="3">
        <x:v>42759</x:v>
      </x:c>
      <x:c r="Q208" s="2">
        <x:v>-0.16750000000000001</x:v>
      </x:c>
      <x:c r="T208">
        <x:v>63.899999999999899</x:v>
      </x:c>
      <x:c r="U208">
        <x:v>0</x:v>
      </x:c>
      <x:c r="V208">
        <x:v>317.7</x:v>
      </x:c>
      <x:c r="W208">
        <x:v>381.6</x:v>
      </x:c>
      <x:c r="X208">
        <x:v>1185.8399999999999</x:v>
      </x:c>
      <x:c r="Y208" s="31" t="n">
        <x:f>J208*N208</x:f>
        <x:v>317.70000000000005</x:v>
      </x:c>
      <x:c r="Z208" s="31" t="n">
        <x:f>IF(J208=0,0,IF(L208&gt;0,J208*L208,"n.a."))</x:f>
        <x:v>381.6</x:v>
      </x:c>
      <x:c r="AA208" s="31" t="n">
        <x:f>IF(J208=0,0,IF(ISNUMBER(Z208),Z208-Y208,"n.a."))</x:f>
        <x:v>63.89999999999998</x:v>
      </x:c>
      <x:c r="AB208" s="32" t="n">
        <x:f>IF(AND(J208&gt;0,L208&gt;0,N208&gt;0),L208/N208-1,"n.a.")</x:f>
        <x:v>0.20113314447592057</x:v>
      </x:c>
      <x:c r="AC208" s="18" t="str">
        <x:f>IF(AND(J208&gt;0,L208&lt;=0),"Missing replacement cost",IF(I208&gt;H208,"Usage exceeds stock",""))</x:f>
      </x:c>
    </x:row>
    <x:row r="209">
      <x:c r="A209" t="s">
        <x:v>15</x:v>
      </x:c>
      <x:c r="B209">
        <x:v>30</x:v>
      </x:c>
      <x:c r="C209" t="s">
        <x:v>64</x:v>
      </x:c>
      <x:c r="D209" t="s">
        <x:v>120</x:v>
      </x:c>
      <x:c r="E209">
        <x:v>0</x:v>
      </x:c>
      <x:c r="F209">
        <x:v>0</x:v>
      </x:c>
      <x:c r="G209" s="22" t="n">
        <x:f>SUMIFS('Receipts to be received in'!$P$2:$P$53,'Receipts to be received in'!$B$2:$B$53,B209,'Receipts to be received in'!$C$2:$C$53,D209)</x:f>
        <x:v>0</x:v>
      </x:c>
      <x:c r="H209" s="23" t="n">
        <x:f>F209+G209</x:f>
        <x:v>0</x:v>
      </x:c>
      <x:c r="I209" s="22" t="n">
        <x:f>E209*'Receipts to be received in'!$R$7*'Receipts to be received in'!$R$10</x:f>
        <x:v>0</x:v>
      </x:c>
      <x:c r="J209" s="23" t="n">
        <x:f>MAX(0,H209-I209)</x:f>
        <x:v>0</x:v>
      </x:c>
      <x:c r="K209">
        <x:v>0</x:v>
      </x:c>
      <x:c r="L209">
        <x:v>0</x:v>
      </x:c>
      <x:c r="M209" s="1">
        <x:v>44937</x:v>
      </x:c>
      <x:c r="N209">
        <x:v>25.79</x:v>
      </x:c>
      <x:c r="O209" s="3">
        <x:v>43524</x:v>
      </x:c>
      <x:c r="P209" s="3">
        <x:v>43104</x:v>
      </x:c>
      <x:c r="Q209" t="s">
        <x:v>73</x:v>
      </x:c>
      <x:c r="T209">
        <x:v>0</x:v>
      </x:c>
      <x:c r="U209">
        <x:v>0</x:v>
      </x:c>
      <x:c r="V209">
        <x:v>0</x:v>
      </x:c>
      <x:c r="W209">
        <x:v>0</x:v>
      </x:c>
      <x:c r="X209">
        <x:v>347.25</x:v>
      </x:c>
      <x:c r="Y209" s="31" t="n">
        <x:f>J209*N209</x:f>
        <x:v>0</x:v>
      </x:c>
      <x:c r="Z209" s="31" t="n">
        <x:f>IF(J209=0,0,IF(L209&gt;0,J209*L209,"n.a."))</x:f>
        <x:v>0</x:v>
      </x:c>
      <x:c r="AA209" s="31" t="n">
        <x:f>IF(J209=0,0,IF(ISNUMBER(Z209),Z209-Y209,"n.a."))</x:f>
        <x:v>0</x:v>
      </x:c>
      <x:c r="AB209" s="32" t="str">
        <x:f>IF(AND(J209&gt;0,L209&gt;0,N209&gt;0),L209/N209-1,"n.a.")</x:f>
        <x:v>n.a.</x:v>
      </x:c>
      <x:c r="AC209" s="18" t="str">
        <x:f>IF(AND(J209&gt;0,L209&lt;=0),"Missing replacement cost",IF(I209&gt;H209,"Usage exceeds stock",""))</x:f>
      </x:c>
    </x:row>
    <x:row r="210">
      <x:c r="A210" t="s">
        <x:v>15</x:v>
      </x:c>
      <x:c r="B210">
        <x:v>30</x:v>
      </x:c>
      <x:c r="C210" t="s">
        <x:v>64</x:v>
      </x:c>
      <x:c r="D210" t="s">
        <x:v>121</x:v>
      </x:c>
      <x:c r="E210">
        <x:v>0</x:v>
      </x:c>
      <x:c r="F210">
        <x:v>0</x:v>
      </x:c>
      <x:c r="G210" s="22" t="n">
        <x:f>SUMIFS('Receipts to be received in'!$P$2:$P$53,'Receipts to be received in'!$B$2:$B$53,B210,'Receipts to be received in'!$C$2:$C$53,D210)</x:f>
        <x:v>0</x:v>
      </x:c>
      <x:c r="H210" s="23" t="n">
        <x:f>F210+G210</x:f>
        <x:v>0</x:v>
      </x:c>
      <x:c r="I210" s="22" t="n">
        <x:f>E210*'Receipts to be received in'!$R$7*'Receipts to be received in'!$R$10</x:f>
        <x:v>0</x:v>
      </x:c>
      <x:c r="J210" s="23" t="n">
        <x:f>MAX(0,H210-I210)</x:f>
        <x:v>0</x:v>
      </x:c>
      <x:c r="K210">
        <x:v>0</x:v>
      </x:c>
      <x:c r="L210">
        <x:v>0</x:v>
      </x:c>
      <x:c r="M210" s="1">
        <x:v>44937</x:v>
      </x:c>
      <x:c r="N210">
        <x:v>21.38</x:v>
      </x:c>
      <x:c r="O210" s="3">
        <x:v>43524</x:v>
      </x:c>
      <x:c r="P210" s="3">
        <x:v>41799</x:v>
      </x:c>
      <x:c r="Q210" t="s">
        <x:v>73</x:v>
      </x:c>
      <x:c r="T210">
        <x:v>0</x:v>
      </x:c>
      <x:c r="U210">
        <x:v>0</x:v>
      </x:c>
      <x:c r="V210">
        <x:v>0</x:v>
      </x:c>
      <x:c r="W210">
        <x:v>0</x:v>
      </x:c>
      <x:c r="X210">
        <x:v>221.4</x:v>
      </x:c>
      <x:c r="Y210" s="31" t="n">
        <x:f>J210*N210</x:f>
        <x:v>0</x:v>
      </x:c>
      <x:c r="Z210" s="31" t="n">
        <x:f>IF(J210=0,0,IF(L210&gt;0,J210*L210,"n.a."))</x:f>
        <x:v>0</x:v>
      </x:c>
      <x:c r="AA210" s="31" t="n">
        <x:f>IF(J210=0,0,IF(ISNUMBER(Z210),Z210-Y210,"n.a."))</x:f>
        <x:v>0</x:v>
      </x:c>
      <x:c r="AB210" s="32" t="str">
        <x:f>IF(AND(J210&gt;0,L210&gt;0,N210&gt;0),L210/N210-1,"n.a.")</x:f>
        <x:v>n.a.</x:v>
      </x:c>
      <x:c r="AC210" s="18" t="str">
        <x:f>IF(AND(J210&gt;0,L210&lt;=0),"Missing replacement cost",IF(I210&gt;H210,"Usage exceeds stock",""))</x:f>
      </x:c>
    </x:row>
    <x:row r="211">
      <x:c r="A211" t="s">
        <x:v>15</x:v>
      </x:c>
      <x:c r="B211">
        <x:v>30</x:v>
      </x:c>
      <x:c r="C211" t="s">
        <x:v>64</x:v>
      </x:c>
      <x:c r="D211" t="s">
        <x:v>122</x:v>
      </x:c>
      <x:c r="E211">
        <x:v>0</x:v>
      </x:c>
      <x:c r="F211">
        <x:v>0</x:v>
      </x:c>
      <x:c r="G211" s="22" t="n">
        <x:f>SUMIFS('Receipts to be received in'!$P$2:$P$53,'Receipts to be received in'!$B$2:$B$53,B211,'Receipts to be received in'!$C$2:$C$53,D211)</x:f>
        <x:v>0</x:v>
      </x:c>
      <x:c r="H211" s="23" t="n">
        <x:f>F211+G211</x:f>
        <x:v>0</x:v>
      </x:c>
      <x:c r="I211" s="22" t="n">
        <x:f>E211*'Receipts to be received in'!$R$7*'Receipts to be received in'!$R$10</x:f>
        <x:v>0</x:v>
      </x:c>
      <x:c r="J211" s="23" t="n">
        <x:f>MAX(0,H211-I211)</x:f>
        <x:v>0</x:v>
      </x:c>
      <x:c r="K211">
        <x:v>0</x:v>
      </x:c>
      <x:c r="L211">
        <x:v>0</x:v>
      </x:c>
      <x:c r="M211" s="1">
        <x:v>44937</x:v>
      </x:c>
      <x:c r="N211">
        <x:v>18.63</x:v>
      </x:c>
      <x:c r="O211" s="3">
        <x:v>43525</x:v>
      </x:c>
      <x:c r="P211" s="3">
        <x:v>43208</x:v>
      </x:c>
      <x:c r="Q211" t="s">
        <x:v>73</x:v>
      </x:c>
      <x:c r="T211">
        <x:v>0</x:v>
      </x:c>
      <x:c r="U211">
        <x:v>0</x:v>
      </x:c>
      <x:c r="V211">
        <x:v>0</x:v>
      </x:c>
      <x:c r="W211">
        <x:v>0</x:v>
      </x:c>
      <x:c r="X211">
        <x:v>270.14999999999998</x:v>
      </x:c>
      <x:c r="Y211" s="31" t="n">
        <x:f>J211*N211</x:f>
        <x:v>0</x:v>
      </x:c>
      <x:c r="Z211" s="31" t="n">
        <x:f>IF(J211=0,0,IF(L211&gt;0,J211*L211,"n.a."))</x:f>
        <x:v>0</x:v>
      </x:c>
      <x:c r="AA211" s="31" t="n">
        <x:f>IF(J211=0,0,IF(ISNUMBER(Z211),Z211-Y211,"n.a."))</x:f>
        <x:v>0</x:v>
      </x:c>
      <x:c r="AB211" s="32" t="str">
        <x:f>IF(AND(J211&gt;0,L211&gt;0,N211&gt;0),L211/N211-1,"n.a.")</x:f>
        <x:v>n.a.</x:v>
      </x:c>
      <x:c r="AC211" s="18" t="str">
        <x:f>IF(AND(J211&gt;0,L211&lt;=0),"Missing replacement cost",IF(I211&gt;H211,"Usage exceeds stock",""))</x:f>
      </x:c>
    </x:row>
    <x:row r="212">
      <x:c r="A212" t="s">
        <x:v>15</x:v>
      </x:c>
      <x:c r="B212">
        <x:v>30</x:v>
      </x:c>
      <x:c r="C212" t="s">
        <x:v>64</x:v>
      </x:c>
      <x:c r="D212" t="s">
        <x:v>42</x:v>
      </x:c>
      <x:c r="E212">
        <x:v>0</x:v>
      </x:c>
      <x:c r="F212">
        <x:v>0</x:v>
      </x:c>
      <x:c r="G212" s="22" t="n">
        <x:f>SUMIFS('Receipts to be received in'!$P$2:$P$53,'Receipts to be received in'!$B$2:$B$53,B212,'Receipts to be received in'!$C$2:$C$53,D212)</x:f>
        <x:v>0</x:v>
      </x:c>
      <x:c r="H212" s="23" t="n">
        <x:f>F212+G212</x:f>
        <x:v>0</x:v>
      </x:c>
      <x:c r="I212" s="22" t="n">
        <x:f>E212*'Receipts to be received in'!$R$7*'Receipts to be received in'!$R$10</x:f>
        <x:v>0</x:v>
      </x:c>
      <x:c r="J212" s="23" t="n">
        <x:f>MAX(0,H212-I212)</x:f>
        <x:v>0</x:v>
      </x:c>
      <x:c r="K212">
        <x:v>0</x:v>
      </x:c>
      <x:c r="L212">
        <x:v>35.340000000000003</x:v>
      </x:c>
      <x:c r="M212" s="1">
        <x:v>46134</x:v>
      </x:c>
      <x:c r="N212">
        <x:v>29.41</x:v>
      </x:c>
      <x:c r="O212" s="3">
        <x:v>46027</x:v>
      </x:c>
      <x:c r="Q212" s="2">
        <x:v>-0.1678</x:v>
      </x:c>
      <x:c r="T212">
        <x:v>0</x:v>
      </x:c>
      <x:c r="U212">
        <x:v>0</x:v>
      </x:c>
      <x:c r="V212">
        <x:v>0</x:v>
      </x:c>
      <x:c r="W212">
        <x:v>0</x:v>
      </x:c>
      <x:c r="X212">
        <x:v>943.79</x:v>
      </x:c>
      <x:c r="Y212" s="31" t="n">
        <x:f>J212*N212</x:f>
        <x:v>0</x:v>
      </x:c>
      <x:c r="Z212" s="31" t="n">
        <x:f>IF(J212=0,0,IF(L212&gt;0,J212*L212,"n.a."))</x:f>
        <x:v>0</x:v>
      </x:c>
      <x:c r="AA212" s="31" t="n">
        <x:f>IF(J212=0,0,IF(ISNUMBER(Z212),Z212-Y212,"n.a."))</x:f>
        <x:v>0</x:v>
      </x:c>
      <x:c r="AB212" s="32" t="str">
        <x:f>IF(AND(J212&gt;0,L212&gt;0,N212&gt;0),L212/N212-1,"n.a.")</x:f>
        <x:v>n.a.</x:v>
      </x:c>
      <x:c r="AC212" s="18" t="str">
        <x:f>IF(AND(J212&gt;0,L212&lt;=0),"Missing replacement cost",IF(I212&gt;H212,"Usage exceeds stock",""))</x:f>
      </x:c>
    </x:row>
    <x:row r="213">
      <x:c r="A213" t="s">
        <x:v>15</x:v>
      </x:c>
      <x:c r="B213">
        <x:v>30</x:v>
      </x:c>
      <x:c r="C213" t="s">
        <x:v>64</x:v>
      </x:c>
      <x:c r="D213" t="s">
        <x:v>123</x:v>
      </x:c>
      <x:c r="E213">
        <x:v>0</x:v>
      </x:c>
      <x:c r="F213">
        <x:v>0</x:v>
      </x:c>
      <x:c r="G213" s="22" t="n">
        <x:f>SUMIFS('Receipts to be received in'!$P$2:$P$53,'Receipts to be received in'!$B$2:$B$53,B213,'Receipts to be received in'!$C$2:$C$53,D213)</x:f>
        <x:v>0</x:v>
      </x:c>
      <x:c r="H213" s="23" t="n">
        <x:f>F213+G213</x:f>
        <x:v>0</x:v>
      </x:c>
      <x:c r="I213" s="22" t="n">
        <x:f>E213*'Receipts to be received in'!$R$7*'Receipts to be received in'!$R$10</x:f>
        <x:v>0</x:v>
      </x:c>
      <x:c r="J213" s="23" t="n">
        <x:f>MAX(0,H213-I213)</x:f>
        <x:v>0</x:v>
      </x:c>
      <x:c r="K213">
        <x:v>0</x:v>
      </x:c>
      <x:c r="L213">
        <x:v>39.99</x:v>
      </x:c>
      <x:c r="M213" s="1">
        <x:v>46134</x:v>
      </x:c>
      <x:c r="N213">
        <x:v>33.28</x:v>
      </x:c>
      <x:c r="O213" s="3">
        <x:v>46027</x:v>
      </x:c>
      <x:c r="Q213" s="2">
        <x:v>-0.1678</x:v>
      </x:c>
      <x:c r="T213">
        <x:v>0</x:v>
      </x:c>
      <x:c r="U213">
        <x:v>0</x:v>
      </x:c>
      <x:c r="V213">
        <x:v>0</x:v>
      </x:c>
      <x:c r="W213">
        <x:v>0</x:v>
      </x:c>
      <x:c r="X213">
        <x:v>1067.9100000000001</x:v>
      </x:c>
      <x:c r="Y213" s="31" t="n">
        <x:f>J213*N213</x:f>
        <x:v>0</x:v>
      </x:c>
      <x:c r="Z213" s="31" t="n">
        <x:f>IF(J213=0,0,IF(L213&gt;0,J213*L213,"n.a."))</x:f>
        <x:v>0</x:v>
      </x:c>
      <x:c r="AA213" s="31" t="n">
        <x:f>IF(J213=0,0,IF(ISNUMBER(Z213),Z213-Y213,"n.a."))</x:f>
        <x:v>0</x:v>
      </x:c>
      <x:c r="AB213" s="32" t="str">
        <x:f>IF(AND(J213&gt;0,L213&gt;0,N213&gt;0),L213/N213-1,"n.a.")</x:f>
        <x:v>n.a.</x:v>
      </x:c>
      <x:c r="AC213" s="18" t="str">
        <x:f>IF(AND(J213&gt;0,L213&lt;=0),"Missing replacement cost",IF(I213&gt;H213,"Usage exceeds stock",""))</x:f>
      </x:c>
    </x:row>
    <x:row r="214">
      <x:c r="A214" t="s">
        <x:v>15</x:v>
      </x:c>
      <x:c r="B214">
        <x:v>30</x:v>
      </x:c>
      <x:c r="C214" t="s">
        <x:v>64</x:v>
      </x:c>
      <x:c r="D214" t="s">
        <x:v>124</x:v>
      </x:c>
      <x:c r="E214">
        <x:v>0</x:v>
      </x:c>
      <x:c r="F214">
        <x:v>0</x:v>
      </x:c>
      <x:c r="G214" s="22" t="n">
        <x:f>SUMIFS('Receipts to be received in'!$P$2:$P$53,'Receipts to be received in'!$B$2:$B$53,B214,'Receipts to be received in'!$C$2:$C$53,D214)</x:f>
        <x:v>0</x:v>
      </x:c>
      <x:c r="H214" s="23" t="n">
        <x:f>F214+G214</x:f>
        <x:v>0</x:v>
      </x:c>
      <x:c r="I214" s="22" t="n">
        <x:f>E214*'Receipts to be received in'!$R$7*'Receipts to be received in'!$R$10</x:f>
        <x:v>0</x:v>
      </x:c>
      <x:c r="J214" s="23" t="n">
        <x:f>MAX(0,H214-I214)</x:f>
        <x:v>0</x:v>
      </x:c>
      <x:c r="K214">
        <x:v>0</x:v>
      </x:c>
      <x:c r="L214">
        <x:v>0</x:v>
      </x:c>
      <x:c r="M214" s="1">
        <x:v>44216</x:v>
      </x:c>
      <x:c r="N214">
        <x:v>0</x:v>
      </x:c>
      <x:c r="O214" s="3">
        <x:v>44216</x:v>
      </x:c>
      <x:c r="P214" s="3">
        <x:v>45894</x:v>
      </x:c>
      <x:c r="Q214" t="s">
        <x:v>107</x:v>
      </x:c>
      <x:c r="T214">
        <x:v>0</x:v>
      </x:c>
      <x:c r="U214">
        <x:v>0</x:v>
      </x:c>
      <x:c r="V214">
        <x:v>0</x:v>
      </x:c>
      <x:c r="W214">
        <x:v>0</x:v>
      </x:c>
      <x:c r="X214">
        <x:v>0</x:v>
      </x:c>
      <x:c r="Y214" s="31" t="n">
        <x:f>J214*N214</x:f>
        <x:v>0</x:v>
      </x:c>
      <x:c r="Z214" s="31" t="n">
        <x:f>IF(J214=0,0,IF(L214&gt;0,J214*L214,"n.a."))</x:f>
        <x:v>0</x:v>
      </x:c>
      <x:c r="AA214" s="31" t="n">
        <x:f>IF(J214=0,0,IF(ISNUMBER(Z214),Z214-Y214,"n.a."))</x:f>
        <x:v>0</x:v>
      </x:c>
      <x:c r="AB214" s="32" t="str">
        <x:f>IF(AND(J214&gt;0,L214&gt;0,N214&gt;0),L214/N214-1,"n.a.")</x:f>
        <x:v>n.a.</x:v>
      </x:c>
      <x:c r="AC214" s="18" t="str">
        <x:f>IF(AND(J214&gt;0,L214&lt;=0),"Missing replacement cost",IF(I214&gt;H214,"Usage exceeds stock",""))</x:f>
      </x:c>
    </x:row>
    <x:row r="215">
      <x:c r="A215" t="s">
        <x:v>15</x:v>
      </x:c>
      <x:c r="B215">
        <x:v>30</x:v>
      </x:c>
      <x:c r="C215" t="s">
        <x:v>64</x:v>
      </x:c>
      <x:c r="D215" t="s">
        <x:v>125</x:v>
      </x:c>
      <x:c r="E215">
        <x:v>0</x:v>
      </x:c>
      <x:c r="F215">
        <x:v>0</x:v>
      </x:c>
      <x:c r="G215" s="22" t="n">
        <x:f>SUMIFS('Receipts to be received in'!$P$2:$P$53,'Receipts to be received in'!$B$2:$B$53,B215,'Receipts to be received in'!$C$2:$C$53,D215)</x:f>
        <x:v>0</x:v>
      </x:c>
      <x:c r="H215" s="23" t="n">
        <x:f>F215+G215</x:f>
        <x:v>0</x:v>
      </x:c>
      <x:c r="I215" s="22" t="n">
        <x:f>E215*'Receipts to be received in'!$R$7*'Receipts to be received in'!$R$10</x:f>
        <x:v>0</x:v>
      </x:c>
      <x:c r="J215" s="23" t="n">
        <x:f>MAX(0,H215-I215)</x:f>
        <x:v>0</x:v>
      </x:c>
      <x:c r="K215">
        <x:v>0</x:v>
      </x:c>
      <x:c r="L215">
        <x:v>0</x:v>
      </x:c>
      <x:c r="M215" s="1">
        <x:v>44937</x:v>
      </x:c>
      <x:c r="N215">
        <x:v>0</x:v>
      </x:c>
      <x:c r="O215" s="3">
        <x:v>45064</x:v>
      </x:c>
      <x:c r="P215" s="3">
        <x:v>42186</x:v>
      </x:c>
      <x:c r="Q215" t="s">
        <x:v>107</x:v>
      </x:c>
      <x:c r="T215">
        <x:v>0</x:v>
      </x:c>
      <x:c r="U215">
        <x:v>0</x:v>
      </x:c>
      <x:c r="V215">
        <x:v>0</x:v>
      </x:c>
      <x:c r="W215">
        <x:v>0</x:v>
      </x:c>
      <x:c r="X215">
        <x:v>0</x:v>
      </x:c>
      <x:c r="Y215" s="31" t="n">
        <x:f>J215*N215</x:f>
        <x:v>0</x:v>
      </x:c>
      <x:c r="Z215" s="31" t="n">
        <x:f>IF(J215=0,0,IF(L215&gt;0,J215*L215,"n.a."))</x:f>
        <x:v>0</x:v>
      </x:c>
      <x:c r="AA215" s="31" t="n">
        <x:f>IF(J215=0,0,IF(ISNUMBER(Z215),Z215-Y215,"n.a."))</x:f>
        <x:v>0</x:v>
      </x:c>
      <x:c r="AB215" s="32" t="str">
        <x:f>IF(AND(J215&gt;0,L215&gt;0,N215&gt;0),L215/N215-1,"n.a.")</x:f>
        <x:v>n.a.</x:v>
      </x:c>
      <x:c r="AC215" s="18" t="str">
        <x:f>IF(AND(J215&gt;0,L215&lt;=0),"Missing replacement cost",IF(I215&gt;H215,"Usage exceeds stock",""))</x:f>
      </x:c>
    </x:row>
    <x:row r="216">
      <x:c r="A216" t="s">
        <x:v>15</x:v>
      </x:c>
      <x:c r="B216">
        <x:v>30</x:v>
      </x:c>
      <x:c r="C216" t="s">
        <x:v>64</x:v>
      </x:c>
      <x:c r="D216" t="s">
        <x:v>126</x:v>
      </x:c>
      <x:c r="E216">
        <x:v>0</x:v>
      </x:c>
      <x:c r="F216">
        <x:v>0</x:v>
      </x:c>
      <x:c r="G216" s="22" t="n">
        <x:f>SUMIFS('Receipts to be received in'!$P$2:$P$53,'Receipts to be received in'!$B$2:$B$53,B216,'Receipts to be received in'!$C$2:$C$53,D216)</x:f>
        <x:v>0</x:v>
      </x:c>
      <x:c r="H216" s="23" t="n">
        <x:f>F216+G216</x:f>
        <x:v>0</x:v>
      </x:c>
      <x:c r="I216" s="22" t="n">
        <x:f>E216*'Receipts to be received in'!$R$7*'Receipts to be received in'!$R$10</x:f>
        <x:v>0</x:v>
      </x:c>
      <x:c r="J216" s="23" t="n">
        <x:f>MAX(0,H216-I216)</x:f>
        <x:v>0</x:v>
      </x:c>
      <x:c r="K216">
        <x:v>0</x:v>
      </x:c>
      <x:c r="L216">
        <x:v>0</x:v>
      </x:c>
      <x:c r="M216" s="1">
        <x:v>44937</x:v>
      </x:c>
      <x:c r="N216">
        <x:v>52.99</x:v>
      </x:c>
      <x:c r="O216" s="3">
        <x:v>44459</x:v>
      </x:c>
      <x:c r="P216" s="3">
        <x:v>43997</x:v>
      </x:c>
      <x:c r="Q216" t="s">
        <x:v>73</x:v>
      </x:c>
      <x:c r="T216">
        <x:v>0</x:v>
      </x:c>
      <x:c r="U216">
        <x:v>0</x:v>
      </x:c>
      <x:c r="V216">
        <x:v>0</x:v>
      </x:c>
      <x:c r="W216">
        <x:v>0</x:v>
      </x:c>
      <x:c r="X216">
        <x:v>661.95</x:v>
      </x:c>
      <x:c r="Y216" s="31" t="n">
        <x:f>J216*N216</x:f>
        <x:v>0</x:v>
      </x:c>
      <x:c r="Z216" s="31" t="n">
        <x:f>IF(J216=0,0,IF(L216&gt;0,J216*L216,"n.a."))</x:f>
        <x:v>0</x:v>
      </x:c>
      <x:c r="AA216" s="31" t="n">
        <x:f>IF(J216=0,0,IF(ISNUMBER(Z216),Z216-Y216,"n.a."))</x:f>
        <x:v>0</x:v>
      </x:c>
      <x:c r="AB216" s="32" t="str">
        <x:f>IF(AND(J216&gt;0,L216&gt;0,N216&gt;0),L216/N216-1,"n.a.")</x:f>
        <x:v>n.a.</x:v>
      </x:c>
      <x:c r="AC216" s="18" t="str">
        <x:f>IF(AND(J216&gt;0,L216&lt;=0),"Missing replacement cost",IF(I216&gt;H216,"Usage exceeds stock",""))</x:f>
      </x:c>
    </x:row>
    <x:row r="217">
      <x:c r="A217" t="s">
        <x:v>15</x:v>
      </x:c>
      <x:c r="B217">
        <x:v>30</x:v>
      </x:c>
      <x:c r="C217" t="s">
        <x:v>64</x:v>
      </x:c>
      <x:c r="D217" t="s">
        <x:v>31</x:v>
      </x:c>
      <x:c r="E217">
        <x:v>0</x:v>
      </x:c>
      <x:c r="F217">
        <x:v>122</x:v>
      </x:c>
      <x:c r="G217" s="22" t="n">
        <x:f>SUMIFS('Receipts to be received in'!$P$2:$P$53,'Receipts to be received in'!$B$2:$B$53,B217,'Receipts to be received in'!$C$2:$C$53,D217)</x:f>
        <x:v>0</x:v>
      </x:c>
      <x:c r="H217" s="23" t="n">
        <x:f>F217+G217</x:f>
        <x:v>122</x:v>
      </x:c>
      <x:c r="I217" s="22" t="n">
        <x:f>E217*'Receipts to be received in'!$R$7*'Receipts to be received in'!$R$10</x:f>
        <x:v>0</x:v>
      </x:c>
      <x:c r="J217" s="23" t="n">
        <x:f>MAX(0,H217-I217)</x:f>
        <x:v>122</x:v>
      </x:c>
      <x:c r="K217">
        <x:v>0</x:v>
      </x:c>
      <x:c r="L217">
        <x:v>9.7200000000000006</x:v>
      </x:c>
      <x:c r="M217" s="1">
        <x:v>46133</x:v>
      </x:c>
      <x:c r="N217">
        <x:v>8.1</x:v>
      </x:c>
      <x:c r="O217" s="3">
        <x:v>46027</x:v>
      </x:c>
      <x:c r="P217" s="3">
        <x:v>45671</x:v>
      </x:c>
      <x:c r="Q217" s="2">
        <x:v>-0.16669999999999999</x:v>
      </x:c>
      <x:c r="T217">
        <x:v>197.64</x:v>
      </x:c>
      <x:c r="U217">
        <x:v>0</x:v>
      </x:c>
      <x:c r="V217">
        <x:v>988.19999999999902</x:v>
      </x:c>
      <x:c r="W217">
        <x:v>1185.8399999999999</x:v>
      </x:c>
      <x:c r="X217">
        <x:v>166.33</x:v>
      </x:c>
      <x:c r="Y217" s="31" t="n">
        <x:f>J217*N217</x:f>
        <x:v>988.1999999999999</x:v>
      </x:c>
      <x:c r="Z217" s="31" t="n">
        <x:f>IF(J217=0,0,IF(L217&gt;0,J217*L217,"n.a."))</x:f>
        <x:v>1185.8400000000001</x:v>
      </x:c>
      <x:c r="AA217" s="31" t="n">
        <x:f>IF(J217=0,0,IF(ISNUMBER(Z217),Z217-Y217,"n.a."))</x:f>
        <x:v>197.6400000000002</x:v>
      </x:c>
      <x:c r="AB217" s="32" t="n">
        <x:f>IF(AND(J217&gt;0,L217&gt;0,N217&gt;0),L217/N217-1,"n.a.")</x:f>
        <x:v>0.20000000000000018</x:v>
      </x:c>
      <x:c r="AC217" s="18" t="str">
        <x:f>IF(AND(J217&gt;0,L217&lt;=0),"Missing replacement cost",IF(I217&gt;H217,"Usage exceeds stock",""))</x:f>
      </x:c>
    </x:row>
    <x:row r="218">
      <x:c r="A218" t="s">
        <x:v>15</x:v>
      </x:c>
      <x:c r="B218">
        <x:v>30</x:v>
      </x:c>
      <x:c r="C218" t="s">
        <x:v>64</x:v>
      </x:c>
      <x:c r="D218" t="s">
        <x:v>127</x:v>
      </x:c>
      <x:c r="E218">
        <x:v>0</x:v>
      </x:c>
      <x:c r="F218">
        <x:v>0</x:v>
      </x:c>
      <x:c r="G218" s="22" t="n">
        <x:f>SUMIFS('Receipts to be received in'!$P$2:$P$53,'Receipts to be received in'!$B$2:$B$53,B218,'Receipts to be received in'!$C$2:$C$53,D218)</x:f>
        <x:v>0</x:v>
      </x:c>
      <x:c r="H218" s="23" t="n">
        <x:f>F218+G218</x:f>
        <x:v>0</x:v>
      </x:c>
      <x:c r="I218" s="22" t="n">
        <x:f>E218*'Receipts to be received in'!$R$7*'Receipts to be received in'!$R$10</x:f>
        <x:v>0</x:v>
      </x:c>
      <x:c r="J218" s="23" t="n">
        <x:f>MAX(0,H218-I218)</x:f>
        <x:v>0</x:v>
      </x:c>
      <x:c r="K218">
        <x:v>0</x:v>
      </x:c>
      <x:c r="L218">
        <x:v>0</x:v>
      </x:c>
      <x:c r="M218" s="1">
        <x:v>44937</x:v>
      </x:c>
      <x:c r="N218">
        <x:v>0</x:v>
      </x:c>
      <x:c r="O218" s="3">
        <x:v>45210</x:v>
      </x:c>
      <x:c r="P218" s="3">
        <x:v>41799</x:v>
      </x:c>
      <x:c r="Q218" t="s">
        <x:v>107</x:v>
      </x:c>
      <x:c r="T218">
        <x:v>0</x:v>
      </x:c>
      <x:c r="U218">
        <x:v>0</x:v>
      </x:c>
      <x:c r="V218">
        <x:v>0</x:v>
      </x:c>
      <x:c r="W218">
        <x:v>0</x:v>
      </x:c>
      <x:c r="X218">
        <x:v>109.46</x:v>
      </x:c>
      <x:c r="Y218" s="31" t="n">
        <x:f>J218*N218</x:f>
        <x:v>0</x:v>
      </x:c>
      <x:c r="Z218" s="31" t="n">
        <x:f>IF(J218=0,0,IF(L218&gt;0,J218*L218,"n.a."))</x:f>
        <x:v>0</x:v>
      </x:c>
      <x:c r="AA218" s="31" t="n">
        <x:f>IF(J218=0,0,IF(ISNUMBER(Z218),Z218-Y218,"n.a."))</x:f>
        <x:v>0</x:v>
      </x:c>
      <x:c r="AB218" s="32" t="str">
        <x:f>IF(AND(J218&gt;0,L218&gt;0,N218&gt;0),L218/N218-1,"n.a.")</x:f>
        <x:v>n.a.</x:v>
      </x:c>
      <x:c r="AC218" s="18" t="str">
        <x:f>IF(AND(J218&gt;0,L218&lt;=0),"Missing replacement cost",IF(I218&gt;H218,"Usage exceeds stock",""))</x:f>
      </x:c>
    </x:row>
    <x:row r="219">
      <x:c r="A219" t="s">
        <x:v>15</x:v>
      </x:c>
      <x:c r="B219">
        <x:v>30</x:v>
      </x:c>
      <x:c r="C219" t="s">
        <x:v>64</x:v>
      </x:c>
      <x:c r="D219" t="s">
        <x:v>129</x:v>
      </x:c>
      <x:c r="E219">
        <x:v>0</x:v>
      </x:c>
      <x:c r="F219">
        <x:v>0</x:v>
      </x:c>
      <x:c r="G219" s="22" t="n">
        <x:f>SUMIFS('Receipts to be received in'!$P$2:$P$53,'Receipts to be received in'!$B$2:$B$53,B219,'Receipts to be received in'!$C$2:$C$53,D219)</x:f>
        <x:v>0</x:v>
      </x:c>
      <x:c r="H219" s="23" t="n">
        <x:f>F219+G219</x:f>
        <x:v>0</x:v>
      </x:c>
      <x:c r="I219" s="22" t="n">
        <x:f>E219*'Receipts to be received in'!$R$7*'Receipts to be received in'!$R$10</x:f>
        <x:v>0</x:v>
      </x:c>
      <x:c r="J219" s="23" t="n">
        <x:f>MAX(0,H219-I219)</x:f>
        <x:v>0</x:v>
      </x:c>
      <x:c r="K219">
        <x:v>0</x:v>
      </x:c>
      <x:c r="L219">
        <x:v>0</x:v>
      </x:c>
      <x:c r="M219" s="1">
        <x:v>44937</x:v>
      </x:c>
      <x:c r="N219">
        <x:v>72.14</x:v>
      </x:c>
      <x:c r="O219" s="3">
        <x:v>44330</x:v>
      </x:c>
      <x:c r="P219" s="3">
        <x:v>43104</x:v>
      </x:c>
      <x:c r="Q219" t="s">
        <x:v>73</x:v>
      </x:c>
      <x:c r="T219">
        <x:v>0</x:v>
      </x:c>
      <x:c r="U219">
        <x:v>0</x:v>
      </x:c>
      <x:c r="V219">
        <x:v>0</x:v>
      </x:c>
      <x:c r="W219">
        <x:v>0</x:v>
      </x:c>
      <x:c r="X219">
        <x:v>902.11</x:v>
      </x:c>
      <x:c r="Y219" s="31" t="n">
        <x:f>J219*N219</x:f>
        <x:v>0</x:v>
      </x:c>
      <x:c r="Z219" s="31" t="n">
        <x:f>IF(J219=0,0,IF(L219&gt;0,J219*L219,"n.a."))</x:f>
        <x:v>0</x:v>
      </x:c>
      <x:c r="AA219" s="31" t="n">
        <x:f>IF(J219=0,0,IF(ISNUMBER(Z219),Z219-Y219,"n.a."))</x:f>
        <x:v>0</x:v>
      </x:c>
      <x:c r="AB219" s="32" t="str">
        <x:f>IF(AND(J219&gt;0,L219&gt;0,N219&gt;0),L219/N219-1,"n.a.")</x:f>
        <x:v>n.a.</x:v>
      </x:c>
      <x:c r="AC219" s="18" t="str">
        <x:f>IF(AND(J219&gt;0,L219&lt;=0),"Missing replacement cost",IF(I219&gt;H219,"Usage exceeds stock",""))</x:f>
      </x:c>
    </x:row>
    <x:row r="220">
      <x:c r="A220" t="s">
        <x:v>15</x:v>
      </x:c>
      <x:c r="B220">
        <x:v>30</x:v>
      </x:c>
      <x:c r="C220" t="s">
        <x:v>64</x:v>
      </x:c>
      <x:c r="D220" t="s">
        <x:v>130</x:v>
      </x:c>
      <x:c r="E220">
        <x:v>0</x:v>
      </x:c>
      <x:c r="F220">
        <x:v>0</x:v>
      </x:c>
      <x:c r="G220" s="22" t="n">
        <x:f>SUMIFS('Receipts to be received in'!$P$2:$P$53,'Receipts to be received in'!$B$2:$B$53,B220,'Receipts to be received in'!$C$2:$C$53,D220)</x:f>
        <x:v>0</x:v>
      </x:c>
      <x:c r="H220" s="23" t="n">
        <x:f>F220+G220</x:f>
        <x:v>0</x:v>
      </x:c>
      <x:c r="I220" s="22" t="n">
        <x:f>E220*'Receipts to be received in'!$R$7*'Receipts to be received in'!$R$10</x:f>
        <x:v>0</x:v>
      </x:c>
      <x:c r="J220" s="23" t="n">
        <x:f>MAX(0,H220-I220)</x:f>
        <x:v>0</x:v>
      </x:c>
      <x:c r="K220">
        <x:v>0</x:v>
      </x:c>
      <x:c r="L220">
        <x:v>0</x:v>
      </x:c>
      <x:c r="M220" s="1">
        <x:v>44937</x:v>
      </x:c>
      <x:c r="N220">
        <x:v>0</x:v>
      </x:c>
      <x:c r="O220" s="3">
        <x:v>45210</x:v>
      </x:c>
      <x:c r="P220" s="3">
        <x:v>41799</x:v>
      </x:c>
      <x:c r="Q220" t="s">
        <x:v>107</x:v>
      </x:c>
      <x:c r="T220">
        <x:v>0</x:v>
      </x:c>
      <x:c r="U220">
        <x:v>0</x:v>
      </x:c>
      <x:c r="V220">
        <x:v>0</x:v>
      </x:c>
      <x:c r="W220">
        <x:v>0</x:v>
      </x:c>
      <x:c r="X220">
        <x:v>163.88</x:v>
      </x:c>
      <x:c r="Y220" s="31" t="n">
        <x:f>J220*N220</x:f>
        <x:v>0</x:v>
      </x:c>
      <x:c r="Z220" s="31" t="n">
        <x:f>IF(J220=0,0,IF(L220&gt;0,J220*L220,"n.a."))</x:f>
        <x:v>0</x:v>
      </x:c>
      <x:c r="AA220" s="31" t="n">
        <x:f>IF(J220=0,0,IF(ISNUMBER(Z220),Z220-Y220,"n.a."))</x:f>
        <x:v>0</x:v>
      </x:c>
      <x:c r="AB220" s="32" t="str">
        <x:f>IF(AND(J220&gt;0,L220&gt;0,N220&gt;0),L220/N220-1,"n.a.")</x:f>
        <x:v>n.a.</x:v>
      </x:c>
      <x:c r="AC220" s="18" t="str">
        <x:f>IF(AND(J220&gt;0,L220&lt;=0),"Missing replacement cost",IF(I220&gt;H220,"Usage exceeds stock",""))</x:f>
      </x:c>
    </x:row>
    <x:row r="221">
      <x:c r="A221" t="s">
        <x:v>15</x:v>
      </x:c>
      <x:c r="B221">
        <x:v>30</x:v>
      </x:c>
      <x:c r="C221" t="s">
        <x:v>64</x:v>
      </x:c>
      <x:c r="D221" t="s">
        <x:v>131</x:v>
      </x:c>
      <x:c r="E221">
        <x:v>0</x:v>
      </x:c>
      <x:c r="F221">
        <x:v>0</x:v>
      </x:c>
      <x:c r="G221" s="22" t="n">
        <x:f>SUMIFS('Receipts to be received in'!$P$2:$P$53,'Receipts to be received in'!$B$2:$B$53,B221,'Receipts to be received in'!$C$2:$C$53,D221)</x:f>
        <x:v>0</x:v>
      </x:c>
      <x:c r="H221" s="23" t="n">
        <x:f>F221+G221</x:f>
        <x:v>0</x:v>
      </x:c>
      <x:c r="I221" s="22" t="n">
        <x:f>E221*'Receipts to be received in'!$R$7*'Receipts to be received in'!$R$10</x:f>
        <x:v>0</x:v>
      </x:c>
      <x:c r="J221" s="23" t="n">
        <x:f>MAX(0,H221-I221)</x:f>
        <x:v>0</x:v>
      </x:c>
      <x:c r="K221">
        <x:v>0</x:v>
      </x:c>
      <x:c r="L221">
        <x:v>0</x:v>
      </x:c>
      <x:c r="M221" s="1">
        <x:v>44937</x:v>
      </x:c>
      <x:c r="N221">
        <x:v>0</x:v>
      </x:c>
      <x:c r="O221" s="3">
        <x:v>45064</x:v>
      </x:c>
      <x:c r="P221" s="3">
        <x:v>42135</x:v>
      </x:c>
      <x:c r="Q221" t="s">
        <x:v>107</x:v>
      </x:c>
      <x:c r="T221">
        <x:v>0</x:v>
      </x:c>
      <x:c r="U221">
        <x:v>0</x:v>
      </x:c>
      <x:c r="V221">
        <x:v>0</x:v>
      </x:c>
      <x:c r="W221">
        <x:v>0</x:v>
      </x:c>
      <x:c r="X221">
        <x:v>0</x:v>
      </x:c>
      <x:c r="Y221" s="31" t="n">
        <x:f>J221*N221</x:f>
        <x:v>0</x:v>
      </x:c>
      <x:c r="Z221" s="31" t="n">
        <x:f>IF(J221=0,0,IF(L221&gt;0,J221*L221,"n.a."))</x:f>
        <x:v>0</x:v>
      </x:c>
      <x:c r="AA221" s="31" t="n">
        <x:f>IF(J221=0,0,IF(ISNUMBER(Z221),Z221-Y221,"n.a."))</x:f>
        <x:v>0</x:v>
      </x:c>
      <x:c r="AB221" s="32" t="str">
        <x:f>IF(AND(J221&gt;0,L221&gt;0,N221&gt;0),L221/N221-1,"n.a.")</x:f>
        <x:v>n.a.</x:v>
      </x:c>
      <x:c r="AC221" s="18" t="str">
        <x:f>IF(AND(J221&gt;0,L221&lt;=0),"Missing replacement cost",IF(I221&gt;H221,"Usage exceeds stock",""))</x:f>
      </x:c>
    </x:row>
    <x:row r="222">
      <x:c r="A222" t="s">
        <x:v>15</x:v>
      </x:c>
      <x:c r="B222">
        <x:v>30</x:v>
      </x:c>
      <x:c r="C222" t="s">
        <x:v>64</x:v>
      </x:c>
      <x:c r="D222" t="s">
        <x:v>132</x:v>
      </x:c>
      <x:c r="E222">
        <x:v>0</x:v>
      </x:c>
      <x:c r="F222">
        <x:v>0</x:v>
      </x:c>
      <x:c r="G222" s="22" t="n">
        <x:f>SUMIFS('Receipts to be received in'!$P$2:$P$53,'Receipts to be received in'!$B$2:$B$53,B222,'Receipts to be received in'!$C$2:$C$53,D222)</x:f>
        <x:v>0</x:v>
      </x:c>
      <x:c r="H222" s="23" t="n">
        <x:f>F222+G222</x:f>
        <x:v>0</x:v>
      </x:c>
      <x:c r="I222" s="22" t="n">
        <x:f>E222*'Receipts to be received in'!$R$7*'Receipts to be received in'!$R$10</x:f>
        <x:v>0</x:v>
      </x:c>
      <x:c r="J222" s="23" t="n">
        <x:f>MAX(0,H222-I222)</x:f>
        <x:v>0</x:v>
      </x:c>
      <x:c r="K222">
        <x:v>0</x:v>
      </x:c>
      <x:c r="L222">
        <x:v>0</x:v>
      </x:c>
      <x:c r="M222" s="1">
        <x:v>44937</x:v>
      </x:c>
      <x:c r="N222">
        <x:v>18.45</x:v>
      </x:c>
      <x:c r="O222" s="3">
        <x:v>43524</x:v>
      </x:c>
      <x:c r="P222" s="3">
        <x:v>42765</x:v>
      </x:c>
      <x:c r="Q222" t="s">
        <x:v>73</x:v>
      </x:c>
      <x:c r="T222">
        <x:v>0</x:v>
      </x:c>
      <x:c r="U222">
        <x:v>0</x:v>
      </x:c>
      <x:c r="V222">
        <x:v>0</x:v>
      </x:c>
      <x:c r="W222">
        <x:v>0</x:v>
      </x:c>
      <x:c r="X222">
        <x:v>225.26</x:v>
      </x:c>
      <x:c r="Y222" s="31" t="n">
        <x:f>J222*N222</x:f>
        <x:v>0</x:v>
      </x:c>
      <x:c r="Z222" s="31" t="n">
        <x:f>IF(J222=0,0,IF(L222&gt;0,J222*L222,"n.a."))</x:f>
        <x:v>0</x:v>
      </x:c>
      <x:c r="AA222" s="31" t="n">
        <x:f>IF(J222=0,0,IF(ISNUMBER(Z222),Z222-Y222,"n.a."))</x:f>
        <x:v>0</x:v>
      </x:c>
      <x:c r="AB222" s="32" t="str">
        <x:f>IF(AND(J222&gt;0,L222&gt;0,N222&gt;0),L222/N222-1,"n.a.")</x:f>
        <x:v>n.a.</x:v>
      </x:c>
      <x:c r="AC222" s="18" t="str">
        <x:f>IF(AND(J222&gt;0,L222&lt;=0),"Missing replacement cost",IF(I222&gt;H222,"Usage exceeds stock",""))</x:f>
      </x:c>
    </x:row>
    <x:row r="223">
      <x:c r="A223" t="s">
        <x:v>15</x:v>
      </x:c>
      <x:c r="B223">
        <x:v>30</x:v>
      </x:c>
      <x:c r="C223" t="s">
        <x:v>64</x:v>
      </x:c>
      <x:c r="D223" t="s">
        <x:v>133</x:v>
      </x:c>
      <x:c r="E223">
        <x:v>0</x:v>
      </x:c>
      <x:c r="F223">
        <x:v>0</x:v>
      </x:c>
      <x:c r="G223" s="22" t="n">
        <x:f>SUMIFS('Receipts to be received in'!$P$2:$P$53,'Receipts to be received in'!$B$2:$B$53,B223,'Receipts to be received in'!$C$2:$C$53,D223)</x:f>
        <x:v>0</x:v>
      </x:c>
      <x:c r="H223" s="23" t="n">
        <x:f>F223+G223</x:f>
        <x:v>0</x:v>
      </x:c>
      <x:c r="I223" s="22" t="n">
        <x:f>E223*'Receipts to be received in'!$R$7*'Receipts to be received in'!$R$10</x:f>
        <x:v>0</x:v>
      </x:c>
      <x:c r="J223" s="23" t="n">
        <x:f>MAX(0,H223-I223)</x:f>
        <x:v>0</x:v>
      </x:c>
      <x:c r="K223">
        <x:v>0</x:v>
      </x:c>
      <x:c r="L223">
        <x:v>0</x:v>
      </x:c>
      <x:c r="M223" s="1">
        <x:v>44937</x:v>
      </x:c>
      <x:c r="N223">
        <x:v>19.93</x:v>
      </x:c>
      <x:c r="O223" s="3">
        <x:v>43524</x:v>
      </x:c>
      <x:c r="P223" s="3">
        <x:v>41799</x:v>
      </x:c>
      <x:c r="Q223" t="s">
        <x:v>73</x:v>
      </x:c>
      <x:c r="T223">
        <x:v>0</x:v>
      </x:c>
      <x:c r="U223">
        <x:v>0</x:v>
      </x:c>
      <x:c r="V223">
        <x:v>0</x:v>
      </x:c>
      <x:c r="W223">
        <x:v>0</x:v>
      </x:c>
      <x:c r="X223">
        <x:v>233.81</x:v>
      </x:c>
      <x:c r="Y223" s="31" t="n">
        <x:f>J223*N223</x:f>
        <x:v>0</x:v>
      </x:c>
      <x:c r="Z223" s="31" t="n">
        <x:f>IF(J223=0,0,IF(L223&gt;0,J223*L223,"n.a."))</x:f>
        <x:v>0</x:v>
      </x:c>
      <x:c r="AA223" s="31" t="n">
        <x:f>IF(J223=0,0,IF(ISNUMBER(Z223),Z223-Y223,"n.a."))</x:f>
        <x:v>0</x:v>
      </x:c>
      <x:c r="AB223" s="32" t="str">
        <x:f>IF(AND(J223&gt;0,L223&gt;0,N223&gt;0),L223/N223-1,"n.a.")</x:f>
        <x:v>n.a.</x:v>
      </x:c>
      <x:c r="AC223" s="18" t="str">
        <x:f>IF(AND(J223&gt;0,L223&lt;=0),"Missing replacement cost",IF(I223&gt;H223,"Usage exceeds stock",""))</x:f>
      </x:c>
    </x:row>
    <x:row r="224">
      <x:c r="A224" t="s">
        <x:v>15</x:v>
      </x:c>
      <x:c r="B224">
        <x:v>30</x:v>
      </x:c>
      <x:c r="C224" t="s">
        <x:v>64</x:v>
      </x:c>
      <x:c r="D224" t="s">
        <x:v>33</x:v>
      </x:c>
      <x:c r="E224">
        <x:v>0</x:v>
      </x:c>
      <x:c r="F224">
        <x:v>0</x:v>
      </x:c>
      <x:c r="G224" s="22" t="n">
        <x:f>SUMIFS('Receipts to be received in'!$P$2:$P$53,'Receipts to be received in'!$B$2:$B$53,B224,'Receipts to be received in'!$C$2:$C$53,D224)</x:f>
        <x:v>0</x:v>
      </x:c>
      <x:c r="H224" s="23" t="n">
        <x:f>F224+G224</x:f>
        <x:v>0</x:v>
      </x:c>
      <x:c r="I224" s="22" t="n">
        <x:f>E224*'Receipts to be received in'!$R$7*'Receipts to be received in'!$R$10</x:f>
        <x:v>0</x:v>
      </x:c>
      <x:c r="J224" s="23" t="n">
        <x:f>MAX(0,H224-I224)</x:f>
        <x:v>0</x:v>
      </x:c>
      <x:c r="K224">
        <x:v>0</x:v>
      </x:c>
      <x:c r="L224">
        <x:v>34.83</x:v>
      </x:c>
      <x:c r="M224" s="1">
        <x:v>46134</x:v>
      </x:c>
      <x:c r="N224">
        <x:v>29.03</x:v>
      </x:c>
      <x:c r="O224" s="3">
        <x:v>46027</x:v>
      </x:c>
      <x:c r="Q224" s="2">
        <x:v>-0.16650000000000001</x:v>
      </x:c>
      <x:c r="T224">
        <x:v>0</x:v>
      </x:c>
      <x:c r="U224">
        <x:v>0</x:v>
      </x:c>
      <x:c r="V224">
        <x:v>0</x:v>
      </x:c>
      <x:c r="W224">
        <x:v>0</x:v>
      </x:c>
      <x:c r="X224">
        <x:v>595.76</x:v>
      </x:c>
      <x:c r="Y224" s="31" t="n">
        <x:f>J224*N224</x:f>
        <x:v>0</x:v>
      </x:c>
      <x:c r="Z224" s="31" t="n">
        <x:f>IF(J224=0,0,IF(L224&gt;0,J224*L224,"n.a."))</x:f>
        <x:v>0</x:v>
      </x:c>
      <x:c r="AA224" s="31" t="n">
        <x:f>IF(J224=0,0,IF(ISNUMBER(Z224),Z224-Y224,"n.a."))</x:f>
        <x:v>0</x:v>
      </x:c>
      <x:c r="AB224" s="32" t="str">
        <x:f>IF(AND(J224&gt;0,L224&gt;0,N224&gt;0),L224/N224-1,"n.a.")</x:f>
        <x:v>n.a.</x:v>
      </x:c>
      <x:c r="AC224" s="18" t="str">
        <x:f>IF(AND(J224&gt;0,L224&lt;=0),"Missing replacement cost",IF(I224&gt;H224,"Usage exceeds stock",""))</x:f>
      </x:c>
    </x:row>
    <x:row r="225">
      <x:c r="A225" t="s">
        <x:v>15</x:v>
      </x:c>
      <x:c r="B225">
        <x:v>30</x:v>
      </x:c>
      <x:c r="C225" t="s">
        <x:v>64</x:v>
      </x:c>
      <x:c r="D225" t="s">
        <x:v>100</x:v>
      </x:c>
      <x:c r="E225">
        <x:v>0</x:v>
      </x:c>
      <x:c r="F225">
        <x:v>0</x:v>
      </x:c>
      <x:c r="G225" s="22" t="n">
        <x:f>SUMIFS('Receipts to be received in'!$P$2:$P$53,'Receipts to be received in'!$B$2:$B$53,B225,'Receipts to be received in'!$C$2:$C$53,D225)</x:f>
        <x:v>0</x:v>
      </x:c>
      <x:c r="H225" s="23" t="n">
        <x:f>F225+G225</x:f>
        <x:v>0</x:v>
      </x:c>
      <x:c r="I225" s="22" t="n">
        <x:f>E225*'Receipts to be received in'!$R$7*'Receipts to be received in'!$R$10</x:f>
        <x:v>0</x:v>
      </x:c>
      <x:c r="J225" s="23" t="n">
        <x:f>MAX(0,H225-I225)</x:f>
        <x:v>0</x:v>
      </x:c>
      <x:c r="K225">
        <x:v>0</x:v>
      </x:c>
      <x:c r="L225">
        <x:v>0</x:v>
      </x:c>
      <x:c r="M225" s="1">
        <x:v>44937</x:v>
      </x:c>
      <x:c r="N225">
        <x:v>4.1399999999999997</x:v>
      </x:c>
      <x:c r="O225" s="3">
        <x:v>45269</x:v>
      </x:c>
      <x:c r="Q225" t="s">
        <x:v>73</x:v>
      </x:c>
      <x:c r="T225">
        <x:v>0</x:v>
      </x:c>
      <x:c r="U225">
        <x:v>0</x:v>
      </x:c>
      <x:c r="V225">
        <x:v>0</x:v>
      </x:c>
      <x:c r="W225">
        <x:v>0</x:v>
      </x:c>
      <x:c r="X225">
        <x:v>67.13</x:v>
      </x:c>
      <x:c r="Y225" s="31" t="n">
        <x:f>J225*N225</x:f>
        <x:v>0</x:v>
      </x:c>
      <x:c r="Z225" s="31" t="n">
        <x:f>IF(J225=0,0,IF(L225&gt;0,J225*L225,"n.a."))</x:f>
        <x:v>0</x:v>
      </x:c>
      <x:c r="AA225" s="31" t="n">
        <x:f>IF(J225=0,0,IF(ISNUMBER(Z225),Z225-Y225,"n.a."))</x:f>
        <x:v>0</x:v>
      </x:c>
      <x:c r="AB225" s="32" t="str">
        <x:f>IF(AND(J225&gt;0,L225&gt;0,N225&gt;0),L225/N225-1,"n.a.")</x:f>
        <x:v>n.a.</x:v>
      </x:c>
      <x:c r="AC225" s="18" t="str">
        <x:f>IF(AND(J225&gt;0,L225&lt;=0),"Missing replacement cost",IF(I225&gt;H225,"Usage exceeds stock",""))</x:f>
      </x:c>
    </x:row>
    <x:row r="226">
      <x:c r="A226" t="s">
        <x:v>15</x:v>
      </x:c>
      <x:c r="B226">
        <x:v>30</x:v>
      </x:c>
      <x:c r="C226" t="s">
        <x:v>64</x:v>
      </x:c>
      <x:c r="D226" t="s">
        <x:v>134</x:v>
      </x:c>
      <x:c r="E226">
        <x:v>0</x:v>
      </x:c>
      <x:c r="F226">
        <x:v>0</x:v>
      </x:c>
      <x:c r="G226" s="22" t="n">
        <x:f>SUMIFS('Receipts to be received in'!$P$2:$P$53,'Receipts to be received in'!$B$2:$B$53,B226,'Receipts to be received in'!$C$2:$C$53,D226)</x:f>
        <x:v>0</x:v>
      </x:c>
      <x:c r="H226" s="23" t="n">
        <x:f>F226+G226</x:f>
        <x:v>0</x:v>
      </x:c>
      <x:c r="I226" s="22" t="n">
        <x:f>E226*'Receipts to be received in'!$R$7*'Receipts to be received in'!$R$10</x:f>
        <x:v>0</x:v>
      </x:c>
      <x:c r="J226" s="23" t="n">
        <x:f>MAX(0,H226-I226)</x:f>
        <x:v>0</x:v>
      </x:c>
      <x:c r="K226">
        <x:v>0</x:v>
      </x:c>
      <x:c r="L226">
        <x:v>0</x:v>
      </x:c>
      <x:c r="M226" s="1">
        <x:v>44937</x:v>
      </x:c>
      <x:c r="N226">
        <x:v>10.039999999999999</x:v>
      </x:c>
      <x:c r="O226" s="3">
        <x:v>45269</x:v>
      </x:c>
      <x:c r="P226" s="3">
        <x:v>44060</x:v>
      </x:c>
      <x:c r="Q226" t="s">
        <x:v>73</x:v>
      </x:c>
      <x:c r="T226">
        <x:v>0</x:v>
      </x:c>
      <x:c r="U226">
        <x:v>0</x:v>
      </x:c>
      <x:c r="V226">
        <x:v>0</x:v>
      </x:c>
      <x:c r="W226">
        <x:v>0</x:v>
      </x:c>
      <x:c r="X226">
        <x:v>183.66</x:v>
      </x:c>
      <x:c r="Y226" s="31" t="n">
        <x:f>J226*N226</x:f>
        <x:v>0</x:v>
      </x:c>
      <x:c r="Z226" s="31" t="n">
        <x:f>IF(J226=0,0,IF(L226&gt;0,J226*L226,"n.a."))</x:f>
        <x:v>0</x:v>
      </x:c>
      <x:c r="AA226" s="31" t="n">
        <x:f>IF(J226=0,0,IF(ISNUMBER(Z226),Z226-Y226,"n.a."))</x:f>
        <x:v>0</x:v>
      </x:c>
      <x:c r="AB226" s="32" t="str">
        <x:f>IF(AND(J226&gt;0,L226&gt;0,N226&gt;0),L226/N226-1,"n.a.")</x:f>
        <x:v>n.a.</x:v>
      </x:c>
      <x:c r="AC226" s="18" t="str">
        <x:f>IF(AND(J226&gt;0,L226&lt;=0),"Missing replacement cost",IF(I226&gt;H226,"Usage exceeds stock",""))</x:f>
      </x:c>
    </x:row>
    <x:row r="227">
      <x:c r="A227" t="s">
        <x:v>15</x:v>
      </x:c>
      <x:c r="B227">
        <x:v>30</x:v>
      </x:c>
      <x:c r="C227" t="s">
        <x:v>64</x:v>
      </x:c>
      <x:c r="D227" t="s">
        <x:v>43</x:v>
      </x:c>
      <x:c r="E227">
        <x:v>0</x:v>
      </x:c>
      <x:c r="F227">
        <x:v>0</x:v>
      </x:c>
      <x:c r="G227" s="22" t="n">
        <x:f>SUMIFS('Receipts to be received in'!$P$2:$P$53,'Receipts to be received in'!$B$2:$B$53,B227,'Receipts to be received in'!$C$2:$C$53,D227)</x:f>
        <x:v>0</x:v>
      </x:c>
      <x:c r="H227" s="23" t="n">
        <x:f>F227+G227</x:f>
        <x:v>0</x:v>
      </x:c>
      <x:c r="I227" s="22" t="n">
        <x:f>E227*'Receipts to be received in'!$R$7*'Receipts to be received in'!$R$10</x:f>
        <x:v>0</x:v>
      </x:c>
      <x:c r="J227" s="23" t="n">
        <x:f>MAX(0,H227-I227)</x:f>
        <x:v>0</x:v>
      </x:c>
      <x:c r="K227">
        <x:v>0</x:v>
      </x:c>
      <x:c r="L227">
        <x:v>92.11</x:v>
      </x:c>
      <x:c r="M227" s="1">
        <x:v>46134</x:v>
      </x:c>
      <x:c r="N227">
        <x:v>76.52</x:v>
      </x:c>
      <x:c r="O227" s="3">
        <x:v>46027</x:v>
      </x:c>
      <x:c r="Q227" s="2">
        <x:v>-0.16930000000000001</x:v>
      </x:c>
      <x:c r="T227">
        <x:v>0</x:v>
      </x:c>
      <x:c r="U227">
        <x:v>0</x:v>
      </x:c>
      <x:c r="V227">
        <x:v>0</x:v>
      </x:c>
      <x:c r="W227">
        <x:v>0</x:v>
      </x:c>
      <x:c r="X227">
        <x:v>1559.76</x:v>
      </x:c>
      <x:c r="Y227" s="31" t="n">
        <x:f>J227*N227</x:f>
        <x:v>0</x:v>
      </x:c>
      <x:c r="Z227" s="31" t="n">
        <x:f>IF(J227=0,0,IF(L227&gt;0,J227*L227,"n.a."))</x:f>
        <x:v>0</x:v>
      </x:c>
      <x:c r="AA227" s="31" t="n">
        <x:f>IF(J227=0,0,IF(ISNUMBER(Z227),Z227-Y227,"n.a."))</x:f>
        <x:v>0</x:v>
      </x:c>
      <x:c r="AB227" s="32" t="str">
        <x:f>IF(AND(J227&gt;0,L227&gt;0,N227&gt;0),L227/N227-1,"n.a.")</x:f>
        <x:v>n.a.</x:v>
      </x:c>
      <x:c r="AC227" s="18" t="str">
        <x:f>IF(AND(J227&gt;0,L227&lt;=0),"Missing replacement cost",IF(I227&gt;H227,"Usage exceeds stock",""))</x:f>
      </x:c>
    </x:row>
    <x:row r="228">
      <x:c r="A228" t="s">
        <x:v>15</x:v>
      </x:c>
      <x:c r="B228">
        <x:v>30</x:v>
      </x:c>
      <x:c r="C228" t="s">
        <x:v>64</x:v>
      </x:c>
      <x:c r="D228" t="s">
        <x:v>101</x:v>
      </x:c>
      <x:c r="E228">
        <x:v>0</x:v>
      </x:c>
      <x:c r="F228">
        <x:v>0</x:v>
      </x:c>
      <x:c r="G228" s="22" t="n">
        <x:f>SUMIFS('Receipts to be received in'!$P$2:$P$53,'Receipts to be received in'!$B$2:$B$53,B228,'Receipts to be received in'!$C$2:$C$53,D228)</x:f>
        <x:v>0</x:v>
      </x:c>
      <x:c r="H228" s="23" t="n">
        <x:f>F228+G228</x:f>
        <x:v>0</x:v>
      </x:c>
      <x:c r="I228" s="22" t="n">
        <x:f>E228*'Receipts to be received in'!$R$7*'Receipts to be received in'!$R$10</x:f>
        <x:v>0</x:v>
      </x:c>
      <x:c r="J228" s="23" t="n">
        <x:f>MAX(0,H228-I228)</x:f>
        <x:v>0</x:v>
      </x:c>
      <x:c r="K228">
        <x:v>0</x:v>
      </x:c>
      <x:c r="L228">
        <x:v>74.56</x:v>
      </x:c>
      <x:c r="M228" s="1">
        <x:v>46133</x:v>
      </x:c>
      <x:c r="N228">
        <x:v>62.13</x:v>
      </x:c>
      <x:c r="O228" s="3">
        <x:v>46027</x:v>
      </x:c>
      <x:c r="Q228" s="2">
        <x:v>-0.16669999999999999</x:v>
      </x:c>
      <x:c r="T228">
        <x:v>0</x:v>
      </x:c>
      <x:c r="U228">
        <x:v>0</x:v>
      </x:c>
      <x:c r="V228">
        <x:v>0</x:v>
      </x:c>
      <x:c r="W228">
        <x:v>0</x:v>
      </x:c>
      <x:c r="X228">
        <x:v>1375.5</x:v>
      </x:c>
      <x:c r="Y228" s="31" t="n">
        <x:f>J228*N228</x:f>
        <x:v>0</x:v>
      </x:c>
      <x:c r="Z228" s="31" t="n">
        <x:f>IF(J228=0,0,IF(L228&gt;0,J228*L228,"n.a."))</x:f>
        <x:v>0</x:v>
      </x:c>
      <x:c r="AA228" s="31" t="n">
        <x:f>IF(J228=0,0,IF(ISNUMBER(Z228),Z228-Y228,"n.a."))</x:f>
        <x:v>0</x:v>
      </x:c>
      <x:c r="AB228" s="32" t="str">
        <x:f>IF(AND(J228&gt;0,L228&gt;0,N228&gt;0),L228/N228-1,"n.a.")</x:f>
        <x:v>n.a.</x:v>
      </x:c>
      <x:c r="AC228" s="18" t="str">
        <x:f>IF(AND(J228&gt;0,L228&lt;=0),"Missing replacement cost",IF(I228&gt;H228,"Usage exceeds stock",""))</x:f>
      </x:c>
    </x:row>
    <x:row r="229">
      <x:c r="A229" t="s">
        <x:v>15</x:v>
      </x:c>
      <x:c r="B229">
        <x:v>30</x:v>
      </x:c>
      <x:c r="C229" t="s">
        <x:v>64</x:v>
      </x:c>
      <x:c r="D229" t="s">
        <x:v>135</x:v>
      </x:c>
      <x:c r="E229">
        <x:v>0</x:v>
      </x:c>
      <x:c r="F229">
        <x:v>36</x:v>
      </x:c>
      <x:c r="G229" s="22" t="n">
        <x:f>SUMIFS('Receipts to be received in'!$P$2:$P$53,'Receipts to be received in'!$B$2:$B$53,B229,'Receipts to be received in'!$C$2:$C$53,D229)</x:f>
        <x:v>0</x:v>
      </x:c>
      <x:c r="H229" s="23" t="n">
        <x:f>F229+G229</x:f>
        <x:v>36</x:v>
      </x:c>
      <x:c r="I229" s="22" t="n">
        <x:f>E229*'Receipts to be received in'!$R$7*'Receipts to be received in'!$R$10</x:f>
        <x:v>0</x:v>
      </x:c>
      <x:c r="J229" s="23" t="n">
        <x:f>MAX(0,H229-I229)</x:f>
        <x:v>36</x:v>
      </x:c>
      <x:c r="K229">
        <x:v>0</x:v>
      </x:c>
      <x:c r="L229">
        <x:v>114.91</x:v>
      </x:c>
      <x:c r="M229" s="1">
        <x:v>46133</x:v>
      </x:c>
      <x:c r="N229">
        <x:v>95.76</x:v>
      </x:c>
      <x:c r="O229" s="3">
        <x:v>46027</x:v>
      </x:c>
      <x:c r="P229" s="3">
        <x:v>45397</x:v>
      </x:c>
      <x:c r="Q229" s="2">
        <x:v>-0.16669999999999999</x:v>
      </x:c>
      <x:c r="T229">
        <x:v>689.39999999999895</x:v>
      </x:c>
      <x:c r="U229">
        <x:v>0</x:v>
      </x:c>
      <x:c r="V229">
        <x:v>3447.36</x:v>
      </x:c>
      <x:c r="W229">
        <x:v>4136.76</x:v>
      </x:c>
      <x:c r="X229">
        <x:v>2099.91</x:v>
      </x:c>
      <x:c r="Y229" s="31" t="n">
        <x:f>J229*N229</x:f>
        <x:v>3447.36</x:v>
      </x:c>
      <x:c r="Z229" s="31" t="n">
        <x:f>IF(J229=0,0,IF(L229&gt;0,J229*L229,"n.a."))</x:f>
        <x:v>4136.76</x:v>
      </x:c>
      <x:c r="AA229" s="31" t="n">
        <x:f>IF(J229=0,0,IF(ISNUMBER(Z229),Z229-Y229,"n.a."))</x:f>
        <x:v>689.4000000000001</x:v>
      </x:c>
      <x:c r="AB229" s="32" t="n">
        <x:f>IF(AND(J229&gt;0,L229&gt;0,N229&gt;0),L229/N229-1,"n.a.")</x:f>
        <x:v>0.19997911445279848</x:v>
      </x:c>
      <x:c r="AC229" s="18" t="str">
        <x:f>IF(AND(J229&gt;0,L229&lt;=0),"Missing replacement cost",IF(I229&gt;H229,"Usage exceeds stock",""))</x:f>
      </x:c>
    </x:row>
    <x:row r="230">
      <x:c r="A230" t="s">
        <x:v>15</x:v>
      </x:c>
      <x:c r="B230">
        <x:v>30</x:v>
      </x:c>
      <x:c r="C230" t="s">
        <x:v>64</x:v>
      </x:c>
      <x:c r="D230" t="s">
        <x:v>136</x:v>
      </x:c>
      <x:c r="E230">
        <x:v>0</x:v>
      </x:c>
      <x:c r="F230">
        <x:v>0</x:v>
      </x:c>
      <x:c r="G230" s="22" t="n">
        <x:f>SUMIFS('Receipts to be received in'!$P$2:$P$53,'Receipts to be received in'!$B$2:$B$53,B230,'Receipts to be received in'!$C$2:$C$53,D230)</x:f>
        <x:v>0</x:v>
      </x:c>
      <x:c r="H230" s="23" t="n">
        <x:f>F230+G230</x:f>
        <x:v>0</x:v>
      </x:c>
      <x:c r="I230" s="22" t="n">
        <x:f>E230*'Receipts to be received in'!$R$7*'Receipts to be received in'!$R$10</x:f>
        <x:v>0</x:v>
      </x:c>
      <x:c r="J230" s="23" t="n">
        <x:f>MAX(0,H230-I230)</x:f>
        <x:v>0</x:v>
      </x:c>
      <x:c r="K230">
        <x:v>0</x:v>
      </x:c>
      <x:c r="L230">
        <x:v>104.23</x:v>
      </x:c>
      <x:c r="M230" s="1">
        <x:v>46134</x:v>
      </x:c>
      <x:c r="N230">
        <x:v>86.58</x:v>
      </x:c>
      <x:c r="O230" s="3">
        <x:v>46027</x:v>
      </x:c>
      <x:c r="Q230" s="2">
        <x:v>-0.16930000000000001</x:v>
      </x:c>
      <x:c r="T230">
        <x:v>0</x:v>
      </x:c>
      <x:c r="U230">
        <x:v>0</x:v>
      </x:c>
      <x:c r="V230">
        <x:v>0</x:v>
      </x:c>
      <x:c r="W230">
        <x:v>0</x:v>
      </x:c>
      <x:c r="X230">
        <x:v>1764.84</x:v>
      </x:c>
      <x:c r="Y230" s="31" t="n">
        <x:f>J230*N230</x:f>
        <x:v>0</x:v>
      </x:c>
      <x:c r="Z230" s="31" t="n">
        <x:f>IF(J230=0,0,IF(L230&gt;0,J230*L230,"n.a."))</x:f>
        <x:v>0</x:v>
      </x:c>
      <x:c r="AA230" s="31" t="n">
        <x:f>IF(J230=0,0,IF(ISNUMBER(Z230),Z230-Y230,"n.a."))</x:f>
        <x:v>0</x:v>
      </x:c>
      <x:c r="AB230" s="32" t="str">
        <x:f>IF(AND(J230&gt;0,L230&gt;0,N230&gt;0),L230/N230-1,"n.a.")</x:f>
        <x:v>n.a.</x:v>
      </x:c>
      <x:c r="AC230" s="18" t="str">
        <x:f>IF(AND(J230&gt;0,L230&lt;=0),"Missing replacement cost",IF(I230&gt;H230,"Usage exceeds stock",""))</x:f>
      </x:c>
    </x:row>
    <x:row r="231">
      <x:c r="A231" t="s">
        <x:v>15</x:v>
      </x:c>
      <x:c r="B231">
        <x:v>30</x:v>
      </x:c>
      <x:c r="C231" t="s">
        <x:v>64</x:v>
      </x:c>
      <x:c r="D231" t="s">
        <x:v>102</x:v>
      </x:c>
      <x:c r="E231">
        <x:v>0</x:v>
      </x:c>
      <x:c r="F231">
        <x:v>0</x:v>
      </x:c>
      <x:c r="G231" s="22" t="n">
        <x:f>SUMIFS('Receipts to be received in'!$P$2:$P$53,'Receipts to be received in'!$B$2:$B$53,B231,'Receipts to be received in'!$C$2:$C$53,D231)</x:f>
        <x:v>0</x:v>
      </x:c>
      <x:c r="H231" s="23" t="n">
        <x:f>F231+G231</x:f>
        <x:v>0</x:v>
      </x:c>
      <x:c r="I231" s="22" t="n">
        <x:f>E231*'Receipts to be received in'!$R$7*'Receipts to be received in'!$R$10</x:f>
        <x:v>0</x:v>
      </x:c>
      <x:c r="J231" s="23" t="n">
        <x:f>MAX(0,H231-I231)</x:f>
        <x:v>0</x:v>
      </x:c>
      <x:c r="K231">
        <x:v>0</x:v>
      </x:c>
      <x:c r="L231">
        <x:v>84.37</x:v>
      </x:c>
      <x:c r="M231" s="1">
        <x:v>46134</x:v>
      </x:c>
      <x:c r="N231">
        <x:v>70.31</x:v>
      </x:c>
      <x:c r="O231" s="3">
        <x:v>46027</x:v>
      </x:c>
      <x:c r="Q231" s="2">
        <x:v>-0.1666</x:v>
      </x:c>
      <x:c r="T231">
        <x:v>0</x:v>
      </x:c>
      <x:c r="U231">
        <x:v>0</x:v>
      </x:c>
      <x:c r="V231">
        <x:v>0</x:v>
      </x:c>
      <x:c r="W231">
        <x:v>0</x:v>
      </x:c>
      <x:c r="X231">
        <x:v>1556.58</x:v>
      </x:c>
      <x:c r="Y231" s="31" t="n">
        <x:f>J231*N231</x:f>
        <x:v>0</x:v>
      </x:c>
      <x:c r="Z231" s="31" t="n">
        <x:f>IF(J231=0,0,IF(L231&gt;0,J231*L231,"n.a."))</x:f>
        <x:v>0</x:v>
      </x:c>
      <x:c r="AA231" s="31" t="n">
        <x:f>IF(J231=0,0,IF(ISNUMBER(Z231),Z231-Y231,"n.a."))</x:f>
        <x:v>0</x:v>
      </x:c>
      <x:c r="AB231" s="32" t="str">
        <x:f>IF(AND(J231&gt;0,L231&gt;0,N231&gt;0),L231/N231-1,"n.a.")</x:f>
        <x:v>n.a.</x:v>
      </x:c>
      <x:c r="AC231" s="18" t="str">
        <x:f>IF(AND(J231&gt;0,L231&lt;=0),"Missing replacement cost",IF(I231&gt;H231,"Usage exceeds stock",""))</x:f>
      </x:c>
    </x:row>
    <x:row r="232">
      <x:c r="A232" t="s">
        <x:v>15</x:v>
      </x:c>
      <x:c r="B232">
        <x:v>30</x:v>
      </x:c>
      <x:c r="C232" t="s">
        <x:v>64</x:v>
      </x:c>
      <x:c r="D232" t="s">
        <x:v>137</x:v>
      </x:c>
      <x:c r="E232">
        <x:v>0</x:v>
      </x:c>
      <x:c r="F232">
        <x:v>0</x:v>
      </x:c>
      <x:c r="G232" s="22" t="n">
        <x:f>SUMIFS('Receipts to be received in'!$P$2:$P$53,'Receipts to be received in'!$B$2:$B$53,B232,'Receipts to be received in'!$C$2:$C$53,D232)</x:f>
        <x:v>0</x:v>
      </x:c>
      <x:c r="H232" s="23" t="n">
        <x:f>F232+G232</x:f>
        <x:v>0</x:v>
      </x:c>
      <x:c r="I232" s="22" t="n">
        <x:f>E232*'Receipts to be received in'!$R$7*'Receipts to be received in'!$R$10</x:f>
        <x:v>0</x:v>
      </x:c>
      <x:c r="J232" s="23" t="n">
        <x:f>MAX(0,H232-I232)</x:f>
        <x:v>0</x:v>
      </x:c>
      <x:c r="K232">
        <x:v>0</x:v>
      </x:c>
      <x:c r="L232">
        <x:v>130.03</x:v>
      </x:c>
      <x:c r="M232" s="1">
        <x:v>46133</x:v>
      </x:c>
      <x:c r="N232">
        <x:v>108.36</x:v>
      </x:c>
      <x:c r="O232" s="3">
        <x:v>46027</x:v>
      </x:c>
      <x:c r="Q232" s="2">
        <x:v>-0.16669999999999999</x:v>
      </x:c>
      <x:c r="T232">
        <x:v>0</x:v>
      </x:c>
      <x:c r="U232">
        <x:v>0</x:v>
      </x:c>
      <x:c r="V232">
        <x:v>0</x:v>
      </x:c>
      <x:c r="W232">
        <x:v>0</x:v>
      </x:c>
      <x:c r="X232">
        <x:v>2376.12</x:v>
      </x:c>
      <x:c r="Y232" s="31" t="n">
        <x:f>J232*N232</x:f>
        <x:v>0</x:v>
      </x:c>
      <x:c r="Z232" s="31" t="n">
        <x:f>IF(J232=0,0,IF(L232&gt;0,J232*L232,"n.a."))</x:f>
        <x:v>0</x:v>
      </x:c>
      <x:c r="AA232" s="31" t="n">
        <x:f>IF(J232=0,0,IF(ISNUMBER(Z232),Z232-Y232,"n.a."))</x:f>
        <x:v>0</x:v>
      </x:c>
      <x:c r="AB232" s="32" t="str">
        <x:f>IF(AND(J232&gt;0,L232&gt;0,N232&gt;0),L232/N232-1,"n.a.")</x:f>
        <x:v>n.a.</x:v>
      </x:c>
      <x:c r="AC232" s="18" t="str">
        <x:f>IF(AND(J232&gt;0,L232&lt;=0),"Missing replacement cost",IF(I232&gt;H232,"Usage exceeds stock",""))</x:f>
      </x:c>
    </x:row>
    <x:row r="233">
      <x:c r="A233" t="s">
        <x:v>15</x:v>
      </x:c>
      <x:c r="B233">
        <x:v>60</x:v>
      </x:c>
      <x:c r="C233" t="s">
        <x:v>64</x:v>
      </x:c>
      <x:c r="D233" t="s">
        <x:v>104</x:v>
      </x:c>
      <x:c r="E233">
        <x:v>0</x:v>
      </x:c>
      <x:c r="F233">
        <x:v>0</x:v>
      </x:c>
      <x:c r="G233" s="22" t="n">
        <x:f>SUMIFS('Receipts to be received in'!$P$2:$P$53,'Receipts to be received in'!$B$2:$B$53,B233,'Receipts to be received in'!$C$2:$C$53,D233)</x:f>
        <x:v>0</x:v>
      </x:c>
      <x:c r="H233" s="23" t="n">
        <x:f>F233+G233</x:f>
        <x:v>0</x:v>
      </x:c>
      <x:c r="I233" s="22" t="n">
        <x:f>E233*'Receipts to be received in'!$R$7*'Receipts to be received in'!$R$10</x:f>
        <x:v>0</x:v>
      </x:c>
      <x:c r="J233" s="23" t="n">
        <x:f>MAX(0,H233-I233)</x:f>
        <x:v>0</x:v>
      </x:c>
      <x:c r="K233">
        <x:v>0</x:v>
      </x:c>
      <x:c r="L233">
        <x:v>0</x:v>
      </x:c>
      <x:c r="M233" s="1">
        <x:v>44937</x:v>
      </x:c>
      <x:c r="N233">
        <x:v>11.46</x:v>
      </x:c>
      <x:c r="O233" s="3">
        <x:v>43524</x:v>
      </x:c>
      <x:c r="P233" s="3">
        <x:v>41816</x:v>
      </x:c>
      <x:c r="Q233" t="s">
        <x:v>73</x:v>
      </x:c>
      <x:c r="T233">
        <x:v>0</x:v>
      </x:c>
      <x:c r="U233">
        <x:v>0</x:v>
      </x:c>
      <x:c r="V233">
        <x:v>0</x:v>
      </x:c>
      <x:c r="W233">
        <x:v>0</x:v>
      </x:c>
      <x:c r="X233">
        <x:v>155.25</x:v>
      </x:c>
      <x:c r="Y233" s="31" t="n">
        <x:f>J233*N233</x:f>
        <x:v>0</x:v>
      </x:c>
      <x:c r="Z233" s="31" t="n">
        <x:f>IF(J233=0,0,IF(L233&gt;0,J233*L233,"n.a."))</x:f>
        <x:v>0</x:v>
      </x:c>
      <x:c r="AA233" s="31" t="n">
        <x:f>IF(J233=0,0,IF(ISNUMBER(Z233),Z233-Y233,"n.a."))</x:f>
        <x:v>0</x:v>
      </x:c>
      <x:c r="AB233" s="32" t="str">
        <x:f>IF(AND(J233&gt;0,L233&gt;0,N233&gt;0),L233/N233-1,"n.a.")</x:f>
        <x:v>n.a.</x:v>
      </x:c>
      <x:c r="AC233" s="18" t="str">
        <x:f>IF(AND(J233&gt;0,L233&lt;=0),"Missing replacement cost",IF(I233&gt;H233,"Usage exceeds stock",""))</x:f>
      </x:c>
    </x:row>
    <x:row r="234">
      <x:c r="A234" t="s">
        <x:v>15</x:v>
      </x:c>
      <x:c r="B234">
        <x:v>60</x:v>
      </x:c>
      <x:c r="C234" t="s">
        <x:v>64</x:v>
      </x:c>
      <x:c r="D234" t="s">
        <x:v>105</x:v>
      </x:c>
      <x:c r="E234">
        <x:v>0</x:v>
      </x:c>
      <x:c r="F234">
        <x:v>0</x:v>
      </x:c>
      <x:c r="G234" s="22" t="n">
        <x:f>SUMIFS('Receipts to be received in'!$P$2:$P$53,'Receipts to be received in'!$B$2:$B$53,B234,'Receipts to be received in'!$C$2:$C$53,D234)</x:f>
        <x:v>0</x:v>
      </x:c>
      <x:c r="H234" s="23" t="n">
        <x:f>F234+G234</x:f>
        <x:v>0</x:v>
      </x:c>
      <x:c r="I234" s="22" t="n">
        <x:f>E234*'Receipts to be received in'!$R$7*'Receipts to be received in'!$R$10</x:f>
        <x:v>0</x:v>
      </x:c>
      <x:c r="J234" s="23" t="n">
        <x:f>MAX(0,H234-I234)</x:f>
        <x:v>0</x:v>
      </x:c>
      <x:c r="K234">
        <x:v>0</x:v>
      </x:c>
      <x:c r="L234">
        <x:v>0</x:v>
      </x:c>
      <x:c r="M234" s="1">
        <x:v>44937</x:v>
      </x:c>
      <x:c r="N234">
        <x:v>9.5</x:v>
      </x:c>
      <x:c r="O234" s="3">
        <x:v>43524</x:v>
      </x:c>
      <x:c r="P234" s="3">
        <x:v>41816</x:v>
      </x:c>
      <x:c r="Q234" t="s">
        <x:v>73</x:v>
      </x:c>
      <x:c r="T234">
        <x:v>0</x:v>
      </x:c>
      <x:c r="U234">
        <x:v>0</x:v>
      </x:c>
      <x:c r="V234">
        <x:v>0</x:v>
      </x:c>
      <x:c r="W234">
        <x:v>0</x:v>
      </x:c>
      <x:c r="X234">
        <x:v>99.45</x:v>
      </x:c>
      <x:c r="Y234" s="31" t="n">
        <x:f>J234*N234</x:f>
        <x:v>0</x:v>
      </x:c>
      <x:c r="Z234" s="31" t="n">
        <x:f>IF(J234=0,0,IF(L234&gt;0,J234*L234,"n.a."))</x:f>
        <x:v>0</x:v>
      </x:c>
      <x:c r="AA234" s="31" t="n">
        <x:f>IF(J234=0,0,IF(ISNUMBER(Z234),Z234-Y234,"n.a."))</x:f>
        <x:v>0</x:v>
      </x:c>
      <x:c r="AB234" s="32" t="str">
        <x:f>IF(AND(J234&gt;0,L234&gt;0,N234&gt;0),L234/N234-1,"n.a.")</x:f>
        <x:v>n.a.</x:v>
      </x:c>
      <x:c r="AC234" s="18" t="str">
        <x:f>IF(AND(J234&gt;0,L234&lt;=0),"Missing replacement cost",IF(I234&gt;H234,"Usage exceeds stock",""))</x:f>
      </x:c>
    </x:row>
    <x:row r="235">
      <x:c r="A235" t="s">
        <x:v>15</x:v>
      </x:c>
      <x:c r="B235">
        <x:v>60</x:v>
      </x:c>
      <x:c r="C235" t="s">
        <x:v>64</x:v>
      </x:c>
      <x:c r="D235" t="s">
        <x:v>106</x:v>
      </x:c>
      <x:c r="E235">
        <x:v>0</x:v>
      </x:c>
      <x:c r="F235">
        <x:v>0</x:v>
      </x:c>
      <x:c r="G235" s="22" t="n">
        <x:f>SUMIFS('Receipts to be received in'!$P$2:$P$53,'Receipts to be received in'!$B$2:$B$53,B235,'Receipts to be received in'!$C$2:$C$53,D235)</x:f>
        <x:v>0</x:v>
      </x:c>
      <x:c r="H235" s="23" t="n">
        <x:f>F235+G235</x:f>
        <x:v>0</x:v>
      </x:c>
      <x:c r="I235" s="22" t="n">
        <x:f>E235*'Receipts to be received in'!$R$7*'Receipts to be received in'!$R$10</x:f>
        <x:v>0</x:v>
      </x:c>
      <x:c r="J235" s="23" t="n">
        <x:f>MAX(0,H235-I235)</x:f>
        <x:v>0</x:v>
      </x:c>
      <x:c r="K235">
        <x:v>0</x:v>
      </x:c>
      <x:c r="L235">
        <x:v>0</x:v>
      </x:c>
      <x:c r="M235" s="1">
        <x:v>44937</x:v>
      </x:c>
      <x:c r="N235">
        <x:v>0</x:v>
      </x:c>
      <x:c r="O235" s="3">
        <x:v>45210</x:v>
      </x:c>
      <x:c r="P235" s="3">
        <x:v>43304</x:v>
      </x:c>
      <x:c r="Q235" t="s">
        <x:v>107</x:v>
      </x:c>
      <x:c r="T235">
        <x:v>0</x:v>
      </x:c>
      <x:c r="U235">
        <x:v>0</x:v>
      </x:c>
      <x:c r="V235">
        <x:v>0</x:v>
      </x:c>
      <x:c r="W235">
        <x:v>0</x:v>
      </x:c>
      <x:c r="X235">
        <x:v>953.27</x:v>
      </x:c>
      <x:c r="Y235" s="31" t="n">
        <x:f>J235*N235</x:f>
        <x:v>0</x:v>
      </x:c>
      <x:c r="Z235" s="31" t="n">
        <x:f>IF(J235=0,0,IF(L235&gt;0,J235*L235,"n.a."))</x:f>
        <x:v>0</x:v>
      </x:c>
      <x:c r="AA235" s="31" t="n">
        <x:f>IF(J235=0,0,IF(ISNUMBER(Z235),Z235-Y235,"n.a."))</x:f>
        <x:v>0</x:v>
      </x:c>
      <x:c r="AB235" s="32" t="str">
        <x:f>IF(AND(J235&gt;0,L235&gt;0,N235&gt;0),L235/N235-1,"n.a.")</x:f>
        <x:v>n.a.</x:v>
      </x:c>
      <x:c r="AC235" s="18" t="str">
        <x:f>IF(AND(J235&gt;0,L235&lt;=0),"Missing replacement cost",IF(I235&gt;H235,"Usage exceeds stock",""))</x:f>
      </x:c>
    </x:row>
    <x:row r="236">
      <x:c r="A236" t="s">
        <x:v>15</x:v>
      </x:c>
      <x:c r="B236">
        <x:v>60</x:v>
      </x:c>
      <x:c r="C236" t="s">
        <x:v>64</x:v>
      </x:c>
      <x:c r="D236" t="s">
        <x:v>108</x:v>
      </x:c>
      <x:c r="E236">
        <x:v>0</x:v>
      </x:c>
      <x:c r="F236">
        <x:v>0</x:v>
      </x:c>
      <x:c r="G236" s="22" t="n">
        <x:f>SUMIFS('Receipts to be received in'!$P$2:$P$53,'Receipts to be received in'!$B$2:$B$53,B236,'Receipts to be received in'!$C$2:$C$53,D236)</x:f>
        <x:v>0</x:v>
      </x:c>
      <x:c r="H236" s="23" t="n">
        <x:f>F236+G236</x:f>
        <x:v>0</x:v>
      </x:c>
      <x:c r="I236" s="22" t="n">
        <x:f>E236*'Receipts to be received in'!$R$7*'Receipts to be received in'!$R$10</x:f>
        <x:v>0</x:v>
      </x:c>
      <x:c r="J236" s="23" t="n">
        <x:f>MAX(0,H236-I236)</x:f>
        <x:v>0</x:v>
      </x:c>
      <x:c r="K236">
        <x:v>0</x:v>
      </x:c>
      <x:c r="L236">
        <x:v>0</x:v>
      </x:c>
      <x:c r="M236" s="1">
        <x:v>44937</x:v>
      </x:c>
      <x:c r="N236">
        <x:v>8.2799999999999994</x:v>
      </x:c>
      <x:c r="O236" s="3">
        <x:v>43525</x:v>
      </x:c>
      <x:c r="P236" s="3">
        <x:v>42649</x:v>
      </x:c>
      <x:c r="Q236" t="s">
        <x:v>73</x:v>
      </x:c>
      <x:c r="T236">
        <x:v>0</x:v>
      </x:c>
      <x:c r="U236">
        <x:v>0</x:v>
      </x:c>
      <x:c r="V236">
        <x:v>0</x:v>
      </x:c>
      <x:c r="W236">
        <x:v>0</x:v>
      </x:c>
      <x:c r="X236">
        <x:v>123</x:v>
      </x:c>
      <x:c r="Y236" s="31" t="n">
        <x:f>J236*N236</x:f>
        <x:v>0</x:v>
      </x:c>
      <x:c r="Z236" s="31" t="n">
        <x:f>IF(J236=0,0,IF(L236&gt;0,J236*L236,"n.a."))</x:f>
        <x:v>0</x:v>
      </x:c>
      <x:c r="AA236" s="31" t="n">
        <x:f>IF(J236=0,0,IF(ISNUMBER(Z236),Z236-Y236,"n.a."))</x:f>
        <x:v>0</x:v>
      </x:c>
      <x:c r="AB236" s="32" t="str">
        <x:f>IF(AND(J236&gt;0,L236&gt;0,N236&gt;0),L236/N236-1,"n.a.")</x:f>
        <x:v>n.a.</x:v>
      </x:c>
      <x:c r="AC236" s="18" t="str">
        <x:f>IF(AND(J236&gt;0,L236&lt;=0),"Missing replacement cost",IF(I236&gt;H236,"Usage exceeds stock",""))</x:f>
      </x:c>
    </x:row>
    <x:row r="237">
      <x:c r="A237" t="s">
        <x:v>15</x:v>
      </x:c>
      <x:c r="B237">
        <x:v>60</x:v>
      </x:c>
      <x:c r="C237" t="s">
        <x:v>64</x:v>
      </x:c>
      <x:c r="D237" t="s">
        <x:v>18</x:v>
      </x:c>
      <x:c r="E237">
        <x:v>0</x:v>
      </x:c>
      <x:c r="F237">
        <x:v>37</x:v>
      </x:c>
      <x:c r="G237" s="22" t="n">
        <x:f>SUMIFS('Receipts to be received in'!$P$2:$P$53,'Receipts to be received in'!$B$2:$B$53,B237,'Receipts to be received in'!$C$2:$C$53,D237)</x:f>
        <x:v>0</x:v>
      </x:c>
      <x:c r="H237" s="23" t="n">
        <x:f>F237+G237</x:f>
        <x:v>37</x:v>
      </x:c>
      <x:c r="I237" s="22" t="n">
        <x:f>E237*'Receipts to be received in'!$R$7*'Receipts to be received in'!$R$10</x:f>
        <x:v>0</x:v>
      </x:c>
      <x:c r="J237" s="23" t="n">
        <x:f>MAX(0,H237-I237)</x:f>
        <x:v>37</x:v>
      </x:c>
      <x:c r="K237">
        <x:v>0</x:v>
      </x:c>
      <x:c r="L237">
        <x:v>30.53</x:v>
      </x:c>
      <x:c r="M237" s="1">
        <x:v>46134</x:v>
      </x:c>
      <x:c r="N237">
        <x:v>25.42</x:v>
      </x:c>
      <x:c r="O237" s="3">
        <x:v>46027</x:v>
      </x:c>
      <x:c r="P237" s="3">
        <x:v>44852</x:v>
      </x:c>
      <x:c r="Q237" s="2">
        <x:v>-0.16739999999999999</x:v>
      </x:c>
      <x:c r="T237">
        <x:v>189.07</x:v>
      </x:c>
      <x:c r="U237">
        <x:v>0</x:v>
      </x:c>
      <x:c r="V237">
        <x:v>940.54</x:v>
      </x:c>
      <x:c r="W237">
        <x:v>1129.6099999999999</x:v>
      </x:c>
      <x:c r="X237">
        <x:v>569.46</x:v>
      </x:c>
      <x:c r="Y237" s="31" t="n">
        <x:f>J237*N237</x:f>
        <x:v>940.5400000000001</x:v>
      </x:c>
      <x:c r="Z237" s="31" t="n">
        <x:f>IF(J237=0,0,IF(L237&gt;0,J237*L237,"n.a."))</x:f>
        <x:v>1129.6100000000001</x:v>
      </x:c>
      <x:c r="AA237" s="31" t="n">
        <x:f>IF(J237=0,0,IF(ISNUMBER(Z237),Z237-Y237,"n.a."))</x:f>
        <x:v>189.07000000000005</x:v>
      </x:c>
      <x:c r="AB237" s="32" t="n">
        <x:f>IF(AND(J237&gt;0,L237&gt;0,N237&gt;0),L237/N237-1,"n.a.")</x:f>
        <x:v>0.20102281667977961</x:v>
      </x:c>
      <x:c r="AC237" s="18" t="str">
        <x:f>IF(AND(J237&gt;0,L237&lt;=0),"Missing replacement cost",IF(I237&gt;H237,"Usage exceeds stock",""))</x:f>
      </x:c>
    </x:row>
    <x:row r="238">
      <x:c r="A238" t="s">
        <x:v>15</x:v>
      </x:c>
      <x:c r="B238">
        <x:v>60</x:v>
      </x:c>
      <x:c r="C238" t="s">
        <x:v>64</x:v>
      </x:c>
      <x:c r="D238" t="s">
        <x:v>34</x:v>
      </x:c>
      <x:c r="E238">
        <x:v>0</x:v>
      </x:c>
      <x:c r="F238">
        <x:v>32</x:v>
      </x:c>
      <x:c r="G238" s="22" t="n">
        <x:f>SUMIFS('Receipts to be received in'!$P$2:$P$53,'Receipts to be received in'!$B$2:$B$53,B238,'Receipts to be received in'!$C$2:$C$53,D238)</x:f>
        <x:v>0</x:v>
      </x:c>
      <x:c r="H238" s="23" t="n">
        <x:f>F238+G238</x:f>
        <x:v>32</x:v>
      </x:c>
      <x:c r="I238" s="22" t="n">
        <x:f>E238*'Receipts to be received in'!$R$7*'Receipts to be received in'!$R$10</x:f>
        <x:v>0</x:v>
      </x:c>
      <x:c r="J238" s="23" t="n">
        <x:f>MAX(0,H238-I238)</x:f>
        <x:v>32</x:v>
      </x:c>
      <x:c r="K238">
        <x:v>0</x:v>
      </x:c>
      <x:c r="L238">
        <x:v>91.58</x:v>
      </x:c>
      <x:c r="M238" s="1">
        <x:v>46134</x:v>
      </x:c>
      <x:c r="N238">
        <x:v>76.25</x:v>
      </x:c>
      <x:c r="O238" s="3">
        <x:v>46027</x:v>
      </x:c>
      <x:c r="P238" s="3">
        <x:v>45805</x:v>
      </x:c>
      <x:c r="Q238" s="2">
        <x:v>-0.16739999999999999</x:v>
      </x:c>
      <x:c r="T238">
        <x:v>490.55999999999898</x:v>
      </x:c>
      <x:c r="U238">
        <x:v>0</x:v>
      </x:c>
      <x:c r="V238">
        <x:v>2440</x:v>
      </x:c>
      <x:c r="W238">
        <x:v>2930.56</x:v>
      </x:c>
      <x:c r="X238">
        <x:v>1707.64</x:v>
      </x:c>
      <x:c r="Y238" s="31" t="n">
        <x:f>J238*N238</x:f>
        <x:v>2440</x:v>
      </x:c>
      <x:c r="Z238" s="31" t="n">
        <x:f>IF(J238=0,0,IF(L238&gt;0,J238*L238,"n.a."))</x:f>
        <x:v>2930.56</x:v>
      </x:c>
      <x:c r="AA238" s="31" t="n">
        <x:f>IF(J238=0,0,IF(ISNUMBER(Z238),Z238-Y238,"n.a."))</x:f>
        <x:v>490.55999999999995</x:v>
      </x:c>
      <x:c r="AB238" s="32" t="n">
        <x:f>IF(AND(J238&gt;0,L238&gt;0,N238&gt;0),L238/N238-1,"n.a.")</x:f>
        <x:v>0.2010491803278689</x:v>
      </x:c>
      <x:c r="AC238" s="18" t="str">
        <x:f>IF(AND(J238&gt;0,L238&lt;=0),"Missing replacement cost",IF(I238&gt;H238,"Usage exceeds stock",""))</x:f>
      </x:c>
    </x:row>
    <x:row r="239">
      <x:c r="A239" t="s">
        <x:v>15</x:v>
      </x:c>
      <x:c r="B239">
        <x:v>60</x:v>
      </x:c>
      <x:c r="C239" t="s">
        <x:v>64</x:v>
      </x:c>
      <x:c r="D239" t="s">
        <x:v>110</x:v>
      </x:c>
      <x:c r="E239">
        <x:v>0</x:v>
      </x:c>
      <x:c r="F239">
        <x:v>0</x:v>
      </x:c>
      <x:c r="G239" s="22" t="n">
        <x:f>SUMIFS('Receipts to be received in'!$P$2:$P$53,'Receipts to be received in'!$B$2:$B$53,B239,'Receipts to be received in'!$C$2:$C$53,D239)</x:f>
        <x:v>0</x:v>
      </x:c>
      <x:c r="H239" s="23" t="n">
        <x:f>F239+G239</x:f>
        <x:v>0</x:v>
      </x:c>
      <x:c r="I239" s="22" t="n">
        <x:f>E239*'Receipts to be received in'!$R$7*'Receipts to be received in'!$R$10</x:f>
        <x:v>0</x:v>
      </x:c>
      <x:c r="J239" s="23" t="n">
        <x:f>MAX(0,H239-I239)</x:f>
        <x:v>0</x:v>
      </x:c>
      <x:c r="K239">
        <x:v>0</x:v>
      </x:c>
      <x:c r="L239">
        <x:v>0</x:v>
      </x:c>
      <x:c r="M239" s="1">
        <x:v>44937</x:v>
      </x:c>
      <x:c r="N239">
        <x:v>17.190000000000001</x:v>
      </x:c>
      <x:c r="O239" s="3">
        <x:v>43524</x:v>
      </x:c>
      <x:c r="P239" s="3">
        <x:v>41816</x:v>
      </x:c>
      <x:c r="Q239" t="s">
        <x:v>73</x:v>
      </x:c>
      <x:c r="T239">
        <x:v>0</x:v>
      </x:c>
      <x:c r="U239">
        <x:v>0</x:v>
      </x:c>
      <x:c r="V239">
        <x:v>0</x:v>
      </x:c>
      <x:c r="W239">
        <x:v>0</x:v>
      </x:c>
      <x:c r="X239">
        <x:v>233.1</x:v>
      </x:c>
      <x:c r="Y239" s="31" t="n">
        <x:f>J239*N239</x:f>
        <x:v>0</x:v>
      </x:c>
      <x:c r="Z239" s="31" t="n">
        <x:f>IF(J239=0,0,IF(L239&gt;0,J239*L239,"n.a."))</x:f>
        <x:v>0</x:v>
      </x:c>
      <x:c r="AA239" s="31" t="n">
        <x:f>IF(J239=0,0,IF(ISNUMBER(Z239),Z239-Y239,"n.a."))</x:f>
        <x:v>0</x:v>
      </x:c>
      <x:c r="AB239" s="32" t="str">
        <x:f>IF(AND(J239&gt;0,L239&gt;0,N239&gt;0),L239/N239-1,"n.a.")</x:f>
        <x:v>n.a.</x:v>
      </x:c>
      <x:c r="AC239" s="18" t="str">
        <x:f>IF(AND(J239&gt;0,L239&lt;=0),"Missing replacement cost",IF(I239&gt;H239,"Usage exceeds stock",""))</x:f>
      </x:c>
    </x:row>
    <x:row r="240">
      <x:c r="A240" t="s">
        <x:v>15</x:v>
      </x:c>
      <x:c r="B240">
        <x:v>60</x:v>
      </x:c>
      <x:c r="C240" t="s">
        <x:v>64</x:v>
      </x:c>
      <x:c r="D240" t="s">
        <x:v>111</x:v>
      </x:c>
      <x:c r="E240">
        <x:v>0</x:v>
      </x:c>
      <x:c r="F240">
        <x:v>0</x:v>
      </x:c>
      <x:c r="G240" s="22" t="n">
        <x:f>SUMIFS('Receipts to be received in'!$P$2:$P$53,'Receipts to be received in'!$B$2:$B$53,B240,'Receipts to be received in'!$C$2:$C$53,D240)</x:f>
        <x:v>0</x:v>
      </x:c>
      <x:c r="H240" s="23" t="n">
        <x:f>F240+G240</x:f>
        <x:v>0</x:v>
      </x:c>
      <x:c r="I240" s="22" t="n">
        <x:f>E240*'Receipts to be received in'!$R$7*'Receipts to be received in'!$R$10</x:f>
        <x:v>0</x:v>
      </x:c>
      <x:c r="J240" s="23" t="n">
        <x:f>MAX(0,H240-I240)</x:f>
        <x:v>0</x:v>
      </x:c>
      <x:c r="K240">
        <x:v>0</x:v>
      </x:c>
      <x:c r="L240">
        <x:v>0</x:v>
      </x:c>
      <x:c r="M240" s="1">
        <x:v>44937</x:v>
      </x:c>
      <x:c r="N240">
        <x:v>14.26</x:v>
      </x:c>
      <x:c r="O240" s="3">
        <x:v>43524</x:v>
      </x:c>
      <x:c r="P240" s="3">
        <x:v>41816</x:v>
      </x:c>
      <x:c r="Q240" t="s">
        <x:v>73</x:v>
      </x:c>
      <x:c r="T240">
        <x:v>0</x:v>
      </x:c>
      <x:c r="U240">
        <x:v>0</x:v>
      </x:c>
      <x:c r="V240">
        <x:v>0</x:v>
      </x:c>
      <x:c r="W240">
        <x:v>0</x:v>
      </x:c>
      <x:c r="X240">
        <x:v>148.94999999999999</x:v>
      </x:c>
      <x:c r="Y240" s="31" t="n">
        <x:f>J240*N240</x:f>
        <x:v>0</x:v>
      </x:c>
      <x:c r="Z240" s="31" t="n">
        <x:f>IF(J240=0,0,IF(L240&gt;0,J240*L240,"n.a."))</x:f>
        <x:v>0</x:v>
      </x:c>
      <x:c r="AA240" s="31" t="n">
        <x:f>IF(J240=0,0,IF(ISNUMBER(Z240),Z240-Y240,"n.a."))</x:f>
        <x:v>0</x:v>
      </x:c>
      <x:c r="AB240" s="32" t="str">
        <x:f>IF(AND(J240&gt;0,L240&gt;0,N240&gt;0),L240/N240-1,"n.a.")</x:f>
        <x:v>n.a.</x:v>
      </x:c>
      <x:c r="AC240" s="18" t="str">
        <x:f>IF(AND(J240&gt;0,L240&lt;=0),"Missing replacement cost",IF(I240&gt;H240,"Usage exceeds stock",""))</x:f>
      </x:c>
    </x:row>
    <x:row r="241">
      <x:c r="A241" t="s">
        <x:v>15</x:v>
      </x:c>
      <x:c r="B241">
        <x:v>60</x:v>
      </x:c>
      <x:c r="C241" t="s">
        <x:v>64</x:v>
      </x:c>
      <x:c r="D241" t="s">
        <x:v>112</x:v>
      </x:c>
      <x:c r="E241">
        <x:v>0</x:v>
      </x:c>
      <x:c r="F241">
        <x:v>0</x:v>
      </x:c>
      <x:c r="G241" s="22" t="n">
        <x:f>SUMIFS('Receipts to be received in'!$P$2:$P$53,'Receipts to be received in'!$B$2:$B$53,B241,'Receipts to be received in'!$C$2:$C$53,D241)</x:f>
        <x:v>0</x:v>
      </x:c>
      <x:c r="H241" s="23" t="n">
        <x:f>F241+G241</x:f>
        <x:v>0</x:v>
      </x:c>
      <x:c r="I241" s="22" t="n">
        <x:f>E241*'Receipts to be received in'!$R$7*'Receipts to be received in'!$R$10</x:f>
        <x:v>0</x:v>
      </x:c>
      <x:c r="J241" s="23" t="n">
        <x:f>MAX(0,H241-I241)</x:f>
        <x:v>0</x:v>
      </x:c>
      <x:c r="K241">
        <x:v>0</x:v>
      </x:c>
      <x:c r="L241">
        <x:v>0</x:v>
      </x:c>
      <x:c r="M241" s="1">
        <x:v>44937</x:v>
      </x:c>
      <x:c r="N241">
        <x:v>55.08</x:v>
      </x:c>
      <x:c r="O241" s="3">
        <x:v>43524</x:v>
      </x:c>
      <x:c r="P241" s="3">
        <x:v>42984</x:v>
      </x:c>
      <x:c r="Q241" t="s">
        <x:v>73</x:v>
      </x:c>
      <x:c r="T241">
        <x:v>0</x:v>
      </x:c>
      <x:c r="U241">
        <x:v>0</x:v>
      </x:c>
      <x:c r="V241">
        <x:v>0</x:v>
      </x:c>
      <x:c r="W241">
        <x:v>0</x:v>
      </x:c>
      <x:c r="X241">
        <x:v>1430.06</x:v>
      </x:c>
      <x:c r="Y241" s="31" t="n">
        <x:f>J241*N241</x:f>
        <x:v>0</x:v>
      </x:c>
      <x:c r="Z241" s="31" t="n">
        <x:f>IF(J241=0,0,IF(L241&gt;0,J241*L241,"n.a."))</x:f>
        <x:v>0</x:v>
      </x:c>
      <x:c r="AA241" s="31" t="n">
        <x:f>IF(J241=0,0,IF(ISNUMBER(Z241),Z241-Y241,"n.a."))</x:f>
        <x:v>0</x:v>
      </x:c>
      <x:c r="AB241" s="32" t="str">
        <x:f>IF(AND(J241&gt;0,L241&gt;0,N241&gt;0),L241/N241-1,"n.a.")</x:f>
        <x:v>n.a.</x:v>
      </x:c>
      <x:c r="AC241" s="18" t="str">
        <x:f>IF(AND(J241&gt;0,L241&lt;=0),"Missing replacement cost",IF(I241&gt;H241,"Usage exceeds stock",""))</x:f>
      </x:c>
    </x:row>
    <x:row r="242">
      <x:c r="A242" t="s">
        <x:v>15</x:v>
      </x:c>
      <x:c r="B242">
        <x:v>60</x:v>
      </x:c>
      <x:c r="C242" t="s">
        <x:v>64</x:v>
      </x:c>
      <x:c r="D242" t="s">
        <x:v>19</x:v>
      </x:c>
      <x:c r="E242">
        <x:v>0</x:v>
      </x:c>
      <x:c r="F242">
        <x:v>0</x:v>
      </x:c>
      <x:c r="G242" s="22" t="n">
        <x:f>SUMIFS('Receipts to be received in'!$P$2:$P$53,'Receipts to be received in'!$B$2:$B$53,B242,'Receipts to be received in'!$C$2:$C$53,D242)</x:f>
        <x:v>0</x:v>
      </x:c>
      <x:c r="H242" s="23" t="n">
        <x:f>F242+G242</x:f>
        <x:v>0</x:v>
      </x:c>
      <x:c r="I242" s="22" t="n">
        <x:f>E242*'Receipts to be received in'!$R$7*'Receipts to be received in'!$R$10</x:f>
        <x:v>0</x:v>
      </x:c>
      <x:c r="J242" s="23" t="n">
        <x:f>MAX(0,H242-I242)</x:f>
        <x:v>0</x:v>
      </x:c>
      <x:c r="K242">
        <x:v>0</x:v>
      </x:c>
      <x:c r="L242">
        <x:v>102.38</x:v>
      </x:c>
      <x:c r="M242" s="1">
        <x:v>46133</x:v>
      </x:c>
      <x:c r="N242">
        <x:v>85.32</x:v>
      </x:c>
      <x:c r="O242" s="3">
        <x:v>46027</x:v>
      </x:c>
      <x:c r="P242" s="3">
        <x:v>44606</x:v>
      </x:c>
      <x:c r="Q242" s="2">
        <x:v>-0.1666</x:v>
      </x:c>
      <x:c r="T242">
        <x:v>0</x:v>
      </x:c>
      <x:c r="U242">
        <x:v>0</x:v>
      </x:c>
      <x:c r="V242">
        <x:v>0</x:v>
      </x:c>
      <x:c r="W242">
        <x:v>0</x:v>
      </x:c>
      <x:c r="X242">
        <x:v>1838.52</x:v>
      </x:c>
      <x:c r="Y242" s="31" t="n">
        <x:f>J242*N242</x:f>
        <x:v>0</x:v>
      </x:c>
      <x:c r="Z242" s="31" t="n">
        <x:f>IF(J242=0,0,IF(L242&gt;0,J242*L242,"n.a."))</x:f>
        <x:v>0</x:v>
      </x:c>
      <x:c r="AA242" s="31" t="n">
        <x:f>IF(J242=0,0,IF(ISNUMBER(Z242),Z242-Y242,"n.a."))</x:f>
        <x:v>0</x:v>
      </x:c>
      <x:c r="AB242" s="32" t="str">
        <x:f>IF(AND(J242&gt;0,L242&gt;0,N242&gt;0),L242/N242-1,"n.a.")</x:f>
        <x:v>n.a.</x:v>
      </x:c>
      <x:c r="AC242" s="18" t="str">
        <x:f>IF(AND(J242&gt;0,L242&lt;=0),"Missing replacement cost",IF(I242&gt;H242,"Usage exceeds stock",""))</x:f>
      </x:c>
    </x:row>
    <x:row r="243">
      <x:c r="A243" t="s">
        <x:v>15</x:v>
      </x:c>
      <x:c r="B243">
        <x:v>60</x:v>
      </x:c>
      <x:c r="C243" t="s">
        <x:v>64</x:v>
      </x:c>
      <x:c r="D243" t="s">
        <x:v>35</x:v>
      </x:c>
      <x:c r="E243">
        <x:v>0</x:v>
      </x:c>
      <x:c r="F243">
        <x:v>219</x:v>
      </x:c>
      <x:c r="G243" s="22" t="n">
        <x:f>SUMIFS('Receipts to be received in'!$P$2:$P$53,'Receipts to be received in'!$B$2:$B$53,B243,'Receipts to be received in'!$C$2:$C$53,D243)</x:f>
        <x:v>0</x:v>
      </x:c>
      <x:c r="H243" s="23" t="n">
        <x:f>F243+G243</x:f>
        <x:v>219</x:v>
      </x:c>
      <x:c r="I243" s="22" t="n">
        <x:f>E243*'Receipts to be received in'!$R$7*'Receipts to be received in'!$R$10</x:f>
        <x:v>0</x:v>
      </x:c>
      <x:c r="J243" s="23" t="n">
        <x:f>MAX(0,H243-I243)</x:f>
        <x:v>219</x:v>
      </x:c>
      <x:c r="K243">
        <x:v>0</x:v>
      </x:c>
      <x:c r="L243">
        <x:v>11.66</x:v>
      </x:c>
      <x:c r="M243" s="1">
        <x:v>46133</x:v>
      </x:c>
      <x:c r="N243">
        <x:v>9.7200000000000006</x:v>
      </x:c>
      <x:c r="O243" s="3">
        <x:v>46027</x:v>
      </x:c>
      <x:c r="P243" s="3">
        <x:v>46010</x:v>
      </x:c>
      <x:c r="Q243" s="2">
        <x:v>-0.16639999999999999</x:v>
      </x:c>
      <x:c r="T243">
        <x:v>428.73999999999899</x:v>
      </x:c>
      <x:c r="U243">
        <x:v>0</x:v>
      </x:c>
      <x:c r="V243">
        <x:v>2148.12</x:v>
      </x:c>
      <x:c r="W243">
        <x:v>2576.86</x:v>
      </x:c>
      <x:c r="X243">
        <x:v>254.28</x:v>
      </x:c>
      <x:c r="Y243" s="31" t="n">
        <x:f>J243*N243</x:f>
        <x:v>2128.6800000000003</x:v>
      </x:c>
      <x:c r="Z243" s="31" t="n">
        <x:f>IF(J243=0,0,IF(L243&gt;0,J243*L243,"n.a."))</x:f>
        <x:v>2553.54</x:v>
      </x:c>
      <x:c r="AA243" s="31" t="n">
        <x:f>IF(J243=0,0,IF(ISNUMBER(Z243),Z243-Y243,"n.a."))</x:f>
        <x:v>424.8599999999997</x:v>
      </x:c>
      <x:c r="AB243" s="32" t="n">
        <x:f>IF(AND(J243&gt;0,L243&gt;0,N243&gt;0),L243/N243-1,"n.a.")</x:f>
        <x:v>0.19958847736625507</x:v>
      </x:c>
      <x:c r="AC243" s="18" t="str">
        <x:f>IF(AND(J243&gt;0,L243&lt;=0),"Missing replacement cost",IF(I243&gt;H243,"Usage exceeds stock",""))</x:f>
      </x:c>
    </x:row>
    <x:row r="244">
      <x:c r="A244" t="s">
        <x:v>15</x:v>
      </x:c>
      <x:c r="B244">
        <x:v>60</x:v>
      </x:c>
      <x:c r="C244" t="s">
        <x:v>64</x:v>
      </x:c>
      <x:c r="D244" t="s">
        <x:v>97</x:v>
      </x:c>
      <x:c r="E244">
        <x:v>0</x:v>
      </x:c>
      <x:c r="F244">
        <x:v>74</x:v>
      </x:c>
      <x:c r="G244" s="22" t="n">
        <x:f>SUMIFS('Receipts to be received in'!$P$2:$P$53,'Receipts to be received in'!$B$2:$B$53,B244,'Receipts to be received in'!$C$2:$C$53,D244)</x:f>
        <x:v>0</x:v>
      </x:c>
      <x:c r="H244" s="23" t="n">
        <x:f>F244+G244</x:f>
        <x:v>74</x:v>
      </x:c>
      <x:c r="I244" s="22" t="n">
        <x:f>E244*'Receipts to be received in'!$R$7*'Receipts to be received in'!$R$10</x:f>
        <x:v>0</x:v>
      </x:c>
      <x:c r="J244" s="23" t="n">
        <x:f>MAX(0,H244-I244)</x:f>
        <x:v>74</x:v>
      </x:c>
      <x:c r="K244">
        <x:v>0</x:v>
      </x:c>
      <x:c r="L244">
        <x:v>11.66</x:v>
      </x:c>
      <x:c r="M244" s="1">
        <x:v>46133</x:v>
      </x:c>
      <x:c r="N244">
        <x:v>9.7200000000000006</x:v>
      </x:c>
      <x:c r="O244" s="3">
        <x:v>46027</x:v>
      </x:c>
      <x:c r="P244" s="3">
        <x:v>46244</x:v>
      </x:c>
      <x:c r="Q244" s="2">
        <x:v>-0.16639999999999999</x:v>
      </x:c>
      <x:c r="T244">
        <x:v>143.55999999999901</x:v>
      </x:c>
      <x:c r="U244">
        <x:v>0</x:v>
      </x:c>
      <x:c r="V244">
        <x:v>719.28</x:v>
      </x:c>
      <x:c r="W244">
        <x:v>862.84</x:v>
      </x:c>
      <x:c r="X244">
        <x:v>254.28</x:v>
      </x:c>
      <x:c r="Y244" s="31" t="n">
        <x:f>J244*N244</x:f>
        <x:v>719.2800000000001</x:v>
      </x:c>
      <x:c r="Z244" s="31" t="n">
        <x:f>IF(J244=0,0,IF(L244&gt;0,J244*L244,"n.a."))</x:f>
        <x:v>862.84</x:v>
      </x:c>
      <x:c r="AA244" s="31" t="n">
        <x:f>IF(J244=0,0,IF(ISNUMBER(Z244),Z244-Y244,"n.a."))</x:f>
        <x:v>143.55999999999995</x:v>
      </x:c>
      <x:c r="AB244" s="32" t="n">
        <x:f>IF(AND(J244&gt;0,L244&gt;0,N244&gt;0),L244/N244-1,"n.a.")</x:f>
        <x:v>0.19958847736625507</x:v>
      </x:c>
      <x:c r="AC244" s="18" t="str">
        <x:f>IF(AND(J244&gt;0,L244&lt;=0),"Missing replacement cost",IF(I244&gt;H244,"Usage exceeds stock",""))</x:f>
      </x:c>
    </x:row>
    <x:row r="245">
      <x:c r="A245" t="s">
        <x:v>15</x:v>
      </x:c>
      <x:c r="B245">
        <x:v>60</x:v>
      </x:c>
      <x:c r="C245" t="s">
        <x:v>64</x:v>
      </x:c>
      <x:c r="D245" t="s">
        <x:v>113</x:v>
      </x:c>
      <x:c r="E245">
        <x:v>0</x:v>
      </x:c>
      <x:c r="F245">
        <x:v>0</x:v>
      </x:c>
      <x:c r="G245" s="22" t="n">
        <x:f>SUMIFS('Receipts to be received in'!$P$2:$P$53,'Receipts to be received in'!$B$2:$B$53,B245,'Receipts to be received in'!$C$2:$C$53,D245)</x:f>
        <x:v>0</x:v>
      </x:c>
      <x:c r="H245" s="23" t="n">
        <x:f>F245+G245</x:f>
        <x:v>0</x:v>
      </x:c>
      <x:c r="I245" s="22" t="n">
        <x:f>E245*'Receipts to be received in'!$R$7*'Receipts to be received in'!$R$10</x:f>
        <x:v>0</x:v>
      </x:c>
      <x:c r="J245" s="23" t="n">
        <x:f>MAX(0,H245-I245)</x:f>
        <x:v>0</x:v>
      </x:c>
      <x:c r="K245">
        <x:v>0</x:v>
      </x:c>
      <x:c r="L245">
        <x:v>0</x:v>
      </x:c>
      <x:c r="M245" s="1">
        <x:v>44937</x:v>
      </x:c>
      <x:c r="N245">
        <x:v>12.42</x:v>
      </x:c>
      <x:c r="O245" s="3">
        <x:v>43525</x:v>
      </x:c>
      <x:c r="P245" s="3">
        <x:v>41296</x:v>
      </x:c>
      <x:c r="Q245" t="s">
        <x:v>73</x:v>
      </x:c>
      <x:c r="T245">
        <x:v>0</x:v>
      </x:c>
      <x:c r="U245">
        <x:v>0</x:v>
      </x:c>
      <x:c r="V245">
        <x:v>0</x:v>
      </x:c>
      <x:c r="W245">
        <x:v>0</x:v>
      </x:c>
      <x:c r="X245">
        <x:v>184.5</x:v>
      </x:c>
      <x:c r="Y245" s="31" t="n">
        <x:f>J245*N245</x:f>
        <x:v>0</x:v>
      </x:c>
      <x:c r="Z245" s="31" t="n">
        <x:f>IF(J245=0,0,IF(L245&gt;0,J245*L245,"n.a."))</x:f>
        <x:v>0</x:v>
      </x:c>
      <x:c r="AA245" s="31" t="n">
        <x:f>IF(J245=0,0,IF(ISNUMBER(Z245),Z245-Y245,"n.a."))</x:f>
        <x:v>0</x:v>
      </x:c>
      <x:c r="AB245" s="32" t="str">
        <x:f>IF(AND(J245&gt;0,L245&gt;0,N245&gt;0),L245/N245-1,"n.a.")</x:f>
        <x:v>n.a.</x:v>
      </x:c>
      <x:c r="AC245" s="18" t="str">
        <x:f>IF(AND(J245&gt;0,L245&lt;=0),"Missing replacement cost",IF(I245&gt;H245,"Usage exceeds stock",""))</x:f>
      </x:c>
    </x:row>
    <x:row r="246">
      <x:c r="A246" t="s">
        <x:v>15</x:v>
      </x:c>
      <x:c r="B246">
        <x:v>60</x:v>
      </x:c>
      <x:c r="C246" t="s">
        <x:v>64</x:v>
      </x:c>
      <x:c r="D246" t="s">
        <x:v>114</x:v>
      </x:c>
      <x:c r="E246">
        <x:v>0</x:v>
      </x:c>
      <x:c r="F246">
        <x:v>0</x:v>
      </x:c>
      <x:c r="G246" s="22" t="n">
        <x:f>SUMIFS('Receipts to be received in'!$P$2:$P$53,'Receipts to be received in'!$B$2:$B$53,B246,'Receipts to be received in'!$C$2:$C$53,D246)</x:f>
        <x:v>0</x:v>
      </x:c>
      <x:c r="H246" s="23" t="n">
        <x:f>F246+G246</x:f>
        <x:v>0</x:v>
      </x:c>
      <x:c r="I246" s="22" t="n">
        <x:f>E246*'Receipts to be received in'!$R$7*'Receipts to be received in'!$R$10</x:f>
        <x:v>0</x:v>
      </x:c>
      <x:c r="J246" s="23" t="n">
        <x:f>MAX(0,H246-I246)</x:f>
        <x:v>0</x:v>
      </x:c>
      <x:c r="K246">
        <x:v>0</x:v>
      </x:c>
      <x:c r="L246">
        <x:v>0</x:v>
      </x:c>
      <x:c r="M246" s="1">
        <x:v>44937</x:v>
      </x:c>
      <x:c r="N246">
        <x:v>19.2</x:v>
      </x:c>
      <x:c r="O246" s="3">
        <x:v>43525</x:v>
      </x:c>
      <x:c r="P246" s="3">
        <x:v>42396</x:v>
      </x:c>
      <x:c r="Q246" t="s">
        <x:v>73</x:v>
      </x:c>
      <x:c r="T246">
        <x:v>0</x:v>
      </x:c>
      <x:c r="U246">
        <x:v>0</x:v>
      </x:c>
      <x:c r="V246">
        <x:v>0</x:v>
      </x:c>
      <x:c r="W246">
        <x:v>0</x:v>
      </x:c>
      <x:c r="X246">
        <x:v>365.84</x:v>
      </x:c>
      <x:c r="Y246" s="31" t="n">
        <x:f>J246*N246</x:f>
        <x:v>0</x:v>
      </x:c>
      <x:c r="Z246" s="31" t="n">
        <x:f>IF(J246=0,0,IF(L246&gt;0,J246*L246,"n.a."))</x:f>
        <x:v>0</x:v>
      </x:c>
      <x:c r="AA246" s="31" t="n">
        <x:f>IF(J246=0,0,IF(ISNUMBER(Z246),Z246-Y246,"n.a."))</x:f>
        <x:v>0</x:v>
      </x:c>
      <x:c r="AB246" s="32" t="str">
        <x:f>IF(AND(J246&gt;0,L246&gt;0,N246&gt;0),L246/N246-1,"n.a.")</x:f>
        <x:v>n.a.</x:v>
      </x:c>
      <x:c r="AC246" s="18" t="str">
        <x:f>IF(AND(J246&gt;0,L246&lt;=0),"Missing replacement cost",IF(I246&gt;H246,"Usage exceeds stock",""))</x:f>
      </x:c>
    </x:row>
    <x:row r="247">
      <x:c r="A247" t="s">
        <x:v>15</x:v>
      </x:c>
      <x:c r="B247">
        <x:v>60</x:v>
      </x:c>
      <x:c r="C247" t="s">
        <x:v>64</x:v>
      </x:c>
      <x:c r="D247" t="s">
        <x:v>115</x:v>
      </x:c>
      <x:c r="E247">
        <x:v>0</x:v>
      </x:c>
      <x:c r="F247">
        <x:v>0</x:v>
      </x:c>
      <x:c r="G247" s="22" t="n">
        <x:f>SUMIFS('Receipts to be received in'!$P$2:$P$53,'Receipts to be received in'!$B$2:$B$53,B247,'Receipts to be received in'!$C$2:$C$53,D247)</x:f>
        <x:v>0</x:v>
      </x:c>
      <x:c r="H247" s="23" t="n">
        <x:f>F247+G247</x:f>
        <x:v>0</x:v>
      </x:c>
      <x:c r="I247" s="22" t="n">
        <x:f>E247*'Receipts to be received in'!$R$7*'Receipts to be received in'!$R$10</x:f>
        <x:v>0</x:v>
      </x:c>
      <x:c r="J247" s="23" t="n">
        <x:f>MAX(0,H247-I247)</x:f>
        <x:v>0</x:v>
      </x:c>
      <x:c r="K247">
        <x:v>0</x:v>
      </x:c>
      <x:c r="L247">
        <x:v>0</x:v>
      </x:c>
      <x:c r="M247" s="1">
        <x:v>44937</x:v>
      </x:c>
      <x:c r="N247">
        <x:v>0</x:v>
      </x:c>
      <x:c r="O247" s="3">
        <x:v>45064</x:v>
      </x:c>
      <x:c r="P247" s="3">
        <x:v>39286</x:v>
      </x:c>
      <x:c r="Q247" t="s">
        <x:v>107</x:v>
      </x:c>
      <x:c r="T247">
        <x:v>0</x:v>
      </x:c>
      <x:c r="U247">
        <x:v>0</x:v>
      </x:c>
      <x:c r="V247">
        <x:v>0</x:v>
      </x:c>
      <x:c r="W247">
        <x:v>0</x:v>
      </x:c>
      <x:c r="X247">
        <x:v>0</x:v>
      </x:c>
      <x:c r="Y247" s="31" t="n">
        <x:f>J247*N247</x:f>
        <x:v>0</x:v>
      </x:c>
      <x:c r="Z247" s="31" t="n">
        <x:f>IF(J247=0,0,IF(L247&gt;0,J247*L247,"n.a."))</x:f>
        <x:v>0</x:v>
      </x:c>
      <x:c r="AA247" s="31" t="n">
        <x:f>IF(J247=0,0,IF(ISNUMBER(Z247),Z247-Y247,"n.a."))</x:f>
        <x:v>0</x:v>
      </x:c>
      <x:c r="AB247" s="32" t="str">
        <x:f>IF(AND(J247&gt;0,L247&gt;0,N247&gt;0),L247/N247-1,"n.a.")</x:f>
        <x:v>n.a.</x:v>
      </x:c>
      <x:c r="AC247" s="18" t="str">
        <x:f>IF(AND(J247&gt;0,L247&lt;=0),"Missing replacement cost",IF(I247&gt;H247,"Usage exceeds stock",""))</x:f>
      </x:c>
    </x:row>
    <x:row r="248">
      <x:c r="A248" t="s">
        <x:v>15</x:v>
      </x:c>
      <x:c r="B248">
        <x:v>60</x:v>
      </x:c>
      <x:c r="C248" t="s">
        <x:v>64</x:v>
      </x:c>
      <x:c r="D248" t="s">
        <x:v>116</x:v>
      </x:c>
      <x:c r="E248">
        <x:v>0</x:v>
      </x:c>
      <x:c r="F248">
        <x:v>0</x:v>
      </x:c>
      <x:c r="G248" s="22" t="n">
        <x:f>SUMIFS('Receipts to be received in'!$P$2:$P$53,'Receipts to be received in'!$B$2:$B$53,B248,'Receipts to be received in'!$C$2:$C$53,D248)</x:f>
        <x:v>0</x:v>
      </x:c>
      <x:c r="H248" s="23" t="n">
        <x:f>F248+G248</x:f>
        <x:v>0</x:v>
      </x:c>
      <x:c r="I248" s="22" t="n">
        <x:f>E248*'Receipts to be received in'!$R$7*'Receipts to be received in'!$R$10</x:f>
        <x:v>0</x:v>
      </x:c>
      <x:c r="J248" s="23" t="n">
        <x:f>MAX(0,H248-I248)</x:f>
        <x:v>0</x:v>
      </x:c>
      <x:c r="K248">
        <x:v>0</x:v>
      </x:c>
      <x:c r="L248">
        <x:v>0</x:v>
      </x:c>
      <x:c r="M248" s="1">
        <x:v>44937</x:v>
      </x:c>
      <x:c r="N248">
        <x:v>19.8</x:v>
      </x:c>
      <x:c r="O248" s="3">
        <x:v>43524</x:v>
      </x:c>
      <x:c r="P248" s="3">
        <x:v>41816</x:v>
      </x:c>
      <x:c r="Q248" t="s">
        <x:v>73</x:v>
      </x:c>
      <x:c r="T248">
        <x:v>0</x:v>
      </x:c>
      <x:c r="U248">
        <x:v>0</x:v>
      </x:c>
      <x:c r="V248">
        <x:v>0</x:v>
      </x:c>
      <x:c r="W248">
        <x:v>0</x:v>
      </x:c>
      <x:c r="X248">
        <x:v>204.75</x:v>
      </x:c>
      <x:c r="Y248" s="31" t="n">
        <x:f>J248*N248</x:f>
        <x:v>0</x:v>
      </x:c>
      <x:c r="Z248" s="31" t="n">
        <x:f>IF(J248=0,0,IF(L248&gt;0,J248*L248,"n.a."))</x:f>
        <x:v>0</x:v>
      </x:c>
      <x:c r="AA248" s="31" t="n">
        <x:f>IF(J248=0,0,IF(ISNUMBER(Z248),Z248-Y248,"n.a."))</x:f>
        <x:v>0</x:v>
      </x:c>
      <x:c r="AB248" s="32" t="str">
        <x:f>IF(AND(J248&gt;0,L248&gt;0,N248&gt;0),L248/N248-1,"n.a.")</x:f>
        <x:v>n.a.</x:v>
      </x:c>
      <x:c r="AC248" s="18" t="str">
        <x:f>IF(AND(J248&gt;0,L248&lt;=0),"Missing replacement cost",IF(I248&gt;H248,"Usage exceeds stock",""))</x:f>
      </x:c>
    </x:row>
    <x:row r="249">
      <x:c r="A249" t="s">
        <x:v>15</x:v>
      </x:c>
      <x:c r="B249">
        <x:v>60</x:v>
      </x:c>
      <x:c r="C249" t="s">
        <x:v>64</x:v>
      </x:c>
      <x:c r="D249" t="s">
        <x:v>117</x:v>
      </x:c>
      <x:c r="E249">
        <x:v>0</x:v>
      </x:c>
      <x:c r="F249">
        <x:v>5</x:v>
      </x:c>
      <x:c r="G249" s="22" t="n">
        <x:f>SUMIFS('Receipts to be received in'!$P$2:$P$53,'Receipts to be received in'!$B$2:$B$53,B249,'Receipts to be received in'!$C$2:$C$53,D249)</x:f>
        <x:v>0</x:v>
      </x:c>
      <x:c r="H249" s="23" t="n">
        <x:f>F249+G249</x:f>
        <x:v>5</x:v>
      </x:c>
      <x:c r="I249" s="22" t="n">
        <x:f>E249*'Receipts to be received in'!$R$7*'Receipts to be received in'!$R$10</x:f>
        <x:v>0</x:v>
      </x:c>
      <x:c r="J249" s="23" t="n">
        <x:f>MAX(0,H249-I249)</x:f>
        <x:v>5</x:v>
      </x:c>
      <x:c r="K249">
        <x:v>0</x:v>
      </x:c>
      <x:c r="L249">
        <x:v>0</x:v>
      </x:c>
      <x:c r="M249" s="1">
        <x:v>45078</x:v>
      </x:c>
      <x:c r="N249">
        <x:v>76.5</x:v>
      </x:c>
      <x:c r="O249" s="3">
        <x:v>45269</x:v>
      </x:c>
      <x:c r="P249" s="3">
        <x:v>43496</x:v>
      </x:c>
      <x:c r="Q249" t="s">
        <x:v>73</x:v>
      </x:c>
      <x:c r="T249">
        <x:v>-382.5</x:v>
      </x:c>
      <x:c r="U249">
        <x:v>0</x:v>
      </x:c>
      <x:c r="V249">
        <x:v>382.5</x:v>
      </x:c>
      <x:c r="W249">
        <x:v>0</x:v>
      </x:c>
      <x:c r="X249">
        <x:v>1509.47</x:v>
      </x:c>
      <x:c r="Y249" s="31" t="n">
        <x:f>J249*N249</x:f>
        <x:v>382.5</x:v>
      </x:c>
      <x:c r="Z249" s="31" t="str">
        <x:f>IF(J249=0,0,IF(L249&gt;0,J249*L249,"n.a."))</x:f>
        <x:v>n.a.</x:v>
      </x:c>
      <x:c r="AA249" s="31" t="str">
        <x:f>IF(J249=0,0,IF(ISNUMBER(Z249),Z249-Y249,"n.a."))</x:f>
        <x:v>n.a.</x:v>
      </x:c>
      <x:c r="AB249" s="32" t="str">
        <x:f>IF(AND(J249&gt;0,L249&gt;0,N249&gt;0),L249/N249-1,"n.a.")</x:f>
        <x:v>n.a.</x:v>
      </x:c>
      <x:c r="AC249" s="18" t="str">
        <x:f>IF(AND(J249&gt;0,L249&lt;=0),"Missing replacement cost",IF(I249&gt;H249,"Usage exceeds stock",""))</x:f>
        <x:v>Missing replacement cost</x:v>
      </x:c>
    </x:row>
    <x:row r="250">
      <x:c r="A250" t="s">
        <x:v>15</x:v>
      </x:c>
      <x:c r="B250">
        <x:v>60</x:v>
      </x:c>
      <x:c r="C250" t="s">
        <x:v>64</x:v>
      </x:c>
      <x:c r="D250" t="s">
        <x:v>118</x:v>
      </x:c>
      <x:c r="E250">
        <x:v>0</x:v>
      </x:c>
      <x:c r="F250">
        <x:v>0</x:v>
      </x:c>
      <x:c r="G250" s="22" t="n">
        <x:f>SUMIFS('Receipts to be received in'!$P$2:$P$53,'Receipts to be received in'!$B$2:$B$53,B250,'Receipts to be received in'!$C$2:$C$53,D250)</x:f>
        <x:v>0</x:v>
      </x:c>
      <x:c r="H250" s="23" t="n">
        <x:f>F250+G250</x:f>
        <x:v>0</x:v>
      </x:c>
      <x:c r="I250" s="22" t="n">
        <x:f>E250*'Receipts to be received in'!$R$7*'Receipts to be received in'!$R$10</x:f>
        <x:v>0</x:v>
      </x:c>
      <x:c r="J250" s="23" t="n">
        <x:f>MAX(0,H250-I250)</x:f>
        <x:v>0</x:v>
      </x:c>
      <x:c r="K250">
        <x:v>0</x:v>
      </x:c>
      <x:c r="L250">
        <x:v>0</x:v>
      </x:c>
      <x:c r="M250" s="1">
        <x:v>44937</x:v>
      </x:c>
      <x:c r="N250">
        <x:v>0</x:v>
      </x:c>
      <x:c r="O250" s="3">
        <x:v>45079</x:v>
      </x:c>
      <x:c r="P250" s="3">
        <x:v>40233</x:v>
      </x:c>
      <x:c r="Q250" t="s">
        <x:v>107</x:v>
      </x:c>
      <x:c r="T250">
        <x:v>0</x:v>
      </x:c>
      <x:c r="U250">
        <x:v>0</x:v>
      </x:c>
      <x:c r="V250">
        <x:v>0</x:v>
      </x:c>
      <x:c r="W250">
        <x:v>0</x:v>
      </x:c>
      <x:c r="X250">
        <x:v>1361.58</x:v>
      </x:c>
      <x:c r="Y250" s="31" t="n">
        <x:f>J250*N250</x:f>
        <x:v>0</x:v>
      </x:c>
      <x:c r="Z250" s="31" t="n">
        <x:f>IF(J250=0,0,IF(L250&gt;0,J250*L250,"n.a."))</x:f>
        <x:v>0</x:v>
      </x:c>
      <x:c r="AA250" s="31" t="n">
        <x:f>IF(J250=0,0,IF(ISNUMBER(Z250),Z250-Y250,"n.a."))</x:f>
        <x:v>0</x:v>
      </x:c>
      <x:c r="AB250" s="32" t="str">
        <x:f>IF(AND(J250&gt;0,L250&gt;0,N250&gt;0),L250/N250-1,"n.a.")</x:f>
        <x:v>n.a.</x:v>
      </x:c>
      <x:c r="AC250" s="18" t="str">
        <x:f>IF(AND(J250&gt;0,L250&lt;=0),"Missing replacement cost",IF(I250&gt;H250,"Usage exceeds stock",""))</x:f>
      </x:c>
    </x:row>
    <x:row r="251">
      <x:c r="A251" t="s">
        <x:v>15</x:v>
      </x:c>
      <x:c r="B251">
        <x:v>60</x:v>
      </x:c>
      <x:c r="C251" t="s">
        <x:v>64</x:v>
      </x:c>
      <x:c r="D251" t="s">
        <x:v>119</x:v>
      </x:c>
      <x:c r="E251">
        <x:v>0</x:v>
      </x:c>
      <x:c r="F251">
        <x:v>0</x:v>
      </x:c>
      <x:c r="G251" s="22" t="n">
        <x:f>SUMIFS('Receipts to be received in'!$P$2:$P$53,'Receipts to be received in'!$B$2:$B$53,B251,'Receipts to be received in'!$C$2:$C$53,D251)</x:f>
        <x:v>0</x:v>
      </x:c>
      <x:c r="H251" s="23" t="n">
        <x:f>F251+G251</x:f>
        <x:v>0</x:v>
      </x:c>
      <x:c r="I251" s="22" t="n">
        <x:f>E251*'Receipts to be received in'!$R$7*'Receipts to be received in'!$R$10</x:f>
        <x:v>0</x:v>
      </x:c>
      <x:c r="J251" s="23" t="n">
        <x:f>MAX(0,H251-I251)</x:f>
        <x:v>0</x:v>
      </x:c>
      <x:c r="K251">
        <x:v>0</x:v>
      </x:c>
      <x:c r="L251">
        <x:v>0</x:v>
      </x:c>
      <x:c r="M251" s="1">
        <x:v>44937</x:v>
      </x:c>
      <x:c r="N251">
        <x:v>17.25</x:v>
      </x:c>
      <x:c r="O251" s="3">
        <x:v>43525</x:v>
      </x:c>
      <x:c r="P251" s="3">
        <x:v>43112</x:v>
      </x:c>
      <x:c r="Q251" t="s">
        <x:v>73</x:v>
      </x:c>
      <x:c r="T251">
        <x:v>0</x:v>
      </x:c>
      <x:c r="U251">
        <x:v>0</x:v>
      </x:c>
      <x:c r="V251">
        <x:v>0</x:v>
      </x:c>
      <x:c r="W251">
        <x:v>0</x:v>
      </x:c>
      <x:c r="X251">
        <x:v>248.7</x:v>
      </x:c>
      <x:c r="Y251" s="31" t="n">
        <x:f>J251*N251</x:f>
        <x:v>0</x:v>
      </x:c>
      <x:c r="Z251" s="31" t="n">
        <x:f>IF(J251=0,0,IF(L251&gt;0,J251*L251,"n.a."))</x:f>
        <x:v>0</x:v>
      </x:c>
      <x:c r="AA251" s="31" t="n">
        <x:f>IF(J251=0,0,IF(ISNUMBER(Z251),Z251-Y251,"n.a."))</x:f>
        <x:v>0</x:v>
      </x:c>
      <x:c r="AB251" s="32" t="str">
        <x:f>IF(AND(J251&gt;0,L251&gt;0,N251&gt;0),L251/N251-1,"n.a.")</x:f>
        <x:v>n.a.</x:v>
      </x:c>
      <x:c r="AC251" s="18" t="str">
        <x:f>IF(AND(J251&gt;0,L251&lt;=0),"Missing replacement cost",IF(I251&gt;H251,"Usage exceeds stock",""))</x:f>
      </x:c>
    </x:row>
    <x:row r="252">
      <x:c r="A252" t="s">
        <x:v>15</x:v>
      </x:c>
      <x:c r="B252">
        <x:v>60</x:v>
      </x:c>
      <x:c r="C252" t="s">
        <x:v>64</x:v>
      </x:c>
      <x:c r="D252" t="s">
        <x:v>120</x:v>
      </x:c>
      <x:c r="E252">
        <x:v>0</x:v>
      </x:c>
      <x:c r="F252">
        <x:v>0</x:v>
      </x:c>
      <x:c r="G252" s="22" t="n">
        <x:f>SUMIFS('Receipts to be received in'!$P$2:$P$53,'Receipts to be received in'!$B$2:$B$53,B252,'Receipts to be received in'!$C$2:$C$53,D252)</x:f>
        <x:v>0</x:v>
      </x:c>
      <x:c r="H252" s="23" t="n">
        <x:f>F252+G252</x:f>
        <x:v>0</x:v>
      </x:c>
      <x:c r="I252" s="22" t="n">
        <x:f>E252*'Receipts to be received in'!$R$7*'Receipts to be received in'!$R$10</x:f>
        <x:v>0</x:v>
      </x:c>
      <x:c r="J252" s="23" t="n">
        <x:f>MAX(0,H252-I252)</x:f>
        <x:v>0</x:v>
      </x:c>
      <x:c r="K252">
        <x:v>0</x:v>
      </x:c>
      <x:c r="L252">
        <x:v>0</x:v>
      </x:c>
      <x:c r="M252" s="1">
        <x:v>44937</x:v>
      </x:c>
      <x:c r="N252">
        <x:v>25.79</x:v>
      </x:c>
      <x:c r="O252" s="3">
        <x:v>43524</x:v>
      </x:c>
      <x:c r="P252" s="3">
        <x:v>43112</x:v>
      </x:c>
      <x:c r="Q252" t="s">
        <x:v>73</x:v>
      </x:c>
      <x:c r="T252">
        <x:v>0</x:v>
      </x:c>
      <x:c r="U252">
        <x:v>0</x:v>
      </x:c>
      <x:c r="V252">
        <x:v>0</x:v>
      </x:c>
      <x:c r="W252">
        <x:v>0</x:v>
      </x:c>
      <x:c r="X252">
        <x:v>347.25</x:v>
      </x:c>
      <x:c r="Y252" s="31" t="n">
        <x:f>J252*N252</x:f>
        <x:v>0</x:v>
      </x:c>
      <x:c r="Z252" s="31" t="n">
        <x:f>IF(J252=0,0,IF(L252&gt;0,J252*L252,"n.a."))</x:f>
        <x:v>0</x:v>
      </x:c>
      <x:c r="AA252" s="31" t="n">
        <x:f>IF(J252=0,0,IF(ISNUMBER(Z252),Z252-Y252,"n.a."))</x:f>
        <x:v>0</x:v>
      </x:c>
      <x:c r="AB252" s="32" t="str">
        <x:f>IF(AND(J252&gt;0,L252&gt;0,N252&gt;0),L252/N252-1,"n.a.")</x:f>
        <x:v>n.a.</x:v>
      </x:c>
      <x:c r="AC252" s="18" t="str">
        <x:f>IF(AND(J252&gt;0,L252&lt;=0),"Missing replacement cost",IF(I252&gt;H252,"Usage exceeds stock",""))</x:f>
      </x:c>
    </x:row>
    <x:row r="253">
      <x:c r="A253" t="s">
        <x:v>15</x:v>
      </x:c>
      <x:c r="B253">
        <x:v>60</x:v>
      </x:c>
      <x:c r="C253" t="s">
        <x:v>64</x:v>
      </x:c>
      <x:c r="D253" t="s">
        <x:v>121</x:v>
      </x:c>
      <x:c r="E253">
        <x:v>0</x:v>
      </x:c>
      <x:c r="F253">
        <x:v>0</x:v>
      </x:c>
      <x:c r="G253" s="22" t="n">
        <x:f>SUMIFS('Receipts to be received in'!$P$2:$P$53,'Receipts to be received in'!$B$2:$B$53,B253,'Receipts to be received in'!$C$2:$C$53,D253)</x:f>
        <x:v>0</x:v>
      </x:c>
      <x:c r="H253" s="23" t="n">
        <x:f>F253+G253</x:f>
        <x:v>0</x:v>
      </x:c>
      <x:c r="I253" s="22" t="n">
        <x:f>E253*'Receipts to be received in'!$R$7*'Receipts to be received in'!$R$10</x:f>
        <x:v>0</x:v>
      </x:c>
      <x:c r="J253" s="23" t="n">
        <x:f>MAX(0,H253-I253)</x:f>
        <x:v>0</x:v>
      </x:c>
      <x:c r="K253">
        <x:v>0</x:v>
      </x:c>
      <x:c r="L253">
        <x:v>0</x:v>
      </x:c>
      <x:c r="M253" s="1">
        <x:v>44937</x:v>
      </x:c>
      <x:c r="N253">
        <x:v>21.38</x:v>
      </x:c>
      <x:c r="O253" s="3">
        <x:v>43524</x:v>
      </x:c>
      <x:c r="P253" s="3">
        <x:v>41816</x:v>
      </x:c>
      <x:c r="Q253" t="s">
        <x:v>73</x:v>
      </x:c>
      <x:c r="T253">
        <x:v>0</x:v>
      </x:c>
      <x:c r="U253">
        <x:v>0</x:v>
      </x:c>
      <x:c r="V253">
        <x:v>0</x:v>
      </x:c>
      <x:c r="W253">
        <x:v>0</x:v>
      </x:c>
      <x:c r="X253">
        <x:v>221.4</x:v>
      </x:c>
      <x:c r="Y253" s="31" t="n">
        <x:f>J253*N253</x:f>
        <x:v>0</x:v>
      </x:c>
      <x:c r="Z253" s="31" t="n">
        <x:f>IF(J253=0,0,IF(L253&gt;0,J253*L253,"n.a."))</x:f>
        <x:v>0</x:v>
      </x:c>
      <x:c r="AA253" s="31" t="n">
        <x:f>IF(J253=0,0,IF(ISNUMBER(Z253),Z253-Y253,"n.a."))</x:f>
        <x:v>0</x:v>
      </x:c>
      <x:c r="AB253" s="32" t="str">
        <x:f>IF(AND(J253&gt;0,L253&gt;0,N253&gt;0),L253/N253-1,"n.a.")</x:f>
        <x:v>n.a.</x:v>
      </x:c>
      <x:c r="AC253" s="18" t="str">
        <x:f>IF(AND(J253&gt;0,L253&lt;=0),"Missing replacement cost",IF(I253&gt;H253,"Usage exceeds stock",""))</x:f>
      </x:c>
    </x:row>
    <x:row r="254">
      <x:c r="A254" t="s">
        <x:v>15</x:v>
      </x:c>
      <x:c r="B254">
        <x:v>60</x:v>
      </x:c>
      <x:c r="C254" t="s">
        <x:v>64</x:v>
      </x:c>
      <x:c r="D254" t="s">
        <x:v>122</x:v>
      </x:c>
      <x:c r="E254">
        <x:v>0</x:v>
      </x:c>
      <x:c r="F254">
        <x:v>0</x:v>
      </x:c>
      <x:c r="G254" s="22" t="n">
        <x:f>SUMIFS('Receipts to be received in'!$P$2:$P$53,'Receipts to be received in'!$B$2:$B$53,B254,'Receipts to be received in'!$C$2:$C$53,D254)</x:f>
        <x:v>0</x:v>
      </x:c>
      <x:c r="H254" s="23" t="n">
        <x:f>F254+G254</x:f>
        <x:v>0</x:v>
      </x:c>
      <x:c r="I254" s="22" t="n">
        <x:f>E254*'Receipts to be received in'!$R$7*'Receipts to be received in'!$R$10</x:f>
        <x:v>0</x:v>
      </x:c>
      <x:c r="J254" s="23" t="n">
        <x:f>MAX(0,H254-I254)</x:f>
        <x:v>0</x:v>
      </x:c>
      <x:c r="K254">
        <x:v>0</x:v>
      </x:c>
      <x:c r="L254">
        <x:v>0</x:v>
      </x:c>
      <x:c r="M254" s="1">
        <x:v>44937</x:v>
      </x:c>
      <x:c r="N254">
        <x:v>18.63</x:v>
      </x:c>
      <x:c r="O254" s="3">
        <x:v>43525</x:v>
      </x:c>
      <x:c r="P254" s="3">
        <x:v>43496</x:v>
      </x:c>
      <x:c r="Q254" t="s">
        <x:v>73</x:v>
      </x:c>
      <x:c r="T254">
        <x:v>0</x:v>
      </x:c>
      <x:c r="U254">
        <x:v>0</x:v>
      </x:c>
      <x:c r="V254">
        <x:v>0</x:v>
      </x:c>
      <x:c r="W254">
        <x:v>0</x:v>
      </x:c>
      <x:c r="X254">
        <x:v>270.14999999999998</x:v>
      </x:c>
      <x:c r="Y254" s="31" t="n">
        <x:f>J254*N254</x:f>
        <x:v>0</x:v>
      </x:c>
      <x:c r="Z254" s="31" t="n">
        <x:f>IF(J254=0,0,IF(L254&gt;0,J254*L254,"n.a."))</x:f>
        <x:v>0</x:v>
      </x:c>
      <x:c r="AA254" s="31" t="n">
        <x:f>IF(J254=0,0,IF(ISNUMBER(Z254),Z254-Y254,"n.a."))</x:f>
        <x:v>0</x:v>
      </x:c>
      <x:c r="AB254" s="32" t="str">
        <x:f>IF(AND(J254&gt;0,L254&gt;0,N254&gt;0),L254/N254-1,"n.a.")</x:f>
        <x:v>n.a.</x:v>
      </x:c>
      <x:c r="AC254" s="18" t="str">
        <x:f>IF(AND(J254&gt;0,L254&lt;=0),"Missing replacement cost",IF(I254&gt;H254,"Usage exceeds stock",""))</x:f>
      </x:c>
    </x:row>
    <x:row r="255">
      <x:c r="A255" t="s">
        <x:v>15</x:v>
      </x:c>
      <x:c r="B255">
        <x:v>60</x:v>
      </x:c>
      <x:c r="C255" t="s">
        <x:v>64</x:v>
      </x:c>
      <x:c r="D255" t="s">
        <x:v>42</x:v>
      </x:c>
      <x:c r="E255">
        <x:v>0</x:v>
      </x:c>
      <x:c r="F255">
        <x:v>0</x:v>
      </x:c>
      <x:c r="G255" s="22" t="n">
        <x:f>SUMIFS('Receipts to be received in'!$P$2:$P$53,'Receipts to be received in'!$B$2:$B$53,B255,'Receipts to be received in'!$C$2:$C$53,D255)</x:f>
        <x:v>0</x:v>
      </x:c>
      <x:c r="H255" s="23" t="n">
        <x:f>F255+G255</x:f>
        <x:v>0</x:v>
      </x:c>
      <x:c r="I255" s="22" t="n">
        <x:f>E255*'Receipts to be received in'!$R$7*'Receipts to be received in'!$R$10</x:f>
        <x:v>0</x:v>
      </x:c>
      <x:c r="J255" s="23" t="n">
        <x:f>MAX(0,H255-I255)</x:f>
        <x:v>0</x:v>
      </x:c>
      <x:c r="K255">
        <x:v>0</x:v>
      </x:c>
      <x:c r="L255">
        <x:v>35.340000000000003</x:v>
      </x:c>
      <x:c r="M255" s="1">
        <x:v>46134</x:v>
      </x:c>
      <x:c r="N255">
        <x:v>29.41</x:v>
      </x:c>
      <x:c r="O255" s="3">
        <x:v>46027</x:v>
      </x:c>
      <x:c r="Q255" s="2">
        <x:v>-0.1678</x:v>
      </x:c>
      <x:c r="T255">
        <x:v>0</x:v>
      </x:c>
      <x:c r="U255">
        <x:v>0</x:v>
      </x:c>
      <x:c r="V255">
        <x:v>0</x:v>
      </x:c>
      <x:c r="W255">
        <x:v>0</x:v>
      </x:c>
      <x:c r="X255">
        <x:v>943.79</x:v>
      </x:c>
      <x:c r="Y255" s="31" t="n">
        <x:f>J255*N255</x:f>
        <x:v>0</x:v>
      </x:c>
      <x:c r="Z255" s="31" t="n">
        <x:f>IF(J255=0,0,IF(L255&gt;0,J255*L255,"n.a."))</x:f>
        <x:v>0</x:v>
      </x:c>
      <x:c r="AA255" s="31" t="n">
        <x:f>IF(J255=0,0,IF(ISNUMBER(Z255),Z255-Y255,"n.a."))</x:f>
        <x:v>0</x:v>
      </x:c>
      <x:c r="AB255" s="32" t="str">
        <x:f>IF(AND(J255&gt;0,L255&gt;0,N255&gt;0),L255/N255-1,"n.a.")</x:f>
        <x:v>n.a.</x:v>
      </x:c>
      <x:c r="AC255" s="18" t="str">
        <x:f>IF(AND(J255&gt;0,L255&lt;=0),"Missing replacement cost",IF(I255&gt;H255,"Usage exceeds stock",""))</x:f>
      </x:c>
    </x:row>
    <x:row r="256">
      <x:c r="A256" t="s">
        <x:v>15</x:v>
      </x:c>
      <x:c r="B256">
        <x:v>60</x:v>
      </x:c>
      <x:c r="C256" t="s">
        <x:v>64</x:v>
      </x:c>
      <x:c r="D256" t="s">
        <x:v>123</x:v>
      </x:c>
      <x:c r="E256">
        <x:v>0</x:v>
      </x:c>
      <x:c r="F256">
        <x:v>0</x:v>
      </x:c>
      <x:c r="G256" s="22" t="n">
        <x:f>SUMIFS('Receipts to be received in'!$P$2:$P$53,'Receipts to be received in'!$B$2:$B$53,B256,'Receipts to be received in'!$C$2:$C$53,D256)</x:f>
        <x:v>0</x:v>
      </x:c>
      <x:c r="H256" s="23" t="n">
        <x:f>F256+G256</x:f>
        <x:v>0</x:v>
      </x:c>
      <x:c r="I256" s="22" t="n">
        <x:f>E256*'Receipts to be received in'!$R$7*'Receipts to be received in'!$R$10</x:f>
        <x:v>0</x:v>
      </x:c>
      <x:c r="J256" s="23" t="n">
        <x:f>MAX(0,H256-I256)</x:f>
        <x:v>0</x:v>
      </x:c>
      <x:c r="K256">
        <x:v>0</x:v>
      </x:c>
      <x:c r="L256">
        <x:v>39.99</x:v>
      </x:c>
      <x:c r="M256" s="1">
        <x:v>46134</x:v>
      </x:c>
      <x:c r="N256">
        <x:v>33.28</x:v>
      </x:c>
      <x:c r="O256" s="3">
        <x:v>46027</x:v>
      </x:c>
      <x:c r="Q256" s="2">
        <x:v>-0.1678</x:v>
      </x:c>
      <x:c r="T256">
        <x:v>0</x:v>
      </x:c>
      <x:c r="U256">
        <x:v>0</x:v>
      </x:c>
      <x:c r="V256">
        <x:v>0</x:v>
      </x:c>
      <x:c r="W256">
        <x:v>0</x:v>
      </x:c>
      <x:c r="X256">
        <x:v>1067.9100000000001</x:v>
      </x:c>
      <x:c r="Y256" s="31" t="n">
        <x:f>J256*N256</x:f>
        <x:v>0</x:v>
      </x:c>
      <x:c r="Z256" s="31" t="n">
        <x:f>IF(J256=0,0,IF(L256&gt;0,J256*L256,"n.a."))</x:f>
        <x:v>0</x:v>
      </x:c>
      <x:c r="AA256" s="31" t="n">
        <x:f>IF(J256=0,0,IF(ISNUMBER(Z256),Z256-Y256,"n.a."))</x:f>
        <x:v>0</x:v>
      </x:c>
      <x:c r="AB256" s="32" t="str">
        <x:f>IF(AND(J256&gt;0,L256&gt;0,N256&gt;0),L256/N256-1,"n.a.")</x:f>
        <x:v>n.a.</x:v>
      </x:c>
      <x:c r="AC256" s="18" t="str">
        <x:f>IF(AND(J256&gt;0,L256&lt;=0),"Missing replacement cost",IF(I256&gt;H256,"Usage exceeds stock",""))</x:f>
      </x:c>
    </x:row>
    <x:row r="257">
      <x:c r="A257" t="s">
        <x:v>15</x:v>
      </x:c>
      <x:c r="B257">
        <x:v>60</x:v>
      </x:c>
      <x:c r="C257" t="s">
        <x:v>64</x:v>
      </x:c>
      <x:c r="D257" t="s">
        <x:v>95</x:v>
      </x:c>
      <x:c r="E257">
        <x:v>0</x:v>
      </x:c>
      <x:c r="F257">
        <x:v>0</x:v>
      </x:c>
      <x:c r="G257" s="22" t="n">
        <x:f>SUMIFS('Receipts to be received in'!$P$2:$P$53,'Receipts to be received in'!$B$2:$B$53,B257,'Receipts to be received in'!$C$2:$C$53,D257)</x:f>
        <x:v>0</x:v>
      </x:c>
      <x:c r="H257" s="23" t="n">
        <x:f>F257+G257</x:f>
        <x:v>0</x:v>
      </x:c>
      <x:c r="I257" s="22" t="n">
        <x:f>E257*'Receipts to be received in'!$R$7*'Receipts to be received in'!$R$10</x:f>
        <x:v>0</x:v>
      </x:c>
      <x:c r="J257" s="23" t="n">
        <x:f>MAX(0,H257-I257)</x:f>
        <x:v>0</x:v>
      </x:c>
      <x:c r="K257">
        <x:v>0</x:v>
      </x:c>
      <x:c r="L257">
        <x:v>0</x:v>
      </x:c>
      <x:c r="M257" s="1">
        <x:v>45078</x:v>
      </x:c>
      <x:c r="N257">
        <x:v>5.14</x:v>
      </x:c>
      <x:c r="O257" s="3">
        <x:v>45269</x:v>
      </x:c>
      <x:c r="P257" s="3">
        <x:v>42139</x:v>
      </x:c>
      <x:c r="Q257" t="s">
        <x:v>73</x:v>
      </x:c>
      <x:c r="T257">
        <x:v>0</x:v>
      </x:c>
      <x:c r="U257">
        <x:v>0</x:v>
      </x:c>
      <x:c r="V257">
        <x:v>0</x:v>
      </x:c>
      <x:c r="W257">
        <x:v>0</x:v>
      </x:c>
      <x:c r="X257">
        <x:v>75.349999999999994</x:v>
      </x:c>
      <x:c r="Y257" s="31" t="n">
        <x:f>J257*N257</x:f>
        <x:v>0</x:v>
      </x:c>
      <x:c r="Z257" s="31" t="n">
        <x:f>IF(J257=0,0,IF(L257&gt;0,J257*L257,"n.a."))</x:f>
        <x:v>0</x:v>
      </x:c>
      <x:c r="AA257" s="31" t="n">
        <x:f>IF(J257=0,0,IF(ISNUMBER(Z257),Z257-Y257,"n.a."))</x:f>
        <x:v>0</x:v>
      </x:c>
      <x:c r="AB257" s="32" t="str">
        <x:f>IF(AND(J257&gt;0,L257&gt;0,N257&gt;0),L257/N257-1,"n.a.")</x:f>
        <x:v>n.a.</x:v>
      </x:c>
      <x:c r="AC257" s="18" t="str">
        <x:f>IF(AND(J257&gt;0,L257&lt;=0),"Missing replacement cost",IF(I257&gt;H257,"Usage exceeds stock",""))</x:f>
      </x:c>
    </x:row>
    <x:row r="258">
      <x:c r="A258" t="s">
        <x:v>15</x:v>
      </x:c>
      <x:c r="B258">
        <x:v>60</x:v>
      </x:c>
      <x:c r="C258" t="s">
        <x:v>64</x:v>
      </x:c>
      <x:c r="D258" t="s">
        <x:v>124</x:v>
      </x:c>
      <x:c r="E258">
        <x:v>0</x:v>
      </x:c>
      <x:c r="F258">
        <x:v>4</x:v>
      </x:c>
      <x:c r="G258" s="22" t="n">
        <x:f>SUMIFS('Receipts to be received in'!$P$2:$P$53,'Receipts to be received in'!$B$2:$B$53,B258,'Receipts to be received in'!$C$2:$C$53,D258)</x:f>
        <x:v>0</x:v>
      </x:c>
      <x:c r="H258" s="23" t="n">
        <x:f>F258+G258</x:f>
        <x:v>4</x:v>
      </x:c>
      <x:c r="I258" s="22" t="n">
        <x:f>E258*'Receipts to be received in'!$R$7*'Receipts to be received in'!$R$10</x:f>
        <x:v>0</x:v>
      </x:c>
      <x:c r="J258" s="23" t="n">
        <x:f>MAX(0,H258-I258)</x:f>
        <x:v>4</x:v>
      </x:c>
      <x:c r="K258">
        <x:v>1</x:v>
      </x:c>
      <x:c r="L258">
        <x:v>0</x:v>
      </x:c>
      <x:c r="M258" s="1">
        <x:v>44216</x:v>
      </x:c>
      <x:c r="N258">
        <x:v>0</x:v>
      </x:c>
      <x:c r="O258" s="3">
        <x:v>44216</x:v>
      </x:c>
      <x:c r="P258" s="3">
        <x:v>45877</x:v>
      </x:c>
      <x:c r="Q258" t="s">
        <x:v>107</x:v>
      </x:c>
      <x:c r="T258">
        <x:v>0</x:v>
      </x:c>
      <x:c r="U258">
        <x:v>0</x:v>
      </x:c>
      <x:c r="V258">
        <x:v>0</x:v>
      </x:c>
      <x:c r="W258">
        <x:v>0</x:v>
      </x:c>
      <x:c r="X258">
        <x:v>0</x:v>
      </x:c>
      <x:c r="Y258" s="31" t="n">
        <x:f>J258*N258</x:f>
        <x:v>0</x:v>
      </x:c>
      <x:c r="Z258" s="31" t="str">
        <x:f>IF(J258=0,0,IF(L258&gt;0,J258*L258,"n.a."))</x:f>
        <x:v>n.a.</x:v>
      </x:c>
      <x:c r="AA258" s="31" t="str">
        <x:f>IF(J258=0,0,IF(ISNUMBER(Z258),Z258-Y258,"n.a."))</x:f>
        <x:v>n.a.</x:v>
      </x:c>
      <x:c r="AB258" s="32" t="str">
        <x:f>IF(AND(J258&gt;0,L258&gt;0,N258&gt;0),L258/N258-1,"n.a.")</x:f>
        <x:v>n.a.</x:v>
      </x:c>
      <x:c r="AC258" s="18" t="str">
        <x:f>IF(AND(J258&gt;0,L258&lt;=0),"Missing replacement cost",IF(I258&gt;H258,"Usage exceeds stock",""))</x:f>
        <x:v>Missing replacement cost</x:v>
      </x:c>
    </x:row>
    <x:row r="259">
      <x:c r="A259" t="s">
        <x:v>15</x:v>
      </x:c>
      <x:c r="B259">
        <x:v>60</x:v>
      </x:c>
      <x:c r="C259" t="s">
        <x:v>64</x:v>
      </x:c>
      <x:c r="D259" t="s">
        <x:v>125</x:v>
      </x:c>
      <x:c r="E259">
        <x:v>0</x:v>
      </x:c>
      <x:c r="F259">
        <x:v>0</x:v>
      </x:c>
      <x:c r="G259" s="22" t="n">
        <x:f>SUMIFS('Receipts to be received in'!$P$2:$P$53,'Receipts to be received in'!$B$2:$B$53,B259,'Receipts to be received in'!$C$2:$C$53,D259)</x:f>
        <x:v>0</x:v>
      </x:c>
      <x:c r="H259" s="23" t="n">
        <x:f>F259+G259</x:f>
        <x:v>0</x:v>
      </x:c>
      <x:c r="I259" s="22" t="n">
        <x:f>E259*'Receipts to be received in'!$R$7*'Receipts to be received in'!$R$10</x:f>
        <x:v>0</x:v>
      </x:c>
      <x:c r="J259" s="23" t="n">
        <x:f>MAX(0,H259-I259)</x:f>
        <x:v>0</x:v>
      </x:c>
      <x:c r="K259">
        <x:v>0</x:v>
      </x:c>
      <x:c r="L259">
        <x:v>0</x:v>
      </x:c>
      <x:c r="M259" s="1">
        <x:v>44937</x:v>
      </x:c>
      <x:c r="N259">
        <x:v>0</x:v>
      </x:c>
      <x:c r="O259" s="3">
        <x:v>45064</x:v>
      </x:c>
      <x:c r="P259" s="3">
        <x:v>43039</x:v>
      </x:c>
      <x:c r="Q259" t="s">
        <x:v>107</x:v>
      </x:c>
      <x:c r="T259">
        <x:v>0</x:v>
      </x:c>
      <x:c r="U259">
        <x:v>0</x:v>
      </x:c>
      <x:c r="V259">
        <x:v>0</x:v>
      </x:c>
      <x:c r="W259">
        <x:v>0</x:v>
      </x:c>
      <x:c r="X259">
        <x:v>0</x:v>
      </x:c>
      <x:c r="Y259" s="31" t="n">
        <x:f>J259*N259</x:f>
        <x:v>0</x:v>
      </x:c>
      <x:c r="Z259" s="31" t="n">
        <x:f>IF(J259=0,0,IF(L259&gt;0,J259*L259,"n.a."))</x:f>
        <x:v>0</x:v>
      </x:c>
      <x:c r="AA259" s="31" t="n">
        <x:f>IF(J259=0,0,IF(ISNUMBER(Z259),Z259-Y259,"n.a."))</x:f>
        <x:v>0</x:v>
      </x:c>
      <x:c r="AB259" s="32" t="str">
        <x:f>IF(AND(J259&gt;0,L259&gt;0,N259&gt;0),L259/N259-1,"n.a.")</x:f>
        <x:v>n.a.</x:v>
      </x:c>
      <x:c r="AC259" s="18" t="str">
        <x:f>IF(AND(J259&gt;0,L259&lt;=0),"Missing replacement cost",IF(I259&gt;H259,"Usage exceeds stock",""))</x:f>
      </x:c>
    </x:row>
    <x:row r="260">
      <x:c r="A260" t="s">
        <x:v>15</x:v>
      </x:c>
      <x:c r="B260">
        <x:v>60</x:v>
      </x:c>
      <x:c r="C260" t="s">
        <x:v>64</x:v>
      </x:c>
      <x:c r="D260" t="s">
        <x:v>126</x:v>
      </x:c>
      <x:c r="E260">
        <x:v>0</x:v>
      </x:c>
      <x:c r="F260">
        <x:v>0</x:v>
      </x:c>
      <x:c r="G260" s="22" t="n">
        <x:f>SUMIFS('Receipts to be received in'!$P$2:$P$53,'Receipts to be received in'!$B$2:$B$53,B260,'Receipts to be received in'!$C$2:$C$53,D260)</x:f>
        <x:v>0</x:v>
      </x:c>
      <x:c r="H260" s="23" t="n">
        <x:f>F260+G260</x:f>
        <x:v>0</x:v>
      </x:c>
      <x:c r="I260" s="22" t="n">
        <x:f>E260*'Receipts to be received in'!$R$7*'Receipts to be received in'!$R$10</x:f>
        <x:v>0</x:v>
      </x:c>
      <x:c r="J260" s="23" t="n">
        <x:f>MAX(0,H260-I260)</x:f>
        <x:v>0</x:v>
      </x:c>
      <x:c r="K260">
        <x:v>0</x:v>
      </x:c>
      <x:c r="L260">
        <x:v>0</x:v>
      </x:c>
      <x:c r="M260" s="1">
        <x:v>44937</x:v>
      </x:c>
      <x:c r="N260">
        <x:v>52.99</x:v>
      </x:c>
      <x:c r="O260" s="3">
        <x:v>44459</x:v>
      </x:c>
      <x:c r="P260" s="3">
        <x:v>43850</x:v>
      </x:c>
      <x:c r="Q260" t="s">
        <x:v>73</x:v>
      </x:c>
      <x:c r="T260">
        <x:v>0</x:v>
      </x:c>
      <x:c r="U260">
        <x:v>0</x:v>
      </x:c>
      <x:c r="V260">
        <x:v>0</x:v>
      </x:c>
      <x:c r="W260">
        <x:v>0</x:v>
      </x:c>
      <x:c r="X260">
        <x:v>661.95</x:v>
      </x:c>
      <x:c r="Y260" s="31" t="n">
        <x:f>J260*N260</x:f>
        <x:v>0</x:v>
      </x:c>
      <x:c r="Z260" s="31" t="n">
        <x:f>IF(J260=0,0,IF(L260&gt;0,J260*L260,"n.a."))</x:f>
        <x:v>0</x:v>
      </x:c>
      <x:c r="AA260" s="31" t="n">
        <x:f>IF(J260=0,0,IF(ISNUMBER(Z260),Z260-Y260,"n.a."))</x:f>
        <x:v>0</x:v>
      </x:c>
      <x:c r="AB260" s="32" t="str">
        <x:f>IF(AND(J260&gt;0,L260&gt;0,N260&gt;0),L260/N260-1,"n.a.")</x:f>
        <x:v>n.a.</x:v>
      </x:c>
      <x:c r="AC260" s="18" t="str">
        <x:f>IF(AND(J260&gt;0,L260&lt;=0),"Missing replacement cost",IF(I260&gt;H260,"Usage exceeds stock",""))</x:f>
      </x:c>
    </x:row>
    <x:row r="261">
      <x:c r="A261" t="s">
        <x:v>15</x:v>
      </x:c>
      <x:c r="B261">
        <x:v>60</x:v>
      </x:c>
      <x:c r="C261" t="s">
        <x:v>64</x:v>
      </x:c>
      <x:c r="D261" t="s">
        <x:v>127</x:v>
      </x:c>
      <x:c r="E261">
        <x:v>0</x:v>
      </x:c>
      <x:c r="F261">
        <x:v>0</x:v>
      </x:c>
      <x:c r="G261" s="22" t="n">
        <x:f>SUMIFS('Receipts to be received in'!$P$2:$P$53,'Receipts to be received in'!$B$2:$B$53,B261,'Receipts to be received in'!$C$2:$C$53,D261)</x:f>
        <x:v>0</x:v>
      </x:c>
      <x:c r="H261" s="23" t="n">
        <x:f>F261+G261</x:f>
        <x:v>0</x:v>
      </x:c>
      <x:c r="I261" s="22" t="n">
        <x:f>E261*'Receipts to be received in'!$R$7*'Receipts to be received in'!$R$10</x:f>
        <x:v>0</x:v>
      </x:c>
      <x:c r="J261" s="23" t="n">
        <x:f>MAX(0,H261-I261)</x:f>
        <x:v>0</x:v>
      </x:c>
      <x:c r="K261">
        <x:v>0</x:v>
      </x:c>
      <x:c r="L261">
        <x:v>0</x:v>
      </x:c>
      <x:c r="M261" s="1">
        <x:v>44937</x:v>
      </x:c>
      <x:c r="N261">
        <x:v>0</x:v>
      </x:c>
      <x:c r="O261" s="3">
        <x:v>45210</x:v>
      </x:c>
      <x:c r="P261" s="3">
        <x:v>41816</x:v>
      </x:c>
      <x:c r="Q261" t="s">
        <x:v>107</x:v>
      </x:c>
      <x:c r="T261">
        <x:v>0</x:v>
      </x:c>
      <x:c r="U261">
        <x:v>0</x:v>
      </x:c>
      <x:c r="V261">
        <x:v>0</x:v>
      </x:c>
      <x:c r="W261">
        <x:v>0</x:v>
      </x:c>
      <x:c r="X261">
        <x:v>109.46</x:v>
      </x:c>
      <x:c r="Y261" s="31" t="n">
        <x:f>J261*N261</x:f>
        <x:v>0</x:v>
      </x:c>
      <x:c r="Z261" s="31" t="n">
        <x:f>IF(J261=0,0,IF(L261&gt;0,J261*L261,"n.a."))</x:f>
        <x:v>0</x:v>
      </x:c>
      <x:c r="AA261" s="31" t="n">
        <x:f>IF(J261=0,0,IF(ISNUMBER(Z261),Z261-Y261,"n.a."))</x:f>
        <x:v>0</x:v>
      </x:c>
      <x:c r="AB261" s="32" t="str">
        <x:f>IF(AND(J261&gt;0,L261&gt;0,N261&gt;0),L261/N261-1,"n.a.")</x:f>
        <x:v>n.a.</x:v>
      </x:c>
      <x:c r="AC261" s="18" t="str">
        <x:f>IF(AND(J261&gt;0,L261&lt;=0),"Missing replacement cost",IF(I261&gt;H261,"Usage exceeds stock",""))</x:f>
      </x:c>
    </x:row>
    <x:row r="262">
      <x:c r="A262" t="s">
        <x:v>15</x:v>
      </x:c>
      <x:c r="B262">
        <x:v>60</x:v>
      </x:c>
      <x:c r="C262" t="s">
        <x:v>64</x:v>
      </x:c>
      <x:c r="D262" t="s">
        <x:v>129</x:v>
      </x:c>
      <x:c r="E262">
        <x:v>0</x:v>
      </x:c>
      <x:c r="F262">
        <x:v>0</x:v>
      </x:c>
      <x:c r="G262" s="22" t="n">
        <x:f>SUMIFS('Receipts to be received in'!$P$2:$P$53,'Receipts to be received in'!$B$2:$B$53,B262,'Receipts to be received in'!$C$2:$C$53,D262)</x:f>
        <x:v>0</x:v>
      </x:c>
      <x:c r="H262" s="23" t="n">
        <x:f>F262+G262</x:f>
        <x:v>0</x:v>
      </x:c>
      <x:c r="I262" s="22" t="n">
        <x:f>E262*'Receipts to be received in'!$R$7*'Receipts to be received in'!$R$10</x:f>
        <x:v>0</x:v>
      </x:c>
      <x:c r="J262" s="23" t="n">
        <x:f>MAX(0,H262-I262)</x:f>
        <x:v>0</x:v>
      </x:c>
      <x:c r="K262">
        <x:v>0</x:v>
      </x:c>
      <x:c r="L262">
        <x:v>0</x:v>
      </x:c>
      <x:c r="M262" s="1">
        <x:v>44937</x:v>
      </x:c>
      <x:c r="N262">
        <x:v>72.14</x:v>
      </x:c>
      <x:c r="O262" s="3">
        <x:v>44330</x:v>
      </x:c>
      <x:c r="P262" s="3">
        <x:v>41422</x:v>
      </x:c>
      <x:c r="Q262" t="s">
        <x:v>73</x:v>
      </x:c>
      <x:c r="T262">
        <x:v>0</x:v>
      </x:c>
      <x:c r="U262">
        <x:v>0</x:v>
      </x:c>
      <x:c r="V262">
        <x:v>0</x:v>
      </x:c>
      <x:c r="W262">
        <x:v>0</x:v>
      </x:c>
      <x:c r="X262">
        <x:v>902.11</x:v>
      </x:c>
      <x:c r="Y262" s="31" t="n">
        <x:f>J262*N262</x:f>
        <x:v>0</x:v>
      </x:c>
      <x:c r="Z262" s="31" t="n">
        <x:f>IF(J262=0,0,IF(L262&gt;0,J262*L262,"n.a."))</x:f>
        <x:v>0</x:v>
      </x:c>
      <x:c r="AA262" s="31" t="n">
        <x:f>IF(J262=0,0,IF(ISNUMBER(Z262),Z262-Y262,"n.a."))</x:f>
        <x:v>0</x:v>
      </x:c>
      <x:c r="AB262" s="32" t="str">
        <x:f>IF(AND(J262&gt;0,L262&gt;0,N262&gt;0),L262/N262-1,"n.a.")</x:f>
        <x:v>n.a.</x:v>
      </x:c>
      <x:c r="AC262" s="18" t="str">
        <x:f>IF(AND(J262&gt;0,L262&lt;=0),"Missing replacement cost",IF(I262&gt;H262,"Usage exceeds stock",""))</x:f>
      </x:c>
    </x:row>
    <x:row r="263">
      <x:c r="A263" t="s">
        <x:v>15</x:v>
      </x:c>
      <x:c r="B263">
        <x:v>60</x:v>
      </x:c>
      <x:c r="C263" t="s">
        <x:v>64</x:v>
      </x:c>
      <x:c r="D263" t="s">
        <x:v>130</x:v>
      </x:c>
      <x:c r="E263">
        <x:v>0</x:v>
      </x:c>
      <x:c r="F263">
        <x:v>0</x:v>
      </x:c>
      <x:c r="G263" s="22" t="n">
        <x:f>SUMIFS('Receipts to be received in'!$P$2:$P$53,'Receipts to be received in'!$B$2:$B$53,B263,'Receipts to be received in'!$C$2:$C$53,D263)</x:f>
        <x:v>0</x:v>
      </x:c>
      <x:c r="H263" s="23" t="n">
        <x:f>F263+G263</x:f>
        <x:v>0</x:v>
      </x:c>
      <x:c r="I263" s="22" t="n">
        <x:f>E263*'Receipts to be received in'!$R$7*'Receipts to be received in'!$R$10</x:f>
        <x:v>0</x:v>
      </x:c>
      <x:c r="J263" s="23" t="n">
        <x:f>MAX(0,H263-I263)</x:f>
        <x:v>0</x:v>
      </x:c>
      <x:c r="K263">
        <x:v>0</x:v>
      </x:c>
      <x:c r="L263">
        <x:v>0</x:v>
      </x:c>
      <x:c r="M263" s="1">
        <x:v>44937</x:v>
      </x:c>
      <x:c r="N263">
        <x:v>0</x:v>
      </x:c>
      <x:c r="O263" s="3">
        <x:v>45210</x:v>
      </x:c>
      <x:c r="P263" s="3">
        <x:v>41816</x:v>
      </x:c>
      <x:c r="Q263" t="s">
        <x:v>107</x:v>
      </x:c>
      <x:c r="T263">
        <x:v>0</x:v>
      </x:c>
      <x:c r="U263">
        <x:v>0</x:v>
      </x:c>
      <x:c r="V263">
        <x:v>0</x:v>
      </x:c>
      <x:c r="W263">
        <x:v>0</x:v>
      </x:c>
      <x:c r="X263">
        <x:v>163.88</x:v>
      </x:c>
      <x:c r="Y263" s="31" t="n">
        <x:f>J263*N263</x:f>
        <x:v>0</x:v>
      </x:c>
      <x:c r="Z263" s="31" t="n">
        <x:f>IF(J263=0,0,IF(L263&gt;0,J263*L263,"n.a."))</x:f>
        <x:v>0</x:v>
      </x:c>
      <x:c r="AA263" s="31" t="n">
        <x:f>IF(J263=0,0,IF(ISNUMBER(Z263),Z263-Y263,"n.a."))</x:f>
        <x:v>0</x:v>
      </x:c>
      <x:c r="AB263" s="32" t="str">
        <x:f>IF(AND(J263&gt;0,L263&gt;0,N263&gt;0),L263/N263-1,"n.a.")</x:f>
        <x:v>n.a.</x:v>
      </x:c>
      <x:c r="AC263" s="18" t="str">
        <x:f>IF(AND(J263&gt;0,L263&lt;=0),"Missing replacement cost",IF(I263&gt;H263,"Usage exceeds stock",""))</x:f>
      </x:c>
    </x:row>
    <x:row r="264">
      <x:c r="A264" t="s">
        <x:v>15</x:v>
      </x:c>
      <x:c r="B264">
        <x:v>60</x:v>
      </x:c>
      <x:c r="C264" t="s">
        <x:v>64</x:v>
      </x:c>
      <x:c r="D264" t="s">
        <x:v>131</x:v>
      </x:c>
      <x:c r="E264">
        <x:v>0</x:v>
      </x:c>
      <x:c r="F264">
        <x:v>0</x:v>
      </x:c>
      <x:c r="G264" s="22" t="n">
        <x:f>SUMIFS('Receipts to be received in'!$P$2:$P$53,'Receipts to be received in'!$B$2:$B$53,B264,'Receipts to be received in'!$C$2:$C$53,D264)</x:f>
        <x:v>0</x:v>
      </x:c>
      <x:c r="H264" s="23" t="n">
        <x:f>F264+G264</x:f>
        <x:v>0</x:v>
      </x:c>
      <x:c r="I264" s="22" t="n">
        <x:f>E264*'Receipts to be received in'!$R$7*'Receipts to be received in'!$R$10</x:f>
        <x:v>0</x:v>
      </x:c>
      <x:c r="J264" s="23" t="n">
        <x:f>MAX(0,H264-I264)</x:f>
        <x:v>0</x:v>
      </x:c>
      <x:c r="K264">
        <x:v>0</x:v>
      </x:c>
      <x:c r="L264">
        <x:v>0</x:v>
      </x:c>
      <x:c r="M264" s="1">
        <x:v>44937</x:v>
      </x:c>
      <x:c r="N264">
        <x:v>0</x:v>
      </x:c>
      <x:c r="O264" s="3">
        <x:v>45064</x:v>
      </x:c>
      <x:c r="P264" s="3">
        <x:v>43791</x:v>
      </x:c>
      <x:c r="Q264" t="s">
        <x:v>107</x:v>
      </x:c>
      <x:c r="T264">
        <x:v>0</x:v>
      </x:c>
      <x:c r="U264">
        <x:v>0</x:v>
      </x:c>
      <x:c r="V264">
        <x:v>0</x:v>
      </x:c>
      <x:c r="W264">
        <x:v>0</x:v>
      </x:c>
      <x:c r="X264">
        <x:v>0</x:v>
      </x:c>
      <x:c r="Y264" s="31" t="n">
        <x:f>J264*N264</x:f>
        <x:v>0</x:v>
      </x:c>
      <x:c r="Z264" s="31" t="n">
        <x:f>IF(J264=0,0,IF(L264&gt;0,J264*L264,"n.a."))</x:f>
        <x:v>0</x:v>
      </x:c>
      <x:c r="AA264" s="31" t="n">
        <x:f>IF(J264=0,0,IF(ISNUMBER(Z264),Z264-Y264,"n.a."))</x:f>
        <x:v>0</x:v>
      </x:c>
      <x:c r="AB264" s="32" t="str">
        <x:f>IF(AND(J264&gt;0,L264&gt;0,N264&gt;0),L264/N264-1,"n.a.")</x:f>
        <x:v>n.a.</x:v>
      </x:c>
      <x:c r="AC264" s="18" t="str">
        <x:f>IF(AND(J264&gt;0,L264&lt;=0),"Missing replacement cost",IF(I264&gt;H264,"Usage exceeds stock",""))</x:f>
      </x:c>
    </x:row>
    <x:row r="265">
      <x:c r="A265" t="s">
        <x:v>15</x:v>
      </x:c>
      <x:c r="B265">
        <x:v>60</x:v>
      </x:c>
      <x:c r="C265" t="s">
        <x:v>64</x:v>
      </x:c>
      <x:c r="D265" t="s">
        <x:v>132</x:v>
      </x:c>
      <x:c r="E265">
        <x:v>0</x:v>
      </x:c>
      <x:c r="F265">
        <x:v>0</x:v>
      </x:c>
      <x:c r="G265" s="22" t="n">
        <x:f>SUMIFS('Receipts to be received in'!$P$2:$P$53,'Receipts to be received in'!$B$2:$B$53,B265,'Receipts to be received in'!$C$2:$C$53,D265)</x:f>
        <x:v>0</x:v>
      </x:c>
      <x:c r="H265" s="23" t="n">
        <x:f>F265+G265</x:f>
        <x:v>0</x:v>
      </x:c>
      <x:c r="I265" s="22" t="n">
        <x:f>E265*'Receipts to be received in'!$R$7*'Receipts to be received in'!$R$10</x:f>
        <x:v>0</x:v>
      </x:c>
      <x:c r="J265" s="23" t="n">
        <x:f>MAX(0,H265-I265)</x:f>
        <x:v>0</x:v>
      </x:c>
      <x:c r="K265">
        <x:v>0</x:v>
      </x:c>
      <x:c r="L265">
        <x:v>0</x:v>
      </x:c>
      <x:c r="M265" s="1">
        <x:v>44937</x:v>
      </x:c>
      <x:c r="N265">
        <x:v>18.45</x:v>
      </x:c>
      <x:c r="O265" s="3">
        <x:v>43524</x:v>
      </x:c>
      <x:c r="P265" s="3">
        <x:v>41816</x:v>
      </x:c>
      <x:c r="Q265" t="s">
        <x:v>73</x:v>
      </x:c>
      <x:c r="T265">
        <x:v>0</x:v>
      </x:c>
      <x:c r="U265">
        <x:v>0</x:v>
      </x:c>
      <x:c r="V265">
        <x:v>0</x:v>
      </x:c>
      <x:c r="W265">
        <x:v>0</x:v>
      </x:c>
      <x:c r="X265">
        <x:v>225.26</x:v>
      </x:c>
      <x:c r="Y265" s="31" t="n">
        <x:f>J265*N265</x:f>
        <x:v>0</x:v>
      </x:c>
      <x:c r="Z265" s="31" t="n">
        <x:f>IF(J265=0,0,IF(L265&gt;0,J265*L265,"n.a."))</x:f>
        <x:v>0</x:v>
      </x:c>
      <x:c r="AA265" s="31" t="n">
        <x:f>IF(J265=0,0,IF(ISNUMBER(Z265),Z265-Y265,"n.a."))</x:f>
        <x:v>0</x:v>
      </x:c>
      <x:c r="AB265" s="32" t="str">
        <x:f>IF(AND(J265&gt;0,L265&gt;0,N265&gt;0),L265/N265-1,"n.a.")</x:f>
        <x:v>n.a.</x:v>
      </x:c>
      <x:c r="AC265" s="18" t="str">
        <x:f>IF(AND(J265&gt;0,L265&lt;=0),"Missing replacement cost",IF(I265&gt;H265,"Usage exceeds stock",""))</x:f>
      </x:c>
    </x:row>
    <x:row r="266">
      <x:c r="A266" t="s">
        <x:v>15</x:v>
      </x:c>
      <x:c r="B266">
        <x:v>60</x:v>
      </x:c>
      <x:c r="C266" t="s">
        <x:v>64</x:v>
      </x:c>
      <x:c r="D266" t="s">
        <x:v>133</x:v>
      </x:c>
      <x:c r="E266">
        <x:v>0</x:v>
      </x:c>
      <x:c r="F266">
        <x:v>0</x:v>
      </x:c>
      <x:c r="G266" s="22" t="n">
        <x:f>SUMIFS('Receipts to be received in'!$P$2:$P$53,'Receipts to be received in'!$B$2:$B$53,B266,'Receipts to be received in'!$C$2:$C$53,D266)</x:f>
        <x:v>0</x:v>
      </x:c>
      <x:c r="H266" s="23" t="n">
        <x:f>F266+G266</x:f>
        <x:v>0</x:v>
      </x:c>
      <x:c r="I266" s="22" t="n">
        <x:f>E266*'Receipts to be received in'!$R$7*'Receipts to be received in'!$R$10</x:f>
        <x:v>0</x:v>
      </x:c>
      <x:c r="J266" s="23" t="n">
        <x:f>MAX(0,H266-I266)</x:f>
        <x:v>0</x:v>
      </x:c>
      <x:c r="K266">
        <x:v>0</x:v>
      </x:c>
      <x:c r="L266">
        <x:v>0</x:v>
      </x:c>
      <x:c r="M266" s="1">
        <x:v>44937</x:v>
      </x:c>
      <x:c r="N266">
        <x:v>19.93</x:v>
      </x:c>
      <x:c r="O266" s="3">
        <x:v>43524</x:v>
      </x:c>
      <x:c r="P266" s="3">
        <x:v>41816</x:v>
      </x:c>
      <x:c r="Q266" t="s">
        <x:v>73</x:v>
      </x:c>
      <x:c r="T266">
        <x:v>0</x:v>
      </x:c>
      <x:c r="U266">
        <x:v>0</x:v>
      </x:c>
      <x:c r="V266">
        <x:v>0</x:v>
      </x:c>
      <x:c r="W266">
        <x:v>0</x:v>
      </x:c>
      <x:c r="X266">
        <x:v>233.81</x:v>
      </x:c>
      <x:c r="Y266" s="31" t="n">
        <x:f>J266*N266</x:f>
        <x:v>0</x:v>
      </x:c>
      <x:c r="Z266" s="31" t="n">
        <x:f>IF(J266=0,0,IF(L266&gt;0,J266*L266,"n.a."))</x:f>
        <x:v>0</x:v>
      </x:c>
      <x:c r="AA266" s="31" t="n">
        <x:f>IF(J266=0,0,IF(ISNUMBER(Z266),Z266-Y266,"n.a."))</x:f>
        <x:v>0</x:v>
      </x:c>
      <x:c r="AB266" s="32" t="str">
        <x:f>IF(AND(J266&gt;0,L266&gt;0,N266&gt;0),L266/N266-1,"n.a.")</x:f>
        <x:v>n.a.</x:v>
      </x:c>
      <x:c r="AC266" s="18" t="str">
        <x:f>IF(AND(J266&gt;0,L266&lt;=0),"Missing replacement cost",IF(I266&gt;H266,"Usage exceeds stock",""))</x:f>
      </x:c>
    </x:row>
    <x:row r="267">
      <x:c r="A267" t="s">
        <x:v>15</x:v>
      </x:c>
      <x:c r="B267">
        <x:v>60</x:v>
      </x:c>
      <x:c r="C267" t="s">
        <x:v>64</x:v>
      </x:c>
      <x:c r="D267" t="s">
        <x:v>93</x:v>
      </x:c>
      <x:c r="E267">
        <x:v>0</x:v>
      </x:c>
      <x:c r="F267">
        <x:v>0</x:v>
      </x:c>
      <x:c r="G267" s="22" t="n">
        <x:f>SUMIFS('Receipts to be received in'!$P$2:$P$53,'Receipts to be received in'!$B$2:$B$53,B267,'Receipts to be received in'!$C$2:$C$53,D267)</x:f>
        <x:v>0</x:v>
      </x:c>
      <x:c r="H267" s="23" t="n">
        <x:f>F267+G267</x:f>
        <x:v>0</x:v>
      </x:c>
      <x:c r="I267" s="22" t="n">
        <x:f>E267*'Receipts to be received in'!$R$7*'Receipts to be received in'!$R$10</x:f>
        <x:v>0</x:v>
      </x:c>
      <x:c r="J267" s="23" t="n">
        <x:f>MAX(0,H267-I267)</x:f>
        <x:v>0</x:v>
      </x:c>
      <x:c r="K267">
        <x:v>0</x:v>
      </x:c>
      <x:c r="L267">
        <x:v>30.78</x:v>
      </x:c>
      <x:c r="M267" s="1">
        <x:v>46133</x:v>
      </x:c>
      <x:c r="N267">
        <x:v>25.65</x:v>
      </x:c>
      <x:c r="O267" s="3">
        <x:v>46027</x:v>
      </x:c>
      <x:c r="Q267" s="2">
        <x:v>-0.16669999999999999</x:v>
      </x:c>
      <x:c r="T267">
        <x:v>0</x:v>
      </x:c>
      <x:c r="U267">
        <x:v>0</x:v>
      </x:c>
      <x:c r="V267">
        <x:v>0</x:v>
      </x:c>
      <x:c r="W267">
        <x:v>0</x:v>
      </x:c>
      <x:c r="X267">
        <x:v>526.41</x:v>
      </x:c>
      <x:c r="Y267" s="31" t="n">
        <x:f>J267*N267</x:f>
        <x:v>0</x:v>
      </x:c>
      <x:c r="Z267" s="31" t="n">
        <x:f>IF(J267=0,0,IF(L267&gt;0,J267*L267,"n.a."))</x:f>
        <x:v>0</x:v>
      </x:c>
      <x:c r="AA267" s="31" t="n">
        <x:f>IF(J267=0,0,IF(ISNUMBER(Z267),Z267-Y267,"n.a."))</x:f>
        <x:v>0</x:v>
      </x:c>
      <x:c r="AB267" s="32" t="str">
        <x:f>IF(AND(J267&gt;0,L267&gt;0,N267&gt;0),L267/N267-1,"n.a.")</x:f>
        <x:v>n.a.</x:v>
      </x:c>
      <x:c r="AC267" s="18" t="str">
        <x:f>IF(AND(J267&gt;0,L267&lt;=0),"Missing replacement cost",IF(I267&gt;H267,"Usage exceeds stock",""))</x:f>
      </x:c>
    </x:row>
    <x:row r="268">
      <x:c r="A268" t="s">
        <x:v>15</x:v>
      </x:c>
      <x:c r="B268">
        <x:v>60</x:v>
      </x:c>
      <x:c r="C268" t="s">
        <x:v>64</x:v>
      </x:c>
      <x:c r="D268" t="s">
        <x:v>33</x:v>
      </x:c>
      <x:c r="E268">
        <x:v>0</x:v>
      </x:c>
      <x:c r="F268">
        <x:v>0</x:v>
      </x:c>
      <x:c r="G268" s="22" t="n">
        <x:f>SUMIFS('Receipts to be received in'!$P$2:$P$53,'Receipts to be received in'!$B$2:$B$53,B268,'Receipts to be received in'!$C$2:$C$53,D268)</x:f>
        <x:v>0</x:v>
      </x:c>
      <x:c r="H268" s="23" t="n">
        <x:f>F268+G268</x:f>
        <x:v>0</x:v>
      </x:c>
      <x:c r="I268" s="22" t="n">
        <x:f>E268*'Receipts to be received in'!$R$7*'Receipts to be received in'!$R$10</x:f>
        <x:v>0</x:v>
      </x:c>
      <x:c r="J268" s="23" t="n">
        <x:f>MAX(0,H268-I268)</x:f>
        <x:v>0</x:v>
      </x:c>
      <x:c r="K268">
        <x:v>0</x:v>
      </x:c>
      <x:c r="L268">
        <x:v>34.83</x:v>
      </x:c>
      <x:c r="M268" s="1">
        <x:v>46134</x:v>
      </x:c>
      <x:c r="N268">
        <x:v>29.03</x:v>
      </x:c>
      <x:c r="O268" s="3">
        <x:v>46027</x:v>
      </x:c>
      <x:c r="Q268" s="2">
        <x:v>-0.16650000000000001</x:v>
      </x:c>
      <x:c r="T268">
        <x:v>0</x:v>
      </x:c>
      <x:c r="U268">
        <x:v>0</x:v>
      </x:c>
      <x:c r="V268">
        <x:v>0</x:v>
      </x:c>
      <x:c r="W268">
        <x:v>0</x:v>
      </x:c>
      <x:c r="X268">
        <x:v>595.76</x:v>
      </x:c>
      <x:c r="Y268" s="31" t="n">
        <x:f>J268*N268</x:f>
        <x:v>0</x:v>
      </x:c>
      <x:c r="Z268" s="31" t="n">
        <x:f>IF(J268=0,0,IF(L268&gt;0,J268*L268,"n.a."))</x:f>
        <x:v>0</x:v>
      </x:c>
      <x:c r="AA268" s="31" t="n">
        <x:f>IF(J268=0,0,IF(ISNUMBER(Z268),Z268-Y268,"n.a."))</x:f>
        <x:v>0</x:v>
      </x:c>
      <x:c r="AB268" s="32" t="str">
        <x:f>IF(AND(J268&gt;0,L268&gt;0,N268&gt;0),L268/N268-1,"n.a.")</x:f>
        <x:v>n.a.</x:v>
      </x:c>
      <x:c r="AC268" s="18" t="str">
        <x:f>IF(AND(J268&gt;0,L268&lt;=0),"Missing replacement cost",IF(I268&gt;H268,"Usage exceeds stock",""))</x:f>
      </x:c>
    </x:row>
    <x:row r="269">
      <x:c r="A269" t="s">
        <x:v>15</x:v>
      </x:c>
      <x:c r="B269">
        <x:v>60</x:v>
      </x:c>
      <x:c r="C269" t="s">
        <x:v>64</x:v>
      </x:c>
      <x:c r="D269" t="s">
        <x:v>100</x:v>
      </x:c>
      <x:c r="E269">
        <x:v>0</x:v>
      </x:c>
      <x:c r="F269">
        <x:v>0</x:v>
      </x:c>
      <x:c r="G269" s="22" t="n">
        <x:f>SUMIFS('Receipts to be received in'!$P$2:$P$53,'Receipts to be received in'!$B$2:$B$53,B269,'Receipts to be received in'!$C$2:$C$53,D269)</x:f>
        <x:v>0</x:v>
      </x:c>
      <x:c r="H269" s="23" t="n">
        <x:f>F269+G269</x:f>
        <x:v>0</x:v>
      </x:c>
      <x:c r="I269" s="22" t="n">
        <x:f>E269*'Receipts to be received in'!$R$7*'Receipts to be received in'!$R$10</x:f>
        <x:v>0</x:v>
      </x:c>
      <x:c r="J269" s="23" t="n">
        <x:f>MAX(0,H269-I269)</x:f>
        <x:v>0</x:v>
      </x:c>
      <x:c r="K269">
        <x:v>0</x:v>
      </x:c>
      <x:c r="L269">
        <x:v>0</x:v>
      </x:c>
      <x:c r="M269" s="1">
        <x:v>44937</x:v>
      </x:c>
      <x:c r="N269">
        <x:v>4.1399999999999997</x:v>
      </x:c>
      <x:c r="O269" s="3">
        <x:v>45269</x:v>
      </x:c>
      <x:c r="Q269" t="s">
        <x:v>73</x:v>
      </x:c>
      <x:c r="T269">
        <x:v>0</x:v>
      </x:c>
      <x:c r="U269">
        <x:v>0</x:v>
      </x:c>
      <x:c r="V269">
        <x:v>0</x:v>
      </x:c>
      <x:c r="W269">
        <x:v>0</x:v>
      </x:c>
      <x:c r="X269">
        <x:v>67.13</x:v>
      </x:c>
      <x:c r="Y269" s="31" t="n">
        <x:f>J269*N269</x:f>
        <x:v>0</x:v>
      </x:c>
      <x:c r="Z269" s="31" t="n">
        <x:f>IF(J269=0,0,IF(L269&gt;0,J269*L269,"n.a."))</x:f>
        <x:v>0</x:v>
      </x:c>
      <x:c r="AA269" s="31" t="n">
        <x:f>IF(J269=0,0,IF(ISNUMBER(Z269),Z269-Y269,"n.a."))</x:f>
        <x:v>0</x:v>
      </x:c>
      <x:c r="AB269" s="32" t="str">
        <x:f>IF(AND(J269&gt;0,L269&gt;0,N269&gt;0),L269/N269-1,"n.a.")</x:f>
        <x:v>n.a.</x:v>
      </x:c>
      <x:c r="AC269" s="18" t="str">
        <x:f>IF(AND(J269&gt;0,L269&lt;=0),"Missing replacement cost",IF(I269&gt;H269,"Usage exceeds stock",""))</x:f>
      </x:c>
    </x:row>
    <x:row r="270">
      <x:c r="A270" t="s">
        <x:v>15</x:v>
      </x:c>
      <x:c r="B270">
        <x:v>60</x:v>
      </x:c>
      <x:c r="C270" t="s">
        <x:v>64</x:v>
      </x:c>
      <x:c r="D270" t="s">
        <x:v>134</x:v>
      </x:c>
      <x:c r="E270">
        <x:v>0</x:v>
      </x:c>
      <x:c r="F270">
        <x:v>0</x:v>
      </x:c>
      <x:c r="G270" s="22" t="n">
        <x:f>SUMIFS('Receipts to be received in'!$P$2:$P$53,'Receipts to be received in'!$B$2:$B$53,B270,'Receipts to be received in'!$C$2:$C$53,D270)</x:f>
        <x:v>0</x:v>
      </x:c>
      <x:c r="H270" s="23" t="n">
        <x:f>F270+G270</x:f>
        <x:v>0</x:v>
      </x:c>
      <x:c r="I270" s="22" t="n">
        <x:f>E270*'Receipts to be received in'!$R$7*'Receipts to be received in'!$R$10</x:f>
        <x:v>0</x:v>
      </x:c>
      <x:c r="J270" s="23" t="n">
        <x:f>MAX(0,H270-I270)</x:f>
        <x:v>0</x:v>
      </x:c>
      <x:c r="K270">
        <x:v>0</x:v>
      </x:c>
      <x:c r="L270">
        <x:v>0</x:v>
      </x:c>
      <x:c r="M270" s="1">
        <x:v>45078</x:v>
      </x:c>
      <x:c r="N270">
        <x:v>10.039999999999999</x:v>
      </x:c>
      <x:c r="O270" s="3">
        <x:v>45269</x:v>
      </x:c>
      <x:c r="P270" s="3">
        <x:v>43584</x:v>
      </x:c>
      <x:c r="Q270" t="s">
        <x:v>73</x:v>
      </x:c>
      <x:c r="T270">
        <x:v>0</x:v>
      </x:c>
      <x:c r="U270">
        <x:v>0</x:v>
      </x:c>
      <x:c r="V270">
        <x:v>0</x:v>
      </x:c>
      <x:c r="W270">
        <x:v>0</x:v>
      </x:c>
      <x:c r="X270">
        <x:v>183.66</x:v>
      </x:c>
      <x:c r="Y270" s="31" t="n">
        <x:f>J270*N270</x:f>
        <x:v>0</x:v>
      </x:c>
      <x:c r="Z270" s="31" t="n">
        <x:f>IF(J270=0,0,IF(L270&gt;0,J270*L270,"n.a."))</x:f>
        <x:v>0</x:v>
      </x:c>
      <x:c r="AA270" s="31" t="n">
        <x:f>IF(J270=0,0,IF(ISNUMBER(Z270),Z270-Y270,"n.a."))</x:f>
        <x:v>0</x:v>
      </x:c>
      <x:c r="AB270" s="32" t="str">
        <x:f>IF(AND(J270&gt;0,L270&gt;0,N270&gt;0),L270/N270-1,"n.a.")</x:f>
        <x:v>n.a.</x:v>
      </x:c>
      <x:c r="AC270" s="18" t="str">
        <x:f>IF(AND(J270&gt;0,L270&lt;=0),"Missing replacement cost",IF(I270&gt;H270,"Usage exceeds stock",""))</x:f>
      </x:c>
    </x:row>
    <x:row r="271">
      <x:c r="A271" t="s">
        <x:v>15</x:v>
      </x:c>
      <x:c r="B271">
        <x:v>60</x:v>
      </x:c>
      <x:c r="C271" t="s">
        <x:v>64</x:v>
      </x:c>
      <x:c r="D271" t="s">
        <x:v>43</x:v>
      </x:c>
      <x:c r="E271">
        <x:v>0</x:v>
      </x:c>
      <x:c r="F271">
        <x:v>0</x:v>
      </x:c>
      <x:c r="G271" s="22" t="n">
        <x:f>SUMIFS('Receipts to be received in'!$P$2:$P$53,'Receipts to be received in'!$B$2:$B$53,B271,'Receipts to be received in'!$C$2:$C$53,D271)</x:f>
        <x:v>0</x:v>
      </x:c>
      <x:c r="H271" s="23" t="n">
        <x:f>F271+G271</x:f>
        <x:v>0</x:v>
      </x:c>
      <x:c r="I271" s="22" t="n">
        <x:f>E271*'Receipts to be received in'!$R$7*'Receipts to be received in'!$R$10</x:f>
        <x:v>0</x:v>
      </x:c>
      <x:c r="J271" s="23" t="n">
        <x:f>MAX(0,H271-I271)</x:f>
        <x:v>0</x:v>
      </x:c>
      <x:c r="K271">
        <x:v>0</x:v>
      </x:c>
      <x:c r="L271">
        <x:v>92.11</x:v>
      </x:c>
      <x:c r="M271" s="1">
        <x:v>46134</x:v>
      </x:c>
      <x:c r="N271">
        <x:v>76.52</x:v>
      </x:c>
      <x:c r="O271" s="3">
        <x:v>46027</x:v>
      </x:c>
      <x:c r="Q271" s="2">
        <x:v>-0.16930000000000001</x:v>
      </x:c>
      <x:c r="T271">
        <x:v>0</x:v>
      </x:c>
      <x:c r="U271">
        <x:v>0</x:v>
      </x:c>
      <x:c r="V271">
        <x:v>0</x:v>
      </x:c>
      <x:c r="W271">
        <x:v>0</x:v>
      </x:c>
      <x:c r="X271">
        <x:v>1559.76</x:v>
      </x:c>
      <x:c r="Y271" s="31" t="n">
        <x:f>J271*N271</x:f>
        <x:v>0</x:v>
      </x:c>
      <x:c r="Z271" s="31" t="n">
        <x:f>IF(J271=0,0,IF(L271&gt;0,J271*L271,"n.a."))</x:f>
        <x:v>0</x:v>
      </x:c>
      <x:c r="AA271" s="31" t="n">
        <x:f>IF(J271=0,0,IF(ISNUMBER(Z271),Z271-Y271,"n.a."))</x:f>
        <x:v>0</x:v>
      </x:c>
      <x:c r="AB271" s="32" t="str">
        <x:f>IF(AND(J271&gt;0,L271&gt;0,N271&gt;0),L271/N271-1,"n.a.")</x:f>
        <x:v>n.a.</x:v>
      </x:c>
      <x:c r="AC271" s="18" t="str">
        <x:f>IF(AND(J271&gt;0,L271&lt;=0),"Missing replacement cost",IF(I271&gt;H271,"Usage exceeds stock",""))</x:f>
      </x:c>
    </x:row>
    <x:row r="272">
      <x:c r="A272" t="s">
        <x:v>15</x:v>
      </x:c>
      <x:c r="B272">
        <x:v>60</x:v>
      </x:c>
      <x:c r="C272" t="s">
        <x:v>64</x:v>
      </x:c>
      <x:c r="D272" t="s">
        <x:v>101</x:v>
      </x:c>
      <x:c r="E272">
        <x:v>0</x:v>
      </x:c>
      <x:c r="F272">
        <x:v>0</x:v>
      </x:c>
      <x:c r="G272" s="22" t="n">
        <x:f>SUMIFS('Receipts to be received in'!$P$2:$P$53,'Receipts to be received in'!$B$2:$B$53,B272,'Receipts to be received in'!$C$2:$C$53,D272)</x:f>
        <x:v>0</x:v>
      </x:c>
      <x:c r="H272" s="23" t="n">
        <x:f>F272+G272</x:f>
        <x:v>0</x:v>
      </x:c>
      <x:c r="I272" s="22" t="n">
        <x:f>E272*'Receipts to be received in'!$R$7*'Receipts to be received in'!$R$10</x:f>
        <x:v>0</x:v>
      </x:c>
      <x:c r="J272" s="23" t="n">
        <x:f>MAX(0,H272-I272)</x:f>
        <x:v>0</x:v>
      </x:c>
      <x:c r="K272">
        <x:v>0</x:v>
      </x:c>
      <x:c r="L272">
        <x:v>74.56</x:v>
      </x:c>
      <x:c r="M272" s="1">
        <x:v>46133</x:v>
      </x:c>
      <x:c r="N272">
        <x:v>62.13</x:v>
      </x:c>
      <x:c r="O272" s="3">
        <x:v>46027</x:v>
      </x:c>
      <x:c r="Q272" s="2">
        <x:v>-0.16669999999999999</x:v>
      </x:c>
      <x:c r="T272">
        <x:v>0</x:v>
      </x:c>
      <x:c r="U272">
        <x:v>0</x:v>
      </x:c>
      <x:c r="V272">
        <x:v>0</x:v>
      </x:c>
      <x:c r="W272">
        <x:v>0</x:v>
      </x:c>
      <x:c r="X272">
        <x:v>1375.5</x:v>
      </x:c>
      <x:c r="Y272" s="31" t="n">
        <x:f>J272*N272</x:f>
        <x:v>0</x:v>
      </x:c>
      <x:c r="Z272" s="31" t="n">
        <x:f>IF(J272=0,0,IF(L272&gt;0,J272*L272,"n.a."))</x:f>
        <x:v>0</x:v>
      </x:c>
      <x:c r="AA272" s="31" t="n">
        <x:f>IF(J272=0,0,IF(ISNUMBER(Z272),Z272-Y272,"n.a."))</x:f>
        <x:v>0</x:v>
      </x:c>
      <x:c r="AB272" s="32" t="str">
        <x:f>IF(AND(J272&gt;0,L272&gt;0,N272&gt;0),L272/N272-1,"n.a.")</x:f>
        <x:v>n.a.</x:v>
      </x:c>
      <x:c r="AC272" s="18" t="str">
        <x:f>IF(AND(J272&gt;0,L272&lt;=0),"Missing replacement cost",IF(I272&gt;H272,"Usage exceeds stock",""))</x:f>
      </x:c>
    </x:row>
    <x:row r="273">
      <x:c r="A273" t="s">
        <x:v>15</x:v>
      </x:c>
      <x:c r="B273">
        <x:v>60</x:v>
      </x:c>
      <x:c r="C273" t="s">
        <x:v>64</x:v>
      </x:c>
      <x:c r="D273" t="s">
        <x:v>135</x:v>
      </x:c>
      <x:c r="E273">
        <x:v>0</x:v>
      </x:c>
      <x:c r="F273">
        <x:v>36</x:v>
      </x:c>
      <x:c r="G273" s="22" t="n">
        <x:f>SUMIFS('Receipts to be received in'!$P$2:$P$53,'Receipts to be received in'!$B$2:$B$53,B273,'Receipts to be received in'!$C$2:$C$53,D273)</x:f>
        <x:v>0</x:v>
      </x:c>
      <x:c r="H273" s="23" t="n">
        <x:f>F273+G273</x:f>
        <x:v>36</x:v>
      </x:c>
      <x:c r="I273" s="22" t="n">
        <x:f>E273*'Receipts to be received in'!$R$7*'Receipts to be received in'!$R$10</x:f>
        <x:v>0</x:v>
      </x:c>
      <x:c r="J273" s="23" t="n">
        <x:f>MAX(0,H273-I273)</x:f>
        <x:v>36</x:v>
      </x:c>
      <x:c r="K273">
        <x:v>0</x:v>
      </x:c>
      <x:c r="L273">
        <x:v>114.91</x:v>
      </x:c>
      <x:c r="M273" s="1">
        <x:v>46133</x:v>
      </x:c>
      <x:c r="N273">
        <x:v>95.76</x:v>
      </x:c>
      <x:c r="O273" s="3">
        <x:v>46027</x:v>
      </x:c>
      <x:c r="P273" s="3">
        <x:v>45405</x:v>
      </x:c>
      <x:c r="Q273" s="2">
        <x:v>-0.16669999999999999</x:v>
      </x:c>
      <x:c r="T273">
        <x:v>689.39999999999895</x:v>
      </x:c>
      <x:c r="U273">
        <x:v>0</x:v>
      </x:c>
      <x:c r="V273">
        <x:v>3447.36</x:v>
      </x:c>
      <x:c r="W273">
        <x:v>4136.76</x:v>
      </x:c>
      <x:c r="X273">
        <x:v>2099.91</x:v>
      </x:c>
      <x:c r="Y273" s="31" t="n">
        <x:f>J273*N273</x:f>
        <x:v>3447.36</x:v>
      </x:c>
      <x:c r="Z273" s="31" t="n">
        <x:f>IF(J273=0,0,IF(L273&gt;0,J273*L273,"n.a."))</x:f>
        <x:v>4136.76</x:v>
      </x:c>
      <x:c r="AA273" s="31" t="n">
        <x:f>IF(J273=0,0,IF(ISNUMBER(Z273),Z273-Y273,"n.a."))</x:f>
        <x:v>689.4000000000001</x:v>
      </x:c>
      <x:c r="AB273" s="32" t="n">
        <x:f>IF(AND(J273&gt;0,L273&gt;0,N273&gt;0),L273/N273-1,"n.a.")</x:f>
        <x:v>0.19997911445279848</x:v>
      </x:c>
      <x:c r="AC273" s="18" t="str">
        <x:f>IF(AND(J273&gt;0,L273&lt;=0),"Missing replacement cost",IF(I273&gt;H273,"Usage exceeds stock",""))</x:f>
      </x:c>
    </x:row>
    <x:row r="274">
      <x:c r="A274" t="s">
        <x:v>15</x:v>
      </x:c>
      <x:c r="B274">
        <x:v>60</x:v>
      </x:c>
      <x:c r="C274" t="s">
        <x:v>64</x:v>
      </x:c>
      <x:c r="D274" t="s">
        <x:v>136</x:v>
      </x:c>
      <x:c r="E274">
        <x:v>0</x:v>
      </x:c>
      <x:c r="F274">
        <x:v>0</x:v>
      </x:c>
      <x:c r="G274" s="22" t="n">
        <x:f>SUMIFS('Receipts to be received in'!$P$2:$P$53,'Receipts to be received in'!$B$2:$B$53,B274,'Receipts to be received in'!$C$2:$C$53,D274)</x:f>
        <x:v>0</x:v>
      </x:c>
      <x:c r="H274" s="23" t="n">
        <x:f>F274+G274</x:f>
        <x:v>0</x:v>
      </x:c>
      <x:c r="I274" s="22" t="n">
        <x:f>E274*'Receipts to be received in'!$R$7*'Receipts to be received in'!$R$10</x:f>
        <x:v>0</x:v>
      </x:c>
      <x:c r="J274" s="23" t="n">
        <x:f>MAX(0,H274-I274)</x:f>
        <x:v>0</x:v>
      </x:c>
      <x:c r="K274">
        <x:v>0</x:v>
      </x:c>
      <x:c r="L274">
        <x:v>104.23</x:v>
      </x:c>
      <x:c r="M274" s="1">
        <x:v>46134</x:v>
      </x:c>
      <x:c r="N274">
        <x:v>86.58</x:v>
      </x:c>
      <x:c r="O274" s="3">
        <x:v>46027</x:v>
      </x:c>
      <x:c r="Q274" s="2">
        <x:v>-0.16930000000000001</x:v>
      </x:c>
      <x:c r="T274">
        <x:v>0</x:v>
      </x:c>
      <x:c r="U274">
        <x:v>0</x:v>
      </x:c>
      <x:c r="V274">
        <x:v>0</x:v>
      </x:c>
      <x:c r="W274">
        <x:v>0</x:v>
      </x:c>
      <x:c r="X274">
        <x:v>1764.84</x:v>
      </x:c>
      <x:c r="Y274" s="31" t="n">
        <x:f>J274*N274</x:f>
        <x:v>0</x:v>
      </x:c>
      <x:c r="Z274" s="31" t="n">
        <x:f>IF(J274=0,0,IF(L274&gt;0,J274*L274,"n.a."))</x:f>
        <x:v>0</x:v>
      </x:c>
      <x:c r="AA274" s="31" t="n">
        <x:f>IF(J274=0,0,IF(ISNUMBER(Z274),Z274-Y274,"n.a."))</x:f>
        <x:v>0</x:v>
      </x:c>
      <x:c r="AB274" s="32" t="str">
        <x:f>IF(AND(J274&gt;0,L274&gt;0,N274&gt;0),L274/N274-1,"n.a.")</x:f>
        <x:v>n.a.</x:v>
      </x:c>
      <x:c r="AC274" s="18" t="str">
        <x:f>IF(AND(J274&gt;0,L274&lt;=0),"Missing replacement cost",IF(I274&gt;H274,"Usage exceeds stock",""))</x:f>
      </x:c>
    </x:row>
    <x:row r="275">
      <x:c r="A275" t="s">
        <x:v>15</x:v>
      </x:c>
      <x:c r="B275">
        <x:v>60</x:v>
      </x:c>
      <x:c r="C275" t="s">
        <x:v>64</x:v>
      </x:c>
      <x:c r="D275" t="s">
        <x:v>102</x:v>
      </x:c>
      <x:c r="E275">
        <x:v>0</x:v>
      </x:c>
      <x:c r="F275">
        <x:v>0</x:v>
      </x:c>
      <x:c r="G275" s="22" t="n">
        <x:f>SUMIFS('Receipts to be received in'!$P$2:$P$53,'Receipts to be received in'!$B$2:$B$53,B275,'Receipts to be received in'!$C$2:$C$53,D275)</x:f>
        <x:v>0</x:v>
      </x:c>
      <x:c r="H275" s="23" t="n">
        <x:f>F275+G275</x:f>
        <x:v>0</x:v>
      </x:c>
      <x:c r="I275" s="22" t="n">
        <x:f>E275*'Receipts to be received in'!$R$7*'Receipts to be received in'!$R$10</x:f>
        <x:v>0</x:v>
      </x:c>
      <x:c r="J275" s="23" t="n">
        <x:f>MAX(0,H275-I275)</x:f>
        <x:v>0</x:v>
      </x:c>
      <x:c r="K275">
        <x:v>0</x:v>
      </x:c>
      <x:c r="L275">
        <x:v>84.37</x:v>
      </x:c>
      <x:c r="M275" s="1">
        <x:v>46134</x:v>
      </x:c>
      <x:c r="N275">
        <x:v>70.31</x:v>
      </x:c>
      <x:c r="O275" s="3">
        <x:v>46027</x:v>
      </x:c>
      <x:c r="Q275" s="2">
        <x:v>-0.1666</x:v>
      </x:c>
      <x:c r="T275">
        <x:v>0</x:v>
      </x:c>
      <x:c r="U275">
        <x:v>0</x:v>
      </x:c>
      <x:c r="V275">
        <x:v>0</x:v>
      </x:c>
      <x:c r="W275">
        <x:v>0</x:v>
      </x:c>
      <x:c r="X275">
        <x:v>1556.58</x:v>
      </x:c>
      <x:c r="Y275" s="31" t="n">
        <x:f>J275*N275</x:f>
        <x:v>0</x:v>
      </x:c>
      <x:c r="Z275" s="31" t="n">
        <x:f>IF(J275=0,0,IF(L275&gt;0,J275*L275,"n.a."))</x:f>
        <x:v>0</x:v>
      </x:c>
      <x:c r="AA275" s="31" t="n">
        <x:f>IF(J275=0,0,IF(ISNUMBER(Z275),Z275-Y275,"n.a."))</x:f>
        <x:v>0</x:v>
      </x:c>
      <x:c r="AB275" s="32" t="str">
        <x:f>IF(AND(J275&gt;0,L275&gt;0,N275&gt;0),L275/N275-1,"n.a.")</x:f>
        <x:v>n.a.</x:v>
      </x:c>
      <x:c r="AC275" s="18" t="str">
        <x:f>IF(AND(J275&gt;0,L275&lt;=0),"Missing replacement cost",IF(I275&gt;H275,"Usage exceeds stock",""))</x:f>
      </x:c>
    </x:row>
    <x:row r="276">
      <x:c r="A276" t="s">
        <x:v>15</x:v>
      </x:c>
      <x:c r="B276">
        <x:v>60</x:v>
      </x:c>
      <x:c r="C276" t="s">
        <x:v>64</x:v>
      </x:c>
      <x:c r="D276" t="s">
        <x:v>137</x:v>
      </x:c>
      <x:c r="E276">
        <x:v>0</x:v>
      </x:c>
      <x:c r="F276">
        <x:v>0</x:v>
      </x:c>
      <x:c r="G276" s="22" t="n">
        <x:f>SUMIFS('Receipts to be received in'!$P$2:$P$53,'Receipts to be received in'!$B$2:$B$53,B276,'Receipts to be received in'!$C$2:$C$53,D276)</x:f>
        <x:v>0</x:v>
      </x:c>
      <x:c r="H276" s="23" t="n">
        <x:f>F276+G276</x:f>
        <x:v>0</x:v>
      </x:c>
      <x:c r="I276" s="22" t="n">
        <x:f>E276*'Receipts to be received in'!$R$7*'Receipts to be received in'!$R$10</x:f>
        <x:v>0</x:v>
      </x:c>
      <x:c r="J276" s="23" t="n">
        <x:f>MAX(0,H276-I276)</x:f>
        <x:v>0</x:v>
      </x:c>
      <x:c r="K276">
        <x:v>0</x:v>
      </x:c>
      <x:c r="L276">
        <x:v>130.03</x:v>
      </x:c>
      <x:c r="M276" s="1">
        <x:v>46133</x:v>
      </x:c>
      <x:c r="N276">
        <x:v>108.36</x:v>
      </x:c>
      <x:c r="O276" s="3">
        <x:v>46027</x:v>
      </x:c>
      <x:c r="Q276" s="2">
        <x:v>-0.16669999999999999</x:v>
      </x:c>
      <x:c r="T276">
        <x:v>0</x:v>
      </x:c>
      <x:c r="U276">
        <x:v>0</x:v>
      </x:c>
      <x:c r="V276">
        <x:v>0</x:v>
      </x:c>
      <x:c r="W276">
        <x:v>0</x:v>
      </x:c>
      <x:c r="X276">
        <x:v>2376.12</x:v>
      </x:c>
      <x:c r="Y276" s="31" t="n">
        <x:f>J276*N276</x:f>
        <x:v>0</x:v>
      </x:c>
      <x:c r="Z276" s="31" t="n">
        <x:f>IF(J276=0,0,IF(L276&gt;0,J276*L276,"n.a."))</x:f>
        <x:v>0</x:v>
      </x:c>
      <x:c r="AA276" s="31" t="n">
        <x:f>IF(J276=0,0,IF(ISNUMBER(Z276),Z276-Y276,"n.a."))</x:f>
        <x:v>0</x:v>
      </x:c>
      <x:c r="AB276" s="32" t="str">
        <x:f>IF(AND(J276&gt;0,L276&gt;0,N276&gt;0),L276/N276-1,"n.a.")</x:f>
        <x:v>n.a.</x:v>
      </x:c>
      <x:c r="AC276" s="18" t="str">
        <x:f>IF(AND(J276&gt;0,L276&lt;=0),"Missing replacement cost",IF(I276&gt;H276,"Usage exceeds stock",""))</x:f>
      </x:c>
    </x:row>
  </x:sheetData>
  <x:conditionalFormatting sqref="AC2:AC276">
    <x:cfRule type="containsText" dxfId="0" priority="1" operator="containsText" text="Missing replacement cost"/>
    <x:cfRule type="containsText" dxfId="1" priority="2" operator="containsText" text="Usage exceeds stock"/>
  </x:conditionalFormatting>
  <x:pageMargins left="0.7" right="0.7" top="0.75" bottom="0.75" header="0.3" footer="0.3"/>
</x:worksheet>
</file>